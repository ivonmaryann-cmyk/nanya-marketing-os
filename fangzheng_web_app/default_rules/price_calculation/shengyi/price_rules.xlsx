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3.xml" ContentType="application/vnd.openxmlformats-officedocument.spreadsheetml.comments+xml"/>
  <Override PartName="/xl/drawings/drawing13.xml" ContentType="application/vnd.openxmlformats-officedocument.drawing+xml"/>
  <Override PartName="/xl/comments4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22676\Desktop\生益报价\2026.3.27生益新价格\2026.7月涨价\"/>
    </mc:Choice>
  </mc:AlternateContent>
  <xr:revisionPtr revIDLastSave="0" documentId="13_ncr:1_{12B65D19-9B38-4EC7-A99C-0E751BB17078}" xr6:coauthVersionLast="47" xr6:coauthVersionMax="47" xr10:uidLastSave="{00000000-0000-0000-0000-000000000000}"/>
  <bookViews>
    <workbookView xWindow="-108" yWindow="-108" windowWidth="23256" windowHeight="13896" tabRatio="913" activeTab="15" xr2:uid="{00000000-000D-0000-FFFF-FFFF00000000}"/>
  </bookViews>
  <sheets>
    <sheet name="NY2150" sheetId="17" r:id="rId1"/>
    <sheet name="NY2170" sheetId="19" r:id="rId2"/>
    <sheet name="NY2170H" sheetId="18" r:id="rId3"/>
    <sheet name="NY3170M" sheetId="20" r:id="rId4"/>
    <sheet name="NY3170M2" sheetId="21" r:id="rId5"/>
    <sheet name="NY3170LK" sheetId="22" r:id="rId6"/>
    <sheet name="NY6180L" sheetId="23" r:id="rId7"/>
    <sheet name="NY6180" sheetId="24" r:id="rId8"/>
    <sheet name="NY6200" sheetId="25" r:id="rId9"/>
    <sheet name="NY6300C" sheetId="26" r:id="rId10"/>
    <sheet name="NY6300" sheetId="27" r:id="rId11"/>
    <sheet name="NY6300S" sheetId="28" r:id="rId12"/>
    <sheet name="NY6300SN" sheetId="29" r:id="rId13"/>
    <sheet name="NY-P1" sheetId="30" r:id="rId14"/>
    <sheet name="NY-P2" sheetId="31" r:id="rId15"/>
    <sheet name="NY-P3" sheetId="32" r:id="rId16"/>
  </sheets>
  <definedNames>
    <definedName name="_xlnm._FilterDatabase" localSheetId="0" hidden="1">'NY2150'!$A$12:$XEN$183</definedName>
    <definedName name="_xlnm._FilterDatabase" localSheetId="2" hidden="1">NY2170H!$A$12:$O$99</definedName>
    <definedName name="_xlnm.Print_Titles" localSheetId="0">'NY2150'!$1:$11</definedName>
    <definedName name="_xlnm.Print_Titles" localSheetId="1">'NY2170'!$1:$11</definedName>
    <definedName name="_xlnm.Print_Titles" localSheetId="2">NY2170H!$1:$11</definedName>
  </definedNames>
  <calcPr calcId="181029"/>
</workbook>
</file>

<file path=xl/calcChain.xml><?xml version="1.0" encoding="utf-8"?>
<calcChain xmlns="http://schemas.openxmlformats.org/spreadsheetml/2006/main">
  <c r="I102" i="32" l="1"/>
  <c r="H102" i="32"/>
  <c r="I101" i="32"/>
  <c r="H101" i="32"/>
  <c r="I100" i="32"/>
  <c r="H100" i="32"/>
  <c r="I99" i="32"/>
  <c r="H99" i="32"/>
  <c r="I98" i="32"/>
  <c r="H98" i="32"/>
  <c r="I97" i="32"/>
  <c r="H97" i="32"/>
  <c r="I96" i="32"/>
  <c r="H96" i="32"/>
  <c r="I95" i="32"/>
  <c r="H95" i="32"/>
  <c r="I94" i="32"/>
  <c r="H94" i="32"/>
  <c r="I93" i="32"/>
  <c r="H93" i="32"/>
  <c r="I92" i="32"/>
  <c r="H92" i="32"/>
  <c r="I91" i="32"/>
  <c r="H91" i="32"/>
  <c r="I90" i="32"/>
  <c r="H90" i="32"/>
  <c r="I89" i="32"/>
  <c r="H89" i="32"/>
  <c r="I88" i="32"/>
  <c r="H88" i="32"/>
  <c r="I87" i="32"/>
  <c r="H87" i="32"/>
  <c r="I86" i="32"/>
  <c r="H86" i="32"/>
  <c r="I85" i="32"/>
  <c r="H85" i="32"/>
  <c r="I84" i="32"/>
  <c r="H84" i="32"/>
  <c r="I83" i="32"/>
  <c r="H83" i="32"/>
  <c r="I82" i="32"/>
  <c r="H82" i="32"/>
  <c r="I81" i="32"/>
  <c r="H81" i="32"/>
  <c r="I80" i="32"/>
  <c r="H80" i="32"/>
  <c r="I79" i="32"/>
  <c r="H79" i="32"/>
  <c r="I78" i="32"/>
  <c r="H78" i="32"/>
  <c r="J74" i="32"/>
  <c r="I74" i="32"/>
  <c r="H74" i="32"/>
  <c r="B74" i="32"/>
  <c r="J73" i="32"/>
  <c r="I73" i="32"/>
  <c r="H73" i="32"/>
  <c r="B73" i="32"/>
  <c r="J72" i="32"/>
  <c r="I72" i="32"/>
  <c r="H72" i="32"/>
  <c r="B72" i="32"/>
  <c r="J71" i="32"/>
  <c r="I71" i="32"/>
  <c r="H71" i="32"/>
  <c r="B71" i="32"/>
  <c r="J70" i="32"/>
  <c r="I70" i="32"/>
  <c r="H70" i="32"/>
  <c r="B70" i="32"/>
  <c r="J69" i="32"/>
  <c r="I69" i="32"/>
  <c r="H69" i="32"/>
  <c r="B69" i="32"/>
  <c r="J68" i="32"/>
  <c r="I68" i="32"/>
  <c r="H68" i="32"/>
  <c r="B68" i="32"/>
  <c r="J67" i="32"/>
  <c r="I67" i="32"/>
  <c r="H67" i="32"/>
  <c r="B67" i="32"/>
  <c r="J66" i="32"/>
  <c r="I66" i="32"/>
  <c r="H66" i="32"/>
  <c r="B66" i="32"/>
  <c r="J65" i="32"/>
  <c r="I65" i="32"/>
  <c r="H65" i="32"/>
  <c r="B65" i="32"/>
  <c r="J64" i="32"/>
  <c r="I64" i="32"/>
  <c r="H64" i="32"/>
  <c r="B64" i="32"/>
  <c r="J63" i="32"/>
  <c r="I63" i="32"/>
  <c r="H63" i="32"/>
  <c r="B63" i="32"/>
  <c r="J62" i="32"/>
  <c r="I62" i="32"/>
  <c r="H62" i="32"/>
  <c r="B62" i="32"/>
  <c r="J61" i="32"/>
  <c r="I61" i="32"/>
  <c r="H61" i="32"/>
  <c r="B61" i="32"/>
  <c r="J60" i="32"/>
  <c r="I60" i="32"/>
  <c r="H60" i="32"/>
  <c r="B60" i="32"/>
  <c r="J59" i="32"/>
  <c r="I59" i="32"/>
  <c r="H59" i="32"/>
  <c r="B59" i="32"/>
  <c r="J58" i="32"/>
  <c r="I58" i="32"/>
  <c r="H58" i="32"/>
  <c r="B58" i="32"/>
  <c r="J57" i="32"/>
  <c r="I57" i="32"/>
  <c r="H57" i="32"/>
  <c r="B57" i="32"/>
  <c r="J56" i="32"/>
  <c r="I56" i="32"/>
  <c r="H56" i="32"/>
  <c r="B56" i="32"/>
  <c r="J55" i="32"/>
  <c r="I55" i="32"/>
  <c r="H55" i="32"/>
  <c r="B55" i="32"/>
  <c r="J54" i="32"/>
  <c r="I54" i="32"/>
  <c r="H54" i="32"/>
  <c r="B54" i="32"/>
  <c r="J53" i="32"/>
  <c r="I53" i="32"/>
  <c r="H53" i="32"/>
  <c r="B53" i="32"/>
  <c r="J52" i="32"/>
  <c r="I52" i="32"/>
  <c r="H52" i="32"/>
  <c r="B52" i="32"/>
  <c r="J51" i="32"/>
  <c r="I51" i="32"/>
  <c r="H51" i="32"/>
  <c r="B51" i="32"/>
  <c r="J50" i="32"/>
  <c r="I50" i="32"/>
  <c r="H50" i="32"/>
  <c r="B50" i="32"/>
  <c r="J49" i="32"/>
  <c r="I49" i="32"/>
  <c r="H49" i="32"/>
  <c r="B49" i="32"/>
  <c r="J48" i="32"/>
  <c r="I48" i="32"/>
  <c r="H48" i="32"/>
  <c r="B48" i="32"/>
  <c r="J47" i="32"/>
  <c r="I47" i="32"/>
  <c r="H47" i="32"/>
  <c r="B47" i="32"/>
  <c r="J46" i="32"/>
  <c r="I46" i="32"/>
  <c r="H46" i="32"/>
  <c r="B46" i="32"/>
  <c r="J45" i="32"/>
  <c r="I45" i="32"/>
  <c r="H45" i="32"/>
  <c r="B45" i="32"/>
  <c r="J44" i="32"/>
  <c r="I44" i="32"/>
  <c r="H44" i="32"/>
  <c r="B44" i="32"/>
  <c r="J43" i="32"/>
  <c r="I43" i="32"/>
  <c r="H43" i="32"/>
  <c r="B43" i="32"/>
  <c r="J42" i="32"/>
  <c r="I42" i="32"/>
  <c r="H42" i="32"/>
  <c r="B42" i="32"/>
  <c r="J41" i="32"/>
  <c r="I41" i="32"/>
  <c r="H41" i="32"/>
  <c r="B41" i="32"/>
  <c r="J40" i="32"/>
  <c r="I40" i="32"/>
  <c r="H40" i="32"/>
  <c r="B40" i="32"/>
  <c r="J39" i="32"/>
  <c r="I39" i="32"/>
  <c r="H39" i="32"/>
  <c r="B39" i="32"/>
  <c r="J38" i="32"/>
  <c r="I38" i="32"/>
  <c r="H38" i="32"/>
  <c r="B38" i="32"/>
  <c r="J37" i="32"/>
  <c r="I37" i="32"/>
  <c r="H37" i="32"/>
  <c r="B37" i="32"/>
  <c r="J36" i="32"/>
  <c r="I36" i="32"/>
  <c r="H36" i="32"/>
  <c r="B36" i="32"/>
  <c r="J35" i="32"/>
  <c r="I35" i="32"/>
  <c r="H35" i="32"/>
  <c r="B35" i="32"/>
  <c r="J34" i="32"/>
  <c r="I34" i="32"/>
  <c r="H34" i="32"/>
  <c r="B34" i="32"/>
  <c r="J33" i="32"/>
  <c r="I33" i="32"/>
  <c r="H33" i="32"/>
  <c r="B33" i="32"/>
  <c r="J32" i="32"/>
  <c r="I32" i="32"/>
  <c r="H32" i="32"/>
  <c r="B32" i="32"/>
  <c r="J31" i="32"/>
  <c r="I31" i="32"/>
  <c r="H31" i="32"/>
  <c r="B31" i="32"/>
  <c r="J30" i="32"/>
  <c r="I30" i="32"/>
  <c r="H30" i="32"/>
  <c r="B30" i="32"/>
  <c r="J29" i="32"/>
  <c r="I29" i="32"/>
  <c r="H29" i="32"/>
  <c r="B29" i="32"/>
  <c r="J28" i="32"/>
  <c r="I28" i="32"/>
  <c r="H28" i="32"/>
  <c r="B28" i="32"/>
  <c r="J27" i="32"/>
  <c r="I27" i="32"/>
  <c r="H27" i="32"/>
  <c r="B27" i="32"/>
  <c r="J26" i="32"/>
  <c r="I26" i="32"/>
  <c r="H26" i="32"/>
  <c r="B26" i="32"/>
  <c r="J25" i="32"/>
  <c r="I25" i="32"/>
  <c r="H25" i="32"/>
  <c r="B25" i="32"/>
  <c r="J24" i="32"/>
  <c r="I24" i="32"/>
  <c r="H24" i="32"/>
  <c r="B24" i="32"/>
  <c r="J23" i="32"/>
  <c r="I23" i="32"/>
  <c r="H23" i="32"/>
  <c r="B23" i="32"/>
  <c r="J22" i="32"/>
  <c r="I22" i="32"/>
  <c r="H22" i="32"/>
  <c r="B22" i="32"/>
  <c r="J21" i="32"/>
  <c r="I21" i="32"/>
  <c r="H21" i="32"/>
  <c r="B21" i="32"/>
  <c r="J20" i="32"/>
  <c r="I20" i="32"/>
  <c r="H20" i="32"/>
  <c r="B20" i="32"/>
  <c r="J19" i="32"/>
  <c r="I19" i="32"/>
  <c r="H19" i="32"/>
  <c r="B19" i="32"/>
  <c r="J18" i="32"/>
  <c r="I18" i="32"/>
  <c r="H18" i="32"/>
  <c r="B18" i="32"/>
  <c r="J17" i="32"/>
  <c r="I17" i="32"/>
  <c r="H17" i="32"/>
  <c r="B17" i="32"/>
  <c r="J16" i="32"/>
  <c r="I16" i="32"/>
  <c r="H16" i="32"/>
  <c r="B16" i="32"/>
  <c r="J15" i="32"/>
  <c r="I15" i="32"/>
  <c r="H15" i="32"/>
  <c r="B15" i="32"/>
  <c r="J14" i="32"/>
  <c r="I14" i="32"/>
  <c r="H14" i="32"/>
  <c r="B14" i="32"/>
  <c r="J13" i="32"/>
  <c r="I13" i="32"/>
  <c r="H13" i="32"/>
  <c r="B13" i="32"/>
  <c r="I93" i="31"/>
  <c r="H93" i="31"/>
  <c r="I92" i="31"/>
  <c r="H92" i="31"/>
  <c r="I91" i="31"/>
  <c r="H91" i="31"/>
  <c r="I90" i="31"/>
  <c r="H90" i="31"/>
  <c r="I89" i="31"/>
  <c r="H89" i="31"/>
  <c r="I88" i="31"/>
  <c r="H88" i="31"/>
  <c r="I87" i="31"/>
  <c r="H87" i="31"/>
  <c r="I86" i="31"/>
  <c r="H86" i="31"/>
  <c r="I85" i="31"/>
  <c r="H85" i="31"/>
  <c r="I84" i="31"/>
  <c r="H84" i="31"/>
  <c r="I83" i="31"/>
  <c r="H83" i="31"/>
  <c r="I82" i="31"/>
  <c r="H82" i="31"/>
  <c r="I81" i="31"/>
  <c r="H81" i="31"/>
  <c r="I80" i="31"/>
  <c r="H80" i="31"/>
  <c r="I79" i="31"/>
  <c r="H79" i="31"/>
  <c r="I78" i="31"/>
  <c r="H78" i="31"/>
  <c r="I77" i="31"/>
  <c r="H77" i="31"/>
  <c r="I76" i="31"/>
  <c r="H76" i="31"/>
  <c r="I75" i="31"/>
  <c r="H75" i="31"/>
  <c r="I74" i="31"/>
  <c r="H74" i="31"/>
  <c r="I73" i="31"/>
  <c r="H73" i="31"/>
  <c r="I72" i="31"/>
  <c r="H72" i="31"/>
  <c r="I71" i="31"/>
  <c r="H71" i="31"/>
  <c r="I70" i="31"/>
  <c r="H70" i="31"/>
  <c r="J66" i="31"/>
  <c r="I66" i="31"/>
  <c r="H66" i="31"/>
  <c r="B66" i="31"/>
  <c r="J65" i="31"/>
  <c r="I65" i="31"/>
  <c r="H65" i="31"/>
  <c r="B65" i="31"/>
  <c r="J64" i="31"/>
  <c r="I64" i="31"/>
  <c r="H64" i="31"/>
  <c r="B64" i="31"/>
  <c r="J63" i="31"/>
  <c r="I63" i="31"/>
  <c r="H63" i="31"/>
  <c r="B63" i="31"/>
  <c r="J62" i="31"/>
  <c r="I62" i="31"/>
  <c r="H62" i="31"/>
  <c r="B62" i="31"/>
  <c r="J61" i="31"/>
  <c r="I61" i="31"/>
  <c r="H61" i="31"/>
  <c r="B61" i="31"/>
  <c r="J60" i="31"/>
  <c r="I60" i="31"/>
  <c r="H60" i="31"/>
  <c r="B60" i="31"/>
  <c r="J59" i="31"/>
  <c r="I59" i="31"/>
  <c r="H59" i="31"/>
  <c r="B59" i="31"/>
  <c r="J58" i="31"/>
  <c r="I58" i="31"/>
  <c r="H58" i="31"/>
  <c r="B58" i="31"/>
  <c r="J57" i="31"/>
  <c r="I57" i="31"/>
  <c r="H57" i="31"/>
  <c r="B57" i="31"/>
  <c r="J56" i="31"/>
  <c r="I56" i="31"/>
  <c r="H56" i="31"/>
  <c r="B56" i="31"/>
  <c r="J55" i="31"/>
  <c r="I55" i="31"/>
  <c r="H55" i="31"/>
  <c r="B55" i="31"/>
  <c r="J54" i="31"/>
  <c r="I54" i="31"/>
  <c r="H54" i="31"/>
  <c r="B54" i="31"/>
  <c r="J53" i="31"/>
  <c r="I53" i="31"/>
  <c r="H53" i="31"/>
  <c r="B53" i="31"/>
  <c r="J52" i="31"/>
  <c r="I52" i="31"/>
  <c r="H52" i="31"/>
  <c r="B52" i="31"/>
  <c r="J51" i="31"/>
  <c r="I51" i="31"/>
  <c r="H51" i="31"/>
  <c r="B51" i="31"/>
  <c r="J50" i="31"/>
  <c r="I50" i="31"/>
  <c r="H50" i="31"/>
  <c r="B50" i="31"/>
  <c r="J49" i="31"/>
  <c r="I49" i="31"/>
  <c r="H49" i="31"/>
  <c r="B49" i="31"/>
  <c r="J48" i="31"/>
  <c r="I48" i="31"/>
  <c r="H48" i="31"/>
  <c r="B48" i="31"/>
  <c r="J47" i="31"/>
  <c r="I47" i="31"/>
  <c r="H47" i="31"/>
  <c r="B47" i="31"/>
  <c r="J46" i="31"/>
  <c r="I46" i="31"/>
  <c r="H46" i="31"/>
  <c r="B46" i="31"/>
  <c r="J45" i="31"/>
  <c r="I45" i="31"/>
  <c r="H45" i="31"/>
  <c r="B45" i="31"/>
  <c r="J44" i="31"/>
  <c r="I44" i="31"/>
  <c r="H44" i="31"/>
  <c r="B44" i="31"/>
  <c r="J43" i="31"/>
  <c r="I43" i="31"/>
  <c r="H43" i="31"/>
  <c r="B43" i="31"/>
  <c r="J42" i="31"/>
  <c r="I42" i="31"/>
  <c r="H42" i="31"/>
  <c r="B42" i="31"/>
  <c r="J41" i="31"/>
  <c r="I41" i="31"/>
  <c r="H41" i="31"/>
  <c r="B41" i="31"/>
  <c r="J40" i="31"/>
  <c r="I40" i="31"/>
  <c r="H40" i="31"/>
  <c r="B40" i="31"/>
  <c r="J39" i="31"/>
  <c r="I39" i="31"/>
  <c r="H39" i="31"/>
  <c r="B39" i="31"/>
  <c r="J38" i="31"/>
  <c r="I38" i="31"/>
  <c r="H38" i="31"/>
  <c r="B38" i="31"/>
  <c r="J37" i="31"/>
  <c r="I37" i="31"/>
  <c r="H37" i="31"/>
  <c r="B37" i="31"/>
  <c r="J36" i="31"/>
  <c r="I36" i="31"/>
  <c r="H36" i="31"/>
  <c r="B36" i="31"/>
  <c r="J35" i="31"/>
  <c r="I35" i="31"/>
  <c r="H35" i="31"/>
  <c r="B35" i="31"/>
  <c r="J34" i="31"/>
  <c r="I34" i="31"/>
  <c r="H34" i="31"/>
  <c r="B34" i="31"/>
  <c r="J33" i="31"/>
  <c r="I33" i="31"/>
  <c r="H33" i="31"/>
  <c r="B33" i="31"/>
  <c r="J32" i="31"/>
  <c r="I32" i="31"/>
  <c r="H32" i="31"/>
  <c r="B32" i="31"/>
  <c r="J31" i="31"/>
  <c r="I31" i="31"/>
  <c r="H31" i="31"/>
  <c r="B31" i="31"/>
  <c r="J30" i="31"/>
  <c r="I30" i="31"/>
  <c r="H30" i="31"/>
  <c r="B30" i="31"/>
  <c r="J29" i="31"/>
  <c r="I29" i="31"/>
  <c r="H29" i="31"/>
  <c r="B29" i="31"/>
  <c r="J28" i="31"/>
  <c r="I28" i="31"/>
  <c r="H28" i="31"/>
  <c r="B28" i="31"/>
  <c r="J27" i="31"/>
  <c r="I27" i="31"/>
  <c r="H27" i="31"/>
  <c r="B27" i="31"/>
  <c r="J26" i="31"/>
  <c r="I26" i="31"/>
  <c r="H26" i="31"/>
  <c r="B26" i="31"/>
  <c r="J25" i="31"/>
  <c r="I25" i="31"/>
  <c r="H25" i="31"/>
  <c r="B25" i="31"/>
  <c r="J24" i="31"/>
  <c r="I24" i="31"/>
  <c r="H24" i="31"/>
  <c r="B24" i="31"/>
  <c r="J23" i="31"/>
  <c r="I23" i="31"/>
  <c r="H23" i="31"/>
  <c r="B23" i="31"/>
  <c r="J22" i="31"/>
  <c r="I22" i="31"/>
  <c r="H22" i="31"/>
  <c r="B22" i="31"/>
  <c r="J21" i="31"/>
  <c r="I21" i="31"/>
  <c r="H21" i="31"/>
  <c r="B21" i="31"/>
  <c r="J20" i="31"/>
  <c r="I20" i="31"/>
  <c r="H20" i="31"/>
  <c r="B20" i="31"/>
  <c r="J19" i="31"/>
  <c r="I19" i="31"/>
  <c r="H19" i="31"/>
  <c r="B19" i="31"/>
  <c r="J18" i="31"/>
  <c r="I18" i="31"/>
  <c r="H18" i="31"/>
  <c r="B18" i="31"/>
  <c r="J17" i="31"/>
  <c r="I17" i="31"/>
  <c r="H17" i="31"/>
  <c r="B17" i="31"/>
  <c r="J16" i="31"/>
  <c r="I16" i="31"/>
  <c r="H16" i="31"/>
  <c r="B16" i="31"/>
  <c r="J15" i="31"/>
  <c r="I15" i="31"/>
  <c r="H15" i="31"/>
  <c r="B15" i="31"/>
  <c r="J14" i="31"/>
  <c r="I14" i="31"/>
  <c r="H14" i="31"/>
  <c r="B14" i="31"/>
  <c r="J13" i="31"/>
  <c r="I13" i="31"/>
  <c r="H13" i="31"/>
  <c r="B13" i="31"/>
  <c r="I108" i="30"/>
  <c r="H108" i="30"/>
  <c r="I107" i="30"/>
  <c r="H107" i="30"/>
  <c r="I106" i="30"/>
  <c r="H106" i="30"/>
  <c r="I105" i="30"/>
  <c r="H105" i="30"/>
  <c r="I104" i="30"/>
  <c r="H104" i="30"/>
  <c r="I103" i="30"/>
  <c r="H103" i="30"/>
  <c r="I102" i="30"/>
  <c r="H102" i="30"/>
  <c r="I101" i="30"/>
  <c r="H101" i="30"/>
  <c r="I100" i="30"/>
  <c r="H100" i="30"/>
  <c r="I99" i="30"/>
  <c r="H99" i="30"/>
  <c r="I98" i="30"/>
  <c r="H98" i="30"/>
  <c r="I97" i="30"/>
  <c r="H97" i="30"/>
  <c r="I96" i="30"/>
  <c r="H96" i="30"/>
  <c r="I95" i="30"/>
  <c r="H95" i="30"/>
  <c r="I94" i="30"/>
  <c r="H94" i="30"/>
  <c r="I93" i="30"/>
  <c r="H93" i="30"/>
  <c r="I92" i="30"/>
  <c r="H92" i="30"/>
  <c r="I91" i="30"/>
  <c r="H91" i="30"/>
  <c r="I90" i="30"/>
  <c r="H90" i="30"/>
  <c r="I89" i="30"/>
  <c r="H89" i="30"/>
  <c r="I88" i="30"/>
  <c r="H88" i="30"/>
  <c r="I87" i="30"/>
  <c r="H87" i="30"/>
  <c r="I86" i="30"/>
  <c r="H86" i="30"/>
  <c r="I85" i="30"/>
  <c r="H85" i="30"/>
  <c r="I84" i="30"/>
  <c r="H84" i="30"/>
  <c r="I83" i="30"/>
  <c r="H83" i="30"/>
  <c r="I82" i="30"/>
  <c r="H82" i="30"/>
  <c r="I81" i="30"/>
  <c r="H81" i="30"/>
  <c r="I80" i="30"/>
  <c r="H80" i="30"/>
  <c r="I79" i="30"/>
  <c r="H79" i="30"/>
  <c r="J75" i="30"/>
  <c r="I75" i="30"/>
  <c r="H75" i="30"/>
  <c r="B75" i="30"/>
  <c r="J74" i="30"/>
  <c r="I74" i="30"/>
  <c r="H74" i="30"/>
  <c r="B74" i="30"/>
  <c r="J73" i="30"/>
  <c r="I73" i="30"/>
  <c r="H73" i="30"/>
  <c r="B73" i="30"/>
  <c r="J72" i="30"/>
  <c r="I72" i="30"/>
  <c r="H72" i="30"/>
  <c r="B72" i="30"/>
  <c r="J71" i="30"/>
  <c r="I71" i="30"/>
  <c r="H71" i="30"/>
  <c r="B71" i="30"/>
  <c r="J70" i="30"/>
  <c r="I70" i="30"/>
  <c r="H70" i="30"/>
  <c r="B70" i="30"/>
  <c r="J69" i="30"/>
  <c r="I69" i="30"/>
  <c r="H69" i="30"/>
  <c r="B69" i="30"/>
  <c r="J68" i="30"/>
  <c r="I68" i="30"/>
  <c r="H68" i="30"/>
  <c r="B68" i="30"/>
  <c r="J67" i="30"/>
  <c r="I67" i="30"/>
  <c r="H67" i="30"/>
  <c r="B67" i="30"/>
  <c r="J66" i="30"/>
  <c r="I66" i="30"/>
  <c r="H66" i="30"/>
  <c r="B66" i="30"/>
  <c r="J65" i="30"/>
  <c r="I65" i="30"/>
  <c r="H65" i="30"/>
  <c r="B65" i="30"/>
  <c r="J64" i="30"/>
  <c r="I64" i="30"/>
  <c r="H64" i="30"/>
  <c r="B64" i="30"/>
  <c r="J63" i="30"/>
  <c r="I63" i="30"/>
  <c r="H63" i="30"/>
  <c r="B63" i="30"/>
  <c r="J62" i="30"/>
  <c r="I62" i="30"/>
  <c r="H62" i="30"/>
  <c r="B62" i="30"/>
  <c r="J61" i="30"/>
  <c r="I61" i="30"/>
  <c r="H61" i="30"/>
  <c r="B61" i="30"/>
  <c r="J60" i="30"/>
  <c r="I60" i="30"/>
  <c r="H60" i="30"/>
  <c r="B60" i="30"/>
  <c r="J59" i="30"/>
  <c r="I59" i="30"/>
  <c r="H59" i="30"/>
  <c r="B59" i="30"/>
  <c r="J58" i="30"/>
  <c r="I58" i="30"/>
  <c r="H58" i="30"/>
  <c r="B58" i="30"/>
  <c r="J57" i="30"/>
  <c r="I57" i="30"/>
  <c r="H57" i="30"/>
  <c r="B57" i="30"/>
  <c r="J56" i="30"/>
  <c r="I56" i="30"/>
  <c r="H56" i="30"/>
  <c r="B56" i="30"/>
  <c r="J55" i="30"/>
  <c r="I55" i="30"/>
  <c r="H55" i="30"/>
  <c r="B55" i="30"/>
  <c r="J54" i="30"/>
  <c r="I54" i="30"/>
  <c r="H54" i="30"/>
  <c r="B54" i="30"/>
  <c r="J53" i="30"/>
  <c r="I53" i="30"/>
  <c r="H53" i="30"/>
  <c r="B53" i="30"/>
  <c r="J52" i="30"/>
  <c r="I52" i="30"/>
  <c r="H52" i="30"/>
  <c r="B52" i="30"/>
  <c r="J51" i="30"/>
  <c r="I51" i="30"/>
  <c r="H51" i="30"/>
  <c r="B51" i="30"/>
  <c r="J50" i="30"/>
  <c r="I50" i="30"/>
  <c r="H50" i="30"/>
  <c r="B50" i="30"/>
  <c r="J49" i="30"/>
  <c r="I49" i="30"/>
  <c r="H49" i="30"/>
  <c r="B49" i="30"/>
  <c r="J48" i="30"/>
  <c r="I48" i="30"/>
  <c r="H48" i="30"/>
  <c r="B48" i="30"/>
  <c r="J47" i="30"/>
  <c r="I47" i="30"/>
  <c r="H47" i="30"/>
  <c r="B47" i="30"/>
  <c r="J46" i="30"/>
  <c r="I46" i="30"/>
  <c r="H46" i="30"/>
  <c r="B46" i="30"/>
  <c r="J45" i="30"/>
  <c r="I45" i="30"/>
  <c r="H45" i="30"/>
  <c r="B45" i="30"/>
  <c r="J44" i="30"/>
  <c r="I44" i="30"/>
  <c r="H44" i="30"/>
  <c r="B44" i="30"/>
  <c r="J43" i="30"/>
  <c r="I43" i="30"/>
  <c r="H43" i="30"/>
  <c r="B43" i="30"/>
  <c r="J42" i="30"/>
  <c r="I42" i="30"/>
  <c r="H42" i="30"/>
  <c r="B42" i="30"/>
  <c r="J41" i="30"/>
  <c r="I41" i="30"/>
  <c r="H41" i="30"/>
  <c r="B41" i="30"/>
  <c r="J40" i="30"/>
  <c r="I40" i="30"/>
  <c r="H40" i="30"/>
  <c r="B40" i="30"/>
  <c r="J39" i="30"/>
  <c r="I39" i="30"/>
  <c r="H39" i="30"/>
  <c r="B39" i="30"/>
  <c r="J38" i="30"/>
  <c r="I38" i="30"/>
  <c r="H38" i="30"/>
  <c r="B38" i="30"/>
  <c r="J37" i="30"/>
  <c r="I37" i="30"/>
  <c r="H37" i="30"/>
  <c r="B37" i="30"/>
  <c r="J36" i="30"/>
  <c r="I36" i="30"/>
  <c r="H36" i="30"/>
  <c r="B36" i="30"/>
  <c r="J35" i="30"/>
  <c r="I35" i="30"/>
  <c r="H35" i="30"/>
  <c r="B35" i="30"/>
  <c r="J34" i="30"/>
  <c r="I34" i="30"/>
  <c r="H34" i="30"/>
  <c r="B34" i="30"/>
  <c r="J33" i="30"/>
  <c r="I33" i="30"/>
  <c r="H33" i="30"/>
  <c r="B33" i="30"/>
  <c r="J32" i="30"/>
  <c r="I32" i="30"/>
  <c r="H32" i="30"/>
  <c r="B32" i="30"/>
  <c r="J31" i="30"/>
  <c r="I31" i="30"/>
  <c r="H31" i="30"/>
  <c r="B31" i="30"/>
  <c r="J30" i="30"/>
  <c r="I30" i="30"/>
  <c r="H30" i="30"/>
  <c r="B30" i="30"/>
  <c r="J29" i="30"/>
  <c r="I29" i="30"/>
  <c r="H29" i="30"/>
  <c r="B29" i="30"/>
  <c r="J28" i="30"/>
  <c r="I28" i="30"/>
  <c r="H28" i="30"/>
  <c r="B28" i="30"/>
  <c r="J27" i="30"/>
  <c r="I27" i="30"/>
  <c r="H27" i="30"/>
  <c r="B27" i="30"/>
  <c r="J26" i="30"/>
  <c r="I26" i="30"/>
  <c r="H26" i="30"/>
  <c r="B26" i="30"/>
  <c r="J25" i="30"/>
  <c r="I25" i="30"/>
  <c r="H25" i="30"/>
  <c r="B25" i="30"/>
  <c r="J24" i="30"/>
  <c r="I24" i="30"/>
  <c r="H24" i="30"/>
  <c r="B24" i="30"/>
  <c r="J23" i="30"/>
  <c r="I23" i="30"/>
  <c r="H23" i="30"/>
  <c r="B23" i="30"/>
  <c r="J22" i="30"/>
  <c r="I22" i="30"/>
  <c r="H22" i="30"/>
  <c r="B22" i="30"/>
  <c r="J21" i="30"/>
  <c r="I21" i="30"/>
  <c r="H21" i="30"/>
  <c r="B21" i="30"/>
  <c r="J20" i="30"/>
  <c r="I20" i="30"/>
  <c r="H20" i="30"/>
  <c r="B20" i="30"/>
  <c r="J19" i="30"/>
  <c r="I19" i="30"/>
  <c r="H19" i="30"/>
  <c r="B19" i="30"/>
  <c r="J18" i="30"/>
  <c r="I18" i="30"/>
  <c r="H18" i="30"/>
  <c r="B18" i="30"/>
  <c r="J17" i="30"/>
  <c r="I17" i="30"/>
  <c r="H17" i="30"/>
  <c r="B17" i="30"/>
  <c r="J16" i="30"/>
  <c r="I16" i="30"/>
  <c r="H16" i="30"/>
  <c r="B16" i="30"/>
  <c r="J15" i="30"/>
  <c r="I15" i="30"/>
  <c r="H15" i="30"/>
  <c r="B15" i="30"/>
  <c r="J14" i="30"/>
  <c r="I14" i="30"/>
  <c r="H14" i="30"/>
  <c r="B14" i="30"/>
  <c r="J13" i="30"/>
  <c r="I13" i="30"/>
  <c r="H13" i="30"/>
  <c r="B13" i="30"/>
  <c r="I154" i="29"/>
  <c r="H154" i="29"/>
  <c r="I153" i="29"/>
  <c r="H153" i="29"/>
  <c r="I152" i="29"/>
  <c r="H152" i="29"/>
  <c r="I151" i="29"/>
  <c r="H151" i="29"/>
  <c r="I150" i="29"/>
  <c r="H150" i="29"/>
  <c r="I149" i="29"/>
  <c r="H149" i="29"/>
  <c r="I148" i="29"/>
  <c r="H148" i="29"/>
  <c r="I147" i="29"/>
  <c r="H147" i="29"/>
  <c r="I146" i="29"/>
  <c r="H146" i="29"/>
  <c r="I145" i="29"/>
  <c r="H145" i="29"/>
  <c r="I144" i="29"/>
  <c r="H144" i="29"/>
  <c r="I143" i="29"/>
  <c r="H143" i="29"/>
  <c r="I142" i="29"/>
  <c r="H142" i="29"/>
  <c r="I141" i="29"/>
  <c r="H141" i="29"/>
  <c r="I140" i="29"/>
  <c r="H140" i="29"/>
  <c r="I139" i="29"/>
  <c r="H139" i="29"/>
  <c r="I138" i="29"/>
  <c r="H138" i="29"/>
  <c r="I137" i="29"/>
  <c r="H137" i="29"/>
  <c r="I136" i="29"/>
  <c r="H136" i="29"/>
  <c r="I135" i="29"/>
  <c r="H135" i="29"/>
  <c r="I134" i="29"/>
  <c r="H134" i="29"/>
  <c r="I133" i="29"/>
  <c r="H133" i="29"/>
  <c r="I132" i="29"/>
  <c r="H132" i="29"/>
  <c r="I131" i="29"/>
  <c r="H131" i="29"/>
  <c r="I130" i="29"/>
  <c r="H130" i="29"/>
  <c r="I129" i="29"/>
  <c r="H129" i="29"/>
  <c r="N125" i="29"/>
  <c r="M125" i="29"/>
  <c r="L125" i="29"/>
  <c r="J125" i="29"/>
  <c r="I125" i="29"/>
  <c r="H125" i="29"/>
  <c r="B125" i="29"/>
  <c r="N124" i="29"/>
  <c r="M124" i="29"/>
  <c r="L124" i="29"/>
  <c r="J124" i="29"/>
  <c r="I124" i="29"/>
  <c r="H124" i="29"/>
  <c r="B124" i="29"/>
  <c r="N123" i="29"/>
  <c r="M123" i="29"/>
  <c r="L123" i="29"/>
  <c r="J123" i="29"/>
  <c r="I123" i="29"/>
  <c r="H123" i="29"/>
  <c r="B123" i="29"/>
  <c r="N122" i="29"/>
  <c r="M122" i="29"/>
  <c r="L122" i="29"/>
  <c r="J122" i="29"/>
  <c r="I122" i="29"/>
  <c r="H122" i="29"/>
  <c r="B122" i="29"/>
  <c r="N121" i="29"/>
  <c r="M121" i="29"/>
  <c r="L121" i="29"/>
  <c r="J121" i="29"/>
  <c r="I121" i="29"/>
  <c r="H121" i="29"/>
  <c r="B121" i="29"/>
  <c r="N120" i="29"/>
  <c r="M120" i="29"/>
  <c r="L120" i="29"/>
  <c r="J120" i="29"/>
  <c r="I120" i="29"/>
  <c r="H120" i="29"/>
  <c r="B120" i="29"/>
  <c r="N119" i="29"/>
  <c r="M119" i="29"/>
  <c r="L119" i="29"/>
  <c r="J119" i="29"/>
  <c r="I119" i="29"/>
  <c r="H119" i="29"/>
  <c r="B119" i="29"/>
  <c r="N118" i="29"/>
  <c r="M118" i="29"/>
  <c r="L118" i="29"/>
  <c r="J118" i="29"/>
  <c r="I118" i="29"/>
  <c r="H118" i="29"/>
  <c r="B118" i="29"/>
  <c r="N117" i="29"/>
  <c r="M117" i="29"/>
  <c r="L117" i="29"/>
  <c r="J117" i="29"/>
  <c r="I117" i="29"/>
  <c r="H117" i="29"/>
  <c r="B117" i="29"/>
  <c r="N116" i="29"/>
  <c r="M116" i="29"/>
  <c r="L116" i="29"/>
  <c r="J116" i="29"/>
  <c r="I116" i="29"/>
  <c r="H116" i="29"/>
  <c r="B116" i="29"/>
  <c r="N115" i="29"/>
  <c r="M115" i="29"/>
  <c r="L115" i="29"/>
  <c r="J115" i="29"/>
  <c r="I115" i="29"/>
  <c r="H115" i="29"/>
  <c r="B115" i="29"/>
  <c r="N114" i="29"/>
  <c r="M114" i="29"/>
  <c r="L114" i="29"/>
  <c r="J114" i="29"/>
  <c r="I114" i="29"/>
  <c r="H114" i="29"/>
  <c r="B114" i="29"/>
  <c r="N113" i="29"/>
  <c r="M113" i="29"/>
  <c r="L113" i="29"/>
  <c r="J113" i="29"/>
  <c r="I113" i="29"/>
  <c r="H113" i="29"/>
  <c r="B113" i="29"/>
  <c r="N112" i="29"/>
  <c r="M112" i="29"/>
  <c r="L112" i="29"/>
  <c r="J112" i="29"/>
  <c r="I112" i="29"/>
  <c r="H112" i="29"/>
  <c r="B112" i="29"/>
  <c r="N111" i="29"/>
  <c r="M111" i="29"/>
  <c r="L111" i="29"/>
  <c r="J111" i="29"/>
  <c r="I111" i="29"/>
  <c r="H111" i="29"/>
  <c r="B111" i="29"/>
  <c r="N110" i="29"/>
  <c r="M110" i="29"/>
  <c r="L110" i="29"/>
  <c r="J110" i="29"/>
  <c r="I110" i="29"/>
  <c r="H110" i="29"/>
  <c r="B110" i="29"/>
  <c r="N109" i="29"/>
  <c r="M109" i="29"/>
  <c r="L109" i="29"/>
  <c r="J109" i="29"/>
  <c r="I109" i="29"/>
  <c r="H109" i="29"/>
  <c r="B109" i="29"/>
  <c r="N108" i="29"/>
  <c r="M108" i="29"/>
  <c r="L108" i="29"/>
  <c r="J108" i="29"/>
  <c r="I108" i="29"/>
  <c r="H108" i="29"/>
  <c r="B108" i="29"/>
  <c r="N107" i="29"/>
  <c r="M107" i="29"/>
  <c r="L107" i="29"/>
  <c r="J107" i="29"/>
  <c r="I107" i="29"/>
  <c r="H107" i="29"/>
  <c r="B107" i="29"/>
  <c r="N106" i="29"/>
  <c r="M106" i="29"/>
  <c r="L106" i="29"/>
  <c r="J106" i="29"/>
  <c r="I106" i="29"/>
  <c r="H106" i="29"/>
  <c r="B106" i="29"/>
  <c r="N105" i="29"/>
  <c r="M105" i="29"/>
  <c r="L105" i="29"/>
  <c r="J105" i="29"/>
  <c r="I105" i="29"/>
  <c r="H105" i="29"/>
  <c r="B105" i="29"/>
  <c r="N104" i="29"/>
  <c r="M104" i="29"/>
  <c r="L104" i="29"/>
  <c r="J104" i="29"/>
  <c r="I104" i="29"/>
  <c r="H104" i="29"/>
  <c r="B104" i="29"/>
  <c r="N103" i="29"/>
  <c r="M103" i="29"/>
  <c r="L103" i="29"/>
  <c r="J103" i="29"/>
  <c r="I103" i="29"/>
  <c r="H103" i="29"/>
  <c r="B103" i="29"/>
  <c r="N102" i="29"/>
  <c r="M102" i="29"/>
  <c r="L102" i="29"/>
  <c r="J102" i="29"/>
  <c r="I102" i="29"/>
  <c r="H102" i="29"/>
  <c r="B102" i="29"/>
  <c r="N101" i="29"/>
  <c r="M101" i="29"/>
  <c r="L101" i="29"/>
  <c r="J101" i="29"/>
  <c r="I101" i="29"/>
  <c r="H101" i="29"/>
  <c r="B101" i="29"/>
  <c r="N100" i="29"/>
  <c r="M100" i="29"/>
  <c r="L100" i="29"/>
  <c r="J100" i="29"/>
  <c r="I100" i="29"/>
  <c r="H100" i="29"/>
  <c r="B100" i="29"/>
  <c r="N99" i="29"/>
  <c r="M99" i="29"/>
  <c r="L99" i="29"/>
  <c r="J99" i="29"/>
  <c r="I99" i="29"/>
  <c r="H99" i="29"/>
  <c r="B99" i="29"/>
  <c r="N98" i="29"/>
  <c r="M98" i="29"/>
  <c r="L98" i="29"/>
  <c r="J98" i="29"/>
  <c r="I98" i="29"/>
  <c r="H98" i="29"/>
  <c r="B98" i="29"/>
  <c r="N97" i="29"/>
  <c r="M97" i="29"/>
  <c r="L97" i="29"/>
  <c r="J97" i="29"/>
  <c r="I97" i="29"/>
  <c r="H97" i="29"/>
  <c r="B97" i="29"/>
  <c r="N96" i="29"/>
  <c r="M96" i="29"/>
  <c r="L96" i="29"/>
  <c r="J96" i="29"/>
  <c r="I96" i="29"/>
  <c r="H96" i="29"/>
  <c r="B96" i="29"/>
  <c r="N95" i="29"/>
  <c r="M95" i="29"/>
  <c r="L95" i="29"/>
  <c r="J95" i="29"/>
  <c r="I95" i="29"/>
  <c r="H95" i="29"/>
  <c r="B95" i="29"/>
  <c r="N94" i="29"/>
  <c r="M94" i="29"/>
  <c r="L94" i="29"/>
  <c r="J94" i="29"/>
  <c r="I94" i="29"/>
  <c r="H94" i="29"/>
  <c r="B94" i="29"/>
  <c r="N93" i="29"/>
  <c r="M93" i="29"/>
  <c r="L93" i="29"/>
  <c r="J93" i="29"/>
  <c r="I93" i="29"/>
  <c r="H93" i="29"/>
  <c r="B93" i="29"/>
  <c r="N92" i="29"/>
  <c r="M92" i="29"/>
  <c r="L92" i="29"/>
  <c r="J92" i="29"/>
  <c r="I92" i="29"/>
  <c r="H92" i="29"/>
  <c r="B92" i="29"/>
  <c r="N91" i="29"/>
  <c r="M91" i="29"/>
  <c r="L91" i="29"/>
  <c r="J91" i="29"/>
  <c r="I91" i="29"/>
  <c r="H91" i="29"/>
  <c r="B91" i="29"/>
  <c r="N90" i="29"/>
  <c r="M90" i="29"/>
  <c r="L90" i="29"/>
  <c r="J90" i="29"/>
  <c r="I90" i="29"/>
  <c r="H90" i="29"/>
  <c r="B90" i="29"/>
  <c r="N89" i="29"/>
  <c r="M89" i="29"/>
  <c r="L89" i="29"/>
  <c r="J89" i="29"/>
  <c r="I89" i="29"/>
  <c r="H89" i="29"/>
  <c r="B89" i="29"/>
  <c r="N88" i="29"/>
  <c r="M88" i="29"/>
  <c r="L88" i="29"/>
  <c r="J88" i="29"/>
  <c r="I88" i="29"/>
  <c r="H88" i="29"/>
  <c r="B88" i="29"/>
  <c r="N87" i="29"/>
  <c r="M87" i="29"/>
  <c r="L87" i="29"/>
  <c r="J87" i="29"/>
  <c r="I87" i="29"/>
  <c r="H87" i="29"/>
  <c r="B87" i="29"/>
  <c r="N86" i="29"/>
  <c r="M86" i="29"/>
  <c r="L86" i="29"/>
  <c r="J86" i="29"/>
  <c r="I86" i="29"/>
  <c r="H86" i="29"/>
  <c r="B86" i="29"/>
  <c r="N85" i="29"/>
  <c r="M85" i="29"/>
  <c r="L85" i="29"/>
  <c r="J85" i="29"/>
  <c r="I85" i="29"/>
  <c r="H85" i="29"/>
  <c r="B85" i="29"/>
  <c r="N84" i="29"/>
  <c r="M84" i="29"/>
  <c r="L84" i="29"/>
  <c r="J84" i="29"/>
  <c r="I84" i="29"/>
  <c r="H84" i="29"/>
  <c r="B84" i="29"/>
  <c r="N83" i="29"/>
  <c r="M83" i="29"/>
  <c r="L83" i="29"/>
  <c r="J83" i="29"/>
  <c r="I83" i="29"/>
  <c r="H83" i="29"/>
  <c r="B83" i="29"/>
  <c r="N82" i="29"/>
  <c r="M82" i="29"/>
  <c r="L82" i="29"/>
  <c r="J82" i="29"/>
  <c r="I82" i="29"/>
  <c r="H82" i="29"/>
  <c r="B82" i="29"/>
  <c r="N81" i="29"/>
  <c r="M81" i="29"/>
  <c r="L81" i="29"/>
  <c r="J81" i="29"/>
  <c r="I81" i="29"/>
  <c r="H81" i="29"/>
  <c r="B81" i="29"/>
  <c r="N80" i="29"/>
  <c r="M80" i="29"/>
  <c r="L80" i="29"/>
  <c r="J80" i="29"/>
  <c r="I80" i="29"/>
  <c r="H80" i="29"/>
  <c r="B80" i="29"/>
  <c r="N79" i="29"/>
  <c r="M79" i="29"/>
  <c r="L79" i="29"/>
  <c r="J79" i="29"/>
  <c r="I79" i="29"/>
  <c r="H79" i="29"/>
  <c r="B79" i="29"/>
  <c r="N78" i="29"/>
  <c r="M78" i="29"/>
  <c r="L78" i="29"/>
  <c r="J78" i="29"/>
  <c r="I78" i="29"/>
  <c r="H78" i="29"/>
  <c r="B78" i="29"/>
  <c r="N77" i="29"/>
  <c r="M77" i="29"/>
  <c r="L77" i="29"/>
  <c r="J77" i="29"/>
  <c r="I77" i="29"/>
  <c r="H77" i="29"/>
  <c r="B77" i="29"/>
  <c r="N76" i="29"/>
  <c r="M76" i="29"/>
  <c r="L76" i="29"/>
  <c r="J76" i="29"/>
  <c r="I76" i="29"/>
  <c r="H76" i="29"/>
  <c r="B76" i="29"/>
  <c r="N75" i="29"/>
  <c r="M75" i="29"/>
  <c r="L75" i="29"/>
  <c r="J75" i="29"/>
  <c r="I75" i="29"/>
  <c r="H75" i="29"/>
  <c r="B75" i="29"/>
  <c r="N74" i="29"/>
  <c r="M74" i="29"/>
  <c r="L74" i="29"/>
  <c r="J74" i="29"/>
  <c r="I74" i="29"/>
  <c r="H74" i="29"/>
  <c r="B74" i="29"/>
  <c r="N73" i="29"/>
  <c r="M73" i="29"/>
  <c r="L73" i="29"/>
  <c r="J73" i="29"/>
  <c r="I73" i="29"/>
  <c r="H73" i="29"/>
  <c r="B73" i="29"/>
  <c r="N72" i="29"/>
  <c r="M72" i="29"/>
  <c r="L72" i="29"/>
  <c r="J72" i="29"/>
  <c r="I72" i="29"/>
  <c r="H72" i="29"/>
  <c r="B72" i="29"/>
  <c r="N71" i="29"/>
  <c r="M71" i="29"/>
  <c r="L71" i="29"/>
  <c r="J71" i="29"/>
  <c r="I71" i="29"/>
  <c r="H71" i="29"/>
  <c r="B71" i="29"/>
  <c r="N70" i="29"/>
  <c r="M70" i="29"/>
  <c r="L70" i="29"/>
  <c r="J70" i="29"/>
  <c r="I70" i="29"/>
  <c r="H70" i="29"/>
  <c r="B70" i="29"/>
  <c r="N69" i="29"/>
  <c r="M69" i="29"/>
  <c r="L69" i="29"/>
  <c r="J69" i="29"/>
  <c r="I69" i="29"/>
  <c r="H69" i="29"/>
  <c r="B69" i="29"/>
  <c r="N68" i="29"/>
  <c r="M68" i="29"/>
  <c r="L68" i="29"/>
  <c r="J68" i="29"/>
  <c r="I68" i="29"/>
  <c r="H68" i="29"/>
  <c r="B68" i="29"/>
  <c r="N67" i="29"/>
  <c r="M67" i="29"/>
  <c r="L67" i="29"/>
  <c r="J67" i="29"/>
  <c r="I67" i="29"/>
  <c r="H67" i="29"/>
  <c r="B67" i="29"/>
  <c r="N66" i="29"/>
  <c r="M66" i="29"/>
  <c r="L66" i="29"/>
  <c r="J66" i="29"/>
  <c r="I66" i="29"/>
  <c r="H66" i="29"/>
  <c r="B66" i="29"/>
  <c r="N65" i="29"/>
  <c r="M65" i="29"/>
  <c r="L65" i="29"/>
  <c r="J65" i="29"/>
  <c r="I65" i="29"/>
  <c r="H65" i="29"/>
  <c r="B65" i="29"/>
  <c r="N64" i="29"/>
  <c r="M64" i="29"/>
  <c r="L64" i="29"/>
  <c r="J64" i="29"/>
  <c r="I64" i="29"/>
  <c r="H64" i="29"/>
  <c r="B64" i="29"/>
  <c r="N63" i="29"/>
  <c r="M63" i="29"/>
  <c r="L63" i="29"/>
  <c r="J63" i="29"/>
  <c r="I63" i="29"/>
  <c r="H63" i="29"/>
  <c r="B63" i="29"/>
  <c r="N62" i="29"/>
  <c r="M62" i="29"/>
  <c r="L62" i="29"/>
  <c r="J62" i="29"/>
  <c r="I62" i="29"/>
  <c r="H62" i="29"/>
  <c r="B62" i="29"/>
  <c r="N61" i="29"/>
  <c r="M61" i="29"/>
  <c r="L61" i="29"/>
  <c r="J61" i="29"/>
  <c r="I61" i="29"/>
  <c r="H61" i="29"/>
  <c r="B61" i="29"/>
  <c r="N60" i="29"/>
  <c r="M60" i="29"/>
  <c r="L60" i="29"/>
  <c r="J60" i="29"/>
  <c r="I60" i="29"/>
  <c r="H60" i="29"/>
  <c r="B60" i="29"/>
  <c r="N59" i="29"/>
  <c r="M59" i="29"/>
  <c r="L59" i="29"/>
  <c r="J59" i="29"/>
  <c r="I59" i="29"/>
  <c r="H59" i="29"/>
  <c r="B59" i="29"/>
  <c r="N58" i="29"/>
  <c r="M58" i="29"/>
  <c r="L58" i="29"/>
  <c r="J58" i="29"/>
  <c r="I58" i="29"/>
  <c r="H58" i="29"/>
  <c r="B58" i="29"/>
  <c r="N57" i="29"/>
  <c r="M57" i="29"/>
  <c r="L57" i="29"/>
  <c r="J57" i="29"/>
  <c r="I57" i="29"/>
  <c r="H57" i="29"/>
  <c r="B57" i="29"/>
  <c r="N56" i="29"/>
  <c r="M56" i="29"/>
  <c r="L56" i="29"/>
  <c r="J56" i="29"/>
  <c r="I56" i="29"/>
  <c r="H56" i="29"/>
  <c r="B56" i="29"/>
  <c r="N55" i="29"/>
  <c r="M55" i="29"/>
  <c r="L55" i="29"/>
  <c r="J55" i="29"/>
  <c r="I55" i="29"/>
  <c r="H55" i="29"/>
  <c r="B55" i="29"/>
  <c r="N54" i="29"/>
  <c r="M54" i="29"/>
  <c r="L54" i="29"/>
  <c r="J54" i="29"/>
  <c r="I54" i="29"/>
  <c r="H54" i="29"/>
  <c r="B54" i="29"/>
  <c r="N53" i="29"/>
  <c r="M53" i="29"/>
  <c r="L53" i="29"/>
  <c r="J53" i="29"/>
  <c r="I53" i="29"/>
  <c r="H53" i="29"/>
  <c r="B53" i="29"/>
  <c r="N52" i="29"/>
  <c r="M52" i="29"/>
  <c r="L52" i="29"/>
  <c r="J52" i="29"/>
  <c r="I52" i="29"/>
  <c r="H52" i="29"/>
  <c r="B52" i="29"/>
  <c r="N51" i="29"/>
  <c r="M51" i="29"/>
  <c r="L51" i="29"/>
  <c r="J51" i="29"/>
  <c r="I51" i="29"/>
  <c r="H51" i="29"/>
  <c r="B51" i="29"/>
  <c r="N50" i="29"/>
  <c r="M50" i="29"/>
  <c r="L50" i="29"/>
  <c r="J50" i="29"/>
  <c r="I50" i="29"/>
  <c r="H50" i="29"/>
  <c r="B50" i="29"/>
  <c r="N49" i="29"/>
  <c r="M49" i="29"/>
  <c r="L49" i="29"/>
  <c r="J49" i="29"/>
  <c r="I49" i="29"/>
  <c r="H49" i="29"/>
  <c r="B49" i="29"/>
  <c r="N48" i="29"/>
  <c r="M48" i="29"/>
  <c r="L48" i="29"/>
  <c r="J48" i="29"/>
  <c r="I48" i="29"/>
  <c r="H48" i="29"/>
  <c r="B48" i="29"/>
  <c r="N47" i="29"/>
  <c r="M47" i="29"/>
  <c r="L47" i="29"/>
  <c r="J47" i="29"/>
  <c r="I47" i="29"/>
  <c r="H47" i="29"/>
  <c r="B47" i="29"/>
  <c r="N46" i="29"/>
  <c r="M46" i="29"/>
  <c r="L46" i="29"/>
  <c r="J46" i="29"/>
  <c r="I46" i="29"/>
  <c r="H46" i="29"/>
  <c r="B46" i="29"/>
  <c r="N45" i="29"/>
  <c r="M45" i="29"/>
  <c r="L45" i="29"/>
  <c r="J45" i="29"/>
  <c r="I45" i="29"/>
  <c r="H45" i="29"/>
  <c r="B45" i="29"/>
  <c r="N44" i="29"/>
  <c r="M44" i="29"/>
  <c r="L44" i="29"/>
  <c r="J44" i="29"/>
  <c r="I44" i="29"/>
  <c r="H44" i="29"/>
  <c r="B44" i="29"/>
  <c r="N43" i="29"/>
  <c r="M43" i="29"/>
  <c r="L43" i="29"/>
  <c r="J43" i="29"/>
  <c r="I43" i="29"/>
  <c r="H43" i="29"/>
  <c r="B43" i="29"/>
  <c r="N42" i="29"/>
  <c r="M42" i="29"/>
  <c r="L42" i="29"/>
  <c r="J42" i="29"/>
  <c r="I42" i="29"/>
  <c r="H42" i="29"/>
  <c r="B42" i="29"/>
  <c r="N41" i="29"/>
  <c r="M41" i="29"/>
  <c r="L41" i="29"/>
  <c r="J41" i="29"/>
  <c r="I41" i="29"/>
  <c r="H41" i="29"/>
  <c r="B41" i="29"/>
  <c r="N40" i="29"/>
  <c r="M40" i="29"/>
  <c r="L40" i="29"/>
  <c r="J40" i="29"/>
  <c r="I40" i="29"/>
  <c r="H40" i="29"/>
  <c r="B40" i="29"/>
  <c r="N39" i="29"/>
  <c r="M39" i="29"/>
  <c r="L39" i="29"/>
  <c r="J39" i="29"/>
  <c r="I39" i="29"/>
  <c r="H39" i="29"/>
  <c r="B39" i="29"/>
  <c r="N38" i="29"/>
  <c r="M38" i="29"/>
  <c r="L38" i="29"/>
  <c r="J38" i="29"/>
  <c r="I38" i="29"/>
  <c r="H38" i="29"/>
  <c r="B38" i="29"/>
  <c r="N37" i="29"/>
  <c r="M37" i="29"/>
  <c r="L37" i="29"/>
  <c r="J37" i="29"/>
  <c r="I37" i="29"/>
  <c r="H37" i="29"/>
  <c r="B37" i="29"/>
  <c r="N36" i="29"/>
  <c r="M36" i="29"/>
  <c r="L36" i="29"/>
  <c r="J36" i="29"/>
  <c r="I36" i="29"/>
  <c r="H36" i="29"/>
  <c r="B36" i="29"/>
  <c r="N35" i="29"/>
  <c r="M35" i="29"/>
  <c r="L35" i="29"/>
  <c r="J35" i="29"/>
  <c r="I35" i="29"/>
  <c r="H35" i="29"/>
  <c r="B35" i="29"/>
  <c r="N34" i="29"/>
  <c r="M34" i="29"/>
  <c r="L34" i="29"/>
  <c r="J34" i="29"/>
  <c r="I34" i="29"/>
  <c r="H34" i="29"/>
  <c r="B34" i="29"/>
  <c r="N33" i="29"/>
  <c r="M33" i="29"/>
  <c r="L33" i="29"/>
  <c r="J33" i="29"/>
  <c r="I33" i="29"/>
  <c r="H33" i="29"/>
  <c r="B33" i="29"/>
  <c r="N32" i="29"/>
  <c r="M32" i="29"/>
  <c r="L32" i="29"/>
  <c r="J32" i="29"/>
  <c r="I32" i="29"/>
  <c r="H32" i="29"/>
  <c r="B32" i="29"/>
  <c r="N31" i="29"/>
  <c r="M31" i="29"/>
  <c r="L31" i="29"/>
  <c r="J31" i="29"/>
  <c r="I31" i="29"/>
  <c r="H31" i="29"/>
  <c r="B31" i="29"/>
  <c r="N30" i="29"/>
  <c r="M30" i="29"/>
  <c r="L30" i="29"/>
  <c r="J30" i="29"/>
  <c r="I30" i="29"/>
  <c r="H30" i="29"/>
  <c r="B30" i="29"/>
  <c r="N29" i="29"/>
  <c r="M29" i="29"/>
  <c r="L29" i="29"/>
  <c r="J29" i="29"/>
  <c r="I29" i="29"/>
  <c r="H29" i="29"/>
  <c r="B29" i="29"/>
  <c r="N28" i="29"/>
  <c r="M28" i="29"/>
  <c r="L28" i="29"/>
  <c r="J28" i="29"/>
  <c r="I28" i="29"/>
  <c r="H28" i="29"/>
  <c r="B28" i="29"/>
  <c r="N27" i="29"/>
  <c r="M27" i="29"/>
  <c r="L27" i="29"/>
  <c r="J27" i="29"/>
  <c r="I27" i="29"/>
  <c r="H27" i="29"/>
  <c r="B27" i="29"/>
  <c r="N26" i="29"/>
  <c r="M26" i="29"/>
  <c r="L26" i="29"/>
  <c r="J26" i="29"/>
  <c r="I26" i="29"/>
  <c r="H26" i="29"/>
  <c r="B26" i="29"/>
  <c r="N25" i="29"/>
  <c r="M25" i="29"/>
  <c r="L25" i="29"/>
  <c r="J25" i="29"/>
  <c r="I25" i="29"/>
  <c r="H25" i="29"/>
  <c r="B25" i="29"/>
  <c r="N24" i="29"/>
  <c r="M24" i="29"/>
  <c r="L24" i="29"/>
  <c r="J24" i="29"/>
  <c r="I24" i="29"/>
  <c r="H24" i="29"/>
  <c r="B24" i="29"/>
  <c r="N23" i="29"/>
  <c r="M23" i="29"/>
  <c r="L23" i="29"/>
  <c r="J23" i="29"/>
  <c r="I23" i="29"/>
  <c r="H23" i="29"/>
  <c r="B23" i="29"/>
  <c r="N22" i="29"/>
  <c r="M22" i="29"/>
  <c r="L22" i="29"/>
  <c r="J22" i="29"/>
  <c r="I22" i="29"/>
  <c r="H22" i="29"/>
  <c r="B22" i="29"/>
  <c r="N21" i="29"/>
  <c r="M21" i="29"/>
  <c r="L21" i="29"/>
  <c r="J21" i="29"/>
  <c r="I21" i="29"/>
  <c r="H21" i="29"/>
  <c r="B21" i="29"/>
  <c r="N20" i="29"/>
  <c r="M20" i="29"/>
  <c r="L20" i="29"/>
  <c r="J20" i="29"/>
  <c r="I20" i="29"/>
  <c r="H20" i="29"/>
  <c r="B20" i="29"/>
  <c r="N19" i="29"/>
  <c r="M19" i="29"/>
  <c r="L19" i="29"/>
  <c r="J19" i="29"/>
  <c r="I19" i="29"/>
  <c r="H19" i="29"/>
  <c r="B19" i="29"/>
  <c r="N18" i="29"/>
  <c r="M18" i="29"/>
  <c r="L18" i="29"/>
  <c r="J18" i="29"/>
  <c r="I18" i="29"/>
  <c r="H18" i="29"/>
  <c r="B18" i="29"/>
  <c r="N17" i="29"/>
  <c r="M17" i="29"/>
  <c r="L17" i="29"/>
  <c r="J17" i="29"/>
  <c r="I17" i="29"/>
  <c r="H17" i="29"/>
  <c r="B17" i="29"/>
  <c r="N16" i="29"/>
  <c r="M16" i="29"/>
  <c r="L16" i="29"/>
  <c r="J16" i="29"/>
  <c r="I16" i="29"/>
  <c r="H16" i="29"/>
  <c r="B16" i="29"/>
  <c r="N15" i="29"/>
  <c r="M15" i="29"/>
  <c r="L15" i="29"/>
  <c r="J15" i="29"/>
  <c r="I15" i="29"/>
  <c r="H15" i="29"/>
  <c r="B15" i="29"/>
  <c r="N14" i="29"/>
  <c r="M14" i="29"/>
  <c r="L14" i="29"/>
  <c r="J14" i="29"/>
  <c r="I14" i="29"/>
  <c r="H14" i="29"/>
  <c r="B14" i="29"/>
  <c r="N13" i="29"/>
  <c r="M13" i="29"/>
  <c r="L13" i="29"/>
  <c r="J13" i="29"/>
  <c r="I13" i="29"/>
  <c r="H13" i="29"/>
  <c r="B13" i="29"/>
  <c r="I367" i="28"/>
  <c r="H367" i="28"/>
  <c r="I366" i="28"/>
  <c r="H366" i="28"/>
  <c r="I365" i="28"/>
  <c r="H365" i="28"/>
  <c r="I364" i="28"/>
  <c r="H364" i="28"/>
  <c r="I363" i="28"/>
  <c r="H363" i="28"/>
  <c r="I362" i="28"/>
  <c r="H362" i="28"/>
  <c r="I361" i="28"/>
  <c r="H361" i="28"/>
  <c r="I360" i="28"/>
  <c r="H360" i="28"/>
  <c r="I359" i="28"/>
  <c r="H359" i="28"/>
  <c r="I358" i="28"/>
  <c r="H358" i="28"/>
  <c r="I357" i="28"/>
  <c r="H357" i="28"/>
  <c r="I356" i="28"/>
  <c r="H356" i="28"/>
  <c r="I355" i="28"/>
  <c r="H355" i="28"/>
  <c r="I354" i="28"/>
  <c r="H354" i="28"/>
  <c r="I353" i="28"/>
  <c r="H353" i="28"/>
  <c r="I352" i="28"/>
  <c r="H352" i="28"/>
  <c r="I351" i="28"/>
  <c r="H351" i="28"/>
  <c r="I350" i="28"/>
  <c r="H350" i="28"/>
  <c r="I349" i="28"/>
  <c r="H349" i="28"/>
  <c r="I348" i="28"/>
  <c r="H348" i="28"/>
  <c r="I347" i="28"/>
  <c r="H347" i="28"/>
  <c r="I346" i="28"/>
  <c r="H346" i="28"/>
  <c r="I345" i="28"/>
  <c r="H345" i="28"/>
  <c r="I344" i="28"/>
  <c r="H344" i="28"/>
  <c r="I343" i="28"/>
  <c r="H343" i="28"/>
  <c r="I342" i="28"/>
  <c r="H342" i="28"/>
  <c r="I341" i="28"/>
  <c r="H341" i="28"/>
  <c r="I340" i="28"/>
  <c r="H340" i="28"/>
  <c r="I339" i="28"/>
  <c r="H339" i="28"/>
  <c r="I338" i="28"/>
  <c r="H338" i="28"/>
  <c r="I337" i="28"/>
  <c r="H337" i="28"/>
  <c r="I336" i="28"/>
  <c r="H336" i="28"/>
  <c r="I335" i="28"/>
  <c r="H335" i="28"/>
  <c r="I334" i="28"/>
  <c r="H334" i="28"/>
  <c r="I333" i="28"/>
  <c r="H333" i="28"/>
  <c r="O329" i="28"/>
  <c r="N329" i="28"/>
  <c r="M329" i="28"/>
  <c r="L329" i="28"/>
  <c r="J329" i="28"/>
  <c r="I329" i="28"/>
  <c r="H329" i="28"/>
  <c r="B329" i="28"/>
  <c r="O328" i="28"/>
  <c r="N328" i="28"/>
  <c r="M328" i="28"/>
  <c r="L328" i="28"/>
  <c r="J328" i="28"/>
  <c r="I328" i="28"/>
  <c r="H328" i="28"/>
  <c r="B328" i="28"/>
  <c r="O327" i="28"/>
  <c r="N327" i="28"/>
  <c r="M327" i="28"/>
  <c r="L327" i="28"/>
  <c r="J327" i="28"/>
  <c r="I327" i="28"/>
  <c r="H327" i="28"/>
  <c r="B327" i="28"/>
  <c r="O326" i="28"/>
  <c r="N326" i="28"/>
  <c r="M326" i="28"/>
  <c r="L326" i="28"/>
  <c r="J326" i="28"/>
  <c r="I326" i="28"/>
  <c r="H326" i="28"/>
  <c r="B326" i="28"/>
  <c r="O325" i="28"/>
  <c r="N325" i="28"/>
  <c r="M325" i="28"/>
  <c r="L325" i="28"/>
  <c r="J325" i="28"/>
  <c r="I325" i="28"/>
  <c r="H325" i="28"/>
  <c r="B325" i="28"/>
  <c r="O324" i="28"/>
  <c r="N324" i="28"/>
  <c r="M324" i="28"/>
  <c r="L324" i="28"/>
  <c r="J324" i="28"/>
  <c r="I324" i="28"/>
  <c r="H324" i="28"/>
  <c r="B324" i="28"/>
  <c r="O323" i="28"/>
  <c r="N323" i="28"/>
  <c r="M323" i="28"/>
  <c r="L323" i="28"/>
  <c r="J323" i="28"/>
  <c r="I323" i="28"/>
  <c r="H323" i="28"/>
  <c r="B323" i="28"/>
  <c r="O322" i="28"/>
  <c r="N322" i="28"/>
  <c r="M322" i="28"/>
  <c r="L322" i="28"/>
  <c r="J322" i="28"/>
  <c r="I322" i="28"/>
  <c r="H322" i="28"/>
  <c r="B322" i="28"/>
  <c r="O321" i="28"/>
  <c r="N321" i="28"/>
  <c r="M321" i="28"/>
  <c r="L321" i="28"/>
  <c r="J321" i="28"/>
  <c r="I321" i="28"/>
  <c r="H321" i="28"/>
  <c r="B321" i="28"/>
  <c r="O320" i="28"/>
  <c r="N320" i="28"/>
  <c r="M320" i="28"/>
  <c r="L320" i="28"/>
  <c r="J320" i="28"/>
  <c r="I320" i="28"/>
  <c r="H320" i="28"/>
  <c r="B320" i="28"/>
  <c r="O319" i="28"/>
  <c r="N319" i="28"/>
  <c r="M319" i="28"/>
  <c r="L319" i="28"/>
  <c r="J319" i="28"/>
  <c r="I319" i="28"/>
  <c r="H319" i="28"/>
  <c r="B319" i="28"/>
  <c r="O318" i="28"/>
  <c r="N318" i="28"/>
  <c r="M318" i="28"/>
  <c r="L318" i="28"/>
  <c r="J318" i="28"/>
  <c r="I318" i="28"/>
  <c r="H318" i="28"/>
  <c r="B318" i="28"/>
  <c r="O317" i="28"/>
  <c r="N317" i="28"/>
  <c r="M317" i="28"/>
  <c r="L317" i="28"/>
  <c r="J317" i="28"/>
  <c r="I317" i="28"/>
  <c r="H317" i="28"/>
  <c r="B317" i="28"/>
  <c r="O316" i="28"/>
  <c r="N316" i="28"/>
  <c r="M316" i="28"/>
  <c r="L316" i="28"/>
  <c r="J316" i="28"/>
  <c r="I316" i="28"/>
  <c r="H316" i="28"/>
  <c r="B316" i="28"/>
  <c r="O315" i="28"/>
  <c r="N315" i="28"/>
  <c r="M315" i="28"/>
  <c r="L315" i="28"/>
  <c r="J315" i="28"/>
  <c r="I315" i="28"/>
  <c r="H315" i="28"/>
  <c r="B315" i="28"/>
  <c r="O314" i="28"/>
  <c r="N314" i="28"/>
  <c r="M314" i="28"/>
  <c r="L314" i="28"/>
  <c r="J314" i="28"/>
  <c r="I314" i="28"/>
  <c r="H314" i="28"/>
  <c r="B314" i="28"/>
  <c r="O313" i="28"/>
  <c r="N313" i="28"/>
  <c r="M313" i="28"/>
  <c r="L313" i="28"/>
  <c r="J313" i="28"/>
  <c r="I313" i="28"/>
  <c r="H313" i="28"/>
  <c r="B313" i="28"/>
  <c r="O312" i="28"/>
  <c r="N312" i="28"/>
  <c r="M312" i="28"/>
  <c r="L312" i="28"/>
  <c r="J312" i="28"/>
  <c r="I312" i="28"/>
  <c r="H312" i="28"/>
  <c r="B312" i="28"/>
  <c r="O311" i="28"/>
  <c r="N311" i="28"/>
  <c r="M311" i="28"/>
  <c r="L311" i="28"/>
  <c r="J311" i="28"/>
  <c r="I311" i="28"/>
  <c r="H311" i="28"/>
  <c r="B311" i="28"/>
  <c r="O310" i="28"/>
  <c r="N310" i="28"/>
  <c r="M310" i="28"/>
  <c r="L310" i="28"/>
  <c r="J310" i="28"/>
  <c r="I310" i="28"/>
  <c r="H310" i="28"/>
  <c r="B310" i="28"/>
  <c r="O309" i="28"/>
  <c r="N309" i="28"/>
  <c r="M309" i="28"/>
  <c r="L309" i="28"/>
  <c r="J309" i="28"/>
  <c r="I309" i="28"/>
  <c r="H309" i="28"/>
  <c r="B309" i="28"/>
  <c r="O308" i="28"/>
  <c r="N308" i="28"/>
  <c r="M308" i="28"/>
  <c r="L308" i="28"/>
  <c r="J308" i="28"/>
  <c r="I308" i="28"/>
  <c r="H308" i="28"/>
  <c r="B308" i="28"/>
  <c r="O307" i="28"/>
  <c r="N307" i="28"/>
  <c r="M307" i="28"/>
  <c r="L307" i="28"/>
  <c r="J307" i="28"/>
  <c r="I307" i="28"/>
  <c r="H307" i="28"/>
  <c r="B307" i="28"/>
  <c r="O306" i="28"/>
  <c r="N306" i="28"/>
  <c r="M306" i="28"/>
  <c r="L306" i="28"/>
  <c r="J306" i="28"/>
  <c r="I306" i="28"/>
  <c r="H306" i="28"/>
  <c r="B306" i="28"/>
  <c r="O305" i="28"/>
  <c r="N305" i="28"/>
  <c r="M305" i="28"/>
  <c r="L305" i="28"/>
  <c r="J305" i="28"/>
  <c r="I305" i="28"/>
  <c r="H305" i="28"/>
  <c r="B305" i="28"/>
  <c r="O304" i="28"/>
  <c r="N304" i="28"/>
  <c r="M304" i="28"/>
  <c r="L304" i="28"/>
  <c r="J304" i="28"/>
  <c r="I304" i="28"/>
  <c r="H304" i="28"/>
  <c r="B304" i="28"/>
  <c r="O303" i="28"/>
  <c r="N303" i="28"/>
  <c r="M303" i="28"/>
  <c r="L303" i="28"/>
  <c r="J303" i="28"/>
  <c r="I303" i="28"/>
  <c r="H303" i="28"/>
  <c r="B303" i="28"/>
  <c r="O302" i="28"/>
  <c r="N302" i="28"/>
  <c r="M302" i="28"/>
  <c r="L302" i="28"/>
  <c r="J302" i="28"/>
  <c r="I302" i="28"/>
  <c r="H302" i="28"/>
  <c r="B302" i="28"/>
  <c r="O301" i="28"/>
  <c r="N301" i="28"/>
  <c r="M301" i="28"/>
  <c r="L301" i="28"/>
  <c r="J301" i="28"/>
  <c r="I301" i="28"/>
  <c r="H301" i="28"/>
  <c r="B301" i="28"/>
  <c r="O300" i="28"/>
  <c r="N300" i="28"/>
  <c r="M300" i="28"/>
  <c r="L300" i="28"/>
  <c r="J300" i="28"/>
  <c r="I300" i="28"/>
  <c r="H300" i="28"/>
  <c r="B300" i="28"/>
  <c r="O299" i="28"/>
  <c r="N299" i="28"/>
  <c r="M299" i="28"/>
  <c r="L299" i="28"/>
  <c r="J299" i="28"/>
  <c r="I299" i="28"/>
  <c r="H299" i="28"/>
  <c r="B299" i="28"/>
  <c r="O298" i="28"/>
  <c r="N298" i="28"/>
  <c r="M298" i="28"/>
  <c r="L298" i="28"/>
  <c r="J298" i="28"/>
  <c r="I298" i="28"/>
  <c r="H298" i="28"/>
  <c r="B298" i="28"/>
  <c r="O297" i="28"/>
  <c r="N297" i="28"/>
  <c r="M297" i="28"/>
  <c r="L297" i="28"/>
  <c r="J297" i="28"/>
  <c r="I297" i="28"/>
  <c r="H297" i="28"/>
  <c r="B297" i="28"/>
  <c r="O296" i="28"/>
  <c r="N296" i="28"/>
  <c r="M296" i="28"/>
  <c r="L296" i="28"/>
  <c r="J296" i="28"/>
  <c r="I296" i="28"/>
  <c r="H296" i="28"/>
  <c r="B296" i="28"/>
  <c r="O295" i="28"/>
  <c r="N295" i="28"/>
  <c r="M295" i="28"/>
  <c r="L295" i="28"/>
  <c r="J295" i="28"/>
  <c r="I295" i="28"/>
  <c r="H295" i="28"/>
  <c r="B295" i="28"/>
  <c r="O294" i="28"/>
  <c r="N294" i="28"/>
  <c r="M294" i="28"/>
  <c r="L294" i="28"/>
  <c r="J294" i="28"/>
  <c r="I294" i="28"/>
  <c r="H294" i="28"/>
  <c r="B294" i="28"/>
  <c r="O293" i="28"/>
  <c r="N293" i="28"/>
  <c r="M293" i="28"/>
  <c r="L293" i="28"/>
  <c r="J293" i="28"/>
  <c r="I293" i="28"/>
  <c r="H293" i="28"/>
  <c r="B293" i="28"/>
  <c r="O292" i="28"/>
  <c r="N292" i="28"/>
  <c r="M292" i="28"/>
  <c r="L292" i="28"/>
  <c r="J292" i="28"/>
  <c r="I292" i="28"/>
  <c r="H292" i="28"/>
  <c r="B292" i="28"/>
  <c r="O291" i="28"/>
  <c r="N291" i="28"/>
  <c r="M291" i="28"/>
  <c r="L291" i="28"/>
  <c r="J291" i="28"/>
  <c r="I291" i="28"/>
  <c r="H291" i="28"/>
  <c r="B291" i="28"/>
  <c r="O290" i="28"/>
  <c r="N290" i="28"/>
  <c r="M290" i="28"/>
  <c r="L290" i="28"/>
  <c r="J290" i="28"/>
  <c r="I290" i="28"/>
  <c r="H290" i="28"/>
  <c r="B290" i="28"/>
  <c r="O289" i="28"/>
  <c r="N289" i="28"/>
  <c r="M289" i="28"/>
  <c r="L289" i="28"/>
  <c r="J289" i="28"/>
  <c r="I289" i="28"/>
  <c r="H289" i="28"/>
  <c r="B289" i="28"/>
  <c r="O288" i="28"/>
  <c r="N288" i="28"/>
  <c r="M288" i="28"/>
  <c r="L288" i="28"/>
  <c r="J288" i="28"/>
  <c r="I288" i="28"/>
  <c r="H288" i="28"/>
  <c r="B288" i="28"/>
  <c r="O287" i="28"/>
  <c r="N287" i="28"/>
  <c r="M287" i="28"/>
  <c r="L287" i="28"/>
  <c r="J287" i="28"/>
  <c r="I287" i="28"/>
  <c r="H287" i="28"/>
  <c r="B287" i="28"/>
  <c r="O286" i="28"/>
  <c r="N286" i="28"/>
  <c r="M286" i="28"/>
  <c r="L286" i="28"/>
  <c r="J286" i="28"/>
  <c r="I286" i="28"/>
  <c r="H286" i="28"/>
  <c r="B286" i="28"/>
  <c r="O285" i="28"/>
  <c r="N285" i="28"/>
  <c r="M285" i="28"/>
  <c r="L285" i="28"/>
  <c r="J285" i="28"/>
  <c r="I285" i="28"/>
  <c r="H285" i="28"/>
  <c r="B285" i="28"/>
  <c r="O284" i="28"/>
  <c r="N284" i="28"/>
  <c r="M284" i="28"/>
  <c r="L284" i="28"/>
  <c r="J284" i="28"/>
  <c r="I284" i="28"/>
  <c r="H284" i="28"/>
  <c r="B284" i="28"/>
  <c r="O283" i="28"/>
  <c r="N283" i="28"/>
  <c r="M283" i="28"/>
  <c r="L283" i="28"/>
  <c r="J283" i="28"/>
  <c r="I283" i="28"/>
  <c r="H283" i="28"/>
  <c r="B283" i="28"/>
  <c r="O282" i="28"/>
  <c r="N282" i="28"/>
  <c r="M282" i="28"/>
  <c r="L282" i="28"/>
  <c r="J282" i="28"/>
  <c r="I282" i="28"/>
  <c r="H282" i="28"/>
  <c r="B282" i="28"/>
  <c r="O281" i="28"/>
  <c r="N281" i="28"/>
  <c r="M281" i="28"/>
  <c r="L281" i="28"/>
  <c r="J281" i="28"/>
  <c r="I281" i="28"/>
  <c r="H281" i="28"/>
  <c r="B281" i="28"/>
  <c r="O280" i="28"/>
  <c r="N280" i="28"/>
  <c r="M280" i="28"/>
  <c r="L280" i="28"/>
  <c r="J280" i="28"/>
  <c r="I280" i="28"/>
  <c r="H280" i="28"/>
  <c r="B280" i="28"/>
  <c r="O279" i="28"/>
  <c r="N279" i="28"/>
  <c r="M279" i="28"/>
  <c r="L279" i="28"/>
  <c r="J279" i="28"/>
  <c r="I279" i="28"/>
  <c r="H279" i="28"/>
  <c r="B279" i="28"/>
  <c r="O278" i="28"/>
  <c r="N278" i="28"/>
  <c r="M278" i="28"/>
  <c r="L278" i="28"/>
  <c r="J278" i="28"/>
  <c r="I278" i="28"/>
  <c r="H278" i="28"/>
  <c r="B278" i="28"/>
  <c r="O277" i="28"/>
  <c r="N277" i="28"/>
  <c r="M277" i="28"/>
  <c r="L277" i="28"/>
  <c r="J277" i="28"/>
  <c r="I277" i="28"/>
  <c r="H277" i="28"/>
  <c r="B277" i="28"/>
  <c r="O276" i="28"/>
  <c r="N276" i="28"/>
  <c r="M276" i="28"/>
  <c r="L276" i="28"/>
  <c r="J276" i="28"/>
  <c r="I276" i="28"/>
  <c r="H276" i="28"/>
  <c r="B276" i="28"/>
  <c r="O275" i="28"/>
  <c r="N275" i="28"/>
  <c r="M275" i="28"/>
  <c r="L275" i="28"/>
  <c r="J275" i="28"/>
  <c r="I275" i="28"/>
  <c r="H275" i="28"/>
  <c r="B275" i="28"/>
  <c r="O274" i="28"/>
  <c r="N274" i="28"/>
  <c r="M274" i="28"/>
  <c r="L274" i="28"/>
  <c r="J274" i="28"/>
  <c r="I274" i="28"/>
  <c r="H274" i="28"/>
  <c r="B274" i="28"/>
  <c r="O273" i="28"/>
  <c r="N273" i="28"/>
  <c r="M273" i="28"/>
  <c r="L273" i="28"/>
  <c r="J273" i="28"/>
  <c r="I273" i="28"/>
  <c r="H273" i="28"/>
  <c r="B273" i="28"/>
  <c r="O272" i="28"/>
  <c r="N272" i="28"/>
  <c r="M272" i="28"/>
  <c r="L272" i="28"/>
  <c r="J272" i="28"/>
  <c r="I272" i="28"/>
  <c r="H272" i="28"/>
  <c r="B272" i="28"/>
  <c r="O271" i="28"/>
  <c r="N271" i="28"/>
  <c r="M271" i="28"/>
  <c r="L271" i="28"/>
  <c r="J271" i="28"/>
  <c r="I271" i="28"/>
  <c r="H271" i="28"/>
  <c r="B271" i="28"/>
  <c r="O270" i="28"/>
  <c r="N270" i="28"/>
  <c r="M270" i="28"/>
  <c r="L270" i="28"/>
  <c r="J270" i="28"/>
  <c r="I270" i="28"/>
  <c r="H270" i="28"/>
  <c r="B270" i="28"/>
  <c r="O269" i="28"/>
  <c r="N269" i="28"/>
  <c r="M269" i="28"/>
  <c r="L269" i="28"/>
  <c r="J269" i="28"/>
  <c r="I269" i="28"/>
  <c r="H269" i="28"/>
  <c r="B269" i="28"/>
  <c r="O268" i="28"/>
  <c r="N268" i="28"/>
  <c r="M268" i="28"/>
  <c r="L268" i="28"/>
  <c r="J268" i="28"/>
  <c r="I268" i="28"/>
  <c r="H268" i="28"/>
  <c r="B268" i="28"/>
  <c r="O267" i="28"/>
  <c r="N267" i="28"/>
  <c r="M267" i="28"/>
  <c r="L267" i="28"/>
  <c r="J267" i="28"/>
  <c r="I267" i="28"/>
  <c r="H267" i="28"/>
  <c r="B267" i="28"/>
  <c r="O266" i="28"/>
  <c r="N266" i="28"/>
  <c r="M266" i="28"/>
  <c r="L266" i="28"/>
  <c r="J266" i="28"/>
  <c r="I266" i="28"/>
  <c r="H266" i="28"/>
  <c r="B266" i="28"/>
  <c r="O265" i="28"/>
  <c r="N265" i="28"/>
  <c r="M265" i="28"/>
  <c r="L265" i="28"/>
  <c r="J265" i="28"/>
  <c r="I265" i="28"/>
  <c r="H265" i="28"/>
  <c r="B265" i="28"/>
  <c r="O264" i="28"/>
  <c r="N264" i="28"/>
  <c r="M264" i="28"/>
  <c r="L264" i="28"/>
  <c r="J264" i="28"/>
  <c r="I264" i="28"/>
  <c r="H264" i="28"/>
  <c r="B264" i="28"/>
  <c r="O263" i="28"/>
  <c r="N263" i="28"/>
  <c r="M263" i="28"/>
  <c r="L263" i="28"/>
  <c r="J263" i="28"/>
  <c r="I263" i="28"/>
  <c r="H263" i="28"/>
  <c r="B263" i="28"/>
  <c r="O262" i="28"/>
  <c r="N262" i="28"/>
  <c r="M262" i="28"/>
  <c r="L262" i="28"/>
  <c r="J262" i="28"/>
  <c r="I262" i="28"/>
  <c r="H262" i="28"/>
  <c r="B262" i="28"/>
  <c r="O261" i="28"/>
  <c r="N261" i="28"/>
  <c r="M261" i="28"/>
  <c r="L261" i="28"/>
  <c r="J261" i="28"/>
  <c r="I261" i="28"/>
  <c r="H261" i="28"/>
  <c r="B261" i="28"/>
  <c r="O260" i="28"/>
  <c r="N260" i="28"/>
  <c r="M260" i="28"/>
  <c r="L260" i="28"/>
  <c r="J260" i="28"/>
  <c r="I260" i="28"/>
  <c r="H260" i="28"/>
  <c r="B260" i="28"/>
  <c r="O259" i="28"/>
  <c r="N259" i="28"/>
  <c r="M259" i="28"/>
  <c r="L259" i="28"/>
  <c r="J259" i="28"/>
  <c r="I259" i="28"/>
  <c r="H259" i="28"/>
  <c r="B259" i="28"/>
  <c r="O258" i="28"/>
  <c r="N258" i="28"/>
  <c r="M258" i="28"/>
  <c r="L258" i="28"/>
  <c r="J258" i="28"/>
  <c r="I258" i="28"/>
  <c r="H258" i="28"/>
  <c r="B258" i="28"/>
  <c r="O257" i="28"/>
  <c r="N257" i="28"/>
  <c r="M257" i="28"/>
  <c r="L257" i="28"/>
  <c r="J257" i="28"/>
  <c r="I257" i="28"/>
  <c r="H257" i="28"/>
  <c r="B257" i="28"/>
  <c r="O256" i="28"/>
  <c r="N256" i="28"/>
  <c r="M256" i="28"/>
  <c r="L256" i="28"/>
  <c r="J256" i="28"/>
  <c r="I256" i="28"/>
  <c r="H256" i="28"/>
  <c r="B256" i="28"/>
  <c r="O255" i="28"/>
  <c r="N255" i="28"/>
  <c r="M255" i="28"/>
  <c r="L255" i="28"/>
  <c r="J255" i="28"/>
  <c r="I255" i="28"/>
  <c r="H255" i="28"/>
  <c r="B255" i="28"/>
  <c r="O254" i="28"/>
  <c r="N254" i="28"/>
  <c r="M254" i="28"/>
  <c r="L254" i="28"/>
  <c r="J254" i="28"/>
  <c r="I254" i="28"/>
  <c r="H254" i="28"/>
  <c r="B254" i="28"/>
  <c r="O253" i="28"/>
  <c r="N253" i="28"/>
  <c r="M253" i="28"/>
  <c r="L253" i="28"/>
  <c r="J253" i="28"/>
  <c r="I253" i="28"/>
  <c r="H253" i="28"/>
  <c r="B253" i="28"/>
  <c r="O252" i="28"/>
  <c r="N252" i="28"/>
  <c r="M252" i="28"/>
  <c r="L252" i="28"/>
  <c r="J252" i="28"/>
  <c r="I252" i="28"/>
  <c r="H252" i="28"/>
  <c r="B252" i="28"/>
  <c r="O251" i="28"/>
  <c r="N251" i="28"/>
  <c r="M251" i="28"/>
  <c r="L251" i="28"/>
  <c r="J251" i="28"/>
  <c r="I251" i="28"/>
  <c r="H251" i="28"/>
  <c r="B251" i="28"/>
  <c r="O250" i="28"/>
  <c r="N250" i="28"/>
  <c r="M250" i="28"/>
  <c r="L250" i="28"/>
  <c r="J250" i="28"/>
  <c r="I250" i="28"/>
  <c r="H250" i="28"/>
  <c r="B250" i="28"/>
  <c r="O249" i="28"/>
  <c r="N249" i="28"/>
  <c r="M249" i="28"/>
  <c r="L249" i="28"/>
  <c r="J249" i="28"/>
  <c r="I249" i="28"/>
  <c r="H249" i="28"/>
  <c r="B249" i="28"/>
  <c r="O248" i="28"/>
  <c r="N248" i="28"/>
  <c r="M248" i="28"/>
  <c r="L248" i="28"/>
  <c r="J248" i="28"/>
  <c r="I248" i="28"/>
  <c r="H248" i="28"/>
  <c r="B248" i="28"/>
  <c r="O247" i="28"/>
  <c r="N247" i="28"/>
  <c r="M247" i="28"/>
  <c r="L247" i="28"/>
  <c r="J247" i="28"/>
  <c r="I247" i="28"/>
  <c r="H247" i="28"/>
  <c r="B247" i="28"/>
  <c r="O246" i="28"/>
  <c r="N246" i="28"/>
  <c r="M246" i="28"/>
  <c r="L246" i="28"/>
  <c r="J246" i="28"/>
  <c r="I246" i="28"/>
  <c r="H246" i="28"/>
  <c r="B246" i="28"/>
  <c r="O245" i="28"/>
  <c r="N245" i="28"/>
  <c r="M245" i="28"/>
  <c r="L245" i="28"/>
  <c r="J245" i="28"/>
  <c r="I245" i="28"/>
  <c r="H245" i="28"/>
  <c r="B245" i="28"/>
  <c r="O244" i="28"/>
  <c r="N244" i="28"/>
  <c r="M244" i="28"/>
  <c r="L244" i="28"/>
  <c r="J244" i="28"/>
  <c r="I244" i="28"/>
  <c r="H244" i="28"/>
  <c r="B244" i="28"/>
  <c r="O243" i="28"/>
  <c r="N243" i="28"/>
  <c r="M243" i="28"/>
  <c r="L243" i="28"/>
  <c r="J243" i="28"/>
  <c r="I243" i="28"/>
  <c r="H243" i="28"/>
  <c r="B243" i="28"/>
  <c r="O242" i="28"/>
  <c r="N242" i="28"/>
  <c r="M242" i="28"/>
  <c r="L242" i="28"/>
  <c r="J242" i="28"/>
  <c r="I242" i="28"/>
  <c r="H242" i="28"/>
  <c r="B242" i="28"/>
  <c r="O241" i="28"/>
  <c r="N241" i="28"/>
  <c r="M241" i="28"/>
  <c r="L241" i="28"/>
  <c r="J241" i="28"/>
  <c r="I241" i="28"/>
  <c r="H241" i="28"/>
  <c r="B241" i="28"/>
  <c r="O240" i="28"/>
  <c r="N240" i="28"/>
  <c r="M240" i="28"/>
  <c r="L240" i="28"/>
  <c r="J240" i="28"/>
  <c r="I240" i="28"/>
  <c r="H240" i="28"/>
  <c r="B240" i="28"/>
  <c r="O239" i="28"/>
  <c r="N239" i="28"/>
  <c r="M239" i="28"/>
  <c r="L239" i="28"/>
  <c r="J239" i="28"/>
  <c r="I239" i="28"/>
  <c r="H239" i="28"/>
  <c r="B239" i="28"/>
  <c r="O238" i="28"/>
  <c r="N238" i="28"/>
  <c r="M238" i="28"/>
  <c r="L238" i="28"/>
  <c r="J238" i="28"/>
  <c r="I238" i="28"/>
  <c r="H238" i="28"/>
  <c r="B238" i="28"/>
  <c r="O237" i="28"/>
  <c r="N237" i="28"/>
  <c r="M237" i="28"/>
  <c r="L237" i="28"/>
  <c r="J237" i="28"/>
  <c r="I237" i="28"/>
  <c r="H237" i="28"/>
  <c r="B237" i="28"/>
  <c r="O236" i="28"/>
  <c r="N236" i="28"/>
  <c r="M236" i="28"/>
  <c r="L236" i="28"/>
  <c r="J236" i="28"/>
  <c r="I236" i="28"/>
  <c r="H236" i="28"/>
  <c r="B236" i="28"/>
  <c r="O235" i="28"/>
  <c r="N235" i="28"/>
  <c r="M235" i="28"/>
  <c r="L235" i="28"/>
  <c r="J235" i="28"/>
  <c r="I235" i="28"/>
  <c r="H235" i="28"/>
  <c r="B235" i="28"/>
  <c r="O234" i="28"/>
  <c r="N234" i="28"/>
  <c r="M234" i="28"/>
  <c r="L234" i="28"/>
  <c r="J234" i="28"/>
  <c r="I234" i="28"/>
  <c r="H234" i="28"/>
  <c r="B234" i="28"/>
  <c r="O233" i="28"/>
  <c r="N233" i="28"/>
  <c r="M233" i="28"/>
  <c r="L233" i="28"/>
  <c r="J233" i="28"/>
  <c r="I233" i="28"/>
  <c r="H233" i="28"/>
  <c r="B233" i="28"/>
  <c r="O232" i="28"/>
  <c r="N232" i="28"/>
  <c r="M232" i="28"/>
  <c r="L232" i="28"/>
  <c r="J232" i="28"/>
  <c r="I232" i="28"/>
  <c r="H232" i="28"/>
  <c r="B232" i="28"/>
  <c r="O231" i="28"/>
  <c r="N231" i="28"/>
  <c r="M231" i="28"/>
  <c r="L231" i="28"/>
  <c r="J231" i="28"/>
  <c r="I231" i="28"/>
  <c r="H231" i="28"/>
  <c r="B231" i="28"/>
  <c r="O230" i="28"/>
  <c r="N230" i="28"/>
  <c r="M230" i="28"/>
  <c r="L230" i="28"/>
  <c r="J230" i="28"/>
  <c r="I230" i="28"/>
  <c r="H230" i="28"/>
  <c r="B230" i="28"/>
  <c r="O229" i="28"/>
  <c r="N229" i="28"/>
  <c r="M229" i="28"/>
  <c r="L229" i="28"/>
  <c r="J229" i="28"/>
  <c r="I229" i="28"/>
  <c r="H229" i="28"/>
  <c r="B229" i="28"/>
  <c r="O228" i="28"/>
  <c r="N228" i="28"/>
  <c r="M228" i="28"/>
  <c r="L228" i="28"/>
  <c r="J228" i="28"/>
  <c r="I228" i="28"/>
  <c r="H228" i="28"/>
  <c r="B228" i="28"/>
  <c r="O227" i="28"/>
  <c r="N227" i="28"/>
  <c r="M227" i="28"/>
  <c r="L227" i="28"/>
  <c r="J227" i="28"/>
  <c r="I227" i="28"/>
  <c r="H227" i="28"/>
  <c r="B227" i="28"/>
  <c r="O226" i="28"/>
  <c r="N226" i="28"/>
  <c r="M226" i="28"/>
  <c r="L226" i="28"/>
  <c r="J226" i="28"/>
  <c r="I226" i="28"/>
  <c r="H226" i="28"/>
  <c r="B226" i="28"/>
  <c r="O225" i="28"/>
  <c r="N225" i="28"/>
  <c r="M225" i="28"/>
  <c r="L225" i="28"/>
  <c r="J225" i="28"/>
  <c r="I225" i="28"/>
  <c r="H225" i="28"/>
  <c r="B225" i="28"/>
  <c r="O224" i="28"/>
  <c r="N224" i="28"/>
  <c r="M224" i="28"/>
  <c r="L224" i="28"/>
  <c r="J224" i="28"/>
  <c r="I224" i="28"/>
  <c r="H224" i="28"/>
  <c r="B224" i="28"/>
  <c r="O223" i="28"/>
  <c r="N223" i="28"/>
  <c r="M223" i="28"/>
  <c r="L223" i="28"/>
  <c r="J223" i="28"/>
  <c r="I223" i="28"/>
  <c r="H223" i="28"/>
  <c r="B223" i="28"/>
  <c r="O222" i="28"/>
  <c r="N222" i="28"/>
  <c r="M222" i="28"/>
  <c r="L222" i="28"/>
  <c r="J222" i="28"/>
  <c r="I222" i="28"/>
  <c r="H222" i="28"/>
  <c r="B222" i="28"/>
  <c r="O221" i="28"/>
  <c r="N221" i="28"/>
  <c r="M221" i="28"/>
  <c r="L221" i="28"/>
  <c r="J221" i="28"/>
  <c r="I221" i="28"/>
  <c r="H221" i="28"/>
  <c r="B221" i="28"/>
  <c r="O220" i="28"/>
  <c r="N220" i="28"/>
  <c r="M220" i="28"/>
  <c r="L220" i="28"/>
  <c r="J220" i="28"/>
  <c r="I220" i="28"/>
  <c r="H220" i="28"/>
  <c r="B220" i="28"/>
  <c r="O219" i="28"/>
  <c r="N219" i="28"/>
  <c r="M219" i="28"/>
  <c r="L219" i="28"/>
  <c r="J219" i="28"/>
  <c r="I219" i="28"/>
  <c r="H219" i="28"/>
  <c r="B219" i="28"/>
  <c r="O218" i="28"/>
  <c r="N218" i="28"/>
  <c r="M218" i="28"/>
  <c r="L218" i="28"/>
  <c r="J218" i="28"/>
  <c r="I218" i="28"/>
  <c r="H218" i="28"/>
  <c r="B218" i="28"/>
  <c r="O217" i="28"/>
  <c r="N217" i="28"/>
  <c r="M217" i="28"/>
  <c r="L217" i="28"/>
  <c r="J217" i="28"/>
  <c r="I217" i="28"/>
  <c r="H217" i="28"/>
  <c r="B217" i="28"/>
  <c r="O216" i="28"/>
  <c r="N216" i="28"/>
  <c r="M216" i="28"/>
  <c r="L216" i="28"/>
  <c r="J216" i="28"/>
  <c r="I216" i="28"/>
  <c r="H216" i="28"/>
  <c r="B216" i="28"/>
  <c r="O215" i="28"/>
  <c r="N215" i="28"/>
  <c r="M215" i="28"/>
  <c r="L215" i="28"/>
  <c r="J215" i="28"/>
  <c r="I215" i="28"/>
  <c r="H215" i="28"/>
  <c r="B215" i="28"/>
  <c r="O214" i="28"/>
  <c r="N214" i="28"/>
  <c r="M214" i="28"/>
  <c r="L214" i="28"/>
  <c r="J214" i="28"/>
  <c r="I214" i="28"/>
  <c r="H214" i="28"/>
  <c r="B214" i="28"/>
  <c r="O213" i="28"/>
  <c r="N213" i="28"/>
  <c r="M213" i="28"/>
  <c r="L213" i="28"/>
  <c r="J213" i="28"/>
  <c r="I213" i="28"/>
  <c r="H213" i="28"/>
  <c r="B213" i="28"/>
  <c r="O212" i="28"/>
  <c r="N212" i="28"/>
  <c r="M212" i="28"/>
  <c r="L212" i="28"/>
  <c r="J212" i="28"/>
  <c r="I212" i="28"/>
  <c r="H212" i="28"/>
  <c r="B212" i="28"/>
  <c r="O211" i="28"/>
  <c r="N211" i="28"/>
  <c r="M211" i="28"/>
  <c r="L211" i="28"/>
  <c r="J211" i="28"/>
  <c r="I211" i="28"/>
  <c r="H211" i="28"/>
  <c r="B211" i="28"/>
  <c r="O210" i="28"/>
  <c r="N210" i="28"/>
  <c r="M210" i="28"/>
  <c r="L210" i="28"/>
  <c r="J210" i="28"/>
  <c r="I210" i="28"/>
  <c r="H210" i="28"/>
  <c r="B210" i="28"/>
  <c r="O209" i="28"/>
  <c r="N209" i="28"/>
  <c r="M209" i="28"/>
  <c r="L209" i="28"/>
  <c r="J209" i="28"/>
  <c r="I209" i="28"/>
  <c r="H209" i="28"/>
  <c r="B209" i="28"/>
  <c r="O208" i="28"/>
  <c r="N208" i="28"/>
  <c r="M208" i="28"/>
  <c r="L208" i="28"/>
  <c r="J208" i="28"/>
  <c r="I208" i="28"/>
  <c r="H208" i="28"/>
  <c r="B208" i="28"/>
  <c r="O207" i="28"/>
  <c r="N207" i="28"/>
  <c r="M207" i="28"/>
  <c r="L207" i="28"/>
  <c r="J207" i="28"/>
  <c r="I207" i="28"/>
  <c r="H207" i="28"/>
  <c r="B207" i="28"/>
  <c r="O206" i="28"/>
  <c r="N206" i="28"/>
  <c r="M206" i="28"/>
  <c r="L206" i="28"/>
  <c r="J206" i="28"/>
  <c r="I206" i="28"/>
  <c r="H206" i="28"/>
  <c r="B206" i="28"/>
  <c r="O205" i="28"/>
  <c r="N205" i="28"/>
  <c r="M205" i="28"/>
  <c r="L205" i="28"/>
  <c r="J205" i="28"/>
  <c r="I205" i="28"/>
  <c r="H205" i="28"/>
  <c r="B205" i="28"/>
  <c r="O204" i="28"/>
  <c r="N204" i="28"/>
  <c r="M204" i="28"/>
  <c r="L204" i="28"/>
  <c r="J204" i="28"/>
  <c r="I204" i="28"/>
  <c r="H204" i="28"/>
  <c r="B204" i="28"/>
  <c r="O203" i="28"/>
  <c r="N203" i="28"/>
  <c r="M203" i="28"/>
  <c r="L203" i="28"/>
  <c r="J203" i="28"/>
  <c r="I203" i="28"/>
  <c r="H203" i="28"/>
  <c r="B203" i="28"/>
  <c r="O202" i="28"/>
  <c r="N202" i="28"/>
  <c r="M202" i="28"/>
  <c r="L202" i="28"/>
  <c r="J202" i="28"/>
  <c r="I202" i="28"/>
  <c r="H202" i="28"/>
  <c r="B202" i="28"/>
  <c r="O201" i="28"/>
  <c r="N201" i="28"/>
  <c r="M201" i="28"/>
  <c r="L201" i="28"/>
  <c r="J201" i="28"/>
  <c r="I201" i="28"/>
  <c r="H201" i="28"/>
  <c r="B201" i="28"/>
  <c r="O200" i="28"/>
  <c r="N200" i="28"/>
  <c r="M200" i="28"/>
  <c r="L200" i="28"/>
  <c r="J200" i="28"/>
  <c r="I200" i="28"/>
  <c r="H200" i="28"/>
  <c r="B200" i="28"/>
  <c r="O199" i="28"/>
  <c r="N199" i="28"/>
  <c r="M199" i="28"/>
  <c r="L199" i="28"/>
  <c r="J199" i="28"/>
  <c r="I199" i="28"/>
  <c r="H199" i="28"/>
  <c r="B199" i="28"/>
  <c r="O198" i="28"/>
  <c r="N198" i="28"/>
  <c r="M198" i="28"/>
  <c r="L198" i="28"/>
  <c r="J198" i="28"/>
  <c r="I198" i="28"/>
  <c r="H198" i="28"/>
  <c r="B198" i="28"/>
  <c r="O197" i="28"/>
  <c r="N197" i="28"/>
  <c r="M197" i="28"/>
  <c r="L197" i="28"/>
  <c r="J197" i="28"/>
  <c r="I197" i="28"/>
  <c r="H197" i="28"/>
  <c r="B197" i="28"/>
  <c r="O196" i="28"/>
  <c r="N196" i="28"/>
  <c r="M196" i="28"/>
  <c r="L196" i="28"/>
  <c r="J196" i="28"/>
  <c r="I196" i="28"/>
  <c r="H196" i="28"/>
  <c r="B196" i="28"/>
  <c r="O195" i="28"/>
  <c r="N195" i="28"/>
  <c r="M195" i="28"/>
  <c r="L195" i="28"/>
  <c r="J195" i="28"/>
  <c r="I195" i="28"/>
  <c r="H195" i="28"/>
  <c r="B195" i="28"/>
  <c r="O194" i="28"/>
  <c r="N194" i="28"/>
  <c r="M194" i="28"/>
  <c r="L194" i="28"/>
  <c r="J194" i="28"/>
  <c r="I194" i="28"/>
  <c r="H194" i="28"/>
  <c r="B194" i="28"/>
  <c r="O193" i="28"/>
  <c r="N193" i="28"/>
  <c r="M193" i="28"/>
  <c r="L193" i="28"/>
  <c r="J193" i="28"/>
  <c r="I193" i="28"/>
  <c r="H193" i="28"/>
  <c r="B193" i="28"/>
  <c r="O192" i="28"/>
  <c r="N192" i="28"/>
  <c r="M192" i="28"/>
  <c r="L192" i="28"/>
  <c r="J192" i="28"/>
  <c r="I192" i="28"/>
  <c r="H192" i="28"/>
  <c r="B192" i="28"/>
  <c r="O191" i="28"/>
  <c r="N191" i="28"/>
  <c r="M191" i="28"/>
  <c r="L191" i="28"/>
  <c r="J191" i="28"/>
  <c r="I191" i="28"/>
  <c r="H191" i="28"/>
  <c r="B191" i="28"/>
  <c r="O190" i="28"/>
  <c r="N190" i="28"/>
  <c r="M190" i="28"/>
  <c r="L190" i="28"/>
  <c r="J190" i="28"/>
  <c r="I190" i="28"/>
  <c r="H190" i="28"/>
  <c r="B190" i="28"/>
  <c r="O189" i="28"/>
  <c r="N189" i="28"/>
  <c r="M189" i="28"/>
  <c r="L189" i="28"/>
  <c r="J189" i="28"/>
  <c r="I189" i="28"/>
  <c r="H189" i="28"/>
  <c r="B189" i="28"/>
  <c r="O188" i="28"/>
  <c r="N188" i="28"/>
  <c r="M188" i="28"/>
  <c r="L188" i="28"/>
  <c r="J188" i="28"/>
  <c r="I188" i="28"/>
  <c r="H188" i="28"/>
  <c r="B188" i="28"/>
  <c r="O187" i="28"/>
  <c r="N187" i="28"/>
  <c r="M187" i="28"/>
  <c r="L187" i="28"/>
  <c r="J187" i="28"/>
  <c r="I187" i="28"/>
  <c r="H187" i="28"/>
  <c r="B187" i="28"/>
  <c r="O186" i="28"/>
  <c r="N186" i="28"/>
  <c r="M186" i="28"/>
  <c r="L186" i="28"/>
  <c r="J186" i="28"/>
  <c r="I186" i="28"/>
  <c r="H186" i="28"/>
  <c r="B186" i="28"/>
  <c r="O185" i="28"/>
  <c r="N185" i="28"/>
  <c r="M185" i="28"/>
  <c r="L185" i="28"/>
  <c r="J185" i="28"/>
  <c r="I185" i="28"/>
  <c r="H185" i="28"/>
  <c r="B185" i="28"/>
  <c r="O184" i="28"/>
  <c r="N184" i="28"/>
  <c r="M184" i="28"/>
  <c r="L184" i="28"/>
  <c r="J184" i="28"/>
  <c r="I184" i="28"/>
  <c r="H184" i="28"/>
  <c r="B184" i="28"/>
  <c r="O183" i="28"/>
  <c r="N183" i="28"/>
  <c r="M183" i="28"/>
  <c r="L183" i="28"/>
  <c r="J183" i="28"/>
  <c r="I183" i="28"/>
  <c r="H183" i="28"/>
  <c r="B183" i="28"/>
  <c r="O182" i="28"/>
  <c r="N182" i="28"/>
  <c r="M182" i="28"/>
  <c r="L182" i="28"/>
  <c r="J182" i="28"/>
  <c r="I182" i="28"/>
  <c r="H182" i="28"/>
  <c r="B182" i="28"/>
  <c r="O181" i="28"/>
  <c r="N181" i="28"/>
  <c r="M181" i="28"/>
  <c r="L181" i="28"/>
  <c r="J181" i="28"/>
  <c r="I181" i="28"/>
  <c r="H181" i="28"/>
  <c r="B181" i="28"/>
  <c r="O180" i="28"/>
  <c r="N180" i="28"/>
  <c r="M180" i="28"/>
  <c r="L180" i="28"/>
  <c r="J180" i="28"/>
  <c r="I180" i="28"/>
  <c r="H180" i="28"/>
  <c r="B180" i="28"/>
  <c r="O179" i="28"/>
  <c r="N179" i="28"/>
  <c r="M179" i="28"/>
  <c r="L179" i="28"/>
  <c r="J179" i="28"/>
  <c r="I179" i="28"/>
  <c r="H179" i="28"/>
  <c r="B179" i="28"/>
  <c r="O178" i="28"/>
  <c r="N178" i="28"/>
  <c r="M178" i="28"/>
  <c r="L178" i="28"/>
  <c r="J178" i="28"/>
  <c r="I178" i="28"/>
  <c r="H178" i="28"/>
  <c r="B178" i="28"/>
  <c r="O177" i="28"/>
  <c r="N177" i="28"/>
  <c r="M177" i="28"/>
  <c r="L177" i="28"/>
  <c r="J177" i="28"/>
  <c r="I177" i="28"/>
  <c r="H177" i="28"/>
  <c r="B177" i="28"/>
  <c r="O176" i="28"/>
  <c r="N176" i="28"/>
  <c r="M176" i="28"/>
  <c r="L176" i="28"/>
  <c r="J176" i="28"/>
  <c r="I176" i="28"/>
  <c r="H176" i="28"/>
  <c r="B176" i="28"/>
  <c r="O175" i="28"/>
  <c r="N175" i="28"/>
  <c r="M175" i="28"/>
  <c r="L175" i="28"/>
  <c r="J175" i="28"/>
  <c r="I175" i="28"/>
  <c r="H175" i="28"/>
  <c r="B175" i="28"/>
  <c r="O174" i="28"/>
  <c r="N174" i="28"/>
  <c r="M174" i="28"/>
  <c r="L174" i="28"/>
  <c r="J174" i="28"/>
  <c r="I174" i="28"/>
  <c r="H174" i="28"/>
  <c r="B174" i="28"/>
  <c r="O173" i="28"/>
  <c r="N173" i="28"/>
  <c r="M173" i="28"/>
  <c r="L173" i="28"/>
  <c r="J173" i="28"/>
  <c r="I173" i="28"/>
  <c r="H173" i="28"/>
  <c r="B173" i="28"/>
  <c r="O172" i="28"/>
  <c r="N172" i="28"/>
  <c r="M172" i="28"/>
  <c r="L172" i="28"/>
  <c r="J172" i="28"/>
  <c r="I172" i="28"/>
  <c r="H172" i="28"/>
  <c r="B172" i="28"/>
  <c r="O171" i="28"/>
  <c r="N171" i="28"/>
  <c r="M171" i="28"/>
  <c r="L171" i="28"/>
  <c r="J171" i="28"/>
  <c r="I171" i="28"/>
  <c r="H171" i="28"/>
  <c r="B171" i="28"/>
  <c r="O170" i="28"/>
  <c r="N170" i="28"/>
  <c r="M170" i="28"/>
  <c r="L170" i="28"/>
  <c r="J170" i="28"/>
  <c r="I170" i="28"/>
  <c r="H170" i="28"/>
  <c r="B170" i="28"/>
  <c r="O169" i="28"/>
  <c r="N169" i="28"/>
  <c r="M169" i="28"/>
  <c r="L169" i="28"/>
  <c r="J169" i="28"/>
  <c r="I169" i="28"/>
  <c r="H169" i="28"/>
  <c r="B169" i="28"/>
  <c r="O168" i="28"/>
  <c r="N168" i="28"/>
  <c r="M168" i="28"/>
  <c r="L168" i="28"/>
  <c r="J168" i="28"/>
  <c r="I168" i="28"/>
  <c r="H168" i="28"/>
  <c r="B168" i="28"/>
  <c r="O167" i="28"/>
  <c r="N167" i="28"/>
  <c r="M167" i="28"/>
  <c r="L167" i="28"/>
  <c r="J167" i="28"/>
  <c r="I167" i="28"/>
  <c r="H167" i="28"/>
  <c r="B167" i="28"/>
  <c r="O166" i="28"/>
  <c r="N166" i="28"/>
  <c r="M166" i="28"/>
  <c r="L166" i="28"/>
  <c r="J166" i="28"/>
  <c r="I166" i="28"/>
  <c r="H166" i="28"/>
  <c r="B166" i="28"/>
  <c r="O165" i="28"/>
  <c r="N165" i="28"/>
  <c r="M165" i="28"/>
  <c r="L165" i="28"/>
  <c r="J165" i="28"/>
  <c r="I165" i="28"/>
  <c r="H165" i="28"/>
  <c r="B165" i="28"/>
  <c r="O164" i="28"/>
  <c r="N164" i="28"/>
  <c r="M164" i="28"/>
  <c r="L164" i="28"/>
  <c r="J164" i="28"/>
  <c r="I164" i="28"/>
  <c r="H164" i="28"/>
  <c r="B164" i="28"/>
  <c r="O163" i="28"/>
  <c r="N163" i="28"/>
  <c r="M163" i="28"/>
  <c r="L163" i="28"/>
  <c r="J163" i="28"/>
  <c r="I163" i="28"/>
  <c r="H163" i="28"/>
  <c r="B163" i="28"/>
  <c r="O162" i="28"/>
  <c r="N162" i="28"/>
  <c r="M162" i="28"/>
  <c r="L162" i="28"/>
  <c r="J162" i="28"/>
  <c r="I162" i="28"/>
  <c r="H162" i="28"/>
  <c r="B162" i="28"/>
  <c r="O161" i="28"/>
  <c r="N161" i="28"/>
  <c r="M161" i="28"/>
  <c r="L161" i="28"/>
  <c r="J161" i="28"/>
  <c r="I161" i="28"/>
  <c r="H161" i="28"/>
  <c r="B161" i="28"/>
  <c r="O160" i="28"/>
  <c r="N160" i="28"/>
  <c r="M160" i="28"/>
  <c r="L160" i="28"/>
  <c r="J160" i="28"/>
  <c r="I160" i="28"/>
  <c r="H160" i="28"/>
  <c r="B160" i="28"/>
  <c r="O159" i="28"/>
  <c r="N159" i="28"/>
  <c r="M159" i="28"/>
  <c r="L159" i="28"/>
  <c r="J159" i="28"/>
  <c r="I159" i="28"/>
  <c r="H159" i="28"/>
  <c r="B159" i="28"/>
  <c r="O158" i="28"/>
  <c r="N158" i="28"/>
  <c r="M158" i="28"/>
  <c r="L158" i="28"/>
  <c r="J158" i="28"/>
  <c r="I158" i="28"/>
  <c r="H158" i="28"/>
  <c r="B158" i="28"/>
  <c r="O157" i="28"/>
  <c r="N157" i="28"/>
  <c r="M157" i="28"/>
  <c r="L157" i="28"/>
  <c r="J157" i="28"/>
  <c r="I157" i="28"/>
  <c r="H157" i="28"/>
  <c r="B157" i="28"/>
  <c r="O156" i="28"/>
  <c r="N156" i="28"/>
  <c r="M156" i="28"/>
  <c r="L156" i="28"/>
  <c r="J156" i="28"/>
  <c r="I156" i="28"/>
  <c r="H156" i="28"/>
  <c r="B156" i="28"/>
  <c r="O155" i="28"/>
  <c r="N155" i="28"/>
  <c r="M155" i="28"/>
  <c r="L155" i="28"/>
  <c r="J155" i="28"/>
  <c r="I155" i="28"/>
  <c r="H155" i="28"/>
  <c r="B155" i="28"/>
  <c r="O154" i="28"/>
  <c r="N154" i="28"/>
  <c r="M154" i="28"/>
  <c r="L154" i="28"/>
  <c r="J154" i="28"/>
  <c r="I154" i="28"/>
  <c r="H154" i="28"/>
  <c r="B154" i="28"/>
  <c r="O153" i="28"/>
  <c r="N153" i="28"/>
  <c r="M153" i="28"/>
  <c r="L153" i="28"/>
  <c r="J153" i="28"/>
  <c r="I153" i="28"/>
  <c r="H153" i="28"/>
  <c r="B153" i="28"/>
  <c r="O152" i="28"/>
  <c r="N152" i="28"/>
  <c r="M152" i="28"/>
  <c r="L152" i="28"/>
  <c r="J152" i="28"/>
  <c r="I152" i="28"/>
  <c r="H152" i="28"/>
  <c r="B152" i="28"/>
  <c r="O151" i="28"/>
  <c r="N151" i="28"/>
  <c r="M151" i="28"/>
  <c r="L151" i="28"/>
  <c r="J151" i="28"/>
  <c r="I151" i="28"/>
  <c r="H151" i="28"/>
  <c r="B151" i="28"/>
  <c r="O150" i="28"/>
  <c r="N150" i="28"/>
  <c r="M150" i="28"/>
  <c r="L150" i="28"/>
  <c r="J150" i="28"/>
  <c r="I150" i="28"/>
  <c r="H150" i="28"/>
  <c r="B150" i="28"/>
  <c r="O149" i="28"/>
  <c r="N149" i="28"/>
  <c r="M149" i="28"/>
  <c r="L149" i="28"/>
  <c r="J149" i="28"/>
  <c r="I149" i="28"/>
  <c r="H149" i="28"/>
  <c r="B149" i="28"/>
  <c r="O148" i="28"/>
  <c r="N148" i="28"/>
  <c r="M148" i="28"/>
  <c r="L148" i="28"/>
  <c r="J148" i="28"/>
  <c r="I148" i="28"/>
  <c r="H148" i="28"/>
  <c r="B148" i="28"/>
  <c r="O147" i="28"/>
  <c r="N147" i="28"/>
  <c r="M147" i="28"/>
  <c r="L147" i="28"/>
  <c r="J147" i="28"/>
  <c r="I147" i="28"/>
  <c r="H147" i="28"/>
  <c r="B147" i="28"/>
  <c r="O146" i="28"/>
  <c r="N146" i="28"/>
  <c r="M146" i="28"/>
  <c r="L146" i="28"/>
  <c r="J146" i="28"/>
  <c r="I146" i="28"/>
  <c r="H146" i="28"/>
  <c r="B146" i="28"/>
  <c r="O145" i="28"/>
  <c r="N145" i="28"/>
  <c r="M145" i="28"/>
  <c r="L145" i="28"/>
  <c r="J145" i="28"/>
  <c r="I145" i="28"/>
  <c r="H145" i="28"/>
  <c r="B145" i="28"/>
  <c r="O144" i="28"/>
  <c r="N144" i="28"/>
  <c r="M144" i="28"/>
  <c r="L144" i="28"/>
  <c r="J144" i="28"/>
  <c r="I144" i="28"/>
  <c r="H144" i="28"/>
  <c r="B144" i="28"/>
  <c r="O143" i="28"/>
  <c r="N143" i="28"/>
  <c r="M143" i="28"/>
  <c r="L143" i="28"/>
  <c r="J143" i="28"/>
  <c r="I143" i="28"/>
  <c r="H143" i="28"/>
  <c r="B143" i="28"/>
  <c r="O142" i="28"/>
  <c r="N142" i="28"/>
  <c r="M142" i="28"/>
  <c r="L142" i="28"/>
  <c r="J142" i="28"/>
  <c r="I142" i="28"/>
  <c r="H142" i="28"/>
  <c r="B142" i="28"/>
  <c r="O141" i="28"/>
  <c r="N141" i="28"/>
  <c r="M141" i="28"/>
  <c r="L141" i="28"/>
  <c r="J141" i="28"/>
  <c r="I141" i="28"/>
  <c r="H141" i="28"/>
  <c r="B141" i="28"/>
  <c r="O140" i="28"/>
  <c r="N140" i="28"/>
  <c r="M140" i="28"/>
  <c r="L140" i="28"/>
  <c r="J140" i="28"/>
  <c r="I140" i="28"/>
  <c r="H140" i="28"/>
  <c r="B140" i="28"/>
  <c r="O139" i="28"/>
  <c r="N139" i="28"/>
  <c r="M139" i="28"/>
  <c r="L139" i="28"/>
  <c r="J139" i="28"/>
  <c r="I139" i="28"/>
  <c r="H139" i="28"/>
  <c r="B139" i="28"/>
  <c r="O138" i="28"/>
  <c r="N138" i="28"/>
  <c r="M138" i="28"/>
  <c r="L138" i="28"/>
  <c r="J138" i="28"/>
  <c r="I138" i="28"/>
  <c r="H138" i="28"/>
  <c r="B138" i="28"/>
  <c r="O137" i="28"/>
  <c r="N137" i="28"/>
  <c r="M137" i="28"/>
  <c r="L137" i="28"/>
  <c r="J137" i="28"/>
  <c r="I137" i="28"/>
  <c r="H137" i="28"/>
  <c r="B137" i="28"/>
  <c r="O136" i="28"/>
  <c r="N136" i="28"/>
  <c r="M136" i="28"/>
  <c r="L136" i="28"/>
  <c r="J136" i="28"/>
  <c r="I136" i="28"/>
  <c r="H136" i="28"/>
  <c r="B136" i="28"/>
  <c r="O135" i="28"/>
  <c r="N135" i="28"/>
  <c r="M135" i="28"/>
  <c r="L135" i="28"/>
  <c r="J135" i="28"/>
  <c r="I135" i="28"/>
  <c r="H135" i="28"/>
  <c r="B135" i="28"/>
  <c r="O134" i="28"/>
  <c r="N134" i="28"/>
  <c r="M134" i="28"/>
  <c r="L134" i="28"/>
  <c r="J134" i="28"/>
  <c r="I134" i="28"/>
  <c r="H134" i="28"/>
  <c r="B134" i="28"/>
  <c r="O133" i="28"/>
  <c r="N133" i="28"/>
  <c r="M133" i="28"/>
  <c r="L133" i="28"/>
  <c r="J133" i="28"/>
  <c r="I133" i="28"/>
  <c r="H133" i="28"/>
  <c r="B133" i="28"/>
  <c r="O132" i="28"/>
  <c r="N132" i="28"/>
  <c r="M132" i="28"/>
  <c r="L132" i="28"/>
  <c r="J132" i="28"/>
  <c r="I132" i="28"/>
  <c r="H132" i="28"/>
  <c r="B132" i="28"/>
  <c r="O131" i="28"/>
  <c r="N131" i="28"/>
  <c r="M131" i="28"/>
  <c r="L131" i="28"/>
  <c r="J131" i="28"/>
  <c r="I131" i="28"/>
  <c r="H131" i="28"/>
  <c r="B131" i="28"/>
  <c r="O130" i="28"/>
  <c r="N130" i="28"/>
  <c r="M130" i="28"/>
  <c r="L130" i="28"/>
  <c r="J130" i="28"/>
  <c r="I130" i="28"/>
  <c r="H130" i="28"/>
  <c r="B130" i="28"/>
  <c r="O129" i="28"/>
  <c r="N129" i="28"/>
  <c r="M129" i="28"/>
  <c r="L129" i="28"/>
  <c r="J129" i="28"/>
  <c r="I129" i="28"/>
  <c r="H129" i="28"/>
  <c r="B129" i="28"/>
  <c r="O128" i="28"/>
  <c r="N128" i="28"/>
  <c r="M128" i="28"/>
  <c r="L128" i="28"/>
  <c r="J128" i="28"/>
  <c r="I128" i="28"/>
  <c r="H128" i="28"/>
  <c r="B128" i="28"/>
  <c r="O127" i="28"/>
  <c r="N127" i="28"/>
  <c r="M127" i="28"/>
  <c r="L127" i="28"/>
  <c r="J127" i="28"/>
  <c r="I127" i="28"/>
  <c r="H127" i="28"/>
  <c r="B127" i="28"/>
  <c r="O126" i="28"/>
  <c r="N126" i="28"/>
  <c r="M126" i="28"/>
  <c r="L126" i="28"/>
  <c r="J126" i="28"/>
  <c r="I126" i="28"/>
  <c r="H126" i="28"/>
  <c r="B126" i="28"/>
  <c r="O125" i="28"/>
  <c r="N125" i="28"/>
  <c r="M125" i="28"/>
  <c r="L125" i="28"/>
  <c r="J125" i="28"/>
  <c r="I125" i="28"/>
  <c r="H125" i="28"/>
  <c r="B125" i="28"/>
  <c r="O124" i="28"/>
  <c r="N124" i="28"/>
  <c r="M124" i="28"/>
  <c r="L124" i="28"/>
  <c r="J124" i="28"/>
  <c r="I124" i="28"/>
  <c r="H124" i="28"/>
  <c r="B124" i="28"/>
  <c r="O123" i="28"/>
  <c r="N123" i="28"/>
  <c r="M123" i="28"/>
  <c r="L123" i="28"/>
  <c r="J123" i="28"/>
  <c r="I123" i="28"/>
  <c r="H123" i="28"/>
  <c r="B123" i="28"/>
  <c r="O122" i="28"/>
  <c r="N122" i="28"/>
  <c r="M122" i="28"/>
  <c r="L122" i="28"/>
  <c r="J122" i="28"/>
  <c r="I122" i="28"/>
  <c r="H122" i="28"/>
  <c r="B122" i="28"/>
  <c r="O121" i="28"/>
  <c r="N121" i="28"/>
  <c r="M121" i="28"/>
  <c r="L121" i="28"/>
  <c r="J121" i="28"/>
  <c r="I121" i="28"/>
  <c r="H121" i="28"/>
  <c r="B121" i="28"/>
  <c r="O120" i="28"/>
  <c r="N120" i="28"/>
  <c r="M120" i="28"/>
  <c r="L120" i="28"/>
  <c r="J120" i="28"/>
  <c r="I120" i="28"/>
  <c r="H120" i="28"/>
  <c r="B120" i="28"/>
  <c r="O119" i="28"/>
  <c r="N119" i="28"/>
  <c r="M119" i="28"/>
  <c r="L119" i="28"/>
  <c r="J119" i="28"/>
  <c r="I119" i="28"/>
  <c r="H119" i="28"/>
  <c r="B119" i="28"/>
  <c r="O118" i="28"/>
  <c r="N118" i="28"/>
  <c r="M118" i="28"/>
  <c r="L118" i="28"/>
  <c r="J118" i="28"/>
  <c r="I118" i="28"/>
  <c r="H118" i="28"/>
  <c r="B118" i="28"/>
  <c r="O117" i="28"/>
  <c r="N117" i="28"/>
  <c r="M117" i="28"/>
  <c r="L117" i="28"/>
  <c r="J117" i="28"/>
  <c r="I117" i="28"/>
  <c r="H117" i="28"/>
  <c r="B117" i="28"/>
  <c r="O116" i="28"/>
  <c r="N116" i="28"/>
  <c r="M116" i="28"/>
  <c r="L116" i="28"/>
  <c r="J116" i="28"/>
  <c r="I116" i="28"/>
  <c r="H116" i="28"/>
  <c r="B116" i="28"/>
  <c r="O115" i="28"/>
  <c r="N115" i="28"/>
  <c r="M115" i="28"/>
  <c r="L115" i="28"/>
  <c r="J115" i="28"/>
  <c r="I115" i="28"/>
  <c r="H115" i="28"/>
  <c r="B115" i="28"/>
  <c r="O114" i="28"/>
  <c r="N114" i="28"/>
  <c r="M114" i="28"/>
  <c r="L114" i="28"/>
  <c r="J114" i="28"/>
  <c r="I114" i="28"/>
  <c r="H114" i="28"/>
  <c r="B114" i="28"/>
  <c r="O113" i="28"/>
  <c r="N113" i="28"/>
  <c r="M113" i="28"/>
  <c r="L113" i="28"/>
  <c r="J113" i="28"/>
  <c r="I113" i="28"/>
  <c r="H113" i="28"/>
  <c r="B113" i="28"/>
  <c r="O112" i="28"/>
  <c r="N112" i="28"/>
  <c r="M112" i="28"/>
  <c r="L112" i="28"/>
  <c r="J112" i="28"/>
  <c r="I112" i="28"/>
  <c r="H112" i="28"/>
  <c r="B112" i="28"/>
  <c r="O111" i="28"/>
  <c r="N111" i="28"/>
  <c r="M111" i="28"/>
  <c r="L111" i="28"/>
  <c r="J111" i="28"/>
  <c r="I111" i="28"/>
  <c r="H111" i="28"/>
  <c r="B111" i="28"/>
  <c r="O110" i="28"/>
  <c r="N110" i="28"/>
  <c r="M110" i="28"/>
  <c r="L110" i="28"/>
  <c r="J110" i="28"/>
  <c r="I110" i="28"/>
  <c r="H110" i="28"/>
  <c r="B110" i="28"/>
  <c r="O109" i="28"/>
  <c r="N109" i="28"/>
  <c r="M109" i="28"/>
  <c r="L109" i="28"/>
  <c r="J109" i="28"/>
  <c r="I109" i="28"/>
  <c r="H109" i="28"/>
  <c r="B109" i="28"/>
  <c r="O108" i="28"/>
  <c r="N108" i="28"/>
  <c r="M108" i="28"/>
  <c r="L108" i="28"/>
  <c r="J108" i="28"/>
  <c r="I108" i="28"/>
  <c r="H108" i="28"/>
  <c r="B108" i="28"/>
  <c r="O107" i="28"/>
  <c r="N107" i="28"/>
  <c r="M107" i="28"/>
  <c r="L107" i="28"/>
  <c r="J107" i="28"/>
  <c r="I107" i="28"/>
  <c r="H107" i="28"/>
  <c r="B107" i="28"/>
  <c r="O106" i="28"/>
  <c r="N106" i="28"/>
  <c r="M106" i="28"/>
  <c r="L106" i="28"/>
  <c r="J106" i="28"/>
  <c r="I106" i="28"/>
  <c r="H106" i="28"/>
  <c r="B106" i="28"/>
  <c r="O105" i="28"/>
  <c r="N105" i="28"/>
  <c r="M105" i="28"/>
  <c r="L105" i="28"/>
  <c r="J105" i="28"/>
  <c r="I105" i="28"/>
  <c r="H105" i="28"/>
  <c r="B105" i="28"/>
  <c r="O104" i="28"/>
  <c r="N104" i="28"/>
  <c r="M104" i="28"/>
  <c r="L104" i="28"/>
  <c r="J104" i="28"/>
  <c r="I104" i="28"/>
  <c r="H104" i="28"/>
  <c r="B104" i="28"/>
  <c r="O103" i="28"/>
  <c r="N103" i="28"/>
  <c r="M103" i="28"/>
  <c r="L103" i="28"/>
  <c r="J103" i="28"/>
  <c r="I103" i="28"/>
  <c r="H103" i="28"/>
  <c r="B103" i="28"/>
  <c r="O102" i="28"/>
  <c r="N102" i="28"/>
  <c r="M102" i="28"/>
  <c r="L102" i="28"/>
  <c r="J102" i="28"/>
  <c r="I102" i="28"/>
  <c r="H102" i="28"/>
  <c r="B102" i="28"/>
  <c r="O101" i="28"/>
  <c r="N101" i="28"/>
  <c r="M101" i="28"/>
  <c r="L101" i="28"/>
  <c r="J101" i="28"/>
  <c r="I101" i="28"/>
  <c r="H101" i="28"/>
  <c r="B101" i="28"/>
  <c r="O100" i="28"/>
  <c r="N100" i="28"/>
  <c r="M100" i="28"/>
  <c r="L100" i="28"/>
  <c r="J100" i="28"/>
  <c r="I100" i="28"/>
  <c r="H100" i="28"/>
  <c r="B100" i="28"/>
  <c r="O99" i="28"/>
  <c r="N99" i="28"/>
  <c r="M99" i="28"/>
  <c r="L99" i="28"/>
  <c r="J99" i="28"/>
  <c r="I99" i="28"/>
  <c r="H99" i="28"/>
  <c r="B99" i="28"/>
  <c r="O98" i="28"/>
  <c r="N98" i="28"/>
  <c r="M98" i="28"/>
  <c r="L98" i="28"/>
  <c r="J98" i="28"/>
  <c r="I98" i="28"/>
  <c r="H98" i="28"/>
  <c r="B98" i="28"/>
  <c r="O97" i="28"/>
  <c r="N97" i="28"/>
  <c r="M97" i="28"/>
  <c r="L97" i="28"/>
  <c r="J97" i="28"/>
  <c r="I97" i="28"/>
  <c r="H97" i="28"/>
  <c r="B97" i="28"/>
  <c r="O96" i="28"/>
  <c r="N96" i="28"/>
  <c r="M96" i="28"/>
  <c r="L96" i="28"/>
  <c r="J96" i="28"/>
  <c r="I96" i="28"/>
  <c r="H96" i="28"/>
  <c r="B96" i="28"/>
  <c r="O95" i="28"/>
  <c r="N95" i="28"/>
  <c r="M95" i="28"/>
  <c r="L95" i="28"/>
  <c r="J95" i="28"/>
  <c r="I95" i="28"/>
  <c r="H95" i="28"/>
  <c r="B95" i="28"/>
  <c r="O94" i="28"/>
  <c r="N94" i="28"/>
  <c r="M94" i="28"/>
  <c r="L94" i="28"/>
  <c r="J94" i="28"/>
  <c r="I94" i="28"/>
  <c r="H94" i="28"/>
  <c r="B94" i="28"/>
  <c r="O93" i="28"/>
  <c r="N93" i="28"/>
  <c r="M93" i="28"/>
  <c r="L93" i="28"/>
  <c r="J93" i="28"/>
  <c r="I93" i="28"/>
  <c r="H93" i="28"/>
  <c r="B93" i="28"/>
  <c r="O92" i="28"/>
  <c r="N92" i="28"/>
  <c r="M92" i="28"/>
  <c r="L92" i="28"/>
  <c r="J92" i="28"/>
  <c r="I92" i="28"/>
  <c r="H92" i="28"/>
  <c r="B92" i="28"/>
  <c r="O91" i="28"/>
  <c r="N91" i="28"/>
  <c r="M91" i="28"/>
  <c r="L91" i="28"/>
  <c r="J91" i="28"/>
  <c r="I91" i="28"/>
  <c r="H91" i="28"/>
  <c r="B91" i="28"/>
  <c r="O90" i="28"/>
  <c r="N90" i="28"/>
  <c r="M90" i="28"/>
  <c r="L90" i="28"/>
  <c r="J90" i="28"/>
  <c r="I90" i="28"/>
  <c r="H90" i="28"/>
  <c r="B90" i="28"/>
  <c r="O89" i="28"/>
  <c r="N89" i="28"/>
  <c r="M89" i="28"/>
  <c r="L89" i="28"/>
  <c r="J89" i="28"/>
  <c r="I89" i="28"/>
  <c r="H89" i="28"/>
  <c r="B89" i="28"/>
  <c r="O88" i="28"/>
  <c r="N88" i="28"/>
  <c r="M88" i="28"/>
  <c r="L88" i="28"/>
  <c r="J88" i="28"/>
  <c r="I88" i="28"/>
  <c r="H88" i="28"/>
  <c r="B88" i="28"/>
  <c r="O87" i="28"/>
  <c r="N87" i="28"/>
  <c r="M87" i="28"/>
  <c r="L87" i="28"/>
  <c r="J87" i="28"/>
  <c r="I87" i="28"/>
  <c r="H87" i="28"/>
  <c r="B87" i="28"/>
  <c r="O86" i="28"/>
  <c r="N86" i="28"/>
  <c r="M86" i="28"/>
  <c r="L86" i="28"/>
  <c r="J86" i="28"/>
  <c r="I86" i="28"/>
  <c r="H86" i="28"/>
  <c r="B86" i="28"/>
  <c r="O85" i="28"/>
  <c r="N85" i="28"/>
  <c r="M85" i="28"/>
  <c r="L85" i="28"/>
  <c r="J85" i="28"/>
  <c r="I85" i="28"/>
  <c r="H85" i="28"/>
  <c r="B85" i="28"/>
  <c r="O84" i="28"/>
  <c r="N84" i="28"/>
  <c r="M84" i="28"/>
  <c r="L84" i="28"/>
  <c r="J84" i="28"/>
  <c r="I84" i="28"/>
  <c r="H84" i="28"/>
  <c r="B84" i="28"/>
  <c r="O83" i="28"/>
  <c r="N83" i="28"/>
  <c r="M83" i="28"/>
  <c r="L83" i="28"/>
  <c r="J83" i="28"/>
  <c r="I83" i="28"/>
  <c r="H83" i="28"/>
  <c r="B83" i="28"/>
  <c r="O82" i="28"/>
  <c r="N82" i="28"/>
  <c r="M82" i="28"/>
  <c r="L82" i="28"/>
  <c r="J82" i="28"/>
  <c r="I82" i="28"/>
  <c r="H82" i="28"/>
  <c r="B82" i="28"/>
  <c r="O81" i="28"/>
  <c r="N81" i="28"/>
  <c r="M81" i="28"/>
  <c r="L81" i="28"/>
  <c r="J81" i="28"/>
  <c r="I81" i="28"/>
  <c r="H81" i="28"/>
  <c r="B81" i="28"/>
  <c r="O80" i="28"/>
  <c r="N80" i="28"/>
  <c r="M80" i="28"/>
  <c r="L80" i="28"/>
  <c r="J80" i="28"/>
  <c r="I80" i="28"/>
  <c r="H80" i="28"/>
  <c r="B80" i="28"/>
  <c r="O79" i="28"/>
  <c r="N79" i="28"/>
  <c r="M79" i="28"/>
  <c r="L79" i="28"/>
  <c r="J79" i="28"/>
  <c r="I79" i="28"/>
  <c r="H79" i="28"/>
  <c r="B79" i="28"/>
  <c r="O78" i="28"/>
  <c r="N78" i="28"/>
  <c r="M78" i="28"/>
  <c r="L78" i="28"/>
  <c r="J78" i="28"/>
  <c r="I78" i="28"/>
  <c r="H78" i="28"/>
  <c r="B78" i="28"/>
  <c r="O77" i="28"/>
  <c r="N77" i="28"/>
  <c r="M77" i="28"/>
  <c r="L77" i="28"/>
  <c r="J77" i="28"/>
  <c r="I77" i="28"/>
  <c r="H77" i="28"/>
  <c r="B77" i="28"/>
  <c r="O76" i="28"/>
  <c r="N76" i="28"/>
  <c r="M76" i="28"/>
  <c r="L76" i="28"/>
  <c r="J76" i="28"/>
  <c r="I76" i="28"/>
  <c r="H76" i="28"/>
  <c r="B76" i="28"/>
  <c r="O75" i="28"/>
  <c r="N75" i="28"/>
  <c r="M75" i="28"/>
  <c r="L75" i="28"/>
  <c r="J75" i="28"/>
  <c r="I75" i="28"/>
  <c r="H75" i="28"/>
  <c r="B75" i="28"/>
  <c r="O74" i="28"/>
  <c r="N74" i="28"/>
  <c r="M74" i="28"/>
  <c r="L74" i="28"/>
  <c r="J74" i="28"/>
  <c r="I74" i="28"/>
  <c r="H74" i="28"/>
  <c r="B74" i="28"/>
  <c r="O73" i="28"/>
  <c r="N73" i="28"/>
  <c r="M73" i="28"/>
  <c r="L73" i="28"/>
  <c r="J73" i="28"/>
  <c r="I73" i="28"/>
  <c r="H73" i="28"/>
  <c r="B73" i="28"/>
  <c r="O72" i="28"/>
  <c r="N72" i="28"/>
  <c r="M72" i="28"/>
  <c r="L72" i="28"/>
  <c r="J72" i="28"/>
  <c r="I72" i="28"/>
  <c r="H72" i="28"/>
  <c r="B72" i="28"/>
  <c r="O71" i="28"/>
  <c r="N71" i="28"/>
  <c r="M71" i="28"/>
  <c r="L71" i="28"/>
  <c r="J71" i="28"/>
  <c r="I71" i="28"/>
  <c r="H71" i="28"/>
  <c r="B71" i="28"/>
  <c r="O70" i="28"/>
  <c r="N70" i="28"/>
  <c r="M70" i="28"/>
  <c r="L70" i="28"/>
  <c r="J70" i="28"/>
  <c r="I70" i="28"/>
  <c r="H70" i="28"/>
  <c r="B70" i="28"/>
  <c r="O69" i="28"/>
  <c r="N69" i="28"/>
  <c r="M69" i="28"/>
  <c r="L69" i="28"/>
  <c r="J69" i="28"/>
  <c r="I69" i="28"/>
  <c r="H69" i="28"/>
  <c r="B69" i="28"/>
  <c r="O68" i="28"/>
  <c r="N68" i="28"/>
  <c r="M68" i="28"/>
  <c r="L68" i="28"/>
  <c r="J68" i="28"/>
  <c r="I68" i="28"/>
  <c r="H68" i="28"/>
  <c r="B68" i="28"/>
  <c r="O67" i="28"/>
  <c r="N67" i="28"/>
  <c r="M67" i="28"/>
  <c r="L67" i="28"/>
  <c r="J67" i="28"/>
  <c r="I67" i="28"/>
  <c r="H67" i="28"/>
  <c r="B67" i="28"/>
  <c r="O66" i="28"/>
  <c r="N66" i="28"/>
  <c r="M66" i="28"/>
  <c r="L66" i="28"/>
  <c r="J66" i="28"/>
  <c r="I66" i="28"/>
  <c r="H66" i="28"/>
  <c r="B66" i="28"/>
  <c r="O65" i="28"/>
  <c r="N65" i="28"/>
  <c r="M65" i="28"/>
  <c r="L65" i="28"/>
  <c r="J65" i="28"/>
  <c r="I65" i="28"/>
  <c r="H65" i="28"/>
  <c r="B65" i="28"/>
  <c r="O64" i="28"/>
  <c r="N64" i="28"/>
  <c r="M64" i="28"/>
  <c r="L64" i="28"/>
  <c r="J64" i="28"/>
  <c r="I64" i="28"/>
  <c r="H64" i="28"/>
  <c r="B64" i="28"/>
  <c r="O63" i="28"/>
  <c r="N63" i="28"/>
  <c r="M63" i="28"/>
  <c r="L63" i="28"/>
  <c r="J63" i="28"/>
  <c r="I63" i="28"/>
  <c r="H63" i="28"/>
  <c r="B63" i="28"/>
  <c r="O62" i="28"/>
  <c r="N62" i="28"/>
  <c r="M62" i="28"/>
  <c r="L62" i="28"/>
  <c r="J62" i="28"/>
  <c r="I62" i="28"/>
  <c r="H62" i="28"/>
  <c r="B62" i="28"/>
  <c r="O61" i="28"/>
  <c r="N61" i="28"/>
  <c r="M61" i="28"/>
  <c r="L61" i="28"/>
  <c r="J61" i="28"/>
  <c r="I61" i="28"/>
  <c r="H61" i="28"/>
  <c r="B61" i="28"/>
  <c r="O60" i="28"/>
  <c r="N60" i="28"/>
  <c r="M60" i="28"/>
  <c r="L60" i="28"/>
  <c r="J60" i="28"/>
  <c r="I60" i="28"/>
  <c r="H60" i="28"/>
  <c r="B60" i="28"/>
  <c r="O59" i="28"/>
  <c r="N59" i="28"/>
  <c r="M59" i="28"/>
  <c r="L59" i="28"/>
  <c r="J59" i="28"/>
  <c r="I59" i="28"/>
  <c r="H59" i="28"/>
  <c r="B59" i="28"/>
  <c r="O58" i="28"/>
  <c r="N58" i="28"/>
  <c r="M58" i="28"/>
  <c r="L58" i="28"/>
  <c r="J58" i="28"/>
  <c r="I58" i="28"/>
  <c r="H58" i="28"/>
  <c r="B58" i="28"/>
  <c r="O57" i="28"/>
  <c r="N57" i="28"/>
  <c r="M57" i="28"/>
  <c r="L57" i="28"/>
  <c r="J57" i="28"/>
  <c r="I57" i="28"/>
  <c r="H57" i="28"/>
  <c r="B57" i="28"/>
  <c r="O56" i="28"/>
  <c r="N56" i="28"/>
  <c r="M56" i="28"/>
  <c r="L56" i="28"/>
  <c r="J56" i="28"/>
  <c r="I56" i="28"/>
  <c r="H56" i="28"/>
  <c r="B56" i="28"/>
  <c r="O55" i="28"/>
  <c r="N55" i="28"/>
  <c r="M55" i="28"/>
  <c r="L55" i="28"/>
  <c r="J55" i="28"/>
  <c r="I55" i="28"/>
  <c r="H55" i="28"/>
  <c r="B55" i="28"/>
  <c r="O54" i="28"/>
  <c r="N54" i="28"/>
  <c r="M54" i="28"/>
  <c r="L54" i="28"/>
  <c r="J54" i="28"/>
  <c r="I54" i="28"/>
  <c r="H54" i="28"/>
  <c r="B54" i="28"/>
  <c r="O53" i="28"/>
  <c r="N53" i="28"/>
  <c r="M53" i="28"/>
  <c r="L53" i="28"/>
  <c r="J53" i="28"/>
  <c r="I53" i="28"/>
  <c r="H53" i="28"/>
  <c r="B53" i="28"/>
  <c r="O52" i="28"/>
  <c r="N52" i="28"/>
  <c r="M52" i="28"/>
  <c r="L52" i="28"/>
  <c r="J52" i="28"/>
  <c r="I52" i="28"/>
  <c r="H52" i="28"/>
  <c r="B52" i="28"/>
  <c r="O51" i="28"/>
  <c r="N51" i="28"/>
  <c r="M51" i="28"/>
  <c r="L51" i="28"/>
  <c r="J51" i="28"/>
  <c r="I51" i="28"/>
  <c r="H51" i="28"/>
  <c r="B51" i="28"/>
  <c r="O50" i="28"/>
  <c r="N50" i="28"/>
  <c r="M50" i="28"/>
  <c r="L50" i="28"/>
  <c r="J50" i="28"/>
  <c r="I50" i="28"/>
  <c r="H50" i="28"/>
  <c r="B50" i="28"/>
  <c r="O49" i="28"/>
  <c r="N49" i="28"/>
  <c r="M49" i="28"/>
  <c r="L49" i="28"/>
  <c r="J49" i="28"/>
  <c r="I49" i="28"/>
  <c r="H49" i="28"/>
  <c r="B49" i="28"/>
  <c r="O48" i="28"/>
  <c r="N48" i="28"/>
  <c r="M48" i="28"/>
  <c r="L48" i="28"/>
  <c r="J48" i="28"/>
  <c r="I48" i="28"/>
  <c r="H48" i="28"/>
  <c r="B48" i="28"/>
  <c r="O47" i="28"/>
  <c r="N47" i="28"/>
  <c r="M47" i="28"/>
  <c r="L47" i="28"/>
  <c r="J47" i="28"/>
  <c r="I47" i="28"/>
  <c r="H47" i="28"/>
  <c r="B47" i="28"/>
  <c r="O46" i="28"/>
  <c r="N46" i="28"/>
  <c r="M46" i="28"/>
  <c r="L46" i="28"/>
  <c r="J46" i="28"/>
  <c r="I46" i="28"/>
  <c r="H46" i="28"/>
  <c r="B46" i="28"/>
  <c r="O45" i="28"/>
  <c r="N45" i="28"/>
  <c r="M45" i="28"/>
  <c r="L45" i="28"/>
  <c r="J45" i="28"/>
  <c r="I45" i="28"/>
  <c r="H45" i="28"/>
  <c r="B45" i="28"/>
  <c r="O44" i="28"/>
  <c r="N44" i="28"/>
  <c r="M44" i="28"/>
  <c r="L44" i="28"/>
  <c r="J44" i="28"/>
  <c r="I44" i="28"/>
  <c r="H44" i="28"/>
  <c r="B44" i="28"/>
  <c r="O43" i="28"/>
  <c r="N43" i="28"/>
  <c r="M43" i="28"/>
  <c r="L43" i="28"/>
  <c r="J43" i="28"/>
  <c r="I43" i="28"/>
  <c r="H43" i="28"/>
  <c r="B43" i="28"/>
  <c r="O42" i="28"/>
  <c r="N42" i="28"/>
  <c r="M42" i="28"/>
  <c r="L42" i="28"/>
  <c r="J42" i="28"/>
  <c r="I42" i="28"/>
  <c r="H42" i="28"/>
  <c r="B42" i="28"/>
  <c r="O41" i="28"/>
  <c r="N41" i="28"/>
  <c r="M41" i="28"/>
  <c r="L41" i="28"/>
  <c r="J41" i="28"/>
  <c r="I41" i="28"/>
  <c r="H41" i="28"/>
  <c r="B41" i="28"/>
  <c r="O40" i="28"/>
  <c r="N40" i="28"/>
  <c r="M40" i="28"/>
  <c r="L40" i="28"/>
  <c r="J40" i="28"/>
  <c r="I40" i="28"/>
  <c r="H40" i="28"/>
  <c r="B40" i="28"/>
  <c r="O39" i="28"/>
  <c r="N39" i="28"/>
  <c r="M39" i="28"/>
  <c r="L39" i="28"/>
  <c r="J39" i="28"/>
  <c r="I39" i="28"/>
  <c r="H39" i="28"/>
  <c r="B39" i="28"/>
  <c r="O38" i="28"/>
  <c r="N38" i="28"/>
  <c r="M38" i="28"/>
  <c r="L38" i="28"/>
  <c r="J38" i="28"/>
  <c r="I38" i="28"/>
  <c r="H38" i="28"/>
  <c r="B38" i="28"/>
  <c r="O37" i="28"/>
  <c r="N37" i="28"/>
  <c r="M37" i="28"/>
  <c r="L37" i="28"/>
  <c r="J37" i="28"/>
  <c r="I37" i="28"/>
  <c r="H37" i="28"/>
  <c r="B37" i="28"/>
  <c r="O36" i="28"/>
  <c r="N36" i="28"/>
  <c r="M36" i="28"/>
  <c r="L36" i="28"/>
  <c r="J36" i="28"/>
  <c r="I36" i="28"/>
  <c r="H36" i="28"/>
  <c r="B36" i="28"/>
  <c r="O35" i="28"/>
  <c r="N35" i="28"/>
  <c r="M35" i="28"/>
  <c r="L35" i="28"/>
  <c r="J35" i="28"/>
  <c r="I35" i="28"/>
  <c r="H35" i="28"/>
  <c r="B35" i="28"/>
  <c r="O34" i="28"/>
  <c r="N34" i="28"/>
  <c r="M34" i="28"/>
  <c r="L34" i="28"/>
  <c r="J34" i="28"/>
  <c r="I34" i="28"/>
  <c r="H34" i="28"/>
  <c r="B34" i="28"/>
  <c r="O33" i="28"/>
  <c r="N33" i="28"/>
  <c r="M33" i="28"/>
  <c r="L33" i="28"/>
  <c r="J33" i="28"/>
  <c r="I33" i="28"/>
  <c r="H33" i="28"/>
  <c r="B33" i="28"/>
  <c r="O32" i="28"/>
  <c r="N32" i="28"/>
  <c r="M32" i="28"/>
  <c r="L32" i="28"/>
  <c r="J32" i="28"/>
  <c r="I32" i="28"/>
  <c r="H32" i="28"/>
  <c r="B32" i="28"/>
  <c r="O31" i="28"/>
  <c r="N31" i="28"/>
  <c r="M31" i="28"/>
  <c r="L31" i="28"/>
  <c r="J31" i="28"/>
  <c r="I31" i="28"/>
  <c r="H31" i="28"/>
  <c r="B31" i="28"/>
  <c r="O30" i="28"/>
  <c r="N30" i="28"/>
  <c r="M30" i="28"/>
  <c r="L30" i="28"/>
  <c r="J30" i="28"/>
  <c r="I30" i="28"/>
  <c r="H30" i="28"/>
  <c r="B30" i="28"/>
  <c r="O29" i="28"/>
  <c r="N29" i="28"/>
  <c r="M29" i="28"/>
  <c r="L29" i="28"/>
  <c r="J29" i="28"/>
  <c r="I29" i="28"/>
  <c r="H29" i="28"/>
  <c r="B29" i="28"/>
  <c r="O28" i="28"/>
  <c r="N28" i="28"/>
  <c r="M28" i="28"/>
  <c r="L28" i="28"/>
  <c r="J28" i="28"/>
  <c r="I28" i="28"/>
  <c r="H28" i="28"/>
  <c r="B28" i="28"/>
  <c r="O27" i="28"/>
  <c r="N27" i="28"/>
  <c r="M27" i="28"/>
  <c r="L27" i="28"/>
  <c r="J27" i="28"/>
  <c r="I27" i="28"/>
  <c r="H27" i="28"/>
  <c r="B27" i="28"/>
  <c r="O26" i="28"/>
  <c r="N26" i="28"/>
  <c r="M26" i="28"/>
  <c r="L26" i="28"/>
  <c r="J26" i="28"/>
  <c r="I26" i="28"/>
  <c r="H26" i="28"/>
  <c r="B26" i="28"/>
  <c r="O25" i="28"/>
  <c r="N25" i="28"/>
  <c r="M25" i="28"/>
  <c r="L25" i="28"/>
  <c r="J25" i="28"/>
  <c r="I25" i="28"/>
  <c r="H25" i="28"/>
  <c r="B25" i="28"/>
  <c r="O24" i="28"/>
  <c r="N24" i="28"/>
  <c r="M24" i="28"/>
  <c r="L24" i="28"/>
  <c r="J24" i="28"/>
  <c r="I24" i="28"/>
  <c r="H24" i="28"/>
  <c r="B24" i="28"/>
  <c r="O23" i="28"/>
  <c r="N23" i="28"/>
  <c r="M23" i="28"/>
  <c r="L23" i="28"/>
  <c r="J23" i="28"/>
  <c r="I23" i="28"/>
  <c r="H23" i="28"/>
  <c r="B23" i="28"/>
  <c r="O22" i="28"/>
  <c r="N22" i="28"/>
  <c r="M22" i="28"/>
  <c r="L22" i="28"/>
  <c r="J22" i="28"/>
  <c r="I22" i="28"/>
  <c r="H22" i="28"/>
  <c r="B22" i="28"/>
  <c r="O21" i="28"/>
  <c r="N21" i="28"/>
  <c r="M21" i="28"/>
  <c r="L21" i="28"/>
  <c r="J21" i="28"/>
  <c r="I21" i="28"/>
  <c r="H21" i="28"/>
  <c r="B21" i="28"/>
  <c r="O20" i="28"/>
  <c r="N20" i="28"/>
  <c r="M20" i="28"/>
  <c r="L20" i="28"/>
  <c r="J20" i="28"/>
  <c r="I20" i="28"/>
  <c r="H20" i="28"/>
  <c r="B20" i="28"/>
  <c r="O19" i="28"/>
  <c r="N19" i="28"/>
  <c r="M19" i="28"/>
  <c r="L19" i="28"/>
  <c r="J19" i="28"/>
  <c r="I19" i="28"/>
  <c r="H19" i="28"/>
  <c r="B19" i="28"/>
  <c r="O18" i="28"/>
  <c r="N18" i="28"/>
  <c r="M18" i="28"/>
  <c r="L18" i="28"/>
  <c r="J18" i="28"/>
  <c r="I18" i="28"/>
  <c r="H18" i="28"/>
  <c r="B18" i="28"/>
  <c r="O17" i="28"/>
  <c r="N17" i="28"/>
  <c r="M17" i="28"/>
  <c r="L17" i="28"/>
  <c r="J17" i="28"/>
  <c r="I17" i="28"/>
  <c r="H17" i="28"/>
  <c r="B17" i="28"/>
  <c r="O16" i="28"/>
  <c r="N16" i="28"/>
  <c r="M16" i="28"/>
  <c r="L16" i="28"/>
  <c r="J16" i="28"/>
  <c r="I16" i="28"/>
  <c r="H16" i="28"/>
  <c r="B16" i="28"/>
  <c r="O15" i="28"/>
  <c r="N15" i="28"/>
  <c r="M15" i="28"/>
  <c r="L15" i="28"/>
  <c r="J15" i="28"/>
  <c r="I15" i="28"/>
  <c r="H15" i="28"/>
  <c r="B15" i="28"/>
  <c r="O14" i="28"/>
  <c r="N14" i="28"/>
  <c r="M14" i="28"/>
  <c r="L14" i="28"/>
  <c r="J14" i="28"/>
  <c r="I14" i="28"/>
  <c r="H14" i="28"/>
  <c r="B14" i="28"/>
  <c r="O13" i="28"/>
  <c r="N13" i="28"/>
  <c r="M13" i="28"/>
  <c r="L13" i="28"/>
  <c r="J13" i="28"/>
  <c r="I13" i="28"/>
  <c r="H13" i="28"/>
  <c r="B13" i="28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O124" i="27"/>
  <c r="N124" i="27"/>
  <c r="M124" i="27"/>
  <c r="L124" i="27"/>
  <c r="J124" i="27"/>
  <c r="I124" i="27"/>
  <c r="H124" i="27"/>
  <c r="B124" i="27"/>
  <c r="O123" i="27"/>
  <c r="N123" i="27"/>
  <c r="M123" i="27"/>
  <c r="L123" i="27"/>
  <c r="J123" i="27"/>
  <c r="I123" i="27"/>
  <c r="H123" i="27"/>
  <c r="B123" i="27"/>
  <c r="O122" i="27"/>
  <c r="N122" i="27"/>
  <c r="M122" i="27"/>
  <c r="L122" i="27"/>
  <c r="J122" i="27"/>
  <c r="I122" i="27"/>
  <c r="H122" i="27"/>
  <c r="B122" i="27"/>
  <c r="O121" i="27"/>
  <c r="N121" i="27"/>
  <c r="M121" i="27"/>
  <c r="L121" i="27"/>
  <c r="J121" i="27"/>
  <c r="I121" i="27"/>
  <c r="H121" i="27"/>
  <c r="B121" i="27"/>
  <c r="O120" i="27"/>
  <c r="N120" i="27"/>
  <c r="M120" i="27"/>
  <c r="L120" i="27"/>
  <c r="J120" i="27"/>
  <c r="I120" i="27"/>
  <c r="H120" i="27"/>
  <c r="B120" i="27"/>
  <c r="O119" i="27"/>
  <c r="N119" i="27"/>
  <c r="M119" i="27"/>
  <c r="L119" i="27"/>
  <c r="J119" i="27"/>
  <c r="I119" i="27"/>
  <c r="H119" i="27"/>
  <c r="B119" i="27"/>
  <c r="O118" i="27"/>
  <c r="N118" i="27"/>
  <c r="M118" i="27"/>
  <c r="L118" i="27"/>
  <c r="J118" i="27"/>
  <c r="I118" i="27"/>
  <c r="H118" i="27"/>
  <c r="B118" i="27"/>
  <c r="O117" i="27"/>
  <c r="N117" i="27"/>
  <c r="M117" i="27"/>
  <c r="L117" i="27"/>
  <c r="J117" i="27"/>
  <c r="I117" i="27"/>
  <c r="H117" i="27"/>
  <c r="B117" i="27"/>
  <c r="O116" i="27"/>
  <c r="N116" i="27"/>
  <c r="M116" i="27"/>
  <c r="L116" i="27"/>
  <c r="J116" i="27"/>
  <c r="I116" i="27"/>
  <c r="H116" i="27"/>
  <c r="B116" i="27"/>
  <c r="O115" i="27"/>
  <c r="N115" i="27"/>
  <c r="M115" i="27"/>
  <c r="L115" i="27"/>
  <c r="J115" i="27"/>
  <c r="I115" i="27"/>
  <c r="H115" i="27"/>
  <c r="B115" i="27"/>
  <c r="O114" i="27"/>
  <c r="N114" i="27"/>
  <c r="M114" i="27"/>
  <c r="L114" i="27"/>
  <c r="J114" i="27"/>
  <c r="I114" i="27"/>
  <c r="H114" i="27"/>
  <c r="B114" i="27"/>
  <c r="O113" i="27"/>
  <c r="N113" i="27"/>
  <c r="M113" i="27"/>
  <c r="L113" i="27"/>
  <c r="J113" i="27"/>
  <c r="I113" i="27"/>
  <c r="H113" i="27"/>
  <c r="B113" i="27"/>
  <c r="O112" i="27"/>
  <c r="N112" i="27"/>
  <c r="M112" i="27"/>
  <c r="L112" i="27"/>
  <c r="J112" i="27"/>
  <c r="I112" i="27"/>
  <c r="H112" i="27"/>
  <c r="B112" i="27"/>
  <c r="O111" i="27"/>
  <c r="N111" i="27"/>
  <c r="M111" i="27"/>
  <c r="L111" i="27"/>
  <c r="J111" i="27"/>
  <c r="I111" i="27"/>
  <c r="H111" i="27"/>
  <c r="B111" i="27"/>
  <c r="O110" i="27"/>
  <c r="N110" i="27"/>
  <c r="M110" i="27"/>
  <c r="L110" i="27"/>
  <c r="J110" i="27"/>
  <c r="I110" i="27"/>
  <c r="H110" i="27"/>
  <c r="B110" i="27"/>
  <c r="O109" i="27"/>
  <c r="N109" i="27"/>
  <c r="M109" i="27"/>
  <c r="L109" i="27"/>
  <c r="J109" i="27"/>
  <c r="I109" i="27"/>
  <c r="H109" i="27"/>
  <c r="B109" i="27"/>
  <c r="O108" i="27"/>
  <c r="N108" i="27"/>
  <c r="M108" i="27"/>
  <c r="L108" i="27"/>
  <c r="J108" i="27"/>
  <c r="I108" i="27"/>
  <c r="H108" i="27"/>
  <c r="B108" i="27"/>
  <c r="O107" i="27"/>
  <c r="N107" i="27"/>
  <c r="M107" i="27"/>
  <c r="L107" i="27"/>
  <c r="J107" i="27"/>
  <c r="I107" i="27"/>
  <c r="H107" i="27"/>
  <c r="B107" i="27"/>
  <c r="O106" i="27"/>
  <c r="N106" i="27"/>
  <c r="M106" i="27"/>
  <c r="L106" i="27"/>
  <c r="J106" i="27"/>
  <c r="I106" i="27"/>
  <c r="H106" i="27"/>
  <c r="B106" i="27"/>
  <c r="O105" i="27"/>
  <c r="N105" i="27"/>
  <c r="M105" i="27"/>
  <c r="L105" i="27"/>
  <c r="J105" i="27"/>
  <c r="I105" i="27"/>
  <c r="H105" i="27"/>
  <c r="B105" i="27"/>
  <c r="O104" i="27"/>
  <c r="N104" i="27"/>
  <c r="M104" i="27"/>
  <c r="L104" i="27"/>
  <c r="J104" i="27"/>
  <c r="I104" i="27"/>
  <c r="H104" i="27"/>
  <c r="B104" i="27"/>
  <c r="O103" i="27"/>
  <c r="N103" i="27"/>
  <c r="M103" i="27"/>
  <c r="L103" i="27"/>
  <c r="J103" i="27"/>
  <c r="I103" i="27"/>
  <c r="H103" i="27"/>
  <c r="B103" i="27"/>
  <c r="O102" i="27"/>
  <c r="N102" i="27"/>
  <c r="M102" i="27"/>
  <c r="L102" i="27"/>
  <c r="J102" i="27"/>
  <c r="I102" i="27"/>
  <c r="H102" i="27"/>
  <c r="B102" i="27"/>
  <c r="O101" i="27"/>
  <c r="N101" i="27"/>
  <c r="M101" i="27"/>
  <c r="L101" i="27"/>
  <c r="J101" i="27"/>
  <c r="I101" i="27"/>
  <c r="H101" i="27"/>
  <c r="B101" i="27"/>
  <c r="O100" i="27"/>
  <c r="N100" i="27"/>
  <c r="M100" i="27"/>
  <c r="L100" i="27"/>
  <c r="J100" i="27"/>
  <c r="I100" i="27"/>
  <c r="H100" i="27"/>
  <c r="B100" i="27"/>
  <c r="O99" i="27"/>
  <c r="N99" i="27"/>
  <c r="M99" i="27"/>
  <c r="L99" i="27"/>
  <c r="J99" i="27"/>
  <c r="I99" i="27"/>
  <c r="H99" i="27"/>
  <c r="B99" i="27"/>
  <c r="O98" i="27"/>
  <c r="N98" i="27"/>
  <c r="M98" i="27"/>
  <c r="L98" i="27"/>
  <c r="J98" i="27"/>
  <c r="I98" i="27"/>
  <c r="H98" i="27"/>
  <c r="B98" i="27"/>
  <c r="O97" i="27"/>
  <c r="N97" i="27"/>
  <c r="M97" i="27"/>
  <c r="L97" i="27"/>
  <c r="J97" i="27"/>
  <c r="I97" i="27"/>
  <c r="H97" i="27"/>
  <c r="B97" i="27"/>
  <c r="O96" i="27"/>
  <c r="N96" i="27"/>
  <c r="M96" i="27"/>
  <c r="L96" i="27"/>
  <c r="J96" i="27"/>
  <c r="I96" i="27"/>
  <c r="H96" i="27"/>
  <c r="B96" i="27"/>
  <c r="O95" i="27"/>
  <c r="N95" i="27"/>
  <c r="M95" i="27"/>
  <c r="L95" i="27"/>
  <c r="J95" i="27"/>
  <c r="I95" i="27"/>
  <c r="H95" i="27"/>
  <c r="B95" i="27"/>
  <c r="O94" i="27"/>
  <c r="N94" i="27"/>
  <c r="M94" i="27"/>
  <c r="L94" i="27"/>
  <c r="J94" i="27"/>
  <c r="I94" i="27"/>
  <c r="H94" i="27"/>
  <c r="B94" i="27"/>
  <c r="O93" i="27"/>
  <c r="N93" i="27"/>
  <c r="M93" i="27"/>
  <c r="L93" i="27"/>
  <c r="J93" i="27"/>
  <c r="I93" i="27"/>
  <c r="H93" i="27"/>
  <c r="B93" i="27"/>
  <c r="O92" i="27"/>
  <c r="N92" i="27"/>
  <c r="M92" i="27"/>
  <c r="L92" i="27"/>
  <c r="J92" i="27"/>
  <c r="I92" i="27"/>
  <c r="H92" i="27"/>
  <c r="B92" i="27"/>
  <c r="O91" i="27"/>
  <c r="N91" i="27"/>
  <c r="M91" i="27"/>
  <c r="L91" i="27"/>
  <c r="J91" i="27"/>
  <c r="I91" i="27"/>
  <c r="H91" i="27"/>
  <c r="B91" i="27"/>
  <c r="O90" i="27"/>
  <c r="N90" i="27"/>
  <c r="M90" i="27"/>
  <c r="L90" i="27"/>
  <c r="J90" i="27"/>
  <c r="I90" i="27"/>
  <c r="H90" i="27"/>
  <c r="B90" i="27"/>
  <c r="O89" i="27"/>
  <c r="N89" i="27"/>
  <c r="M89" i="27"/>
  <c r="L89" i="27"/>
  <c r="J89" i="27"/>
  <c r="I89" i="27"/>
  <c r="H89" i="27"/>
  <c r="B89" i="27"/>
  <c r="O88" i="27"/>
  <c r="N88" i="27"/>
  <c r="M88" i="27"/>
  <c r="L88" i="27"/>
  <c r="J88" i="27"/>
  <c r="I88" i="27"/>
  <c r="H88" i="27"/>
  <c r="B88" i="27"/>
  <c r="O87" i="27"/>
  <c r="N87" i="27"/>
  <c r="M87" i="27"/>
  <c r="L87" i="27"/>
  <c r="J87" i="27"/>
  <c r="I87" i="27"/>
  <c r="H87" i="27"/>
  <c r="B87" i="27"/>
  <c r="O86" i="27"/>
  <c r="N86" i="27"/>
  <c r="M86" i="27"/>
  <c r="L86" i="27"/>
  <c r="J86" i="27"/>
  <c r="I86" i="27"/>
  <c r="H86" i="27"/>
  <c r="B86" i="27"/>
  <c r="O85" i="27"/>
  <c r="N85" i="27"/>
  <c r="M85" i="27"/>
  <c r="L85" i="27"/>
  <c r="J85" i="27"/>
  <c r="I85" i="27"/>
  <c r="H85" i="27"/>
  <c r="B85" i="27"/>
  <c r="O84" i="27"/>
  <c r="N84" i="27"/>
  <c r="M84" i="27"/>
  <c r="L84" i="27"/>
  <c r="J84" i="27"/>
  <c r="I84" i="27"/>
  <c r="H84" i="27"/>
  <c r="B84" i="27"/>
  <c r="O83" i="27"/>
  <c r="N83" i="27"/>
  <c r="M83" i="27"/>
  <c r="L83" i="27"/>
  <c r="J83" i="27"/>
  <c r="I83" i="27"/>
  <c r="H83" i="27"/>
  <c r="B83" i="27"/>
  <c r="O82" i="27"/>
  <c r="N82" i="27"/>
  <c r="M82" i="27"/>
  <c r="L82" i="27"/>
  <c r="J82" i="27"/>
  <c r="I82" i="27"/>
  <c r="H82" i="27"/>
  <c r="B82" i="27"/>
  <c r="O81" i="27"/>
  <c r="N81" i="27"/>
  <c r="M81" i="27"/>
  <c r="L81" i="27"/>
  <c r="J81" i="27"/>
  <c r="I81" i="27"/>
  <c r="H81" i="27"/>
  <c r="B81" i="27"/>
  <c r="O80" i="27"/>
  <c r="N80" i="27"/>
  <c r="M80" i="27"/>
  <c r="L80" i="27"/>
  <c r="J80" i="27"/>
  <c r="I80" i="27"/>
  <c r="H80" i="27"/>
  <c r="B80" i="27"/>
  <c r="O79" i="27"/>
  <c r="N79" i="27"/>
  <c r="M79" i="27"/>
  <c r="L79" i="27"/>
  <c r="J79" i="27"/>
  <c r="I79" i="27"/>
  <c r="H79" i="27"/>
  <c r="B79" i="27"/>
  <c r="O78" i="27"/>
  <c r="N78" i="27"/>
  <c r="M78" i="27"/>
  <c r="L78" i="27"/>
  <c r="J78" i="27"/>
  <c r="I78" i="27"/>
  <c r="H78" i="27"/>
  <c r="B78" i="27"/>
  <c r="O77" i="27"/>
  <c r="N77" i="27"/>
  <c r="M77" i="27"/>
  <c r="L77" i="27"/>
  <c r="J77" i="27"/>
  <c r="I77" i="27"/>
  <c r="H77" i="27"/>
  <c r="B77" i="27"/>
  <c r="O76" i="27"/>
  <c r="N76" i="27"/>
  <c r="M76" i="27"/>
  <c r="L76" i="27"/>
  <c r="J76" i="27"/>
  <c r="I76" i="27"/>
  <c r="H76" i="27"/>
  <c r="B76" i="27"/>
  <c r="O75" i="27"/>
  <c r="N75" i="27"/>
  <c r="M75" i="27"/>
  <c r="L75" i="27"/>
  <c r="J75" i="27"/>
  <c r="I75" i="27"/>
  <c r="H75" i="27"/>
  <c r="B75" i="27"/>
  <c r="O74" i="27"/>
  <c r="N74" i="27"/>
  <c r="M74" i="27"/>
  <c r="L74" i="27"/>
  <c r="J74" i="27"/>
  <c r="I74" i="27"/>
  <c r="H74" i="27"/>
  <c r="B74" i="27"/>
  <c r="O73" i="27"/>
  <c r="N73" i="27"/>
  <c r="M73" i="27"/>
  <c r="L73" i="27"/>
  <c r="J73" i="27"/>
  <c r="I73" i="27"/>
  <c r="H73" i="27"/>
  <c r="B73" i="27"/>
  <c r="O72" i="27"/>
  <c r="N72" i="27"/>
  <c r="M72" i="27"/>
  <c r="L72" i="27"/>
  <c r="J72" i="27"/>
  <c r="I72" i="27"/>
  <c r="H72" i="27"/>
  <c r="B72" i="27"/>
  <c r="O71" i="27"/>
  <c r="N71" i="27"/>
  <c r="M71" i="27"/>
  <c r="L71" i="27"/>
  <c r="J71" i="27"/>
  <c r="I71" i="27"/>
  <c r="H71" i="27"/>
  <c r="B71" i="27"/>
  <c r="O70" i="27"/>
  <c r="N70" i="27"/>
  <c r="M70" i="27"/>
  <c r="L70" i="27"/>
  <c r="J70" i="27"/>
  <c r="I70" i="27"/>
  <c r="H70" i="27"/>
  <c r="B70" i="27"/>
  <c r="O69" i="27"/>
  <c r="N69" i="27"/>
  <c r="M69" i="27"/>
  <c r="L69" i="27"/>
  <c r="J69" i="27"/>
  <c r="I69" i="27"/>
  <c r="H69" i="27"/>
  <c r="B69" i="27"/>
  <c r="O68" i="27"/>
  <c r="N68" i="27"/>
  <c r="M68" i="27"/>
  <c r="L68" i="27"/>
  <c r="J68" i="27"/>
  <c r="I68" i="27"/>
  <c r="H68" i="27"/>
  <c r="B68" i="27"/>
  <c r="O67" i="27"/>
  <c r="N67" i="27"/>
  <c r="M67" i="27"/>
  <c r="L67" i="27"/>
  <c r="J67" i="27"/>
  <c r="I67" i="27"/>
  <c r="H67" i="27"/>
  <c r="B67" i="27"/>
  <c r="O66" i="27"/>
  <c r="N66" i="27"/>
  <c r="M66" i="27"/>
  <c r="L66" i="27"/>
  <c r="J66" i="27"/>
  <c r="I66" i="27"/>
  <c r="H66" i="27"/>
  <c r="B66" i="27"/>
  <c r="O65" i="27"/>
  <c r="N65" i="27"/>
  <c r="M65" i="27"/>
  <c r="L65" i="27"/>
  <c r="J65" i="27"/>
  <c r="I65" i="27"/>
  <c r="H65" i="27"/>
  <c r="B65" i="27"/>
  <c r="O64" i="27"/>
  <c r="N64" i="27"/>
  <c r="M64" i="27"/>
  <c r="L64" i="27"/>
  <c r="J64" i="27"/>
  <c r="I64" i="27"/>
  <c r="H64" i="27"/>
  <c r="B64" i="27"/>
  <c r="O63" i="27"/>
  <c r="N63" i="27"/>
  <c r="M63" i="27"/>
  <c r="L63" i="27"/>
  <c r="J63" i="27"/>
  <c r="I63" i="27"/>
  <c r="H63" i="27"/>
  <c r="B63" i="27"/>
  <c r="O62" i="27"/>
  <c r="N62" i="27"/>
  <c r="M62" i="27"/>
  <c r="L62" i="27"/>
  <c r="J62" i="27"/>
  <c r="I62" i="27"/>
  <c r="H62" i="27"/>
  <c r="B62" i="27"/>
  <c r="O61" i="27"/>
  <c r="N61" i="27"/>
  <c r="M61" i="27"/>
  <c r="L61" i="27"/>
  <c r="J61" i="27"/>
  <c r="I61" i="27"/>
  <c r="H61" i="27"/>
  <c r="B61" i="27"/>
  <c r="O60" i="27"/>
  <c r="N60" i="27"/>
  <c r="M60" i="27"/>
  <c r="L60" i="27"/>
  <c r="J60" i="27"/>
  <c r="I60" i="27"/>
  <c r="H60" i="27"/>
  <c r="B60" i="27"/>
  <c r="O59" i="27"/>
  <c r="N59" i="27"/>
  <c r="M59" i="27"/>
  <c r="L59" i="27"/>
  <c r="J59" i="27"/>
  <c r="I59" i="27"/>
  <c r="H59" i="27"/>
  <c r="B59" i="27"/>
  <c r="O58" i="27"/>
  <c r="N58" i="27"/>
  <c r="M58" i="27"/>
  <c r="L58" i="27"/>
  <c r="J58" i="27"/>
  <c r="I58" i="27"/>
  <c r="H58" i="27"/>
  <c r="B58" i="27"/>
  <c r="O57" i="27"/>
  <c r="N57" i="27"/>
  <c r="M57" i="27"/>
  <c r="L57" i="27"/>
  <c r="J57" i="27"/>
  <c r="I57" i="27"/>
  <c r="H57" i="27"/>
  <c r="B57" i="27"/>
  <c r="O56" i="27"/>
  <c r="N56" i="27"/>
  <c r="M56" i="27"/>
  <c r="L56" i="27"/>
  <c r="J56" i="27"/>
  <c r="I56" i="27"/>
  <c r="H56" i="27"/>
  <c r="B56" i="27"/>
  <c r="O55" i="27"/>
  <c r="N55" i="27"/>
  <c r="M55" i="27"/>
  <c r="L55" i="27"/>
  <c r="J55" i="27"/>
  <c r="I55" i="27"/>
  <c r="H55" i="27"/>
  <c r="B55" i="27"/>
  <c r="O54" i="27"/>
  <c r="N54" i="27"/>
  <c r="M54" i="27"/>
  <c r="L54" i="27"/>
  <c r="J54" i="27"/>
  <c r="I54" i="27"/>
  <c r="H54" i="27"/>
  <c r="B54" i="27"/>
  <c r="O53" i="27"/>
  <c r="N53" i="27"/>
  <c r="M53" i="27"/>
  <c r="L53" i="27"/>
  <c r="J53" i="27"/>
  <c r="I53" i="27"/>
  <c r="H53" i="27"/>
  <c r="B53" i="27"/>
  <c r="O52" i="27"/>
  <c r="N52" i="27"/>
  <c r="M52" i="27"/>
  <c r="L52" i="27"/>
  <c r="J52" i="27"/>
  <c r="I52" i="27"/>
  <c r="H52" i="27"/>
  <c r="B52" i="27"/>
  <c r="O51" i="27"/>
  <c r="N51" i="27"/>
  <c r="M51" i="27"/>
  <c r="L51" i="27"/>
  <c r="J51" i="27"/>
  <c r="I51" i="27"/>
  <c r="H51" i="27"/>
  <c r="B51" i="27"/>
  <c r="O50" i="27"/>
  <c r="N50" i="27"/>
  <c r="M50" i="27"/>
  <c r="L50" i="27"/>
  <c r="J50" i="27"/>
  <c r="I50" i="27"/>
  <c r="H50" i="27"/>
  <c r="B50" i="27"/>
  <c r="O49" i="27"/>
  <c r="N49" i="27"/>
  <c r="M49" i="27"/>
  <c r="L49" i="27"/>
  <c r="J49" i="27"/>
  <c r="I49" i="27"/>
  <c r="H49" i="27"/>
  <c r="B49" i="27"/>
  <c r="O48" i="27"/>
  <c r="N48" i="27"/>
  <c r="M48" i="27"/>
  <c r="L48" i="27"/>
  <c r="J48" i="27"/>
  <c r="I48" i="27"/>
  <c r="H48" i="27"/>
  <c r="B48" i="27"/>
  <c r="O47" i="27"/>
  <c r="N47" i="27"/>
  <c r="M47" i="27"/>
  <c r="L47" i="27"/>
  <c r="J47" i="27"/>
  <c r="I47" i="27"/>
  <c r="H47" i="27"/>
  <c r="B47" i="27"/>
  <c r="O46" i="27"/>
  <c r="N46" i="27"/>
  <c r="M46" i="27"/>
  <c r="L46" i="27"/>
  <c r="J46" i="27"/>
  <c r="I46" i="27"/>
  <c r="H46" i="27"/>
  <c r="B46" i="27"/>
  <c r="O45" i="27"/>
  <c r="N45" i="27"/>
  <c r="M45" i="27"/>
  <c r="L45" i="27"/>
  <c r="J45" i="27"/>
  <c r="I45" i="27"/>
  <c r="H45" i="27"/>
  <c r="B45" i="27"/>
  <c r="O44" i="27"/>
  <c r="N44" i="27"/>
  <c r="M44" i="27"/>
  <c r="L44" i="27"/>
  <c r="J44" i="27"/>
  <c r="I44" i="27"/>
  <c r="H44" i="27"/>
  <c r="B44" i="27"/>
  <c r="O43" i="27"/>
  <c r="N43" i="27"/>
  <c r="M43" i="27"/>
  <c r="L43" i="27"/>
  <c r="J43" i="27"/>
  <c r="I43" i="27"/>
  <c r="H43" i="27"/>
  <c r="B43" i="27"/>
  <c r="O42" i="27"/>
  <c r="N42" i="27"/>
  <c r="M42" i="27"/>
  <c r="L42" i="27"/>
  <c r="J42" i="27"/>
  <c r="I42" i="27"/>
  <c r="H42" i="27"/>
  <c r="B42" i="27"/>
  <c r="O41" i="27"/>
  <c r="N41" i="27"/>
  <c r="M41" i="27"/>
  <c r="L41" i="27"/>
  <c r="J41" i="27"/>
  <c r="I41" i="27"/>
  <c r="H41" i="27"/>
  <c r="B41" i="27"/>
  <c r="O40" i="27"/>
  <c r="N40" i="27"/>
  <c r="M40" i="27"/>
  <c r="L40" i="27"/>
  <c r="J40" i="27"/>
  <c r="I40" i="27"/>
  <c r="H40" i="27"/>
  <c r="B40" i="27"/>
  <c r="O39" i="27"/>
  <c r="N39" i="27"/>
  <c r="M39" i="27"/>
  <c r="L39" i="27"/>
  <c r="J39" i="27"/>
  <c r="I39" i="27"/>
  <c r="H39" i="27"/>
  <c r="B39" i="27"/>
  <c r="O38" i="27"/>
  <c r="N38" i="27"/>
  <c r="M38" i="27"/>
  <c r="L38" i="27"/>
  <c r="J38" i="27"/>
  <c r="I38" i="27"/>
  <c r="H38" i="27"/>
  <c r="B38" i="27"/>
  <c r="O37" i="27"/>
  <c r="N37" i="27"/>
  <c r="M37" i="27"/>
  <c r="L37" i="27"/>
  <c r="J37" i="27"/>
  <c r="I37" i="27"/>
  <c r="H37" i="27"/>
  <c r="B37" i="27"/>
  <c r="O36" i="27"/>
  <c r="N36" i="27"/>
  <c r="M36" i="27"/>
  <c r="L36" i="27"/>
  <c r="J36" i="27"/>
  <c r="I36" i="27"/>
  <c r="H36" i="27"/>
  <c r="B36" i="27"/>
  <c r="O35" i="27"/>
  <c r="N35" i="27"/>
  <c r="M35" i="27"/>
  <c r="L35" i="27"/>
  <c r="J35" i="27"/>
  <c r="I35" i="27"/>
  <c r="H35" i="27"/>
  <c r="B35" i="27"/>
  <c r="O34" i="27"/>
  <c r="N34" i="27"/>
  <c r="M34" i="27"/>
  <c r="L34" i="27"/>
  <c r="J34" i="27"/>
  <c r="I34" i="27"/>
  <c r="H34" i="27"/>
  <c r="B34" i="27"/>
  <c r="O33" i="27"/>
  <c r="N33" i="27"/>
  <c r="M33" i="27"/>
  <c r="L33" i="27"/>
  <c r="J33" i="27"/>
  <c r="I33" i="27"/>
  <c r="H33" i="27"/>
  <c r="B33" i="27"/>
  <c r="O32" i="27"/>
  <c r="N32" i="27"/>
  <c r="M32" i="27"/>
  <c r="L32" i="27"/>
  <c r="J32" i="27"/>
  <c r="I32" i="27"/>
  <c r="H32" i="27"/>
  <c r="B32" i="27"/>
  <c r="O31" i="27"/>
  <c r="N31" i="27"/>
  <c r="M31" i="27"/>
  <c r="L31" i="27"/>
  <c r="J31" i="27"/>
  <c r="I31" i="27"/>
  <c r="H31" i="27"/>
  <c r="B31" i="27"/>
  <c r="O30" i="27"/>
  <c r="N30" i="27"/>
  <c r="M30" i="27"/>
  <c r="L30" i="27"/>
  <c r="J30" i="27"/>
  <c r="I30" i="27"/>
  <c r="H30" i="27"/>
  <c r="B30" i="27"/>
  <c r="O29" i="27"/>
  <c r="N29" i="27"/>
  <c r="M29" i="27"/>
  <c r="L29" i="27"/>
  <c r="J29" i="27"/>
  <c r="I29" i="27"/>
  <c r="H29" i="27"/>
  <c r="B29" i="27"/>
  <c r="O28" i="27"/>
  <c r="N28" i="27"/>
  <c r="M28" i="27"/>
  <c r="L28" i="27"/>
  <c r="J28" i="27"/>
  <c r="I28" i="27"/>
  <c r="H28" i="27"/>
  <c r="B28" i="27"/>
  <c r="O27" i="27"/>
  <c r="N27" i="27"/>
  <c r="M27" i="27"/>
  <c r="L27" i="27"/>
  <c r="J27" i="27"/>
  <c r="I27" i="27"/>
  <c r="H27" i="27"/>
  <c r="B27" i="27"/>
  <c r="O26" i="27"/>
  <c r="N26" i="27"/>
  <c r="M26" i="27"/>
  <c r="L26" i="27"/>
  <c r="J26" i="27"/>
  <c r="I26" i="27"/>
  <c r="H26" i="27"/>
  <c r="B26" i="27"/>
  <c r="O25" i="27"/>
  <c r="N25" i="27"/>
  <c r="M25" i="27"/>
  <c r="L25" i="27"/>
  <c r="J25" i="27"/>
  <c r="I25" i="27"/>
  <c r="H25" i="27"/>
  <c r="B25" i="27"/>
  <c r="O24" i="27"/>
  <c r="N24" i="27"/>
  <c r="M24" i="27"/>
  <c r="L24" i="27"/>
  <c r="J24" i="27"/>
  <c r="I24" i="27"/>
  <c r="H24" i="27"/>
  <c r="B24" i="27"/>
  <c r="O23" i="27"/>
  <c r="N23" i="27"/>
  <c r="M23" i="27"/>
  <c r="L23" i="27"/>
  <c r="J23" i="27"/>
  <c r="I23" i="27"/>
  <c r="H23" i="27"/>
  <c r="B23" i="27"/>
  <c r="O22" i="27"/>
  <c r="N22" i="27"/>
  <c r="M22" i="27"/>
  <c r="L22" i="27"/>
  <c r="J22" i="27"/>
  <c r="I22" i="27"/>
  <c r="H22" i="27"/>
  <c r="B22" i="27"/>
  <c r="O21" i="27"/>
  <c r="N21" i="27"/>
  <c r="M21" i="27"/>
  <c r="L21" i="27"/>
  <c r="J21" i="27"/>
  <c r="I21" i="27"/>
  <c r="H21" i="27"/>
  <c r="B21" i="27"/>
  <c r="O20" i="27"/>
  <c r="N20" i="27"/>
  <c r="M20" i="27"/>
  <c r="L20" i="27"/>
  <c r="J20" i="27"/>
  <c r="I20" i="27"/>
  <c r="H20" i="27"/>
  <c r="B20" i="27"/>
  <c r="O19" i="27"/>
  <c r="N19" i="27"/>
  <c r="M19" i="27"/>
  <c r="L19" i="27"/>
  <c r="J19" i="27"/>
  <c r="I19" i="27"/>
  <c r="H19" i="27"/>
  <c r="B19" i="27"/>
  <c r="O18" i="27"/>
  <c r="N18" i="27"/>
  <c r="M18" i="27"/>
  <c r="L18" i="27"/>
  <c r="J18" i="27"/>
  <c r="I18" i="27"/>
  <c r="H18" i="27"/>
  <c r="B18" i="27"/>
  <c r="O17" i="27"/>
  <c r="N17" i="27"/>
  <c r="M17" i="27"/>
  <c r="L17" i="27"/>
  <c r="J17" i="27"/>
  <c r="I17" i="27"/>
  <c r="H17" i="27"/>
  <c r="B17" i="27"/>
  <c r="O16" i="27"/>
  <c r="N16" i="27"/>
  <c r="M16" i="27"/>
  <c r="L16" i="27"/>
  <c r="J16" i="27"/>
  <c r="I16" i="27"/>
  <c r="H16" i="27"/>
  <c r="B16" i="27"/>
  <c r="O15" i="27"/>
  <c r="N15" i="27"/>
  <c r="M15" i="27"/>
  <c r="L15" i="27"/>
  <c r="J15" i="27"/>
  <c r="I15" i="27"/>
  <c r="H15" i="27"/>
  <c r="B15" i="27"/>
  <c r="O14" i="27"/>
  <c r="N14" i="27"/>
  <c r="M14" i="27"/>
  <c r="L14" i="27"/>
  <c r="J14" i="27"/>
  <c r="I14" i="27"/>
  <c r="H14" i="27"/>
  <c r="B14" i="27"/>
  <c r="O13" i="27"/>
  <c r="N13" i="27"/>
  <c r="M13" i="27"/>
  <c r="L13" i="27"/>
  <c r="J13" i="27"/>
  <c r="I13" i="27"/>
  <c r="H13" i="27"/>
  <c r="B13" i="27"/>
  <c r="I163" i="26"/>
  <c r="H163" i="26"/>
  <c r="I162" i="26"/>
  <c r="H162" i="26"/>
  <c r="I161" i="26"/>
  <c r="H161" i="26"/>
  <c r="I160" i="26"/>
  <c r="H160" i="26"/>
  <c r="I159" i="26"/>
  <c r="H159" i="26"/>
  <c r="I158" i="26"/>
  <c r="H158" i="26"/>
  <c r="I157" i="26"/>
  <c r="H157" i="26"/>
  <c r="I156" i="26"/>
  <c r="H156" i="26"/>
  <c r="I155" i="26"/>
  <c r="H155" i="26"/>
  <c r="I154" i="26"/>
  <c r="H154" i="26"/>
  <c r="I153" i="26"/>
  <c r="H153" i="26"/>
  <c r="I152" i="26"/>
  <c r="H152" i="26"/>
  <c r="I151" i="26"/>
  <c r="H151" i="26"/>
  <c r="I150" i="26"/>
  <c r="H150" i="26"/>
  <c r="I149" i="26"/>
  <c r="H149" i="26"/>
  <c r="I148" i="26"/>
  <c r="H148" i="26"/>
  <c r="I147" i="26"/>
  <c r="H147" i="26"/>
  <c r="I146" i="26"/>
  <c r="H146" i="26"/>
  <c r="I145" i="26"/>
  <c r="H145" i="26"/>
  <c r="I144" i="26"/>
  <c r="H144" i="26"/>
  <c r="I143" i="26"/>
  <c r="H143" i="26"/>
  <c r="I142" i="26"/>
  <c r="H142" i="26"/>
  <c r="I141" i="26"/>
  <c r="H141" i="26"/>
  <c r="I140" i="26"/>
  <c r="H140" i="26"/>
  <c r="I139" i="26"/>
  <c r="H139" i="26"/>
  <c r="I138" i="26"/>
  <c r="H138" i="26"/>
  <c r="I137" i="26"/>
  <c r="H137" i="26"/>
  <c r="I136" i="26"/>
  <c r="H136" i="26"/>
  <c r="I135" i="26"/>
  <c r="H135" i="26"/>
  <c r="I134" i="26"/>
  <c r="H134" i="26"/>
  <c r="I133" i="26"/>
  <c r="H133" i="26"/>
  <c r="I132" i="26"/>
  <c r="H132" i="26"/>
  <c r="I131" i="26"/>
  <c r="H131" i="26"/>
  <c r="I130" i="26"/>
  <c r="H130" i="26"/>
  <c r="I129" i="26"/>
  <c r="H129" i="26"/>
  <c r="I128" i="26"/>
  <c r="H128" i="26"/>
  <c r="O124" i="26"/>
  <c r="N124" i="26"/>
  <c r="M124" i="26"/>
  <c r="L124" i="26"/>
  <c r="J124" i="26"/>
  <c r="I124" i="26"/>
  <c r="H124" i="26"/>
  <c r="B124" i="26"/>
  <c r="O123" i="26"/>
  <c r="N123" i="26"/>
  <c r="M123" i="26"/>
  <c r="L123" i="26"/>
  <c r="J123" i="26"/>
  <c r="I123" i="26"/>
  <c r="H123" i="26"/>
  <c r="B123" i="26"/>
  <c r="O122" i="26"/>
  <c r="N122" i="26"/>
  <c r="M122" i="26"/>
  <c r="L122" i="26"/>
  <c r="J122" i="26"/>
  <c r="I122" i="26"/>
  <c r="H122" i="26"/>
  <c r="B122" i="26"/>
  <c r="O121" i="26"/>
  <c r="N121" i="26"/>
  <c r="M121" i="26"/>
  <c r="L121" i="26"/>
  <c r="J121" i="26"/>
  <c r="I121" i="26"/>
  <c r="H121" i="26"/>
  <c r="B121" i="26"/>
  <c r="O120" i="26"/>
  <c r="N120" i="26"/>
  <c r="M120" i="26"/>
  <c r="L120" i="26"/>
  <c r="J120" i="26"/>
  <c r="I120" i="26"/>
  <c r="H120" i="26"/>
  <c r="B120" i="26"/>
  <c r="O119" i="26"/>
  <c r="N119" i="26"/>
  <c r="M119" i="26"/>
  <c r="L119" i="26"/>
  <c r="J119" i="26"/>
  <c r="I119" i="26"/>
  <c r="H119" i="26"/>
  <c r="B119" i="26"/>
  <c r="O118" i="26"/>
  <c r="N118" i="26"/>
  <c r="M118" i="26"/>
  <c r="L118" i="26"/>
  <c r="J118" i="26"/>
  <c r="I118" i="26"/>
  <c r="H118" i="26"/>
  <c r="B118" i="26"/>
  <c r="O117" i="26"/>
  <c r="N117" i="26"/>
  <c r="M117" i="26"/>
  <c r="L117" i="26"/>
  <c r="J117" i="26"/>
  <c r="I117" i="26"/>
  <c r="H117" i="26"/>
  <c r="B117" i="26"/>
  <c r="O116" i="26"/>
  <c r="N116" i="26"/>
  <c r="M116" i="26"/>
  <c r="L116" i="26"/>
  <c r="J116" i="26"/>
  <c r="I116" i="26"/>
  <c r="H116" i="26"/>
  <c r="B116" i="26"/>
  <c r="O115" i="26"/>
  <c r="N115" i="26"/>
  <c r="M115" i="26"/>
  <c r="L115" i="26"/>
  <c r="J115" i="26"/>
  <c r="I115" i="26"/>
  <c r="H115" i="26"/>
  <c r="B115" i="26"/>
  <c r="O114" i="26"/>
  <c r="N114" i="26"/>
  <c r="M114" i="26"/>
  <c r="L114" i="26"/>
  <c r="J114" i="26"/>
  <c r="I114" i="26"/>
  <c r="H114" i="26"/>
  <c r="B114" i="26"/>
  <c r="O113" i="26"/>
  <c r="N113" i="26"/>
  <c r="M113" i="26"/>
  <c r="L113" i="26"/>
  <c r="J113" i="26"/>
  <c r="I113" i="26"/>
  <c r="H113" i="26"/>
  <c r="B113" i="26"/>
  <c r="O112" i="26"/>
  <c r="N112" i="26"/>
  <c r="M112" i="26"/>
  <c r="L112" i="26"/>
  <c r="J112" i="26"/>
  <c r="I112" i="26"/>
  <c r="H112" i="26"/>
  <c r="B112" i="26"/>
  <c r="O111" i="26"/>
  <c r="N111" i="26"/>
  <c r="M111" i="26"/>
  <c r="L111" i="26"/>
  <c r="J111" i="26"/>
  <c r="I111" i="26"/>
  <c r="H111" i="26"/>
  <c r="B111" i="26"/>
  <c r="O110" i="26"/>
  <c r="N110" i="26"/>
  <c r="M110" i="26"/>
  <c r="L110" i="26"/>
  <c r="J110" i="26"/>
  <c r="I110" i="26"/>
  <c r="H110" i="26"/>
  <c r="B110" i="26"/>
  <c r="O109" i="26"/>
  <c r="N109" i="26"/>
  <c r="M109" i="26"/>
  <c r="L109" i="26"/>
  <c r="J109" i="26"/>
  <c r="I109" i="26"/>
  <c r="H109" i="26"/>
  <c r="B109" i="26"/>
  <c r="O108" i="26"/>
  <c r="N108" i="26"/>
  <c r="M108" i="26"/>
  <c r="L108" i="26"/>
  <c r="J108" i="26"/>
  <c r="I108" i="26"/>
  <c r="H108" i="26"/>
  <c r="B108" i="26"/>
  <c r="O107" i="26"/>
  <c r="N107" i="26"/>
  <c r="M107" i="26"/>
  <c r="L107" i="26"/>
  <c r="J107" i="26"/>
  <c r="I107" i="26"/>
  <c r="H107" i="26"/>
  <c r="B107" i="26"/>
  <c r="O106" i="26"/>
  <c r="N106" i="26"/>
  <c r="M106" i="26"/>
  <c r="L106" i="26"/>
  <c r="J106" i="26"/>
  <c r="I106" i="26"/>
  <c r="H106" i="26"/>
  <c r="B106" i="26"/>
  <c r="O105" i="26"/>
  <c r="N105" i="26"/>
  <c r="M105" i="26"/>
  <c r="L105" i="26"/>
  <c r="J105" i="26"/>
  <c r="I105" i="26"/>
  <c r="H105" i="26"/>
  <c r="B105" i="26"/>
  <c r="O104" i="26"/>
  <c r="N104" i="26"/>
  <c r="M104" i="26"/>
  <c r="L104" i="26"/>
  <c r="J104" i="26"/>
  <c r="I104" i="26"/>
  <c r="H104" i="26"/>
  <c r="B104" i="26"/>
  <c r="O103" i="26"/>
  <c r="N103" i="26"/>
  <c r="M103" i="26"/>
  <c r="L103" i="26"/>
  <c r="J103" i="26"/>
  <c r="I103" i="26"/>
  <c r="H103" i="26"/>
  <c r="B103" i="26"/>
  <c r="O102" i="26"/>
  <c r="N102" i="26"/>
  <c r="M102" i="26"/>
  <c r="L102" i="26"/>
  <c r="J102" i="26"/>
  <c r="I102" i="26"/>
  <c r="H102" i="26"/>
  <c r="B102" i="26"/>
  <c r="O101" i="26"/>
  <c r="N101" i="26"/>
  <c r="M101" i="26"/>
  <c r="L101" i="26"/>
  <c r="J101" i="26"/>
  <c r="I101" i="26"/>
  <c r="H101" i="26"/>
  <c r="B101" i="26"/>
  <c r="O100" i="26"/>
  <c r="N100" i="26"/>
  <c r="M100" i="26"/>
  <c r="L100" i="26"/>
  <c r="J100" i="26"/>
  <c r="I100" i="26"/>
  <c r="H100" i="26"/>
  <c r="B100" i="26"/>
  <c r="O99" i="26"/>
  <c r="N99" i="26"/>
  <c r="M99" i="26"/>
  <c r="L99" i="26"/>
  <c r="J99" i="26"/>
  <c r="I99" i="26"/>
  <c r="H99" i="26"/>
  <c r="B99" i="26"/>
  <c r="O98" i="26"/>
  <c r="N98" i="26"/>
  <c r="M98" i="26"/>
  <c r="L98" i="26"/>
  <c r="J98" i="26"/>
  <c r="I98" i="26"/>
  <c r="H98" i="26"/>
  <c r="B98" i="26"/>
  <c r="O97" i="26"/>
  <c r="N97" i="26"/>
  <c r="M97" i="26"/>
  <c r="L97" i="26"/>
  <c r="J97" i="26"/>
  <c r="I97" i="26"/>
  <c r="H97" i="26"/>
  <c r="B97" i="26"/>
  <c r="O96" i="26"/>
  <c r="N96" i="26"/>
  <c r="M96" i="26"/>
  <c r="L96" i="26"/>
  <c r="J96" i="26"/>
  <c r="I96" i="26"/>
  <c r="H96" i="26"/>
  <c r="B96" i="26"/>
  <c r="O95" i="26"/>
  <c r="N95" i="26"/>
  <c r="M95" i="26"/>
  <c r="L95" i="26"/>
  <c r="J95" i="26"/>
  <c r="I95" i="26"/>
  <c r="H95" i="26"/>
  <c r="B95" i="26"/>
  <c r="O94" i="26"/>
  <c r="N94" i="26"/>
  <c r="M94" i="26"/>
  <c r="L94" i="26"/>
  <c r="J94" i="26"/>
  <c r="I94" i="26"/>
  <c r="H94" i="26"/>
  <c r="B94" i="26"/>
  <c r="O93" i="26"/>
  <c r="N93" i="26"/>
  <c r="M93" i="26"/>
  <c r="L93" i="26"/>
  <c r="J93" i="26"/>
  <c r="I93" i="26"/>
  <c r="H93" i="26"/>
  <c r="B93" i="26"/>
  <c r="O92" i="26"/>
  <c r="N92" i="26"/>
  <c r="M92" i="26"/>
  <c r="L92" i="26"/>
  <c r="J92" i="26"/>
  <c r="I92" i="26"/>
  <c r="H92" i="26"/>
  <c r="B92" i="26"/>
  <c r="O91" i="26"/>
  <c r="N91" i="26"/>
  <c r="M91" i="26"/>
  <c r="L91" i="26"/>
  <c r="J91" i="26"/>
  <c r="I91" i="26"/>
  <c r="H91" i="26"/>
  <c r="B91" i="26"/>
  <c r="O90" i="26"/>
  <c r="N90" i="26"/>
  <c r="M90" i="26"/>
  <c r="L90" i="26"/>
  <c r="J90" i="26"/>
  <c r="I90" i="26"/>
  <c r="H90" i="26"/>
  <c r="B90" i="26"/>
  <c r="O89" i="26"/>
  <c r="N89" i="26"/>
  <c r="M89" i="26"/>
  <c r="L89" i="26"/>
  <c r="J89" i="26"/>
  <c r="I89" i="26"/>
  <c r="H89" i="26"/>
  <c r="B89" i="26"/>
  <c r="O88" i="26"/>
  <c r="N88" i="26"/>
  <c r="M88" i="26"/>
  <c r="L88" i="26"/>
  <c r="J88" i="26"/>
  <c r="I88" i="26"/>
  <c r="H88" i="26"/>
  <c r="B88" i="26"/>
  <c r="O87" i="26"/>
  <c r="N87" i="26"/>
  <c r="M87" i="26"/>
  <c r="L87" i="26"/>
  <c r="J87" i="26"/>
  <c r="I87" i="26"/>
  <c r="H87" i="26"/>
  <c r="B87" i="26"/>
  <c r="O86" i="26"/>
  <c r="N86" i="26"/>
  <c r="M86" i="26"/>
  <c r="L86" i="26"/>
  <c r="J86" i="26"/>
  <c r="I86" i="26"/>
  <c r="H86" i="26"/>
  <c r="B86" i="26"/>
  <c r="O85" i="26"/>
  <c r="N85" i="26"/>
  <c r="M85" i="26"/>
  <c r="L85" i="26"/>
  <c r="J85" i="26"/>
  <c r="I85" i="26"/>
  <c r="H85" i="26"/>
  <c r="B85" i="26"/>
  <c r="O84" i="26"/>
  <c r="N84" i="26"/>
  <c r="M84" i="26"/>
  <c r="L84" i="26"/>
  <c r="J84" i="26"/>
  <c r="I84" i="26"/>
  <c r="H84" i="26"/>
  <c r="B84" i="26"/>
  <c r="O83" i="26"/>
  <c r="N83" i="26"/>
  <c r="M83" i="26"/>
  <c r="L83" i="26"/>
  <c r="J83" i="26"/>
  <c r="I83" i="26"/>
  <c r="H83" i="26"/>
  <c r="B83" i="26"/>
  <c r="O82" i="26"/>
  <c r="N82" i="26"/>
  <c r="M82" i="26"/>
  <c r="L82" i="26"/>
  <c r="J82" i="26"/>
  <c r="I82" i="26"/>
  <c r="H82" i="26"/>
  <c r="B82" i="26"/>
  <c r="O81" i="26"/>
  <c r="N81" i="26"/>
  <c r="M81" i="26"/>
  <c r="L81" i="26"/>
  <c r="J81" i="26"/>
  <c r="I81" i="26"/>
  <c r="H81" i="26"/>
  <c r="B81" i="26"/>
  <c r="O80" i="26"/>
  <c r="N80" i="26"/>
  <c r="M80" i="26"/>
  <c r="L80" i="26"/>
  <c r="J80" i="26"/>
  <c r="I80" i="26"/>
  <c r="H80" i="26"/>
  <c r="B80" i="26"/>
  <c r="O79" i="26"/>
  <c r="N79" i="26"/>
  <c r="M79" i="26"/>
  <c r="L79" i="26"/>
  <c r="J79" i="26"/>
  <c r="I79" i="26"/>
  <c r="H79" i="26"/>
  <c r="B79" i="26"/>
  <c r="O78" i="26"/>
  <c r="N78" i="26"/>
  <c r="M78" i="26"/>
  <c r="L78" i="26"/>
  <c r="J78" i="26"/>
  <c r="I78" i="26"/>
  <c r="H78" i="26"/>
  <c r="B78" i="26"/>
  <c r="O77" i="26"/>
  <c r="N77" i="26"/>
  <c r="M77" i="26"/>
  <c r="L77" i="26"/>
  <c r="J77" i="26"/>
  <c r="I77" i="26"/>
  <c r="H77" i="26"/>
  <c r="B77" i="26"/>
  <c r="O76" i="26"/>
  <c r="N76" i="26"/>
  <c r="M76" i="26"/>
  <c r="L76" i="26"/>
  <c r="J76" i="26"/>
  <c r="I76" i="26"/>
  <c r="H76" i="26"/>
  <c r="B76" i="26"/>
  <c r="O75" i="26"/>
  <c r="N75" i="26"/>
  <c r="M75" i="26"/>
  <c r="L75" i="26"/>
  <c r="J75" i="26"/>
  <c r="I75" i="26"/>
  <c r="H75" i="26"/>
  <c r="B75" i="26"/>
  <c r="O74" i="26"/>
  <c r="N74" i="26"/>
  <c r="M74" i="26"/>
  <c r="L74" i="26"/>
  <c r="J74" i="26"/>
  <c r="I74" i="26"/>
  <c r="H74" i="26"/>
  <c r="B74" i="26"/>
  <c r="O73" i="26"/>
  <c r="N73" i="26"/>
  <c r="M73" i="26"/>
  <c r="L73" i="26"/>
  <c r="J73" i="26"/>
  <c r="I73" i="26"/>
  <c r="H73" i="26"/>
  <c r="B73" i="26"/>
  <c r="O72" i="26"/>
  <c r="N72" i="26"/>
  <c r="M72" i="26"/>
  <c r="L72" i="26"/>
  <c r="J72" i="26"/>
  <c r="I72" i="26"/>
  <c r="H72" i="26"/>
  <c r="B72" i="26"/>
  <c r="O71" i="26"/>
  <c r="N71" i="26"/>
  <c r="M71" i="26"/>
  <c r="L71" i="26"/>
  <c r="J71" i="26"/>
  <c r="I71" i="26"/>
  <c r="H71" i="26"/>
  <c r="B71" i="26"/>
  <c r="O70" i="26"/>
  <c r="N70" i="26"/>
  <c r="M70" i="26"/>
  <c r="L70" i="26"/>
  <c r="J70" i="26"/>
  <c r="I70" i="26"/>
  <c r="H70" i="26"/>
  <c r="B70" i="26"/>
  <c r="O69" i="26"/>
  <c r="N69" i="26"/>
  <c r="M69" i="26"/>
  <c r="L69" i="26"/>
  <c r="J69" i="26"/>
  <c r="I69" i="26"/>
  <c r="H69" i="26"/>
  <c r="B69" i="26"/>
  <c r="O68" i="26"/>
  <c r="N68" i="26"/>
  <c r="M68" i="26"/>
  <c r="L68" i="26"/>
  <c r="J68" i="26"/>
  <c r="I68" i="26"/>
  <c r="H68" i="26"/>
  <c r="B68" i="26"/>
  <c r="O67" i="26"/>
  <c r="N67" i="26"/>
  <c r="M67" i="26"/>
  <c r="L67" i="26"/>
  <c r="J67" i="26"/>
  <c r="I67" i="26"/>
  <c r="H67" i="26"/>
  <c r="B67" i="26"/>
  <c r="O66" i="26"/>
  <c r="N66" i="26"/>
  <c r="M66" i="26"/>
  <c r="L66" i="26"/>
  <c r="J66" i="26"/>
  <c r="I66" i="26"/>
  <c r="H66" i="26"/>
  <c r="B66" i="26"/>
  <c r="O65" i="26"/>
  <c r="N65" i="26"/>
  <c r="M65" i="26"/>
  <c r="L65" i="26"/>
  <c r="J65" i="26"/>
  <c r="I65" i="26"/>
  <c r="H65" i="26"/>
  <c r="B65" i="26"/>
  <c r="O64" i="26"/>
  <c r="N64" i="26"/>
  <c r="M64" i="26"/>
  <c r="L64" i="26"/>
  <c r="J64" i="26"/>
  <c r="I64" i="26"/>
  <c r="H64" i="26"/>
  <c r="B64" i="26"/>
  <c r="O63" i="26"/>
  <c r="N63" i="26"/>
  <c r="M63" i="26"/>
  <c r="L63" i="26"/>
  <c r="J63" i="26"/>
  <c r="I63" i="26"/>
  <c r="H63" i="26"/>
  <c r="B63" i="26"/>
  <c r="O62" i="26"/>
  <c r="N62" i="26"/>
  <c r="M62" i="26"/>
  <c r="L62" i="26"/>
  <c r="J62" i="26"/>
  <c r="I62" i="26"/>
  <c r="H62" i="26"/>
  <c r="B62" i="26"/>
  <c r="O61" i="26"/>
  <c r="N61" i="26"/>
  <c r="M61" i="26"/>
  <c r="L61" i="26"/>
  <c r="J61" i="26"/>
  <c r="I61" i="26"/>
  <c r="H61" i="26"/>
  <c r="B61" i="26"/>
  <c r="O60" i="26"/>
  <c r="N60" i="26"/>
  <c r="M60" i="26"/>
  <c r="L60" i="26"/>
  <c r="J60" i="26"/>
  <c r="I60" i="26"/>
  <c r="H60" i="26"/>
  <c r="B60" i="26"/>
  <c r="O59" i="26"/>
  <c r="N59" i="26"/>
  <c r="M59" i="26"/>
  <c r="L59" i="26"/>
  <c r="J59" i="26"/>
  <c r="I59" i="26"/>
  <c r="H59" i="26"/>
  <c r="B59" i="26"/>
  <c r="O58" i="26"/>
  <c r="N58" i="26"/>
  <c r="M58" i="26"/>
  <c r="L58" i="26"/>
  <c r="J58" i="26"/>
  <c r="I58" i="26"/>
  <c r="H58" i="26"/>
  <c r="B58" i="26"/>
  <c r="O57" i="26"/>
  <c r="N57" i="26"/>
  <c r="M57" i="26"/>
  <c r="L57" i="26"/>
  <c r="J57" i="26"/>
  <c r="I57" i="26"/>
  <c r="H57" i="26"/>
  <c r="B57" i="26"/>
  <c r="O56" i="26"/>
  <c r="N56" i="26"/>
  <c r="M56" i="26"/>
  <c r="L56" i="26"/>
  <c r="J56" i="26"/>
  <c r="I56" i="26"/>
  <c r="H56" i="26"/>
  <c r="B56" i="26"/>
  <c r="O55" i="26"/>
  <c r="N55" i="26"/>
  <c r="M55" i="26"/>
  <c r="L55" i="26"/>
  <c r="J55" i="26"/>
  <c r="I55" i="26"/>
  <c r="H55" i="26"/>
  <c r="B55" i="26"/>
  <c r="O54" i="26"/>
  <c r="N54" i="26"/>
  <c r="M54" i="26"/>
  <c r="L54" i="26"/>
  <c r="J54" i="26"/>
  <c r="I54" i="26"/>
  <c r="H54" i="26"/>
  <c r="B54" i="26"/>
  <c r="O53" i="26"/>
  <c r="N53" i="26"/>
  <c r="M53" i="26"/>
  <c r="L53" i="26"/>
  <c r="J53" i="26"/>
  <c r="I53" i="26"/>
  <c r="H53" i="26"/>
  <c r="B53" i="26"/>
  <c r="O52" i="26"/>
  <c r="N52" i="26"/>
  <c r="M52" i="26"/>
  <c r="L52" i="26"/>
  <c r="J52" i="26"/>
  <c r="I52" i="26"/>
  <c r="H52" i="26"/>
  <c r="B52" i="26"/>
  <c r="O51" i="26"/>
  <c r="N51" i="26"/>
  <c r="M51" i="26"/>
  <c r="L51" i="26"/>
  <c r="J51" i="26"/>
  <c r="I51" i="26"/>
  <c r="H51" i="26"/>
  <c r="B51" i="26"/>
  <c r="O50" i="26"/>
  <c r="N50" i="26"/>
  <c r="M50" i="26"/>
  <c r="L50" i="26"/>
  <c r="J50" i="26"/>
  <c r="I50" i="26"/>
  <c r="H50" i="26"/>
  <c r="B50" i="26"/>
  <c r="O49" i="26"/>
  <c r="N49" i="26"/>
  <c r="M49" i="26"/>
  <c r="L49" i="26"/>
  <c r="J49" i="26"/>
  <c r="I49" i="26"/>
  <c r="H49" i="26"/>
  <c r="B49" i="26"/>
  <c r="O48" i="26"/>
  <c r="N48" i="26"/>
  <c r="M48" i="26"/>
  <c r="L48" i="26"/>
  <c r="J48" i="26"/>
  <c r="I48" i="26"/>
  <c r="H48" i="26"/>
  <c r="B48" i="26"/>
  <c r="O47" i="26"/>
  <c r="N47" i="26"/>
  <c r="M47" i="26"/>
  <c r="L47" i="26"/>
  <c r="J47" i="26"/>
  <c r="I47" i="26"/>
  <c r="H47" i="26"/>
  <c r="B47" i="26"/>
  <c r="O46" i="26"/>
  <c r="N46" i="26"/>
  <c r="M46" i="26"/>
  <c r="L46" i="26"/>
  <c r="J46" i="26"/>
  <c r="I46" i="26"/>
  <c r="H46" i="26"/>
  <c r="B46" i="26"/>
  <c r="O45" i="26"/>
  <c r="N45" i="26"/>
  <c r="M45" i="26"/>
  <c r="L45" i="26"/>
  <c r="J45" i="26"/>
  <c r="I45" i="26"/>
  <c r="H45" i="26"/>
  <c r="B45" i="26"/>
  <c r="O44" i="26"/>
  <c r="N44" i="26"/>
  <c r="M44" i="26"/>
  <c r="L44" i="26"/>
  <c r="J44" i="26"/>
  <c r="I44" i="26"/>
  <c r="H44" i="26"/>
  <c r="B44" i="26"/>
  <c r="O43" i="26"/>
  <c r="N43" i="26"/>
  <c r="M43" i="26"/>
  <c r="L43" i="26"/>
  <c r="J43" i="26"/>
  <c r="I43" i="26"/>
  <c r="H43" i="26"/>
  <c r="B43" i="26"/>
  <c r="O42" i="26"/>
  <c r="N42" i="26"/>
  <c r="M42" i="26"/>
  <c r="L42" i="26"/>
  <c r="J42" i="26"/>
  <c r="I42" i="26"/>
  <c r="H42" i="26"/>
  <c r="B42" i="26"/>
  <c r="O41" i="26"/>
  <c r="N41" i="26"/>
  <c r="M41" i="26"/>
  <c r="L41" i="26"/>
  <c r="J41" i="26"/>
  <c r="I41" i="26"/>
  <c r="H41" i="26"/>
  <c r="B41" i="26"/>
  <c r="O40" i="26"/>
  <c r="N40" i="26"/>
  <c r="M40" i="26"/>
  <c r="L40" i="26"/>
  <c r="J40" i="26"/>
  <c r="I40" i="26"/>
  <c r="H40" i="26"/>
  <c r="B40" i="26"/>
  <c r="O39" i="26"/>
  <c r="N39" i="26"/>
  <c r="M39" i="26"/>
  <c r="L39" i="26"/>
  <c r="J39" i="26"/>
  <c r="I39" i="26"/>
  <c r="H39" i="26"/>
  <c r="B39" i="26"/>
  <c r="O38" i="26"/>
  <c r="N38" i="26"/>
  <c r="M38" i="26"/>
  <c r="L38" i="26"/>
  <c r="J38" i="26"/>
  <c r="I38" i="26"/>
  <c r="H38" i="26"/>
  <c r="B38" i="26"/>
  <c r="O37" i="26"/>
  <c r="N37" i="26"/>
  <c r="M37" i="26"/>
  <c r="L37" i="26"/>
  <c r="J37" i="26"/>
  <c r="I37" i="26"/>
  <c r="H37" i="26"/>
  <c r="B37" i="26"/>
  <c r="O36" i="26"/>
  <c r="N36" i="26"/>
  <c r="M36" i="26"/>
  <c r="L36" i="26"/>
  <c r="J36" i="26"/>
  <c r="I36" i="26"/>
  <c r="H36" i="26"/>
  <c r="B36" i="26"/>
  <c r="O35" i="26"/>
  <c r="N35" i="26"/>
  <c r="M35" i="26"/>
  <c r="L35" i="26"/>
  <c r="J35" i="26"/>
  <c r="I35" i="26"/>
  <c r="H35" i="26"/>
  <c r="B35" i="26"/>
  <c r="O34" i="26"/>
  <c r="N34" i="26"/>
  <c r="M34" i="26"/>
  <c r="L34" i="26"/>
  <c r="J34" i="26"/>
  <c r="I34" i="26"/>
  <c r="H34" i="26"/>
  <c r="B34" i="26"/>
  <c r="O33" i="26"/>
  <c r="N33" i="26"/>
  <c r="M33" i="26"/>
  <c r="L33" i="26"/>
  <c r="J33" i="26"/>
  <c r="I33" i="26"/>
  <c r="H33" i="26"/>
  <c r="B33" i="26"/>
  <c r="O32" i="26"/>
  <c r="N32" i="26"/>
  <c r="M32" i="26"/>
  <c r="L32" i="26"/>
  <c r="J32" i="26"/>
  <c r="I32" i="26"/>
  <c r="H32" i="26"/>
  <c r="B32" i="26"/>
  <c r="O31" i="26"/>
  <c r="N31" i="26"/>
  <c r="M31" i="26"/>
  <c r="L31" i="26"/>
  <c r="J31" i="26"/>
  <c r="I31" i="26"/>
  <c r="H31" i="26"/>
  <c r="B31" i="26"/>
  <c r="O30" i="26"/>
  <c r="N30" i="26"/>
  <c r="M30" i="26"/>
  <c r="L30" i="26"/>
  <c r="J30" i="26"/>
  <c r="I30" i="26"/>
  <c r="H30" i="26"/>
  <c r="B30" i="26"/>
  <c r="O29" i="26"/>
  <c r="N29" i="26"/>
  <c r="M29" i="26"/>
  <c r="L29" i="26"/>
  <c r="J29" i="26"/>
  <c r="I29" i="26"/>
  <c r="H29" i="26"/>
  <c r="B29" i="26"/>
  <c r="O28" i="26"/>
  <c r="N28" i="26"/>
  <c r="M28" i="26"/>
  <c r="L28" i="26"/>
  <c r="J28" i="26"/>
  <c r="I28" i="26"/>
  <c r="H28" i="26"/>
  <c r="B28" i="26"/>
  <c r="O27" i="26"/>
  <c r="N27" i="26"/>
  <c r="M27" i="26"/>
  <c r="L27" i="26"/>
  <c r="J27" i="26"/>
  <c r="I27" i="26"/>
  <c r="H27" i="26"/>
  <c r="B27" i="26"/>
  <c r="O26" i="26"/>
  <c r="N26" i="26"/>
  <c r="M26" i="26"/>
  <c r="L26" i="26"/>
  <c r="J26" i="26"/>
  <c r="I26" i="26"/>
  <c r="H26" i="26"/>
  <c r="B26" i="26"/>
  <c r="O25" i="26"/>
  <c r="N25" i="26"/>
  <c r="M25" i="26"/>
  <c r="L25" i="26"/>
  <c r="J25" i="26"/>
  <c r="I25" i="26"/>
  <c r="H25" i="26"/>
  <c r="B25" i="26"/>
  <c r="O24" i="26"/>
  <c r="N24" i="26"/>
  <c r="M24" i="26"/>
  <c r="L24" i="26"/>
  <c r="J24" i="26"/>
  <c r="I24" i="26"/>
  <c r="H24" i="26"/>
  <c r="B24" i="26"/>
  <c r="O23" i="26"/>
  <c r="N23" i="26"/>
  <c r="M23" i="26"/>
  <c r="L23" i="26"/>
  <c r="J23" i="26"/>
  <c r="I23" i="26"/>
  <c r="H23" i="26"/>
  <c r="B23" i="26"/>
  <c r="O22" i="26"/>
  <c r="N22" i="26"/>
  <c r="M22" i="26"/>
  <c r="L22" i="26"/>
  <c r="J22" i="26"/>
  <c r="I22" i="26"/>
  <c r="H22" i="26"/>
  <c r="B22" i="26"/>
  <c r="O21" i="26"/>
  <c r="N21" i="26"/>
  <c r="M21" i="26"/>
  <c r="L21" i="26"/>
  <c r="J21" i="26"/>
  <c r="I21" i="26"/>
  <c r="H21" i="26"/>
  <c r="B21" i="26"/>
  <c r="O20" i="26"/>
  <c r="N20" i="26"/>
  <c r="M20" i="26"/>
  <c r="L20" i="26"/>
  <c r="J20" i="26"/>
  <c r="I20" i="26"/>
  <c r="H20" i="26"/>
  <c r="B20" i="26"/>
  <c r="O19" i="26"/>
  <c r="N19" i="26"/>
  <c r="M19" i="26"/>
  <c r="L19" i="26"/>
  <c r="J19" i="26"/>
  <c r="I19" i="26"/>
  <c r="H19" i="26"/>
  <c r="B19" i="26"/>
  <c r="O18" i="26"/>
  <c r="N18" i="26"/>
  <c r="M18" i="26"/>
  <c r="L18" i="26"/>
  <c r="J18" i="26"/>
  <c r="I18" i="26"/>
  <c r="H18" i="26"/>
  <c r="B18" i="26"/>
  <c r="O17" i="26"/>
  <c r="N17" i="26"/>
  <c r="M17" i="26"/>
  <c r="L17" i="26"/>
  <c r="J17" i="26"/>
  <c r="I17" i="26"/>
  <c r="H17" i="26"/>
  <c r="B17" i="26"/>
  <c r="O16" i="26"/>
  <c r="N16" i="26"/>
  <c r="M16" i="26"/>
  <c r="L16" i="26"/>
  <c r="J16" i="26"/>
  <c r="I16" i="26"/>
  <c r="H16" i="26"/>
  <c r="B16" i="26"/>
  <c r="O15" i="26"/>
  <c r="N15" i="26"/>
  <c r="M15" i="26"/>
  <c r="L15" i="26"/>
  <c r="J15" i="26"/>
  <c r="I15" i="26"/>
  <c r="H15" i="26"/>
  <c r="B15" i="26"/>
  <c r="O14" i="26"/>
  <c r="N14" i="26"/>
  <c r="M14" i="26"/>
  <c r="L14" i="26"/>
  <c r="J14" i="26"/>
  <c r="I14" i="26"/>
  <c r="H14" i="26"/>
  <c r="B14" i="26"/>
  <c r="O13" i="26"/>
  <c r="N13" i="26"/>
  <c r="M13" i="26"/>
  <c r="L13" i="26"/>
  <c r="J13" i="26"/>
  <c r="I13" i="26"/>
  <c r="H13" i="26"/>
  <c r="B13" i="26"/>
  <c r="I224" i="25"/>
  <c r="H224" i="25"/>
  <c r="I223" i="25"/>
  <c r="H223" i="25"/>
  <c r="I222" i="25"/>
  <c r="H222" i="25"/>
  <c r="I221" i="25"/>
  <c r="H221" i="25"/>
  <c r="I220" i="25"/>
  <c r="H220" i="25"/>
  <c r="I219" i="25"/>
  <c r="H219" i="25"/>
  <c r="I218" i="25"/>
  <c r="H218" i="25"/>
  <c r="I217" i="25"/>
  <c r="H217" i="25"/>
  <c r="I216" i="25"/>
  <c r="H216" i="25"/>
  <c r="I215" i="25"/>
  <c r="H215" i="25"/>
  <c r="I214" i="25"/>
  <c r="H214" i="25"/>
  <c r="I213" i="25"/>
  <c r="H213" i="25"/>
  <c r="I212" i="25"/>
  <c r="H212" i="25"/>
  <c r="I211" i="25"/>
  <c r="H211" i="25"/>
  <c r="I210" i="25"/>
  <c r="H210" i="25"/>
  <c r="I209" i="25"/>
  <c r="H209" i="25"/>
  <c r="I208" i="25"/>
  <c r="H208" i="25"/>
  <c r="I207" i="25"/>
  <c r="H207" i="25"/>
  <c r="I206" i="25"/>
  <c r="H206" i="25"/>
  <c r="I205" i="25"/>
  <c r="H205" i="25"/>
  <c r="I204" i="25"/>
  <c r="H204" i="25"/>
  <c r="I203" i="25"/>
  <c r="H203" i="25"/>
  <c r="I202" i="25"/>
  <c r="H202" i="25"/>
  <c r="I201" i="25"/>
  <c r="H201" i="25"/>
  <c r="I200" i="25"/>
  <c r="H200" i="25"/>
  <c r="I199" i="25"/>
  <c r="H199" i="25"/>
  <c r="I198" i="25"/>
  <c r="H198" i="25"/>
  <c r="I197" i="25"/>
  <c r="H197" i="25"/>
  <c r="I196" i="25"/>
  <c r="H196" i="25"/>
  <c r="I195" i="25"/>
  <c r="H195" i="25"/>
  <c r="I194" i="25"/>
  <c r="H194" i="25"/>
  <c r="I193" i="25"/>
  <c r="H193" i="25"/>
  <c r="I192" i="25"/>
  <c r="H192" i="25"/>
  <c r="I191" i="25"/>
  <c r="H191" i="25"/>
  <c r="I190" i="25"/>
  <c r="H190" i="25"/>
  <c r="I189" i="25"/>
  <c r="H189" i="25"/>
  <c r="I188" i="25"/>
  <c r="H188" i="25"/>
  <c r="I187" i="25"/>
  <c r="H187" i="25"/>
  <c r="I186" i="25"/>
  <c r="H186" i="25"/>
  <c r="I185" i="25"/>
  <c r="H185" i="25"/>
  <c r="I184" i="25"/>
  <c r="H184" i="25"/>
  <c r="I183" i="25"/>
  <c r="H183" i="25"/>
  <c r="I182" i="25"/>
  <c r="H182" i="25"/>
  <c r="I181" i="25"/>
  <c r="H181" i="25"/>
  <c r="I180" i="25"/>
  <c r="H180" i="25"/>
  <c r="O176" i="25"/>
  <c r="N176" i="25"/>
  <c r="M176" i="25"/>
  <c r="L176" i="25"/>
  <c r="J176" i="25"/>
  <c r="I176" i="25"/>
  <c r="H176" i="25"/>
  <c r="B176" i="25"/>
  <c r="O175" i="25"/>
  <c r="N175" i="25"/>
  <c r="M175" i="25"/>
  <c r="L175" i="25"/>
  <c r="J175" i="25"/>
  <c r="I175" i="25"/>
  <c r="H175" i="25"/>
  <c r="B175" i="25"/>
  <c r="O174" i="25"/>
  <c r="N174" i="25"/>
  <c r="M174" i="25"/>
  <c r="L174" i="25"/>
  <c r="J174" i="25"/>
  <c r="I174" i="25"/>
  <c r="H174" i="25"/>
  <c r="B174" i="25"/>
  <c r="O173" i="25"/>
  <c r="N173" i="25"/>
  <c r="M173" i="25"/>
  <c r="L173" i="25"/>
  <c r="J173" i="25"/>
  <c r="I173" i="25"/>
  <c r="H173" i="25"/>
  <c r="B173" i="25"/>
  <c r="O172" i="25"/>
  <c r="N172" i="25"/>
  <c r="M172" i="25"/>
  <c r="L172" i="25"/>
  <c r="J172" i="25"/>
  <c r="I172" i="25"/>
  <c r="H172" i="25"/>
  <c r="B172" i="25"/>
  <c r="O171" i="25"/>
  <c r="N171" i="25"/>
  <c r="M171" i="25"/>
  <c r="L171" i="25"/>
  <c r="J171" i="25"/>
  <c r="I171" i="25"/>
  <c r="H171" i="25"/>
  <c r="B171" i="25"/>
  <c r="O170" i="25"/>
  <c r="N170" i="25"/>
  <c r="M170" i="25"/>
  <c r="L170" i="25"/>
  <c r="J170" i="25"/>
  <c r="I170" i="25"/>
  <c r="H170" i="25"/>
  <c r="B170" i="25"/>
  <c r="O169" i="25"/>
  <c r="N169" i="25"/>
  <c r="M169" i="25"/>
  <c r="L169" i="25"/>
  <c r="J169" i="25"/>
  <c r="I169" i="25"/>
  <c r="H169" i="25"/>
  <c r="B169" i="25"/>
  <c r="O168" i="25"/>
  <c r="N168" i="25"/>
  <c r="M168" i="25"/>
  <c r="L168" i="25"/>
  <c r="J168" i="25"/>
  <c r="I168" i="25"/>
  <c r="H168" i="25"/>
  <c r="B168" i="25"/>
  <c r="O167" i="25"/>
  <c r="N167" i="25"/>
  <c r="M167" i="25"/>
  <c r="L167" i="25"/>
  <c r="J167" i="25"/>
  <c r="I167" i="25"/>
  <c r="H167" i="25"/>
  <c r="B167" i="25"/>
  <c r="O166" i="25"/>
  <c r="N166" i="25"/>
  <c r="M166" i="25"/>
  <c r="L166" i="25"/>
  <c r="J166" i="25"/>
  <c r="I166" i="25"/>
  <c r="H166" i="25"/>
  <c r="B166" i="25"/>
  <c r="O165" i="25"/>
  <c r="N165" i="25"/>
  <c r="M165" i="25"/>
  <c r="L165" i="25"/>
  <c r="J165" i="25"/>
  <c r="I165" i="25"/>
  <c r="H165" i="25"/>
  <c r="B165" i="25"/>
  <c r="O164" i="25"/>
  <c r="N164" i="25"/>
  <c r="M164" i="25"/>
  <c r="L164" i="25"/>
  <c r="J164" i="25"/>
  <c r="I164" i="25"/>
  <c r="H164" i="25"/>
  <c r="B164" i="25"/>
  <c r="O163" i="25"/>
  <c r="N163" i="25"/>
  <c r="M163" i="25"/>
  <c r="L163" i="25"/>
  <c r="J163" i="25"/>
  <c r="I163" i="25"/>
  <c r="H163" i="25"/>
  <c r="B163" i="25"/>
  <c r="O162" i="25"/>
  <c r="N162" i="25"/>
  <c r="M162" i="25"/>
  <c r="L162" i="25"/>
  <c r="J162" i="25"/>
  <c r="I162" i="25"/>
  <c r="H162" i="25"/>
  <c r="B162" i="25"/>
  <c r="O161" i="25"/>
  <c r="N161" i="25"/>
  <c r="M161" i="25"/>
  <c r="L161" i="25"/>
  <c r="J161" i="25"/>
  <c r="I161" i="25"/>
  <c r="H161" i="25"/>
  <c r="B161" i="25"/>
  <c r="O160" i="25"/>
  <c r="N160" i="25"/>
  <c r="M160" i="25"/>
  <c r="L160" i="25"/>
  <c r="J160" i="25"/>
  <c r="I160" i="25"/>
  <c r="H160" i="25"/>
  <c r="B160" i="25"/>
  <c r="O159" i="25"/>
  <c r="N159" i="25"/>
  <c r="M159" i="25"/>
  <c r="L159" i="25"/>
  <c r="J159" i="25"/>
  <c r="I159" i="25"/>
  <c r="H159" i="25"/>
  <c r="B159" i="25"/>
  <c r="O158" i="25"/>
  <c r="N158" i="25"/>
  <c r="M158" i="25"/>
  <c r="L158" i="25"/>
  <c r="J158" i="25"/>
  <c r="I158" i="25"/>
  <c r="H158" i="25"/>
  <c r="B158" i="25"/>
  <c r="O157" i="25"/>
  <c r="N157" i="25"/>
  <c r="M157" i="25"/>
  <c r="L157" i="25"/>
  <c r="J157" i="25"/>
  <c r="I157" i="25"/>
  <c r="H157" i="25"/>
  <c r="B157" i="25"/>
  <c r="O156" i="25"/>
  <c r="N156" i="25"/>
  <c r="M156" i="25"/>
  <c r="L156" i="25"/>
  <c r="J156" i="25"/>
  <c r="I156" i="25"/>
  <c r="H156" i="25"/>
  <c r="B156" i="25"/>
  <c r="O155" i="25"/>
  <c r="N155" i="25"/>
  <c r="M155" i="25"/>
  <c r="L155" i="25"/>
  <c r="J155" i="25"/>
  <c r="I155" i="25"/>
  <c r="H155" i="25"/>
  <c r="B155" i="25"/>
  <c r="O154" i="25"/>
  <c r="N154" i="25"/>
  <c r="M154" i="25"/>
  <c r="L154" i="25"/>
  <c r="J154" i="25"/>
  <c r="I154" i="25"/>
  <c r="H154" i="25"/>
  <c r="O153" i="25"/>
  <c r="N153" i="25"/>
  <c r="M153" i="25"/>
  <c r="L153" i="25"/>
  <c r="J153" i="25"/>
  <c r="I153" i="25"/>
  <c r="H153" i="25"/>
  <c r="B153" i="25"/>
  <c r="O152" i="25"/>
  <c r="N152" i="25"/>
  <c r="M152" i="25"/>
  <c r="L152" i="25"/>
  <c r="J152" i="25"/>
  <c r="I152" i="25"/>
  <c r="H152" i="25"/>
  <c r="B152" i="25"/>
  <c r="O151" i="25"/>
  <c r="N151" i="25"/>
  <c r="M151" i="25"/>
  <c r="L151" i="25"/>
  <c r="J151" i="25"/>
  <c r="I151" i="25"/>
  <c r="H151" i="25"/>
  <c r="B151" i="25"/>
  <c r="O150" i="25"/>
  <c r="N150" i="25"/>
  <c r="M150" i="25"/>
  <c r="L150" i="25"/>
  <c r="J150" i="25"/>
  <c r="I150" i="25"/>
  <c r="H150" i="25"/>
  <c r="B150" i="25"/>
  <c r="O149" i="25"/>
  <c r="N149" i="25"/>
  <c r="M149" i="25"/>
  <c r="L149" i="25"/>
  <c r="J149" i="25"/>
  <c r="I149" i="25"/>
  <c r="H149" i="25"/>
  <c r="B149" i="25"/>
  <c r="O148" i="25"/>
  <c r="N148" i="25"/>
  <c r="M148" i="25"/>
  <c r="L148" i="25"/>
  <c r="J148" i="25"/>
  <c r="I148" i="25"/>
  <c r="H148" i="25"/>
  <c r="B148" i="25"/>
  <c r="O147" i="25"/>
  <c r="N147" i="25"/>
  <c r="M147" i="25"/>
  <c r="L147" i="25"/>
  <c r="J147" i="25"/>
  <c r="I147" i="25"/>
  <c r="H147" i="25"/>
  <c r="B147" i="25"/>
  <c r="O146" i="25"/>
  <c r="N146" i="25"/>
  <c r="M146" i="25"/>
  <c r="L146" i="25"/>
  <c r="J146" i="25"/>
  <c r="I146" i="25"/>
  <c r="H146" i="25"/>
  <c r="B146" i="25"/>
  <c r="O145" i="25"/>
  <c r="N145" i="25"/>
  <c r="M145" i="25"/>
  <c r="L145" i="25"/>
  <c r="J145" i="25"/>
  <c r="I145" i="25"/>
  <c r="H145" i="25"/>
  <c r="B145" i="25"/>
  <c r="O144" i="25"/>
  <c r="N144" i="25"/>
  <c r="M144" i="25"/>
  <c r="L144" i="25"/>
  <c r="J144" i="25"/>
  <c r="I144" i="25"/>
  <c r="H144" i="25"/>
  <c r="B144" i="25"/>
  <c r="O143" i="25"/>
  <c r="N143" i="25"/>
  <c r="M143" i="25"/>
  <c r="L143" i="25"/>
  <c r="J143" i="25"/>
  <c r="I143" i="25"/>
  <c r="H143" i="25"/>
  <c r="B143" i="25"/>
  <c r="O142" i="25"/>
  <c r="N142" i="25"/>
  <c r="M142" i="25"/>
  <c r="L142" i="25"/>
  <c r="J142" i="25"/>
  <c r="I142" i="25"/>
  <c r="H142" i="25"/>
  <c r="B142" i="25"/>
  <c r="O141" i="25"/>
  <c r="N141" i="25"/>
  <c r="M141" i="25"/>
  <c r="L141" i="25"/>
  <c r="J141" i="25"/>
  <c r="I141" i="25"/>
  <c r="H141" i="25"/>
  <c r="B141" i="25"/>
  <c r="O140" i="25"/>
  <c r="N140" i="25"/>
  <c r="M140" i="25"/>
  <c r="L140" i="25"/>
  <c r="J140" i="25"/>
  <c r="I140" i="25"/>
  <c r="H140" i="25"/>
  <c r="B140" i="25"/>
  <c r="O139" i="25"/>
  <c r="N139" i="25"/>
  <c r="M139" i="25"/>
  <c r="L139" i="25"/>
  <c r="J139" i="25"/>
  <c r="I139" i="25"/>
  <c r="H139" i="25"/>
  <c r="B139" i="25"/>
  <c r="O138" i="25"/>
  <c r="N138" i="25"/>
  <c r="M138" i="25"/>
  <c r="L138" i="25"/>
  <c r="J138" i="25"/>
  <c r="I138" i="25"/>
  <c r="H138" i="25"/>
  <c r="B138" i="25"/>
  <c r="O137" i="25"/>
  <c r="N137" i="25"/>
  <c r="M137" i="25"/>
  <c r="L137" i="25"/>
  <c r="J137" i="25"/>
  <c r="I137" i="25"/>
  <c r="H137" i="25"/>
  <c r="B137" i="25"/>
  <c r="O136" i="25"/>
  <c r="N136" i="25"/>
  <c r="M136" i="25"/>
  <c r="L136" i="25"/>
  <c r="J136" i="25"/>
  <c r="I136" i="25"/>
  <c r="H136" i="25"/>
  <c r="B136" i="25"/>
  <c r="O135" i="25"/>
  <c r="N135" i="25"/>
  <c r="M135" i="25"/>
  <c r="L135" i="25"/>
  <c r="J135" i="25"/>
  <c r="I135" i="25"/>
  <c r="H135" i="25"/>
  <c r="B135" i="25"/>
  <c r="O134" i="25"/>
  <c r="N134" i="25"/>
  <c r="M134" i="25"/>
  <c r="L134" i="25"/>
  <c r="J134" i="25"/>
  <c r="I134" i="25"/>
  <c r="H134" i="25"/>
  <c r="B134" i="25"/>
  <c r="O133" i="25"/>
  <c r="N133" i="25"/>
  <c r="M133" i="25"/>
  <c r="L133" i="25"/>
  <c r="J133" i="25"/>
  <c r="I133" i="25"/>
  <c r="H133" i="25"/>
  <c r="B133" i="25"/>
  <c r="O132" i="25"/>
  <c r="N132" i="25"/>
  <c r="M132" i="25"/>
  <c r="L132" i="25"/>
  <c r="J132" i="25"/>
  <c r="I132" i="25"/>
  <c r="H132" i="25"/>
  <c r="B132" i="25"/>
  <c r="O131" i="25"/>
  <c r="N131" i="25"/>
  <c r="M131" i="25"/>
  <c r="L131" i="25"/>
  <c r="J131" i="25"/>
  <c r="I131" i="25"/>
  <c r="H131" i="25"/>
  <c r="B131" i="25"/>
  <c r="O130" i="25"/>
  <c r="N130" i="25"/>
  <c r="M130" i="25"/>
  <c r="L130" i="25"/>
  <c r="J130" i="25"/>
  <c r="I130" i="25"/>
  <c r="H130" i="25"/>
  <c r="B130" i="25"/>
  <c r="O129" i="25"/>
  <c r="N129" i="25"/>
  <c r="M129" i="25"/>
  <c r="L129" i="25"/>
  <c r="J129" i="25"/>
  <c r="I129" i="25"/>
  <c r="H129" i="25"/>
  <c r="B129" i="25"/>
  <c r="O128" i="25"/>
  <c r="N128" i="25"/>
  <c r="M128" i="25"/>
  <c r="L128" i="25"/>
  <c r="J128" i="25"/>
  <c r="I128" i="25"/>
  <c r="H128" i="25"/>
  <c r="B128" i="25"/>
  <c r="O127" i="25"/>
  <c r="N127" i="25"/>
  <c r="M127" i="25"/>
  <c r="L127" i="25"/>
  <c r="J127" i="25"/>
  <c r="I127" i="25"/>
  <c r="H127" i="25"/>
  <c r="B127" i="25"/>
  <c r="O126" i="25"/>
  <c r="N126" i="25"/>
  <c r="M126" i="25"/>
  <c r="L126" i="25"/>
  <c r="J126" i="25"/>
  <c r="I126" i="25"/>
  <c r="H126" i="25"/>
  <c r="B126" i="25"/>
  <c r="O125" i="25"/>
  <c r="N125" i="25"/>
  <c r="M125" i="25"/>
  <c r="L125" i="25"/>
  <c r="J125" i="25"/>
  <c r="I125" i="25"/>
  <c r="H125" i="25"/>
  <c r="B125" i="25"/>
  <c r="O124" i="25"/>
  <c r="N124" i="25"/>
  <c r="M124" i="25"/>
  <c r="L124" i="25"/>
  <c r="J124" i="25"/>
  <c r="I124" i="25"/>
  <c r="H124" i="25"/>
  <c r="B124" i="25"/>
  <c r="O123" i="25"/>
  <c r="N123" i="25"/>
  <c r="M123" i="25"/>
  <c r="L123" i="25"/>
  <c r="J123" i="25"/>
  <c r="I123" i="25"/>
  <c r="H123" i="25"/>
  <c r="B123" i="25"/>
  <c r="O122" i="25"/>
  <c r="N122" i="25"/>
  <c r="M122" i="25"/>
  <c r="L122" i="25"/>
  <c r="J122" i="25"/>
  <c r="I122" i="25"/>
  <c r="H122" i="25"/>
  <c r="B122" i="25"/>
  <c r="O121" i="25"/>
  <c r="N121" i="25"/>
  <c r="M121" i="25"/>
  <c r="L121" i="25"/>
  <c r="J121" i="25"/>
  <c r="I121" i="25"/>
  <c r="H121" i="25"/>
  <c r="B121" i="25"/>
  <c r="O120" i="25"/>
  <c r="N120" i="25"/>
  <c r="M120" i="25"/>
  <c r="L120" i="25"/>
  <c r="J120" i="25"/>
  <c r="I120" i="25"/>
  <c r="H120" i="25"/>
  <c r="B120" i="25"/>
  <c r="O119" i="25"/>
  <c r="N119" i="25"/>
  <c r="M119" i="25"/>
  <c r="L119" i="25"/>
  <c r="J119" i="25"/>
  <c r="I119" i="25"/>
  <c r="H119" i="25"/>
  <c r="B119" i="25"/>
  <c r="O118" i="25"/>
  <c r="N118" i="25"/>
  <c r="M118" i="25"/>
  <c r="L118" i="25"/>
  <c r="J118" i="25"/>
  <c r="I118" i="25"/>
  <c r="H118" i="25"/>
  <c r="B118" i="25"/>
  <c r="O117" i="25"/>
  <c r="N117" i="25"/>
  <c r="M117" i="25"/>
  <c r="L117" i="25"/>
  <c r="J117" i="25"/>
  <c r="I117" i="25"/>
  <c r="H117" i="25"/>
  <c r="B117" i="25"/>
  <c r="O116" i="25"/>
  <c r="N116" i="25"/>
  <c r="M116" i="25"/>
  <c r="L116" i="25"/>
  <c r="J116" i="25"/>
  <c r="I116" i="25"/>
  <c r="H116" i="25"/>
  <c r="B116" i="25"/>
  <c r="O115" i="25"/>
  <c r="N115" i="25"/>
  <c r="M115" i="25"/>
  <c r="L115" i="25"/>
  <c r="J115" i="25"/>
  <c r="I115" i="25"/>
  <c r="H115" i="25"/>
  <c r="B115" i="25"/>
  <c r="O114" i="25"/>
  <c r="N114" i="25"/>
  <c r="M114" i="25"/>
  <c r="L114" i="25"/>
  <c r="J114" i="25"/>
  <c r="I114" i="25"/>
  <c r="H114" i="25"/>
  <c r="B114" i="25"/>
  <c r="O113" i="25"/>
  <c r="N113" i="25"/>
  <c r="M113" i="25"/>
  <c r="L113" i="25"/>
  <c r="J113" i="25"/>
  <c r="I113" i="25"/>
  <c r="H113" i="25"/>
  <c r="B113" i="25"/>
  <c r="O112" i="25"/>
  <c r="N112" i="25"/>
  <c r="M112" i="25"/>
  <c r="L112" i="25"/>
  <c r="J112" i="25"/>
  <c r="I112" i="25"/>
  <c r="H112" i="25"/>
  <c r="B112" i="25"/>
  <c r="O111" i="25"/>
  <c r="N111" i="25"/>
  <c r="M111" i="25"/>
  <c r="L111" i="25"/>
  <c r="J111" i="25"/>
  <c r="I111" i="25"/>
  <c r="H111" i="25"/>
  <c r="B111" i="25"/>
  <c r="O110" i="25"/>
  <c r="N110" i="25"/>
  <c r="M110" i="25"/>
  <c r="L110" i="25"/>
  <c r="J110" i="25"/>
  <c r="I110" i="25"/>
  <c r="H110" i="25"/>
  <c r="B110" i="25"/>
  <c r="O109" i="25"/>
  <c r="N109" i="25"/>
  <c r="M109" i="25"/>
  <c r="L109" i="25"/>
  <c r="J109" i="25"/>
  <c r="I109" i="25"/>
  <c r="H109" i="25"/>
  <c r="B109" i="25"/>
  <c r="O108" i="25"/>
  <c r="N108" i="25"/>
  <c r="M108" i="25"/>
  <c r="L108" i="25"/>
  <c r="J108" i="25"/>
  <c r="I108" i="25"/>
  <c r="H108" i="25"/>
  <c r="B108" i="25"/>
  <c r="O107" i="25"/>
  <c r="N107" i="25"/>
  <c r="M107" i="25"/>
  <c r="L107" i="25"/>
  <c r="J107" i="25"/>
  <c r="I107" i="25"/>
  <c r="H107" i="25"/>
  <c r="B107" i="25"/>
  <c r="O106" i="25"/>
  <c r="N106" i="25"/>
  <c r="M106" i="25"/>
  <c r="L106" i="25"/>
  <c r="J106" i="25"/>
  <c r="I106" i="25"/>
  <c r="H106" i="25"/>
  <c r="B106" i="25"/>
  <c r="O105" i="25"/>
  <c r="N105" i="25"/>
  <c r="M105" i="25"/>
  <c r="L105" i="25"/>
  <c r="J105" i="25"/>
  <c r="I105" i="25"/>
  <c r="H105" i="25"/>
  <c r="B105" i="25"/>
  <c r="O104" i="25"/>
  <c r="N104" i="25"/>
  <c r="M104" i="25"/>
  <c r="L104" i="25"/>
  <c r="J104" i="25"/>
  <c r="I104" i="25"/>
  <c r="H104" i="25"/>
  <c r="B104" i="25"/>
  <c r="O103" i="25"/>
  <c r="N103" i="25"/>
  <c r="M103" i="25"/>
  <c r="L103" i="25"/>
  <c r="J103" i="25"/>
  <c r="I103" i="25"/>
  <c r="H103" i="25"/>
  <c r="B103" i="25"/>
  <c r="O102" i="25"/>
  <c r="N102" i="25"/>
  <c r="M102" i="25"/>
  <c r="L102" i="25"/>
  <c r="J102" i="25"/>
  <c r="I102" i="25"/>
  <c r="H102" i="25"/>
  <c r="B102" i="25"/>
  <c r="O101" i="25"/>
  <c r="N101" i="25"/>
  <c r="M101" i="25"/>
  <c r="L101" i="25"/>
  <c r="J101" i="25"/>
  <c r="I101" i="25"/>
  <c r="H101" i="25"/>
  <c r="B101" i="25"/>
  <c r="O100" i="25"/>
  <c r="N100" i="25"/>
  <c r="M100" i="25"/>
  <c r="L100" i="25"/>
  <c r="J100" i="25"/>
  <c r="I100" i="25"/>
  <c r="H100" i="25"/>
  <c r="B100" i="25"/>
  <c r="O99" i="25"/>
  <c r="N99" i="25"/>
  <c r="M99" i="25"/>
  <c r="L99" i="25"/>
  <c r="J99" i="25"/>
  <c r="I99" i="25"/>
  <c r="H99" i="25"/>
  <c r="B99" i="25"/>
  <c r="O98" i="25"/>
  <c r="N98" i="25"/>
  <c r="M98" i="25"/>
  <c r="L98" i="25"/>
  <c r="J98" i="25"/>
  <c r="I98" i="25"/>
  <c r="H98" i="25"/>
  <c r="B98" i="25"/>
  <c r="O97" i="25"/>
  <c r="N97" i="25"/>
  <c r="M97" i="25"/>
  <c r="L97" i="25"/>
  <c r="J97" i="25"/>
  <c r="I97" i="25"/>
  <c r="H97" i="25"/>
  <c r="B97" i="25"/>
  <c r="O96" i="25"/>
  <c r="N96" i="25"/>
  <c r="M96" i="25"/>
  <c r="L96" i="25"/>
  <c r="J96" i="25"/>
  <c r="I96" i="25"/>
  <c r="H96" i="25"/>
  <c r="B96" i="25"/>
  <c r="O95" i="25"/>
  <c r="N95" i="25"/>
  <c r="M95" i="25"/>
  <c r="L95" i="25"/>
  <c r="J95" i="25"/>
  <c r="I95" i="25"/>
  <c r="H95" i="25"/>
  <c r="B95" i="25"/>
  <c r="O94" i="25"/>
  <c r="N94" i="25"/>
  <c r="M94" i="25"/>
  <c r="L94" i="25"/>
  <c r="J94" i="25"/>
  <c r="I94" i="25"/>
  <c r="H94" i="25"/>
  <c r="B94" i="25"/>
  <c r="O93" i="25"/>
  <c r="N93" i="25"/>
  <c r="M93" i="25"/>
  <c r="L93" i="25"/>
  <c r="J93" i="25"/>
  <c r="I93" i="25"/>
  <c r="H93" i="25"/>
  <c r="B93" i="25"/>
  <c r="O92" i="25"/>
  <c r="N92" i="25"/>
  <c r="M92" i="25"/>
  <c r="L92" i="25"/>
  <c r="J92" i="25"/>
  <c r="I92" i="25"/>
  <c r="H92" i="25"/>
  <c r="B92" i="25"/>
  <c r="O91" i="25"/>
  <c r="N91" i="25"/>
  <c r="M91" i="25"/>
  <c r="L91" i="25"/>
  <c r="J91" i="25"/>
  <c r="I91" i="25"/>
  <c r="H91" i="25"/>
  <c r="B91" i="25"/>
  <c r="O90" i="25"/>
  <c r="N90" i="25"/>
  <c r="M90" i="25"/>
  <c r="L90" i="25"/>
  <c r="J90" i="25"/>
  <c r="I90" i="25"/>
  <c r="H90" i="25"/>
  <c r="B90" i="25"/>
  <c r="O89" i="25"/>
  <c r="N89" i="25"/>
  <c r="M89" i="25"/>
  <c r="L89" i="25"/>
  <c r="J89" i="25"/>
  <c r="I89" i="25"/>
  <c r="H89" i="25"/>
  <c r="B89" i="25"/>
  <c r="O88" i="25"/>
  <c r="N88" i="25"/>
  <c r="M88" i="25"/>
  <c r="L88" i="25"/>
  <c r="J88" i="25"/>
  <c r="I88" i="25"/>
  <c r="H88" i="25"/>
  <c r="B88" i="25"/>
  <c r="O87" i="25"/>
  <c r="N87" i="25"/>
  <c r="M87" i="25"/>
  <c r="L87" i="25"/>
  <c r="J87" i="25"/>
  <c r="I87" i="25"/>
  <c r="H87" i="25"/>
  <c r="B87" i="25"/>
  <c r="O86" i="25"/>
  <c r="N86" i="25"/>
  <c r="M86" i="25"/>
  <c r="L86" i="25"/>
  <c r="J86" i="25"/>
  <c r="I86" i="25"/>
  <c r="H86" i="25"/>
  <c r="B86" i="25"/>
  <c r="O85" i="25"/>
  <c r="N85" i="25"/>
  <c r="M85" i="25"/>
  <c r="L85" i="25"/>
  <c r="J85" i="25"/>
  <c r="I85" i="25"/>
  <c r="H85" i="25"/>
  <c r="B85" i="25"/>
  <c r="O84" i="25"/>
  <c r="N84" i="25"/>
  <c r="M84" i="25"/>
  <c r="L84" i="25"/>
  <c r="J84" i="25"/>
  <c r="I84" i="25"/>
  <c r="H84" i="25"/>
  <c r="B84" i="25"/>
  <c r="O83" i="25"/>
  <c r="N83" i="25"/>
  <c r="M83" i="25"/>
  <c r="L83" i="25"/>
  <c r="J83" i="25"/>
  <c r="I83" i="25"/>
  <c r="H83" i="25"/>
  <c r="B83" i="25"/>
  <c r="O82" i="25"/>
  <c r="N82" i="25"/>
  <c r="M82" i="25"/>
  <c r="L82" i="25"/>
  <c r="J82" i="25"/>
  <c r="I82" i="25"/>
  <c r="H82" i="25"/>
  <c r="B82" i="25"/>
  <c r="O81" i="25"/>
  <c r="N81" i="25"/>
  <c r="M81" i="25"/>
  <c r="L81" i="25"/>
  <c r="J81" i="25"/>
  <c r="I81" i="25"/>
  <c r="H81" i="25"/>
  <c r="B81" i="25"/>
  <c r="O80" i="25"/>
  <c r="N80" i="25"/>
  <c r="M80" i="25"/>
  <c r="L80" i="25"/>
  <c r="J80" i="25"/>
  <c r="I80" i="25"/>
  <c r="H80" i="25"/>
  <c r="B80" i="25"/>
  <c r="O79" i="25"/>
  <c r="N79" i="25"/>
  <c r="M79" i="25"/>
  <c r="L79" i="25"/>
  <c r="J79" i="25"/>
  <c r="I79" i="25"/>
  <c r="H79" i="25"/>
  <c r="B79" i="25"/>
  <c r="O78" i="25"/>
  <c r="N78" i="25"/>
  <c r="M78" i="25"/>
  <c r="L78" i="25"/>
  <c r="J78" i="25"/>
  <c r="I78" i="25"/>
  <c r="H78" i="25"/>
  <c r="B78" i="25"/>
  <c r="O77" i="25"/>
  <c r="N77" i="25"/>
  <c r="M77" i="25"/>
  <c r="L77" i="25"/>
  <c r="J77" i="25"/>
  <c r="I77" i="25"/>
  <c r="H77" i="25"/>
  <c r="B77" i="25"/>
  <c r="O76" i="25"/>
  <c r="N76" i="25"/>
  <c r="M76" i="25"/>
  <c r="L76" i="25"/>
  <c r="J76" i="25"/>
  <c r="I76" i="25"/>
  <c r="H76" i="25"/>
  <c r="B76" i="25"/>
  <c r="O75" i="25"/>
  <c r="N75" i="25"/>
  <c r="M75" i="25"/>
  <c r="L75" i="25"/>
  <c r="J75" i="25"/>
  <c r="I75" i="25"/>
  <c r="H75" i="25"/>
  <c r="B75" i="25"/>
  <c r="O74" i="25"/>
  <c r="N74" i="25"/>
  <c r="M74" i="25"/>
  <c r="L74" i="25"/>
  <c r="J74" i="25"/>
  <c r="I74" i="25"/>
  <c r="H74" i="25"/>
  <c r="B74" i="25"/>
  <c r="O73" i="25"/>
  <c r="N73" i="25"/>
  <c r="M73" i="25"/>
  <c r="L73" i="25"/>
  <c r="J73" i="25"/>
  <c r="I73" i="25"/>
  <c r="H73" i="25"/>
  <c r="B73" i="25"/>
  <c r="O72" i="25"/>
  <c r="N72" i="25"/>
  <c r="M72" i="25"/>
  <c r="L72" i="25"/>
  <c r="J72" i="25"/>
  <c r="I72" i="25"/>
  <c r="H72" i="25"/>
  <c r="B72" i="25"/>
  <c r="O71" i="25"/>
  <c r="N71" i="25"/>
  <c r="M71" i="25"/>
  <c r="L71" i="25"/>
  <c r="J71" i="25"/>
  <c r="I71" i="25"/>
  <c r="H71" i="25"/>
  <c r="B71" i="25"/>
  <c r="O70" i="25"/>
  <c r="N70" i="25"/>
  <c r="M70" i="25"/>
  <c r="L70" i="25"/>
  <c r="J70" i="25"/>
  <c r="I70" i="25"/>
  <c r="H70" i="25"/>
  <c r="B70" i="25"/>
  <c r="O69" i="25"/>
  <c r="N69" i="25"/>
  <c r="M69" i="25"/>
  <c r="L69" i="25"/>
  <c r="J69" i="25"/>
  <c r="I69" i="25"/>
  <c r="H69" i="25"/>
  <c r="B69" i="25"/>
  <c r="O68" i="25"/>
  <c r="N68" i="25"/>
  <c r="M68" i="25"/>
  <c r="L68" i="25"/>
  <c r="J68" i="25"/>
  <c r="I68" i="25"/>
  <c r="H68" i="25"/>
  <c r="B68" i="25"/>
  <c r="O67" i="25"/>
  <c r="N67" i="25"/>
  <c r="M67" i="25"/>
  <c r="L67" i="25"/>
  <c r="J67" i="25"/>
  <c r="I67" i="25"/>
  <c r="H67" i="25"/>
  <c r="B67" i="25"/>
  <c r="O66" i="25"/>
  <c r="N66" i="25"/>
  <c r="M66" i="25"/>
  <c r="L66" i="25"/>
  <c r="J66" i="25"/>
  <c r="I66" i="25"/>
  <c r="H66" i="25"/>
  <c r="B66" i="25"/>
  <c r="O65" i="25"/>
  <c r="N65" i="25"/>
  <c r="M65" i="25"/>
  <c r="L65" i="25"/>
  <c r="J65" i="25"/>
  <c r="I65" i="25"/>
  <c r="H65" i="25"/>
  <c r="B65" i="25"/>
  <c r="O64" i="25"/>
  <c r="N64" i="25"/>
  <c r="M64" i="25"/>
  <c r="L64" i="25"/>
  <c r="J64" i="25"/>
  <c r="I64" i="25"/>
  <c r="H64" i="25"/>
  <c r="B64" i="25"/>
  <c r="O63" i="25"/>
  <c r="N63" i="25"/>
  <c r="M63" i="25"/>
  <c r="L63" i="25"/>
  <c r="J63" i="25"/>
  <c r="I63" i="25"/>
  <c r="H63" i="25"/>
  <c r="B63" i="25"/>
  <c r="O62" i="25"/>
  <c r="N62" i="25"/>
  <c r="M62" i="25"/>
  <c r="L62" i="25"/>
  <c r="J62" i="25"/>
  <c r="I62" i="25"/>
  <c r="H62" i="25"/>
  <c r="B62" i="25"/>
  <c r="O61" i="25"/>
  <c r="N61" i="25"/>
  <c r="M61" i="25"/>
  <c r="L61" i="25"/>
  <c r="J61" i="25"/>
  <c r="I61" i="25"/>
  <c r="H61" i="25"/>
  <c r="B61" i="25"/>
  <c r="O60" i="25"/>
  <c r="N60" i="25"/>
  <c r="M60" i="25"/>
  <c r="L60" i="25"/>
  <c r="J60" i="25"/>
  <c r="I60" i="25"/>
  <c r="H60" i="25"/>
  <c r="B60" i="25"/>
  <c r="O59" i="25"/>
  <c r="N59" i="25"/>
  <c r="M59" i="25"/>
  <c r="L59" i="25"/>
  <c r="J59" i="25"/>
  <c r="I59" i="25"/>
  <c r="H59" i="25"/>
  <c r="B59" i="25"/>
  <c r="O58" i="25"/>
  <c r="N58" i="25"/>
  <c r="M58" i="25"/>
  <c r="L58" i="25"/>
  <c r="J58" i="25"/>
  <c r="I58" i="25"/>
  <c r="H58" i="25"/>
  <c r="B58" i="25"/>
  <c r="O57" i="25"/>
  <c r="N57" i="25"/>
  <c r="M57" i="25"/>
  <c r="L57" i="25"/>
  <c r="J57" i="25"/>
  <c r="I57" i="25"/>
  <c r="H57" i="25"/>
  <c r="B57" i="25"/>
  <c r="O56" i="25"/>
  <c r="N56" i="25"/>
  <c r="M56" i="25"/>
  <c r="L56" i="25"/>
  <c r="J56" i="25"/>
  <c r="I56" i="25"/>
  <c r="H56" i="25"/>
  <c r="B56" i="25"/>
  <c r="O55" i="25"/>
  <c r="N55" i="25"/>
  <c r="M55" i="25"/>
  <c r="L55" i="25"/>
  <c r="J55" i="25"/>
  <c r="I55" i="25"/>
  <c r="H55" i="25"/>
  <c r="B55" i="25"/>
  <c r="O54" i="25"/>
  <c r="N54" i="25"/>
  <c r="M54" i="25"/>
  <c r="L54" i="25"/>
  <c r="J54" i="25"/>
  <c r="I54" i="25"/>
  <c r="H54" i="25"/>
  <c r="B54" i="25"/>
  <c r="O53" i="25"/>
  <c r="N53" i="25"/>
  <c r="M53" i="25"/>
  <c r="L53" i="25"/>
  <c r="J53" i="25"/>
  <c r="I53" i="25"/>
  <c r="H53" i="25"/>
  <c r="B53" i="25"/>
  <c r="O52" i="25"/>
  <c r="N52" i="25"/>
  <c r="M52" i="25"/>
  <c r="L52" i="25"/>
  <c r="J52" i="25"/>
  <c r="I52" i="25"/>
  <c r="H52" i="25"/>
  <c r="B52" i="25"/>
  <c r="O51" i="25"/>
  <c r="N51" i="25"/>
  <c r="M51" i="25"/>
  <c r="L51" i="25"/>
  <c r="J51" i="25"/>
  <c r="I51" i="25"/>
  <c r="H51" i="25"/>
  <c r="B51" i="25"/>
  <c r="O50" i="25"/>
  <c r="N50" i="25"/>
  <c r="M50" i="25"/>
  <c r="L50" i="25"/>
  <c r="J50" i="25"/>
  <c r="I50" i="25"/>
  <c r="H50" i="25"/>
  <c r="B50" i="25"/>
  <c r="O49" i="25"/>
  <c r="N49" i="25"/>
  <c r="M49" i="25"/>
  <c r="L49" i="25"/>
  <c r="J49" i="25"/>
  <c r="I49" i="25"/>
  <c r="H49" i="25"/>
  <c r="B49" i="25"/>
  <c r="O48" i="25"/>
  <c r="N48" i="25"/>
  <c r="M48" i="25"/>
  <c r="L48" i="25"/>
  <c r="J48" i="25"/>
  <c r="I48" i="25"/>
  <c r="H48" i="25"/>
  <c r="B48" i="25"/>
  <c r="O47" i="25"/>
  <c r="N47" i="25"/>
  <c r="M47" i="25"/>
  <c r="L47" i="25"/>
  <c r="J47" i="25"/>
  <c r="I47" i="25"/>
  <c r="H47" i="25"/>
  <c r="B47" i="25"/>
  <c r="O46" i="25"/>
  <c r="N46" i="25"/>
  <c r="M46" i="25"/>
  <c r="L46" i="25"/>
  <c r="J46" i="25"/>
  <c r="I46" i="25"/>
  <c r="H46" i="25"/>
  <c r="B46" i="25"/>
  <c r="O45" i="25"/>
  <c r="N45" i="25"/>
  <c r="M45" i="25"/>
  <c r="L45" i="25"/>
  <c r="J45" i="25"/>
  <c r="I45" i="25"/>
  <c r="H45" i="25"/>
  <c r="B45" i="25"/>
  <c r="O44" i="25"/>
  <c r="N44" i="25"/>
  <c r="M44" i="25"/>
  <c r="L44" i="25"/>
  <c r="J44" i="25"/>
  <c r="I44" i="25"/>
  <c r="H44" i="25"/>
  <c r="B44" i="25"/>
  <c r="O43" i="25"/>
  <c r="N43" i="25"/>
  <c r="M43" i="25"/>
  <c r="L43" i="25"/>
  <c r="J43" i="25"/>
  <c r="I43" i="25"/>
  <c r="H43" i="25"/>
  <c r="B43" i="25"/>
  <c r="O42" i="25"/>
  <c r="N42" i="25"/>
  <c r="M42" i="25"/>
  <c r="L42" i="25"/>
  <c r="J42" i="25"/>
  <c r="I42" i="25"/>
  <c r="H42" i="25"/>
  <c r="B42" i="25"/>
  <c r="O41" i="25"/>
  <c r="N41" i="25"/>
  <c r="M41" i="25"/>
  <c r="L41" i="25"/>
  <c r="J41" i="25"/>
  <c r="I41" i="25"/>
  <c r="H41" i="25"/>
  <c r="B41" i="25"/>
  <c r="O40" i="25"/>
  <c r="N40" i="25"/>
  <c r="M40" i="25"/>
  <c r="L40" i="25"/>
  <c r="J40" i="25"/>
  <c r="I40" i="25"/>
  <c r="H40" i="25"/>
  <c r="B40" i="25"/>
  <c r="O39" i="25"/>
  <c r="N39" i="25"/>
  <c r="M39" i="25"/>
  <c r="L39" i="25"/>
  <c r="J39" i="25"/>
  <c r="I39" i="25"/>
  <c r="H39" i="25"/>
  <c r="B39" i="25"/>
  <c r="O38" i="25"/>
  <c r="N38" i="25"/>
  <c r="M38" i="25"/>
  <c r="L38" i="25"/>
  <c r="J38" i="25"/>
  <c r="I38" i="25"/>
  <c r="H38" i="25"/>
  <c r="B38" i="25"/>
  <c r="O37" i="25"/>
  <c r="N37" i="25"/>
  <c r="M37" i="25"/>
  <c r="L37" i="25"/>
  <c r="J37" i="25"/>
  <c r="I37" i="25"/>
  <c r="H37" i="25"/>
  <c r="B37" i="25"/>
  <c r="O36" i="25"/>
  <c r="N36" i="25"/>
  <c r="M36" i="25"/>
  <c r="L36" i="25"/>
  <c r="J36" i="25"/>
  <c r="I36" i="25"/>
  <c r="H36" i="25"/>
  <c r="B36" i="25"/>
  <c r="O35" i="25"/>
  <c r="N35" i="25"/>
  <c r="M35" i="25"/>
  <c r="L35" i="25"/>
  <c r="J35" i="25"/>
  <c r="I35" i="25"/>
  <c r="H35" i="25"/>
  <c r="B35" i="25"/>
  <c r="O34" i="25"/>
  <c r="N34" i="25"/>
  <c r="M34" i="25"/>
  <c r="L34" i="25"/>
  <c r="J34" i="25"/>
  <c r="I34" i="25"/>
  <c r="H34" i="25"/>
  <c r="B34" i="25"/>
  <c r="O33" i="25"/>
  <c r="N33" i="25"/>
  <c r="M33" i="25"/>
  <c r="L33" i="25"/>
  <c r="J33" i="25"/>
  <c r="I33" i="25"/>
  <c r="H33" i="25"/>
  <c r="B33" i="25"/>
  <c r="O32" i="25"/>
  <c r="N32" i="25"/>
  <c r="M32" i="25"/>
  <c r="L32" i="25"/>
  <c r="J32" i="25"/>
  <c r="I32" i="25"/>
  <c r="H32" i="25"/>
  <c r="B32" i="25"/>
  <c r="O31" i="25"/>
  <c r="N31" i="25"/>
  <c r="M31" i="25"/>
  <c r="L31" i="25"/>
  <c r="J31" i="25"/>
  <c r="I31" i="25"/>
  <c r="H31" i="25"/>
  <c r="B31" i="25"/>
  <c r="O30" i="25"/>
  <c r="N30" i="25"/>
  <c r="M30" i="25"/>
  <c r="L30" i="25"/>
  <c r="J30" i="25"/>
  <c r="I30" i="25"/>
  <c r="H30" i="25"/>
  <c r="B30" i="25"/>
  <c r="O29" i="25"/>
  <c r="N29" i="25"/>
  <c r="M29" i="25"/>
  <c r="L29" i="25"/>
  <c r="J29" i="25"/>
  <c r="I29" i="25"/>
  <c r="H29" i="25"/>
  <c r="B29" i="25"/>
  <c r="O28" i="25"/>
  <c r="N28" i="25"/>
  <c r="M28" i="25"/>
  <c r="L28" i="25"/>
  <c r="J28" i="25"/>
  <c r="I28" i="25"/>
  <c r="H28" i="25"/>
  <c r="B28" i="25"/>
  <c r="O27" i="25"/>
  <c r="N27" i="25"/>
  <c r="M27" i="25"/>
  <c r="L27" i="25"/>
  <c r="J27" i="25"/>
  <c r="I27" i="25"/>
  <c r="H27" i="25"/>
  <c r="B27" i="25"/>
  <c r="O26" i="25"/>
  <c r="N26" i="25"/>
  <c r="M26" i="25"/>
  <c r="L26" i="25"/>
  <c r="J26" i="25"/>
  <c r="I26" i="25"/>
  <c r="H26" i="25"/>
  <c r="B26" i="25"/>
  <c r="O25" i="25"/>
  <c r="N25" i="25"/>
  <c r="M25" i="25"/>
  <c r="L25" i="25"/>
  <c r="J25" i="25"/>
  <c r="I25" i="25"/>
  <c r="H25" i="25"/>
  <c r="B25" i="25"/>
  <c r="O24" i="25"/>
  <c r="N24" i="25"/>
  <c r="M24" i="25"/>
  <c r="L24" i="25"/>
  <c r="J24" i="25"/>
  <c r="I24" i="25"/>
  <c r="H24" i="25"/>
  <c r="B24" i="25"/>
  <c r="O23" i="25"/>
  <c r="N23" i="25"/>
  <c r="M23" i="25"/>
  <c r="L23" i="25"/>
  <c r="J23" i="25"/>
  <c r="I23" i="25"/>
  <c r="H23" i="25"/>
  <c r="B23" i="25"/>
  <c r="O22" i="25"/>
  <c r="N22" i="25"/>
  <c r="M22" i="25"/>
  <c r="L22" i="25"/>
  <c r="J22" i="25"/>
  <c r="I22" i="25"/>
  <c r="H22" i="25"/>
  <c r="B22" i="25"/>
  <c r="O21" i="25"/>
  <c r="N21" i="25"/>
  <c r="M21" i="25"/>
  <c r="L21" i="25"/>
  <c r="J21" i="25"/>
  <c r="I21" i="25"/>
  <c r="H21" i="25"/>
  <c r="B21" i="25"/>
  <c r="O20" i="25"/>
  <c r="N20" i="25"/>
  <c r="M20" i="25"/>
  <c r="L20" i="25"/>
  <c r="J20" i="25"/>
  <c r="I20" i="25"/>
  <c r="H20" i="25"/>
  <c r="B20" i="25"/>
  <c r="O19" i="25"/>
  <c r="N19" i="25"/>
  <c r="M19" i="25"/>
  <c r="L19" i="25"/>
  <c r="J19" i="25"/>
  <c r="I19" i="25"/>
  <c r="H19" i="25"/>
  <c r="B19" i="25"/>
  <c r="O18" i="25"/>
  <c r="N18" i="25"/>
  <c r="M18" i="25"/>
  <c r="L18" i="25"/>
  <c r="J18" i="25"/>
  <c r="I18" i="25"/>
  <c r="H18" i="25"/>
  <c r="B18" i="25"/>
  <c r="O17" i="25"/>
  <c r="N17" i="25"/>
  <c r="M17" i="25"/>
  <c r="L17" i="25"/>
  <c r="J17" i="25"/>
  <c r="I17" i="25"/>
  <c r="H17" i="25"/>
  <c r="B17" i="25"/>
  <c r="O16" i="25"/>
  <c r="N16" i="25"/>
  <c r="M16" i="25"/>
  <c r="L16" i="25"/>
  <c r="J16" i="25"/>
  <c r="I16" i="25"/>
  <c r="H16" i="25"/>
  <c r="B16" i="25"/>
  <c r="O15" i="25"/>
  <c r="N15" i="25"/>
  <c r="M15" i="25"/>
  <c r="L15" i="25"/>
  <c r="J15" i="25"/>
  <c r="I15" i="25"/>
  <c r="H15" i="25"/>
  <c r="B15" i="25"/>
  <c r="O14" i="25"/>
  <c r="N14" i="25"/>
  <c r="M14" i="25"/>
  <c r="L14" i="25"/>
  <c r="J14" i="25"/>
  <c r="I14" i="25"/>
  <c r="H14" i="25"/>
  <c r="B14" i="25"/>
  <c r="O13" i="25"/>
  <c r="N13" i="25"/>
  <c r="M13" i="25"/>
  <c r="L13" i="25"/>
  <c r="J13" i="25"/>
  <c r="I13" i="25"/>
  <c r="H13" i="25"/>
  <c r="B13" i="25"/>
  <c r="I119" i="24"/>
  <c r="H119" i="24"/>
  <c r="I118" i="24"/>
  <c r="H118" i="24"/>
  <c r="I117" i="24"/>
  <c r="H117" i="24"/>
  <c r="I116" i="24"/>
  <c r="H116" i="24"/>
  <c r="I115" i="24"/>
  <c r="H115" i="24"/>
  <c r="I114" i="24"/>
  <c r="H114" i="24"/>
  <c r="I113" i="24"/>
  <c r="H113" i="24"/>
  <c r="I112" i="24"/>
  <c r="H112" i="24"/>
  <c r="I111" i="24"/>
  <c r="H111" i="24"/>
  <c r="I110" i="24"/>
  <c r="H110" i="24"/>
  <c r="I109" i="24"/>
  <c r="H109" i="24"/>
  <c r="I108" i="24"/>
  <c r="H108" i="24"/>
  <c r="I107" i="24"/>
  <c r="H107" i="24"/>
  <c r="I106" i="24"/>
  <c r="H106" i="24"/>
  <c r="I105" i="24"/>
  <c r="H105" i="24"/>
  <c r="I104" i="24"/>
  <c r="H104" i="24"/>
  <c r="I103" i="24"/>
  <c r="H103" i="24"/>
  <c r="I102" i="24"/>
  <c r="H102" i="24"/>
  <c r="I101" i="24"/>
  <c r="H101" i="24"/>
  <c r="I100" i="24"/>
  <c r="H100" i="24"/>
  <c r="I99" i="24"/>
  <c r="H99" i="24"/>
  <c r="I98" i="24"/>
  <c r="H98" i="24"/>
  <c r="I97" i="24"/>
  <c r="H97" i="24"/>
  <c r="I96" i="24"/>
  <c r="H96" i="24"/>
  <c r="I95" i="24"/>
  <c r="H95" i="24"/>
  <c r="I94" i="24"/>
  <c r="H94" i="24"/>
  <c r="I93" i="24"/>
  <c r="H93" i="24"/>
  <c r="I92" i="24"/>
  <c r="H92" i="24"/>
  <c r="I91" i="24"/>
  <c r="H91" i="24"/>
  <c r="O87" i="24"/>
  <c r="N87" i="24"/>
  <c r="M87" i="24"/>
  <c r="L87" i="24"/>
  <c r="J87" i="24"/>
  <c r="I87" i="24"/>
  <c r="H87" i="24"/>
  <c r="B87" i="24"/>
  <c r="O86" i="24"/>
  <c r="N86" i="24"/>
  <c r="M86" i="24"/>
  <c r="L86" i="24"/>
  <c r="J86" i="24"/>
  <c r="I86" i="24"/>
  <c r="H86" i="24"/>
  <c r="B86" i="24"/>
  <c r="O85" i="24"/>
  <c r="N85" i="24"/>
  <c r="M85" i="24"/>
  <c r="L85" i="24"/>
  <c r="J85" i="24"/>
  <c r="I85" i="24"/>
  <c r="H85" i="24"/>
  <c r="B85" i="24"/>
  <c r="O84" i="24"/>
  <c r="N84" i="24"/>
  <c r="M84" i="24"/>
  <c r="L84" i="24"/>
  <c r="J84" i="24"/>
  <c r="I84" i="24"/>
  <c r="H84" i="24"/>
  <c r="B84" i="24"/>
  <c r="O83" i="24"/>
  <c r="N83" i="24"/>
  <c r="M83" i="24"/>
  <c r="L83" i="24"/>
  <c r="J83" i="24"/>
  <c r="I83" i="24"/>
  <c r="H83" i="24"/>
  <c r="B83" i="24"/>
  <c r="O82" i="24"/>
  <c r="N82" i="24"/>
  <c r="M82" i="24"/>
  <c r="L82" i="24"/>
  <c r="J82" i="24"/>
  <c r="I82" i="24"/>
  <c r="H82" i="24"/>
  <c r="B82" i="24"/>
  <c r="O81" i="24"/>
  <c r="N81" i="24"/>
  <c r="M81" i="24"/>
  <c r="L81" i="24"/>
  <c r="J81" i="24"/>
  <c r="I81" i="24"/>
  <c r="H81" i="24"/>
  <c r="B81" i="24"/>
  <c r="O80" i="24"/>
  <c r="N80" i="24"/>
  <c r="M80" i="24"/>
  <c r="L80" i="24"/>
  <c r="J80" i="24"/>
  <c r="I80" i="24"/>
  <c r="H80" i="24"/>
  <c r="B80" i="24"/>
  <c r="O79" i="24"/>
  <c r="N79" i="24"/>
  <c r="M79" i="24"/>
  <c r="L79" i="24"/>
  <c r="J79" i="24"/>
  <c r="I79" i="24"/>
  <c r="H79" i="24"/>
  <c r="B79" i="24"/>
  <c r="O78" i="24"/>
  <c r="N78" i="24"/>
  <c r="M78" i="24"/>
  <c r="L78" i="24"/>
  <c r="J78" i="24"/>
  <c r="I78" i="24"/>
  <c r="H78" i="24"/>
  <c r="B78" i="24"/>
  <c r="O77" i="24"/>
  <c r="N77" i="24"/>
  <c r="M77" i="24"/>
  <c r="L77" i="24"/>
  <c r="J77" i="24"/>
  <c r="I77" i="24"/>
  <c r="H77" i="24"/>
  <c r="B77" i="24"/>
  <c r="O76" i="24"/>
  <c r="N76" i="24"/>
  <c r="M76" i="24"/>
  <c r="L76" i="24"/>
  <c r="J76" i="24"/>
  <c r="I76" i="24"/>
  <c r="H76" i="24"/>
  <c r="B76" i="24"/>
  <c r="O75" i="24"/>
  <c r="N75" i="24"/>
  <c r="M75" i="24"/>
  <c r="L75" i="24"/>
  <c r="J75" i="24"/>
  <c r="I75" i="24"/>
  <c r="H75" i="24"/>
  <c r="B75" i="24"/>
  <c r="O74" i="24"/>
  <c r="N74" i="24"/>
  <c r="M74" i="24"/>
  <c r="L74" i="24"/>
  <c r="J74" i="24"/>
  <c r="I74" i="24"/>
  <c r="H74" i="24"/>
  <c r="B74" i="24"/>
  <c r="O73" i="24"/>
  <c r="N73" i="24"/>
  <c r="M73" i="24"/>
  <c r="L73" i="24"/>
  <c r="J73" i="24"/>
  <c r="I73" i="24"/>
  <c r="H73" i="24"/>
  <c r="B73" i="24"/>
  <c r="O72" i="24"/>
  <c r="N72" i="24"/>
  <c r="M72" i="24"/>
  <c r="L72" i="24"/>
  <c r="J72" i="24"/>
  <c r="I72" i="24"/>
  <c r="H72" i="24"/>
  <c r="B72" i="24"/>
  <c r="O71" i="24"/>
  <c r="N71" i="24"/>
  <c r="M71" i="24"/>
  <c r="L71" i="24"/>
  <c r="J71" i="24"/>
  <c r="I71" i="24"/>
  <c r="H71" i="24"/>
  <c r="B71" i="24"/>
  <c r="O70" i="24"/>
  <c r="N70" i="24"/>
  <c r="M70" i="24"/>
  <c r="L70" i="24"/>
  <c r="J70" i="24"/>
  <c r="I70" i="24"/>
  <c r="H70" i="24"/>
  <c r="B70" i="24"/>
  <c r="O69" i="24"/>
  <c r="N69" i="24"/>
  <c r="M69" i="24"/>
  <c r="L69" i="24"/>
  <c r="J69" i="24"/>
  <c r="I69" i="24"/>
  <c r="H69" i="24"/>
  <c r="B69" i="24"/>
  <c r="O68" i="24"/>
  <c r="N68" i="24"/>
  <c r="M68" i="24"/>
  <c r="L68" i="24"/>
  <c r="J68" i="24"/>
  <c r="I68" i="24"/>
  <c r="H68" i="24"/>
  <c r="B68" i="24"/>
  <c r="O67" i="24"/>
  <c r="N67" i="24"/>
  <c r="M67" i="24"/>
  <c r="L67" i="24"/>
  <c r="J67" i="24"/>
  <c r="I67" i="24"/>
  <c r="H67" i="24"/>
  <c r="B67" i="24"/>
  <c r="O66" i="24"/>
  <c r="N66" i="24"/>
  <c r="M66" i="24"/>
  <c r="L66" i="24"/>
  <c r="J66" i="24"/>
  <c r="I66" i="24"/>
  <c r="H66" i="24"/>
  <c r="B66" i="24"/>
  <c r="O65" i="24"/>
  <c r="N65" i="24"/>
  <c r="M65" i="24"/>
  <c r="L65" i="24"/>
  <c r="J65" i="24"/>
  <c r="I65" i="24"/>
  <c r="H65" i="24"/>
  <c r="B65" i="24"/>
  <c r="O64" i="24"/>
  <c r="N64" i="24"/>
  <c r="M64" i="24"/>
  <c r="L64" i="24"/>
  <c r="J64" i="24"/>
  <c r="I64" i="24"/>
  <c r="H64" i="24"/>
  <c r="B64" i="24"/>
  <c r="O63" i="24"/>
  <c r="N63" i="24"/>
  <c r="M63" i="24"/>
  <c r="L63" i="24"/>
  <c r="J63" i="24"/>
  <c r="I63" i="24"/>
  <c r="H63" i="24"/>
  <c r="B63" i="24"/>
  <c r="O62" i="24"/>
  <c r="N62" i="24"/>
  <c r="M62" i="24"/>
  <c r="L62" i="24"/>
  <c r="J62" i="24"/>
  <c r="I62" i="24"/>
  <c r="H62" i="24"/>
  <c r="B62" i="24"/>
  <c r="O61" i="24"/>
  <c r="N61" i="24"/>
  <c r="M61" i="24"/>
  <c r="L61" i="24"/>
  <c r="J61" i="24"/>
  <c r="I61" i="24"/>
  <c r="H61" i="24"/>
  <c r="B61" i="24"/>
  <c r="O60" i="24"/>
  <c r="N60" i="24"/>
  <c r="M60" i="24"/>
  <c r="L60" i="24"/>
  <c r="J60" i="24"/>
  <c r="I60" i="24"/>
  <c r="H60" i="24"/>
  <c r="B60" i="24"/>
  <c r="O59" i="24"/>
  <c r="N59" i="24"/>
  <c r="M59" i="24"/>
  <c r="L59" i="24"/>
  <c r="J59" i="24"/>
  <c r="I59" i="24"/>
  <c r="H59" i="24"/>
  <c r="B59" i="24"/>
  <c r="O58" i="24"/>
  <c r="N58" i="24"/>
  <c r="M58" i="24"/>
  <c r="L58" i="24"/>
  <c r="J58" i="24"/>
  <c r="I58" i="24"/>
  <c r="H58" i="24"/>
  <c r="B58" i="24"/>
  <c r="O57" i="24"/>
  <c r="N57" i="24"/>
  <c r="M57" i="24"/>
  <c r="L57" i="24"/>
  <c r="J57" i="24"/>
  <c r="I57" i="24"/>
  <c r="H57" i="24"/>
  <c r="B57" i="24"/>
  <c r="O56" i="24"/>
  <c r="N56" i="24"/>
  <c r="M56" i="24"/>
  <c r="L56" i="24"/>
  <c r="J56" i="24"/>
  <c r="I56" i="24"/>
  <c r="H56" i="24"/>
  <c r="B56" i="24"/>
  <c r="O55" i="24"/>
  <c r="N55" i="24"/>
  <c r="M55" i="24"/>
  <c r="L55" i="24"/>
  <c r="J55" i="24"/>
  <c r="I55" i="24"/>
  <c r="H55" i="24"/>
  <c r="B55" i="24"/>
  <c r="O54" i="24"/>
  <c r="N54" i="24"/>
  <c r="M54" i="24"/>
  <c r="L54" i="24"/>
  <c r="J54" i="24"/>
  <c r="I54" i="24"/>
  <c r="H54" i="24"/>
  <c r="B54" i="24"/>
  <c r="O53" i="24"/>
  <c r="N53" i="24"/>
  <c r="M53" i="24"/>
  <c r="L53" i="24"/>
  <c r="J53" i="24"/>
  <c r="I53" i="24"/>
  <c r="H53" i="24"/>
  <c r="B53" i="24"/>
  <c r="O52" i="24"/>
  <c r="N52" i="24"/>
  <c r="M52" i="24"/>
  <c r="L52" i="24"/>
  <c r="J52" i="24"/>
  <c r="I52" i="24"/>
  <c r="H52" i="24"/>
  <c r="B52" i="24"/>
  <c r="O51" i="24"/>
  <c r="N51" i="24"/>
  <c r="M51" i="24"/>
  <c r="L51" i="24"/>
  <c r="J51" i="24"/>
  <c r="I51" i="24"/>
  <c r="H51" i="24"/>
  <c r="B51" i="24"/>
  <c r="O50" i="24"/>
  <c r="N50" i="24"/>
  <c r="M50" i="24"/>
  <c r="L50" i="24"/>
  <c r="J50" i="24"/>
  <c r="I50" i="24"/>
  <c r="H50" i="24"/>
  <c r="B50" i="24"/>
  <c r="O49" i="24"/>
  <c r="N49" i="24"/>
  <c r="M49" i="24"/>
  <c r="L49" i="24"/>
  <c r="J49" i="24"/>
  <c r="I49" i="24"/>
  <c r="H49" i="24"/>
  <c r="B49" i="24"/>
  <c r="O48" i="24"/>
  <c r="N48" i="24"/>
  <c r="M48" i="24"/>
  <c r="L48" i="24"/>
  <c r="J48" i="24"/>
  <c r="I48" i="24"/>
  <c r="H48" i="24"/>
  <c r="B48" i="24"/>
  <c r="O47" i="24"/>
  <c r="N47" i="24"/>
  <c r="M47" i="24"/>
  <c r="L47" i="24"/>
  <c r="J47" i="24"/>
  <c r="I47" i="24"/>
  <c r="H47" i="24"/>
  <c r="B47" i="24"/>
  <c r="O46" i="24"/>
  <c r="N46" i="24"/>
  <c r="M46" i="24"/>
  <c r="L46" i="24"/>
  <c r="J46" i="24"/>
  <c r="I46" i="24"/>
  <c r="H46" i="24"/>
  <c r="B46" i="24"/>
  <c r="O45" i="24"/>
  <c r="N45" i="24"/>
  <c r="M45" i="24"/>
  <c r="L45" i="24"/>
  <c r="J45" i="24"/>
  <c r="I45" i="24"/>
  <c r="H45" i="24"/>
  <c r="B45" i="24"/>
  <c r="O44" i="24"/>
  <c r="N44" i="24"/>
  <c r="M44" i="24"/>
  <c r="L44" i="24"/>
  <c r="J44" i="24"/>
  <c r="I44" i="24"/>
  <c r="H44" i="24"/>
  <c r="B44" i="24"/>
  <c r="O43" i="24"/>
  <c r="N43" i="24"/>
  <c r="M43" i="24"/>
  <c r="L43" i="24"/>
  <c r="J43" i="24"/>
  <c r="I43" i="24"/>
  <c r="H43" i="24"/>
  <c r="B43" i="24"/>
  <c r="O42" i="24"/>
  <c r="N42" i="24"/>
  <c r="M42" i="24"/>
  <c r="L42" i="24"/>
  <c r="J42" i="24"/>
  <c r="I42" i="24"/>
  <c r="H42" i="24"/>
  <c r="B42" i="24"/>
  <c r="O41" i="24"/>
  <c r="N41" i="24"/>
  <c r="M41" i="24"/>
  <c r="L41" i="24"/>
  <c r="J41" i="24"/>
  <c r="I41" i="24"/>
  <c r="H41" i="24"/>
  <c r="B41" i="24"/>
  <c r="O40" i="24"/>
  <c r="N40" i="24"/>
  <c r="M40" i="24"/>
  <c r="L40" i="24"/>
  <c r="J40" i="24"/>
  <c r="I40" i="24"/>
  <c r="H40" i="24"/>
  <c r="B40" i="24"/>
  <c r="O39" i="24"/>
  <c r="N39" i="24"/>
  <c r="M39" i="24"/>
  <c r="L39" i="24"/>
  <c r="J39" i="24"/>
  <c r="I39" i="24"/>
  <c r="H39" i="24"/>
  <c r="B39" i="24"/>
  <c r="O38" i="24"/>
  <c r="N38" i="24"/>
  <c r="M38" i="24"/>
  <c r="L38" i="24"/>
  <c r="J38" i="24"/>
  <c r="I38" i="24"/>
  <c r="H38" i="24"/>
  <c r="B38" i="24"/>
  <c r="O37" i="24"/>
  <c r="N37" i="24"/>
  <c r="M37" i="24"/>
  <c r="L37" i="24"/>
  <c r="J37" i="24"/>
  <c r="I37" i="24"/>
  <c r="H37" i="24"/>
  <c r="B37" i="24"/>
  <c r="O36" i="24"/>
  <c r="N36" i="24"/>
  <c r="M36" i="24"/>
  <c r="L36" i="24"/>
  <c r="J36" i="24"/>
  <c r="I36" i="24"/>
  <c r="H36" i="24"/>
  <c r="B36" i="24"/>
  <c r="O35" i="24"/>
  <c r="N35" i="24"/>
  <c r="M35" i="24"/>
  <c r="L35" i="24"/>
  <c r="J35" i="24"/>
  <c r="I35" i="24"/>
  <c r="H35" i="24"/>
  <c r="B35" i="24"/>
  <c r="O34" i="24"/>
  <c r="N34" i="24"/>
  <c r="M34" i="24"/>
  <c r="L34" i="24"/>
  <c r="J34" i="24"/>
  <c r="I34" i="24"/>
  <c r="H34" i="24"/>
  <c r="B34" i="24"/>
  <c r="O33" i="24"/>
  <c r="N33" i="24"/>
  <c r="M33" i="24"/>
  <c r="L33" i="24"/>
  <c r="J33" i="24"/>
  <c r="I33" i="24"/>
  <c r="H33" i="24"/>
  <c r="B33" i="24"/>
  <c r="O32" i="24"/>
  <c r="N32" i="24"/>
  <c r="M32" i="24"/>
  <c r="L32" i="24"/>
  <c r="J32" i="24"/>
  <c r="I32" i="24"/>
  <c r="H32" i="24"/>
  <c r="B32" i="24"/>
  <c r="O31" i="24"/>
  <c r="N31" i="24"/>
  <c r="M31" i="24"/>
  <c r="L31" i="24"/>
  <c r="J31" i="24"/>
  <c r="I31" i="24"/>
  <c r="H31" i="24"/>
  <c r="B31" i="24"/>
  <c r="O30" i="24"/>
  <c r="N30" i="24"/>
  <c r="M30" i="24"/>
  <c r="L30" i="24"/>
  <c r="J30" i="24"/>
  <c r="I30" i="24"/>
  <c r="H30" i="24"/>
  <c r="B30" i="24"/>
  <c r="O29" i="24"/>
  <c r="N29" i="24"/>
  <c r="M29" i="24"/>
  <c r="L29" i="24"/>
  <c r="J29" i="24"/>
  <c r="I29" i="24"/>
  <c r="H29" i="24"/>
  <c r="B29" i="24"/>
  <c r="O28" i="24"/>
  <c r="N28" i="24"/>
  <c r="M28" i="24"/>
  <c r="L28" i="24"/>
  <c r="J28" i="24"/>
  <c r="I28" i="24"/>
  <c r="H28" i="24"/>
  <c r="B28" i="24"/>
  <c r="O27" i="24"/>
  <c r="N27" i="24"/>
  <c r="M27" i="24"/>
  <c r="L27" i="24"/>
  <c r="J27" i="24"/>
  <c r="I27" i="24"/>
  <c r="H27" i="24"/>
  <c r="B27" i="24"/>
  <c r="O26" i="24"/>
  <c r="N26" i="24"/>
  <c r="M26" i="24"/>
  <c r="L26" i="24"/>
  <c r="J26" i="24"/>
  <c r="I26" i="24"/>
  <c r="H26" i="24"/>
  <c r="B26" i="24"/>
  <c r="O25" i="24"/>
  <c r="N25" i="24"/>
  <c r="M25" i="24"/>
  <c r="L25" i="24"/>
  <c r="J25" i="24"/>
  <c r="I25" i="24"/>
  <c r="H25" i="24"/>
  <c r="B25" i="24"/>
  <c r="O24" i="24"/>
  <c r="N24" i="24"/>
  <c r="M24" i="24"/>
  <c r="L24" i="24"/>
  <c r="J24" i="24"/>
  <c r="I24" i="24"/>
  <c r="H24" i="24"/>
  <c r="B24" i="24"/>
  <c r="O23" i="24"/>
  <c r="N23" i="24"/>
  <c r="M23" i="24"/>
  <c r="L23" i="24"/>
  <c r="J23" i="24"/>
  <c r="I23" i="24"/>
  <c r="H23" i="24"/>
  <c r="B23" i="24"/>
  <c r="O22" i="24"/>
  <c r="N22" i="24"/>
  <c r="M22" i="24"/>
  <c r="L22" i="24"/>
  <c r="J22" i="24"/>
  <c r="I22" i="24"/>
  <c r="H22" i="24"/>
  <c r="B22" i="24"/>
  <c r="O21" i="24"/>
  <c r="N21" i="24"/>
  <c r="M21" i="24"/>
  <c r="L21" i="24"/>
  <c r="J21" i="24"/>
  <c r="I21" i="24"/>
  <c r="H21" i="24"/>
  <c r="B21" i="24"/>
  <c r="O20" i="24"/>
  <c r="N20" i="24"/>
  <c r="M20" i="24"/>
  <c r="L20" i="24"/>
  <c r="J20" i="24"/>
  <c r="I20" i="24"/>
  <c r="H20" i="24"/>
  <c r="B20" i="24"/>
  <c r="O19" i="24"/>
  <c r="N19" i="24"/>
  <c r="M19" i="24"/>
  <c r="L19" i="24"/>
  <c r="J19" i="24"/>
  <c r="I19" i="24"/>
  <c r="H19" i="24"/>
  <c r="B19" i="24"/>
  <c r="O18" i="24"/>
  <c r="N18" i="24"/>
  <c r="M18" i="24"/>
  <c r="L18" i="24"/>
  <c r="J18" i="24"/>
  <c r="I18" i="24"/>
  <c r="H18" i="24"/>
  <c r="B18" i="24"/>
  <c r="O17" i="24"/>
  <c r="N17" i="24"/>
  <c r="M17" i="24"/>
  <c r="L17" i="24"/>
  <c r="J17" i="24"/>
  <c r="I17" i="24"/>
  <c r="H17" i="24"/>
  <c r="B17" i="24"/>
  <c r="O16" i="24"/>
  <c r="N16" i="24"/>
  <c r="M16" i="24"/>
  <c r="L16" i="24"/>
  <c r="J16" i="24"/>
  <c r="I16" i="24"/>
  <c r="H16" i="24"/>
  <c r="B16" i="24"/>
  <c r="O15" i="24"/>
  <c r="N15" i="24"/>
  <c r="M15" i="24"/>
  <c r="L15" i="24"/>
  <c r="J15" i="24"/>
  <c r="I15" i="24"/>
  <c r="H15" i="24"/>
  <c r="B15" i="24"/>
  <c r="O14" i="24"/>
  <c r="N14" i="24"/>
  <c r="M14" i="24"/>
  <c r="L14" i="24"/>
  <c r="J14" i="24"/>
  <c r="I14" i="24"/>
  <c r="H14" i="24"/>
  <c r="B14" i="24"/>
  <c r="O13" i="24"/>
  <c r="N13" i="24"/>
  <c r="M13" i="24"/>
  <c r="L13" i="24"/>
  <c r="J13" i="24"/>
  <c r="I13" i="24"/>
  <c r="H13" i="24"/>
  <c r="B13" i="24"/>
  <c r="I110" i="23"/>
  <c r="H110" i="23"/>
  <c r="I109" i="23"/>
  <c r="H109" i="23"/>
  <c r="I108" i="23"/>
  <c r="H108" i="23"/>
  <c r="I107" i="23"/>
  <c r="H107" i="23"/>
  <c r="I106" i="23"/>
  <c r="H106" i="23"/>
  <c r="I105" i="23"/>
  <c r="H105" i="23"/>
  <c r="I104" i="23"/>
  <c r="H104" i="23"/>
  <c r="I103" i="23"/>
  <c r="H103" i="23"/>
  <c r="I102" i="23"/>
  <c r="H102" i="23"/>
  <c r="I101" i="23"/>
  <c r="H101" i="23"/>
  <c r="I100" i="23"/>
  <c r="H100" i="23"/>
  <c r="I99" i="23"/>
  <c r="H99" i="23"/>
  <c r="I98" i="23"/>
  <c r="H98" i="23"/>
  <c r="I97" i="23"/>
  <c r="H97" i="23"/>
  <c r="I96" i="23"/>
  <c r="H96" i="23"/>
  <c r="I95" i="23"/>
  <c r="H95" i="23"/>
  <c r="I94" i="23"/>
  <c r="H94" i="23"/>
  <c r="I93" i="23"/>
  <c r="H93" i="23"/>
  <c r="I92" i="23"/>
  <c r="H92" i="23"/>
  <c r="I91" i="23"/>
  <c r="H91" i="23"/>
  <c r="I90" i="23"/>
  <c r="H90" i="23"/>
  <c r="I89" i="23"/>
  <c r="H89" i="23"/>
  <c r="I88" i="23"/>
  <c r="H88" i="23"/>
  <c r="I87" i="23"/>
  <c r="H87" i="23"/>
  <c r="I86" i="23"/>
  <c r="H86" i="23"/>
  <c r="I85" i="23"/>
  <c r="H85" i="23"/>
  <c r="I84" i="23"/>
  <c r="H84" i="23"/>
  <c r="I83" i="23"/>
  <c r="H83" i="23"/>
  <c r="I82" i="23"/>
  <c r="H82" i="23"/>
  <c r="O78" i="23"/>
  <c r="N78" i="23"/>
  <c r="M78" i="23"/>
  <c r="L78" i="23"/>
  <c r="J78" i="23"/>
  <c r="I78" i="23"/>
  <c r="H78" i="23"/>
  <c r="B78" i="23"/>
  <c r="O77" i="23"/>
  <c r="N77" i="23"/>
  <c r="M77" i="23"/>
  <c r="L77" i="23"/>
  <c r="J77" i="23"/>
  <c r="I77" i="23"/>
  <c r="H77" i="23"/>
  <c r="B77" i="23"/>
  <c r="O76" i="23"/>
  <c r="N76" i="23"/>
  <c r="M76" i="23"/>
  <c r="L76" i="23"/>
  <c r="J76" i="23"/>
  <c r="I76" i="23"/>
  <c r="H76" i="23"/>
  <c r="B76" i="23"/>
  <c r="O75" i="23"/>
  <c r="N75" i="23"/>
  <c r="M75" i="23"/>
  <c r="L75" i="23"/>
  <c r="J75" i="23"/>
  <c r="I75" i="23"/>
  <c r="H75" i="23"/>
  <c r="B75" i="23"/>
  <c r="O74" i="23"/>
  <c r="N74" i="23"/>
  <c r="M74" i="23"/>
  <c r="L74" i="23"/>
  <c r="J74" i="23"/>
  <c r="I74" i="23"/>
  <c r="H74" i="23"/>
  <c r="B74" i="23"/>
  <c r="O73" i="23"/>
  <c r="N73" i="23"/>
  <c r="M73" i="23"/>
  <c r="L73" i="23"/>
  <c r="J73" i="23"/>
  <c r="I73" i="23"/>
  <c r="H73" i="23"/>
  <c r="B73" i="23"/>
  <c r="O72" i="23"/>
  <c r="N72" i="23"/>
  <c r="M72" i="23"/>
  <c r="L72" i="23"/>
  <c r="J72" i="23"/>
  <c r="I72" i="23"/>
  <c r="H72" i="23"/>
  <c r="B72" i="23"/>
  <c r="O71" i="23"/>
  <c r="N71" i="23"/>
  <c r="M71" i="23"/>
  <c r="L71" i="23"/>
  <c r="J71" i="23"/>
  <c r="I71" i="23"/>
  <c r="H71" i="23"/>
  <c r="B71" i="23"/>
  <c r="O70" i="23"/>
  <c r="N70" i="23"/>
  <c r="M70" i="23"/>
  <c r="L70" i="23"/>
  <c r="J70" i="23"/>
  <c r="I70" i="23"/>
  <c r="H70" i="23"/>
  <c r="B70" i="23"/>
  <c r="O69" i="23"/>
  <c r="N69" i="23"/>
  <c r="M69" i="23"/>
  <c r="L69" i="23"/>
  <c r="J69" i="23"/>
  <c r="I69" i="23"/>
  <c r="H69" i="23"/>
  <c r="B69" i="23"/>
  <c r="O68" i="23"/>
  <c r="N68" i="23"/>
  <c r="M68" i="23"/>
  <c r="L68" i="23"/>
  <c r="J68" i="23"/>
  <c r="I68" i="23"/>
  <c r="H68" i="23"/>
  <c r="B68" i="23"/>
  <c r="O67" i="23"/>
  <c r="N67" i="23"/>
  <c r="M67" i="23"/>
  <c r="L67" i="23"/>
  <c r="J67" i="23"/>
  <c r="I67" i="23"/>
  <c r="H67" i="23"/>
  <c r="B67" i="23"/>
  <c r="O66" i="23"/>
  <c r="N66" i="23"/>
  <c r="M66" i="23"/>
  <c r="L66" i="23"/>
  <c r="J66" i="23"/>
  <c r="I66" i="23"/>
  <c r="H66" i="23"/>
  <c r="B66" i="23"/>
  <c r="O65" i="23"/>
  <c r="N65" i="23"/>
  <c r="M65" i="23"/>
  <c r="L65" i="23"/>
  <c r="J65" i="23"/>
  <c r="I65" i="23"/>
  <c r="H65" i="23"/>
  <c r="B65" i="23"/>
  <c r="O64" i="23"/>
  <c r="N64" i="23"/>
  <c r="M64" i="23"/>
  <c r="L64" i="23"/>
  <c r="J64" i="23"/>
  <c r="I64" i="23"/>
  <c r="H64" i="23"/>
  <c r="B64" i="23"/>
  <c r="O63" i="23"/>
  <c r="N63" i="23"/>
  <c r="M63" i="23"/>
  <c r="L63" i="23"/>
  <c r="J63" i="23"/>
  <c r="I63" i="23"/>
  <c r="H63" i="23"/>
  <c r="B63" i="23"/>
  <c r="O62" i="23"/>
  <c r="N62" i="23"/>
  <c r="M62" i="23"/>
  <c r="L62" i="23"/>
  <c r="J62" i="23"/>
  <c r="I62" i="23"/>
  <c r="H62" i="23"/>
  <c r="B62" i="23"/>
  <c r="O61" i="23"/>
  <c r="N61" i="23"/>
  <c r="M61" i="23"/>
  <c r="L61" i="23"/>
  <c r="J61" i="23"/>
  <c r="I61" i="23"/>
  <c r="H61" i="23"/>
  <c r="B61" i="23"/>
  <c r="O60" i="23"/>
  <c r="N60" i="23"/>
  <c r="M60" i="23"/>
  <c r="L60" i="23"/>
  <c r="J60" i="23"/>
  <c r="I60" i="23"/>
  <c r="H60" i="23"/>
  <c r="B60" i="23"/>
  <c r="O59" i="23"/>
  <c r="N59" i="23"/>
  <c r="M59" i="23"/>
  <c r="L59" i="23"/>
  <c r="J59" i="23"/>
  <c r="I59" i="23"/>
  <c r="H59" i="23"/>
  <c r="B59" i="23"/>
  <c r="O58" i="23"/>
  <c r="N58" i="23"/>
  <c r="M58" i="23"/>
  <c r="L58" i="23"/>
  <c r="J58" i="23"/>
  <c r="I58" i="23"/>
  <c r="H58" i="23"/>
  <c r="B58" i="23"/>
  <c r="O57" i="23"/>
  <c r="N57" i="23"/>
  <c r="M57" i="23"/>
  <c r="L57" i="23"/>
  <c r="J57" i="23"/>
  <c r="I57" i="23"/>
  <c r="H57" i="23"/>
  <c r="B57" i="23"/>
  <c r="O56" i="23"/>
  <c r="N56" i="23"/>
  <c r="M56" i="23"/>
  <c r="L56" i="23"/>
  <c r="J56" i="23"/>
  <c r="I56" i="23"/>
  <c r="H56" i="23"/>
  <c r="B56" i="23"/>
  <c r="O55" i="23"/>
  <c r="N55" i="23"/>
  <c r="M55" i="23"/>
  <c r="L55" i="23"/>
  <c r="J55" i="23"/>
  <c r="I55" i="23"/>
  <c r="H55" i="23"/>
  <c r="B55" i="23"/>
  <c r="O54" i="23"/>
  <c r="N54" i="23"/>
  <c r="M54" i="23"/>
  <c r="L54" i="23"/>
  <c r="J54" i="23"/>
  <c r="I54" i="23"/>
  <c r="H54" i="23"/>
  <c r="B54" i="23"/>
  <c r="O53" i="23"/>
  <c r="N53" i="23"/>
  <c r="M53" i="23"/>
  <c r="L53" i="23"/>
  <c r="J53" i="23"/>
  <c r="I53" i="23"/>
  <c r="H53" i="23"/>
  <c r="B53" i="23"/>
  <c r="O52" i="23"/>
  <c r="N52" i="23"/>
  <c r="M52" i="23"/>
  <c r="L52" i="23"/>
  <c r="J52" i="23"/>
  <c r="I52" i="23"/>
  <c r="H52" i="23"/>
  <c r="B52" i="23"/>
  <c r="O51" i="23"/>
  <c r="N51" i="23"/>
  <c r="M51" i="23"/>
  <c r="L51" i="23"/>
  <c r="J51" i="23"/>
  <c r="I51" i="23"/>
  <c r="H51" i="23"/>
  <c r="B51" i="23"/>
  <c r="O50" i="23"/>
  <c r="N50" i="23"/>
  <c r="M50" i="23"/>
  <c r="L50" i="23"/>
  <c r="J50" i="23"/>
  <c r="I50" i="23"/>
  <c r="H50" i="23"/>
  <c r="B50" i="23"/>
  <c r="O49" i="23"/>
  <c r="N49" i="23"/>
  <c r="M49" i="23"/>
  <c r="L49" i="23"/>
  <c r="J49" i="23"/>
  <c r="I49" i="23"/>
  <c r="H49" i="23"/>
  <c r="B49" i="23"/>
  <c r="O48" i="23"/>
  <c r="N48" i="23"/>
  <c r="M48" i="23"/>
  <c r="L48" i="23"/>
  <c r="J48" i="23"/>
  <c r="I48" i="23"/>
  <c r="H48" i="23"/>
  <c r="B48" i="23"/>
  <c r="O47" i="23"/>
  <c r="N47" i="23"/>
  <c r="M47" i="23"/>
  <c r="L47" i="23"/>
  <c r="J47" i="23"/>
  <c r="I47" i="23"/>
  <c r="H47" i="23"/>
  <c r="B47" i="23"/>
  <c r="O46" i="23"/>
  <c r="N46" i="23"/>
  <c r="M46" i="23"/>
  <c r="L46" i="23"/>
  <c r="J46" i="23"/>
  <c r="I46" i="23"/>
  <c r="H46" i="23"/>
  <c r="B46" i="23"/>
  <c r="O45" i="23"/>
  <c r="N45" i="23"/>
  <c r="M45" i="23"/>
  <c r="L45" i="23"/>
  <c r="J45" i="23"/>
  <c r="I45" i="23"/>
  <c r="H45" i="23"/>
  <c r="B45" i="23"/>
  <c r="O44" i="23"/>
  <c r="N44" i="23"/>
  <c r="M44" i="23"/>
  <c r="L44" i="23"/>
  <c r="J44" i="23"/>
  <c r="I44" i="23"/>
  <c r="H44" i="23"/>
  <c r="B44" i="23"/>
  <c r="O43" i="23"/>
  <c r="N43" i="23"/>
  <c r="M43" i="23"/>
  <c r="L43" i="23"/>
  <c r="J43" i="23"/>
  <c r="I43" i="23"/>
  <c r="H43" i="23"/>
  <c r="B43" i="23"/>
  <c r="O42" i="23"/>
  <c r="N42" i="23"/>
  <c r="M42" i="23"/>
  <c r="L42" i="23"/>
  <c r="J42" i="23"/>
  <c r="I42" i="23"/>
  <c r="H42" i="23"/>
  <c r="B42" i="23"/>
  <c r="O41" i="23"/>
  <c r="N41" i="23"/>
  <c r="M41" i="23"/>
  <c r="L41" i="23"/>
  <c r="J41" i="23"/>
  <c r="I41" i="23"/>
  <c r="H41" i="23"/>
  <c r="B41" i="23"/>
  <c r="O40" i="23"/>
  <c r="N40" i="23"/>
  <c r="M40" i="23"/>
  <c r="L40" i="23"/>
  <c r="J40" i="23"/>
  <c r="I40" i="23"/>
  <c r="H40" i="23"/>
  <c r="B40" i="23"/>
  <c r="O39" i="23"/>
  <c r="N39" i="23"/>
  <c r="M39" i="23"/>
  <c r="L39" i="23"/>
  <c r="J39" i="23"/>
  <c r="I39" i="23"/>
  <c r="H39" i="23"/>
  <c r="B39" i="23"/>
  <c r="O38" i="23"/>
  <c r="N38" i="23"/>
  <c r="M38" i="23"/>
  <c r="L38" i="23"/>
  <c r="J38" i="23"/>
  <c r="I38" i="23"/>
  <c r="H38" i="23"/>
  <c r="B38" i="23"/>
  <c r="O37" i="23"/>
  <c r="N37" i="23"/>
  <c r="M37" i="23"/>
  <c r="L37" i="23"/>
  <c r="J37" i="23"/>
  <c r="I37" i="23"/>
  <c r="H37" i="23"/>
  <c r="B37" i="23"/>
  <c r="O36" i="23"/>
  <c r="N36" i="23"/>
  <c r="M36" i="23"/>
  <c r="L36" i="23"/>
  <c r="J36" i="23"/>
  <c r="I36" i="23"/>
  <c r="H36" i="23"/>
  <c r="B36" i="23"/>
  <c r="O35" i="23"/>
  <c r="N35" i="23"/>
  <c r="M35" i="23"/>
  <c r="L35" i="23"/>
  <c r="J35" i="23"/>
  <c r="I35" i="23"/>
  <c r="H35" i="23"/>
  <c r="B35" i="23"/>
  <c r="O34" i="23"/>
  <c r="N34" i="23"/>
  <c r="M34" i="23"/>
  <c r="L34" i="23"/>
  <c r="J34" i="23"/>
  <c r="I34" i="23"/>
  <c r="H34" i="23"/>
  <c r="B34" i="23"/>
  <c r="O33" i="23"/>
  <c r="N33" i="23"/>
  <c r="M33" i="23"/>
  <c r="L33" i="23"/>
  <c r="J33" i="23"/>
  <c r="I33" i="23"/>
  <c r="H33" i="23"/>
  <c r="B33" i="23"/>
  <c r="O32" i="23"/>
  <c r="N32" i="23"/>
  <c r="M32" i="23"/>
  <c r="L32" i="23"/>
  <c r="J32" i="23"/>
  <c r="I32" i="23"/>
  <c r="H32" i="23"/>
  <c r="B32" i="23"/>
  <c r="O31" i="23"/>
  <c r="N31" i="23"/>
  <c r="M31" i="23"/>
  <c r="L31" i="23"/>
  <c r="J31" i="23"/>
  <c r="I31" i="23"/>
  <c r="H31" i="23"/>
  <c r="B31" i="23"/>
  <c r="O30" i="23"/>
  <c r="N30" i="23"/>
  <c r="M30" i="23"/>
  <c r="L30" i="23"/>
  <c r="J30" i="23"/>
  <c r="I30" i="23"/>
  <c r="H30" i="23"/>
  <c r="B30" i="23"/>
  <c r="O29" i="23"/>
  <c r="N29" i="23"/>
  <c r="M29" i="23"/>
  <c r="L29" i="23"/>
  <c r="J29" i="23"/>
  <c r="I29" i="23"/>
  <c r="H29" i="23"/>
  <c r="B29" i="23"/>
  <c r="O28" i="23"/>
  <c r="N28" i="23"/>
  <c r="M28" i="23"/>
  <c r="L28" i="23"/>
  <c r="J28" i="23"/>
  <c r="I28" i="23"/>
  <c r="H28" i="23"/>
  <c r="B28" i="23"/>
  <c r="O27" i="23"/>
  <c r="N27" i="23"/>
  <c r="M27" i="23"/>
  <c r="L27" i="23"/>
  <c r="J27" i="23"/>
  <c r="I27" i="23"/>
  <c r="H27" i="23"/>
  <c r="B27" i="23"/>
  <c r="O26" i="23"/>
  <c r="N26" i="23"/>
  <c r="M26" i="23"/>
  <c r="L26" i="23"/>
  <c r="J26" i="23"/>
  <c r="I26" i="23"/>
  <c r="H26" i="23"/>
  <c r="B26" i="23"/>
  <c r="O25" i="23"/>
  <c r="N25" i="23"/>
  <c r="M25" i="23"/>
  <c r="L25" i="23"/>
  <c r="J25" i="23"/>
  <c r="I25" i="23"/>
  <c r="H25" i="23"/>
  <c r="B25" i="23"/>
  <c r="O24" i="23"/>
  <c r="N24" i="23"/>
  <c r="M24" i="23"/>
  <c r="L24" i="23"/>
  <c r="J24" i="23"/>
  <c r="I24" i="23"/>
  <c r="H24" i="23"/>
  <c r="B24" i="23"/>
  <c r="O23" i="23"/>
  <c r="N23" i="23"/>
  <c r="M23" i="23"/>
  <c r="L23" i="23"/>
  <c r="J23" i="23"/>
  <c r="I23" i="23"/>
  <c r="H23" i="23"/>
  <c r="B23" i="23"/>
  <c r="O22" i="23"/>
  <c r="N22" i="23"/>
  <c r="M22" i="23"/>
  <c r="L22" i="23"/>
  <c r="J22" i="23"/>
  <c r="I22" i="23"/>
  <c r="H22" i="23"/>
  <c r="B22" i="23"/>
  <c r="O21" i="23"/>
  <c r="N21" i="23"/>
  <c r="M21" i="23"/>
  <c r="L21" i="23"/>
  <c r="J21" i="23"/>
  <c r="I21" i="23"/>
  <c r="H21" i="23"/>
  <c r="B21" i="23"/>
  <c r="O20" i="23"/>
  <c r="N20" i="23"/>
  <c r="M20" i="23"/>
  <c r="L20" i="23"/>
  <c r="J20" i="23"/>
  <c r="I20" i="23"/>
  <c r="H20" i="23"/>
  <c r="B20" i="23"/>
  <c r="O19" i="23"/>
  <c r="N19" i="23"/>
  <c r="M19" i="23"/>
  <c r="L19" i="23"/>
  <c r="J19" i="23"/>
  <c r="I19" i="23"/>
  <c r="H19" i="23"/>
  <c r="B19" i="23"/>
  <c r="O18" i="23"/>
  <c r="N18" i="23"/>
  <c r="M18" i="23"/>
  <c r="L18" i="23"/>
  <c r="J18" i="23"/>
  <c r="I18" i="23"/>
  <c r="H18" i="23"/>
  <c r="B18" i="23"/>
  <c r="O17" i="23"/>
  <c r="N17" i="23"/>
  <c r="M17" i="23"/>
  <c r="L17" i="23"/>
  <c r="J17" i="23"/>
  <c r="I17" i="23"/>
  <c r="H17" i="23"/>
  <c r="B17" i="23"/>
  <c r="O16" i="23"/>
  <c r="N16" i="23"/>
  <c r="M16" i="23"/>
  <c r="L16" i="23"/>
  <c r="J16" i="23"/>
  <c r="I16" i="23"/>
  <c r="H16" i="23"/>
  <c r="B16" i="23"/>
  <c r="O15" i="23"/>
  <c r="N15" i="23"/>
  <c r="M15" i="23"/>
  <c r="L15" i="23"/>
  <c r="J15" i="23"/>
  <c r="I15" i="23"/>
  <c r="H15" i="23"/>
  <c r="B15" i="23"/>
  <c r="O14" i="23"/>
  <c r="N14" i="23"/>
  <c r="M14" i="23"/>
  <c r="L14" i="23"/>
  <c r="J14" i="23"/>
  <c r="I14" i="23"/>
  <c r="H14" i="23"/>
  <c r="B14" i="23"/>
  <c r="O13" i="23"/>
  <c r="N13" i="23"/>
  <c r="M13" i="23"/>
  <c r="L13" i="23"/>
  <c r="J13" i="23"/>
  <c r="I13" i="23"/>
  <c r="H13" i="23"/>
  <c r="B13" i="23"/>
  <c r="I170" i="22"/>
  <c r="H170" i="22"/>
  <c r="I169" i="22"/>
  <c r="H169" i="22"/>
  <c r="I168" i="22"/>
  <c r="H168" i="22"/>
  <c r="I167" i="22"/>
  <c r="H167" i="22"/>
  <c r="I166" i="22"/>
  <c r="H166" i="22"/>
  <c r="I165" i="22"/>
  <c r="H165" i="22"/>
  <c r="I164" i="22"/>
  <c r="H164" i="22"/>
  <c r="I163" i="22"/>
  <c r="H163" i="22"/>
  <c r="I162" i="22"/>
  <c r="H162" i="22"/>
  <c r="I161" i="22"/>
  <c r="H161" i="22"/>
  <c r="I160" i="22"/>
  <c r="H160" i="22"/>
  <c r="I159" i="22"/>
  <c r="H159" i="22"/>
  <c r="I158" i="22"/>
  <c r="H158" i="22"/>
  <c r="I157" i="22"/>
  <c r="H157" i="22"/>
  <c r="I156" i="22"/>
  <c r="H156" i="22"/>
  <c r="I155" i="22"/>
  <c r="H155" i="22"/>
  <c r="I154" i="22"/>
  <c r="H154" i="22"/>
  <c r="I153" i="22"/>
  <c r="H153" i="22"/>
  <c r="I152" i="22"/>
  <c r="H152" i="22"/>
  <c r="I151" i="22"/>
  <c r="H151" i="22"/>
  <c r="I150" i="22"/>
  <c r="H150" i="22"/>
  <c r="I149" i="22"/>
  <c r="H149" i="22"/>
  <c r="I148" i="22"/>
  <c r="H148" i="22"/>
  <c r="I147" i="22"/>
  <c r="H147" i="22"/>
  <c r="I146" i="22"/>
  <c r="H146" i="22"/>
  <c r="I145" i="22"/>
  <c r="H145" i="22"/>
  <c r="I144" i="22"/>
  <c r="H144" i="22"/>
  <c r="O140" i="22"/>
  <c r="N140" i="22"/>
  <c r="M140" i="22"/>
  <c r="L140" i="22"/>
  <c r="J140" i="22"/>
  <c r="I140" i="22"/>
  <c r="H140" i="22"/>
  <c r="B140" i="22"/>
  <c r="O139" i="22"/>
  <c r="N139" i="22"/>
  <c r="M139" i="22"/>
  <c r="L139" i="22"/>
  <c r="J139" i="22"/>
  <c r="I139" i="22"/>
  <c r="H139" i="22"/>
  <c r="B139" i="22"/>
  <c r="O138" i="22"/>
  <c r="N138" i="22"/>
  <c r="M138" i="22"/>
  <c r="L138" i="22"/>
  <c r="J138" i="22"/>
  <c r="I138" i="22"/>
  <c r="H138" i="22"/>
  <c r="B138" i="22"/>
  <c r="O137" i="22"/>
  <c r="N137" i="22"/>
  <c r="M137" i="22"/>
  <c r="L137" i="22"/>
  <c r="J137" i="22"/>
  <c r="I137" i="22"/>
  <c r="H137" i="22"/>
  <c r="B137" i="22"/>
  <c r="O136" i="22"/>
  <c r="N136" i="22"/>
  <c r="M136" i="22"/>
  <c r="L136" i="22"/>
  <c r="J136" i="22"/>
  <c r="I136" i="22"/>
  <c r="H136" i="22"/>
  <c r="B136" i="22"/>
  <c r="O135" i="22"/>
  <c r="N135" i="22"/>
  <c r="M135" i="22"/>
  <c r="L135" i="22"/>
  <c r="J135" i="22"/>
  <c r="I135" i="22"/>
  <c r="H135" i="22"/>
  <c r="B135" i="22"/>
  <c r="O134" i="22"/>
  <c r="N134" i="22"/>
  <c r="M134" i="22"/>
  <c r="L134" i="22"/>
  <c r="J134" i="22"/>
  <c r="I134" i="22"/>
  <c r="H134" i="22"/>
  <c r="B134" i="22"/>
  <c r="O133" i="22"/>
  <c r="N133" i="22"/>
  <c r="M133" i="22"/>
  <c r="L133" i="22"/>
  <c r="J133" i="22"/>
  <c r="I133" i="22"/>
  <c r="H133" i="22"/>
  <c r="B133" i="22"/>
  <c r="O132" i="22"/>
  <c r="N132" i="22"/>
  <c r="M132" i="22"/>
  <c r="L132" i="22"/>
  <c r="J132" i="22"/>
  <c r="I132" i="22"/>
  <c r="H132" i="22"/>
  <c r="B132" i="22"/>
  <c r="O131" i="22"/>
  <c r="N131" i="22"/>
  <c r="M131" i="22"/>
  <c r="L131" i="22"/>
  <c r="J131" i="22"/>
  <c r="I131" i="22"/>
  <c r="H131" i="22"/>
  <c r="B131" i="22"/>
  <c r="O130" i="22"/>
  <c r="N130" i="22"/>
  <c r="M130" i="22"/>
  <c r="L130" i="22"/>
  <c r="J130" i="22"/>
  <c r="I130" i="22"/>
  <c r="H130" i="22"/>
  <c r="B130" i="22"/>
  <c r="O129" i="22"/>
  <c r="N129" i="22"/>
  <c r="M129" i="22"/>
  <c r="L129" i="22"/>
  <c r="J129" i="22"/>
  <c r="I129" i="22"/>
  <c r="H129" i="22"/>
  <c r="B129" i="22"/>
  <c r="O128" i="22"/>
  <c r="N128" i="22"/>
  <c r="M128" i="22"/>
  <c r="L128" i="22"/>
  <c r="J128" i="22"/>
  <c r="I128" i="22"/>
  <c r="H128" i="22"/>
  <c r="B128" i="22"/>
  <c r="O127" i="22"/>
  <c r="N127" i="22"/>
  <c r="M127" i="22"/>
  <c r="L127" i="22"/>
  <c r="J127" i="22"/>
  <c r="I127" i="22"/>
  <c r="H127" i="22"/>
  <c r="B127" i="22"/>
  <c r="O126" i="22"/>
  <c r="N126" i="22"/>
  <c r="M126" i="22"/>
  <c r="L126" i="22"/>
  <c r="J126" i="22"/>
  <c r="I126" i="22"/>
  <c r="H126" i="22"/>
  <c r="B126" i="22"/>
  <c r="O125" i="22"/>
  <c r="N125" i="22"/>
  <c r="M125" i="22"/>
  <c r="L125" i="22"/>
  <c r="J125" i="22"/>
  <c r="I125" i="22"/>
  <c r="H125" i="22"/>
  <c r="B125" i="22"/>
  <c r="O124" i="22"/>
  <c r="N124" i="22"/>
  <c r="M124" i="22"/>
  <c r="L124" i="22"/>
  <c r="J124" i="22"/>
  <c r="I124" i="22"/>
  <c r="H124" i="22"/>
  <c r="B124" i="22"/>
  <c r="O123" i="22"/>
  <c r="N123" i="22"/>
  <c r="M123" i="22"/>
  <c r="L123" i="22"/>
  <c r="J123" i="22"/>
  <c r="I123" i="22"/>
  <c r="H123" i="22"/>
  <c r="B123" i="22"/>
  <c r="O122" i="22"/>
  <c r="N122" i="22"/>
  <c r="M122" i="22"/>
  <c r="L122" i="22"/>
  <c r="J122" i="22"/>
  <c r="I122" i="22"/>
  <c r="H122" i="22"/>
  <c r="B122" i="22"/>
  <c r="O121" i="22"/>
  <c r="N121" i="22"/>
  <c r="M121" i="22"/>
  <c r="L121" i="22"/>
  <c r="J121" i="22"/>
  <c r="I121" i="22"/>
  <c r="H121" i="22"/>
  <c r="B121" i="22"/>
  <c r="O120" i="22"/>
  <c r="N120" i="22"/>
  <c r="M120" i="22"/>
  <c r="L120" i="22"/>
  <c r="J120" i="22"/>
  <c r="I120" i="22"/>
  <c r="H120" i="22"/>
  <c r="B120" i="22"/>
  <c r="O119" i="22"/>
  <c r="N119" i="22"/>
  <c r="M119" i="22"/>
  <c r="L119" i="22"/>
  <c r="J119" i="22"/>
  <c r="I119" i="22"/>
  <c r="H119" i="22"/>
  <c r="B119" i="22"/>
  <c r="O118" i="22"/>
  <c r="N118" i="22"/>
  <c r="M118" i="22"/>
  <c r="L118" i="22"/>
  <c r="J118" i="22"/>
  <c r="I118" i="22"/>
  <c r="H118" i="22"/>
  <c r="B118" i="22"/>
  <c r="O117" i="22"/>
  <c r="N117" i="22"/>
  <c r="M117" i="22"/>
  <c r="L117" i="22"/>
  <c r="J117" i="22"/>
  <c r="I117" i="22"/>
  <c r="H117" i="22"/>
  <c r="B117" i="22"/>
  <c r="O116" i="22"/>
  <c r="N116" i="22"/>
  <c r="M116" i="22"/>
  <c r="L116" i="22"/>
  <c r="J116" i="22"/>
  <c r="I116" i="22"/>
  <c r="H116" i="22"/>
  <c r="B116" i="22"/>
  <c r="O115" i="22"/>
  <c r="N115" i="22"/>
  <c r="M115" i="22"/>
  <c r="L115" i="22"/>
  <c r="J115" i="22"/>
  <c r="I115" i="22"/>
  <c r="H115" i="22"/>
  <c r="B115" i="22"/>
  <c r="O114" i="22"/>
  <c r="N114" i="22"/>
  <c r="M114" i="22"/>
  <c r="L114" i="22"/>
  <c r="J114" i="22"/>
  <c r="I114" i="22"/>
  <c r="H114" i="22"/>
  <c r="B114" i="22"/>
  <c r="O113" i="22"/>
  <c r="N113" i="22"/>
  <c r="M113" i="22"/>
  <c r="L113" i="22"/>
  <c r="J113" i="22"/>
  <c r="I113" i="22"/>
  <c r="H113" i="22"/>
  <c r="B113" i="22"/>
  <c r="O112" i="22"/>
  <c r="N112" i="22"/>
  <c r="M112" i="22"/>
  <c r="L112" i="22"/>
  <c r="J112" i="22"/>
  <c r="I112" i="22"/>
  <c r="H112" i="22"/>
  <c r="B112" i="22"/>
  <c r="O111" i="22"/>
  <c r="N111" i="22"/>
  <c r="M111" i="22"/>
  <c r="L111" i="22"/>
  <c r="J111" i="22"/>
  <c r="I111" i="22"/>
  <c r="H111" i="22"/>
  <c r="B111" i="22"/>
  <c r="O110" i="22"/>
  <c r="N110" i="22"/>
  <c r="M110" i="22"/>
  <c r="L110" i="22"/>
  <c r="J110" i="22"/>
  <c r="I110" i="22"/>
  <c r="H110" i="22"/>
  <c r="B110" i="22"/>
  <c r="O109" i="22"/>
  <c r="N109" i="22"/>
  <c r="M109" i="22"/>
  <c r="L109" i="22"/>
  <c r="J109" i="22"/>
  <c r="I109" i="22"/>
  <c r="H109" i="22"/>
  <c r="B109" i="22"/>
  <c r="O108" i="22"/>
  <c r="N108" i="22"/>
  <c r="M108" i="22"/>
  <c r="L108" i="22"/>
  <c r="J108" i="22"/>
  <c r="I108" i="22"/>
  <c r="H108" i="22"/>
  <c r="B108" i="22"/>
  <c r="O107" i="22"/>
  <c r="N107" i="22"/>
  <c r="M107" i="22"/>
  <c r="L107" i="22"/>
  <c r="J107" i="22"/>
  <c r="I107" i="22"/>
  <c r="H107" i="22"/>
  <c r="B107" i="22"/>
  <c r="O106" i="22"/>
  <c r="N106" i="22"/>
  <c r="M106" i="22"/>
  <c r="L106" i="22"/>
  <c r="J106" i="22"/>
  <c r="I106" i="22"/>
  <c r="H106" i="22"/>
  <c r="B106" i="22"/>
  <c r="O105" i="22"/>
  <c r="N105" i="22"/>
  <c r="M105" i="22"/>
  <c r="L105" i="22"/>
  <c r="J105" i="22"/>
  <c r="I105" i="22"/>
  <c r="H105" i="22"/>
  <c r="B105" i="22"/>
  <c r="O104" i="22"/>
  <c r="N104" i="22"/>
  <c r="M104" i="22"/>
  <c r="L104" i="22"/>
  <c r="J104" i="22"/>
  <c r="I104" i="22"/>
  <c r="H104" i="22"/>
  <c r="B104" i="22"/>
  <c r="O103" i="22"/>
  <c r="N103" i="22"/>
  <c r="M103" i="22"/>
  <c r="L103" i="22"/>
  <c r="J103" i="22"/>
  <c r="I103" i="22"/>
  <c r="H103" i="22"/>
  <c r="B103" i="22"/>
  <c r="O102" i="22"/>
  <c r="N102" i="22"/>
  <c r="M102" i="22"/>
  <c r="L102" i="22"/>
  <c r="J102" i="22"/>
  <c r="I102" i="22"/>
  <c r="H102" i="22"/>
  <c r="B102" i="22"/>
  <c r="O101" i="22"/>
  <c r="N101" i="22"/>
  <c r="M101" i="22"/>
  <c r="L101" i="22"/>
  <c r="J101" i="22"/>
  <c r="I101" i="22"/>
  <c r="H101" i="22"/>
  <c r="B101" i="22"/>
  <c r="O100" i="22"/>
  <c r="N100" i="22"/>
  <c r="M100" i="22"/>
  <c r="L100" i="22"/>
  <c r="J100" i="22"/>
  <c r="I100" i="22"/>
  <c r="H100" i="22"/>
  <c r="B100" i="22"/>
  <c r="O99" i="22"/>
  <c r="N99" i="22"/>
  <c r="M99" i="22"/>
  <c r="L99" i="22"/>
  <c r="J99" i="22"/>
  <c r="I99" i="22"/>
  <c r="H99" i="22"/>
  <c r="B99" i="22"/>
  <c r="O98" i="22"/>
  <c r="N98" i="22"/>
  <c r="M98" i="22"/>
  <c r="L98" i="22"/>
  <c r="J98" i="22"/>
  <c r="I98" i="22"/>
  <c r="H98" i="22"/>
  <c r="B98" i="22"/>
  <c r="O97" i="22"/>
  <c r="N97" i="22"/>
  <c r="M97" i="22"/>
  <c r="L97" i="22"/>
  <c r="J97" i="22"/>
  <c r="I97" i="22"/>
  <c r="H97" i="22"/>
  <c r="B97" i="22"/>
  <c r="O96" i="22"/>
  <c r="N96" i="22"/>
  <c r="M96" i="22"/>
  <c r="L96" i="22"/>
  <c r="J96" i="22"/>
  <c r="I96" i="22"/>
  <c r="H96" i="22"/>
  <c r="B96" i="22"/>
  <c r="O95" i="22"/>
  <c r="N95" i="22"/>
  <c r="M95" i="22"/>
  <c r="L95" i="22"/>
  <c r="J95" i="22"/>
  <c r="I95" i="22"/>
  <c r="H95" i="22"/>
  <c r="B95" i="22"/>
  <c r="O94" i="22"/>
  <c r="N94" i="22"/>
  <c r="M94" i="22"/>
  <c r="L94" i="22"/>
  <c r="J94" i="22"/>
  <c r="I94" i="22"/>
  <c r="H94" i="22"/>
  <c r="B94" i="22"/>
  <c r="O93" i="22"/>
  <c r="N93" i="22"/>
  <c r="M93" i="22"/>
  <c r="L93" i="22"/>
  <c r="J93" i="22"/>
  <c r="I93" i="22"/>
  <c r="H93" i="22"/>
  <c r="B93" i="22"/>
  <c r="O92" i="22"/>
  <c r="N92" i="22"/>
  <c r="M92" i="22"/>
  <c r="L92" i="22"/>
  <c r="J92" i="22"/>
  <c r="I92" i="22"/>
  <c r="H92" i="22"/>
  <c r="B92" i="22"/>
  <c r="O91" i="22"/>
  <c r="N91" i="22"/>
  <c r="M91" i="22"/>
  <c r="L91" i="22"/>
  <c r="J91" i="22"/>
  <c r="I91" i="22"/>
  <c r="H91" i="22"/>
  <c r="B91" i="22"/>
  <c r="O90" i="22"/>
  <c r="N90" i="22"/>
  <c r="M90" i="22"/>
  <c r="L90" i="22"/>
  <c r="J90" i="22"/>
  <c r="I90" i="22"/>
  <c r="H90" i="22"/>
  <c r="B90" i="22"/>
  <c r="O89" i="22"/>
  <c r="N89" i="22"/>
  <c r="M89" i="22"/>
  <c r="L89" i="22"/>
  <c r="J89" i="22"/>
  <c r="I89" i="22"/>
  <c r="H89" i="22"/>
  <c r="B89" i="22"/>
  <c r="O88" i="22"/>
  <c r="N88" i="22"/>
  <c r="M88" i="22"/>
  <c r="L88" i="22"/>
  <c r="J88" i="22"/>
  <c r="I88" i="22"/>
  <c r="H88" i="22"/>
  <c r="B88" i="22"/>
  <c r="O87" i="22"/>
  <c r="N87" i="22"/>
  <c r="M87" i="22"/>
  <c r="L87" i="22"/>
  <c r="J87" i="22"/>
  <c r="I87" i="22"/>
  <c r="H87" i="22"/>
  <c r="B87" i="22"/>
  <c r="O86" i="22"/>
  <c r="N86" i="22"/>
  <c r="M86" i="22"/>
  <c r="L86" i="22"/>
  <c r="J86" i="22"/>
  <c r="I86" i="22"/>
  <c r="H86" i="22"/>
  <c r="B86" i="22"/>
  <c r="O85" i="22"/>
  <c r="N85" i="22"/>
  <c r="M85" i="22"/>
  <c r="L85" i="22"/>
  <c r="J85" i="22"/>
  <c r="I85" i="22"/>
  <c r="H85" i="22"/>
  <c r="B85" i="22"/>
  <c r="O84" i="22"/>
  <c r="N84" i="22"/>
  <c r="M84" i="22"/>
  <c r="L84" i="22"/>
  <c r="J84" i="22"/>
  <c r="I84" i="22"/>
  <c r="H84" i="22"/>
  <c r="B84" i="22"/>
  <c r="O83" i="22"/>
  <c r="N83" i="22"/>
  <c r="M83" i="22"/>
  <c r="L83" i="22"/>
  <c r="J83" i="22"/>
  <c r="I83" i="22"/>
  <c r="H83" i="22"/>
  <c r="B83" i="22"/>
  <c r="O82" i="22"/>
  <c r="N82" i="22"/>
  <c r="M82" i="22"/>
  <c r="L82" i="22"/>
  <c r="J82" i="22"/>
  <c r="I82" i="22"/>
  <c r="H82" i="22"/>
  <c r="B82" i="22"/>
  <c r="O81" i="22"/>
  <c r="N81" i="22"/>
  <c r="M81" i="22"/>
  <c r="L81" i="22"/>
  <c r="J81" i="22"/>
  <c r="I81" i="22"/>
  <c r="H81" i="22"/>
  <c r="B81" i="22"/>
  <c r="O80" i="22"/>
  <c r="N80" i="22"/>
  <c r="M80" i="22"/>
  <c r="L80" i="22"/>
  <c r="J80" i="22"/>
  <c r="I80" i="22"/>
  <c r="H80" i="22"/>
  <c r="B80" i="22"/>
  <c r="O79" i="22"/>
  <c r="N79" i="22"/>
  <c r="M79" i="22"/>
  <c r="L79" i="22"/>
  <c r="J79" i="22"/>
  <c r="I79" i="22"/>
  <c r="H79" i="22"/>
  <c r="B79" i="22"/>
  <c r="O78" i="22"/>
  <c r="N78" i="22"/>
  <c r="M78" i="22"/>
  <c r="L78" i="22"/>
  <c r="J78" i="22"/>
  <c r="I78" i="22"/>
  <c r="H78" i="22"/>
  <c r="B78" i="22"/>
  <c r="O77" i="22"/>
  <c r="N77" i="22"/>
  <c r="M77" i="22"/>
  <c r="L77" i="22"/>
  <c r="J77" i="22"/>
  <c r="I77" i="22"/>
  <c r="H77" i="22"/>
  <c r="B77" i="22"/>
  <c r="O76" i="22"/>
  <c r="N76" i="22"/>
  <c r="M76" i="22"/>
  <c r="L76" i="22"/>
  <c r="J76" i="22"/>
  <c r="I76" i="22"/>
  <c r="H76" i="22"/>
  <c r="B76" i="22"/>
  <c r="O75" i="22"/>
  <c r="N75" i="22"/>
  <c r="M75" i="22"/>
  <c r="L75" i="22"/>
  <c r="J75" i="22"/>
  <c r="I75" i="22"/>
  <c r="H75" i="22"/>
  <c r="B75" i="22"/>
  <c r="O74" i="22"/>
  <c r="N74" i="22"/>
  <c r="M74" i="22"/>
  <c r="L74" i="22"/>
  <c r="J74" i="22"/>
  <c r="I74" i="22"/>
  <c r="H74" i="22"/>
  <c r="B74" i="22"/>
  <c r="O73" i="22"/>
  <c r="N73" i="22"/>
  <c r="M73" i="22"/>
  <c r="L73" i="22"/>
  <c r="J73" i="22"/>
  <c r="I73" i="22"/>
  <c r="H73" i="22"/>
  <c r="B73" i="22"/>
  <c r="O72" i="22"/>
  <c r="N72" i="22"/>
  <c r="M72" i="22"/>
  <c r="L72" i="22"/>
  <c r="J72" i="22"/>
  <c r="I72" i="22"/>
  <c r="H72" i="22"/>
  <c r="B72" i="22"/>
  <c r="O71" i="22"/>
  <c r="N71" i="22"/>
  <c r="M71" i="22"/>
  <c r="L71" i="22"/>
  <c r="J71" i="22"/>
  <c r="I71" i="22"/>
  <c r="H71" i="22"/>
  <c r="B71" i="22"/>
  <c r="O70" i="22"/>
  <c r="N70" i="22"/>
  <c r="M70" i="22"/>
  <c r="L70" i="22"/>
  <c r="J70" i="22"/>
  <c r="I70" i="22"/>
  <c r="H70" i="22"/>
  <c r="B70" i="22"/>
  <c r="O69" i="22"/>
  <c r="N69" i="22"/>
  <c r="M69" i="22"/>
  <c r="L69" i="22"/>
  <c r="J69" i="22"/>
  <c r="I69" i="22"/>
  <c r="H69" i="22"/>
  <c r="B69" i="22"/>
  <c r="O68" i="22"/>
  <c r="N68" i="22"/>
  <c r="M68" i="22"/>
  <c r="L68" i="22"/>
  <c r="J68" i="22"/>
  <c r="I68" i="22"/>
  <c r="H68" i="22"/>
  <c r="B68" i="22"/>
  <c r="O67" i="22"/>
  <c r="N67" i="22"/>
  <c r="M67" i="22"/>
  <c r="L67" i="22"/>
  <c r="J67" i="22"/>
  <c r="I67" i="22"/>
  <c r="H67" i="22"/>
  <c r="B67" i="22"/>
  <c r="O66" i="22"/>
  <c r="N66" i="22"/>
  <c r="M66" i="22"/>
  <c r="L66" i="22"/>
  <c r="J66" i="22"/>
  <c r="I66" i="22"/>
  <c r="H66" i="22"/>
  <c r="B66" i="22"/>
  <c r="O65" i="22"/>
  <c r="N65" i="22"/>
  <c r="M65" i="22"/>
  <c r="L65" i="22"/>
  <c r="J65" i="22"/>
  <c r="I65" i="22"/>
  <c r="H65" i="22"/>
  <c r="B65" i="22"/>
  <c r="O64" i="22"/>
  <c r="N64" i="22"/>
  <c r="M64" i="22"/>
  <c r="L64" i="22"/>
  <c r="J64" i="22"/>
  <c r="I64" i="22"/>
  <c r="H64" i="22"/>
  <c r="B64" i="22"/>
  <c r="O63" i="22"/>
  <c r="N63" i="22"/>
  <c r="M63" i="22"/>
  <c r="L63" i="22"/>
  <c r="J63" i="22"/>
  <c r="I63" i="22"/>
  <c r="H63" i="22"/>
  <c r="B63" i="22"/>
  <c r="O62" i="22"/>
  <c r="N62" i="22"/>
  <c r="M62" i="22"/>
  <c r="L62" i="22"/>
  <c r="J62" i="22"/>
  <c r="I62" i="22"/>
  <c r="H62" i="22"/>
  <c r="B62" i="22"/>
  <c r="O61" i="22"/>
  <c r="N61" i="22"/>
  <c r="M61" i="22"/>
  <c r="L61" i="22"/>
  <c r="J61" i="22"/>
  <c r="I61" i="22"/>
  <c r="H61" i="22"/>
  <c r="B61" i="22"/>
  <c r="O60" i="22"/>
  <c r="N60" i="22"/>
  <c r="M60" i="22"/>
  <c r="L60" i="22"/>
  <c r="J60" i="22"/>
  <c r="I60" i="22"/>
  <c r="H60" i="22"/>
  <c r="B60" i="22"/>
  <c r="O59" i="22"/>
  <c r="N59" i="22"/>
  <c r="M59" i="22"/>
  <c r="L59" i="22"/>
  <c r="J59" i="22"/>
  <c r="I59" i="22"/>
  <c r="H59" i="22"/>
  <c r="B59" i="22"/>
  <c r="O58" i="22"/>
  <c r="N58" i="22"/>
  <c r="M58" i="22"/>
  <c r="L58" i="22"/>
  <c r="J58" i="22"/>
  <c r="I58" i="22"/>
  <c r="H58" i="22"/>
  <c r="B58" i="22"/>
  <c r="O57" i="22"/>
  <c r="N57" i="22"/>
  <c r="M57" i="22"/>
  <c r="L57" i="22"/>
  <c r="J57" i="22"/>
  <c r="I57" i="22"/>
  <c r="H57" i="22"/>
  <c r="B57" i="22"/>
  <c r="O56" i="22"/>
  <c r="N56" i="22"/>
  <c r="M56" i="22"/>
  <c r="L56" i="22"/>
  <c r="J56" i="22"/>
  <c r="I56" i="22"/>
  <c r="H56" i="22"/>
  <c r="B56" i="22"/>
  <c r="O55" i="22"/>
  <c r="N55" i="22"/>
  <c r="M55" i="22"/>
  <c r="L55" i="22"/>
  <c r="J55" i="22"/>
  <c r="I55" i="22"/>
  <c r="H55" i="22"/>
  <c r="B55" i="22"/>
  <c r="O54" i="22"/>
  <c r="N54" i="22"/>
  <c r="M54" i="22"/>
  <c r="L54" i="22"/>
  <c r="J54" i="22"/>
  <c r="I54" i="22"/>
  <c r="H54" i="22"/>
  <c r="B54" i="22"/>
  <c r="O53" i="22"/>
  <c r="N53" i="22"/>
  <c r="M53" i="22"/>
  <c r="L53" i="22"/>
  <c r="J53" i="22"/>
  <c r="I53" i="22"/>
  <c r="H53" i="22"/>
  <c r="B53" i="22"/>
  <c r="O52" i="22"/>
  <c r="N52" i="22"/>
  <c r="M52" i="22"/>
  <c r="L52" i="22"/>
  <c r="J52" i="22"/>
  <c r="I52" i="22"/>
  <c r="H52" i="22"/>
  <c r="B52" i="22"/>
  <c r="O51" i="22"/>
  <c r="N51" i="22"/>
  <c r="M51" i="22"/>
  <c r="L51" i="22"/>
  <c r="J51" i="22"/>
  <c r="I51" i="22"/>
  <c r="H51" i="22"/>
  <c r="B51" i="22"/>
  <c r="O50" i="22"/>
  <c r="N50" i="22"/>
  <c r="M50" i="22"/>
  <c r="L50" i="22"/>
  <c r="J50" i="22"/>
  <c r="I50" i="22"/>
  <c r="H50" i="22"/>
  <c r="B50" i="22"/>
  <c r="O49" i="22"/>
  <c r="N49" i="22"/>
  <c r="M49" i="22"/>
  <c r="L49" i="22"/>
  <c r="J49" i="22"/>
  <c r="I49" i="22"/>
  <c r="H49" i="22"/>
  <c r="B49" i="22"/>
  <c r="O48" i="22"/>
  <c r="N48" i="22"/>
  <c r="M48" i="22"/>
  <c r="L48" i="22"/>
  <c r="J48" i="22"/>
  <c r="I48" i="22"/>
  <c r="H48" i="22"/>
  <c r="B48" i="22"/>
  <c r="O47" i="22"/>
  <c r="N47" i="22"/>
  <c r="M47" i="22"/>
  <c r="L47" i="22"/>
  <c r="J47" i="22"/>
  <c r="I47" i="22"/>
  <c r="H47" i="22"/>
  <c r="B47" i="22"/>
  <c r="O46" i="22"/>
  <c r="N46" i="22"/>
  <c r="M46" i="22"/>
  <c r="L46" i="22"/>
  <c r="J46" i="22"/>
  <c r="I46" i="22"/>
  <c r="H46" i="22"/>
  <c r="B46" i="22"/>
  <c r="O45" i="22"/>
  <c r="N45" i="22"/>
  <c r="M45" i="22"/>
  <c r="L45" i="22"/>
  <c r="J45" i="22"/>
  <c r="I45" i="22"/>
  <c r="H45" i="22"/>
  <c r="B45" i="22"/>
  <c r="O44" i="22"/>
  <c r="N44" i="22"/>
  <c r="M44" i="22"/>
  <c r="L44" i="22"/>
  <c r="J44" i="22"/>
  <c r="I44" i="22"/>
  <c r="H44" i="22"/>
  <c r="B44" i="22"/>
  <c r="O43" i="22"/>
  <c r="N43" i="22"/>
  <c r="M43" i="22"/>
  <c r="L43" i="22"/>
  <c r="J43" i="22"/>
  <c r="I43" i="22"/>
  <c r="H43" i="22"/>
  <c r="B43" i="22"/>
  <c r="O42" i="22"/>
  <c r="N42" i="22"/>
  <c r="M42" i="22"/>
  <c r="L42" i="22"/>
  <c r="J42" i="22"/>
  <c r="I42" i="22"/>
  <c r="H42" i="22"/>
  <c r="B42" i="22"/>
  <c r="O41" i="22"/>
  <c r="N41" i="22"/>
  <c r="M41" i="22"/>
  <c r="L41" i="22"/>
  <c r="J41" i="22"/>
  <c r="I41" i="22"/>
  <c r="H41" i="22"/>
  <c r="B41" i="22"/>
  <c r="O40" i="22"/>
  <c r="N40" i="22"/>
  <c r="M40" i="22"/>
  <c r="L40" i="22"/>
  <c r="J40" i="22"/>
  <c r="I40" i="22"/>
  <c r="H40" i="22"/>
  <c r="B40" i="22"/>
  <c r="O39" i="22"/>
  <c r="N39" i="22"/>
  <c r="M39" i="22"/>
  <c r="L39" i="22"/>
  <c r="J39" i="22"/>
  <c r="I39" i="22"/>
  <c r="H39" i="22"/>
  <c r="B39" i="22"/>
  <c r="O38" i="22"/>
  <c r="N38" i="22"/>
  <c r="M38" i="22"/>
  <c r="L38" i="22"/>
  <c r="J38" i="22"/>
  <c r="I38" i="22"/>
  <c r="H38" i="22"/>
  <c r="B38" i="22"/>
  <c r="O37" i="22"/>
  <c r="N37" i="22"/>
  <c r="M37" i="22"/>
  <c r="L37" i="22"/>
  <c r="J37" i="22"/>
  <c r="I37" i="22"/>
  <c r="H37" i="22"/>
  <c r="B37" i="22"/>
  <c r="O36" i="22"/>
  <c r="N36" i="22"/>
  <c r="M36" i="22"/>
  <c r="L36" i="22"/>
  <c r="J36" i="22"/>
  <c r="I36" i="22"/>
  <c r="H36" i="22"/>
  <c r="B36" i="22"/>
  <c r="O35" i="22"/>
  <c r="N35" i="22"/>
  <c r="M35" i="22"/>
  <c r="L35" i="22"/>
  <c r="J35" i="22"/>
  <c r="I35" i="22"/>
  <c r="H35" i="22"/>
  <c r="B35" i="22"/>
  <c r="O34" i="22"/>
  <c r="N34" i="22"/>
  <c r="M34" i="22"/>
  <c r="L34" i="22"/>
  <c r="J34" i="22"/>
  <c r="I34" i="22"/>
  <c r="H34" i="22"/>
  <c r="B34" i="22"/>
  <c r="O33" i="22"/>
  <c r="N33" i="22"/>
  <c r="M33" i="22"/>
  <c r="L33" i="22"/>
  <c r="J33" i="22"/>
  <c r="I33" i="22"/>
  <c r="H33" i="22"/>
  <c r="B33" i="22"/>
  <c r="O32" i="22"/>
  <c r="N32" i="22"/>
  <c r="M32" i="22"/>
  <c r="L32" i="22"/>
  <c r="J32" i="22"/>
  <c r="I32" i="22"/>
  <c r="H32" i="22"/>
  <c r="B32" i="22"/>
  <c r="O31" i="22"/>
  <c r="N31" i="22"/>
  <c r="M31" i="22"/>
  <c r="L31" i="22"/>
  <c r="J31" i="22"/>
  <c r="I31" i="22"/>
  <c r="H31" i="22"/>
  <c r="B31" i="22"/>
  <c r="O30" i="22"/>
  <c r="N30" i="22"/>
  <c r="M30" i="22"/>
  <c r="L30" i="22"/>
  <c r="J30" i="22"/>
  <c r="I30" i="22"/>
  <c r="H30" i="22"/>
  <c r="B30" i="22"/>
  <c r="O29" i="22"/>
  <c r="N29" i="22"/>
  <c r="M29" i="22"/>
  <c r="L29" i="22"/>
  <c r="J29" i="22"/>
  <c r="I29" i="22"/>
  <c r="H29" i="22"/>
  <c r="B29" i="22"/>
  <c r="O28" i="22"/>
  <c r="N28" i="22"/>
  <c r="M28" i="22"/>
  <c r="L28" i="22"/>
  <c r="J28" i="22"/>
  <c r="I28" i="22"/>
  <c r="H28" i="22"/>
  <c r="B28" i="22"/>
  <c r="O27" i="22"/>
  <c r="N27" i="22"/>
  <c r="M27" i="22"/>
  <c r="L27" i="22"/>
  <c r="J27" i="22"/>
  <c r="I27" i="22"/>
  <c r="H27" i="22"/>
  <c r="B27" i="22"/>
  <c r="O26" i="22"/>
  <c r="N26" i="22"/>
  <c r="M26" i="22"/>
  <c r="L26" i="22"/>
  <c r="J26" i="22"/>
  <c r="I26" i="22"/>
  <c r="H26" i="22"/>
  <c r="B26" i="22"/>
  <c r="O25" i="22"/>
  <c r="N25" i="22"/>
  <c r="M25" i="22"/>
  <c r="L25" i="22"/>
  <c r="J25" i="22"/>
  <c r="I25" i="22"/>
  <c r="H25" i="22"/>
  <c r="B25" i="22"/>
  <c r="O24" i="22"/>
  <c r="N24" i="22"/>
  <c r="M24" i="22"/>
  <c r="L24" i="22"/>
  <c r="J24" i="22"/>
  <c r="I24" i="22"/>
  <c r="H24" i="22"/>
  <c r="B24" i="22"/>
  <c r="O23" i="22"/>
  <c r="N23" i="22"/>
  <c r="M23" i="22"/>
  <c r="L23" i="22"/>
  <c r="J23" i="22"/>
  <c r="I23" i="22"/>
  <c r="H23" i="22"/>
  <c r="B23" i="22"/>
  <c r="O22" i="22"/>
  <c r="N22" i="22"/>
  <c r="M22" i="22"/>
  <c r="L22" i="22"/>
  <c r="J22" i="22"/>
  <c r="I22" i="22"/>
  <c r="H22" i="22"/>
  <c r="B22" i="22"/>
  <c r="O21" i="22"/>
  <c r="N21" i="22"/>
  <c r="M21" i="22"/>
  <c r="L21" i="22"/>
  <c r="J21" i="22"/>
  <c r="I21" i="22"/>
  <c r="H21" i="22"/>
  <c r="B21" i="22"/>
  <c r="O20" i="22"/>
  <c r="N20" i="22"/>
  <c r="M20" i="22"/>
  <c r="L20" i="22"/>
  <c r="J20" i="22"/>
  <c r="I20" i="22"/>
  <c r="H20" i="22"/>
  <c r="B20" i="22"/>
  <c r="O19" i="22"/>
  <c r="N19" i="22"/>
  <c r="M19" i="22"/>
  <c r="L19" i="22"/>
  <c r="J19" i="22"/>
  <c r="I19" i="22"/>
  <c r="H19" i="22"/>
  <c r="B19" i="22"/>
  <c r="O18" i="22"/>
  <c r="N18" i="22"/>
  <c r="M18" i="22"/>
  <c r="L18" i="22"/>
  <c r="J18" i="22"/>
  <c r="I18" i="22"/>
  <c r="H18" i="22"/>
  <c r="B18" i="22"/>
  <c r="O17" i="22"/>
  <c r="N17" i="22"/>
  <c r="M17" i="22"/>
  <c r="L17" i="22"/>
  <c r="J17" i="22"/>
  <c r="I17" i="22"/>
  <c r="H17" i="22"/>
  <c r="B17" i="22"/>
  <c r="O16" i="22"/>
  <c r="N16" i="22"/>
  <c r="M16" i="22"/>
  <c r="L16" i="22"/>
  <c r="J16" i="22"/>
  <c r="I16" i="22"/>
  <c r="H16" i="22"/>
  <c r="B16" i="22"/>
  <c r="O15" i="22"/>
  <c r="N15" i="22"/>
  <c r="M15" i="22"/>
  <c r="L15" i="22"/>
  <c r="J15" i="22"/>
  <c r="I15" i="22"/>
  <c r="H15" i="22"/>
  <c r="B15" i="22"/>
  <c r="O14" i="22"/>
  <c r="N14" i="22"/>
  <c r="M14" i="22"/>
  <c r="L14" i="22"/>
  <c r="J14" i="22"/>
  <c r="I14" i="22"/>
  <c r="H14" i="22"/>
  <c r="B14" i="22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O145" i="21"/>
  <c r="N145" i="21"/>
  <c r="M145" i="21"/>
  <c r="L145" i="21"/>
  <c r="J145" i="21"/>
  <c r="I145" i="21"/>
  <c r="H145" i="21"/>
  <c r="B145" i="21"/>
  <c r="O144" i="21"/>
  <c r="N144" i="21"/>
  <c r="M144" i="21"/>
  <c r="L144" i="21"/>
  <c r="J144" i="21"/>
  <c r="I144" i="21"/>
  <c r="H144" i="21"/>
  <c r="B144" i="21"/>
  <c r="O143" i="21"/>
  <c r="N143" i="21"/>
  <c r="M143" i="21"/>
  <c r="L143" i="21"/>
  <c r="J143" i="21"/>
  <c r="I143" i="21"/>
  <c r="H143" i="21"/>
  <c r="B143" i="21"/>
  <c r="O142" i="21"/>
  <c r="N142" i="21"/>
  <c r="M142" i="21"/>
  <c r="L142" i="21"/>
  <c r="J142" i="21"/>
  <c r="I142" i="21"/>
  <c r="H142" i="21"/>
  <c r="B142" i="21"/>
  <c r="O141" i="21"/>
  <c r="N141" i="21"/>
  <c r="M141" i="21"/>
  <c r="L141" i="21"/>
  <c r="J141" i="21"/>
  <c r="I141" i="21"/>
  <c r="H141" i="21"/>
  <c r="B141" i="21"/>
  <c r="O140" i="21"/>
  <c r="N140" i="21"/>
  <c r="M140" i="21"/>
  <c r="L140" i="21"/>
  <c r="J140" i="21"/>
  <c r="I140" i="21"/>
  <c r="H140" i="21"/>
  <c r="B140" i="21"/>
  <c r="O139" i="21"/>
  <c r="N139" i="21"/>
  <c r="M139" i="21"/>
  <c r="L139" i="21"/>
  <c r="J139" i="21"/>
  <c r="I139" i="21"/>
  <c r="H139" i="21"/>
  <c r="B139" i="21"/>
  <c r="O138" i="21"/>
  <c r="N138" i="21"/>
  <c r="M138" i="21"/>
  <c r="L138" i="21"/>
  <c r="J138" i="21"/>
  <c r="I138" i="21"/>
  <c r="H138" i="21"/>
  <c r="B138" i="21"/>
  <c r="O137" i="21"/>
  <c r="N137" i="21"/>
  <c r="M137" i="21"/>
  <c r="L137" i="21"/>
  <c r="J137" i="21"/>
  <c r="I137" i="21"/>
  <c r="H137" i="21"/>
  <c r="B137" i="21"/>
  <c r="O136" i="21"/>
  <c r="N136" i="21"/>
  <c r="M136" i="21"/>
  <c r="L136" i="21"/>
  <c r="J136" i="21"/>
  <c r="I136" i="21"/>
  <c r="H136" i="21"/>
  <c r="B136" i="21"/>
  <c r="O135" i="21"/>
  <c r="N135" i="21"/>
  <c r="M135" i="21"/>
  <c r="L135" i="21"/>
  <c r="J135" i="21"/>
  <c r="I135" i="21"/>
  <c r="H135" i="21"/>
  <c r="B135" i="21"/>
  <c r="O134" i="21"/>
  <c r="N134" i="21"/>
  <c r="M134" i="21"/>
  <c r="L134" i="21"/>
  <c r="J134" i="21"/>
  <c r="I134" i="21"/>
  <c r="H134" i="21"/>
  <c r="B134" i="21"/>
  <c r="O133" i="21"/>
  <c r="N133" i="21"/>
  <c r="M133" i="21"/>
  <c r="L133" i="21"/>
  <c r="J133" i="21"/>
  <c r="I133" i="21"/>
  <c r="H133" i="21"/>
  <c r="B133" i="21"/>
  <c r="O132" i="21"/>
  <c r="N132" i="21"/>
  <c r="M132" i="21"/>
  <c r="L132" i="21"/>
  <c r="J132" i="21"/>
  <c r="I132" i="21"/>
  <c r="H132" i="21"/>
  <c r="B132" i="21"/>
  <c r="O131" i="21"/>
  <c r="N131" i="21"/>
  <c r="M131" i="21"/>
  <c r="L131" i="21"/>
  <c r="J131" i="21"/>
  <c r="I131" i="21"/>
  <c r="H131" i="21"/>
  <c r="B131" i="21"/>
  <c r="O130" i="21"/>
  <c r="N130" i="21"/>
  <c r="M130" i="21"/>
  <c r="L130" i="21"/>
  <c r="J130" i="21"/>
  <c r="I130" i="21"/>
  <c r="H130" i="21"/>
  <c r="B130" i="21"/>
  <c r="O129" i="21"/>
  <c r="N129" i="21"/>
  <c r="M129" i="21"/>
  <c r="L129" i="21"/>
  <c r="J129" i="21"/>
  <c r="I129" i="21"/>
  <c r="H129" i="21"/>
  <c r="B129" i="21"/>
  <c r="O128" i="21"/>
  <c r="N128" i="21"/>
  <c r="M128" i="21"/>
  <c r="L128" i="21"/>
  <c r="J128" i="21"/>
  <c r="I128" i="21"/>
  <c r="H128" i="21"/>
  <c r="B128" i="21"/>
  <c r="O127" i="21"/>
  <c r="N127" i="21"/>
  <c r="M127" i="21"/>
  <c r="L127" i="21"/>
  <c r="J127" i="21"/>
  <c r="I127" i="21"/>
  <c r="H127" i="21"/>
  <c r="B127" i="21"/>
  <c r="O126" i="21"/>
  <c r="N126" i="21"/>
  <c r="M126" i="21"/>
  <c r="L126" i="21"/>
  <c r="J126" i="21"/>
  <c r="I126" i="21"/>
  <c r="H126" i="21"/>
  <c r="B126" i="21"/>
  <c r="O125" i="21"/>
  <c r="N125" i="21"/>
  <c r="M125" i="21"/>
  <c r="L125" i="21"/>
  <c r="J125" i="21"/>
  <c r="I125" i="21"/>
  <c r="H125" i="21"/>
  <c r="B125" i="21"/>
  <c r="O124" i="21"/>
  <c r="N124" i="21"/>
  <c r="M124" i="21"/>
  <c r="L124" i="21"/>
  <c r="J124" i="21"/>
  <c r="I124" i="21"/>
  <c r="H124" i="21"/>
  <c r="B124" i="21"/>
  <c r="O123" i="21"/>
  <c r="N123" i="21"/>
  <c r="M123" i="21"/>
  <c r="L123" i="21"/>
  <c r="J123" i="21"/>
  <c r="I123" i="21"/>
  <c r="H123" i="21"/>
  <c r="B123" i="21"/>
  <c r="O122" i="21"/>
  <c r="N122" i="21"/>
  <c r="M122" i="21"/>
  <c r="L122" i="21"/>
  <c r="J122" i="21"/>
  <c r="I122" i="21"/>
  <c r="H122" i="21"/>
  <c r="B122" i="21"/>
  <c r="O121" i="21"/>
  <c r="N121" i="21"/>
  <c r="M121" i="21"/>
  <c r="L121" i="21"/>
  <c r="J121" i="21"/>
  <c r="I121" i="21"/>
  <c r="H121" i="21"/>
  <c r="B121" i="21"/>
  <c r="O120" i="21"/>
  <c r="N120" i="21"/>
  <c r="M120" i="21"/>
  <c r="L120" i="21"/>
  <c r="J120" i="21"/>
  <c r="I120" i="21"/>
  <c r="H120" i="21"/>
  <c r="B120" i="21"/>
  <c r="O119" i="21"/>
  <c r="N119" i="21"/>
  <c r="M119" i="21"/>
  <c r="L119" i="21"/>
  <c r="J119" i="21"/>
  <c r="I119" i="21"/>
  <c r="H119" i="21"/>
  <c r="B119" i="21"/>
  <c r="O118" i="21"/>
  <c r="N118" i="21"/>
  <c r="M118" i="21"/>
  <c r="L118" i="21"/>
  <c r="J118" i="21"/>
  <c r="I118" i="21"/>
  <c r="H118" i="21"/>
  <c r="B118" i="21"/>
  <c r="O117" i="21"/>
  <c r="N117" i="21"/>
  <c r="M117" i="21"/>
  <c r="L117" i="21"/>
  <c r="J117" i="21"/>
  <c r="I117" i="21"/>
  <c r="H117" i="21"/>
  <c r="B117" i="21"/>
  <c r="O116" i="21"/>
  <c r="N116" i="21"/>
  <c r="M116" i="21"/>
  <c r="L116" i="21"/>
  <c r="J116" i="21"/>
  <c r="I116" i="21"/>
  <c r="H116" i="21"/>
  <c r="B116" i="21"/>
  <c r="O115" i="21"/>
  <c r="N115" i="21"/>
  <c r="M115" i="21"/>
  <c r="L115" i="21"/>
  <c r="J115" i="21"/>
  <c r="I115" i="21"/>
  <c r="H115" i="21"/>
  <c r="B115" i="21"/>
  <c r="O114" i="21"/>
  <c r="N114" i="21"/>
  <c r="M114" i="21"/>
  <c r="L114" i="21"/>
  <c r="J114" i="21"/>
  <c r="I114" i="21"/>
  <c r="H114" i="21"/>
  <c r="B114" i="21"/>
  <c r="O113" i="21"/>
  <c r="N113" i="21"/>
  <c r="M113" i="21"/>
  <c r="L113" i="21"/>
  <c r="J113" i="21"/>
  <c r="I113" i="21"/>
  <c r="H113" i="21"/>
  <c r="B113" i="21"/>
  <c r="O112" i="21"/>
  <c r="N112" i="21"/>
  <c r="M112" i="21"/>
  <c r="L112" i="21"/>
  <c r="J112" i="21"/>
  <c r="I112" i="21"/>
  <c r="H112" i="21"/>
  <c r="B112" i="21"/>
  <c r="O111" i="21"/>
  <c r="N111" i="21"/>
  <c r="M111" i="21"/>
  <c r="L111" i="21"/>
  <c r="J111" i="21"/>
  <c r="I111" i="21"/>
  <c r="H111" i="21"/>
  <c r="B111" i="21"/>
  <c r="O110" i="21"/>
  <c r="N110" i="21"/>
  <c r="M110" i="21"/>
  <c r="L110" i="21"/>
  <c r="J110" i="21"/>
  <c r="I110" i="21"/>
  <c r="H110" i="21"/>
  <c r="B110" i="21"/>
  <c r="O109" i="21"/>
  <c r="N109" i="21"/>
  <c r="M109" i="21"/>
  <c r="L109" i="21"/>
  <c r="J109" i="21"/>
  <c r="I109" i="21"/>
  <c r="H109" i="21"/>
  <c r="B109" i="21"/>
  <c r="O108" i="21"/>
  <c r="N108" i="21"/>
  <c r="M108" i="21"/>
  <c r="L108" i="21"/>
  <c r="J108" i="21"/>
  <c r="I108" i="21"/>
  <c r="H108" i="21"/>
  <c r="B108" i="21"/>
  <c r="O107" i="21"/>
  <c r="N107" i="21"/>
  <c r="M107" i="21"/>
  <c r="L107" i="21"/>
  <c r="J107" i="21"/>
  <c r="I107" i="21"/>
  <c r="H107" i="21"/>
  <c r="B107" i="21"/>
  <c r="O106" i="21"/>
  <c r="N106" i="21"/>
  <c r="M106" i="21"/>
  <c r="L106" i="21"/>
  <c r="J106" i="21"/>
  <c r="I106" i="21"/>
  <c r="H106" i="21"/>
  <c r="B106" i="21"/>
  <c r="O105" i="21"/>
  <c r="N105" i="21"/>
  <c r="M105" i="21"/>
  <c r="L105" i="21"/>
  <c r="J105" i="21"/>
  <c r="I105" i="21"/>
  <c r="H105" i="21"/>
  <c r="B105" i="21"/>
  <c r="O104" i="21"/>
  <c r="N104" i="21"/>
  <c r="M104" i="21"/>
  <c r="L104" i="21"/>
  <c r="J104" i="21"/>
  <c r="I104" i="21"/>
  <c r="H104" i="21"/>
  <c r="B104" i="21"/>
  <c r="O103" i="21"/>
  <c r="N103" i="21"/>
  <c r="M103" i="21"/>
  <c r="L103" i="21"/>
  <c r="J103" i="21"/>
  <c r="I103" i="21"/>
  <c r="H103" i="21"/>
  <c r="B103" i="21"/>
  <c r="O102" i="21"/>
  <c r="N102" i="21"/>
  <c r="M102" i="21"/>
  <c r="L102" i="21"/>
  <c r="J102" i="21"/>
  <c r="I102" i="21"/>
  <c r="H102" i="21"/>
  <c r="B102" i="21"/>
  <c r="O101" i="21"/>
  <c r="N101" i="21"/>
  <c r="M101" i="21"/>
  <c r="L101" i="21"/>
  <c r="J101" i="21"/>
  <c r="I101" i="21"/>
  <c r="H101" i="21"/>
  <c r="B101" i="21"/>
  <c r="O100" i="21"/>
  <c r="N100" i="21"/>
  <c r="M100" i="21"/>
  <c r="L100" i="21"/>
  <c r="J100" i="21"/>
  <c r="I100" i="21"/>
  <c r="H100" i="21"/>
  <c r="B100" i="21"/>
  <c r="O99" i="21"/>
  <c r="N99" i="21"/>
  <c r="M99" i="21"/>
  <c r="L99" i="21"/>
  <c r="J99" i="21"/>
  <c r="I99" i="21"/>
  <c r="H99" i="21"/>
  <c r="B99" i="21"/>
  <c r="O98" i="21"/>
  <c r="N98" i="21"/>
  <c r="M98" i="21"/>
  <c r="L98" i="21"/>
  <c r="J98" i="21"/>
  <c r="I98" i="21"/>
  <c r="H98" i="21"/>
  <c r="B98" i="21"/>
  <c r="O97" i="21"/>
  <c r="N97" i="21"/>
  <c r="M97" i="21"/>
  <c r="L97" i="21"/>
  <c r="J97" i="21"/>
  <c r="I97" i="21"/>
  <c r="H97" i="21"/>
  <c r="B97" i="21"/>
  <c r="O96" i="21"/>
  <c r="N96" i="21"/>
  <c r="M96" i="21"/>
  <c r="L96" i="21"/>
  <c r="J96" i="21"/>
  <c r="I96" i="21"/>
  <c r="H96" i="21"/>
  <c r="B96" i="21"/>
  <c r="O95" i="21"/>
  <c r="N95" i="21"/>
  <c r="M95" i="21"/>
  <c r="L95" i="21"/>
  <c r="J95" i="21"/>
  <c r="I95" i="21"/>
  <c r="H95" i="21"/>
  <c r="B95" i="21"/>
  <c r="O94" i="21"/>
  <c r="N94" i="21"/>
  <c r="M94" i="21"/>
  <c r="L94" i="21"/>
  <c r="J94" i="21"/>
  <c r="I94" i="21"/>
  <c r="H94" i="21"/>
  <c r="B94" i="21"/>
  <c r="O93" i="21"/>
  <c r="N93" i="21"/>
  <c r="M93" i="21"/>
  <c r="L93" i="21"/>
  <c r="J93" i="21"/>
  <c r="I93" i="21"/>
  <c r="H93" i="21"/>
  <c r="B93" i="21"/>
  <c r="O92" i="21"/>
  <c r="N92" i="21"/>
  <c r="M92" i="21"/>
  <c r="L92" i="21"/>
  <c r="J92" i="21"/>
  <c r="I92" i="21"/>
  <c r="H92" i="21"/>
  <c r="B92" i="21"/>
  <c r="O91" i="21"/>
  <c r="N91" i="21"/>
  <c r="M91" i="21"/>
  <c r="L91" i="21"/>
  <c r="J91" i="21"/>
  <c r="I91" i="21"/>
  <c r="H91" i="21"/>
  <c r="B91" i="21"/>
  <c r="O90" i="21"/>
  <c r="N90" i="21"/>
  <c r="M90" i="21"/>
  <c r="L90" i="21"/>
  <c r="J90" i="21"/>
  <c r="I90" i="21"/>
  <c r="H90" i="21"/>
  <c r="B90" i="21"/>
  <c r="O89" i="21"/>
  <c r="N89" i="21"/>
  <c r="M89" i="21"/>
  <c r="L89" i="21"/>
  <c r="J89" i="21"/>
  <c r="I89" i="21"/>
  <c r="H89" i="21"/>
  <c r="B89" i="21"/>
  <c r="O88" i="21"/>
  <c r="N88" i="21"/>
  <c r="M88" i="21"/>
  <c r="L88" i="21"/>
  <c r="J88" i="21"/>
  <c r="I88" i="21"/>
  <c r="H88" i="21"/>
  <c r="O87" i="21"/>
  <c r="N87" i="21"/>
  <c r="M87" i="21"/>
  <c r="L87" i="21"/>
  <c r="J87" i="21"/>
  <c r="I87" i="21"/>
  <c r="H87" i="21"/>
  <c r="B87" i="21"/>
  <c r="O86" i="21"/>
  <c r="N86" i="21"/>
  <c r="M86" i="21"/>
  <c r="L86" i="21"/>
  <c r="J86" i="21"/>
  <c r="I86" i="21"/>
  <c r="H86" i="21"/>
  <c r="B86" i="21"/>
  <c r="O85" i="21"/>
  <c r="N85" i="21"/>
  <c r="M85" i="21"/>
  <c r="L85" i="21"/>
  <c r="J85" i="21"/>
  <c r="I85" i="21"/>
  <c r="H85" i="21"/>
  <c r="B85" i="21"/>
  <c r="O84" i="21"/>
  <c r="N84" i="21"/>
  <c r="M84" i="21"/>
  <c r="L84" i="21"/>
  <c r="J84" i="21"/>
  <c r="I84" i="21"/>
  <c r="H84" i="21"/>
  <c r="B84" i="21"/>
  <c r="O83" i="21"/>
  <c r="N83" i="21"/>
  <c r="M83" i="21"/>
  <c r="L83" i="21"/>
  <c r="J83" i="21"/>
  <c r="I83" i="21"/>
  <c r="H83" i="21"/>
  <c r="B83" i="21"/>
  <c r="O82" i="21"/>
  <c r="N82" i="21"/>
  <c r="M82" i="21"/>
  <c r="L82" i="21"/>
  <c r="J82" i="21"/>
  <c r="I82" i="21"/>
  <c r="H82" i="21"/>
  <c r="B82" i="21"/>
  <c r="O81" i="21"/>
  <c r="N81" i="21"/>
  <c r="M81" i="21"/>
  <c r="L81" i="21"/>
  <c r="J81" i="21"/>
  <c r="I81" i="21"/>
  <c r="H81" i="21"/>
  <c r="B81" i="21"/>
  <c r="O80" i="21"/>
  <c r="N80" i="21"/>
  <c r="M80" i="21"/>
  <c r="L80" i="21"/>
  <c r="J80" i="21"/>
  <c r="I80" i="21"/>
  <c r="H80" i="21"/>
  <c r="B80" i="21"/>
  <c r="O79" i="21"/>
  <c r="N79" i="21"/>
  <c r="M79" i="21"/>
  <c r="L79" i="21"/>
  <c r="J79" i="21"/>
  <c r="I79" i="21"/>
  <c r="H79" i="21"/>
  <c r="B79" i="21"/>
  <c r="O78" i="21"/>
  <c r="N78" i="21"/>
  <c r="M78" i="21"/>
  <c r="L78" i="21"/>
  <c r="J78" i="21"/>
  <c r="I78" i="21"/>
  <c r="H78" i="21"/>
  <c r="B78" i="21"/>
  <c r="O77" i="21"/>
  <c r="N77" i="21"/>
  <c r="M77" i="21"/>
  <c r="L77" i="21"/>
  <c r="J77" i="21"/>
  <c r="I77" i="21"/>
  <c r="H77" i="21"/>
  <c r="B77" i="21"/>
  <c r="O76" i="21"/>
  <c r="N76" i="21"/>
  <c r="M76" i="21"/>
  <c r="L76" i="21"/>
  <c r="J76" i="21"/>
  <c r="I76" i="21"/>
  <c r="H76" i="21"/>
  <c r="B76" i="21"/>
  <c r="O75" i="21"/>
  <c r="N75" i="21"/>
  <c r="M75" i="21"/>
  <c r="L75" i="21"/>
  <c r="J75" i="21"/>
  <c r="I75" i="21"/>
  <c r="H75" i="21"/>
  <c r="B75" i="21"/>
  <c r="O74" i="21"/>
  <c r="N74" i="21"/>
  <c r="M74" i="21"/>
  <c r="L74" i="21"/>
  <c r="J74" i="21"/>
  <c r="I74" i="21"/>
  <c r="H74" i="21"/>
  <c r="B74" i="21"/>
  <c r="O73" i="21"/>
  <c r="N73" i="21"/>
  <c r="M73" i="21"/>
  <c r="L73" i="21"/>
  <c r="J73" i="21"/>
  <c r="I73" i="21"/>
  <c r="H73" i="21"/>
  <c r="B73" i="21"/>
  <c r="O72" i="21"/>
  <c r="N72" i="21"/>
  <c r="M72" i="21"/>
  <c r="L72" i="21"/>
  <c r="J72" i="21"/>
  <c r="I72" i="21"/>
  <c r="H72" i="21"/>
  <c r="B72" i="21"/>
  <c r="O71" i="21"/>
  <c r="N71" i="21"/>
  <c r="M71" i="21"/>
  <c r="L71" i="21"/>
  <c r="J71" i="21"/>
  <c r="I71" i="21"/>
  <c r="H71" i="21"/>
  <c r="B71" i="21"/>
  <c r="O70" i="21"/>
  <c r="N70" i="21"/>
  <c r="M70" i="21"/>
  <c r="L70" i="21"/>
  <c r="J70" i="21"/>
  <c r="I70" i="21"/>
  <c r="H70" i="21"/>
  <c r="B70" i="21"/>
  <c r="O69" i="21"/>
  <c r="N69" i="21"/>
  <c r="M69" i="21"/>
  <c r="L69" i="21"/>
  <c r="J69" i="21"/>
  <c r="I69" i="21"/>
  <c r="H69" i="21"/>
  <c r="B69" i="21"/>
  <c r="O68" i="21"/>
  <c r="N68" i="21"/>
  <c r="M68" i="21"/>
  <c r="L68" i="21"/>
  <c r="J68" i="21"/>
  <c r="I68" i="21"/>
  <c r="H68" i="21"/>
  <c r="B68" i="21"/>
  <c r="O67" i="21"/>
  <c r="N67" i="21"/>
  <c r="M67" i="21"/>
  <c r="L67" i="21"/>
  <c r="J67" i="21"/>
  <c r="I67" i="21"/>
  <c r="H67" i="21"/>
  <c r="B67" i="21"/>
  <c r="O66" i="21"/>
  <c r="N66" i="21"/>
  <c r="M66" i="21"/>
  <c r="L66" i="21"/>
  <c r="J66" i="21"/>
  <c r="I66" i="21"/>
  <c r="H66" i="21"/>
  <c r="B66" i="21"/>
  <c r="O65" i="21"/>
  <c r="N65" i="21"/>
  <c r="M65" i="21"/>
  <c r="L65" i="21"/>
  <c r="J65" i="21"/>
  <c r="I65" i="21"/>
  <c r="H65" i="21"/>
  <c r="B65" i="21"/>
  <c r="O64" i="21"/>
  <c r="N64" i="21"/>
  <c r="M64" i="21"/>
  <c r="L64" i="21"/>
  <c r="J64" i="21"/>
  <c r="I64" i="21"/>
  <c r="H64" i="21"/>
  <c r="B64" i="21"/>
  <c r="O63" i="21"/>
  <c r="N63" i="21"/>
  <c r="M63" i="21"/>
  <c r="L63" i="21"/>
  <c r="J63" i="21"/>
  <c r="I63" i="21"/>
  <c r="H63" i="21"/>
  <c r="B63" i="21"/>
  <c r="O62" i="21"/>
  <c r="N62" i="21"/>
  <c r="M62" i="21"/>
  <c r="L62" i="21"/>
  <c r="J62" i="21"/>
  <c r="I62" i="21"/>
  <c r="H62" i="21"/>
  <c r="B62" i="21"/>
  <c r="O61" i="21"/>
  <c r="N61" i="21"/>
  <c r="M61" i="21"/>
  <c r="L61" i="21"/>
  <c r="J61" i="21"/>
  <c r="I61" i="21"/>
  <c r="H61" i="21"/>
  <c r="B61" i="21"/>
  <c r="O60" i="21"/>
  <c r="N60" i="21"/>
  <c r="M60" i="21"/>
  <c r="L60" i="21"/>
  <c r="J60" i="21"/>
  <c r="I60" i="21"/>
  <c r="H60" i="21"/>
  <c r="B60" i="21"/>
  <c r="O59" i="21"/>
  <c r="N59" i="21"/>
  <c r="M59" i="21"/>
  <c r="L59" i="21"/>
  <c r="J59" i="21"/>
  <c r="I59" i="21"/>
  <c r="H59" i="21"/>
  <c r="B59" i="21"/>
  <c r="O58" i="21"/>
  <c r="N58" i="21"/>
  <c r="M58" i="21"/>
  <c r="L58" i="21"/>
  <c r="J58" i="21"/>
  <c r="I58" i="21"/>
  <c r="H58" i="21"/>
  <c r="B58" i="21"/>
  <c r="O57" i="21"/>
  <c r="N57" i="21"/>
  <c r="M57" i="21"/>
  <c r="L57" i="21"/>
  <c r="J57" i="21"/>
  <c r="I57" i="21"/>
  <c r="H57" i="21"/>
  <c r="B57" i="21"/>
  <c r="O56" i="21"/>
  <c r="N56" i="21"/>
  <c r="M56" i="21"/>
  <c r="L56" i="21"/>
  <c r="J56" i="21"/>
  <c r="I56" i="21"/>
  <c r="H56" i="21"/>
  <c r="B56" i="21"/>
  <c r="O55" i="21"/>
  <c r="N55" i="21"/>
  <c r="M55" i="21"/>
  <c r="L55" i="21"/>
  <c r="J55" i="21"/>
  <c r="I55" i="21"/>
  <c r="H55" i="21"/>
  <c r="B55" i="21"/>
  <c r="O54" i="21"/>
  <c r="N54" i="21"/>
  <c r="M54" i="21"/>
  <c r="L54" i="21"/>
  <c r="J54" i="21"/>
  <c r="I54" i="21"/>
  <c r="H54" i="21"/>
  <c r="B54" i="21"/>
  <c r="O53" i="21"/>
  <c r="N53" i="21"/>
  <c r="M53" i="21"/>
  <c r="L53" i="21"/>
  <c r="J53" i="21"/>
  <c r="I53" i="21"/>
  <c r="H53" i="21"/>
  <c r="B53" i="21"/>
  <c r="O52" i="21"/>
  <c r="N52" i="21"/>
  <c r="M52" i="21"/>
  <c r="L52" i="21"/>
  <c r="J52" i="21"/>
  <c r="I52" i="21"/>
  <c r="H52" i="21"/>
  <c r="B52" i="21"/>
  <c r="O51" i="21"/>
  <c r="N51" i="21"/>
  <c r="M51" i="21"/>
  <c r="L51" i="21"/>
  <c r="J51" i="21"/>
  <c r="I51" i="21"/>
  <c r="H51" i="21"/>
  <c r="B51" i="21"/>
  <c r="O50" i="21"/>
  <c r="N50" i="21"/>
  <c r="M50" i="21"/>
  <c r="L50" i="21"/>
  <c r="J50" i="21"/>
  <c r="I50" i="21"/>
  <c r="H50" i="21"/>
  <c r="B50" i="21"/>
  <c r="O49" i="21"/>
  <c r="N49" i="21"/>
  <c r="M49" i="21"/>
  <c r="L49" i="21"/>
  <c r="J49" i="21"/>
  <c r="I49" i="21"/>
  <c r="H49" i="21"/>
  <c r="B49" i="21"/>
  <c r="O48" i="21"/>
  <c r="N48" i="21"/>
  <c r="M48" i="21"/>
  <c r="L48" i="21"/>
  <c r="J48" i="21"/>
  <c r="I48" i="21"/>
  <c r="H48" i="21"/>
  <c r="B48" i="21"/>
  <c r="O47" i="21"/>
  <c r="N47" i="21"/>
  <c r="M47" i="21"/>
  <c r="L47" i="21"/>
  <c r="J47" i="21"/>
  <c r="I47" i="21"/>
  <c r="H47" i="21"/>
  <c r="B47" i="21"/>
  <c r="O46" i="21"/>
  <c r="N46" i="21"/>
  <c r="M46" i="21"/>
  <c r="L46" i="21"/>
  <c r="J46" i="21"/>
  <c r="I46" i="21"/>
  <c r="H46" i="21"/>
  <c r="B46" i="21"/>
  <c r="O45" i="21"/>
  <c r="N45" i="21"/>
  <c r="M45" i="21"/>
  <c r="L45" i="21"/>
  <c r="J45" i="21"/>
  <c r="I45" i="21"/>
  <c r="H45" i="21"/>
  <c r="B45" i="21"/>
  <c r="O44" i="21"/>
  <c r="N44" i="21"/>
  <c r="M44" i="21"/>
  <c r="L44" i="21"/>
  <c r="J44" i="21"/>
  <c r="I44" i="21"/>
  <c r="H44" i="21"/>
  <c r="B44" i="21"/>
  <c r="O43" i="21"/>
  <c r="N43" i="21"/>
  <c r="M43" i="21"/>
  <c r="L43" i="21"/>
  <c r="J43" i="21"/>
  <c r="I43" i="21"/>
  <c r="H43" i="21"/>
  <c r="B43" i="21"/>
  <c r="O42" i="21"/>
  <c r="N42" i="21"/>
  <c r="M42" i="21"/>
  <c r="L42" i="21"/>
  <c r="J42" i="21"/>
  <c r="I42" i="21"/>
  <c r="H42" i="21"/>
  <c r="B42" i="21"/>
  <c r="O41" i="21"/>
  <c r="N41" i="21"/>
  <c r="M41" i="21"/>
  <c r="L41" i="21"/>
  <c r="J41" i="21"/>
  <c r="I41" i="21"/>
  <c r="H41" i="21"/>
  <c r="B41" i="21"/>
  <c r="O40" i="21"/>
  <c r="N40" i="21"/>
  <c r="M40" i="21"/>
  <c r="L40" i="21"/>
  <c r="J40" i="21"/>
  <c r="I40" i="21"/>
  <c r="H40" i="21"/>
  <c r="B40" i="21"/>
  <c r="O39" i="21"/>
  <c r="N39" i="21"/>
  <c r="M39" i="21"/>
  <c r="L39" i="21"/>
  <c r="J39" i="21"/>
  <c r="I39" i="21"/>
  <c r="H39" i="21"/>
  <c r="B39" i="21"/>
  <c r="O38" i="21"/>
  <c r="N38" i="21"/>
  <c r="M38" i="21"/>
  <c r="L38" i="21"/>
  <c r="J38" i="21"/>
  <c r="I38" i="21"/>
  <c r="H38" i="21"/>
  <c r="B38" i="21"/>
  <c r="O37" i="21"/>
  <c r="N37" i="21"/>
  <c r="M37" i="21"/>
  <c r="L37" i="21"/>
  <c r="J37" i="21"/>
  <c r="I37" i="21"/>
  <c r="H37" i="21"/>
  <c r="B37" i="21"/>
  <c r="O36" i="21"/>
  <c r="N36" i="21"/>
  <c r="M36" i="21"/>
  <c r="L36" i="21"/>
  <c r="J36" i="21"/>
  <c r="I36" i="21"/>
  <c r="H36" i="21"/>
  <c r="B36" i="21"/>
  <c r="O35" i="21"/>
  <c r="N35" i="21"/>
  <c r="M35" i="21"/>
  <c r="L35" i="21"/>
  <c r="J35" i="21"/>
  <c r="I35" i="21"/>
  <c r="H35" i="21"/>
  <c r="B35" i="21"/>
  <c r="O34" i="21"/>
  <c r="N34" i="21"/>
  <c r="M34" i="21"/>
  <c r="L34" i="21"/>
  <c r="J34" i="21"/>
  <c r="I34" i="21"/>
  <c r="H34" i="21"/>
  <c r="B34" i="21"/>
  <c r="O33" i="21"/>
  <c r="N33" i="21"/>
  <c r="M33" i="21"/>
  <c r="L33" i="21"/>
  <c r="J33" i="21"/>
  <c r="I33" i="21"/>
  <c r="H33" i="21"/>
  <c r="B33" i="21"/>
  <c r="O32" i="21"/>
  <c r="N32" i="21"/>
  <c r="M32" i="21"/>
  <c r="L32" i="21"/>
  <c r="J32" i="21"/>
  <c r="I32" i="21"/>
  <c r="H32" i="21"/>
  <c r="B32" i="21"/>
  <c r="O31" i="21"/>
  <c r="N31" i="21"/>
  <c r="M31" i="21"/>
  <c r="L31" i="21"/>
  <c r="J31" i="21"/>
  <c r="I31" i="21"/>
  <c r="H31" i="21"/>
  <c r="B31" i="21"/>
  <c r="O30" i="21"/>
  <c r="N30" i="21"/>
  <c r="M30" i="21"/>
  <c r="L30" i="21"/>
  <c r="J30" i="21"/>
  <c r="I30" i="21"/>
  <c r="H30" i="21"/>
  <c r="B30" i="21"/>
  <c r="O29" i="21"/>
  <c r="N29" i="21"/>
  <c r="M29" i="21"/>
  <c r="L29" i="21"/>
  <c r="J29" i="21"/>
  <c r="I29" i="21"/>
  <c r="H29" i="21"/>
  <c r="B29" i="21"/>
  <c r="O28" i="21"/>
  <c r="N28" i="21"/>
  <c r="M28" i="21"/>
  <c r="L28" i="21"/>
  <c r="J28" i="21"/>
  <c r="I28" i="21"/>
  <c r="H28" i="21"/>
  <c r="B28" i="21"/>
  <c r="O27" i="21"/>
  <c r="N27" i="21"/>
  <c r="M27" i="21"/>
  <c r="L27" i="21"/>
  <c r="J27" i="21"/>
  <c r="I27" i="21"/>
  <c r="H27" i="21"/>
  <c r="B27" i="21"/>
  <c r="O26" i="21"/>
  <c r="N26" i="21"/>
  <c r="M26" i="21"/>
  <c r="L26" i="21"/>
  <c r="J26" i="21"/>
  <c r="I26" i="21"/>
  <c r="H26" i="21"/>
  <c r="B26" i="21"/>
  <c r="O25" i="21"/>
  <c r="N25" i="21"/>
  <c r="M25" i="21"/>
  <c r="L25" i="21"/>
  <c r="J25" i="21"/>
  <c r="I25" i="21"/>
  <c r="H25" i="21"/>
  <c r="B25" i="21"/>
  <c r="O24" i="21"/>
  <c r="N24" i="21"/>
  <c r="M24" i="21"/>
  <c r="L24" i="21"/>
  <c r="J24" i="21"/>
  <c r="I24" i="21"/>
  <c r="H24" i="21"/>
  <c r="B24" i="21"/>
  <c r="O23" i="21"/>
  <c r="N23" i="21"/>
  <c r="M23" i="21"/>
  <c r="L23" i="21"/>
  <c r="J23" i="21"/>
  <c r="I23" i="21"/>
  <c r="H23" i="21"/>
  <c r="B23" i="21"/>
  <c r="O22" i="21"/>
  <c r="N22" i="21"/>
  <c r="M22" i="21"/>
  <c r="L22" i="21"/>
  <c r="J22" i="21"/>
  <c r="I22" i="21"/>
  <c r="H22" i="21"/>
  <c r="B22" i="21"/>
  <c r="O21" i="21"/>
  <c r="N21" i="21"/>
  <c r="M21" i="21"/>
  <c r="L21" i="21"/>
  <c r="J21" i="21"/>
  <c r="I21" i="21"/>
  <c r="H21" i="21"/>
  <c r="B21" i="21"/>
  <c r="O20" i="21"/>
  <c r="N20" i="21"/>
  <c r="M20" i="21"/>
  <c r="L20" i="21"/>
  <c r="J20" i="21"/>
  <c r="I20" i="21"/>
  <c r="H20" i="21"/>
  <c r="B20" i="21"/>
  <c r="O19" i="21"/>
  <c r="N19" i="21"/>
  <c r="M19" i="21"/>
  <c r="L19" i="21"/>
  <c r="J19" i="21"/>
  <c r="I19" i="21"/>
  <c r="H19" i="21"/>
  <c r="B19" i="21"/>
  <c r="O18" i="21"/>
  <c r="N18" i="21"/>
  <c r="M18" i="21"/>
  <c r="L18" i="21"/>
  <c r="J18" i="21"/>
  <c r="I18" i="21"/>
  <c r="H18" i="21"/>
  <c r="B18" i="21"/>
  <c r="O17" i="21"/>
  <c r="N17" i="21"/>
  <c r="M17" i="21"/>
  <c r="L17" i="21"/>
  <c r="J17" i="21"/>
  <c r="I17" i="21"/>
  <c r="H17" i="21"/>
  <c r="B17" i="21"/>
  <c r="O16" i="21"/>
  <c r="N16" i="21"/>
  <c r="M16" i="21"/>
  <c r="L16" i="21"/>
  <c r="J16" i="21"/>
  <c r="I16" i="21"/>
  <c r="H16" i="21"/>
  <c r="B16" i="21"/>
  <c r="O15" i="21"/>
  <c r="N15" i="21"/>
  <c r="M15" i="21"/>
  <c r="L15" i="21"/>
  <c r="J15" i="21"/>
  <c r="I15" i="21"/>
  <c r="H15" i="21"/>
  <c r="B15" i="21"/>
  <c r="O14" i="21"/>
  <c r="N14" i="21"/>
  <c r="M14" i="21"/>
  <c r="L14" i="21"/>
  <c r="J14" i="21"/>
  <c r="I14" i="21"/>
  <c r="H14" i="21"/>
  <c r="B14" i="21"/>
  <c r="O13" i="21"/>
  <c r="N13" i="21"/>
  <c r="M13" i="21"/>
  <c r="L13" i="21"/>
  <c r="J13" i="21"/>
  <c r="I13" i="21"/>
  <c r="H13" i="21"/>
  <c r="B13" i="21"/>
  <c r="I382" i="20"/>
  <c r="H382" i="20"/>
  <c r="I381" i="20"/>
  <c r="H381" i="20"/>
  <c r="I380" i="20"/>
  <c r="H380" i="20"/>
  <c r="I379" i="20"/>
  <c r="H379" i="20"/>
  <c r="I378" i="20"/>
  <c r="H378" i="20"/>
  <c r="I377" i="20"/>
  <c r="H377" i="20"/>
  <c r="I376" i="20"/>
  <c r="H376" i="20"/>
  <c r="I375" i="20"/>
  <c r="H375" i="20"/>
  <c r="I374" i="20"/>
  <c r="H374" i="20"/>
  <c r="I373" i="20"/>
  <c r="H373" i="20"/>
  <c r="I372" i="20"/>
  <c r="H372" i="20"/>
  <c r="I371" i="20"/>
  <c r="H371" i="20"/>
  <c r="I370" i="20"/>
  <c r="H370" i="20"/>
  <c r="I369" i="20"/>
  <c r="H369" i="20"/>
  <c r="I368" i="20"/>
  <c r="H368" i="20"/>
  <c r="I367" i="20"/>
  <c r="H367" i="20"/>
  <c r="I366" i="20"/>
  <c r="H366" i="20"/>
  <c r="I365" i="20"/>
  <c r="H365" i="20"/>
  <c r="I364" i="20"/>
  <c r="H364" i="20"/>
  <c r="I363" i="20"/>
  <c r="H363" i="20"/>
  <c r="I362" i="20"/>
  <c r="H362" i="20"/>
  <c r="I361" i="20"/>
  <c r="H361" i="20"/>
  <c r="I360" i="20"/>
  <c r="H360" i="20"/>
  <c r="I359" i="20"/>
  <c r="H359" i="20"/>
  <c r="I358" i="20"/>
  <c r="H358" i="20"/>
  <c r="I357" i="20"/>
  <c r="H357" i="20"/>
  <c r="I356" i="20"/>
  <c r="H356" i="20"/>
  <c r="I355" i="20"/>
  <c r="H355" i="20"/>
  <c r="I354" i="20"/>
  <c r="H354" i="20"/>
  <c r="I353" i="20"/>
  <c r="H353" i="20"/>
  <c r="I352" i="20"/>
  <c r="H352" i="20"/>
  <c r="I351" i="20"/>
  <c r="H351" i="20"/>
  <c r="I350" i="20"/>
  <c r="H350" i="20"/>
  <c r="I349" i="20"/>
  <c r="H349" i="20"/>
  <c r="I348" i="20"/>
  <c r="H348" i="20"/>
  <c r="I347" i="20"/>
  <c r="H347" i="20"/>
  <c r="I346" i="20"/>
  <c r="H346" i="20"/>
  <c r="I345" i="20"/>
  <c r="H345" i="20"/>
  <c r="I344" i="20"/>
  <c r="H344" i="20"/>
  <c r="I343" i="20"/>
  <c r="H343" i="20"/>
  <c r="I342" i="20"/>
  <c r="H342" i="20"/>
  <c r="I341" i="20"/>
  <c r="H341" i="20"/>
  <c r="I340" i="20"/>
  <c r="H340" i="20"/>
  <c r="I339" i="20"/>
  <c r="H339" i="20"/>
  <c r="I338" i="20"/>
  <c r="H338" i="20"/>
  <c r="I337" i="20"/>
  <c r="H337" i="20"/>
  <c r="O333" i="20"/>
  <c r="N333" i="20"/>
  <c r="M333" i="20"/>
  <c r="L333" i="20"/>
  <c r="J333" i="20"/>
  <c r="I333" i="20"/>
  <c r="H333" i="20"/>
  <c r="B333" i="20"/>
  <c r="O332" i="20"/>
  <c r="N332" i="20"/>
  <c r="M332" i="20"/>
  <c r="L332" i="20"/>
  <c r="J332" i="20"/>
  <c r="I332" i="20"/>
  <c r="H332" i="20"/>
  <c r="B332" i="20"/>
  <c r="O331" i="20"/>
  <c r="N331" i="20"/>
  <c r="M331" i="20"/>
  <c r="L331" i="20"/>
  <c r="J331" i="20"/>
  <c r="I331" i="20"/>
  <c r="H331" i="20"/>
  <c r="B331" i="20"/>
  <c r="O330" i="20"/>
  <c r="N330" i="20"/>
  <c r="M330" i="20"/>
  <c r="L330" i="20"/>
  <c r="J330" i="20"/>
  <c r="I330" i="20"/>
  <c r="H330" i="20"/>
  <c r="B330" i="20"/>
  <c r="O329" i="20"/>
  <c r="N329" i="20"/>
  <c r="M329" i="20"/>
  <c r="L329" i="20"/>
  <c r="J329" i="20"/>
  <c r="I329" i="20"/>
  <c r="H329" i="20"/>
  <c r="B329" i="20"/>
  <c r="O328" i="20"/>
  <c r="N328" i="20"/>
  <c r="M328" i="20"/>
  <c r="L328" i="20"/>
  <c r="J328" i="20"/>
  <c r="I328" i="20"/>
  <c r="H328" i="20"/>
  <c r="B328" i="20"/>
  <c r="O327" i="20"/>
  <c r="N327" i="20"/>
  <c r="M327" i="20"/>
  <c r="L327" i="20"/>
  <c r="J327" i="20"/>
  <c r="I327" i="20"/>
  <c r="H327" i="20"/>
  <c r="B327" i="20"/>
  <c r="O326" i="20"/>
  <c r="N326" i="20"/>
  <c r="M326" i="20"/>
  <c r="L326" i="20"/>
  <c r="J326" i="20"/>
  <c r="I326" i="20"/>
  <c r="H326" i="20"/>
  <c r="B326" i="20"/>
  <c r="O325" i="20"/>
  <c r="N325" i="20"/>
  <c r="M325" i="20"/>
  <c r="L325" i="20"/>
  <c r="J325" i="20"/>
  <c r="I325" i="20"/>
  <c r="H325" i="20"/>
  <c r="B325" i="20"/>
  <c r="O324" i="20"/>
  <c r="N324" i="20"/>
  <c r="M324" i="20"/>
  <c r="L324" i="20"/>
  <c r="J324" i="20"/>
  <c r="I324" i="20"/>
  <c r="H324" i="20"/>
  <c r="B324" i="20"/>
  <c r="O323" i="20"/>
  <c r="N323" i="20"/>
  <c r="M323" i="20"/>
  <c r="L323" i="20"/>
  <c r="J323" i="20"/>
  <c r="I323" i="20"/>
  <c r="H323" i="20"/>
  <c r="B323" i="20"/>
  <c r="O322" i="20"/>
  <c r="N322" i="20"/>
  <c r="M322" i="20"/>
  <c r="L322" i="20"/>
  <c r="J322" i="20"/>
  <c r="I322" i="20"/>
  <c r="H322" i="20"/>
  <c r="B322" i="20"/>
  <c r="O321" i="20"/>
  <c r="N321" i="20"/>
  <c r="M321" i="20"/>
  <c r="L321" i="20"/>
  <c r="J321" i="20"/>
  <c r="I321" i="20"/>
  <c r="H321" i="20"/>
  <c r="B321" i="20"/>
  <c r="O320" i="20"/>
  <c r="N320" i="20"/>
  <c r="M320" i="20"/>
  <c r="L320" i="20"/>
  <c r="J320" i="20"/>
  <c r="I320" i="20"/>
  <c r="H320" i="20"/>
  <c r="B320" i="20"/>
  <c r="O319" i="20"/>
  <c r="N319" i="20"/>
  <c r="M319" i="20"/>
  <c r="L319" i="20"/>
  <c r="J319" i="20"/>
  <c r="I319" i="20"/>
  <c r="H319" i="20"/>
  <c r="B319" i="20"/>
  <c r="O318" i="20"/>
  <c r="N318" i="20"/>
  <c r="M318" i="20"/>
  <c r="L318" i="20"/>
  <c r="J318" i="20"/>
  <c r="I318" i="20"/>
  <c r="H318" i="20"/>
  <c r="B318" i="20"/>
  <c r="O317" i="20"/>
  <c r="N317" i="20"/>
  <c r="M317" i="20"/>
  <c r="L317" i="20"/>
  <c r="J317" i="20"/>
  <c r="I317" i="20"/>
  <c r="H317" i="20"/>
  <c r="B317" i="20"/>
  <c r="O316" i="20"/>
  <c r="N316" i="20"/>
  <c r="M316" i="20"/>
  <c r="L316" i="20"/>
  <c r="J316" i="20"/>
  <c r="I316" i="20"/>
  <c r="H316" i="20"/>
  <c r="B316" i="20"/>
  <c r="O315" i="20"/>
  <c r="N315" i="20"/>
  <c r="M315" i="20"/>
  <c r="L315" i="20"/>
  <c r="J315" i="20"/>
  <c r="I315" i="20"/>
  <c r="H315" i="20"/>
  <c r="B315" i="20"/>
  <c r="O314" i="20"/>
  <c r="N314" i="20"/>
  <c r="M314" i="20"/>
  <c r="L314" i="20"/>
  <c r="J314" i="20"/>
  <c r="I314" i="20"/>
  <c r="H314" i="20"/>
  <c r="B314" i="20"/>
  <c r="O313" i="20"/>
  <c r="N313" i="20"/>
  <c r="M313" i="20"/>
  <c r="L313" i="20"/>
  <c r="J313" i="20"/>
  <c r="I313" i="20"/>
  <c r="H313" i="20"/>
  <c r="B313" i="20"/>
  <c r="O312" i="20"/>
  <c r="N312" i="20"/>
  <c r="M312" i="20"/>
  <c r="L312" i="20"/>
  <c r="J312" i="20"/>
  <c r="I312" i="20"/>
  <c r="H312" i="20"/>
  <c r="B312" i="20"/>
  <c r="O311" i="20"/>
  <c r="N311" i="20"/>
  <c r="M311" i="20"/>
  <c r="L311" i="20"/>
  <c r="J311" i="20"/>
  <c r="I311" i="20"/>
  <c r="H311" i="20"/>
  <c r="B311" i="20"/>
  <c r="O310" i="20"/>
  <c r="N310" i="20"/>
  <c r="M310" i="20"/>
  <c r="L310" i="20"/>
  <c r="J310" i="20"/>
  <c r="I310" i="20"/>
  <c r="H310" i="20"/>
  <c r="B310" i="20"/>
  <c r="O309" i="20"/>
  <c r="N309" i="20"/>
  <c r="M309" i="20"/>
  <c r="L309" i="20"/>
  <c r="J309" i="20"/>
  <c r="I309" i="20"/>
  <c r="H309" i="20"/>
  <c r="B309" i="20"/>
  <c r="O308" i="20"/>
  <c r="N308" i="20"/>
  <c r="M308" i="20"/>
  <c r="L308" i="20"/>
  <c r="J308" i="20"/>
  <c r="I308" i="20"/>
  <c r="H308" i="20"/>
  <c r="B308" i="20"/>
  <c r="O307" i="20"/>
  <c r="N307" i="20"/>
  <c r="M307" i="20"/>
  <c r="L307" i="20"/>
  <c r="J307" i="20"/>
  <c r="I307" i="20"/>
  <c r="H307" i="20"/>
  <c r="B307" i="20"/>
  <c r="O306" i="20"/>
  <c r="N306" i="20"/>
  <c r="M306" i="20"/>
  <c r="L306" i="20"/>
  <c r="J306" i="20"/>
  <c r="I306" i="20"/>
  <c r="H306" i="20"/>
  <c r="B306" i="20"/>
  <c r="O305" i="20"/>
  <c r="N305" i="20"/>
  <c r="M305" i="20"/>
  <c r="L305" i="20"/>
  <c r="J305" i="20"/>
  <c r="I305" i="20"/>
  <c r="H305" i="20"/>
  <c r="B305" i="20"/>
  <c r="O304" i="20"/>
  <c r="N304" i="20"/>
  <c r="M304" i="20"/>
  <c r="L304" i="20"/>
  <c r="J304" i="20"/>
  <c r="I304" i="20"/>
  <c r="H304" i="20"/>
  <c r="B304" i="20"/>
  <c r="O303" i="20"/>
  <c r="N303" i="20"/>
  <c r="M303" i="20"/>
  <c r="L303" i="20"/>
  <c r="J303" i="20"/>
  <c r="I303" i="20"/>
  <c r="H303" i="20"/>
  <c r="B303" i="20"/>
  <c r="O302" i="20"/>
  <c r="N302" i="20"/>
  <c r="M302" i="20"/>
  <c r="L302" i="20"/>
  <c r="J302" i="20"/>
  <c r="I302" i="20"/>
  <c r="H302" i="20"/>
  <c r="B302" i="20"/>
  <c r="O301" i="20"/>
  <c r="N301" i="20"/>
  <c r="M301" i="20"/>
  <c r="L301" i="20"/>
  <c r="J301" i="20"/>
  <c r="I301" i="20"/>
  <c r="H301" i="20"/>
  <c r="B301" i="20"/>
  <c r="O300" i="20"/>
  <c r="N300" i="20"/>
  <c r="M300" i="20"/>
  <c r="L300" i="20"/>
  <c r="J300" i="20"/>
  <c r="I300" i="20"/>
  <c r="H300" i="20"/>
  <c r="B300" i="20"/>
  <c r="O299" i="20"/>
  <c r="N299" i="20"/>
  <c r="M299" i="20"/>
  <c r="L299" i="20"/>
  <c r="J299" i="20"/>
  <c r="I299" i="20"/>
  <c r="H299" i="20"/>
  <c r="B299" i="20"/>
  <c r="O298" i="20"/>
  <c r="N298" i="20"/>
  <c r="M298" i="20"/>
  <c r="L298" i="20"/>
  <c r="J298" i="20"/>
  <c r="I298" i="20"/>
  <c r="H298" i="20"/>
  <c r="B298" i="20"/>
  <c r="O297" i="20"/>
  <c r="N297" i="20"/>
  <c r="M297" i="20"/>
  <c r="L297" i="20"/>
  <c r="J297" i="20"/>
  <c r="I297" i="20"/>
  <c r="H297" i="20"/>
  <c r="B297" i="20"/>
  <c r="O296" i="20"/>
  <c r="N296" i="20"/>
  <c r="M296" i="20"/>
  <c r="L296" i="20"/>
  <c r="J296" i="20"/>
  <c r="I296" i="20"/>
  <c r="H296" i="20"/>
  <c r="B296" i="20"/>
  <c r="O295" i="20"/>
  <c r="N295" i="20"/>
  <c r="M295" i="20"/>
  <c r="L295" i="20"/>
  <c r="J295" i="20"/>
  <c r="I295" i="20"/>
  <c r="H295" i="20"/>
  <c r="B295" i="20"/>
  <c r="O294" i="20"/>
  <c r="N294" i="20"/>
  <c r="M294" i="20"/>
  <c r="L294" i="20"/>
  <c r="J294" i="20"/>
  <c r="I294" i="20"/>
  <c r="H294" i="20"/>
  <c r="B294" i="20"/>
  <c r="O293" i="20"/>
  <c r="N293" i="20"/>
  <c r="M293" i="20"/>
  <c r="L293" i="20"/>
  <c r="J293" i="20"/>
  <c r="I293" i="20"/>
  <c r="H293" i="20"/>
  <c r="B293" i="20"/>
  <c r="O292" i="20"/>
  <c r="N292" i="20"/>
  <c r="M292" i="20"/>
  <c r="L292" i="20"/>
  <c r="J292" i="20"/>
  <c r="I292" i="20"/>
  <c r="H292" i="20"/>
  <c r="B292" i="20"/>
  <c r="O291" i="20"/>
  <c r="N291" i="20"/>
  <c r="M291" i="20"/>
  <c r="L291" i="20"/>
  <c r="J291" i="20"/>
  <c r="I291" i="20"/>
  <c r="H291" i="20"/>
  <c r="B291" i="20"/>
  <c r="O290" i="20"/>
  <c r="N290" i="20"/>
  <c r="M290" i="20"/>
  <c r="L290" i="20"/>
  <c r="J290" i="20"/>
  <c r="I290" i="20"/>
  <c r="H290" i="20"/>
  <c r="B290" i="20"/>
  <c r="O289" i="20"/>
  <c r="N289" i="20"/>
  <c r="M289" i="20"/>
  <c r="L289" i="20"/>
  <c r="J289" i="20"/>
  <c r="I289" i="20"/>
  <c r="H289" i="20"/>
  <c r="B289" i="20"/>
  <c r="O288" i="20"/>
  <c r="N288" i="20"/>
  <c r="M288" i="20"/>
  <c r="L288" i="20"/>
  <c r="J288" i="20"/>
  <c r="I288" i="20"/>
  <c r="H288" i="20"/>
  <c r="B288" i="20"/>
  <c r="O287" i="20"/>
  <c r="N287" i="20"/>
  <c r="M287" i="20"/>
  <c r="L287" i="20"/>
  <c r="J287" i="20"/>
  <c r="I287" i="20"/>
  <c r="H287" i="20"/>
  <c r="B287" i="20"/>
  <c r="O286" i="20"/>
  <c r="N286" i="20"/>
  <c r="M286" i="20"/>
  <c r="L286" i="20"/>
  <c r="J286" i="20"/>
  <c r="I286" i="20"/>
  <c r="H286" i="20"/>
  <c r="B286" i="20"/>
  <c r="O285" i="20"/>
  <c r="N285" i="20"/>
  <c r="M285" i="20"/>
  <c r="L285" i="20"/>
  <c r="J285" i="20"/>
  <c r="I285" i="20"/>
  <c r="H285" i="20"/>
  <c r="B285" i="20"/>
  <c r="O284" i="20"/>
  <c r="N284" i="20"/>
  <c r="M284" i="20"/>
  <c r="L284" i="20"/>
  <c r="J284" i="20"/>
  <c r="I284" i="20"/>
  <c r="H284" i="20"/>
  <c r="B284" i="20"/>
  <c r="O283" i="20"/>
  <c r="N283" i="20"/>
  <c r="M283" i="20"/>
  <c r="L283" i="20"/>
  <c r="J283" i="20"/>
  <c r="I283" i="20"/>
  <c r="H283" i="20"/>
  <c r="B283" i="20"/>
  <c r="O282" i="20"/>
  <c r="N282" i="20"/>
  <c r="M282" i="20"/>
  <c r="L282" i="20"/>
  <c r="J282" i="20"/>
  <c r="I282" i="20"/>
  <c r="H282" i="20"/>
  <c r="B282" i="20"/>
  <c r="O281" i="20"/>
  <c r="N281" i="20"/>
  <c r="M281" i="20"/>
  <c r="L281" i="20"/>
  <c r="J281" i="20"/>
  <c r="I281" i="20"/>
  <c r="H281" i="20"/>
  <c r="B281" i="20"/>
  <c r="O280" i="20"/>
  <c r="N280" i="20"/>
  <c r="M280" i="20"/>
  <c r="L280" i="20"/>
  <c r="J280" i="20"/>
  <c r="I280" i="20"/>
  <c r="H280" i="20"/>
  <c r="B280" i="20"/>
  <c r="O279" i="20"/>
  <c r="N279" i="20"/>
  <c r="M279" i="20"/>
  <c r="L279" i="20"/>
  <c r="J279" i="20"/>
  <c r="I279" i="20"/>
  <c r="H279" i="20"/>
  <c r="B279" i="20"/>
  <c r="O278" i="20"/>
  <c r="N278" i="20"/>
  <c r="M278" i="20"/>
  <c r="L278" i="20"/>
  <c r="J278" i="20"/>
  <c r="I278" i="20"/>
  <c r="H278" i="20"/>
  <c r="B278" i="20"/>
  <c r="O277" i="20"/>
  <c r="N277" i="20"/>
  <c r="M277" i="20"/>
  <c r="L277" i="20"/>
  <c r="J277" i="20"/>
  <c r="I277" i="20"/>
  <c r="H277" i="20"/>
  <c r="B277" i="20"/>
  <c r="O276" i="20"/>
  <c r="N276" i="20"/>
  <c r="M276" i="20"/>
  <c r="L276" i="20"/>
  <c r="J276" i="20"/>
  <c r="I276" i="20"/>
  <c r="H276" i="20"/>
  <c r="B276" i="20"/>
  <c r="O275" i="20"/>
  <c r="N275" i="20"/>
  <c r="M275" i="20"/>
  <c r="L275" i="20"/>
  <c r="J275" i="20"/>
  <c r="I275" i="20"/>
  <c r="H275" i="20"/>
  <c r="B275" i="20"/>
  <c r="O274" i="20"/>
  <c r="N274" i="20"/>
  <c r="M274" i="20"/>
  <c r="L274" i="20"/>
  <c r="J274" i="20"/>
  <c r="I274" i="20"/>
  <c r="H274" i="20"/>
  <c r="B274" i="20"/>
  <c r="O273" i="20"/>
  <c r="N273" i="20"/>
  <c r="M273" i="20"/>
  <c r="L273" i="20"/>
  <c r="J273" i="20"/>
  <c r="I273" i="20"/>
  <c r="H273" i="20"/>
  <c r="B273" i="20"/>
  <c r="O272" i="20"/>
  <c r="N272" i="20"/>
  <c r="M272" i="20"/>
  <c r="L272" i="20"/>
  <c r="J272" i="20"/>
  <c r="I272" i="20"/>
  <c r="H272" i="20"/>
  <c r="B272" i="20"/>
  <c r="O271" i="20"/>
  <c r="N271" i="20"/>
  <c r="M271" i="20"/>
  <c r="L271" i="20"/>
  <c r="J271" i="20"/>
  <c r="I271" i="20"/>
  <c r="H271" i="20"/>
  <c r="B271" i="20"/>
  <c r="O270" i="20"/>
  <c r="N270" i="20"/>
  <c r="M270" i="20"/>
  <c r="L270" i="20"/>
  <c r="J270" i="20"/>
  <c r="I270" i="20"/>
  <c r="H270" i="20"/>
  <c r="B270" i="20"/>
  <c r="O269" i="20"/>
  <c r="N269" i="20"/>
  <c r="M269" i="20"/>
  <c r="L269" i="20"/>
  <c r="J269" i="20"/>
  <c r="I269" i="20"/>
  <c r="H269" i="20"/>
  <c r="B269" i="20"/>
  <c r="O268" i="20"/>
  <c r="N268" i="20"/>
  <c r="M268" i="20"/>
  <c r="L268" i="20"/>
  <c r="J268" i="20"/>
  <c r="I268" i="20"/>
  <c r="H268" i="20"/>
  <c r="B268" i="20"/>
  <c r="O267" i="20"/>
  <c r="N267" i="20"/>
  <c r="M267" i="20"/>
  <c r="L267" i="20"/>
  <c r="J267" i="20"/>
  <c r="I267" i="20"/>
  <c r="H267" i="20"/>
  <c r="B267" i="20"/>
  <c r="O266" i="20"/>
  <c r="N266" i="20"/>
  <c r="M266" i="20"/>
  <c r="L266" i="20"/>
  <c r="J266" i="20"/>
  <c r="I266" i="20"/>
  <c r="H266" i="20"/>
  <c r="B266" i="20"/>
  <c r="O265" i="20"/>
  <c r="N265" i="20"/>
  <c r="M265" i="20"/>
  <c r="L265" i="20"/>
  <c r="J265" i="20"/>
  <c r="I265" i="20"/>
  <c r="H265" i="20"/>
  <c r="B265" i="20"/>
  <c r="O264" i="20"/>
  <c r="N264" i="20"/>
  <c r="M264" i="20"/>
  <c r="L264" i="20"/>
  <c r="J264" i="20"/>
  <c r="I264" i="20"/>
  <c r="H264" i="20"/>
  <c r="B264" i="20"/>
  <c r="O263" i="20"/>
  <c r="N263" i="20"/>
  <c r="M263" i="20"/>
  <c r="L263" i="20"/>
  <c r="J263" i="20"/>
  <c r="I263" i="20"/>
  <c r="H263" i="20"/>
  <c r="B263" i="20"/>
  <c r="O262" i="20"/>
  <c r="N262" i="20"/>
  <c r="M262" i="20"/>
  <c r="L262" i="20"/>
  <c r="J262" i="20"/>
  <c r="I262" i="20"/>
  <c r="H262" i="20"/>
  <c r="B262" i="20"/>
  <c r="O261" i="20"/>
  <c r="N261" i="20"/>
  <c r="M261" i="20"/>
  <c r="L261" i="20"/>
  <c r="J261" i="20"/>
  <c r="I261" i="20"/>
  <c r="H261" i="20"/>
  <c r="B261" i="20"/>
  <c r="O260" i="20"/>
  <c r="N260" i="20"/>
  <c r="M260" i="20"/>
  <c r="L260" i="20"/>
  <c r="J260" i="20"/>
  <c r="I260" i="20"/>
  <c r="H260" i="20"/>
  <c r="B260" i="20"/>
  <c r="O259" i="20"/>
  <c r="N259" i="20"/>
  <c r="M259" i="20"/>
  <c r="L259" i="20"/>
  <c r="J259" i="20"/>
  <c r="I259" i="20"/>
  <c r="H259" i="20"/>
  <c r="B259" i="20"/>
  <c r="O258" i="20"/>
  <c r="N258" i="20"/>
  <c r="M258" i="20"/>
  <c r="L258" i="20"/>
  <c r="J258" i="20"/>
  <c r="I258" i="20"/>
  <c r="H258" i="20"/>
  <c r="B258" i="20"/>
  <c r="O257" i="20"/>
  <c r="N257" i="20"/>
  <c r="M257" i="20"/>
  <c r="L257" i="20"/>
  <c r="J257" i="20"/>
  <c r="I257" i="20"/>
  <c r="H257" i="20"/>
  <c r="B257" i="20"/>
  <c r="O256" i="20"/>
  <c r="N256" i="20"/>
  <c r="M256" i="20"/>
  <c r="L256" i="20"/>
  <c r="J256" i="20"/>
  <c r="I256" i="20"/>
  <c r="H256" i="20"/>
  <c r="B256" i="20"/>
  <c r="O255" i="20"/>
  <c r="N255" i="20"/>
  <c r="M255" i="20"/>
  <c r="L255" i="20"/>
  <c r="J255" i="20"/>
  <c r="I255" i="20"/>
  <c r="H255" i="20"/>
  <c r="B255" i="20"/>
  <c r="O254" i="20"/>
  <c r="N254" i="20"/>
  <c r="M254" i="20"/>
  <c r="L254" i="20"/>
  <c r="J254" i="20"/>
  <c r="I254" i="20"/>
  <c r="H254" i="20"/>
  <c r="B254" i="20"/>
  <c r="O253" i="20"/>
  <c r="N253" i="20"/>
  <c r="M253" i="20"/>
  <c r="L253" i="20"/>
  <c r="J253" i="20"/>
  <c r="I253" i="20"/>
  <c r="H253" i="20"/>
  <c r="B253" i="20"/>
  <c r="O252" i="20"/>
  <c r="N252" i="20"/>
  <c r="M252" i="20"/>
  <c r="L252" i="20"/>
  <c r="J252" i="20"/>
  <c r="I252" i="20"/>
  <c r="H252" i="20"/>
  <c r="B252" i="20"/>
  <c r="O251" i="20"/>
  <c r="N251" i="20"/>
  <c r="M251" i="20"/>
  <c r="L251" i="20"/>
  <c r="J251" i="20"/>
  <c r="I251" i="20"/>
  <c r="H251" i="20"/>
  <c r="B251" i="20"/>
  <c r="O250" i="20"/>
  <c r="N250" i="20"/>
  <c r="M250" i="20"/>
  <c r="L250" i="20"/>
  <c r="J250" i="20"/>
  <c r="I250" i="20"/>
  <c r="H250" i="20"/>
  <c r="B250" i="20"/>
  <c r="O249" i="20"/>
  <c r="N249" i="20"/>
  <c r="M249" i="20"/>
  <c r="L249" i="20"/>
  <c r="J249" i="20"/>
  <c r="I249" i="20"/>
  <c r="H249" i="20"/>
  <c r="B249" i="20"/>
  <c r="O248" i="20"/>
  <c r="N248" i="20"/>
  <c r="M248" i="20"/>
  <c r="L248" i="20"/>
  <c r="J248" i="20"/>
  <c r="I248" i="20"/>
  <c r="H248" i="20"/>
  <c r="B248" i="20"/>
  <c r="O247" i="20"/>
  <c r="N247" i="20"/>
  <c r="M247" i="20"/>
  <c r="L247" i="20"/>
  <c r="J247" i="20"/>
  <c r="I247" i="20"/>
  <c r="H247" i="20"/>
  <c r="B247" i="20"/>
  <c r="O246" i="20"/>
  <c r="N246" i="20"/>
  <c r="M246" i="20"/>
  <c r="L246" i="20"/>
  <c r="J246" i="20"/>
  <c r="I246" i="20"/>
  <c r="H246" i="20"/>
  <c r="B246" i="20"/>
  <c r="O245" i="20"/>
  <c r="N245" i="20"/>
  <c r="M245" i="20"/>
  <c r="L245" i="20"/>
  <c r="J245" i="20"/>
  <c r="I245" i="20"/>
  <c r="H245" i="20"/>
  <c r="B245" i="20"/>
  <c r="O244" i="20"/>
  <c r="N244" i="20"/>
  <c r="M244" i="20"/>
  <c r="L244" i="20"/>
  <c r="J244" i="20"/>
  <c r="I244" i="20"/>
  <c r="H244" i="20"/>
  <c r="B244" i="20"/>
  <c r="O243" i="20"/>
  <c r="N243" i="20"/>
  <c r="M243" i="20"/>
  <c r="L243" i="20"/>
  <c r="J243" i="20"/>
  <c r="I243" i="20"/>
  <c r="H243" i="20"/>
  <c r="B243" i="20"/>
  <c r="O242" i="20"/>
  <c r="N242" i="20"/>
  <c r="M242" i="20"/>
  <c r="L242" i="20"/>
  <c r="J242" i="20"/>
  <c r="I242" i="20"/>
  <c r="H242" i="20"/>
  <c r="B242" i="20"/>
  <c r="O241" i="20"/>
  <c r="N241" i="20"/>
  <c r="M241" i="20"/>
  <c r="L241" i="20"/>
  <c r="J241" i="20"/>
  <c r="I241" i="20"/>
  <c r="H241" i="20"/>
  <c r="B241" i="20"/>
  <c r="O240" i="20"/>
  <c r="N240" i="20"/>
  <c r="M240" i="20"/>
  <c r="L240" i="20"/>
  <c r="J240" i="20"/>
  <c r="I240" i="20"/>
  <c r="H240" i="20"/>
  <c r="B240" i="20"/>
  <c r="O239" i="20"/>
  <c r="N239" i="20"/>
  <c r="M239" i="20"/>
  <c r="L239" i="20"/>
  <c r="J239" i="20"/>
  <c r="I239" i="20"/>
  <c r="H239" i="20"/>
  <c r="B239" i="20"/>
  <c r="O238" i="20"/>
  <c r="N238" i="20"/>
  <c r="M238" i="20"/>
  <c r="L238" i="20"/>
  <c r="J238" i="20"/>
  <c r="I238" i="20"/>
  <c r="H238" i="20"/>
  <c r="B238" i="20"/>
  <c r="O237" i="20"/>
  <c r="N237" i="20"/>
  <c r="M237" i="20"/>
  <c r="L237" i="20"/>
  <c r="J237" i="20"/>
  <c r="I237" i="20"/>
  <c r="H237" i="20"/>
  <c r="B237" i="20"/>
  <c r="O236" i="20"/>
  <c r="N236" i="20"/>
  <c r="M236" i="20"/>
  <c r="L236" i="20"/>
  <c r="J236" i="20"/>
  <c r="I236" i="20"/>
  <c r="H236" i="20"/>
  <c r="B236" i="20"/>
  <c r="O235" i="20"/>
  <c r="N235" i="20"/>
  <c r="M235" i="20"/>
  <c r="L235" i="20"/>
  <c r="J235" i="20"/>
  <c r="I235" i="20"/>
  <c r="H235" i="20"/>
  <c r="B235" i="20"/>
  <c r="O234" i="20"/>
  <c r="N234" i="20"/>
  <c r="M234" i="20"/>
  <c r="L234" i="20"/>
  <c r="J234" i="20"/>
  <c r="I234" i="20"/>
  <c r="H234" i="20"/>
  <c r="B234" i="20"/>
  <c r="O233" i="20"/>
  <c r="N233" i="20"/>
  <c r="M233" i="20"/>
  <c r="L233" i="20"/>
  <c r="J233" i="20"/>
  <c r="I233" i="20"/>
  <c r="H233" i="20"/>
  <c r="B233" i="20"/>
  <c r="O232" i="20"/>
  <c r="N232" i="20"/>
  <c r="M232" i="20"/>
  <c r="L232" i="20"/>
  <c r="J232" i="20"/>
  <c r="I232" i="20"/>
  <c r="H232" i="20"/>
  <c r="B232" i="20"/>
  <c r="O231" i="20"/>
  <c r="N231" i="20"/>
  <c r="M231" i="20"/>
  <c r="L231" i="20"/>
  <c r="J231" i="20"/>
  <c r="I231" i="20"/>
  <c r="H231" i="20"/>
  <c r="B231" i="20"/>
  <c r="O230" i="20"/>
  <c r="N230" i="20"/>
  <c r="M230" i="20"/>
  <c r="L230" i="20"/>
  <c r="J230" i="20"/>
  <c r="I230" i="20"/>
  <c r="H230" i="20"/>
  <c r="B230" i="20"/>
  <c r="O229" i="20"/>
  <c r="N229" i="20"/>
  <c r="M229" i="20"/>
  <c r="L229" i="20"/>
  <c r="J229" i="20"/>
  <c r="I229" i="20"/>
  <c r="H229" i="20"/>
  <c r="B229" i="20"/>
  <c r="O228" i="20"/>
  <c r="N228" i="20"/>
  <c r="M228" i="20"/>
  <c r="L228" i="20"/>
  <c r="J228" i="20"/>
  <c r="I228" i="20"/>
  <c r="H228" i="20"/>
  <c r="B228" i="20"/>
  <c r="O227" i="20"/>
  <c r="N227" i="20"/>
  <c r="M227" i="20"/>
  <c r="L227" i="20"/>
  <c r="J227" i="20"/>
  <c r="I227" i="20"/>
  <c r="H227" i="20"/>
  <c r="B227" i="20"/>
  <c r="O226" i="20"/>
  <c r="N226" i="20"/>
  <c r="M226" i="20"/>
  <c r="L226" i="20"/>
  <c r="J226" i="20"/>
  <c r="I226" i="20"/>
  <c r="H226" i="20"/>
  <c r="B226" i="20"/>
  <c r="O225" i="20"/>
  <c r="N225" i="20"/>
  <c r="M225" i="20"/>
  <c r="L225" i="20"/>
  <c r="J225" i="20"/>
  <c r="I225" i="20"/>
  <c r="H225" i="20"/>
  <c r="B225" i="20"/>
  <c r="O224" i="20"/>
  <c r="N224" i="20"/>
  <c r="M224" i="20"/>
  <c r="L224" i="20"/>
  <c r="J224" i="20"/>
  <c r="I224" i="20"/>
  <c r="H224" i="20"/>
  <c r="B224" i="20"/>
  <c r="O223" i="20"/>
  <c r="N223" i="20"/>
  <c r="M223" i="20"/>
  <c r="L223" i="20"/>
  <c r="J223" i="20"/>
  <c r="I223" i="20"/>
  <c r="H223" i="20"/>
  <c r="B223" i="20"/>
  <c r="O222" i="20"/>
  <c r="N222" i="20"/>
  <c r="M222" i="20"/>
  <c r="L222" i="20"/>
  <c r="J222" i="20"/>
  <c r="I222" i="20"/>
  <c r="H222" i="20"/>
  <c r="B222" i="20"/>
  <c r="O221" i="20"/>
  <c r="N221" i="20"/>
  <c r="M221" i="20"/>
  <c r="L221" i="20"/>
  <c r="J221" i="20"/>
  <c r="I221" i="20"/>
  <c r="H221" i="20"/>
  <c r="B221" i="20"/>
  <c r="O220" i="20"/>
  <c r="N220" i="20"/>
  <c r="M220" i="20"/>
  <c r="L220" i="20"/>
  <c r="J220" i="20"/>
  <c r="I220" i="20"/>
  <c r="H220" i="20"/>
  <c r="B220" i="20"/>
  <c r="O219" i="20"/>
  <c r="N219" i="20"/>
  <c r="M219" i="20"/>
  <c r="L219" i="20"/>
  <c r="J219" i="20"/>
  <c r="I219" i="20"/>
  <c r="H219" i="20"/>
  <c r="B219" i="20"/>
  <c r="O218" i="20"/>
  <c r="N218" i="20"/>
  <c r="M218" i="20"/>
  <c r="L218" i="20"/>
  <c r="J218" i="20"/>
  <c r="I218" i="20"/>
  <c r="H218" i="20"/>
  <c r="B218" i="20"/>
  <c r="O217" i="20"/>
  <c r="N217" i="20"/>
  <c r="M217" i="20"/>
  <c r="L217" i="20"/>
  <c r="J217" i="20"/>
  <c r="I217" i="20"/>
  <c r="H217" i="20"/>
  <c r="B217" i="20"/>
  <c r="O216" i="20"/>
  <c r="N216" i="20"/>
  <c r="M216" i="20"/>
  <c r="L216" i="20"/>
  <c r="J216" i="20"/>
  <c r="I216" i="20"/>
  <c r="H216" i="20"/>
  <c r="B216" i="20"/>
  <c r="O215" i="20"/>
  <c r="N215" i="20"/>
  <c r="M215" i="20"/>
  <c r="L215" i="20"/>
  <c r="J215" i="20"/>
  <c r="I215" i="20"/>
  <c r="H215" i="20"/>
  <c r="B215" i="20"/>
  <c r="O214" i="20"/>
  <c r="N214" i="20"/>
  <c r="M214" i="20"/>
  <c r="L214" i="20"/>
  <c r="J214" i="20"/>
  <c r="I214" i="20"/>
  <c r="H214" i="20"/>
  <c r="B214" i="20"/>
  <c r="O213" i="20"/>
  <c r="N213" i="20"/>
  <c r="M213" i="20"/>
  <c r="L213" i="20"/>
  <c r="J213" i="20"/>
  <c r="I213" i="20"/>
  <c r="H213" i="20"/>
  <c r="B213" i="20"/>
  <c r="O212" i="20"/>
  <c r="N212" i="20"/>
  <c r="M212" i="20"/>
  <c r="L212" i="20"/>
  <c r="J212" i="20"/>
  <c r="I212" i="20"/>
  <c r="H212" i="20"/>
  <c r="B212" i="20"/>
  <c r="O211" i="20"/>
  <c r="N211" i="20"/>
  <c r="M211" i="20"/>
  <c r="L211" i="20"/>
  <c r="J211" i="20"/>
  <c r="I211" i="20"/>
  <c r="H211" i="20"/>
  <c r="B211" i="20"/>
  <c r="O210" i="20"/>
  <c r="N210" i="20"/>
  <c r="M210" i="20"/>
  <c r="L210" i="20"/>
  <c r="J210" i="20"/>
  <c r="I210" i="20"/>
  <c r="H210" i="20"/>
  <c r="B210" i="20"/>
  <c r="O209" i="20"/>
  <c r="N209" i="20"/>
  <c r="M209" i="20"/>
  <c r="L209" i="20"/>
  <c r="J209" i="20"/>
  <c r="I209" i="20"/>
  <c r="H209" i="20"/>
  <c r="B209" i="20"/>
  <c r="O208" i="20"/>
  <c r="N208" i="20"/>
  <c r="M208" i="20"/>
  <c r="L208" i="20"/>
  <c r="J208" i="20"/>
  <c r="I208" i="20"/>
  <c r="H208" i="20"/>
  <c r="B208" i="20"/>
  <c r="O207" i="20"/>
  <c r="N207" i="20"/>
  <c r="M207" i="20"/>
  <c r="L207" i="20"/>
  <c r="J207" i="20"/>
  <c r="I207" i="20"/>
  <c r="H207" i="20"/>
  <c r="B207" i="20"/>
  <c r="O206" i="20"/>
  <c r="N206" i="20"/>
  <c r="M206" i="20"/>
  <c r="L206" i="20"/>
  <c r="J206" i="20"/>
  <c r="I206" i="20"/>
  <c r="H206" i="20"/>
  <c r="B206" i="20"/>
  <c r="O205" i="20"/>
  <c r="N205" i="20"/>
  <c r="M205" i="20"/>
  <c r="L205" i="20"/>
  <c r="J205" i="20"/>
  <c r="I205" i="20"/>
  <c r="H205" i="20"/>
  <c r="B205" i="20"/>
  <c r="O204" i="20"/>
  <c r="N204" i="20"/>
  <c r="M204" i="20"/>
  <c r="L204" i="20"/>
  <c r="J204" i="20"/>
  <c r="I204" i="20"/>
  <c r="H204" i="20"/>
  <c r="B204" i="20"/>
  <c r="O203" i="20"/>
  <c r="N203" i="20"/>
  <c r="M203" i="20"/>
  <c r="L203" i="20"/>
  <c r="J203" i="20"/>
  <c r="I203" i="20"/>
  <c r="H203" i="20"/>
  <c r="B203" i="20"/>
  <c r="O202" i="20"/>
  <c r="N202" i="20"/>
  <c r="M202" i="20"/>
  <c r="L202" i="20"/>
  <c r="J202" i="20"/>
  <c r="I202" i="20"/>
  <c r="H202" i="20"/>
  <c r="B202" i="20"/>
  <c r="O201" i="20"/>
  <c r="N201" i="20"/>
  <c r="M201" i="20"/>
  <c r="L201" i="20"/>
  <c r="J201" i="20"/>
  <c r="I201" i="20"/>
  <c r="H201" i="20"/>
  <c r="B201" i="20"/>
  <c r="O200" i="20"/>
  <c r="N200" i="20"/>
  <c r="M200" i="20"/>
  <c r="L200" i="20"/>
  <c r="J200" i="20"/>
  <c r="I200" i="20"/>
  <c r="H200" i="20"/>
  <c r="B200" i="20"/>
  <c r="O199" i="20"/>
  <c r="N199" i="20"/>
  <c r="M199" i="20"/>
  <c r="L199" i="20"/>
  <c r="J199" i="20"/>
  <c r="I199" i="20"/>
  <c r="H199" i="20"/>
  <c r="B199" i="20"/>
  <c r="O198" i="20"/>
  <c r="N198" i="20"/>
  <c r="M198" i="20"/>
  <c r="L198" i="20"/>
  <c r="J198" i="20"/>
  <c r="I198" i="20"/>
  <c r="H198" i="20"/>
  <c r="B198" i="20"/>
  <c r="O197" i="20"/>
  <c r="N197" i="20"/>
  <c r="M197" i="20"/>
  <c r="L197" i="20"/>
  <c r="J197" i="20"/>
  <c r="I197" i="20"/>
  <c r="H197" i="20"/>
  <c r="B197" i="20"/>
  <c r="O196" i="20"/>
  <c r="N196" i="20"/>
  <c r="M196" i="20"/>
  <c r="L196" i="20"/>
  <c r="J196" i="20"/>
  <c r="I196" i="20"/>
  <c r="H196" i="20"/>
  <c r="B196" i="20"/>
  <c r="O195" i="20"/>
  <c r="N195" i="20"/>
  <c r="M195" i="20"/>
  <c r="L195" i="20"/>
  <c r="J195" i="20"/>
  <c r="I195" i="20"/>
  <c r="H195" i="20"/>
  <c r="B195" i="20"/>
  <c r="O194" i="20"/>
  <c r="N194" i="20"/>
  <c r="M194" i="20"/>
  <c r="L194" i="20"/>
  <c r="J194" i="20"/>
  <c r="I194" i="20"/>
  <c r="H194" i="20"/>
  <c r="B194" i="20"/>
  <c r="O193" i="20"/>
  <c r="N193" i="20"/>
  <c r="M193" i="20"/>
  <c r="L193" i="20"/>
  <c r="J193" i="20"/>
  <c r="I193" i="20"/>
  <c r="H193" i="20"/>
  <c r="B193" i="20"/>
  <c r="O192" i="20"/>
  <c r="N192" i="20"/>
  <c r="M192" i="20"/>
  <c r="L192" i="20"/>
  <c r="J192" i="20"/>
  <c r="I192" i="20"/>
  <c r="H192" i="20"/>
  <c r="B192" i="20"/>
  <c r="O191" i="20"/>
  <c r="N191" i="20"/>
  <c r="M191" i="20"/>
  <c r="L191" i="20"/>
  <c r="J191" i="20"/>
  <c r="I191" i="20"/>
  <c r="H191" i="20"/>
  <c r="B191" i="20"/>
  <c r="O190" i="20"/>
  <c r="N190" i="20"/>
  <c r="M190" i="20"/>
  <c r="L190" i="20"/>
  <c r="J190" i="20"/>
  <c r="I190" i="20"/>
  <c r="H190" i="20"/>
  <c r="B190" i="20"/>
  <c r="O189" i="20"/>
  <c r="N189" i="20"/>
  <c r="M189" i="20"/>
  <c r="L189" i="20"/>
  <c r="J189" i="20"/>
  <c r="I189" i="20"/>
  <c r="H189" i="20"/>
  <c r="B189" i="20"/>
  <c r="O188" i="20"/>
  <c r="N188" i="20"/>
  <c r="M188" i="20"/>
  <c r="L188" i="20"/>
  <c r="J188" i="20"/>
  <c r="I188" i="20"/>
  <c r="H188" i="20"/>
  <c r="B188" i="20"/>
  <c r="O187" i="20"/>
  <c r="N187" i="20"/>
  <c r="M187" i="20"/>
  <c r="L187" i="20"/>
  <c r="J187" i="20"/>
  <c r="I187" i="20"/>
  <c r="H187" i="20"/>
  <c r="B187" i="20"/>
  <c r="O186" i="20"/>
  <c r="N186" i="20"/>
  <c r="M186" i="20"/>
  <c r="L186" i="20"/>
  <c r="J186" i="20"/>
  <c r="I186" i="20"/>
  <c r="H186" i="20"/>
  <c r="B186" i="20"/>
  <c r="O185" i="20"/>
  <c r="N185" i="20"/>
  <c r="M185" i="20"/>
  <c r="L185" i="20"/>
  <c r="J185" i="20"/>
  <c r="I185" i="20"/>
  <c r="H185" i="20"/>
  <c r="B185" i="20"/>
  <c r="O184" i="20"/>
  <c r="N184" i="20"/>
  <c r="M184" i="20"/>
  <c r="L184" i="20"/>
  <c r="J184" i="20"/>
  <c r="I184" i="20"/>
  <c r="H184" i="20"/>
  <c r="B184" i="20"/>
  <c r="O183" i="20"/>
  <c r="N183" i="20"/>
  <c r="M183" i="20"/>
  <c r="L183" i="20"/>
  <c r="J183" i="20"/>
  <c r="I183" i="20"/>
  <c r="H183" i="20"/>
  <c r="B183" i="20"/>
  <c r="O182" i="20"/>
  <c r="N182" i="20"/>
  <c r="M182" i="20"/>
  <c r="L182" i="20"/>
  <c r="J182" i="20"/>
  <c r="I182" i="20"/>
  <c r="H182" i="20"/>
  <c r="B182" i="20"/>
  <c r="O181" i="20"/>
  <c r="N181" i="20"/>
  <c r="M181" i="20"/>
  <c r="L181" i="20"/>
  <c r="J181" i="20"/>
  <c r="I181" i="20"/>
  <c r="H181" i="20"/>
  <c r="B181" i="20"/>
  <c r="O180" i="20"/>
  <c r="N180" i="20"/>
  <c r="M180" i="20"/>
  <c r="L180" i="20"/>
  <c r="J180" i="20"/>
  <c r="I180" i="20"/>
  <c r="H180" i="20"/>
  <c r="B180" i="20"/>
  <c r="O179" i="20"/>
  <c r="N179" i="20"/>
  <c r="M179" i="20"/>
  <c r="L179" i="20"/>
  <c r="J179" i="20"/>
  <c r="I179" i="20"/>
  <c r="H179" i="20"/>
  <c r="B179" i="20"/>
  <c r="O178" i="20"/>
  <c r="N178" i="20"/>
  <c r="M178" i="20"/>
  <c r="L178" i="20"/>
  <c r="J178" i="20"/>
  <c r="I178" i="20"/>
  <c r="H178" i="20"/>
  <c r="B178" i="20"/>
  <c r="O177" i="20"/>
  <c r="N177" i="20"/>
  <c r="M177" i="20"/>
  <c r="L177" i="20"/>
  <c r="J177" i="20"/>
  <c r="I177" i="20"/>
  <c r="H177" i="20"/>
  <c r="B177" i="20"/>
  <c r="O176" i="20"/>
  <c r="N176" i="20"/>
  <c r="M176" i="20"/>
  <c r="L176" i="20"/>
  <c r="J176" i="20"/>
  <c r="I176" i="20"/>
  <c r="H176" i="20"/>
  <c r="B176" i="20"/>
  <c r="O175" i="20"/>
  <c r="N175" i="20"/>
  <c r="M175" i="20"/>
  <c r="L175" i="20"/>
  <c r="J175" i="20"/>
  <c r="I175" i="20"/>
  <c r="H175" i="20"/>
  <c r="B175" i="20"/>
  <c r="O174" i="20"/>
  <c r="N174" i="20"/>
  <c r="M174" i="20"/>
  <c r="L174" i="20"/>
  <c r="J174" i="20"/>
  <c r="I174" i="20"/>
  <c r="H174" i="20"/>
  <c r="B174" i="20"/>
  <c r="O173" i="20"/>
  <c r="N173" i="20"/>
  <c r="M173" i="20"/>
  <c r="L173" i="20"/>
  <c r="J173" i="20"/>
  <c r="I173" i="20"/>
  <c r="H173" i="20"/>
  <c r="B173" i="20"/>
  <c r="O172" i="20"/>
  <c r="N172" i="20"/>
  <c r="M172" i="20"/>
  <c r="L172" i="20"/>
  <c r="J172" i="20"/>
  <c r="I172" i="20"/>
  <c r="H172" i="20"/>
  <c r="B172" i="20"/>
  <c r="O171" i="20"/>
  <c r="N171" i="20"/>
  <c r="M171" i="20"/>
  <c r="L171" i="20"/>
  <c r="J171" i="20"/>
  <c r="I171" i="20"/>
  <c r="H171" i="20"/>
  <c r="B171" i="20"/>
  <c r="O170" i="20"/>
  <c r="N170" i="20"/>
  <c r="M170" i="20"/>
  <c r="L170" i="20"/>
  <c r="J170" i="20"/>
  <c r="I170" i="20"/>
  <c r="H170" i="20"/>
  <c r="B170" i="20"/>
  <c r="O169" i="20"/>
  <c r="N169" i="20"/>
  <c r="M169" i="20"/>
  <c r="L169" i="20"/>
  <c r="J169" i="20"/>
  <c r="I169" i="20"/>
  <c r="H169" i="20"/>
  <c r="B169" i="20"/>
  <c r="O168" i="20"/>
  <c r="N168" i="20"/>
  <c r="M168" i="20"/>
  <c r="L168" i="20"/>
  <c r="J168" i="20"/>
  <c r="I168" i="20"/>
  <c r="H168" i="20"/>
  <c r="B168" i="20"/>
  <c r="O167" i="20"/>
  <c r="N167" i="20"/>
  <c r="M167" i="20"/>
  <c r="L167" i="20"/>
  <c r="J167" i="20"/>
  <c r="I167" i="20"/>
  <c r="H167" i="20"/>
  <c r="B167" i="20"/>
  <c r="O166" i="20"/>
  <c r="N166" i="20"/>
  <c r="M166" i="20"/>
  <c r="L166" i="20"/>
  <c r="J166" i="20"/>
  <c r="I166" i="20"/>
  <c r="H166" i="20"/>
  <c r="B166" i="20"/>
  <c r="O165" i="20"/>
  <c r="N165" i="20"/>
  <c r="M165" i="20"/>
  <c r="L165" i="20"/>
  <c r="J165" i="20"/>
  <c r="I165" i="20"/>
  <c r="H165" i="20"/>
  <c r="B165" i="20"/>
  <c r="O164" i="20"/>
  <c r="N164" i="20"/>
  <c r="M164" i="20"/>
  <c r="L164" i="20"/>
  <c r="J164" i="20"/>
  <c r="I164" i="20"/>
  <c r="H164" i="20"/>
  <c r="B164" i="20"/>
  <c r="O163" i="20"/>
  <c r="N163" i="20"/>
  <c r="M163" i="20"/>
  <c r="L163" i="20"/>
  <c r="J163" i="20"/>
  <c r="I163" i="20"/>
  <c r="H163" i="20"/>
  <c r="B163" i="20"/>
  <c r="O162" i="20"/>
  <c r="N162" i="20"/>
  <c r="M162" i="20"/>
  <c r="L162" i="20"/>
  <c r="J162" i="20"/>
  <c r="I162" i="20"/>
  <c r="H162" i="20"/>
  <c r="B162" i="20"/>
  <c r="O161" i="20"/>
  <c r="N161" i="20"/>
  <c r="M161" i="20"/>
  <c r="L161" i="20"/>
  <c r="J161" i="20"/>
  <c r="I161" i="20"/>
  <c r="H161" i="20"/>
  <c r="B161" i="20"/>
  <c r="O160" i="20"/>
  <c r="N160" i="20"/>
  <c r="M160" i="20"/>
  <c r="L160" i="20"/>
  <c r="J160" i="20"/>
  <c r="I160" i="20"/>
  <c r="H160" i="20"/>
  <c r="B160" i="20"/>
  <c r="O159" i="20"/>
  <c r="N159" i="20"/>
  <c r="M159" i="20"/>
  <c r="L159" i="20"/>
  <c r="J159" i="20"/>
  <c r="I159" i="20"/>
  <c r="H159" i="20"/>
  <c r="B159" i="20"/>
  <c r="O158" i="20"/>
  <c r="N158" i="20"/>
  <c r="M158" i="20"/>
  <c r="L158" i="20"/>
  <c r="J158" i="20"/>
  <c r="I158" i="20"/>
  <c r="H158" i="20"/>
  <c r="B158" i="20"/>
  <c r="O157" i="20"/>
  <c r="N157" i="20"/>
  <c r="M157" i="20"/>
  <c r="L157" i="20"/>
  <c r="J157" i="20"/>
  <c r="I157" i="20"/>
  <c r="H157" i="20"/>
  <c r="B157" i="20"/>
  <c r="O156" i="20"/>
  <c r="N156" i="20"/>
  <c r="M156" i="20"/>
  <c r="L156" i="20"/>
  <c r="J156" i="20"/>
  <c r="I156" i="20"/>
  <c r="H156" i="20"/>
  <c r="B156" i="20"/>
  <c r="O155" i="20"/>
  <c r="N155" i="20"/>
  <c r="M155" i="20"/>
  <c r="L155" i="20"/>
  <c r="J155" i="20"/>
  <c r="I155" i="20"/>
  <c r="H155" i="20"/>
  <c r="B155" i="20"/>
  <c r="O154" i="20"/>
  <c r="N154" i="20"/>
  <c r="M154" i="20"/>
  <c r="L154" i="20"/>
  <c r="J154" i="20"/>
  <c r="I154" i="20"/>
  <c r="H154" i="20"/>
  <c r="B154" i="20"/>
  <c r="O153" i="20"/>
  <c r="N153" i="20"/>
  <c r="M153" i="20"/>
  <c r="L153" i="20"/>
  <c r="J153" i="20"/>
  <c r="I153" i="20"/>
  <c r="H153" i="20"/>
  <c r="B153" i="20"/>
  <c r="O152" i="20"/>
  <c r="N152" i="20"/>
  <c r="M152" i="20"/>
  <c r="L152" i="20"/>
  <c r="J152" i="20"/>
  <c r="I152" i="20"/>
  <c r="H152" i="20"/>
  <c r="B152" i="20"/>
  <c r="O151" i="20"/>
  <c r="N151" i="20"/>
  <c r="M151" i="20"/>
  <c r="L151" i="20"/>
  <c r="J151" i="20"/>
  <c r="I151" i="20"/>
  <c r="H151" i="20"/>
  <c r="B151" i="20"/>
  <c r="O150" i="20"/>
  <c r="N150" i="20"/>
  <c r="M150" i="20"/>
  <c r="L150" i="20"/>
  <c r="J150" i="20"/>
  <c r="I150" i="20"/>
  <c r="H150" i="20"/>
  <c r="B150" i="20"/>
  <c r="O149" i="20"/>
  <c r="N149" i="20"/>
  <c r="M149" i="20"/>
  <c r="L149" i="20"/>
  <c r="J149" i="20"/>
  <c r="I149" i="20"/>
  <c r="H149" i="20"/>
  <c r="B149" i="20"/>
  <c r="O148" i="20"/>
  <c r="N148" i="20"/>
  <c r="M148" i="20"/>
  <c r="L148" i="20"/>
  <c r="J148" i="20"/>
  <c r="I148" i="20"/>
  <c r="H148" i="20"/>
  <c r="B148" i="20"/>
  <c r="O147" i="20"/>
  <c r="N147" i="20"/>
  <c r="M147" i="20"/>
  <c r="L147" i="20"/>
  <c r="J147" i="20"/>
  <c r="I147" i="20"/>
  <c r="H147" i="20"/>
  <c r="B147" i="20"/>
  <c r="O146" i="20"/>
  <c r="N146" i="20"/>
  <c r="M146" i="20"/>
  <c r="L146" i="20"/>
  <c r="J146" i="20"/>
  <c r="I146" i="20"/>
  <c r="H146" i="20"/>
  <c r="B146" i="20"/>
  <c r="O145" i="20"/>
  <c r="N145" i="20"/>
  <c r="M145" i="20"/>
  <c r="L145" i="20"/>
  <c r="J145" i="20"/>
  <c r="I145" i="20"/>
  <c r="H145" i="20"/>
  <c r="B145" i="20"/>
  <c r="O144" i="20"/>
  <c r="N144" i="20"/>
  <c r="M144" i="20"/>
  <c r="L144" i="20"/>
  <c r="J144" i="20"/>
  <c r="I144" i="20"/>
  <c r="H144" i="20"/>
  <c r="B144" i="20"/>
  <c r="O143" i="20"/>
  <c r="N143" i="20"/>
  <c r="M143" i="20"/>
  <c r="L143" i="20"/>
  <c r="J143" i="20"/>
  <c r="I143" i="20"/>
  <c r="H143" i="20"/>
  <c r="B143" i="20"/>
  <c r="O142" i="20"/>
  <c r="N142" i="20"/>
  <c r="M142" i="20"/>
  <c r="L142" i="20"/>
  <c r="J142" i="20"/>
  <c r="I142" i="20"/>
  <c r="H142" i="20"/>
  <c r="B142" i="20"/>
  <c r="O141" i="20"/>
  <c r="N141" i="20"/>
  <c r="M141" i="20"/>
  <c r="L141" i="20"/>
  <c r="J141" i="20"/>
  <c r="I141" i="20"/>
  <c r="H141" i="20"/>
  <c r="B141" i="20"/>
  <c r="O140" i="20"/>
  <c r="N140" i="20"/>
  <c r="M140" i="20"/>
  <c r="L140" i="20"/>
  <c r="J140" i="20"/>
  <c r="I140" i="20"/>
  <c r="H140" i="20"/>
  <c r="B140" i="20"/>
  <c r="O139" i="20"/>
  <c r="N139" i="20"/>
  <c r="M139" i="20"/>
  <c r="L139" i="20"/>
  <c r="J139" i="20"/>
  <c r="I139" i="20"/>
  <c r="H139" i="20"/>
  <c r="B139" i="20"/>
  <c r="O138" i="20"/>
  <c r="N138" i="20"/>
  <c r="M138" i="20"/>
  <c r="L138" i="20"/>
  <c r="J138" i="20"/>
  <c r="I138" i="20"/>
  <c r="H138" i="20"/>
  <c r="B138" i="20"/>
  <c r="O137" i="20"/>
  <c r="N137" i="20"/>
  <c r="M137" i="20"/>
  <c r="L137" i="20"/>
  <c r="J137" i="20"/>
  <c r="I137" i="20"/>
  <c r="H137" i="20"/>
  <c r="B137" i="20"/>
  <c r="O136" i="20"/>
  <c r="N136" i="20"/>
  <c r="M136" i="20"/>
  <c r="L136" i="20"/>
  <c r="J136" i="20"/>
  <c r="I136" i="20"/>
  <c r="H136" i="20"/>
  <c r="B136" i="20"/>
  <c r="O135" i="20"/>
  <c r="N135" i="20"/>
  <c r="M135" i="20"/>
  <c r="L135" i="20"/>
  <c r="J135" i="20"/>
  <c r="I135" i="20"/>
  <c r="H135" i="20"/>
  <c r="B135" i="20"/>
  <c r="O134" i="20"/>
  <c r="N134" i="20"/>
  <c r="M134" i="20"/>
  <c r="L134" i="20"/>
  <c r="J134" i="20"/>
  <c r="I134" i="20"/>
  <c r="H134" i="20"/>
  <c r="B134" i="20"/>
  <c r="O133" i="20"/>
  <c r="N133" i="20"/>
  <c r="M133" i="20"/>
  <c r="L133" i="20"/>
  <c r="J133" i="20"/>
  <c r="I133" i="20"/>
  <c r="H133" i="20"/>
  <c r="B133" i="20"/>
  <c r="O132" i="20"/>
  <c r="N132" i="20"/>
  <c r="M132" i="20"/>
  <c r="L132" i="20"/>
  <c r="J132" i="20"/>
  <c r="I132" i="20"/>
  <c r="H132" i="20"/>
  <c r="B132" i="20"/>
  <c r="O131" i="20"/>
  <c r="N131" i="20"/>
  <c r="M131" i="20"/>
  <c r="L131" i="20"/>
  <c r="J131" i="20"/>
  <c r="I131" i="20"/>
  <c r="H131" i="20"/>
  <c r="B131" i="20"/>
  <c r="O130" i="20"/>
  <c r="N130" i="20"/>
  <c r="M130" i="20"/>
  <c r="L130" i="20"/>
  <c r="J130" i="20"/>
  <c r="I130" i="20"/>
  <c r="H130" i="20"/>
  <c r="B130" i="20"/>
  <c r="O129" i="20"/>
  <c r="N129" i="20"/>
  <c r="M129" i="20"/>
  <c r="L129" i="20"/>
  <c r="J129" i="20"/>
  <c r="I129" i="20"/>
  <c r="H129" i="20"/>
  <c r="B129" i="20"/>
  <c r="O128" i="20"/>
  <c r="N128" i="20"/>
  <c r="M128" i="20"/>
  <c r="L128" i="20"/>
  <c r="J128" i="20"/>
  <c r="I128" i="20"/>
  <c r="H128" i="20"/>
  <c r="B128" i="20"/>
  <c r="O127" i="20"/>
  <c r="N127" i="20"/>
  <c r="M127" i="20"/>
  <c r="L127" i="20"/>
  <c r="J127" i="20"/>
  <c r="I127" i="20"/>
  <c r="H127" i="20"/>
  <c r="B127" i="20"/>
  <c r="O126" i="20"/>
  <c r="N126" i="20"/>
  <c r="M126" i="20"/>
  <c r="L126" i="20"/>
  <c r="J126" i="20"/>
  <c r="I126" i="20"/>
  <c r="H126" i="20"/>
  <c r="B126" i="20"/>
  <c r="O125" i="20"/>
  <c r="N125" i="20"/>
  <c r="M125" i="20"/>
  <c r="L125" i="20"/>
  <c r="J125" i="20"/>
  <c r="I125" i="20"/>
  <c r="H125" i="20"/>
  <c r="B125" i="20"/>
  <c r="O124" i="20"/>
  <c r="N124" i="20"/>
  <c r="M124" i="20"/>
  <c r="L124" i="20"/>
  <c r="J124" i="20"/>
  <c r="I124" i="20"/>
  <c r="H124" i="20"/>
  <c r="B124" i="20"/>
  <c r="O123" i="20"/>
  <c r="N123" i="20"/>
  <c r="M123" i="20"/>
  <c r="L123" i="20"/>
  <c r="J123" i="20"/>
  <c r="I123" i="20"/>
  <c r="H123" i="20"/>
  <c r="B123" i="20"/>
  <c r="O122" i="20"/>
  <c r="N122" i="20"/>
  <c r="M122" i="20"/>
  <c r="L122" i="20"/>
  <c r="J122" i="20"/>
  <c r="I122" i="20"/>
  <c r="H122" i="20"/>
  <c r="B122" i="20"/>
  <c r="O121" i="20"/>
  <c r="N121" i="20"/>
  <c r="M121" i="20"/>
  <c r="L121" i="20"/>
  <c r="J121" i="20"/>
  <c r="I121" i="20"/>
  <c r="H121" i="20"/>
  <c r="B121" i="20"/>
  <c r="O120" i="20"/>
  <c r="N120" i="20"/>
  <c r="M120" i="20"/>
  <c r="L120" i="20"/>
  <c r="J120" i="20"/>
  <c r="I120" i="20"/>
  <c r="H120" i="20"/>
  <c r="B120" i="20"/>
  <c r="O119" i="20"/>
  <c r="N119" i="20"/>
  <c r="M119" i="20"/>
  <c r="L119" i="20"/>
  <c r="J119" i="20"/>
  <c r="I119" i="20"/>
  <c r="H119" i="20"/>
  <c r="B119" i="20"/>
  <c r="O118" i="20"/>
  <c r="N118" i="20"/>
  <c r="M118" i="20"/>
  <c r="L118" i="20"/>
  <c r="J118" i="20"/>
  <c r="I118" i="20"/>
  <c r="H118" i="20"/>
  <c r="B118" i="20"/>
  <c r="O117" i="20"/>
  <c r="N117" i="20"/>
  <c r="M117" i="20"/>
  <c r="L117" i="20"/>
  <c r="J117" i="20"/>
  <c r="I117" i="20"/>
  <c r="H117" i="20"/>
  <c r="B117" i="20"/>
  <c r="O116" i="20"/>
  <c r="N116" i="20"/>
  <c r="M116" i="20"/>
  <c r="L116" i="20"/>
  <c r="J116" i="20"/>
  <c r="I116" i="20"/>
  <c r="H116" i="20"/>
  <c r="B116" i="20"/>
  <c r="O115" i="20"/>
  <c r="N115" i="20"/>
  <c r="M115" i="20"/>
  <c r="L115" i="20"/>
  <c r="J115" i="20"/>
  <c r="I115" i="20"/>
  <c r="H115" i="20"/>
  <c r="B115" i="20"/>
  <c r="O114" i="20"/>
  <c r="N114" i="20"/>
  <c r="M114" i="20"/>
  <c r="L114" i="20"/>
  <c r="J114" i="20"/>
  <c r="I114" i="20"/>
  <c r="H114" i="20"/>
  <c r="B114" i="20"/>
  <c r="O113" i="20"/>
  <c r="N113" i="20"/>
  <c r="M113" i="20"/>
  <c r="L113" i="20"/>
  <c r="J113" i="20"/>
  <c r="I113" i="20"/>
  <c r="H113" i="20"/>
  <c r="B113" i="20"/>
  <c r="O112" i="20"/>
  <c r="N112" i="20"/>
  <c r="M112" i="20"/>
  <c r="L112" i="20"/>
  <c r="J112" i="20"/>
  <c r="I112" i="20"/>
  <c r="H112" i="20"/>
  <c r="B112" i="20"/>
  <c r="O111" i="20"/>
  <c r="N111" i="20"/>
  <c r="M111" i="20"/>
  <c r="L111" i="20"/>
  <c r="J111" i="20"/>
  <c r="I111" i="20"/>
  <c r="H111" i="20"/>
  <c r="B111" i="20"/>
  <c r="O110" i="20"/>
  <c r="N110" i="20"/>
  <c r="M110" i="20"/>
  <c r="L110" i="20"/>
  <c r="J110" i="20"/>
  <c r="I110" i="20"/>
  <c r="H110" i="20"/>
  <c r="B110" i="20"/>
  <c r="O109" i="20"/>
  <c r="N109" i="20"/>
  <c r="M109" i="20"/>
  <c r="L109" i="20"/>
  <c r="J109" i="20"/>
  <c r="I109" i="20"/>
  <c r="H109" i="20"/>
  <c r="B109" i="20"/>
  <c r="O108" i="20"/>
  <c r="N108" i="20"/>
  <c r="M108" i="20"/>
  <c r="L108" i="20"/>
  <c r="J108" i="20"/>
  <c r="I108" i="20"/>
  <c r="H108" i="20"/>
  <c r="B108" i="20"/>
  <c r="O107" i="20"/>
  <c r="N107" i="20"/>
  <c r="M107" i="20"/>
  <c r="L107" i="20"/>
  <c r="J107" i="20"/>
  <c r="I107" i="20"/>
  <c r="H107" i="20"/>
  <c r="B107" i="20"/>
  <c r="O106" i="20"/>
  <c r="N106" i="20"/>
  <c r="M106" i="20"/>
  <c r="L106" i="20"/>
  <c r="J106" i="20"/>
  <c r="I106" i="20"/>
  <c r="H106" i="20"/>
  <c r="B106" i="20"/>
  <c r="O105" i="20"/>
  <c r="N105" i="20"/>
  <c r="M105" i="20"/>
  <c r="L105" i="20"/>
  <c r="J105" i="20"/>
  <c r="I105" i="20"/>
  <c r="H105" i="20"/>
  <c r="B105" i="20"/>
  <c r="O104" i="20"/>
  <c r="N104" i="20"/>
  <c r="M104" i="20"/>
  <c r="L104" i="20"/>
  <c r="J104" i="20"/>
  <c r="I104" i="20"/>
  <c r="H104" i="20"/>
  <c r="B104" i="20"/>
  <c r="O103" i="20"/>
  <c r="N103" i="20"/>
  <c r="M103" i="20"/>
  <c r="L103" i="20"/>
  <c r="J103" i="20"/>
  <c r="I103" i="20"/>
  <c r="H103" i="20"/>
  <c r="B103" i="20"/>
  <c r="O102" i="20"/>
  <c r="N102" i="20"/>
  <c r="M102" i="20"/>
  <c r="L102" i="20"/>
  <c r="J102" i="20"/>
  <c r="I102" i="20"/>
  <c r="H102" i="20"/>
  <c r="B102" i="20"/>
  <c r="O101" i="20"/>
  <c r="N101" i="20"/>
  <c r="M101" i="20"/>
  <c r="L101" i="20"/>
  <c r="J101" i="20"/>
  <c r="I101" i="20"/>
  <c r="H101" i="20"/>
  <c r="B101" i="20"/>
  <c r="O100" i="20"/>
  <c r="N100" i="20"/>
  <c r="M100" i="20"/>
  <c r="L100" i="20"/>
  <c r="J100" i="20"/>
  <c r="I100" i="20"/>
  <c r="H100" i="20"/>
  <c r="B100" i="20"/>
  <c r="O99" i="20"/>
  <c r="N99" i="20"/>
  <c r="M99" i="20"/>
  <c r="L99" i="20"/>
  <c r="J99" i="20"/>
  <c r="I99" i="20"/>
  <c r="H99" i="20"/>
  <c r="B99" i="20"/>
  <c r="O98" i="20"/>
  <c r="N98" i="20"/>
  <c r="M98" i="20"/>
  <c r="L98" i="20"/>
  <c r="J98" i="20"/>
  <c r="I98" i="20"/>
  <c r="H98" i="20"/>
  <c r="B98" i="20"/>
  <c r="O97" i="20"/>
  <c r="N97" i="20"/>
  <c r="M97" i="20"/>
  <c r="L97" i="20"/>
  <c r="J97" i="20"/>
  <c r="I97" i="20"/>
  <c r="H97" i="20"/>
  <c r="B97" i="20"/>
  <c r="O96" i="20"/>
  <c r="N96" i="20"/>
  <c r="M96" i="20"/>
  <c r="L96" i="20"/>
  <c r="J96" i="20"/>
  <c r="I96" i="20"/>
  <c r="H96" i="20"/>
  <c r="B96" i="20"/>
  <c r="O95" i="20"/>
  <c r="N95" i="20"/>
  <c r="M95" i="20"/>
  <c r="L95" i="20"/>
  <c r="J95" i="20"/>
  <c r="I95" i="20"/>
  <c r="H95" i="20"/>
  <c r="B95" i="20"/>
  <c r="O94" i="20"/>
  <c r="N94" i="20"/>
  <c r="M94" i="20"/>
  <c r="L94" i="20"/>
  <c r="J94" i="20"/>
  <c r="I94" i="20"/>
  <c r="H94" i="20"/>
  <c r="B94" i="20"/>
  <c r="O93" i="20"/>
  <c r="N93" i="20"/>
  <c r="M93" i="20"/>
  <c r="L93" i="20"/>
  <c r="J93" i="20"/>
  <c r="I93" i="20"/>
  <c r="H93" i="20"/>
  <c r="B93" i="20"/>
  <c r="O92" i="20"/>
  <c r="N92" i="20"/>
  <c r="M92" i="20"/>
  <c r="L92" i="20"/>
  <c r="J92" i="20"/>
  <c r="I92" i="20"/>
  <c r="H92" i="20"/>
  <c r="B92" i="20"/>
  <c r="O91" i="20"/>
  <c r="N91" i="20"/>
  <c r="M91" i="20"/>
  <c r="L91" i="20"/>
  <c r="J91" i="20"/>
  <c r="I91" i="20"/>
  <c r="H91" i="20"/>
  <c r="B91" i="20"/>
  <c r="O90" i="20"/>
  <c r="N90" i="20"/>
  <c r="M90" i="20"/>
  <c r="L90" i="20"/>
  <c r="J90" i="20"/>
  <c r="I90" i="20"/>
  <c r="H90" i="20"/>
  <c r="B90" i="20"/>
  <c r="O89" i="20"/>
  <c r="N89" i="20"/>
  <c r="M89" i="20"/>
  <c r="L89" i="20"/>
  <c r="J89" i="20"/>
  <c r="I89" i="20"/>
  <c r="H89" i="20"/>
  <c r="B89" i="20"/>
  <c r="O88" i="20"/>
  <c r="N88" i="20"/>
  <c r="M88" i="20"/>
  <c r="L88" i="20"/>
  <c r="J88" i="20"/>
  <c r="I88" i="20"/>
  <c r="H88" i="20"/>
  <c r="B88" i="20"/>
  <c r="O87" i="20"/>
  <c r="N87" i="20"/>
  <c r="M87" i="20"/>
  <c r="L87" i="20"/>
  <c r="J87" i="20"/>
  <c r="I87" i="20"/>
  <c r="H87" i="20"/>
  <c r="B87" i="20"/>
  <c r="O86" i="20"/>
  <c r="N86" i="20"/>
  <c r="M86" i="20"/>
  <c r="L86" i="20"/>
  <c r="J86" i="20"/>
  <c r="I86" i="20"/>
  <c r="H86" i="20"/>
  <c r="B86" i="20"/>
  <c r="O85" i="20"/>
  <c r="N85" i="20"/>
  <c r="M85" i="20"/>
  <c r="L85" i="20"/>
  <c r="J85" i="20"/>
  <c r="I85" i="20"/>
  <c r="H85" i="20"/>
  <c r="B85" i="20"/>
  <c r="O84" i="20"/>
  <c r="N84" i="20"/>
  <c r="M84" i="20"/>
  <c r="L84" i="20"/>
  <c r="J84" i="20"/>
  <c r="I84" i="20"/>
  <c r="H84" i="20"/>
  <c r="B84" i="20"/>
  <c r="O83" i="20"/>
  <c r="N83" i="20"/>
  <c r="M83" i="20"/>
  <c r="L83" i="20"/>
  <c r="J83" i="20"/>
  <c r="I83" i="20"/>
  <c r="H83" i="20"/>
  <c r="B83" i="20"/>
  <c r="O82" i="20"/>
  <c r="N82" i="20"/>
  <c r="M82" i="20"/>
  <c r="L82" i="20"/>
  <c r="J82" i="20"/>
  <c r="I82" i="20"/>
  <c r="H82" i="20"/>
  <c r="B82" i="20"/>
  <c r="O81" i="20"/>
  <c r="N81" i="20"/>
  <c r="M81" i="20"/>
  <c r="L81" i="20"/>
  <c r="J81" i="20"/>
  <c r="I81" i="20"/>
  <c r="H81" i="20"/>
  <c r="B81" i="20"/>
  <c r="O80" i="20"/>
  <c r="N80" i="20"/>
  <c r="M80" i="20"/>
  <c r="L80" i="20"/>
  <c r="J80" i="20"/>
  <c r="I80" i="20"/>
  <c r="H80" i="20"/>
  <c r="B80" i="20"/>
  <c r="O79" i="20"/>
  <c r="N79" i="20"/>
  <c r="M79" i="20"/>
  <c r="L79" i="20"/>
  <c r="J79" i="20"/>
  <c r="I79" i="20"/>
  <c r="H79" i="20"/>
  <c r="B79" i="20"/>
  <c r="O78" i="20"/>
  <c r="N78" i="20"/>
  <c r="M78" i="20"/>
  <c r="L78" i="20"/>
  <c r="J78" i="20"/>
  <c r="I78" i="20"/>
  <c r="H78" i="20"/>
  <c r="B78" i="20"/>
  <c r="O77" i="20"/>
  <c r="N77" i="20"/>
  <c r="M77" i="20"/>
  <c r="L77" i="20"/>
  <c r="J77" i="20"/>
  <c r="I77" i="20"/>
  <c r="H77" i="20"/>
  <c r="B77" i="20"/>
  <c r="O76" i="20"/>
  <c r="N76" i="20"/>
  <c r="M76" i="20"/>
  <c r="L76" i="20"/>
  <c r="J76" i="20"/>
  <c r="I76" i="20"/>
  <c r="H76" i="20"/>
  <c r="B76" i="20"/>
  <c r="O75" i="20"/>
  <c r="N75" i="20"/>
  <c r="M75" i="20"/>
  <c r="L75" i="20"/>
  <c r="J75" i="20"/>
  <c r="I75" i="20"/>
  <c r="H75" i="20"/>
  <c r="B75" i="20"/>
  <c r="O74" i="20"/>
  <c r="N74" i="20"/>
  <c r="M74" i="20"/>
  <c r="L74" i="20"/>
  <c r="J74" i="20"/>
  <c r="I74" i="20"/>
  <c r="H74" i="20"/>
  <c r="B74" i="20"/>
  <c r="O73" i="20"/>
  <c r="N73" i="20"/>
  <c r="M73" i="20"/>
  <c r="L73" i="20"/>
  <c r="J73" i="20"/>
  <c r="I73" i="20"/>
  <c r="H73" i="20"/>
  <c r="B73" i="20"/>
  <c r="O72" i="20"/>
  <c r="N72" i="20"/>
  <c r="M72" i="20"/>
  <c r="L72" i="20"/>
  <c r="J72" i="20"/>
  <c r="I72" i="20"/>
  <c r="H72" i="20"/>
  <c r="B72" i="20"/>
  <c r="O71" i="20"/>
  <c r="N71" i="20"/>
  <c r="M71" i="20"/>
  <c r="L71" i="20"/>
  <c r="J71" i="20"/>
  <c r="I71" i="20"/>
  <c r="H71" i="20"/>
  <c r="B71" i="20"/>
  <c r="O70" i="20"/>
  <c r="N70" i="20"/>
  <c r="M70" i="20"/>
  <c r="L70" i="20"/>
  <c r="J70" i="20"/>
  <c r="I70" i="20"/>
  <c r="H70" i="20"/>
  <c r="B70" i="20"/>
  <c r="O69" i="20"/>
  <c r="N69" i="20"/>
  <c r="M69" i="20"/>
  <c r="L69" i="20"/>
  <c r="J69" i="20"/>
  <c r="I69" i="20"/>
  <c r="H69" i="20"/>
  <c r="B69" i="20"/>
  <c r="O68" i="20"/>
  <c r="N68" i="20"/>
  <c r="M68" i="20"/>
  <c r="L68" i="20"/>
  <c r="J68" i="20"/>
  <c r="I68" i="20"/>
  <c r="H68" i="20"/>
  <c r="B68" i="20"/>
  <c r="O67" i="20"/>
  <c r="N67" i="20"/>
  <c r="M67" i="20"/>
  <c r="L67" i="20"/>
  <c r="J67" i="20"/>
  <c r="I67" i="20"/>
  <c r="H67" i="20"/>
  <c r="B67" i="20"/>
  <c r="O66" i="20"/>
  <c r="N66" i="20"/>
  <c r="M66" i="20"/>
  <c r="L66" i="20"/>
  <c r="J66" i="20"/>
  <c r="I66" i="20"/>
  <c r="H66" i="20"/>
  <c r="B66" i="20"/>
  <c r="O65" i="20"/>
  <c r="N65" i="20"/>
  <c r="M65" i="20"/>
  <c r="L65" i="20"/>
  <c r="J65" i="20"/>
  <c r="I65" i="20"/>
  <c r="H65" i="20"/>
  <c r="B65" i="20"/>
  <c r="O64" i="20"/>
  <c r="N64" i="20"/>
  <c r="M64" i="20"/>
  <c r="L64" i="20"/>
  <c r="J64" i="20"/>
  <c r="I64" i="20"/>
  <c r="H64" i="20"/>
  <c r="B64" i="20"/>
  <c r="O63" i="20"/>
  <c r="N63" i="20"/>
  <c r="M63" i="20"/>
  <c r="L63" i="20"/>
  <c r="J63" i="20"/>
  <c r="I63" i="20"/>
  <c r="H63" i="20"/>
  <c r="B63" i="20"/>
  <c r="O62" i="20"/>
  <c r="N62" i="20"/>
  <c r="M62" i="20"/>
  <c r="L62" i="20"/>
  <c r="J62" i="20"/>
  <c r="I62" i="20"/>
  <c r="H62" i="20"/>
  <c r="B62" i="20"/>
  <c r="O61" i="20"/>
  <c r="N61" i="20"/>
  <c r="M61" i="20"/>
  <c r="L61" i="20"/>
  <c r="J61" i="20"/>
  <c r="I61" i="20"/>
  <c r="H61" i="20"/>
  <c r="B61" i="20"/>
  <c r="O60" i="20"/>
  <c r="N60" i="20"/>
  <c r="M60" i="20"/>
  <c r="L60" i="20"/>
  <c r="J60" i="20"/>
  <c r="I60" i="20"/>
  <c r="H60" i="20"/>
  <c r="B60" i="20"/>
  <c r="O59" i="20"/>
  <c r="N59" i="20"/>
  <c r="M59" i="20"/>
  <c r="L59" i="20"/>
  <c r="J59" i="20"/>
  <c r="I59" i="20"/>
  <c r="H59" i="20"/>
  <c r="B59" i="20"/>
  <c r="O58" i="20"/>
  <c r="N58" i="20"/>
  <c r="M58" i="20"/>
  <c r="L58" i="20"/>
  <c r="J58" i="20"/>
  <c r="I58" i="20"/>
  <c r="H58" i="20"/>
  <c r="B58" i="20"/>
  <c r="O57" i="20"/>
  <c r="N57" i="20"/>
  <c r="M57" i="20"/>
  <c r="L57" i="20"/>
  <c r="J57" i="20"/>
  <c r="I57" i="20"/>
  <c r="H57" i="20"/>
  <c r="B57" i="20"/>
  <c r="O56" i="20"/>
  <c r="N56" i="20"/>
  <c r="M56" i="20"/>
  <c r="L56" i="20"/>
  <c r="J56" i="20"/>
  <c r="I56" i="20"/>
  <c r="H56" i="20"/>
  <c r="B56" i="20"/>
  <c r="O55" i="20"/>
  <c r="N55" i="20"/>
  <c r="M55" i="20"/>
  <c r="L55" i="20"/>
  <c r="J55" i="20"/>
  <c r="I55" i="20"/>
  <c r="H55" i="20"/>
  <c r="B55" i="20"/>
  <c r="O54" i="20"/>
  <c r="N54" i="20"/>
  <c r="M54" i="20"/>
  <c r="L54" i="20"/>
  <c r="J54" i="20"/>
  <c r="I54" i="20"/>
  <c r="H54" i="20"/>
  <c r="B54" i="20"/>
  <c r="O53" i="20"/>
  <c r="N53" i="20"/>
  <c r="M53" i="20"/>
  <c r="L53" i="20"/>
  <c r="J53" i="20"/>
  <c r="I53" i="20"/>
  <c r="H53" i="20"/>
  <c r="B53" i="20"/>
  <c r="O52" i="20"/>
  <c r="N52" i="20"/>
  <c r="M52" i="20"/>
  <c r="L52" i="20"/>
  <c r="J52" i="20"/>
  <c r="I52" i="20"/>
  <c r="H52" i="20"/>
  <c r="B52" i="20"/>
  <c r="O51" i="20"/>
  <c r="N51" i="20"/>
  <c r="M51" i="20"/>
  <c r="L51" i="20"/>
  <c r="J51" i="20"/>
  <c r="I51" i="20"/>
  <c r="H51" i="20"/>
  <c r="B51" i="20"/>
  <c r="O50" i="20"/>
  <c r="N50" i="20"/>
  <c r="M50" i="20"/>
  <c r="L50" i="20"/>
  <c r="J50" i="20"/>
  <c r="I50" i="20"/>
  <c r="H50" i="20"/>
  <c r="B50" i="20"/>
  <c r="O49" i="20"/>
  <c r="N49" i="20"/>
  <c r="M49" i="20"/>
  <c r="L49" i="20"/>
  <c r="J49" i="20"/>
  <c r="I49" i="20"/>
  <c r="H49" i="20"/>
  <c r="B49" i="20"/>
  <c r="O48" i="20"/>
  <c r="N48" i="20"/>
  <c r="M48" i="20"/>
  <c r="L48" i="20"/>
  <c r="J48" i="20"/>
  <c r="I48" i="20"/>
  <c r="H48" i="20"/>
  <c r="B48" i="20"/>
  <c r="O47" i="20"/>
  <c r="N47" i="20"/>
  <c r="M47" i="20"/>
  <c r="L47" i="20"/>
  <c r="J47" i="20"/>
  <c r="I47" i="20"/>
  <c r="H47" i="20"/>
  <c r="B47" i="20"/>
  <c r="O46" i="20"/>
  <c r="N46" i="20"/>
  <c r="M46" i="20"/>
  <c r="L46" i="20"/>
  <c r="J46" i="20"/>
  <c r="I46" i="20"/>
  <c r="H46" i="20"/>
  <c r="B46" i="20"/>
  <c r="O45" i="20"/>
  <c r="N45" i="20"/>
  <c r="M45" i="20"/>
  <c r="L45" i="20"/>
  <c r="J45" i="20"/>
  <c r="I45" i="20"/>
  <c r="H45" i="20"/>
  <c r="B45" i="20"/>
  <c r="O44" i="20"/>
  <c r="N44" i="20"/>
  <c r="M44" i="20"/>
  <c r="L44" i="20"/>
  <c r="J44" i="20"/>
  <c r="I44" i="20"/>
  <c r="H44" i="20"/>
  <c r="B44" i="20"/>
  <c r="O43" i="20"/>
  <c r="N43" i="20"/>
  <c r="M43" i="20"/>
  <c r="L43" i="20"/>
  <c r="J43" i="20"/>
  <c r="I43" i="20"/>
  <c r="H43" i="20"/>
  <c r="B43" i="20"/>
  <c r="O42" i="20"/>
  <c r="N42" i="20"/>
  <c r="M42" i="20"/>
  <c r="L42" i="20"/>
  <c r="J42" i="20"/>
  <c r="I42" i="20"/>
  <c r="H42" i="20"/>
  <c r="B42" i="20"/>
  <c r="O41" i="20"/>
  <c r="N41" i="20"/>
  <c r="M41" i="20"/>
  <c r="L41" i="20"/>
  <c r="J41" i="20"/>
  <c r="I41" i="20"/>
  <c r="H41" i="20"/>
  <c r="B41" i="20"/>
  <c r="O40" i="20"/>
  <c r="N40" i="20"/>
  <c r="M40" i="20"/>
  <c r="L40" i="20"/>
  <c r="J40" i="20"/>
  <c r="I40" i="20"/>
  <c r="H40" i="20"/>
  <c r="B40" i="20"/>
  <c r="O39" i="20"/>
  <c r="N39" i="20"/>
  <c r="M39" i="20"/>
  <c r="L39" i="20"/>
  <c r="J39" i="20"/>
  <c r="I39" i="20"/>
  <c r="H39" i="20"/>
  <c r="B39" i="20"/>
  <c r="O38" i="20"/>
  <c r="N38" i="20"/>
  <c r="M38" i="20"/>
  <c r="L38" i="20"/>
  <c r="J38" i="20"/>
  <c r="I38" i="20"/>
  <c r="H38" i="20"/>
  <c r="B38" i="20"/>
  <c r="O37" i="20"/>
  <c r="N37" i="20"/>
  <c r="M37" i="20"/>
  <c r="L37" i="20"/>
  <c r="J37" i="20"/>
  <c r="I37" i="20"/>
  <c r="H37" i="20"/>
  <c r="B37" i="20"/>
  <c r="O36" i="20"/>
  <c r="N36" i="20"/>
  <c r="M36" i="20"/>
  <c r="L36" i="20"/>
  <c r="J36" i="20"/>
  <c r="I36" i="20"/>
  <c r="H36" i="20"/>
  <c r="B36" i="20"/>
  <c r="O35" i="20"/>
  <c r="N35" i="20"/>
  <c r="M35" i="20"/>
  <c r="L35" i="20"/>
  <c r="J35" i="20"/>
  <c r="I35" i="20"/>
  <c r="H35" i="20"/>
  <c r="B35" i="20"/>
  <c r="O34" i="20"/>
  <c r="N34" i="20"/>
  <c r="M34" i="20"/>
  <c r="L34" i="20"/>
  <c r="J34" i="20"/>
  <c r="I34" i="20"/>
  <c r="H34" i="20"/>
  <c r="B34" i="20"/>
  <c r="O33" i="20"/>
  <c r="N33" i="20"/>
  <c r="M33" i="20"/>
  <c r="L33" i="20"/>
  <c r="J33" i="20"/>
  <c r="I33" i="20"/>
  <c r="H33" i="20"/>
  <c r="B33" i="20"/>
  <c r="O32" i="20"/>
  <c r="N32" i="20"/>
  <c r="M32" i="20"/>
  <c r="L32" i="20"/>
  <c r="J32" i="20"/>
  <c r="I32" i="20"/>
  <c r="H32" i="20"/>
  <c r="B32" i="20"/>
  <c r="O31" i="20"/>
  <c r="N31" i="20"/>
  <c r="M31" i="20"/>
  <c r="L31" i="20"/>
  <c r="J31" i="20"/>
  <c r="I31" i="20"/>
  <c r="H31" i="20"/>
  <c r="B31" i="20"/>
  <c r="O30" i="20"/>
  <c r="N30" i="20"/>
  <c r="M30" i="20"/>
  <c r="L30" i="20"/>
  <c r="J30" i="20"/>
  <c r="I30" i="20"/>
  <c r="H30" i="20"/>
  <c r="B30" i="20"/>
  <c r="O29" i="20"/>
  <c r="N29" i="20"/>
  <c r="M29" i="20"/>
  <c r="L29" i="20"/>
  <c r="J29" i="20"/>
  <c r="I29" i="20"/>
  <c r="H29" i="20"/>
  <c r="B29" i="20"/>
  <c r="O28" i="20"/>
  <c r="N28" i="20"/>
  <c r="M28" i="20"/>
  <c r="L28" i="20"/>
  <c r="J28" i="20"/>
  <c r="I28" i="20"/>
  <c r="H28" i="20"/>
  <c r="B28" i="20"/>
  <c r="O27" i="20"/>
  <c r="N27" i="20"/>
  <c r="M27" i="20"/>
  <c r="L27" i="20"/>
  <c r="J27" i="20"/>
  <c r="I27" i="20"/>
  <c r="H27" i="20"/>
  <c r="B27" i="20"/>
  <c r="O26" i="20"/>
  <c r="N26" i="20"/>
  <c r="M26" i="20"/>
  <c r="L26" i="20"/>
  <c r="J26" i="20"/>
  <c r="I26" i="20"/>
  <c r="H26" i="20"/>
  <c r="B26" i="20"/>
  <c r="O25" i="20"/>
  <c r="N25" i="20"/>
  <c r="M25" i="20"/>
  <c r="L25" i="20"/>
  <c r="J25" i="20"/>
  <c r="I25" i="20"/>
  <c r="H25" i="20"/>
  <c r="B25" i="20"/>
  <c r="O24" i="20"/>
  <c r="N24" i="20"/>
  <c r="M24" i="20"/>
  <c r="L24" i="20"/>
  <c r="J24" i="20"/>
  <c r="I24" i="20"/>
  <c r="H24" i="20"/>
  <c r="B24" i="20"/>
  <c r="O23" i="20"/>
  <c r="N23" i="20"/>
  <c r="M23" i="20"/>
  <c r="L23" i="20"/>
  <c r="J23" i="20"/>
  <c r="I23" i="20"/>
  <c r="H23" i="20"/>
  <c r="B23" i="20"/>
  <c r="O22" i="20"/>
  <c r="N22" i="20"/>
  <c r="M22" i="20"/>
  <c r="L22" i="20"/>
  <c r="J22" i="20"/>
  <c r="I22" i="20"/>
  <c r="H22" i="20"/>
  <c r="B22" i="20"/>
  <c r="O21" i="20"/>
  <c r="N21" i="20"/>
  <c r="M21" i="20"/>
  <c r="L21" i="20"/>
  <c r="J21" i="20"/>
  <c r="I21" i="20"/>
  <c r="H21" i="20"/>
  <c r="B21" i="20"/>
  <c r="O20" i="20"/>
  <c r="N20" i="20"/>
  <c r="M20" i="20"/>
  <c r="L20" i="20"/>
  <c r="J20" i="20"/>
  <c r="I20" i="20"/>
  <c r="H20" i="20"/>
  <c r="B20" i="20"/>
  <c r="O19" i="20"/>
  <c r="N19" i="20"/>
  <c r="M19" i="20"/>
  <c r="L19" i="20"/>
  <c r="J19" i="20"/>
  <c r="I19" i="20"/>
  <c r="H19" i="20"/>
  <c r="B19" i="20"/>
  <c r="O18" i="20"/>
  <c r="N18" i="20"/>
  <c r="M18" i="20"/>
  <c r="L18" i="20"/>
  <c r="J18" i="20"/>
  <c r="I18" i="20"/>
  <c r="H18" i="20"/>
  <c r="B18" i="20"/>
  <c r="O17" i="20"/>
  <c r="N17" i="20"/>
  <c r="M17" i="20"/>
  <c r="L17" i="20"/>
  <c r="J17" i="20"/>
  <c r="I17" i="20"/>
  <c r="H17" i="20"/>
  <c r="B17" i="20"/>
  <c r="O16" i="20"/>
  <c r="N16" i="20"/>
  <c r="M16" i="20"/>
  <c r="L16" i="20"/>
  <c r="J16" i="20"/>
  <c r="I16" i="20"/>
  <c r="H16" i="20"/>
  <c r="B16" i="20"/>
  <c r="O15" i="20"/>
  <c r="N15" i="20"/>
  <c r="M15" i="20"/>
  <c r="L15" i="20"/>
  <c r="J15" i="20"/>
  <c r="I15" i="20"/>
  <c r="H15" i="20"/>
  <c r="B15" i="20"/>
  <c r="O14" i="20"/>
  <c r="N14" i="20"/>
  <c r="M14" i="20"/>
  <c r="L14" i="20"/>
  <c r="J14" i="20"/>
  <c r="I14" i="20"/>
  <c r="H14" i="20"/>
  <c r="B14" i="20"/>
  <c r="O13" i="20"/>
  <c r="N13" i="20"/>
  <c r="M13" i="20"/>
  <c r="L13" i="20"/>
  <c r="J13" i="20"/>
  <c r="I13" i="20"/>
  <c r="H13" i="20"/>
  <c r="B13" i="20"/>
  <c r="I223" i="17"/>
  <c r="H223" i="17"/>
  <c r="I222" i="17"/>
  <c r="H222" i="17"/>
  <c r="I221" i="17"/>
  <c r="H221" i="17"/>
  <c r="I220" i="17"/>
  <c r="H220" i="17"/>
  <c r="I219" i="17"/>
  <c r="H219" i="17"/>
  <c r="I218" i="17"/>
  <c r="H218" i="17"/>
  <c r="I217" i="17"/>
  <c r="H217" i="17"/>
  <c r="I216" i="17"/>
  <c r="H216" i="17"/>
  <c r="I215" i="17"/>
  <c r="H215" i="17"/>
  <c r="I214" i="17"/>
  <c r="H214" i="17"/>
  <c r="I213" i="17"/>
  <c r="H213" i="17"/>
  <c r="I212" i="17"/>
  <c r="H212" i="17"/>
  <c r="I211" i="17"/>
  <c r="H211" i="17"/>
  <c r="I210" i="17"/>
  <c r="H210" i="17"/>
  <c r="I209" i="17"/>
  <c r="H209" i="17"/>
  <c r="I208" i="17"/>
  <c r="H208" i="17"/>
  <c r="I207" i="17"/>
  <c r="H207" i="17"/>
  <c r="I206" i="17"/>
  <c r="H206" i="17"/>
  <c r="I205" i="17"/>
  <c r="H205" i="17"/>
  <c r="I204" i="17"/>
  <c r="H204" i="17"/>
  <c r="I203" i="17"/>
  <c r="H203" i="17"/>
  <c r="I202" i="17"/>
  <c r="H202" i="17"/>
  <c r="I201" i="17"/>
  <c r="H201" i="17"/>
  <c r="I200" i="17"/>
  <c r="H200" i="17"/>
  <c r="I199" i="17"/>
  <c r="H199" i="17"/>
  <c r="I198" i="17"/>
  <c r="H198" i="17"/>
  <c r="I197" i="17"/>
  <c r="H197" i="17"/>
  <c r="I196" i="17"/>
  <c r="H196" i="17"/>
  <c r="I195" i="17"/>
  <c r="H195" i="17"/>
  <c r="I194" i="17"/>
  <c r="H194" i="17"/>
  <c r="I193" i="17"/>
  <c r="H193" i="17"/>
  <c r="I192" i="17"/>
  <c r="H192" i="17"/>
  <c r="I191" i="17"/>
  <c r="H191" i="17"/>
  <c r="I190" i="17"/>
  <c r="H190" i="17"/>
  <c r="I189" i="17"/>
  <c r="H189" i="17"/>
  <c r="I188" i="17"/>
  <c r="H188" i="17"/>
  <c r="I187" i="17"/>
  <c r="H187" i="17"/>
  <c r="O73" i="18"/>
  <c r="N73" i="18"/>
  <c r="M73" i="18"/>
  <c r="L73" i="18"/>
  <c r="J73" i="18"/>
  <c r="I73" i="18"/>
  <c r="H73" i="18"/>
  <c r="B73" i="18"/>
  <c r="B55" i="18"/>
  <c r="H55" i="18"/>
  <c r="I55" i="18"/>
  <c r="J55" i="18"/>
  <c r="L55" i="18"/>
  <c r="M55" i="18"/>
  <c r="N55" i="18"/>
  <c r="O55" i="18"/>
  <c r="H67" i="18"/>
  <c r="I67" i="18"/>
  <c r="J67" i="18"/>
  <c r="L67" i="18"/>
  <c r="M67" i="18"/>
  <c r="N67" i="18"/>
  <c r="O67" i="18"/>
  <c r="B67" i="18"/>
  <c r="I36" i="19"/>
  <c r="H36" i="19"/>
  <c r="J21" i="19"/>
  <c r="I21" i="19"/>
  <c r="H21" i="19"/>
  <c r="B21" i="19"/>
  <c r="H95" i="18"/>
  <c r="I95" i="18"/>
  <c r="J95" i="18"/>
  <c r="L95" i="18"/>
  <c r="M95" i="18"/>
  <c r="N95" i="18"/>
  <c r="O95" i="18"/>
  <c r="B95" i="18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O66" i="18"/>
  <c r="N66" i="18"/>
  <c r="M66" i="18"/>
  <c r="L66" i="18"/>
  <c r="J66" i="18"/>
  <c r="I66" i="18"/>
  <c r="H66" i="18"/>
  <c r="B66" i="18"/>
  <c r="B14" i="19"/>
  <c r="B15" i="19"/>
  <c r="B16" i="19"/>
  <c r="B17" i="19"/>
  <c r="B18" i="19"/>
  <c r="B19" i="19"/>
  <c r="B20" i="19"/>
  <c r="B22" i="19"/>
  <c r="B23" i="19"/>
  <c r="B24" i="19"/>
  <c r="B13" i="19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6" i="18"/>
  <c r="B57" i="18"/>
  <c r="B58" i="18"/>
  <c r="B59" i="18"/>
  <c r="B60" i="18"/>
  <c r="B61" i="18"/>
  <c r="B62" i="18"/>
  <c r="B63" i="18"/>
  <c r="B64" i="18"/>
  <c r="B65" i="18"/>
  <c r="B68" i="18"/>
  <c r="B69" i="18"/>
  <c r="B70" i="18"/>
  <c r="B71" i="18"/>
  <c r="B72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6" i="18"/>
  <c r="B97" i="18"/>
  <c r="B98" i="18"/>
  <c r="B99" i="18"/>
  <c r="H13" i="19"/>
  <c r="I13" i="19"/>
  <c r="J13" i="19"/>
  <c r="H94" i="17" l="1"/>
  <c r="I94" i="17"/>
  <c r="J94" i="17"/>
  <c r="L94" i="17"/>
  <c r="M94" i="17"/>
  <c r="N94" i="17"/>
  <c r="O94" i="17"/>
  <c r="H19" i="17" l="1"/>
  <c r="I19" i="17"/>
  <c r="J19" i="17"/>
  <c r="L19" i="17"/>
  <c r="M19" i="17"/>
  <c r="N19" i="17"/>
  <c r="O19" i="17"/>
  <c r="H76" i="17"/>
  <c r="I76" i="17"/>
  <c r="J76" i="17"/>
  <c r="L76" i="17"/>
  <c r="M76" i="17"/>
  <c r="N76" i="17"/>
  <c r="O76" i="17"/>
  <c r="H34" i="19" l="1"/>
  <c r="I34" i="19"/>
  <c r="H22" i="19"/>
  <c r="I22" i="19"/>
  <c r="J22" i="19"/>
  <c r="H86" i="18"/>
  <c r="I86" i="18"/>
  <c r="J86" i="18"/>
  <c r="L86" i="18"/>
  <c r="M86" i="18"/>
  <c r="N86" i="18"/>
  <c r="O86" i="18"/>
  <c r="L14" i="17" l="1"/>
  <c r="M14" i="17"/>
  <c r="N14" i="17"/>
  <c r="O14" i="17"/>
  <c r="L15" i="17"/>
  <c r="M15" i="17"/>
  <c r="N15" i="17"/>
  <c r="O15" i="17"/>
  <c r="L16" i="17"/>
  <c r="M16" i="17"/>
  <c r="N16" i="17"/>
  <c r="O16" i="17"/>
  <c r="L17" i="17"/>
  <c r="M17" i="17"/>
  <c r="N17" i="17"/>
  <c r="O17" i="17"/>
  <c r="L18" i="17"/>
  <c r="M18" i="17"/>
  <c r="N18" i="17"/>
  <c r="O18" i="17"/>
  <c r="L20" i="17"/>
  <c r="M20" i="17"/>
  <c r="N20" i="17"/>
  <c r="O20" i="17"/>
  <c r="L21" i="17"/>
  <c r="M21" i="17"/>
  <c r="N21" i="17"/>
  <c r="O21" i="17"/>
  <c r="L22" i="17"/>
  <c r="M22" i="17"/>
  <c r="N22" i="17"/>
  <c r="O22" i="17"/>
  <c r="L23" i="17"/>
  <c r="M23" i="17"/>
  <c r="N23" i="17"/>
  <c r="O23" i="17"/>
  <c r="L24" i="17"/>
  <c r="M24" i="17"/>
  <c r="N24" i="17"/>
  <c r="O24" i="17"/>
  <c r="L25" i="17"/>
  <c r="M25" i="17"/>
  <c r="N25" i="17"/>
  <c r="O25" i="17"/>
  <c r="L26" i="17"/>
  <c r="M26" i="17"/>
  <c r="N26" i="17"/>
  <c r="O26" i="17"/>
  <c r="L27" i="17"/>
  <c r="M27" i="17"/>
  <c r="N27" i="17"/>
  <c r="O27" i="17"/>
  <c r="L28" i="17"/>
  <c r="M28" i="17"/>
  <c r="N28" i="17"/>
  <c r="O28" i="17"/>
  <c r="L29" i="17"/>
  <c r="M29" i="17"/>
  <c r="N29" i="17"/>
  <c r="O29" i="17"/>
  <c r="L30" i="17"/>
  <c r="M30" i="17"/>
  <c r="N30" i="17"/>
  <c r="O30" i="17"/>
  <c r="L31" i="17"/>
  <c r="M31" i="17"/>
  <c r="N31" i="17"/>
  <c r="O31" i="17"/>
  <c r="L32" i="17"/>
  <c r="M32" i="17"/>
  <c r="N32" i="17"/>
  <c r="O32" i="17"/>
  <c r="L33" i="17"/>
  <c r="M33" i="17"/>
  <c r="N33" i="17"/>
  <c r="O33" i="17"/>
  <c r="L34" i="17"/>
  <c r="M34" i="17"/>
  <c r="N34" i="17"/>
  <c r="O34" i="17"/>
  <c r="L35" i="17"/>
  <c r="M35" i="17"/>
  <c r="N35" i="17"/>
  <c r="O35" i="17"/>
  <c r="L36" i="17"/>
  <c r="M36" i="17"/>
  <c r="N36" i="17"/>
  <c r="O36" i="17"/>
  <c r="L37" i="17"/>
  <c r="M37" i="17"/>
  <c r="N37" i="17"/>
  <c r="O37" i="17"/>
  <c r="L38" i="17"/>
  <c r="M38" i="17"/>
  <c r="N38" i="17"/>
  <c r="O38" i="17"/>
  <c r="L39" i="17"/>
  <c r="M39" i="17"/>
  <c r="N39" i="17"/>
  <c r="O39" i="17"/>
  <c r="L40" i="17"/>
  <c r="M40" i="17"/>
  <c r="N40" i="17"/>
  <c r="O40" i="17"/>
  <c r="L41" i="17"/>
  <c r="M41" i="17"/>
  <c r="N41" i="17"/>
  <c r="O41" i="17"/>
  <c r="L42" i="17"/>
  <c r="M42" i="17"/>
  <c r="N42" i="17"/>
  <c r="O42" i="17"/>
  <c r="L43" i="17"/>
  <c r="M43" i="17"/>
  <c r="N43" i="17"/>
  <c r="O43" i="17"/>
  <c r="L44" i="17"/>
  <c r="M44" i="17"/>
  <c r="N44" i="17"/>
  <c r="O44" i="17"/>
  <c r="L45" i="17"/>
  <c r="M45" i="17"/>
  <c r="N45" i="17"/>
  <c r="O45" i="17"/>
  <c r="L46" i="17"/>
  <c r="M46" i="17"/>
  <c r="N46" i="17"/>
  <c r="O46" i="17"/>
  <c r="L47" i="17"/>
  <c r="M47" i="17"/>
  <c r="N47" i="17"/>
  <c r="O47" i="17"/>
  <c r="L48" i="17"/>
  <c r="M48" i="17"/>
  <c r="N48" i="17"/>
  <c r="O48" i="17"/>
  <c r="L49" i="17"/>
  <c r="M49" i="17"/>
  <c r="N49" i="17"/>
  <c r="O49" i="17"/>
  <c r="L50" i="17"/>
  <c r="M50" i="17"/>
  <c r="N50" i="17"/>
  <c r="O50" i="17"/>
  <c r="L51" i="17"/>
  <c r="M51" i="17"/>
  <c r="N51" i="17"/>
  <c r="O51" i="17"/>
  <c r="L52" i="17"/>
  <c r="M52" i="17"/>
  <c r="N52" i="17"/>
  <c r="O52" i="17"/>
  <c r="L53" i="17"/>
  <c r="M53" i="17"/>
  <c r="N53" i="17"/>
  <c r="O53" i="17"/>
  <c r="L54" i="17"/>
  <c r="M54" i="17"/>
  <c r="N54" i="17"/>
  <c r="O54" i="17"/>
  <c r="L55" i="17"/>
  <c r="M55" i="17"/>
  <c r="N55" i="17"/>
  <c r="O55" i="17"/>
  <c r="L56" i="17"/>
  <c r="M56" i="17"/>
  <c r="N56" i="17"/>
  <c r="O56" i="17"/>
  <c r="L57" i="17"/>
  <c r="M57" i="17"/>
  <c r="N57" i="17"/>
  <c r="O57" i="17"/>
  <c r="L58" i="17"/>
  <c r="M58" i="17"/>
  <c r="N58" i="17"/>
  <c r="O58" i="17"/>
  <c r="L59" i="17"/>
  <c r="M59" i="17"/>
  <c r="N59" i="17"/>
  <c r="O59" i="17"/>
  <c r="L60" i="17"/>
  <c r="M60" i="17"/>
  <c r="N60" i="17"/>
  <c r="O60" i="17"/>
  <c r="L61" i="17"/>
  <c r="M61" i="17"/>
  <c r="N61" i="17"/>
  <c r="O61" i="17"/>
  <c r="L62" i="17"/>
  <c r="M62" i="17"/>
  <c r="N62" i="17"/>
  <c r="O62" i="17"/>
  <c r="L63" i="17"/>
  <c r="M63" i="17"/>
  <c r="N63" i="17"/>
  <c r="O63" i="17"/>
  <c r="L64" i="17"/>
  <c r="M64" i="17"/>
  <c r="N64" i="17"/>
  <c r="O64" i="17"/>
  <c r="L65" i="17"/>
  <c r="M65" i="17"/>
  <c r="N65" i="17"/>
  <c r="O65" i="17"/>
  <c r="L66" i="17"/>
  <c r="M66" i="17"/>
  <c r="N66" i="17"/>
  <c r="O66" i="17"/>
  <c r="L67" i="17"/>
  <c r="M67" i="17"/>
  <c r="N67" i="17"/>
  <c r="O67" i="17"/>
  <c r="L68" i="17"/>
  <c r="M68" i="17"/>
  <c r="N68" i="17"/>
  <c r="O68" i="17"/>
  <c r="L69" i="17"/>
  <c r="M69" i="17"/>
  <c r="N69" i="17"/>
  <c r="O69" i="17"/>
  <c r="L70" i="17"/>
  <c r="M70" i="17"/>
  <c r="N70" i="17"/>
  <c r="O70" i="17"/>
  <c r="L71" i="17"/>
  <c r="M71" i="17"/>
  <c r="N71" i="17"/>
  <c r="O71" i="17"/>
  <c r="L72" i="17"/>
  <c r="M72" i="17"/>
  <c r="N72" i="17"/>
  <c r="O72" i="17"/>
  <c r="L73" i="17"/>
  <c r="M73" i="17"/>
  <c r="N73" i="17"/>
  <c r="O73" i="17"/>
  <c r="L74" i="17"/>
  <c r="M74" i="17"/>
  <c r="N74" i="17"/>
  <c r="O74" i="17"/>
  <c r="L75" i="17"/>
  <c r="M75" i="17"/>
  <c r="N75" i="17"/>
  <c r="O75" i="17"/>
  <c r="L77" i="17"/>
  <c r="M77" i="17"/>
  <c r="N77" i="17"/>
  <c r="O77" i="17"/>
  <c r="L78" i="17"/>
  <c r="M78" i="17"/>
  <c r="N78" i="17"/>
  <c r="O78" i="17"/>
  <c r="L79" i="17"/>
  <c r="M79" i="17"/>
  <c r="N79" i="17"/>
  <c r="O79" i="17"/>
  <c r="L80" i="17"/>
  <c r="M80" i="17"/>
  <c r="N80" i="17"/>
  <c r="O80" i="17"/>
  <c r="L81" i="17"/>
  <c r="M81" i="17"/>
  <c r="N81" i="17"/>
  <c r="O81" i="17"/>
  <c r="L82" i="17"/>
  <c r="M82" i="17"/>
  <c r="N82" i="17"/>
  <c r="O82" i="17"/>
  <c r="L83" i="17"/>
  <c r="M83" i="17"/>
  <c r="N83" i="17"/>
  <c r="O83" i="17"/>
  <c r="L84" i="17"/>
  <c r="M84" i="17"/>
  <c r="N84" i="17"/>
  <c r="O84" i="17"/>
  <c r="L85" i="17"/>
  <c r="M85" i="17"/>
  <c r="N85" i="17"/>
  <c r="O85" i="17"/>
  <c r="L86" i="17"/>
  <c r="M86" i="17"/>
  <c r="N86" i="17"/>
  <c r="O86" i="17"/>
  <c r="L87" i="17"/>
  <c r="M87" i="17"/>
  <c r="N87" i="17"/>
  <c r="O87" i="17"/>
  <c r="L88" i="17"/>
  <c r="M88" i="17"/>
  <c r="N88" i="17"/>
  <c r="O88" i="17"/>
  <c r="L89" i="17"/>
  <c r="M89" i="17"/>
  <c r="N89" i="17"/>
  <c r="O89" i="17"/>
  <c r="L90" i="17"/>
  <c r="M90" i="17"/>
  <c r="N90" i="17"/>
  <c r="O90" i="17"/>
  <c r="L91" i="17"/>
  <c r="M91" i="17"/>
  <c r="N91" i="17"/>
  <c r="O91" i="17"/>
  <c r="L92" i="17"/>
  <c r="M92" i="17"/>
  <c r="N92" i="17"/>
  <c r="O92" i="17"/>
  <c r="L93" i="17"/>
  <c r="M93" i="17"/>
  <c r="N93" i="17"/>
  <c r="O93" i="17"/>
  <c r="L95" i="17"/>
  <c r="M95" i="17"/>
  <c r="N95" i="17"/>
  <c r="O95" i="17"/>
  <c r="L96" i="17"/>
  <c r="M96" i="17"/>
  <c r="N96" i="17"/>
  <c r="O96" i="17"/>
  <c r="L97" i="17"/>
  <c r="M97" i="17"/>
  <c r="N97" i="17"/>
  <c r="O97" i="17"/>
  <c r="L98" i="17"/>
  <c r="M98" i="17"/>
  <c r="N98" i="17"/>
  <c r="O98" i="17"/>
  <c r="L99" i="17"/>
  <c r="M99" i="17"/>
  <c r="N99" i="17"/>
  <c r="O99" i="17"/>
  <c r="L100" i="17"/>
  <c r="M100" i="17"/>
  <c r="N100" i="17"/>
  <c r="O100" i="17"/>
  <c r="L101" i="17"/>
  <c r="M101" i="17"/>
  <c r="N101" i="17"/>
  <c r="O101" i="17"/>
  <c r="L102" i="17"/>
  <c r="M102" i="17"/>
  <c r="N102" i="17"/>
  <c r="O102" i="17"/>
  <c r="L103" i="17"/>
  <c r="M103" i="17"/>
  <c r="N103" i="17"/>
  <c r="O103" i="17"/>
  <c r="L104" i="17"/>
  <c r="M104" i="17"/>
  <c r="N104" i="17"/>
  <c r="O104" i="17"/>
  <c r="L105" i="17"/>
  <c r="M105" i="17"/>
  <c r="N105" i="17"/>
  <c r="O105" i="17"/>
  <c r="L106" i="17"/>
  <c r="M106" i="17"/>
  <c r="N106" i="17"/>
  <c r="O106" i="17"/>
  <c r="L107" i="17"/>
  <c r="M107" i="17"/>
  <c r="N107" i="17"/>
  <c r="O107" i="17"/>
  <c r="L108" i="17"/>
  <c r="M108" i="17"/>
  <c r="N108" i="17"/>
  <c r="O108" i="17"/>
  <c r="L109" i="17"/>
  <c r="M109" i="17"/>
  <c r="N109" i="17"/>
  <c r="O109" i="17"/>
  <c r="L110" i="17"/>
  <c r="M110" i="17"/>
  <c r="N110" i="17"/>
  <c r="O110" i="17"/>
  <c r="L111" i="17"/>
  <c r="M111" i="17"/>
  <c r="N111" i="17"/>
  <c r="O111" i="17"/>
  <c r="L112" i="17"/>
  <c r="M112" i="17"/>
  <c r="N112" i="17"/>
  <c r="O112" i="17"/>
  <c r="L113" i="17"/>
  <c r="M113" i="17"/>
  <c r="N113" i="17"/>
  <c r="O113" i="17"/>
  <c r="L114" i="17"/>
  <c r="M114" i="17"/>
  <c r="N114" i="17"/>
  <c r="O114" i="17"/>
  <c r="L115" i="17"/>
  <c r="M115" i="17"/>
  <c r="N115" i="17"/>
  <c r="O115" i="17"/>
  <c r="L116" i="17"/>
  <c r="M116" i="17"/>
  <c r="N116" i="17"/>
  <c r="O116" i="17"/>
  <c r="L117" i="17"/>
  <c r="M117" i="17"/>
  <c r="N117" i="17"/>
  <c r="O117" i="17"/>
  <c r="L118" i="17"/>
  <c r="M118" i="17"/>
  <c r="N118" i="17"/>
  <c r="O118" i="17"/>
  <c r="L119" i="17"/>
  <c r="M119" i="17"/>
  <c r="N119" i="17"/>
  <c r="O119" i="17"/>
  <c r="L120" i="17"/>
  <c r="M120" i="17"/>
  <c r="N120" i="17"/>
  <c r="O120" i="17"/>
  <c r="L121" i="17"/>
  <c r="M121" i="17"/>
  <c r="N121" i="17"/>
  <c r="O121" i="17"/>
  <c r="L122" i="17"/>
  <c r="M122" i="17"/>
  <c r="N122" i="17"/>
  <c r="O122" i="17"/>
  <c r="L123" i="17"/>
  <c r="M123" i="17"/>
  <c r="N123" i="17"/>
  <c r="O123" i="17"/>
  <c r="L124" i="17"/>
  <c r="M124" i="17"/>
  <c r="N124" i="17"/>
  <c r="O124" i="17"/>
  <c r="L125" i="17"/>
  <c r="M125" i="17"/>
  <c r="N125" i="17"/>
  <c r="O125" i="17"/>
  <c r="L126" i="17"/>
  <c r="M126" i="17"/>
  <c r="N126" i="17"/>
  <c r="O126" i="17"/>
  <c r="L127" i="17"/>
  <c r="M127" i="17"/>
  <c r="N127" i="17"/>
  <c r="O127" i="17"/>
  <c r="L128" i="17"/>
  <c r="M128" i="17"/>
  <c r="N128" i="17"/>
  <c r="O128" i="17"/>
  <c r="L129" i="17"/>
  <c r="M129" i="17"/>
  <c r="N129" i="17"/>
  <c r="O129" i="17"/>
  <c r="L130" i="17"/>
  <c r="M130" i="17"/>
  <c r="N130" i="17"/>
  <c r="O130" i="17"/>
  <c r="L131" i="17"/>
  <c r="M131" i="17"/>
  <c r="N131" i="17"/>
  <c r="O131" i="17"/>
  <c r="L132" i="17"/>
  <c r="M132" i="17"/>
  <c r="N132" i="17"/>
  <c r="O132" i="17"/>
  <c r="L133" i="17"/>
  <c r="M133" i="17"/>
  <c r="N133" i="17"/>
  <c r="O133" i="17"/>
  <c r="L134" i="17"/>
  <c r="M134" i="17"/>
  <c r="N134" i="17"/>
  <c r="O134" i="17"/>
  <c r="L135" i="17"/>
  <c r="M135" i="17"/>
  <c r="N135" i="17"/>
  <c r="O135" i="17"/>
  <c r="L136" i="17"/>
  <c r="M136" i="17"/>
  <c r="N136" i="17"/>
  <c r="O136" i="17"/>
  <c r="L137" i="17"/>
  <c r="M137" i="17"/>
  <c r="N137" i="17"/>
  <c r="O137" i="17"/>
  <c r="L138" i="17"/>
  <c r="M138" i="17"/>
  <c r="N138" i="17"/>
  <c r="O138" i="17"/>
  <c r="L139" i="17"/>
  <c r="M139" i="17"/>
  <c r="N139" i="17"/>
  <c r="O139" i="17"/>
  <c r="L140" i="17"/>
  <c r="M140" i="17"/>
  <c r="N140" i="17"/>
  <c r="O140" i="17"/>
  <c r="L141" i="17"/>
  <c r="M141" i="17"/>
  <c r="N141" i="17"/>
  <c r="O141" i="17"/>
  <c r="L142" i="17"/>
  <c r="M142" i="17"/>
  <c r="N142" i="17"/>
  <c r="O142" i="17"/>
  <c r="L143" i="17"/>
  <c r="M143" i="17"/>
  <c r="N143" i="17"/>
  <c r="O143" i="17"/>
  <c r="L144" i="17"/>
  <c r="M144" i="17"/>
  <c r="N144" i="17"/>
  <c r="O144" i="17"/>
  <c r="L145" i="17"/>
  <c r="M145" i="17"/>
  <c r="N145" i="17"/>
  <c r="O145" i="17"/>
  <c r="L146" i="17"/>
  <c r="M146" i="17"/>
  <c r="N146" i="17"/>
  <c r="O146" i="17"/>
  <c r="L147" i="17"/>
  <c r="M147" i="17"/>
  <c r="N147" i="17"/>
  <c r="O147" i="17"/>
  <c r="L148" i="17"/>
  <c r="M148" i="17"/>
  <c r="N148" i="17"/>
  <c r="O148" i="17"/>
  <c r="L149" i="17"/>
  <c r="M149" i="17"/>
  <c r="N149" i="17"/>
  <c r="O149" i="17"/>
  <c r="L150" i="17"/>
  <c r="M150" i="17"/>
  <c r="N150" i="17"/>
  <c r="O150" i="17"/>
  <c r="L151" i="17"/>
  <c r="M151" i="17"/>
  <c r="N151" i="17"/>
  <c r="O151" i="17"/>
  <c r="L152" i="17"/>
  <c r="M152" i="17"/>
  <c r="N152" i="17"/>
  <c r="O152" i="17"/>
  <c r="L153" i="17"/>
  <c r="M153" i="17"/>
  <c r="N153" i="17"/>
  <c r="O153" i="17"/>
  <c r="L154" i="17"/>
  <c r="M154" i="17"/>
  <c r="N154" i="17"/>
  <c r="O154" i="17"/>
  <c r="L155" i="17"/>
  <c r="M155" i="17"/>
  <c r="N155" i="17"/>
  <c r="O155" i="17"/>
  <c r="L156" i="17"/>
  <c r="M156" i="17"/>
  <c r="N156" i="17"/>
  <c r="O156" i="17"/>
  <c r="L157" i="17"/>
  <c r="M157" i="17"/>
  <c r="N157" i="17"/>
  <c r="O157" i="17"/>
  <c r="L158" i="17"/>
  <c r="M158" i="17"/>
  <c r="N158" i="17"/>
  <c r="O158" i="17"/>
  <c r="L159" i="17"/>
  <c r="M159" i="17"/>
  <c r="N159" i="17"/>
  <c r="O159" i="17"/>
  <c r="L160" i="17"/>
  <c r="M160" i="17"/>
  <c r="N160" i="17"/>
  <c r="O160" i="17"/>
  <c r="L161" i="17"/>
  <c r="M161" i="17"/>
  <c r="N161" i="17"/>
  <c r="O161" i="17"/>
  <c r="L162" i="17"/>
  <c r="M162" i="17"/>
  <c r="N162" i="17"/>
  <c r="O162" i="17"/>
  <c r="L163" i="17"/>
  <c r="M163" i="17"/>
  <c r="N163" i="17"/>
  <c r="O163" i="17"/>
  <c r="L164" i="17"/>
  <c r="M164" i="17"/>
  <c r="N164" i="17"/>
  <c r="O164" i="17"/>
  <c r="L165" i="17"/>
  <c r="M165" i="17"/>
  <c r="N165" i="17"/>
  <c r="O165" i="17"/>
  <c r="L166" i="17"/>
  <c r="M166" i="17"/>
  <c r="N166" i="17"/>
  <c r="O166" i="17"/>
  <c r="L167" i="17"/>
  <c r="M167" i="17"/>
  <c r="N167" i="17"/>
  <c r="O167" i="17"/>
  <c r="L168" i="17"/>
  <c r="M168" i="17"/>
  <c r="N168" i="17"/>
  <c r="O168" i="17"/>
  <c r="L169" i="17"/>
  <c r="M169" i="17"/>
  <c r="N169" i="17"/>
  <c r="O169" i="17"/>
  <c r="L170" i="17"/>
  <c r="M170" i="17"/>
  <c r="N170" i="17"/>
  <c r="O170" i="17"/>
  <c r="L171" i="17"/>
  <c r="M171" i="17"/>
  <c r="N171" i="17"/>
  <c r="O171" i="17"/>
  <c r="L172" i="17"/>
  <c r="M172" i="17"/>
  <c r="N172" i="17"/>
  <c r="O172" i="17"/>
  <c r="L173" i="17"/>
  <c r="M173" i="17"/>
  <c r="N173" i="17"/>
  <c r="O173" i="17"/>
  <c r="L174" i="17"/>
  <c r="M174" i="17"/>
  <c r="N174" i="17"/>
  <c r="O174" i="17"/>
  <c r="L175" i="17"/>
  <c r="M175" i="17"/>
  <c r="N175" i="17"/>
  <c r="O175" i="17"/>
  <c r="L176" i="17"/>
  <c r="M176" i="17"/>
  <c r="N176" i="17"/>
  <c r="O176" i="17"/>
  <c r="L177" i="17"/>
  <c r="M177" i="17"/>
  <c r="N177" i="17"/>
  <c r="O177" i="17"/>
  <c r="L178" i="17"/>
  <c r="M178" i="17"/>
  <c r="N178" i="17"/>
  <c r="O178" i="17"/>
  <c r="L179" i="17"/>
  <c r="M179" i="17"/>
  <c r="N179" i="17"/>
  <c r="O179" i="17"/>
  <c r="L180" i="17"/>
  <c r="M180" i="17"/>
  <c r="N180" i="17"/>
  <c r="O180" i="17"/>
  <c r="L181" i="17"/>
  <c r="M181" i="17"/>
  <c r="N181" i="17"/>
  <c r="O181" i="17"/>
  <c r="L182" i="17"/>
  <c r="M182" i="17"/>
  <c r="N182" i="17"/>
  <c r="O182" i="17"/>
  <c r="L183" i="17"/>
  <c r="M183" i="17"/>
  <c r="N183" i="17"/>
  <c r="O183" i="17"/>
  <c r="O13" i="17"/>
  <c r="N13" i="17"/>
  <c r="M13" i="17"/>
  <c r="L13" i="17"/>
  <c r="I32" i="19" l="1"/>
  <c r="H32" i="19"/>
  <c r="I33" i="19"/>
  <c r="H33" i="19"/>
  <c r="H15" i="19"/>
  <c r="I15" i="19"/>
  <c r="J15" i="19"/>
  <c r="H24" i="19"/>
  <c r="I24" i="19"/>
  <c r="J24" i="19"/>
  <c r="H96" i="18"/>
  <c r="I96" i="18"/>
  <c r="J96" i="18"/>
  <c r="L96" i="18"/>
  <c r="M96" i="18"/>
  <c r="N96" i="18"/>
  <c r="O96" i="18"/>
  <c r="I29" i="19" l="1"/>
  <c r="H29" i="19"/>
  <c r="I28" i="19"/>
  <c r="H28" i="19"/>
  <c r="I31" i="19"/>
  <c r="H31" i="19"/>
  <c r="J19" i="19"/>
  <c r="I19" i="19"/>
  <c r="H19" i="19"/>
  <c r="L14" i="18" l="1"/>
  <c r="M14" i="18"/>
  <c r="N14" i="18"/>
  <c r="O14" i="18"/>
  <c r="L15" i="18"/>
  <c r="M15" i="18"/>
  <c r="N15" i="18"/>
  <c r="O15" i="18"/>
  <c r="L16" i="18"/>
  <c r="M16" i="18"/>
  <c r="N16" i="18"/>
  <c r="O16" i="18"/>
  <c r="L17" i="18"/>
  <c r="M17" i="18"/>
  <c r="N17" i="18"/>
  <c r="O17" i="18"/>
  <c r="L18" i="18"/>
  <c r="M18" i="18"/>
  <c r="N18" i="18"/>
  <c r="O18" i="18"/>
  <c r="L19" i="18"/>
  <c r="M19" i="18"/>
  <c r="N19" i="18"/>
  <c r="O19" i="18"/>
  <c r="L20" i="18"/>
  <c r="M20" i="18"/>
  <c r="N20" i="18"/>
  <c r="O20" i="18"/>
  <c r="L21" i="18"/>
  <c r="M21" i="18"/>
  <c r="N21" i="18"/>
  <c r="O21" i="18"/>
  <c r="L22" i="18"/>
  <c r="M22" i="18"/>
  <c r="N22" i="18"/>
  <c r="O22" i="18"/>
  <c r="L23" i="18"/>
  <c r="M23" i="18"/>
  <c r="N23" i="18"/>
  <c r="O23" i="18"/>
  <c r="L24" i="18"/>
  <c r="M24" i="18"/>
  <c r="N24" i="18"/>
  <c r="O24" i="18"/>
  <c r="L25" i="18"/>
  <c r="M25" i="18"/>
  <c r="N25" i="18"/>
  <c r="O25" i="18"/>
  <c r="L26" i="18"/>
  <c r="M26" i="18"/>
  <c r="N26" i="18"/>
  <c r="O26" i="18"/>
  <c r="L27" i="18"/>
  <c r="M27" i="18"/>
  <c r="N27" i="18"/>
  <c r="O27" i="18"/>
  <c r="L28" i="18"/>
  <c r="M28" i="18"/>
  <c r="N28" i="18"/>
  <c r="O28" i="18"/>
  <c r="L29" i="18"/>
  <c r="M29" i="18"/>
  <c r="N29" i="18"/>
  <c r="O29" i="18"/>
  <c r="L30" i="18"/>
  <c r="M30" i="18"/>
  <c r="N30" i="18"/>
  <c r="O30" i="18"/>
  <c r="L31" i="18"/>
  <c r="M31" i="18"/>
  <c r="N31" i="18"/>
  <c r="O31" i="18"/>
  <c r="L32" i="18"/>
  <c r="M32" i="18"/>
  <c r="N32" i="18"/>
  <c r="O32" i="18"/>
  <c r="L33" i="18"/>
  <c r="M33" i="18"/>
  <c r="N33" i="18"/>
  <c r="O33" i="18"/>
  <c r="L34" i="18"/>
  <c r="M34" i="18"/>
  <c r="N34" i="18"/>
  <c r="O34" i="18"/>
  <c r="L35" i="18"/>
  <c r="M35" i="18"/>
  <c r="N35" i="18"/>
  <c r="O35" i="18"/>
  <c r="L36" i="18"/>
  <c r="M36" i="18"/>
  <c r="N36" i="18"/>
  <c r="O36" i="18"/>
  <c r="L37" i="18"/>
  <c r="M37" i="18"/>
  <c r="N37" i="18"/>
  <c r="O37" i="18"/>
  <c r="L38" i="18"/>
  <c r="M38" i="18"/>
  <c r="N38" i="18"/>
  <c r="O38" i="18"/>
  <c r="L39" i="18"/>
  <c r="M39" i="18"/>
  <c r="N39" i="18"/>
  <c r="O39" i="18"/>
  <c r="L40" i="18"/>
  <c r="M40" i="18"/>
  <c r="N40" i="18"/>
  <c r="O40" i="18"/>
  <c r="L41" i="18"/>
  <c r="M41" i="18"/>
  <c r="N41" i="18"/>
  <c r="O41" i="18"/>
  <c r="L42" i="18"/>
  <c r="M42" i="18"/>
  <c r="N42" i="18"/>
  <c r="O42" i="18"/>
  <c r="L43" i="18"/>
  <c r="M43" i="18"/>
  <c r="N43" i="18"/>
  <c r="O43" i="18"/>
  <c r="L44" i="18"/>
  <c r="M44" i="18"/>
  <c r="N44" i="18"/>
  <c r="O44" i="18"/>
  <c r="L45" i="18"/>
  <c r="M45" i="18"/>
  <c r="N45" i="18"/>
  <c r="O45" i="18"/>
  <c r="L46" i="18"/>
  <c r="M46" i="18"/>
  <c r="N46" i="18"/>
  <c r="O46" i="18"/>
  <c r="L47" i="18"/>
  <c r="M47" i="18"/>
  <c r="N47" i="18"/>
  <c r="O47" i="18"/>
  <c r="L48" i="18"/>
  <c r="M48" i="18"/>
  <c r="N48" i="18"/>
  <c r="O48" i="18"/>
  <c r="L49" i="18"/>
  <c r="M49" i="18"/>
  <c r="N49" i="18"/>
  <c r="O49" i="18"/>
  <c r="L50" i="18"/>
  <c r="M50" i="18"/>
  <c r="N50" i="18"/>
  <c r="O50" i="18"/>
  <c r="L51" i="18"/>
  <c r="M51" i="18"/>
  <c r="N51" i="18"/>
  <c r="O51" i="18"/>
  <c r="L52" i="18"/>
  <c r="M52" i="18"/>
  <c r="N52" i="18"/>
  <c r="O52" i="18"/>
  <c r="L53" i="18"/>
  <c r="M53" i="18"/>
  <c r="N53" i="18"/>
  <c r="O53" i="18"/>
  <c r="L54" i="18"/>
  <c r="M54" i="18"/>
  <c r="N54" i="18"/>
  <c r="O54" i="18"/>
  <c r="L56" i="18"/>
  <c r="M56" i="18"/>
  <c r="N56" i="18"/>
  <c r="O56" i="18"/>
  <c r="L57" i="18"/>
  <c r="M57" i="18"/>
  <c r="N57" i="18"/>
  <c r="O57" i="18"/>
  <c r="L58" i="18"/>
  <c r="M58" i="18"/>
  <c r="N58" i="18"/>
  <c r="O58" i="18"/>
  <c r="L59" i="18"/>
  <c r="M59" i="18"/>
  <c r="N59" i="18"/>
  <c r="O59" i="18"/>
  <c r="L60" i="18"/>
  <c r="M60" i="18"/>
  <c r="N60" i="18"/>
  <c r="O60" i="18"/>
  <c r="L61" i="18"/>
  <c r="M61" i="18"/>
  <c r="N61" i="18"/>
  <c r="O61" i="18"/>
  <c r="L62" i="18"/>
  <c r="M62" i="18"/>
  <c r="N62" i="18"/>
  <c r="O62" i="18"/>
  <c r="L63" i="18"/>
  <c r="M63" i="18"/>
  <c r="N63" i="18"/>
  <c r="O63" i="18"/>
  <c r="L64" i="18"/>
  <c r="M64" i="18"/>
  <c r="N64" i="18"/>
  <c r="O64" i="18"/>
  <c r="L65" i="18"/>
  <c r="M65" i="18"/>
  <c r="N65" i="18"/>
  <c r="O65" i="18"/>
  <c r="L68" i="18"/>
  <c r="M68" i="18"/>
  <c r="N68" i="18"/>
  <c r="O68" i="18"/>
  <c r="L69" i="18"/>
  <c r="M69" i="18"/>
  <c r="N69" i="18"/>
  <c r="O69" i="18"/>
  <c r="L70" i="18"/>
  <c r="M70" i="18"/>
  <c r="N70" i="18"/>
  <c r="O70" i="18"/>
  <c r="L71" i="18"/>
  <c r="M71" i="18"/>
  <c r="N71" i="18"/>
  <c r="O71" i="18"/>
  <c r="L72" i="18"/>
  <c r="M72" i="18"/>
  <c r="N72" i="18"/>
  <c r="O72" i="18"/>
  <c r="L74" i="18"/>
  <c r="M74" i="18"/>
  <c r="N74" i="18"/>
  <c r="O74" i="18"/>
  <c r="L75" i="18"/>
  <c r="M75" i="18"/>
  <c r="N75" i="18"/>
  <c r="O75" i="18"/>
  <c r="L76" i="18"/>
  <c r="M76" i="18"/>
  <c r="N76" i="18"/>
  <c r="O76" i="18"/>
  <c r="L77" i="18"/>
  <c r="M77" i="18"/>
  <c r="N77" i="18"/>
  <c r="O77" i="18"/>
  <c r="L78" i="18"/>
  <c r="M78" i="18"/>
  <c r="N78" i="18"/>
  <c r="O78" i="18"/>
  <c r="L79" i="18"/>
  <c r="M79" i="18"/>
  <c r="N79" i="18"/>
  <c r="O79" i="18"/>
  <c r="L80" i="18"/>
  <c r="M80" i="18"/>
  <c r="N80" i="18"/>
  <c r="O80" i="18"/>
  <c r="L81" i="18"/>
  <c r="M81" i="18"/>
  <c r="N81" i="18"/>
  <c r="O81" i="18"/>
  <c r="L82" i="18"/>
  <c r="M82" i="18"/>
  <c r="N82" i="18"/>
  <c r="O82" i="18"/>
  <c r="L83" i="18"/>
  <c r="M83" i="18"/>
  <c r="N83" i="18"/>
  <c r="O83" i="18"/>
  <c r="L84" i="18"/>
  <c r="M84" i="18"/>
  <c r="N84" i="18"/>
  <c r="O84" i="18"/>
  <c r="L85" i="18"/>
  <c r="M85" i="18"/>
  <c r="N85" i="18"/>
  <c r="O85" i="18"/>
  <c r="L87" i="18"/>
  <c r="M87" i="18"/>
  <c r="N87" i="18"/>
  <c r="O87" i="18"/>
  <c r="L88" i="18"/>
  <c r="M88" i="18"/>
  <c r="N88" i="18"/>
  <c r="O88" i="18"/>
  <c r="L89" i="18"/>
  <c r="M89" i="18"/>
  <c r="N89" i="18"/>
  <c r="O89" i="18"/>
  <c r="L90" i="18"/>
  <c r="M90" i="18"/>
  <c r="N90" i="18"/>
  <c r="O90" i="18"/>
  <c r="L91" i="18"/>
  <c r="M91" i="18"/>
  <c r="N91" i="18"/>
  <c r="O91" i="18"/>
  <c r="L92" i="18"/>
  <c r="M92" i="18"/>
  <c r="N92" i="18"/>
  <c r="O92" i="18"/>
  <c r="L93" i="18"/>
  <c r="M93" i="18"/>
  <c r="N93" i="18"/>
  <c r="O93" i="18"/>
  <c r="L94" i="18"/>
  <c r="M94" i="18"/>
  <c r="N94" i="18"/>
  <c r="O94" i="18"/>
  <c r="L97" i="18"/>
  <c r="M97" i="18"/>
  <c r="N97" i="18"/>
  <c r="O97" i="18"/>
  <c r="L98" i="18"/>
  <c r="M98" i="18"/>
  <c r="N98" i="18"/>
  <c r="O98" i="18"/>
  <c r="L99" i="18"/>
  <c r="M99" i="18"/>
  <c r="N99" i="18"/>
  <c r="O99" i="18"/>
  <c r="O13" i="18"/>
  <c r="N13" i="18"/>
  <c r="M13" i="18"/>
  <c r="L13" i="18"/>
  <c r="H16" i="19" l="1"/>
  <c r="I16" i="19"/>
  <c r="J16" i="19"/>
  <c r="H17" i="19"/>
  <c r="I17" i="19"/>
  <c r="J17" i="19"/>
  <c r="H18" i="19"/>
  <c r="I18" i="19"/>
  <c r="J18" i="19"/>
  <c r="H20" i="19"/>
  <c r="I20" i="19"/>
  <c r="J20" i="19"/>
  <c r="H14" i="19" l="1"/>
  <c r="I14" i="19"/>
  <c r="J14" i="19"/>
  <c r="I37" i="19"/>
  <c r="H37" i="19"/>
  <c r="H23" i="19"/>
  <c r="I23" i="19"/>
  <c r="J23" i="19"/>
  <c r="I128" i="18"/>
  <c r="H128" i="18"/>
  <c r="I127" i="18"/>
  <c r="H127" i="18"/>
  <c r="I126" i="18"/>
  <c r="H126" i="18"/>
  <c r="I125" i="18"/>
  <c r="H125" i="18"/>
  <c r="I124" i="18"/>
  <c r="H124" i="18"/>
  <c r="I123" i="18"/>
  <c r="H123" i="18"/>
  <c r="I122" i="18"/>
  <c r="H122" i="18"/>
  <c r="I121" i="18"/>
  <c r="H121" i="18"/>
  <c r="I120" i="18"/>
  <c r="H120" i="18"/>
  <c r="I119" i="18"/>
  <c r="H119" i="18"/>
  <c r="I118" i="18"/>
  <c r="H118" i="18"/>
  <c r="I117" i="18"/>
  <c r="H117" i="18"/>
  <c r="I116" i="18"/>
  <c r="H116" i="18"/>
  <c r="I115" i="18"/>
  <c r="H115" i="18"/>
  <c r="I114" i="18"/>
  <c r="H114" i="18"/>
  <c r="I113" i="18"/>
  <c r="H113" i="18"/>
  <c r="I112" i="18"/>
  <c r="H112" i="18"/>
  <c r="I111" i="18"/>
  <c r="H111" i="18"/>
  <c r="I110" i="18"/>
  <c r="H110" i="18"/>
  <c r="I109" i="18"/>
  <c r="H109" i="18"/>
  <c r="I108" i="18"/>
  <c r="H108" i="18"/>
  <c r="I107" i="18"/>
  <c r="H107" i="18"/>
  <c r="I106" i="18"/>
  <c r="H106" i="18"/>
  <c r="I105" i="18"/>
  <c r="H105" i="18"/>
  <c r="I104" i="18"/>
  <c r="H104" i="18"/>
  <c r="I103" i="18"/>
  <c r="H103" i="18"/>
  <c r="J99" i="18"/>
  <c r="I99" i="18"/>
  <c r="H99" i="18"/>
  <c r="J98" i="18"/>
  <c r="I98" i="18"/>
  <c r="H98" i="18"/>
  <c r="J97" i="18"/>
  <c r="I97" i="18"/>
  <c r="H97" i="18"/>
  <c r="J94" i="18"/>
  <c r="I94" i="18"/>
  <c r="H94" i="18"/>
  <c r="J93" i="18"/>
  <c r="I93" i="18"/>
  <c r="H93" i="18"/>
  <c r="J92" i="18"/>
  <c r="I92" i="18"/>
  <c r="H92" i="18"/>
  <c r="J91" i="18"/>
  <c r="I91" i="18"/>
  <c r="H91" i="18"/>
  <c r="J90" i="18"/>
  <c r="I90" i="18"/>
  <c r="H90" i="18"/>
  <c r="J89" i="18"/>
  <c r="I89" i="18"/>
  <c r="H89" i="18"/>
  <c r="J88" i="18"/>
  <c r="I88" i="18"/>
  <c r="H88" i="18"/>
  <c r="J87" i="18"/>
  <c r="I87" i="18"/>
  <c r="H87" i="18"/>
  <c r="J85" i="18"/>
  <c r="I85" i="18"/>
  <c r="H85" i="18"/>
  <c r="J84" i="18"/>
  <c r="I84" i="18"/>
  <c r="H84" i="18"/>
  <c r="J83" i="18"/>
  <c r="I83" i="18"/>
  <c r="H83" i="18"/>
  <c r="J82" i="18"/>
  <c r="I82" i="18"/>
  <c r="H82" i="18"/>
  <c r="J81" i="18"/>
  <c r="I81" i="18"/>
  <c r="H81" i="18"/>
  <c r="J80" i="18"/>
  <c r="I80" i="18"/>
  <c r="H80" i="18"/>
  <c r="J79" i="18"/>
  <c r="I79" i="18"/>
  <c r="H79" i="18"/>
  <c r="J78" i="18"/>
  <c r="I78" i="18"/>
  <c r="H78" i="18"/>
  <c r="J77" i="18"/>
  <c r="I77" i="18"/>
  <c r="H77" i="18"/>
  <c r="J76" i="18"/>
  <c r="I76" i="18"/>
  <c r="H76" i="18"/>
  <c r="J75" i="18"/>
  <c r="I75" i="18"/>
  <c r="H75" i="18"/>
  <c r="J74" i="18"/>
  <c r="I74" i="18"/>
  <c r="H74" i="18"/>
  <c r="J72" i="18"/>
  <c r="I72" i="18"/>
  <c r="H72" i="18"/>
  <c r="J71" i="18"/>
  <c r="I71" i="18"/>
  <c r="H71" i="18"/>
  <c r="J70" i="18"/>
  <c r="I70" i="18"/>
  <c r="H70" i="18"/>
  <c r="J69" i="18"/>
  <c r="I69" i="18"/>
  <c r="H69" i="18"/>
  <c r="J68" i="18"/>
  <c r="I68" i="18"/>
  <c r="H68" i="18"/>
  <c r="J65" i="18"/>
  <c r="I65" i="18"/>
  <c r="H65" i="18"/>
  <c r="J64" i="18"/>
  <c r="I64" i="18"/>
  <c r="H64" i="18"/>
  <c r="J63" i="18"/>
  <c r="I63" i="18"/>
  <c r="H63" i="18"/>
  <c r="J62" i="18"/>
  <c r="I62" i="18"/>
  <c r="H62" i="18"/>
  <c r="J61" i="18"/>
  <c r="I61" i="18"/>
  <c r="H61" i="18"/>
  <c r="J60" i="18"/>
  <c r="I60" i="18"/>
  <c r="H60" i="18"/>
  <c r="J59" i="18"/>
  <c r="I59" i="18"/>
  <c r="H59" i="18"/>
  <c r="J58" i="18"/>
  <c r="I58" i="18"/>
  <c r="H58" i="18"/>
  <c r="J57" i="18"/>
  <c r="I57" i="18"/>
  <c r="H57" i="18"/>
  <c r="J56" i="18"/>
  <c r="I56" i="18"/>
  <c r="H56" i="18"/>
  <c r="J54" i="18"/>
  <c r="I54" i="18"/>
  <c r="H54" i="18"/>
  <c r="J53" i="18"/>
  <c r="I53" i="18"/>
  <c r="H53" i="18"/>
  <c r="J52" i="18"/>
  <c r="I52" i="18"/>
  <c r="H52" i="18"/>
  <c r="J51" i="18"/>
  <c r="I51" i="18"/>
  <c r="H51" i="18"/>
  <c r="J50" i="18"/>
  <c r="I50" i="18"/>
  <c r="H50" i="18"/>
  <c r="J49" i="18"/>
  <c r="I49" i="18"/>
  <c r="H49" i="18"/>
  <c r="J48" i="18"/>
  <c r="I48" i="18"/>
  <c r="H48" i="18"/>
  <c r="J47" i="18"/>
  <c r="I47" i="18"/>
  <c r="H47" i="18"/>
  <c r="J46" i="18"/>
  <c r="I46" i="18"/>
  <c r="H46" i="18"/>
  <c r="J45" i="18"/>
  <c r="I45" i="18"/>
  <c r="H45" i="18"/>
  <c r="J44" i="18"/>
  <c r="I44" i="18"/>
  <c r="H44" i="18"/>
  <c r="J43" i="18"/>
  <c r="I43" i="18"/>
  <c r="H43" i="18"/>
  <c r="J42" i="18"/>
  <c r="I42" i="18"/>
  <c r="H42" i="18"/>
  <c r="J41" i="18"/>
  <c r="I41" i="18"/>
  <c r="H41" i="18"/>
  <c r="J40" i="18"/>
  <c r="I40" i="18"/>
  <c r="H40" i="18"/>
  <c r="J39" i="18"/>
  <c r="I39" i="18"/>
  <c r="H39" i="18"/>
  <c r="J38" i="18"/>
  <c r="I38" i="18"/>
  <c r="H38" i="18"/>
  <c r="J37" i="18"/>
  <c r="I37" i="18"/>
  <c r="H37" i="18"/>
  <c r="J36" i="18"/>
  <c r="I36" i="18"/>
  <c r="H36" i="18"/>
  <c r="J35" i="18"/>
  <c r="I35" i="18"/>
  <c r="H35" i="18"/>
  <c r="J34" i="18"/>
  <c r="I34" i="18"/>
  <c r="H34" i="18"/>
  <c r="J33" i="18"/>
  <c r="I33" i="18"/>
  <c r="H33" i="18"/>
  <c r="J32" i="18"/>
  <c r="I32" i="18"/>
  <c r="H32" i="18"/>
  <c r="J31" i="18"/>
  <c r="I31" i="18"/>
  <c r="H31" i="18"/>
  <c r="J30" i="18"/>
  <c r="I30" i="18"/>
  <c r="H30" i="18"/>
  <c r="J29" i="18"/>
  <c r="I29" i="18"/>
  <c r="H29" i="18"/>
  <c r="J28" i="18"/>
  <c r="I28" i="18"/>
  <c r="H28" i="18"/>
  <c r="J27" i="18"/>
  <c r="I27" i="18"/>
  <c r="H27" i="18"/>
  <c r="J26" i="18"/>
  <c r="I26" i="18"/>
  <c r="H26" i="18"/>
  <c r="J25" i="18"/>
  <c r="I25" i="18"/>
  <c r="H25" i="18"/>
  <c r="J24" i="18"/>
  <c r="I24" i="18"/>
  <c r="H24" i="18"/>
  <c r="J23" i="18"/>
  <c r="I23" i="18"/>
  <c r="H23" i="18"/>
  <c r="J22" i="18"/>
  <c r="I22" i="18"/>
  <c r="H22" i="18"/>
  <c r="J21" i="18"/>
  <c r="I21" i="18"/>
  <c r="H21" i="18"/>
  <c r="J20" i="18"/>
  <c r="I20" i="18"/>
  <c r="H20" i="18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B13" i="18"/>
  <c r="J183" i="17"/>
  <c r="I183" i="17"/>
  <c r="H183" i="17"/>
  <c r="J182" i="17"/>
  <c r="I182" i="17"/>
  <c r="H182" i="17"/>
  <c r="J181" i="17"/>
  <c r="I181" i="17"/>
  <c r="H181" i="17"/>
  <c r="J180" i="17"/>
  <c r="I180" i="17"/>
  <c r="H180" i="17"/>
  <c r="J179" i="17"/>
  <c r="I179" i="17"/>
  <c r="H179" i="17"/>
  <c r="J178" i="17"/>
  <c r="I178" i="17"/>
  <c r="H178" i="17"/>
  <c r="J177" i="17"/>
  <c r="I177" i="17"/>
  <c r="H177" i="17"/>
  <c r="J176" i="17"/>
  <c r="I176" i="17"/>
  <c r="H176" i="17"/>
  <c r="J175" i="17"/>
  <c r="I175" i="17"/>
  <c r="H175" i="17"/>
  <c r="J174" i="17"/>
  <c r="I174" i="17"/>
  <c r="H174" i="17"/>
  <c r="J173" i="17"/>
  <c r="I173" i="17"/>
  <c r="H173" i="17"/>
  <c r="J172" i="17"/>
  <c r="I172" i="17"/>
  <c r="H172" i="17"/>
  <c r="J171" i="17"/>
  <c r="I171" i="17"/>
  <c r="H171" i="17"/>
  <c r="J170" i="17"/>
  <c r="I170" i="17"/>
  <c r="H170" i="17"/>
  <c r="J169" i="17"/>
  <c r="I169" i="17"/>
  <c r="H169" i="17"/>
  <c r="J168" i="17"/>
  <c r="I168" i="17"/>
  <c r="H168" i="17"/>
  <c r="J167" i="17"/>
  <c r="I167" i="17"/>
  <c r="H167" i="17"/>
  <c r="J166" i="17"/>
  <c r="I166" i="17"/>
  <c r="H166" i="17"/>
  <c r="J165" i="17"/>
  <c r="I165" i="17"/>
  <c r="H165" i="17"/>
  <c r="J164" i="17"/>
  <c r="I164" i="17"/>
  <c r="H164" i="17"/>
  <c r="J163" i="17"/>
  <c r="I163" i="17"/>
  <c r="H163" i="17"/>
  <c r="J162" i="17"/>
  <c r="I162" i="17"/>
  <c r="H162" i="17"/>
  <c r="J161" i="17"/>
  <c r="I161" i="17"/>
  <c r="H161" i="17"/>
  <c r="J160" i="17"/>
  <c r="I160" i="17"/>
  <c r="H160" i="17"/>
  <c r="J159" i="17"/>
  <c r="I159" i="17"/>
  <c r="H159" i="17"/>
  <c r="J158" i="17"/>
  <c r="I158" i="17"/>
  <c r="H158" i="17"/>
  <c r="J157" i="17"/>
  <c r="I157" i="17"/>
  <c r="H157" i="17"/>
  <c r="J156" i="17"/>
  <c r="I156" i="17"/>
  <c r="H156" i="17"/>
  <c r="J155" i="17"/>
  <c r="I155" i="17"/>
  <c r="H155" i="17"/>
  <c r="J154" i="17"/>
  <c r="I154" i="17"/>
  <c r="H154" i="17"/>
  <c r="J153" i="17"/>
  <c r="I153" i="17"/>
  <c r="H153" i="17"/>
  <c r="J152" i="17"/>
  <c r="I152" i="17"/>
  <c r="H152" i="17"/>
  <c r="J151" i="17"/>
  <c r="I151" i="17"/>
  <c r="H151" i="17"/>
  <c r="J150" i="17"/>
  <c r="I150" i="17"/>
  <c r="H150" i="17"/>
  <c r="J149" i="17"/>
  <c r="I149" i="17"/>
  <c r="H149" i="17"/>
  <c r="J148" i="17"/>
  <c r="I148" i="17"/>
  <c r="H148" i="17"/>
  <c r="J147" i="17"/>
  <c r="I147" i="17"/>
  <c r="H147" i="17"/>
  <c r="J146" i="17"/>
  <c r="I146" i="17"/>
  <c r="H146" i="17"/>
  <c r="J145" i="17"/>
  <c r="I145" i="17"/>
  <c r="H145" i="17"/>
  <c r="J144" i="17"/>
  <c r="I144" i="17"/>
  <c r="H144" i="17"/>
  <c r="J143" i="17"/>
  <c r="I143" i="17"/>
  <c r="H143" i="17"/>
  <c r="J142" i="17"/>
  <c r="I142" i="17"/>
  <c r="H142" i="17"/>
  <c r="J141" i="17"/>
  <c r="I141" i="17"/>
  <c r="H141" i="17"/>
  <c r="J140" i="17"/>
  <c r="I140" i="17"/>
  <c r="H140" i="17"/>
  <c r="J139" i="17"/>
  <c r="I139" i="17"/>
  <c r="H139" i="17"/>
  <c r="J138" i="17"/>
  <c r="I138" i="17"/>
  <c r="H138" i="17"/>
  <c r="J137" i="17"/>
  <c r="I137" i="17"/>
  <c r="H137" i="17"/>
  <c r="J136" i="17"/>
  <c r="I136" i="17"/>
  <c r="H136" i="17"/>
  <c r="J135" i="17"/>
  <c r="I135" i="17"/>
  <c r="H135" i="17"/>
  <c r="J134" i="17"/>
  <c r="I134" i="17"/>
  <c r="H134" i="17"/>
  <c r="J133" i="17"/>
  <c r="I133" i="17"/>
  <c r="H133" i="17"/>
  <c r="J132" i="17"/>
  <c r="I132" i="17"/>
  <c r="H132" i="17"/>
  <c r="J131" i="17"/>
  <c r="I131" i="17"/>
  <c r="H131" i="17"/>
  <c r="J130" i="17"/>
  <c r="I130" i="17"/>
  <c r="H130" i="17"/>
  <c r="J129" i="17"/>
  <c r="I129" i="17"/>
  <c r="H129" i="17"/>
  <c r="J128" i="17"/>
  <c r="I128" i="17"/>
  <c r="H128" i="17"/>
  <c r="J127" i="17"/>
  <c r="I127" i="17"/>
  <c r="H127" i="17"/>
  <c r="J126" i="17"/>
  <c r="I126" i="17"/>
  <c r="H126" i="17"/>
  <c r="J125" i="17"/>
  <c r="I125" i="17"/>
  <c r="H125" i="17"/>
  <c r="J124" i="17"/>
  <c r="I124" i="17"/>
  <c r="H124" i="17"/>
  <c r="J123" i="17"/>
  <c r="I123" i="17"/>
  <c r="H123" i="17"/>
  <c r="J122" i="17"/>
  <c r="I122" i="17"/>
  <c r="H122" i="17"/>
  <c r="J121" i="17"/>
  <c r="I121" i="17"/>
  <c r="H121" i="17"/>
  <c r="J120" i="17"/>
  <c r="I120" i="17"/>
  <c r="H120" i="17"/>
  <c r="J119" i="17"/>
  <c r="I119" i="17"/>
  <c r="H119" i="17"/>
  <c r="J118" i="17"/>
  <c r="I118" i="17"/>
  <c r="H118" i="17"/>
  <c r="J117" i="17"/>
  <c r="I117" i="17"/>
  <c r="H117" i="17"/>
  <c r="J116" i="17"/>
  <c r="I116" i="17"/>
  <c r="H116" i="17"/>
  <c r="J115" i="17"/>
  <c r="I115" i="17"/>
  <c r="H115" i="17"/>
  <c r="J114" i="17"/>
  <c r="I114" i="17"/>
  <c r="H114" i="17"/>
  <c r="J113" i="17"/>
  <c r="I113" i="17"/>
  <c r="H113" i="17"/>
  <c r="J112" i="17"/>
  <c r="I112" i="17"/>
  <c r="H112" i="17"/>
  <c r="J111" i="17"/>
  <c r="I111" i="17"/>
  <c r="H111" i="17"/>
  <c r="J110" i="17"/>
  <c r="I110" i="17"/>
  <c r="H110" i="17"/>
  <c r="J109" i="17"/>
  <c r="I109" i="17"/>
  <c r="H109" i="17"/>
  <c r="J108" i="17"/>
  <c r="I108" i="17"/>
  <c r="H108" i="17"/>
  <c r="J107" i="17"/>
  <c r="I107" i="17"/>
  <c r="H107" i="17"/>
  <c r="J106" i="17"/>
  <c r="I106" i="17"/>
  <c r="H106" i="17"/>
  <c r="J105" i="17"/>
  <c r="I105" i="17"/>
  <c r="H105" i="17"/>
  <c r="J104" i="17"/>
  <c r="I104" i="17"/>
  <c r="H104" i="17"/>
  <c r="J103" i="17"/>
  <c r="I103" i="17"/>
  <c r="H103" i="17"/>
  <c r="J102" i="17"/>
  <c r="I102" i="17"/>
  <c r="H102" i="17"/>
  <c r="J101" i="17"/>
  <c r="I101" i="17"/>
  <c r="H101" i="17"/>
  <c r="J100" i="17"/>
  <c r="I100" i="17"/>
  <c r="H100" i="17"/>
  <c r="J99" i="17"/>
  <c r="I99" i="17"/>
  <c r="H99" i="17"/>
  <c r="J98" i="17"/>
  <c r="I98" i="17"/>
  <c r="H98" i="17"/>
  <c r="J97" i="17"/>
  <c r="I97" i="17"/>
  <c r="H97" i="17"/>
  <c r="J96" i="17"/>
  <c r="I96" i="17"/>
  <c r="H96" i="17"/>
  <c r="J95" i="17"/>
  <c r="I95" i="17"/>
  <c r="H95" i="17"/>
  <c r="J93" i="17"/>
  <c r="I93" i="17"/>
  <c r="H93" i="17"/>
  <c r="J92" i="17"/>
  <c r="I92" i="17"/>
  <c r="H92" i="17"/>
  <c r="J91" i="17"/>
  <c r="I91" i="17"/>
  <c r="H91" i="17"/>
  <c r="J90" i="17"/>
  <c r="I90" i="17"/>
  <c r="H90" i="17"/>
  <c r="J89" i="17"/>
  <c r="I89" i="17"/>
  <c r="H89" i="17"/>
  <c r="J88" i="17"/>
  <c r="I88" i="17"/>
  <c r="H88" i="17"/>
  <c r="J87" i="17"/>
  <c r="I87" i="17"/>
  <c r="H87" i="17"/>
  <c r="J86" i="17"/>
  <c r="I86" i="17"/>
  <c r="H86" i="17"/>
  <c r="J85" i="17"/>
  <c r="I85" i="17"/>
  <c r="H85" i="17"/>
  <c r="J84" i="17"/>
  <c r="I84" i="17"/>
  <c r="H84" i="17"/>
  <c r="J83" i="17"/>
  <c r="I83" i="17"/>
  <c r="H83" i="17"/>
  <c r="J82" i="17"/>
  <c r="I82" i="17"/>
  <c r="H82" i="17"/>
  <c r="J81" i="17"/>
  <c r="I81" i="17"/>
  <c r="H81" i="17"/>
  <c r="J80" i="17"/>
  <c r="I80" i="17"/>
  <c r="H80" i="17"/>
  <c r="J79" i="17"/>
  <c r="I79" i="17"/>
  <c r="H79" i="17"/>
  <c r="J78" i="17"/>
  <c r="I78" i="17"/>
  <c r="H78" i="17"/>
  <c r="J77" i="17"/>
  <c r="I77" i="17"/>
  <c r="H77" i="17"/>
  <c r="J75" i="17"/>
  <c r="I75" i="17"/>
  <c r="H75" i="17"/>
  <c r="J74" i="17"/>
  <c r="I74" i="17"/>
  <c r="H74" i="17"/>
  <c r="J73" i="17"/>
  <c r="I73" i="17"/>
  <c r="H73" i="17"/>
  <c r="J72" i="17"/>
  <c r="I72" i="17"/>
  <c r="H72" i="17"/>
  <c r="J71" i="17"/>
  <c r="I71" i="17"/>
  <c r="H71" i="17"/>
  <c r="J70" i="17"/>
  <c r="I70" i="17"/>
  <c r="H70" i="17"/>
  <c r="J69" i="17"/>
  <c r="I69" i="17"/>
  <c r="H69" i="17"/>
  <c r="J68" i="17"/>
  <c r="I68" i="17"/>
  <c r="H68" i="17"/>
  <c r="J67" i="17"/>
  <c r="I67" i="17"/>
  <c r="H67" i="17"/>
  <c r="J66" i="17"/>
  <c r="I66" i="17"/>
  <c r="H66" i="17"/>
  <c r="J65" i="17"/>
  <c r="I65" i="17"/>
  <c r="H65" i="17"/>
  <c r="J64" i="17"/>
  <c r="I64" i="17"/>
  <c r="H64" i="17"/>
  <c r="J63" i="17"/>
  <c r="I63" i="17"/>
  <c r="H63" i="17"/>
  <c r="J62" i="17"/>
  <c r="I62" i="17"/>
  <c r="H62" i="17"/>
  <c r="J61" i="17"/>
  <c r="I61" i="17"/>
  <c r="H61" i="17"/>
  <c r="J60" i="17"/>
  <c r="I60" i="17"/>
  <c r="H60" i="17"/>
  <c r="J59" i="17"/>
  <c r="I59" i="17"/>
  <c r="H59" i="17"/>
  <c r="J58" i="17"/>
  <c r="I58" i="17"/>
  <c r="H58" i="17"/>
  <c r="J57" i="17"/>
  <c r="I57" i="17"/>
  <c r="H57" i="17"/>
  <c r="J56" i="17"/>
  <c r="I56" i="17"/>
  <c r="H56" i="17"/>
  <c r="J55" i="17"/>
  <c r="I55" i="17"/>
  <c r="H55" i="17"/>
  <c r="J54" i="17"/>
  <c r="I54" i="17"/>
  <c r="H54" i="17"/>
  <c r="J53" i="17"/>
  <c r="I53" i="17"/>
  <c r="H53" i="17"/>
  <c r="J52" i="17"/>
  <c r="I52" i="17"/>
  <c r="H52" i="17"/>
  <c r="J51" i="17"/>
  <c r="I51" i="17"/>
  <c r="H51" i="17"/>
  <c r="J50" i="17"/>
  <c r="I50" i="17"/>
  <c r="H50" i="17"/>
  <c r="J49" i="17"/>
  <c r="I49" i="17"/>
  <c r="H49" i="17"/>
  <c r="J48" i="17"/>
  <c r="I48" i="17"/>
  <c r="H48" i="17"/>
  <c r="J47" i="17"/>
  <c r="I47" i="17"/>
  <c r="H47" i="17"/>
  <c r="J46" i="17"/>
  <c r="I46" i="17"/>
  <c r="H46" i="17"/>
  <c r="J45" i="17"/>
  <c r="I45" i="17"/>
  <c r="H45" i="17"/>
  <c r="J44" i="17"/>
  <c r="I44" i="17"/>
  <c r="H44" i="17"/>
  <c r="J43" i="17"/>
  <c r="I43" i="17"/>
  <c r="H43" i="17"/>
  <c r="J42" i="17"/>
  <c r="I42" i="17"/>
  <c r="H42" i="17"/>
  <c r="J41" i="17"/>
  <c r="I41" i="17"/>
  <c r="H41" i="17"/>
  <c r="J40" i="17"/>
  <c r="I40" i="17"/>
  <c r="H40" i="17"/>
  <c r="J39" i="17"/>
  <c r="I39" i="17"/>
  <c r="H39" i="17"/>
  <c r="J38" i="17"/>
  <c r="I38" i="17"/>
  <c r="H38" i="17"/>
  <c r="J37" i="17"/>
  <c r="I37" i="17"/>
  <c r="H37" i="17"/>
  <c r="J36" i="17"/>
  <c r="I36" i="17"/>
  <c r="H36" i="17"/>
  <c r="J35" i="17"/>
  <c r="I35" i="17"/>
  <c r="H35" i="17"/>
  <c r="J34" i="17"/>
  <c r="I34" i="17"/>
  <c r="H34" i="17"/>
  <c r="J33" i="17"/>
  <c r="I33" i="17"/>
  <c r="H33" i="17"/>
  <c r="J32" i="17"/>
  <c r="I32" i="17"/>
  <c r="H32" i="17"/>
  <c r="J31" i="17"/>
  <c r="I31" i="17"/>
  <c r="H31" i="17"/>
  <c r="J30" i="17"/>
  <c r="I30" i="17"/>
  <c r="H30" i="17"/>
  <c r="J29" i="17"/>
  <c r="I29" i="17"/>
  <c r="H29" i="17"/>
  <c r="J28" i="17"/>
  <c r="I28" i="17"/>
  <c r="H28" i="17"/>
  <c r="J27" i="17"/>
  <c r="I27" i="17"/>
  <c r="H27" i="17"/>
  <c r="J26" i="17"/>
  <c r="I26" i="17"/>
  <c r="H26" i="17"/>
  <c r="J25" i="17"/>
  <c r="I25" i="17"/>
  <c r="H25" i="17"/>
  <c r="J24" i="17"/>
  <c r="I24" i="17"/>
  <c r="H24" i="17"/>
  <c r="J23" i="17"/>
  <c r="I23" i="17"/>
  <c r="H23" i="17"/>
  <c r="J22" i="17"/>
  <c r="I22" i="17"/>
  <c r="H22" i="17"/>
  <c r="J21" i="17"/>
  <c r="I21" i="17"/>
  <c r="H21" i="17"/>
  <c r="J20" i="17"/>
  <c r="I20" i="17"/>
  <c r="H20" i="17"/>
  <c r="J18" i="17"/>
  <c r="I18" i="17"/>
  <c r="H18" i="17"/>
  <c r="J17" i="17"/>
  <c r="I17" i="17"/>
  <c r="H17" i="17"/>
  <c r="J16" i="17"/>
  <c r="I16" i="17"/>
  <c r="H16" i="17"/>
  <c r="J15" i="17"/>
  <c r="I15" i="17"/>
  <c r="H15" i="17"/>
  <c r="J14" i="17"/>
  <c r="I14" i="17"/>
  <c r="H14" i="17"/>
  <c r="J13" i="17"/>
  <c r="I13" i="17"/>
  <c r="H13" i="17"/>
  <c r="B13" i="17"/>
  <c r="I35" i="19"/>
  <c r="H35" i="19"/>
  <c r="I30" i="19"/>
  <c r="H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赖国</author>
  </authors>
  <commentList>
    <comment ref="G30" authorId="0" shapeId="0" xr:uid="{79EDEFFB-2A03-4FFE-96A0-271BD1856C20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价格报错</t>
        </r>
      </text>
    </comment>
    <comment ref="G43" authorId="0" shapeId="0" xr:uid="{7177A94E-24FD-4C92-B078-326758BE8F40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价格报错</t>
        </r>
      </text>
    </comment>
    <comment ref="G53" authorId="0" shapeId="0" xr:uid="{90429534-BAAB-4E09-8FE0-BE765A1326A3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价格要调整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赖国</author>
    <author>22676</author>
  </authors>
  <commentList>
    <comment ref="G125" authorId="0" shapeId="0" xr:uid="{FEAA8E0E-AECA-483D-B204-406983B5CAB8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22676:
25.4.14生益电子&amp;超聚变V7项目降30%；</t>
        </r>
      </text>
    </comment>
    <comment ref="G139" authorId="0" shapeId="0" xr:uid="{D2957E35-4A5D-4916-BA2F-07A78FC611C0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22676:
25.4.14生益电子&amp;超聚变V7项目降30%；</t>
        </r>
      </text>
    </comment>
    <comment ref="G190" authorId="1" shapeId="0" xr:uid="{C60C879C-9D5F-4641-8FB8-0EB190E2C700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25.4.14生益&amp;超聚变V7专案将23%；</t>
        </r>
      </text>
    </comment>
    <comment ref="G191" authorId="1" shapeId="0" xr:uid="{E55A1167-9D38-4F59-9FDE-DC130AE5F709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25.4.14生益&amp;超聚变V7专案将23%；</t>
        </r>
      </text>
    </comment>
    <comment ref="G192" authorId="1" shapeId="0" xr:uid="{CECAF422-C941-471C-855B-B15B0B0A07AB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25.4.14生益&amp;超聚变V7专案将23%；</t>
        </r>
      </text>
    </comment>
    <comment ref="G193" authorId="1" shapeId="0" xr:uid="{B8265DFF-7394-4CE8-AB61-DB43E89AF867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25.4.14生益&amp;超聚变V7项目降17.7%；</t>
        </r>
      </text>
    </comment>
    <comment ref="G194" authorId="1" shapeId="0" xr:uid="{F394E550-B9C5-4FAA-8A5D-5352EBE13290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25.4.14生益&amp;超聚变V7项目降17.7%；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赖国</author>
  </authors>
  <commentList>
    <comment ref="G263" authorId="0" shapeId="0" xr:uid="{B5DB7350-8BDC-4853-B89B-90F1746EB4D3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2025.8.23,曙光项目配合调整-5%；</t>
        </r>
      </text>
    </comment>
    <comment ref="G282" authorId="0" shapeId="0" xr:uid="{3B5D172B-63A8-4FDC-98EE-A7A6250F4CB6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2025.8.23,曙光项目配合调整-5%；</t>
        </r>
      </text>
    </comment>
    <comment ref="G364" authorId="0" shapeId="0" xr:uid="{042750A8-EB1D-4EEB-88E6-D5D4F9FFCA32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2025.8.23,曙光项目配合调整-5%；</t>
        </r>
      </text>
    </comment>
    <comment ref="G365" authorId="0" shapeId="0" xr:uid="{9F1DB268-8C42-470A-8CE2-C75B6748B944}">
      <text>
        <r>
          <rPr>
            <b/>
            <sz val="9"/>
            <rFont val="宋体"/>
            <family val="3"/>
            <charset val="134"/>
          </rPr>
          <t>赖国:</t>
        </r>
        <r>
          <rPr>
            <sz val="9"/>
            <rFont val="宋体"/>
            <family val="3"/>
            <charset val="134"/>
          </rPr>
          <t xml:space="preserve">
2025.8.23,曙光项目配合调整-5%；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赖国</author>
    <author>22676</author>
  </authors>
  <commentList>
    <comment ref="G49" authorId="0" shapeId="0" xr:uid="{ED136116-5902-4CD0-94AE-ADA6AED7F6A1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22676:
22676:
2025.4.24曙光辽河主板专案降5.2%</t>
        </r>
      </text>
    </comment>
    <comment ref="G98" authorId="0" shapeId="0" xr:uid="{59622368-8EAD-4808-BE02-FB7FCF206802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22676:
2025.4.24曙光辽河主板专案降11%</t>
        </r>
      </text>
    </comment>
    <comment ref="G134" authorId="1" shapeId="0" xr:uid="{E6DB9C9C-1CC2-4F4E-8BA3-644E642FCDD1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2025.4.24曙光辽河主板专案降8%
</t>
        </r>
      </text>
    </comment>
    <comment ref="G135" authorId="1" shapeId="0" xr:uid="{F576D4A4-70EC-483C-97E5-38BD2147A431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2025.4.24曙光辽河主板专案降8%
</t>
        </r>
      </text>
    </comment>
    <comment ref="G144" authorId="1" shapeId="0" xr:uid="{D07943F1-D9C2-46C5-8114-351B9C1CB510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2025.4.24曙光辽河主板专案降13%
</t>
        </r>
      </text>
    </comment>
    <comment ref="G153" authorId="1" shapeId="0" xr:uid="{AF456494-2DFC-4DF6-B5F1-E7E1EFC2105D}">
      <text>
        <r>
          <rPr>
            <b/>
            <sz val="9"/>
            <rFont val="宋体"/>
            <family val="3"/>
            <charset val="134"/>
          </rPr>
          <t>22676:</t>
        </r>
        <r>
          <rPr>
            <sz val="9"/>
            <rFont val="宋体"/>
            <family val="3"/>
            <charset val="134"/>
          </rPr>
          <t xml:space="preserve">
2025.4.24曙光辽河主板专案降12%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赖国</author>
  </authors>
  <commentList>
    <comment ref="G41" authorId="0" shapeId="0" xr:uid="{595B768A-C775-41DE-B770-62DA2C0C5834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26.4.20，中兴40282000002项目降价6%配合</t>
        </r>
      </text>
    </comment>
    <comment ref="G59" authorId="0" shapeId="0" xr:uid="{300408C1-C1ED-4499-99EA-5C0F1A8966E7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26.4.20，中兴40282000002项目降价6%配合</t>
        </r>
      </text>
    </comment>
    <comment ref="G89" authorId="0" shapeId="0" xr:uid="{106D8571-5FDB-492F-9376-7A0D9BE79296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26.4.20，中兴40282000002项目降价6%配合</t>
        </r>
      </text>
    </comment>
    <comment ref="G96" authorId="0" shapeId="0" xr:uid="{F1ACDB03-6E84-459A-9B61-AB4F1C1437D5}">
      <text>
        <r>
          <rPr>
            <b/>
            <sz val="9"/>
            <color indexed="81"/>
            <rFont val="宋体"/>
            <family val="3"/>
            <charset val="134"/>
          </rPr>
          <t>赖国:</t>
        </r>
        <r>
          <rPr>
            <sz val="9"/>
            <color indexed="81"/>
            <rFont val="宋体"/>
            <family val="3"/>
            <charset val="134"/>
          </rPr>
          <t xml:space="preserve">
26.4.20，中兴40282000002项目降价6%配合</t>
        </r>
      </text>
    </comment>
  </commentList>
</comments>
</file>

<file path=xl/sharedStrings.xml><?xml version="1.0" encoding="utf-8"?>
<sst xmlns="http://schemas.openxmlformats.org/spreadsheetml/2006/main" count="10278" uniqueCount="324">
  <si>
    <t>南亚新材料科技股份有限公司/南亚新材料科技（江西）有限公司</t>
  </si>
  <si>
    <t>上海公司地址：中国上海嘉定区南翔镇昌翔路158号 TEL：021-59175555</t>
  </si>
  <si>
    <t>江西公司地址：江西省吉安市井冈山经济技术开发区深圳大道226号 TEL：0796-8591555</t>
  </si>
  <si>
    <t>客户名称：</t>
  </si>
  <si>
    <t>生益电子股份有限公司</t>
  </si>
  <si>
    <t>发件人: 赖国</t>
  </si>
  <si>
    <t>吉安生益电子有限公司</t>
  </si>
  <si>
    <t>联系方式：laig@ccl-china.com</t>
  </si>
  <si>
    <t xml:space="preserve">收件人：               </t>
  </si>
  <si>
    <t>供应链管理部 尤欢（东莞）</t>
  </si>
  <si>
    <t xml:space="preserve">供应链管理部 李远涛（吉安）
</t>
  </si>
  <si>
    <t>计价单位：人民币(RMB)含税</t>
  </si>
  <si>
    <t>主题：NY2150(Mid-Tg &amp; Lead Free)覆铜板价格表</t>
  </si>
  <si>
    <t>Type</t>
  </si>
  <si>
    <t>Thickness
(mm)</t>
  </si>
  <si>
    <t>Thickness
(mil)</t>
  </si>
  <si>
    <t>Copper(OZ)</t>
  </si>
  <si>
    <t xml:space="preserve"> copper type</t>
  </si>
  <si>
    <t>Structure</t>
  </si>
  <si>
    <t>Per SF</t>
  </si>
  <si>
    <t>36"X48"</t>
  </si>
  <si>
    <t>40"X48"</t>
  </si>
  <si>
    <t>42"X48"</t>
  </si>
  <si>
    <t>remark</t>
  </si>
  <si>
    <t>NY2150</t>
  </si>
  <si>
    <t>H/H</t>
  </si>
  <si>
    <t>HTE</t>
  </si>
  <si>
    <t>2*7628+1*2116</t>
  </si>
  <si>
    <t>1/1</t>
  </si>
  <si>
    <t>2/2</t>
  </si>
  <si>
    <t>主题：NY2150P (Mid-Tg &amp; Lead Free)半固化片价格表</t>
  </si>
  <si>
    <t>Glass</t>
  </si>
  <si>
    <t>R/C</t>
  </si>
  <si>
    <t>Length(M)</t>
  </si>
  <si>
    <t>Width(inch)</t>
  </si>
  <si>
    <t>Volume area（SF）</t>
  </si>
  <si>
    <t>SF/RMB</t>
  </si>
  <si>
    <t>RMB/ M</t>
  </si>
  <si>
    <t>RMB/ ROLL</t>
  </si>
  <si>
    <t>NY2150P</t>
  </si>
  <si>
    <t>300m</t>
  </si>
  <si>
    <t xml:space="preserve">49.5" </t>
  </si>
  <si>
    <t>2313/3313</t>
  </si>
  <si>
    <t>200m</t>
  </si>
  <si>
    <t>150m</t>
  </si>
  <si>
    <t>说明：以上为基板厚度中值，均为不含铜厚度。</t>
  </si>
  <si>
    <t>1.交易条件：月结T/T 90天，价格均为含13%增值税价格，特殊订单,可另议特别专案价格。</t>
  </si>
  <si>
    <t>2.以上价格为普通HTE铜箔基板价格，如指定使用RTF铜箔则其基板价格须上调5%。</t>
  </si>
  <si>
    <t>3.窄幅尺寸订单（37*43-41*43）价格在单位面积价格的基础上加7%。</t>
  </si>
  <si>
    <t>4.PP为常用规格价格，特别规格价格可另议。</t>
  </si>
  <si>
    <t>5、特殊规格之订单请贵公司100%吸收。</t>
  </si>
  <si>
    <t>7.有效期至上海南亚另行通知为止。</t>
  </si>
  <si>
    <t>客户回签：</t>
  </si>
  <si>
    <t>公司审核：</t>
  </si>
  <si>
    <t>主题：NY2170H(High-Tg &amp; Lead Free)覆铜板价格表</t>
  </si>
  <si>
    <t>NY2170H</t>
  </si>
  <si>
    <t>3/3</t>
  </si>
  <si>
    <t>主题：NY2170HP (High-Tg &amp; Lead Free)半固化片价格表</t>
  </si>
  <si>
    <t>NY2170HP</t>
  </si>
  <si>
    <t xml:space="preserve">49.6" </t>
  </si>
  <si>
    <t>主题：NY2170(High-Tg &amp; Lead Free)覆铜板价格表</t>
  </si>
  <si>
    <t>NY2170</t>
  </si>
  <si>
    <t>主题：NY2170P (High-Tg &amp; Lead Free)半固化片价格表</t>
  </si>
  <si>
    <t>NY2170P</t>
  </si>
  <si>
    <t>2/2</t>
    <phoneticPr fontId="18" type="noConversion"/>
  </si>
  <si>
    <t>1/1</t>
    <phoneticPr fontId="18" type="noConversion"/>
  </si>
  <si>
    <t>NY2170P</t>
    <phoneticPr fontId="18" type="noConversion"/>
  </si>
  <si>
    <t>H/H</t>
    <phoneticPr fontId="18" type="noConversion"/>
  </si>
  <si>
    <t>1/2</t>
    <phoneticPr fontId="18" type="noConversion"/>
  </si>
  <si>
    <t>NY2150P</t>
    <phoneticPr fontId="18" type="noConversion"/>
  </si>
  <si>
    <t>RTF</t>
    <phoneticPr fontId="18" type="noConversion"/>
  </si>
  <si>
    <t>NY2170HP</t>
    <phoneticPr fontId="18" type="noConversion"/>
  </si>
  <si>
    <t>37*43</t>
  </si>
  <si>
    <t>24.5*49</t>
    <phoneticPr fontId="18" type="noConversion"/>
  </si>
  <si>
    <t>27.2*49</t>
    <phoneticPr fontId="18" type="noConversion"/>
  </si>
  <si>
    <t>28.5*49</t>
    <phoneticPr fontId="18" type="noConversion"/>
  </si>
  <si>
    <t>NY2170</t>
    <phoneticPr fontId="18" type="noConversion"/>
  </si>
  <si>
    <t>NY2170H</t>
    <phoneticPr fontId="18" type="noConversion"/>
  </si>
  <si>
    <t>6.不对称铜箔组合1/HOZ与1/1OZ同价，HOZ/2OZ与1OZ/2OZ价格同价，其他不对称铜箔组合价格单独报价；</t>
    <phoneticPr fontId="18" type="noConversion"/>
  </si>
  <si>
    <t>NY2150</t>
    <phoneticPr fontId="18" type="noConversion"/>
  </si>
  <si>
    <t>生效日期：2026/7/6下单生效</t>
    <phoneticPr fontId="18" type="noConversion"/>
  </si>
  <si>
    <t>1X1080</t>
  </si>
  <si>
    <t>2X0106</t>
  </si>
  <si>
    <t>1X3313</t>
  </si>
  <si>
    <t>1X2116</t>
  </si>
  <si>
    <t>2X1067</t>
  </si>
  <si>
    <t>2X1080</t>
  </si>
  <si>
    <t>2X3313</t>
  </si>
  <si>
    <t>6X2116</t>
  </si>
  <si>
    <t>2X2116</t>
  </si>
  <si>
    <t>3X2116</t>
  </si>
  <si>
    <t>5X2116</t>
  </si>
  <si>
    <t>1X2313</t>
  </si>
  <si>
    <t>1X1506</t>
  </si>
  <si>
    <t>3X7628</t>
  </si>
  <si>
    <t>2X2313</t>
  </si>
  <si>
    <t>5X7628</t>
  </si>
  <si>
    <t>2X106</t>
  </si>
  <si>
    <t>1X7628</t>
  </si>
  <si>
    <t>2X1506</t>
  </si>
  <si>
    <t>2X7628</t>
  </si>
  <si>
    <t>4X7628</t>
  </si>
  <si>
    <t>6X7628</t>
  </si>
  <si>
    <t>8X7628</t>
  </si>
  <si>
    <t>7X7628</t>
  </si>
  <si>
    <t>9X7628</t>
  </si>
  <si>
    <t>2X1080+1X7628</t>
  </si>
  <si>
    <t>2X7628+1X1080</t>
  </si>
  <si>
    <t>2X7628+1X2116</t>
  </si>
  <si>
    <t>2X2116+2X7628</t>
  </si>
  <si>
    <t> 4X7628+1X1080</t>
  </si>
  <si>
    <t>4X7628+1X2116</t>
  </si>
  <si>
    <t>10X7628</t>
  </si>
  <si>
    <t>14X7628</t>
  </si>
  <si>
    <t>主题：NY3170M(Mid-loss &amp; Halogen Free)覆铜板价格表</t>
  </si>
  <si>
    <t>NY3170M</t>
  </si>
  <si>
    <t>HVLP</t>
    <phoneticPr fontId="18" type="noConversion"/>
  </si>
  <si>
    <t>2X1078</t>
  </si>
  <si>
    <t>NY3170M</t>
    <phoneticPr fontId="18" type="noConversion"/>
  </si>
  <si>
    <t>RTF2</t>
    <phoneticPr fontId="18" type="noConversion"/>
  </si>
  <si>
    <t>1X0106</t>
  </si>
  <si>
    <t>1X1067</t>
  </si>
  <si>
    <t>1X1078</t>
  </si>
  <si>
    <t>1X1086</t>
  </si>
  <si>
    <t>1X2313/3313</t>
  </si>
  <si>
    <t>2X1086</t>
  </si>
  <si>
    <t>2X2313/3313</t>
  </si>
  <si>
    <t>3X1080</t>
  </si>
  <si>
    <t>3X2313/3313</t>
  </si>
  <si>
    <t>4X2116</t>
  </si>
  <si>
    <t>2X7628+2X2116</t>
  </si>
  <si>
    <t>7X2116</t>
  </si>
  <si>
    <t>8X2116</t>
  </si>
  <si>
    <t>9X2116</t>
  </si>
  <si>
    <t>10X2116</t>
  </si>
  <si>
    <t>12X2116</t>
  </si>
  <si>
    <t>11X7628</t>
  </si>
  <si>
    <t>RTF</t>
  </si>
  <si>
    <t>1/2</t>
  </si>
  <si>
    <t>RTF2/RTF</t>
    <phoneticPr fontId="18" type="noConversion"/>
  </si>
  <si>
    <t>2X1027</t>
  </si>
  <si>
    <t>主题：NY3170MP(Mid-loss &amp; Halogen Free)半固化片价格表</t>
  </si>
  <si>
    <t>NY3170MP</t>
  </si>
  <si>
    <t>NY3170MP</t>
    <phoneticPr fontId="18" type="noConversion"/>
  </si>
  <si>
    <t>2.以上价格为RTF铜箔基板价格，若使用RTF2铜箔，按照SF面积加价：HOZ单面增加0.56元，双面增加1.12元，</t>
    <phoneticPr fontId="18" type="noConversion"/>
  </si>
  <si>
    <t>1OZ单面增加0.84元，双面增加1.68元；</t>
    <phoneticPr fontId="18" type="noConversion"/>
  </si>
  <si>
    <t>5.特殊规格之订单请贵公司100%吸收。</t>
  </si>
  <si>
    <r>
      <t>客户回签：</t>
    </r>
    <r>
      <rPr>
        <sz val="12"/>
        <rFont val="Arial"/>
        <family val="2"/>
      </rPr>
      <t>____________________</t>
    </r>
  </si>
  <si>
    <r>
      <t>公司审核：</t>
    </r>
    <r>
      <rPr>
        <sz val="12"/>
        <rFont val="Arial"/>
        <family val="2"/>
      </rPr>
      <t>___________________</t>
    </r>
  </si>
  <si>
    <t>主题：NY3170M2(Low Loss &amp; Halogen Free)覆铜板价格表</t>
  </si>
  <si>
    <t>NY3170M2</t>
  </si>
  <si>
    <t>HVLP/RTF</t>
    <phoneticPr fontId="18" type="noConversion"/>
  </si>
  <si>
    <t>RG311</t>
    <phoneticPr fontId="18" type="noConversion"/>
  </si>
  <si>
    <t>NY3170M2</t>
    <phoneticPr fontId="18" type="noConversion"/>
  </si>
  <si>
    <t>RTF2</t>
  </si>
  <si>
    <t>1x2113</t>
  </si>
  <si>
    <t>RTF2/RTF</t>
  </si>
  <si>
    <t>主题：NY3170M2P(  Low loss)半固化片价格表</t>
  </si>
  <si>
    <t>NY3170M2P</t>
  </si>
  <si>
    <t>NY3170M2P</t>
    <phoneticPr fontId="18" type="noConversion"/>
  </si>
  <si>
    <t>49.6"</t>
  </si>
  <si>
    <t>2.以上价格为RTF2铜箔基板价格，若使用RTF/HTE铜箔以RTF2同价；</t>
    <phoneticPr fontId="18" type="noConversion"/>
  </si>
  <si>
    <r>
      <rPr>
        <sz val="12"/>
        <rFont val="宋体"/>
        <family val="3"/>
        <charset val="134"/>
      </rPr>
      <t>客户回签：</t>
    </r>
    <r>
      <rPr>
        <sz val="12"/>
        <rFont val="Arial"/>
        <family val="2"/>
      </rPr>
      <t>___________________</t>
    </r>
  </si>
  <si>
    <t>主题：NY3170LK(Low Loss &amp; Halogen Free)覆铜板价格表</t>
  </si>
  <si>
    <t>NY3170LK</t>
    <phoneticPr fontId="18" type="noConversion"/>
  </si>
  <si>
    <t>NY3170LK</t>
  </si>
  <si>
    <t>2X1035</t>
  </si>
  <si>
    <t>3X3313</t>
  </si>
  <si>
    <t>5X2313</t>
  </si>
  <si>
    <t>5X3313</t>
  </si>
  <si>
    <t>主题：NY3170LK(  Low loss &amp; Halogen Free)半固化片价格表</t>
  </si>
  <si>
    <t>2.以上价格为RTF铜箔基板价格，若使用RTF2铜箔，按照SF面积加价：HOZ单面增加0.6元，</t>
    <phoneticPr fontId="18" type="noConversion"/>
  </si>
  <si>
    <t>1OZ单面增加0.9元，双面增加1.8元；</t>
  </si>
  <si>
    <t>供应链管理部 刘志乐（东莞）</t>
  </si>
  <si>
    <t xml:space="preserve">供应链管理部 陈诚（吉安）
</t>
  </si>
  <si>
    <t>生效日期：2026/7/6下单生效）</t>
    <phoneticPr fontId="18" type="noConversion"/>
  </si>
  <si>
    <t>主题：NY6180L(Low Loss)覆铜板价格表</t>
  </si>
  <si>
    <r>
      <rPr>
        <sz val="10"/>
        <rFont val="楷体"/>
        <family val="3"/>
        <charset val="134"/>
      </rPr>
      <t>Type</t>
    </r>
  </si>
  <si>
    <r>
      <rPr>
        <sz val="10"/>
        <rFont val="楷体"/>
        <family val="3"/>
        <charset val="134"/>
      </rPr>
      <t>Copper(OZ)</t>
    </r>
  </si>
  <si>
    <r>
      <rPr>
        <sz val="10"/>
        <rFont val="楷体"/>
        <family val="3"/>
        <charset val="134"/>
      </rPr>
      <t>Per SF</t>
    </r>
  </si>
  <si>
    <r>
      <rPr>
        <sz val="10"/>
        <rFont val="楷体"/>
        <family val="3"/>
        <charset val="134"/>
      </rPr>
      <t>36"X48"</t>
    </r>
  </si>
  <si>
    <r>
      <rPr>
        <sz val="10"/>
        <rFont val="楷体"/>
        <family val="3"/>
        <charset val="134"/>
      </rPr>
      <t>42"X48"</t>
    </r>
  </si>
  <si>
    <t>NY6180L</t>
    <phoneticPr fontId="18" type="noConversion"/>
  </si>
  <si>
    <t>2X1037</t>
  </si>
  <si>
    <t>NY6180L</t>
  </si>
  <si>
    <t>2*1086</t>
  </si>
  <si>
    <t>8X1080</t>
  </si>
  <si>
    <t>8X1086</t>
  </si>
  <si>
    <t>主题：NY6180LP (Low Loss)半固化片价格表</t>
  </si>
  <si>
    <r>
      <rPr>
        <sz val="9"/>
        <rFont val="楷体"/>
        <family val="3"/>
        <charset val="134"/>
      </rPr>
      <t>Type</t>
    </r>
  </si>
  <si>
    <r>
      <rPr>
        <sz val="9"/>
        <rFont val="楷体"/>
        <family val="3"/>
        <charset val="134"/>
      </rPr>
      <t>R/C</t>
    </r>
  </si>
  <si>
    <t>NY6180LP</t>
  </si>
  <si>
    <t>NY6180LP</t>
    <phoneticPr fontId="18" type="noConversion"/>
  </si>
  <si>
    <r>
      <rPr>
        <sz val="12"/>
        <rFont val="宋体"/>
        <family val="3"/>
        <charset val="134"/>
      </rPr>
      <t>公司审核：</t>
    </r>
    <r>
      <rPr>
        <sz val="12"/>
        <rFont val="Arial"/>
        <family val="2"/>
      </rPr>
      <t>__________________</t>
    </r>
  </si>
  <si>
    <t>主题：NY6180(Low Loss)覆铜板价格表</t>
  </si>
  <si>
    <t>NY6180</t>
  </si>
  <si>
    <t>NY6180</t>
    <phoneticPr fontId="18" type="noConversion"/>
  </si>
  <si>
    <t>主题：NY6180P (Low Loss)半固化片价格表</t>
  </si>
  <si>
    <t>NY6180P</t>
  </si>
  <si>
    <t>2.以上价格为RTF铜箔基板价格，若使用其他铜箔另行报价；</t>
  </si>
  <si>
    <r>
      <t>客户回签：</t>
    </r>
    <r>
      <rPr>
        <sz val="12"/>
        <rFont val="Arial"/>
        <family val="2"/>
      </rPr>
      <t>________________</t>
    </r>
    <phoneticPr fontId="18" type="noConversion"/>
  </si>
  <si>
    <t>主题：NY6200(Low Loss)覆铜板价格表</t>
  </si>
  <si>
    <t>NY6200</t>
  </si>
  <si>
    <t>NY6200</t>
    <phoneticPr fontId="18" type="noConversion"/>
  </si>
  <si>
    <t>主题：NY6200 (Low Loss)半固化片价格表</t>
  </si>
  <si>
    <t>NY6200P</t>
  </si>
  <si>
    <t>NY6200P</t>
    <phoneticPr fontId="18" type="noConversion"/>
  </si>
  <si>
    <t>2.以上价格为RTF铜箔基板价格，如使用HTE铜箔与RTF同价；</t>
    <phoneticPr fontId="18" type="noConversion"/>
  </si>
  <si>
    <t>3.若使用RTF2铜箔，按照SF面积加价：HOZ单面增加0.56元，双面增加1.12元，1OZ单面增加0.84元，双面增加1.68元；</t>
    <phoneticPr fontId="18" type="noConversion"/>
  </si>
  <si>
    <t>窄幅尺寸订单（37*43-41*43）价格在单位面积价格的基础上加7%。</t>
    <phoneticPr fontId="18" type="noConversion"/>
  </si>
  <si>
    <t>6.PP为常用规格价格，特别规格价格可另议。</t>
  </si>
  <si>
    <t>7、特殊规格之订单请贵公司100%吸收。</t>
  </si>
  <si>
    <t>8.不对称铜箔组合1/HOZ与1/1OZ同价，HOZ/2OZ与1OZ/2OZ价格同价，其他不对称铜箔组合价格单独报价；</t>
    <phoneticPr fontId="18" type="noConversion"/>
  </si>
  <si>
    <t>9.有效期至上海南亚另行通知为止。</t>
  </si>
  <si>
    <t>主题：NY6300(C)(Very Low Loss)覆铜板价格表</t>
  </si>
  <si>
    <t>NY6300(C)</t>
    <phoneticPr fontId="18" type="noConversion"/>
  </si>
  <si>
    <t xml:space="preserve"> HVLP1</t>
  </si>
  <si>
    <t>1X1035</t>
  </si>
  <si>
    <t>NY6300(C)</t>
  </si>
  <si>
    <t>4X3313</t>
  </si>
  <si>
    <t>HVLP1/RTF</t>
  </si>
  <si>
    <t>主题：NY6300P(C) (Very Low Loss)半固化片价格表</t>
  </si>
  <si>
    <t>NY6300(C)P</t>
  </si>
  <si>
    <t>2.以上价格为HVLP（HS1-M2-VSP）铜箔基板价格，如指定使用铜箔型号其价格须另议。</t>
    <phoneticPr fontId="18" type="noConversion"/>
  </si>
  <si>
    <t>3.使用RTF2铜箔时，在HVLP铜箔的基础上HOZ单面减0.75元/SF,HOZ双面减1.5元/SF；</t>
    <phoneticPr fontId="18" type="noConversion"/>
  </si>
  <si>
    <t>1OZ单面减1.13元/SF，双面减2.26元/SF。</t>
  </si>
  <si>
    <t>4.使用RTF3铜箔时，在HVLP铜箔的基础上HOZ单面减0.37元/SF,HOZ双面减0.74元/SF；</t>
  </si>
  <si>
    <t>1OZ单面减0.565元/SF，双面减1.13元/SF。</t>
  </si>
  <si>
    <t>5.PP为常用规格价格，特别规格价格可另议。</t>
  </si>
  <si>
    <t>6、特殊规格之订单请贵公司100%吸收。</t>
  </si>
  <si>
    <t>7.不对称铜箔组合1/HOZ与1/1OZ同价，HOZ/2OZ与1OZ/2OZ价格同价，其他不对称铜箔组合价格单独报价；</t>
    <phoneticPr fontId="18" type="noConversion"/>
  </si>
  <si>
    <t>8.有效期至上海南亚另行通知为止。</t>
  </si>
  <si>
    <t>主题：NY6300(Very Low Loss)覆铜板价格表</t>
  </si>
  <si>
    <t>NY6300</t>
  </si>
  <si>
    <t xml:space="preserve">HVLP（HS1） </t>
  </si>
  <si>
    <t>NY6300</t>
    <phoneticPr fontId="18" type="noConversion"/>
  </si>
  <si>
    <t>HVLP（HS1） /RTF</t>
  </si>
  <si>
    <t>主题：NY6300P (Very Low Loss)半固化片价格表</t>
  </si>
  <si>
    <t>NY6300P</t>
  </si>
  <si>
    <t>主题：NY6300S(Very Low Loss)覆铜板价格表</t>
  </si>
  <si>
    <t>NY6300S</t>
  </si>
  <si>
    <t>HVLP1</t>
    <phoneticPr fontId="18" type="noConversion"/>
  </si>
  <si>
    <t>NY6300S</t>
    <phoneticPr fontId="18" type="noConversion"/>
  </si>
  <si>
    <t>RTF4</t>
    <phoneticPr fontId="18" type="noConversion"/>
  </si>
  <si>
    <t>RTF3</t>
  </si>
  <si>
    <t>RTF3/RTF</t>
    <phoneticPr fontId="18" type="noConversion"/>
  </si>
  <si>
    <t>1*106</t>
  </si>
  <si>
    <t>主题：NY6300SP (Very Low Loss)半固化片价格表</t>
  </si>
  <si>
    <t>NY6300SP</t>
  </si>
  <si>
    <t>NY6300SP</t>
    <phoneticPr fontId="18" type="noConversion"/>
  </si>
  <si>
    <t>3.使用RTF3铜箔时，在RTF2铜箔的基础上HOZ单面加0.4元/SF,HOZ双面加0.8元/SF；</t>
    <phoneticPr fontId="18" type="noConversion"/>
  </si>
  <si>
    <t>1OZ单面加0.65元/SF，双面加1.3元/SF。</t>
    <phoneticPr fontId="18" type="noConversion"/>
  </si>
  <si>
    <t>4.使用RTF4铜箔时，在RTF2铜箔的基础上HOZ单面加0.94元/SF,HOZ双面加1.88元/SF；</t>
    <phoneticPr fontId="18" type="noConversion"/>
  </si>
  <si>
    <t>1OZ单面加1.5元/SF，双面加3元/SF。</t>
    <phoneticPr fontId="18" type="noConversion"/>
  </si>
  <si>
    <t>5.使用HVLP1铜箔时，在RTF2铜箔的基础上HOZ单面加1.1元/SF,HOZ双面加2.2元/SF；</t>
    <phoneticPr fontId="18" type="noConversion"/>
  </si>
  <si>
    <t>1OZ单面加1.8元/SF，双面加3.6元/SF。</t>
    <phoneticPr fontId="18" type="noConversion"/>
  </si>
  <si>
    <t>生效日期：2026/7/6（下单生效）</t>
    <phoneticPr fontId="18" type="noConversion"/>
  </si>
  <si>
    <t>主题：NY6300SN ( Ultra Low loss)覆铜板价格表</t>
  </si>
  <si>
    <t>24.5*49</t>
  </si>
  <si>
    <t>27.2*49</t>
  </si>
  <si>
    <t>28.5*49</t>
  </si>
  <si>
    <t>NY6300SN</t>
  </si>
  <si>
    <t>RTF4</t>
  </si>
  <si>
    <t>NY6300SN</t>
    <phoneticPr fontId="18" type="noConversion"/>
  </si>
  <si>
    <t>RTF3</t>
    <phoneticPr fontId="18" type="noConversion"/>
  </si>
  <si>
    <t>RG311</t>
  </si>
  <si>
    <t>RTF4/RTF</t>
  </si>
  <si>
    <t>主题：NY6300SNP( Ultra Low loss)半固化片价格表</t>
  </si>
  <si>
    <t>NY6300SNP</t>
  </si>
  <si>
    <r>
      <t>客户回签：</t>
    </r>
    <r>
      <rPr>
        <sz val="12"/>
        <rFont val="Arial"/>
        <family val="2"/>
      </rPr>
      <t>_____________</t>
    </r>
    <phoneticPr fontId="18" type="noConversion"/>
  </si>
  <si>
    <r>
      <rPr>
        <sz val="12"/>
        <rFont val="宋体"/>
        <family val="3"/>
        <charset val="134"/>
      </rPr>
      <t>公司审核：</t>
    </r>
    <r>
      <rPr>
        <sz val="12"/>
        <rFont val="Arial"/>
        <family val="2"/>
      </rPr>
      <t>___________________</t>
    </r>
  </si>
  <si>
    <t>主题：NY-P1( Ultra Low loss)覆铜板价格表</t>
  </si>
  <si>
    <t>NY-P1</t>
    <phoneticPr fontId="18" type="noConversion"/>
  </si>
  <si>
    <t>HVLP2</t>
  </si>
  <si>
    <t>1*1035</t>
  </si>
  <si>
    <t>NY-P1</t>
  </si>
  <si>
    <t>1*1078</t>
  </si>
  <si>
    <t>2*0106</t>
  </si>
  <si>
    <t>1*3313</t>
  </si>
  <si>
    <t>2*1035</t>
  </si>
  <si>
    <t>1*2116</t>
  </si>
  <si>
    <t>2*1078</t>
  </si>
  <si>
    <t>2*1080</t>
  </si>
  <si>
    <t>2*3313</t>
  </si>
  <si>
    <t>2*2116</t>
  </si>
  <si>
    <t>3*3313</t>
  </si>
  <si>
    <t>4*3313</t>
  </si>
  <si>
    <t>5*2116</t>
  </si>
  <si>
    <t>6*2116</t>
  </si>
  <si>
    <t>7*2116</t>
  </si>
  <si>
    <t>HVLP2/RTF</t>
  </si>
  <si>
    <t>主题：NY-P1P( Ultra Low loss)半固化片价格表</t>
  </si>
  <si>
    <t>NY-P1P</t>
  </si>
  <si>
    <t>2.以上价格为HVLP2铜箔基板价格，如指定使用铜箔型号其价格须另议。</t>
  </si>
  <si>
    <t>3.不对称铜箔组合1/HOZ与1/1OZ同价，HOZ/2OZ与1OZ/2OZ价格同价，其他不对称铜箔组合价格单独报价；</t>
    <phoneticPr fontId="18" type="noConversion"/>
  </si>
  <si>
    <t>6.有效期至上海南亚另行通知为止。</t>
  </si>
  <si>
    <t>7、NY-P1与NY-P1C同价；</t>
    <phoneticPr fontId="18" type="noConversion"/>
  </si>
  <si>
    <r>
      <t>客户回签：</t>
    </r>
    <r>
      <rPr>
        <sz val="12"/>
        <rFont val="Arial"/>
        <family val="2"/>
      </rPr>
      <t>_______________</t>
    </r>
    <phoneticPr fontId="18" type="noConversion"/>
  </si>
  <si>
    <r>
      <t>公司审核：</t>
    </r>
    <r>
      <rPr>
        <sz val="12"/>
        <rFont val="Arial"/>
        <family val="2"/>
      </rPr>
      <t>___________</t>
    </r>
    <phoneticPr fontId="18" type="noConversion"/>
  </si>
  <si>
    <t>主题：NY-P2( Ultra Low loss)覆铜板价格表</t>
  </si>
  <si>
    <t>NY-P2</t>
    <phoneticPr fontId="18" type="noConversion"/>
  </si>
  <si>
    <t>HVLP3 (HF3-TG-VSPA)</t>
  </si>
  <si>
    <t>8*2116</t>
  </si>
  <si>
    <t>1*1078</t>
    <phoneticPr fontId="18" type="noConversion"/>
  </si>
  <si>
    <t>1*3313</t>
    <phoneticPr fontId="18" type="noConversion"/>
  </si>
  <si>
    <t>2*1078</t>
    <phoneticPr fontId="18" type="noConversion"/>
  </si>
  <si>
    <t>主题：NY-P2P( Ultra Low loss)半固化片价格表</t>
  </si>
  <si>
    <t>NY-P2P</t>
  </si>
  <si>
    <t>200M</t>
  </si>
  <si>
    <t>7、NY-P2与NY-P2C同价；</t>
    <phoneticPr fontId="18" type="noConversion"/>
  </si>
  <si>
    <r>
      <t>客户回签：</t>
    </r>
    <r>
      <rPr>
        <sz val="12"/>
        <rFont val="Arial"/>
        <family val="2"/>
      </rPr>
      <t>_______________</t>
    </r>
    <phoneticPr fontId="50" type="noConversion"/>
  </si>
  <si>
    <r>
      <t>公司审核：</t>
    </r>
    <r>
      <rPr>
        <sz val="12"/>
        <rFont val="Arial"/>
        <family val="2"/>
      </rPr>
      <t>___________________</t>
    </r>
    <phoneticPr fontId="50" type="noConversion"/>
  </si>
  <si>
    <t>主题：NY-P3( Ultra Low loss)覆铜板价格表</t>
  </si>
  <si>
    <t>NY-P3</t>
  </si>
  <si>
    <t>2*1037</t>
  </si>
  <si>
    <t>3*2116</t>
  </si>
  <si>
    <t>4*2116</t>
  </si>
  <si>
    <t>2*1067</t>
  </si>
  <si>
    <t>2*2116</t>
    <phoneticPr fontId="18" type="noConversion"/>
  </si>
  <si>
    <t>主题：NY-P3P( Ultra Low loss)半固化片价格表</t>
  </si>
  <si>
    <t>NY-P3P</t>
  </si>
  <si>
    <t>7.NY-P2与NY-P2C同价；</t>
    <phoneticPr fontId="18" type="noConversion"/>
  </si>
  <si>
    <r>
      <t>客户回签：</t>
    </r>
    <r>
      <rPr>
        <sz val="12"/>
        <rFont val="Arial"/>
        <family val="2"/>
      </rPr>
      <t>________________</t>
    </r>
    <phoneticPr fontId="50" type="noConversion"/>
  </si>
  <si>
    <r>
      <rPr>
        <sz val="12"/>
        <rFont val="宋体"/>
        <family val="3"/>
        <charset val="134"/>
      </rPr>
      <t>公司审核：</t>
    </r>
    <r>
      <rPr>
        <sz val="12"/>
        <rFont val="Arial"/>
        <family val="2"/>
      </rPr>
      <t>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</si>
</sst>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00"/>
    <numFmt numFmtId="177" formatCode="0.0_ "/>
    <numFmt numFmtId="178" formatCode="0.00_ "/>
    <numFmt numFmtId="179" formatCode="0.0000_ "/>
    <numFmt numFmtId="180" formatCode="0.00_);[Red]\(0.00\)"/>
    <numFmt numFmtId="181" formatCode="0.000_ "/>
    <numFmt numFmtId="182" formatCode="0.0"/>
    <numFmt numFmtId="183" formatCode="0.0_);[Red]\(0.0\)"/>
    <numFmt numFmtId="184" formatCode="0.000_);[Red]\(0.000\)"/>
    <numFmt numFmtId="185" formatCode="0.0000"/>
    <numFmt numFmtId="186" formatCode="0.0%"/>
    <numFmt numFmtId="187" formatCode="0_ "/>
    <numFmt numFmtId="188" formatCode="0_);[Red]\(0\)"/>
    <numFmt numFmtId="189" formatCode="0.0000_);[Red]\(0.0000\)"/>
  </numFmts>
  <fonts count="51">
    <font>
      <sz val="11"/>
      <color rgb="FF000000"/>
      <name val="Arial"/>
      <charset val="204"/>
    </font>
    <font>
      <sz val="11"/>
      <name val="Arial"/>
      <family val="2"/>
    </font>
    <font>
      <sz val="11"/>
      <name val="Arial"/>
      <family val="2"/>
    </font>
    <font>
      <b/>
      <sz val="14"/>
      <name val="楷体"/>
      <family val="3"/>
      <charset val="134"/>
    </font>
    <font>
      <sz val="10"/>
      <name val="楷体"/>
      <family val="3"/>
      <charset val="134"/>
    </font>
    <font>
      <sz val="9"/>
      <name val="SimSun"/>
      <charset val="134"/>
    </font>
    <font>
      <sz val="11"/>
      <name val="楷体"/>
      <family val="3"/>
      <charset val="134"/>
    </font>
    <font>
      <sz val="9"/>
      <name val="楷体"/>
      <family val="3"/>
      <charset val="134"/>
    </font>
    <font>
      <b/>
      <sz val="18"/>
      <name val="楷体"/>
      <family val="3"/>
      <charset val="134"/>
    </font>
    <font>
      <sz val="12"/>
      <name val="楷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1"/>
      <name val="宋体"/>
      <family val="3"/>
      <charset val="134"/>
      <scheme val="minor"/>
    </font>
    <font>
      <sz val="9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2"/>
      <color theme="1"/>
      <name val="宋体"/>
      <family val="3"/>
      <charset val="134"/>
      <scheme val="minor"/>
    </font>
    <font>
      <sz val="12"/>
      <name val="新細明體"/>
      <charset val="136"/>
    </font>
    <font>
      <sz val="9"/>
      <name val="宋体"/>
      <family val="3"/>
      <charset val="134"/>
    </font>
    <font>
      <sz val="9"/>
      <color rgb="FF000000"/>
      <name val="楷体"/>
      <family val="3"/>
      <charset val="134"/>
    </font>
    <font>
      <b/>
      <sz val="16"/>
      <name val="楷体"/>
      <family val="3"/>
      <charset val="134"/>
    </font>
    <font>
      <sz val="8"/>
      <name val="楷体"/>
      <family val="3"/>
      <charset val="134"/>
    </font>
    <font>
      <sz val="10"/>
      <color rgb="FFFF0000"/>
      <name val="楷体"/>
      <family val="3"/>
      <charset val="134"/>
    </font>
    <font>
      <b/>
      <sz val="9"/>
      <name val="SimSun"/>
      <charset val="134"/>
    </font>
    <font>
      <sz val="9"/>
      <color theme="8"/>
      <name val="楷体"/>
      <family val="3"/>
      <charset val="134"/>
    </font>
    <font>
      <b/>
      <sz val="14"/>
      <color rgb="FF000000"/>
      <name val="楷体"/>
      <family val="3"/>
      <charset val="134"/>
    </font>
    <font>
      <sz val="10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sz val="9"/>
      <color theme="1"/>
      <name val="楷体"/>
      <family val="3"/>
      <charset val="134"/>
    </font>
    <font>
      <b/>
      <sz val="18"/>
      <color rgb="FF000000"/>
      <name val="楷体"/>
      <family val="3"/>
      <charset val="134"/>
    </font>
    <font>
      <sz val="10"/>
      <color rgb="FF000000"/>
      <name val="楷体"/>
      <family val="3"/>
      <charset val="134"/>
    </font>
    <font>
      <sz val="11"/>
      <color rgb="FF000000"/>
      <name val="Arial"/>
      <family val="2"/>
      <charset val="204"/>
    </font>
    <font>
      <sz val="9"/>
      <color rgb="FF000000"/>
      <name val="Arial"/>
      <family val="2"/>
    </font>
    <font>
      <sz val="10"/>
      <color indexed="8"/>
      <name val="楷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Arial"/>
      <family val="2"/>
    </font>
    <font>
      <b/>
      <sz val="14"/>
      <color theme="1"/>
      <name val="楷体"/>
      <family val="3"/>
      <charset val="134"/>
    </font>
    <font>
      <sz val="9"/>
      <color theme="1"/>
      <name val="SimSun"/>
      <charset val="134"/>
    </font>
    <font>
      <b/>
      <sz val="18"/>
      <color theme="1"/>
      <name val="楷体"/>
      <family val="3"/>
      <charset val="134"/>
    </font>
    <font>
      <b/>
      <sz val="16"/>
      <color theme="1"/>
      <name val="楷体"/>
      <family val="3"/>
      <charset val="134"/>
    </font>
    <font>
      <sz val="8"/>
      <color theme="1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  <font>
      <sz val="12"/>
      <color rgb="FFFF0000"/>
      <name val="楷体"/>
      <family val="3"/>
      <charset val="134"/>
    </font>
    <font>
      <sz val="9"/>
      <color indexed="8"/>
      <name val="楷体"/>
      <family val="3"/>
      <charset val="134"/>
    </font>
    <font>
      <b/>
      <sz val="16"/>
      <color rgb="FF000000"/>
      <name val="楷体"/>
      <family val="3"/>
      <charset val="134"/>
    </font>
    <font>
      <sz val="11"/>
      <color rgb="FF000000"/>
      <name val="楷体"/>
      <family val="3"/>
      <charset val="134"/>
    </font>
    <font>
      <sz val="9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AE57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5">
    <xf numFmtId="0" fontId="0" fillId="0" borderId="0"/>
    <xf numFmtId="9" fontId="14" fillId="0" borderId="0" applyFon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</cellStyleXfs>
  <cellXfs count="432"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shrinkToFi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readingOrder="1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shrinkToFit="1"/>
    </xf>
    <xf numFmtId="178" fontId="7" fillId="2" borderId="1" xfId="0" applyNumberFormat="1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 wrapText="1"/>
    </xf>
    <xf numFmtId="10" fontId="7" fillId="2" borderId="1" xfId="0" applyNumberFormat="1" applyFont="1" applyFill="1" applyBorder="1" applyAlignment="1">
      <alignment horizontal="center" vertical="center" wrapText="1"/>
    </xf>
    <xf numFmtId="179" fontId="7" fillId="2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left" vertical="top" wrapText="1"/>
    </xf>
    <xf numFmtId="0" fontId="4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177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readingOrder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79" fontId="1" fillId="0" borderId="0" xfId="0" applyNumberFormat="1" applyFont="1" applyAlignment="1">
      <alignment horizontal="left" vertical="top" wrapText="1"/>
    </xf>
    <xf numFmtId="0" fontId="4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83" fontId="7" fillId="2" borderId="1" xfId="0" applyNumberFormat="1" applyFont="1" applyFill="1" applyBorder="1" applyAlignment="1">
      <alignment horizontal="center" vertical="center" wrapText="1"/>
    </xf>
    <xf numFmtId="184" fontId="7" fillId="2" borderId="1" xfId="0" applyNumberFormat="1" applyFont="1" applyFill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 shrinkToFit="1"/>
    </xf>
    <xf numFmtId="178" fontId="7" fillId="3" borderId="1" xfId="0" applyNumberFormat="1" applyFont="1" applyFill="1" applyBorder="1" applyAlignment="1">
      <alignment horizontal="center" vertical="center"/>
    </xf>
    <xf numFmtId="182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9" fontId="7" fillId="2" borderId="1" xfId="1" applyFont="1" applyFill="1" applyBorder="1" applyAlignment="1">
      <alignment horizontal="center" vertical="center" wrapText="1"/>
    </xf>
    <xf numFmtId="182" fontId="7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81" fontId="7" fillId="0" borderId="1" xfId="0" applyNumberFormat="1" applyFont="1" applyBorder="1" applyAlignment="1">
      <alignment horizontal="center" vertical="center" wrapText="1"/>
    </xf>
    <xf numFmtId="49" fontId="12" fillId="2" borderId="1" xfId="0" applyNumberFormat="1" applyFont="1" applyFill="1" applyBorder="1" applyAlignment="1" applyProtection="1">
      <alignment horizontal="left" vertical="center" shrinkToFit="1"/>
      <protection locked="0"/>
    </xf>
    <xf numFmtId="178" fontId="13" fillId="2" borderId="1" xfId="0" applyNumberFormat="1" applyFont="1" applyFill="1" applyBorder="1" applyAlignment="1">
      <alignment horizontal="center" vertical="center" shrinkToFit="1"/>
    </xf>
    <xf numFmtId="9" fontId="1" fillId="0" borderId="0" xfId="1" applyFont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shrinkToFit="1"/>
    </xf>
    <xf numFmtId="9" fontId="7" fillId="2" borderId="1" xfId="1" applyFont="1" applyFill="1" applyBorder="1" applyAlignment="1">
      <alignment horizontal="center" vertical="top" wrapText="1"/>
    </xf>
    <xf numFmtId="181" fontId="7" fillId="2" borderId="1" xfId="0" applyNumberFormat="1" applyFont="1" applyFill="1" applyBorder="1" applyAlignment="1">
      <alignment horizontal="center" vertical="center" wrapText="1"/>
    </xf>
    <xf numFmtId="181" fontId="7" fillId="2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49" fontId="6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2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shrinkToFit="1"/>
    </xf>
    <xf numFmtId="0" fontId="4" fillId="4" borderId="4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7" fillId="4" borderId="2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shrinkToFit="1"/>
    </xf>
    <xf numFmtId="181" fontId="13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181" fontId="7" fillId="0" borderId="2" xfId="0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181" fontId="13" fillId="0" borderId="7" xfId="0" applyNumberFormat="1" applyFont="1" applyBorder="1" applyAlignment="1">
      <alignment horizontal="center" vertical="center"/>
    </xf>
    <xf numFmtId="177" fontId="7" fillId="0" borderId="1" xfId="3" applyNumberFormat="1" applyFont="1" applyBorder="1" applyAlignment="1">
      <alignment horizontal="center" vertical="center" shrinkToFit="1"/>
    </xf>
    <xf numFmtId="178" fontId="7" fillId="0" borderId="1" xfId="4" applyNumberFormat="1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181" fontId="13" fillId="0" borderId="4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shrinkToFit="1"/>
    </xf>
    <xf numFmtId="0" fontId="21" fillId="4" borderId="8" xfId="0" applyFont="1" applyFill="1" applyBorder="1" applyAlignment="1">
      <alignment horizontal="center" vertical="center" shrinkToFit="1"/>
    </xf>
    <xf numFmtId="0" fontId="7" fillId="4" borderId="8" xfId="0" applyFont="1" applyFill="1" applyBorder="1" applyAlignment="1">
      <alignment vertical="center" shrinkToFit="1"/>
    </xf>
    <xf numFmtId="0" fontId="7" fillId="4" borderId="3" xfId="0" applyFont="1" applyFill="1" applyBorder="1" applyAlignment="1">
      <alignment horizontal="center" vertical="center" shrinkToFit="1"/>
    </xf>
    <xf numFmtId="0" fontId="7" fillId="4" borderId="9" xfId="0" applyFont="1" applyFill="1" applyBorder="1" applyAlignment="1">
      <alignment horizontal="center" vertical="center" shrinkToFit="1"/>
    </xf>
    <xf numFmtId="0" fontId="4" fillId="4" borderId="10" xfId="0" applyFont="1" applyFill="1" applyBorder="1" applyAlignment="1">
      <alignment horizontal="center" vertical="center" shrinkToFit="1"/>
    </xf>
    <xf numFmtId="0" fontId="1" fillId="0" borderId="0" xfId="0" applyFont="1" applyAlignment="1">
      <alignment horizontal="left" vertical="top" shrinkToFit="1"/>
    </xf>
    <xf numFmtId="183" fontId="7" fillId="0" borderId="1" xfId="0" applyNumberFormat="1" applyFont="1" applyBorder="1" applyAlignment="1">
      <alignment horizontal="center" vertical="center" wrapText="1"/>
    </xf>
    <xf numFmtId="183" fontId="7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left"/>
    </xf>
    <xf numFmtId="0" fontId="22" fillId="0" borderId="0" xfId="0" applyFont="1"/>
    <xf numFmtId="0" fontId="4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82" fontId="7" fillId="0" borderId="1" xfId="0" applyNumberFormat="1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center" vertical="center" shrinkToFit="1"/>
    </xf>
    <xf numFmtId="9" fontId="13" fillId="0" borderId="1" xfId="1" applyFont="1" applyBorder="1" applyAlignment="1">
      <alignment horizontal="center" vertical="top" wrapText="1"/>
    </xf>
    <xf numFmtId="49" fontId="7" fillId="0" borderId="1" xfId="4" applyNumberFormat="1" applyFont="1" applyBorder="1" applyAlignment="1">
      <alignment horizontal="center" vertical="center" shrinkToFit="1"/>
    </xf>
    <xf numFmtId="49" fontId="7" fillId="0" borderId="1" xfId="0" applyNumberFormat="1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shrinkToFit="1"/>
    </xf>
    <xf numFmtId="0" fontId="7" fillId="4" borderId="10" xfId="0" applyFont="1" applyFill="1" applyBorder="1" applyAlignment="1">
      <alignment horizontal="center" vertical="center" shrinkToFit="1"/>
    </xf>
    <xf numFmtId="0" fontId="7" fillId="4" borderId="1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9" fontId="24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9" fontId="24" fillId="2" borderId="1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1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5" fillId="2" borderId="0" xfId="0" applyFont="1" applyFill="1" applyAlignment="1">
      <alignment horizontal="center" vertical="top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7" fillId="0" borderId="0" xfId="0" applyFont="1" applyAlignment="1">
      <alignment horizontal="left" vertical="center" readingOrder="1"/>
    </xf>
    <xf numFmtId="0" fontId="29" fillId="0" borderId="5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wrapText="1"/>
    </xf>
    <xf numFmtId="176" fontId="28" fillId="2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shrinkToFit="1"/>
    </xf>
    <xf numFmtId="49" fontId="28" fillId="2" borderId="1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shrinkToFit="1"/>
    </xf>
    <xf numFmtId="178" fontId="28" fillId="2" borderId="1" xfId="0" applyNumberFormat="1" applyFont="1" applyFill="1" applyBorder="1" applyAlignment="1">
      <alignment horizontal="center" vertical="center"/>
    </xf>
    <xf numFmtId="178" fontId="28" fillId="3" borderId="1" xfId="0" applyNumberFormat="1" applyFont="1" applyFill="1" applyBorder="1" applyAlignment="1">
      <alignment horizontal="center" vertical="center"/>
    </xf>
    <xf numFmtId="178" fontId="28" fillId="0" borderId="1" xfId="0" applyNumberFormat="1" applyFont="1" applyBorder="1" applyAlignment="1">
      <alignment horizontal="center" vertical="center"/>
    </xf>
    <xf numFmtId="9" fontId="7" fillId="0" borderId="2" xfId="1" applyFont="1" applyBorder="1" applyAlignment="1">
      <alignment horizontal="center" vertical="center" shrinkToFit="1"/>
    </xf>
    <xf numFmtId="182" fontId="28" fillId="2" borderId="2" xfId="0" applyNumberFormat="1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182" fontId="7" fillId="2" borderId="2" xfId="0" applyNumberFormat="1" applyFont="1" applyFill="1" applyBorder="1" applyAlignment="1">
      <alignment horizontal="center" vertical="center" shrinkToFit="1"/>
    </xf>
    <xf numFmtId="49" fontId="19" fillId="2" borderId="1" xfId="0" applyNumberFormat="1" applyFont="1" applyFill="1" applyBorder="1" applyAlignment="1">
      <alignment horizontal="center" vertical="center" wrapText="1"/>
    </xf>
    <xf numFmtId="182" fontId="7" fillId="2" borderId="1" xfId="0" applyNumberFormat="1" applyFont="1" applyFill="1" applyBorder="1" applyAlignment="1">
      <alignment horizontal="center" vertical="center" wrapText="1"/>
    </xf>
    <xf numFmtId="182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shrinkToFit="1"/>
    </xf>
    <xf numFmtId="0" fontId="0" fillId="2" borderId="0" xfId="0" applyFill="1" applyAlignment="1">
      <alignment horizontal="left" vertical="top" wrapText="1"/>
    </xf>
    <xf numFmtId="0" fontId="19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183" fontId="19" fillId="2" borderId="1" xfId="1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0" fontId="7" fillId="2" borderId="1" xfId="2" applyNumberFormat="1" applyFont="1" applyFill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left" vertical="top" wrapText="1"/>
    </xf>
    <xf numFmtId="2" fontId="19" fillId="2" borderId="1" xfId="0" applyNumberFormat="1" applyFont="1" applyFill="1" applyBorder="1" applyAlignment="1">
      <alignment horizontal="center" vertical="center" wrapText="1"/>
    </xf>
    <xf numFmtId="183" fontId="28" fillId="2" borderId="1" xfId="1" applyNumberFormat="1" applyFont="1" applyFill="1" applyBorder="1" applyAlignment="1">
      <alignment horizontal="center" vertical="center" wrapText="1"/>
    </xf>
    <xf numFmtId="0" fontId="28" fillId="2" borderId="1" xfId="2" applyFont="1" applyFill="1" applyBorder="1" applyAlignment="1">
      <alignment horizontal="center" vertical="center" wrapText="1"/>
    </xf>
    <xf numFmtId="10" fontId="28" fillId="2" borderId="1" xfId="2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shrinkToFit="1"/>
    </xf>
    <xf numFmtId="2" fontId="28" fillId="2" borderId="1" xfId="0" applyNumberFormat="1" applyFont="1" applyFill="1" applyBorder="1" applyAlignment="1">
      <alignment horizontal="center" vertical="center" wrapText="1"/>
    </xf>
    <xf numFmtId="183" fontId="28" fillId="2" borderId="1" xfId="0" applyNumberFormat="1" applyFont="1" applyFill="1" applyBorder="1" applyAlignment="1">
      <alignment horizontal="center" vertical="center" wrapText="1"/>
    </xf>
    <xf numFmtId="10" fontId="28" fillId="2" borderId="1" xfId="0" applyNumberFormat="1" applyFont="1" applyFill="1" applyBorder="1" applyAlignment="1">
      <alignment horizontal="center" vertical="center" wrapText="1"/>
    </xf>
    <xf numFmtId="183" fontId="19" fillId="2" borderId="1" xfId="0" applyNumberFormat="1" applyFont="1" applyFill="1" applyBorder="1" applyAlignment="1">
      <alignment horizontal="center" vertical="center" wrapText="1"/>
    </xf>
    <xf numFmtId="2" fontId="19" fillId="2" borderId="1" xfId="0" applyNumberFormat="1" applyFont="1" applyFill="1" applyBorder="1" applyAlignment="1">
      <alignment horizontal="center" vertical="center" wrapText="1"/>
    </xf>
    <xf numFmtId="9" fontId="7" fillId="2" borderId="1" xfId="1" applyFont="1" applyFill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top" wrapText="1"/>
    </xf>
    <xf numFmtId="0" fontId="30" fillId="2" borderId="0" xfId="0" applyFont="1" applyFill="1" applyAlignment="1">
      <alignment horizontal="left" vertical="top" wrapText="1"/>
    </xf>
    <xf numFmtId="0" fontId="33" fillId="2" borderId="0" xfId="0" applyFont="1" applyFill="1" applyAlignment="1">
      <alignment horizontal="left" vertical="top"/>
    </xf>
    <xf numFmtId="0" fontId="30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center" vertical="top" wrapText="1"/>
    </xf>
    <xf numFmtId="0" fontId="26" fillId="2" borderId="0" xfId="0" applyFont="1" applyFill="1" applyAlignment="1">
      <alignment vertical="center"/>
    </xf>
    <xf numFmtId="0" fontId="28" fillId="2" borderId="0" xfId="0" applyFont="1" applyFill="1" applyAlignment="1">
      <alignment vertical="center"/>
    </xf>
    <xf numFmtId="0" fontId="30" fillId="4" borderId="2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wrapText="1"/>
    </xf>
    <xf numFmtId="176" fontId="19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185" fontId="19" fillId="0" borderId="1" xfId="0" applyNumberFormat="1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182" fontId="19" fillId="0" borderId="1" xfId="0" applyNumberFormat="1" applyFont="1" applyBorder="1" applyAlignment="1">
      <alignment horizontal="center" vertical="center" wrapText="1"/>
    </xf>
    <xf numFmtId="185" fontId="7" fillId="0" borderId="1" xfId="0" applyNumberFormat="1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shrinkToFit="1"/>
    </xf>
    <xf numFmtId="0" fontId="7" fillId="4" borderId="4" xfId="0" applyFont="1" applyFill="1" applyBorder="1" applyAlignment="1">
      <alignment horizontal="center" vertical="center" shrinkToFit="1"/>
    </xf>
    <xf numFmtId="0" fontId="19" fillId="2" borderId="1" xfId="0" applyFont="1" applyFill="1" applyBorder="1" applyAlignment="1">
      <alignment horizontal="center" vertical="top" wrapText="1"/>
    </xf>
    <xf numFmtId="183" fontId="19" fillId="2" borderId="1" xfId="1" applyNumberFormat="1" applyFont="1" applyFill="1" applyBorder="1" applyAlignment="1">
      <alignment horizontal="center" vertical="top" wrapText="1"/>
    </xf>
    <xf numFmtId="185" fontId="19" fillId="0" borderId="1" xfId="0" applyNumberFormat="1" applyFont="1" applyBorder="1" applyAlignment="1">
      <alignment horizontal="center" vertical="top" wrapText="1"/>
    </xf>
    <xf numFmtId="2" fontId="19" fillId="0" borderId="3" xfId="0" applyNumberFormat="1" applyFont="1" applyBorder="1" applyAlignment="1">
      <alignment horizontal="center" vertical="center" wrapText="1"/>
    </xf>
    <xf numFmtId="2" fontId="19" fillId="0" borderId="4" xfId="0" applyNumberFormat="1" applyFont="1" applyBorder="1" applyAlignment="1">
      <alignment horizontal="center" vertical="center" wrapText="1"/>
    </xf>
    <xf numFmtId="9" fontId="19" fillId="0" borderId="1" xfId="1" applyFont="1" applyBorder="1" applyAlignment="1">
      <alignment horizontal="left" vertical="top" wrapText="1"/>
    </xf>
    <xf numFmtId="183" fontId="7" fillId="2" borderId="1" xfId="1" applyNumberFormat="1" applyFont="1" applyFill="1" applyBorder="1" applyAlignment="1">
      <alignment horizontal="center" vertical="top" wrapText="1"/>
    </xf>
    <xf numFmtId="185" fontId="7" fillId="0" borderId="1" xfId="0" applyNumberFormat="1" applyFont="1" applyBorder="1" applyAlignment="1">
      <alignment horizontal="center" vertical="top" wrapText="1"/>
    </xf>
    <xf numFmtId="2" fontId="7" fillId="0" borderId="3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9" fontId="7" fillId="0" borderId="1" xfId="1" applyFont="1" applyBorder="1" applyAlignment="1">
      <alignment horizontal="left" vertical="top" wrapText="1"/>
    </xf>
    <xf numFmtId="185" fontId="7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83" fontId="7" fillId="0" borderId="1" xfId="1" applyNumberFormat="1" applyFont="1" applyBorder="1" applyAlignment="1">
      <alignment horizontal="center" vertical="top" wrapText="1"/>
    </xf>
    <xf numFmtId="0" fontId="7" fillId="0" borderId="1" xfId="2" applyFont="1" applyBorder="1" applyAlignment="1">
      <alignment horizontal="center" vertical="center" wrapText="1"/>
    </xf>
    <xf numFmtId="10" fontId="7" fillId="0" borderId="1" xfId="2" applyNumberFormat="1" applyFont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top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shrinkToFit="1"/>
    </xf>
    <xf numFmtId="183" fontId="7" fillId="2" borderId="1" xfId="0" applyNumberFormat="1" applyFont="1" applyFill="1" applyBorder="1" applyAlignment="1">
      <alignment horizontal="center" vertical="center" shrinkToFit="1"/>
    </xf>
    <xf numFmtId="10" fontId="7" fillId="2" borderId="1" xfId="0" applyNumberFormat="1" applyFont="1" applyFill="1" applyBorder="1" applyAlignment="1">
      <alignment horizontal="center" vertical="center" shrinkToFit="1"/>
    </xf>
    <xf numFmtId="181" fontId="7" fillId="2" borderId="1" xfId="0" applyNumberFormat="1" applyFont="1" applyFill="1" applyBorder="1" applyAlignment="1">
      <alignment horizontal="center" vertical="center" shrinkToFit="1"/>
    </xf>
    <xf numFmtId="2" fontId="7" fillId="2" borderId="1" xfId="0" applyNumberFormat="1" applyFont="1" applyFill="1" applyBorder="1" applyAlignment="1">
      <alignment horizontal="center" vertical="center" shrinkToFit="1"/>
    </xf>
    <xf numFmtId="2" fontId="7" fillId="2" borderId="3" xfId="0" applyNumberFormat="1" applyFont="1" applyFill="1" applyBorder="1" applyAlignment="1">
      <alignment horizontal="center" vertical="center" shrinkToFit="1"/>
    </xf>
    <xf numFmtId="2" fontId="7" fillId="2" borderId="4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top" shrinkToFit="1"/>
    </xf>
    <xf numFmtId="9" fontId="7" fillId="2" borderId="1" xfId="1" applyFont="1" applyFill="1" applyBorder="1" applyAlignment="1">
      <alignment horizontal="center" vertical="top" shrinkToFit="1"/>
    </xf>
    <xf numFmtId="0" fontId="1" fillId="2" borderId="0" xfId="0" applyFont="1" applyFill="1" applyAlignment="1">
      <alignment horizontal="left" vertical="top"/>
    </xf>
    <xf numFmtId="0" fontId="37" fillId="2" borderId="0" xfId="0" applyFont="1" applyFill="1" applyAlignment="1">
      <alignment horizontal="left" vertical="top" wrapText="1"/>
    </xf>
    <xf numFmtId="0" fontId="37" fillId="2" borderId="0" xfId="0" applyFont="1" applyFill="1" applyAlignment="1">
      <alignment horizontal="left" vertical="top" wrapText="1"/>
    </xf>
    <xf numFmtId="0" fontId="37" fillId="2" borderId="0" xfId="0" applyFont="1" applyFill="1" applyAlignment="1">
      <alignment horizontal="center" vertical="top" wrapText="1"/>
    </xf>
    <xf numFmtId="0" fontId="38" fillId="2" borderId="0" xfId="0" applyFont="1" applyFill="1" applyAlignment="1">
      <alignment horizontal="center" vertical="top" wrapText="1"/>
    </xf>
    <xf numFmtId="0" fontId="26" fillId="2" borderId="0" xfId="0" applyFont="1" applyFill="1" applyAlignment="1">
      <alignment horizontal="center" vertical="top" wrapText="1"/>
    </xf>
    <xf numFmtId="0" fontId="26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left" vertical="center" readingOrder="1"/>
    </xf>
    <xf numFmtId="0" fontId="28" fillId="2" borderId="0" xfId="0" applyFont="1" applyFill="1" applyAlignment="1">
      <alignment horizontal="left" vertical="center" readingOrder="1"/>
    </xf>
    <xf numFmtId="0" fontId="40" fillId="2" borderId="0" xfId="0" applyFont="1" applyFill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shrinkToFit="1"/>
    </xf>
    <xf numFmtId="0" fontId="26" fillId="4" borderId="2" xfId="0" applyFont="1" applyFill="1" applyBorder="1" applyAlignment="1">
      <alignment horizontal="center" vertical="center" shrinkToFit="1"/>
    </xf>
    <xf numFmtId="0" fontId="26" fillId="4" borderId="1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/>
    </xf>
    <xf numFmtId="176" fontId="28" fillId="2" borderId="1" xfId="0" applyNumberFormat="1" applyFont="1" applyFill="1" applyBorder="1" applyAlignment="1">
      <alignment horizontal="center" vertical="center"/>
    </xf>
    <xf numFmtId="177" fontId="28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top" wrapText="1"/>
    </xf>
    <xf numFmtId="179" fontId="28" fillId="2" borderId="1" xfId="0" applyNumberFormat="1" applyFont="1" applyFill="1" applyBorder="1" applyAlignment="1">
      <alignment horizontal="center" vertical="center"/>
    </xf>
    <xf numFmtId="9" fontId="28" fillId="2" borderId="1" xfId="1" applyFont="1" applyFill="1" applyBorder="1" applyAlignment="1">
      <alignment horizontal="center" vertical="top" wrapText="1"/>
    </xf>
    <xf numFmtId="184" fontId="28" fillId="2" borderId="1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shrinkToFit="1"/>
    </xf>
    <xf numFmtId="0" fontId="42" fillId="2" borderId="8" xfId="0" applyFont="1" applyFill="1" applyBorder="1" applyAlignment="1">
      <alignment horizontal="center" vertical="center" shrinkToFit="1"/>
    </xf>
    <xf numFmtId="0" fontId="28" fillId="2" borderId="6" xfId="0" applyFont="1" applyFill="1" applyBorder="1" applyAlignment="1">
      <alignment horizontal="center" vertical="center" shrinkToFit="1"/>
    </xf>
    <xf numFmtId="0" fontId="28" fillId="2" borderId="17" xfId="0" applyFont="1" applyFill="1" applyBorder="1" applyAlignment="1">
      <alignment horizontal="center" vertical="center" shrinkToFit="1"/>
    </xf>
    <xf numFmtId="0" fontId="26" fillId="2" borderId="18" xfId="0" applyFont="1" applyFill="1" applyBorder="1" applyAlignment="1">
      <alignment horizontal="center" vertical="center" shrinkToFit="1"/>
    </xf>
    <xf numFmtId="183" fontId="28" fillId="2" borderId="1" xfId="0" applyNumberFormat="1" applyFont="1" applyFill="1" applyBorder="1" applyAlignment="1">
      <alignment horizontal="center" vertical="center" shrinkToFit="1"/>
    </xf>
    <xf numFmtId="10" fontId="28" fillId="2" borderId="1" xfId="0" applyNumberFormat="1" applyFont="1" applyFill="1" applyBorder="1" applyAlignment="1">
      <alignment horizontal="center" vertical="center" shrinkToFit="1"/>
    </xf>
    <xf numFmtId="176" fontId="28" fillId="2" borderId="1" xfId="0" applyNumberFormat="1" applyFont="1" applyFill="1" applyBorder="1" applyAlignment="1">
      <alignment horizontal="center" vertical="center" shrinkToFit="1"/>
    </xf>
    <xf numFmtId="2" fontId="28" fillId="2" borderId="1" xfId="0" applyNumberFormat="1" applyFont="1" applyFill="1" applyBorder="1" applyAlignment="1">
      <alignment horizontal="center" vertical="center" shrinkToFit="1"/>
    </xf>
    <xf numFmtId="2" fontId="28" fillId="2" borderId="3" xfId="0" applyNumberFormat="1" applyFont="1" applyFill="1" applyBorder="1" applyAlignment="1">
      <alignment horizontal="center" vertical="center" shrinkToFit="1"/>
    </xf>
    <xf numFmtId="2" fontId="28" fillId="2" borderId="4" xfId="0" applyNumberFormat="1" applyFont="1" applyFill="1" applyBorder="1" applyAlignment="1">
      <alignment horizontal="center" vertical="center" shrinkToFit="1"/>
    </xf>
    <xf numFmtId="9" fontId="28" fillId="2" borderId="1" xfId="1" applyFont="1" applyFill="1" applyBorder="1" applyAlignment="1">
      <alignment horizontal="center" vertical="center" shrinkToFit="1"/>
    </xf>
    <xf numFmtId="179" fontId="37" fillId="2" borderId="0" xfId="0" applyNumberFormat="1" applyFont="1" applyFill="1" applyAlignment="1">
      <alignment horizontal="left" vertical="top" wrapText="1"/>
    </xf>
    <xf numFmtId="10" fontId="37" fillId="2" borderId="0" xfId="1" applyNumberFormat="1" applyFont="1" applyFill="1" applyAlignment="1">
      <alignment horizontal="left" vertical="top" wrapText="1"/>
    </xf>
    <xf numFmtId="0" fontId="26" fillId="2" borderId="0" xfId="0" applyFont="1" applyFill="1"/>
    <xf numFmtId="0" fontId="43" fillId="2" borderId="0" xfId="0" applyFont="1" applyFill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left" vertical="top"/>
    </xf>
    <xf numFmtId="0" fontId="27" fillId="2" borderId="0" xfId="0" applyFont="1" applyFill="1" applyAlignment="1">
      <alignment horizontal="left" vertical="top"/>
    </xf>
    <xf numFmtId="0" fontId="27" fillId="2" borderId="0" xfId="0" applyFont="1" applyFill="1" applyAlignment="1">
      <alignment horizontal="left" vertical="top" wrapText="1"/>
    </xf>
    <xf numFmtId="0" fontId="44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44" fillId="2" borderId="0" xfId="0" applyFont="1" applyFill="1" applyAlignment="1">
      <alignment horizontal="left" vertical="center"/>
    </xf>
    <xf numFmtId="0" fontId="40" fillId="2" borderId="5" xfId="0" applyFont="1" applyFill="1" applyBorder="1" applyAlignment="1">
      <alignment horizontal="center" vertical="center" wrapText="1"/>
    </xf>
    <xf numFmtId="49" fontId="28" fillId="2" borderId="1" xfId="0" applyNumberFormat="1" applyFont="1" applyFill="1" applyBorder="1" applyAlignment="1">
      <alignment horizontal="center" vertical="center" shrinkToFit="1"/>
    </xf>
    <xf numFmtId="9" fontId="28" fillId="2" borderId="1" xfId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top" shrinkToFit="1"/>
    </xf>
    <xf numFmtId="0" fontId="40" fillId="2" borderId="1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9" xfId="0" applyFont="1" applyFill="1" applyBorder="1" applyAlignment="1">
      <alignment horizontal="center" vertical="center" shrinkToFit="1"/>
    </xf>
    <xf numFmtId="2" fontId="28" fillId="2" borderId="1" xfId="0" applyNumberFormat="1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176" fontId="28" fillId="2" borderId="1" xfId="2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readingOrder="1"/>
    </xf>
    <xf numFmtId="179" fontId="7" fillId="2" borderId="1" xfId="0" applyNumberFormat="1" applyFont="1" applyFill="1" applyBorder="1" applyAlignment="1">
      <alignment horizontal="center" vertical="center"/>
    </xf>
    <xf numFmtId="9" fontId="28" fillId="2" borderId="1" xfId="0" applyNumberFormat="1" applyFont="1" applyFill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7" fillId="5" borderId="2" xfId="0" applyFont="1" applyFill="1" applyBorder="1" applyAlignment="1">
      <alignment vertical="center" shrinkToFit="1"/>
    </xf>
    <xf numFmtId="0" fontId="7" fillId="5" borderId="13" xfId="0" applyFont="1" applyFill="1" applyBorder="1" applyAlignment="1">
      <alignment horizontal="center" vertical="center" shrinkToFit="1"/>
    </xf>
    <xf numFmtId="0" fontId="7" fillId="5" borderId="19" xfId="0" applyFont="1" applyFill="1" applyBorder="1" applyAlignment="1">
      <alignment horizontal="center" vertical="center" shrinkToFit="1"/>
    </xf>
    <xf numFmtId="0" fontId="4" fillId="5" borderId="16" xfId="0" applyFont="1" applyFill="1" applyBorder="1" applyAlignment="1">
      <alignment horizontal="center" vertical="center" shrinkToFit="1"/>
    </xf>
    <xf numFmtId="186" fontId="1" fillId="2" borderId="0" xfId="1" applyNumberFormat="1" applyFont="1" applyFill="1" applyAlignment="1">
      <alignment horizontal="left" vertical="top" wrapText="1"/>
    </xf>
    <xf numFmtId="0" fontId="22" fillId="2" borderId="0" xfId="0" applyFont="1" applyFill="1" applyAlignment="1">
      <alignment horizontal="left"/>
    </xf>
    <xf numFmtId="0" fontId="22" fillId="2" borderId="0" xfId="0" applyFont="1" applyFill="1"/>
    <xf numFmtId="0" fontId="46" fillId="2" borderId="0" xfId="0" applyFont="1" applyFill="1"/>
    <xf numFmtId="0" fontId="0" fillId="2" borderId="0" xfId="0" applyFill="1" applyAlignment="1">
      <alignment vertical="top" wrapText="1"/>
    </xf>
    <xf numFmtId="0" fontId="25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27" fillId="2" borderId="0" xfId="0" applyFont="1" applyFill="1" applyAlignment="1">
      <alignment vertical="center"/>
    </xf>
    <xf numFmtId="0" fontId="29" fillId="2" borderId="0" xfId="0" applyFont="1" applyFill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shrinkToFit="1"/>
    </xf>
    <xf numFmtId="177" fontId="47" fillId="2" borderId="1" xfId="0" applyNumberFormat="1" applyFont="1" applyFill="1" applyBorder="1" applyAlignment="1">
      <alignment horizontal="center" vertical="center" wrapText="1"/>
    </xf>
    <xf numFmtId="177" fontId="19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7" fontId="7" fillId="3" borderId="1" xfId="0" applyNumberFormat="1" applyFont="1" applyFill="1" applyBorder="1" applyAlignment="1">
      <alignment horizontal="center" vertical="center"/>
    </xf>
    <xf numFmtId="9" fontId="7" fillId="2" borderId="15" xfId="1" applyFont="1" applyFill="1" applyBorder="1" applyAlignment="1">
      <alignment horizontal="center" vertical="center" wrapText="1"/>
    </xf>
    <xf numFmtId="181" fontId="19" fillId="2" borderId="2" xfId="0" applyNumberFormat="1" applyFont="1" applyFill="1" applyBorder="1" applyAlignment="1">
      <alignment horizontal="center" vertical="center" shrinkToFit="1"/>
    </xf>
    <xf numFmtId="0" fontId="30" fillId="2" borderId="0" xfId="0" applyFont="1" applyFill="1" applyAlignment="1">
      <alignment horizontal="center" vertical="top" wrapText="1"/>
    </xf>
    <xf numFmtId="187" fontId="30" fillId="2" borderId="0" xfId="0" applyNumberFormat="1" applyFont="1" applyFill="1" applyAlignment="1">
      <alignment horizontal="center" vertical="center" wrapText="1"/>
    </xf>
    <xf numFmtId="0" fontId="48" fillId="2" borderId="1" xfId="0" applyFont="1" applyFill="1" applyBorder="1" applyAlignment="1">
      <alignment horizontal="center" vertical="center" wrapText="1"/>
    </xf>
    <xf numFmtId="0" fontId="48" fillId="2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188" fontId="7" fillId="2" borderId="1" xfId="0" applyNumberFormat="1" applyFont="1" applyFill="1" applyBorder="1" applyAlignment="1">
      <alignment horizontal="center" vertical="center" wrapText="1"/>
    </xf>
    <xf numFmtId="2" fontId="19" fillId="2" borderId="3" xfId="0" applyNumberFormat="1" applyFont="1" applyFill="1" applyBorder="1" applyAlignment="1">
      <alignment horizontal="center" vertical="center" wrapText="1"/>
    </xf>
    <xf numFmtId="2" fontId="19" fillId="2" borderId="4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 shrinkToFit="1"/>
    </xf>
    <xf numFmtId="0" fontId="1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/>
    </xf>
    <xf numFmtId="0" fontId="49" fillId="2" borderId="0" xfId="0" applyFont="1" applyFill="1" applyAlignment="1">
      <alignment horizontal="left" vertical="top"/>
    </xf>
    <xf numFmtId="0" fontId="49" fillId="2" borderId="0" xfId="0" applyFont="1" applyFill="1" applyAlignment="1">
      <alignment horizontal="left" vertical="top" wrapText="1"/>
    </xf>
    <xf numFmtId="0" fontId="49" fillId="2" borderId="0" xfId="0" applyFont="1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30" fillId="2" borderId="2" xfId="0" applyFont="1" applyFill="1" applyBorder="1" applyAlignment="1">
      <alignment horizontal="center" vertical="center" shrinkToFit="1"/>
    </xf>
    <xf numFmtId="0" fontId="4" fillId="2" borderId="20" xfId="0" applyFont="1" applyFill="1" applyBorder="1" applyAlignment="1">
      <alignment horizontal="center" vertical="center" shrinkToFit="1"/>
    </xf>
    <xf numFmtId="189" fontId="7" fillId="2" borderId="1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77" fontId="7" fillId="2" borderId="21" xfId="0" applyNumberFormat="1" applyFont="1" applyFill="1" applyBorder="1" applyAlignment="1">
      <alignment horizontal="center" vertical="center" wrapText="1"/>
    </xf>
    <xf numFmtId="49" fontId="7" fillId="2" borderId="21" xfId="0" applyNumberFormat="1" applyFont="1" applyFill="1" applyBorder="1" applyAlignment="1">
      <alignment horizontal="center" vertical="center" shrinkToFit="1"/>
    </xf>
    <xf numFmtId="189" fontId="7" fillId="2" borderId="21" xfId="0" applyNumberFormat="1" applyFont="1" applyFill="1" applyBorder="1" applyAlignment="1">
      <alignment horizontal="center" vertical="center"/>
    </xf>
    <xf numFmtId="189" fontId="7" fillId="2" borderId="2" xfId="0" applyNumberFormat="1" applyFont="1" applyFill="1" applyBorder="1" applyAlignment="1">
      <alignment horizontal="center" vertical="center"/>
    </xf>
    <xf numFmtId="177" fontId="7" fillId="2" borderId="2" xfId="0" applyNumberFormat="1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188" fontId="7" fillId="2" borderId="1" xfId="0" applyNumberFormat="1" applyFont="1" applyFill="1" applyBorder="1" applyAlignment="1">
      <alignment horizontal="center" vertical="center" shrinkToFit="1"/>
    </xf>
    <xf numFmtId="179" fontId="7" fillId="2" borderId="1" xfId="0" applyNumberFormat="1" applyFont="1" applyFill="1" applyBorder="1" applyAlignment="1">
      <alignment horizontal="center" vertical="center" shrinkToFit="1"/>
    </xf>
    <xf numFmtId="2" fontId="19" fillId="2" borderId="1" xfId="0" applyNumberFormat="1" applyFont="1" applyFill="1" applyBorder="1" applyAlignment="1">
      <alignment vertical="center" shrinkToFit="1"/>
    </xf>
    <xf numFmtId="2" fontId="19" fillId="2" borderId="3" xfId="0" applyNumberFormat="1" applyFont="1" applyFill="1" applyBorder="1" applyAlignment="1">
      <alignment horizontal="center" vertical="center" shrinkToFit="1"/>
    </xf>
    <xf numFmtId="2" fontId="19" fillId="2" borderId="4" xfId="0" applyNumberFormat="1" applyFont="1" applyFill="1" applyBorder="1" applyAlignment="1">
      <alignment horizontal="center" vertical="center" shrinkToFit="1"/>
    </xf>
    <xf numFmtId="0" fontId="19" fillId="2" borderId="1" xfId="0" applyFont="1" applyFill="1" applyBorder="1" applyAlignment="1">
      <alignment vertical="center" shrinkToFit="1"/>
    </xf>
    <xf numFmtId="186" fontId="7" fillId="2" borderId="1" xfId="0" applyNumberFormat="1" applyFont="1" applyFill="1" applyBorder="1" applyAlignment="1">
      <alignment horizontal="center" vertical="center" shrinkToFit="1"/>
    </xf>
    <xf numFmtId="180" fontId="7" fillId="2" borderId="1" xfId="0" applyNumberFormat="1" applyFont="1" applyFill="1" applyBorder="1" applyAlignment="1">
      <alignment horizontal="center" vertical="center" shrinkToFit="1"/>
    </xf>
    <xf numFmtId="0" fontId="7" fillId="2" borderId="21" xfId="0" applyFont="1" applyFill="1" applyBorder="1" applyAlignment="1">
      <alignment horizontal="center" vertical="center" shrinkToFit="1"/>
    </xf>
    <xf numFmtId="9" fontId="7" fillId="2" borderId="21" xfId="0" applyNumberFormat="1" applyFont="1" applyFill="1" applyBorder="1" applyAlignment="1">
      <alignment horizontal="center" vertical="center" shrinkToFit="1"/>
    </xf>
    <xf numFmtId="10" fontId="7" fillId="2" borderId="21" xfId="0" applyNumberFormat="1" applyFont="1" applyFill="1" applyBorder="1" applyAlignment="1">
      <alignment horizontal="center" vertical="center" shrinkToFit="1"/>
    </xf>
    <xf numFmtId="179" fontId="7" fillId="2" borderId="21" xfId="0" applyNumberFormat="1" applyFont="1" applyFill="1" applyBorder="1" applyAlignment="1">
      <alignment horizontal="center" vertical="center" shrinkToFit="1"/>
    </xf>
    <xf numFmtId="180" fontId="11" fillId="2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 shrinkToFit="1"/>
    </xf>
    <xf numFmtId="185" fontId="19" fillId="2" borderId="1" xfId="0" applyNumberFormat="1" applyFont="1" applyFill="1" applyBorder="1" applyAlignment="1">
      <alignment horizontal="center" vertical="center" shrinkToFit="1"/>
    </xf>
    <xf numFmtId="0" fontId="49" fillId="0" borderId="0" xfId="0" applyFont="1" applyAlignment="1">
      <alignment horizontal="left" vertical="top" wrapText="1"/>
    </xf>
    <xf numFmtId="185" fontId="7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2" fontId="19" fillId="2" borderId="1" xfId="0" applyNumberFormat="1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185" fontId="7" fillId="2" borderId="1" xfId="0" applyNumberFormat="1" applyFont="1" applyFill="1" applyBorder="1" applyAlignment="1">
      <alignment horizontal="center" vertical="center" wrapText="1"/>
    </xf>
    <xf numFmtId="180" fontId="7" fillId="2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180" fontId="7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top" wrapText="1"/>
    </xf>
  </cellXfs>
  <cellStyles count="5">
    <cellStyle name="_x001e_" xfId="2" xr:uid="{00000000-0005-0000-0000-000031000000}"/>
    <cellStyle name="百分比" xfId="1" builtinId="5"/>
    <cellStyle name="常规" xfId="0" builtinId="0"/>
    <cellStyle name="一般 3" xfId="3" xr:uid="{00000000-0005-0000-0000-000032000000}"/>
    <cellStyle name="一般_Sheet1" xfId="4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</xdr:colOff>
      <xdr:row>1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207645"/>
          <a:ext cx="5791200" cy="9366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560070</xdr:colOff>
      <xdr:row>0</xdr:row>
      <xdr:rowOff>129540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129540"/>
          <a:ext cx="5791200" cy="9366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560070</xdr:colOff>
      <xdr:row>0</xdr:row>
      <xdr:rowOff>129540</xdr:rowOff>
    </xdr:from>
    <xdr:ext cx="5791200" cy="937259"/>
    <xdr:pic>
      <xdr:nvPicPr>
        <xdr:cNvPr id="4" name="image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129540"/>
          <a:ext cx="5791200" cy="9366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91440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D24F493E-B1B0-4CDB-80BC-662DDA56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1440"/>
          <a:ext cx="5791200" cy="93725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461010</xdr:colOff>
      <xdr:row>0</xdr:row>
      <xdr:rowOff>91440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0510D4E6-CA9A-4FAE-8F89-535E2B2CB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91440"/>
          <a:ext cx="5791200" cy="937259"/>
        </a:xfrm>
        <a:prstGeom prst="rect">
          <a:avLst/>
        </a:prstGeom>
      </xdr:spPr>
    </xdr:pic>
    <xdr:clientData/>
  </xdr:oneCellAnchor>
  <xdr:oneCellAnchor>
    <xdr:from>
      <xdr:col>0</xdr:col>
      <xdr:colOff>476250</xdr:colOff>
      <xdr:row>0</xdr:row>
      <xdr:rowOff>91440</xdr:rowOff>
    </xdr:from>
    <xdr:ext cx="5791200" cy="937259"/>
    <xdr:pic>
      <xdr:nvPicPr>
        <xdr:cNvPr id="3" name="image2">
          <a:extLst>
            <a:ext uri="{FF2B5EF4-FFF2-40B4-BE49-F238E27FC236}">
              <a16:creationId xmlns:a16="http://schemas.microsoft.com/office/drawing/2014/main" id="{C5F04157-F5E9-4BBF-98A5-F6401C331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91440"/>
          <a:ext cx="5791200" cy="93725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437304</xdr:colOff>
      <xdr:row>0</xdr:row>
      <xdr:rowOff>88053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76CBB63A-43A5-4A95-BDB8-6C28AB2E0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304" y="88053"/>
          <a:ext cx="5791200" cy="93725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430530</xdr:colOff>
      <xdr:row>0</xdr:row>
      <xdr:rowOff>167640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10131236-757C-4F6A-9904-E9CD2840B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" y="167640"/>
          <a:ext cx="5791200" cy="937259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544830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3E89D5E1-D7F1-46AB-817C-36D5F2204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" y="0"/>
          <a:ext cx="5791200" cy="93725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544830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FAC417FC-16EE-4A8F-B233-183E22377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" y="0"/>
          <a:ext cx="5791200" cy="93725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544830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B48FDC36-61E0-4448-B532-F73AA197F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" y="0"/>
          <a:ext cx="5791200" cy="93725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544830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F25A20DA-4ECC-4B80-9B1E-B306E764F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" y="0"/>
          <a:ext cx="5791200" cy="93725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0</xdr:row>
      <xdr:rowOff>121920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71E7D618-723D-4F62-92FB-7F1F75447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21920"/>
          <a:ext cx="5791200" cy="937259"/>
        </a:xfrm>
        <a:prstGeom prst="rect">
          <a:avLst/>
        </a:prstGeom>
      </xdr:spPr>
    </xdr:pic>
    <xdr:clientData/>
  </xdr:oneCellAnchor>
  <xdr:oneCellAnchor>
    <xdr:from>
      <xdr:col>0</xdr:col>
      <xdr:colOff>552450</xdr:colOff>
      <xdr:row>0</xdr:row>
      <xdr:rowOff>121920</xdr:rowOff>
    </xdr:from>
    <xdr:ext cx="5791200" cy="937259"/>
    <xdr:pic>
      <xdr:nvPicPr>
        <xdr:cNvPr id="3" name="image2">
          <a:extLst>
            <a:ext uri="{FF2B5EF4-FFF2-40B4-BE49-F238E27FC236}">
              <a16:creationId xmlns:a16="http://schemas.microsoft.com/office/drawing/2014/main" id="{D2857CBF-AF25-4AAB-9698-6B668274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21920"/>
          <a:ext cx="5791200" cy="93725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491490</xdr:colOff>
      <xdr:row>0</xdr:row>
      <xdr:rowOff>167640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EBD5CAB1-7CED-43D8-8A41-1470F00C0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" y="167640"/>
          <a:ext cx="5791200" cy="93725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190500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58B1FDEB-1487-4A12-BE1F-8BD527C99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90500"/>
          <a:ext cx="5791200" cy="937259"/>
        </a:xfrm>
        <a:prstGeom prst="rect">
          <a:avLst/>
        </a:prstGeom>
      </xdr:spPr>
    </xdr:pic>
    <xdr:clientData/>
  </xdr:oneCellAnchor>
  <xdr:oneCellAnchor>
    <xdr:from>
      <xdr:col>7</xdr:col>
      <xdr:colOff>182880</xdr:colOff>
      <xdr:row>0</xdr:row>
      <xdr:rowOff>91440</xdr:rowOff>
    </xdr:from>
    <xdr:ext cx="1699895" cy="1661795"/>
    <xdr:pic>
      <xdr:nvPicPr>
        <xdr:cNvPr id="3" name="image3">
          <a:extLst>
            <a:ext uri="{FF2B5EF4-FFF2-40B4-BE49-F238E27FC236}">
              <a16:creationId xmlns:a16="http://schemas.microsoft.com/office/drawing/2014/main" id="{82386216-2191-40EB-8673-68D883FA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0060" y="91440"/>
          <a:ext cx="1699895" cy="166179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560070</xdr:colOff>
      <xdr:row>0</xdr:row>
      <xdr:rowOff>106680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304F1532-6CEE-4129-8BE2-955C3FFA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106680"/>
          <a:ext cx="5791200" cy="93725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461010</xdr:colOff>
      <xdr:row>0</xdr:row>
      <xdr:rowOff>91440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D9A37B21-4175-4E8C-BAC4-CD4E9DDF3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91440"/>
          <a:ext cx="5791200" cy="93725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235"/>
  <sheetViews>
    <sheetView workbookViewId="0">
      <selection activeCell="W190" sqref="W190"/>
    </sheetView>
  </sheetViews>
  <sheetFormatPr defaultColWidth="9" defaultRowHeight="13.8"/>
  <cols>
    <col min="1" max="6" width="8.09765625" style="33" customWidth="1"/>
    <col min="7" max="7" width="9.09765625" style="33" customWidth="1"/>
    <col min="8" max="10" width="8.09765625" style="33" customWidth="1"/>
    <col min="11" max="11" width="8.09765625" style="34" customWidth="1"/>
    <col min="12" max="12" width="0" style="33" hidden="1" customWidth="1"/>
    <col min="13" max="13" width="12.09765625" style="33" hidden="1" customWidth="1"/>
    <col min="14" max="14" width="11" style="33" hidden="1" customWidth="1"/>
    <col min="15" max="15" width="0" style="33" hidden="1" customWidth="1"/>
    <col min="16" max="16368" width="8.796875" style="33"/>
    <col min="16369" max="16384" width="9" style="33"/>
  </cols>
  <sheetData>
    <row r="1" spans="1:15" ht="16.350000000000001" customHeight="1">
      <c r="C1" s="96"/>
      <c r="D1" s="96"/>
      <c r="E1" s="96"/>
      <c r="F1" s="96"/>
      <c r="G1" s="96"/>
      <c r="H1" s="96"/>
      <c r="I1" s="96"/>
      <c r="J1" s="96"/>
      <c r="K1" s="97"/>
    </row>
    <row r="2" spans="1:15" ht="74.400000000000006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5" ht="21" customHeight="1">
      <c r="A3" s="98" t="s">
        <v>0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5" ht="15" customHeight="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 ht="15" customHeight="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5" ht="15" customHeight="1">
      <c r="A6" s="35" t="s">
        <v>3</v>
      </c>
      <c r="B6" s="35" t="s">
        <v>4</v>
      </c>
      <c r="D6" s="36"/>
      <c r="E6" s="36"/>
      <c r="F6" s="36"/>
      <c r="G6" s="36"/>
      <c r="H6" s="36"/>
      <c r="I6" s="35" t="s">
        <v>5</v>
      </c>
      <c r="J6" s="35"/>
      <c r="K6" s="37"/>
    </row>
    <row r="7" spans="1:15" ht="15" customHeight="1">
      <c r="A7" s="35"/>
      <c r="B7" s="35" t="s">
        <v>6</v>
      </c>
      <c r="D7" s="36"/>
      <c r="E7" s="36"/>
      <c r="F7" s="36"/>
      <c r="G7" s="36"/>
      <c r="H7" s="36"/>
      <c r="I7" s="38" t="s">
        <v>7</v>
      </c>
      <c r="J7" s="38"/>
      <c r="K7" s="39"/>
    </row>
    <row r="8" spans="1:15" ht="15" customHeight="1">
      <c r="A8" s="35" t="s">
        <v>8</v>
      </c>
      <c r="B8" s="35" t="s">
        <v>9</v>
      </c>
      <c r="D8" s="36"/>
      <c r="E8" s="36"/>
      <c r="F8" s="36"/>
      <c r="G8" s="36"/>
      <c r="H8" s="36"/>
      <c r="I8" s="38" t="s">
        <v>80</v>
      </c>
      <c r="J8" s="38"/>
      <c r="K8" s="39"/>
    </row>
    <row r="9" spans="1:15" ht="15" customHeight="1">
      <c r="A9" s="35"/>
      <c r="B9" s="35" t="s">
        <v>10</v>
      </c>
      <c r="D9" s="36"/>
      <c r="E9" s="36"/>
      <c r="F9" s="36"/>
      <c r="G9" s="36"/>
      <c r="H9" s="36"/>
      <c r="I9" s="40" t="s">
        <v>11</v>
      </c>
      <c r="J9" s="35"/>
      <c r="K9" s="37"/>
    </row>
    <row r="10" spans="1:15" ht="15" customHeight="1">
      <c r="A10" s="36"/>
      <c r="B10" s="36"/>
      <c r="C10" s="36"/>
      <c r="D10" s="36"/>
      <c r="E10" s="36"/>
      <c r="F10" s="36"/>
      <c r="G10" s="36"/>
      <c r="H10" s="36"/>
    </row>
    <row r="11" spans="1:15" ht="28.2" customHeight="1">
      <c r="A11" s="90" t="s">
        <v>12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</row>
    <row r="12" spans="1:15" ht="19.2" customHeight="1">
      <c r="A12" s="78" t="s">
        <v>13</v>
      </c>
      <c r="B12" s="78" t="s">
        <v>14</v>
      </c>
      <c r="C12" s="78" t="s">
        <v>15</v>
      </c>
      <c r="D12" s="78" t="s">
        <v>16</v>
      </c>
      <c r="E12" s="78" t="s">
        <v>17</v>
      </c>
      <c r="F12" s="78" t="s">
        <v>18</v>
      </c>
      <c r="G12" s="78" t="s">
        <v>19</v>
      </c>
      <c r="H12" s="78" t="s">
        <v>20</v>
      </c>
      <c r="I12" s="83" t="s">
        <v>21</v>
      </c>
      <c r="J12" s="78" t="s">
        <v>22</v>
      </c>
      <c r="K12" s="79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 ht="15" customHeight="1">
      <c r="A13" s="9" t="s">
        <v>24</v>
      </c>
      <c r="B13" s="64">
        <f>ROUND(C13*0.0254,3)</f>
        <v>7.5999999999999998E-2</v>
      </c>
      <c r="C13" s="11">
        <v>3</v>
      </c>
      <c r="D13" s="13" t="s">
        <v>25</v>
      </c>
      <c r="E13" s="13" t="s">
        <v>26</v>
      </c>
      <c r="F13" s="14" t="s">
        <v>81</v>
      </c>
      <c r="G13" s="66">
        <v>7.5170000000000003</v>
      </c>
      <c r="H13" s="15">
        <f>ROUND(G13*12,2)</f>
        <v>90.2</v>
      </c>
      <c r="I13" s="68">
        <f>ROUND(G13*13.33,2)</f>
        <v>100.2</v>
      </c>
      <c r="J13" s="15">
        <f>ROUND(G13*14,2)</f>
        <v>105.24</v>
      </c>
      <c r="K13" s="71">
        <v>9.99414691249636E-2</v>
      </c>
      <c r="L13" s="13">
        <f>ROUND(ROUND(ROUND(G13*12,2)*43/48,2)*1.07,2)</f>
        <v>86.46</v>
      </c>
      <c r="M13" s="13">
        <f>ROUND(ROUND(G13*12,2)*2/3,2)</f>
        <v>60.13</v>
      </c>
      <c r="N13" s="13">
        <f>ROUND(ROUND(G13*13.33,2)*2/3,2)</f>
        <v>66.8</v>
      </c>
      <c r="O13" s="13">
        <f>ROUND(ROUND(G13*14,2)*2/3,2)</f>
        <v>70.16</v>
      </c>
    </row>
    <row r="14" spans="1:15" ht="15" customHeight="1">
      <c r="A14" s="9" t="s">
        <v>24</v>
      </c>
      <c r="B14" s="64">
        <f t="shared" ref="B14:B77" si="0">ROUND(C14*0.0254,3)</f>
        <v>8.8999999999999996E-2</v>
      </c>
      <c r="C14" s="11">
        <v>3.5</v>
      </c>
      <c r="D14" s="13" t="s">
        <v>25</v>
      </c>
      <c r="E14" s="13" t="s">
        <v>26</v>
      </c>
      <c r="F14" s="14" t="s">
        <v>92</v>
      </c>
      <c r="G14" s="66">
        <v>7.4640000000000004</v>
      </c>
      <c r="H14" s="15">
        <f t="shared" ref="H14:H81" si="1">ROUND(G14*12,2)</f>
        <v>89.57</v>
      </c>
      <c r="I14" s="68">
        <f t="shared" ref="I14:I83" si="2">ROUND(G14*13.33,2)</f>
        <v>99.5</v>
      </c>
      <c r="J14" s="15">
        <f t="shared" ref="J14:J69" si="3">ROUND(G14*14,2)</f>
        <v>104.5</v>
      </c>
      <c r="K14" s="71">
        <v>0.10007369196757554</v>
      </c>
      <c r="L14" s="13">
        <f t="shared" ref="L14:L79" si="4">ROUND(ROUND(ROUND(G14*12,2)*43/48,2)*1.07,2)</f>
        <v>85.86</v>
      </c>
      <c r="M14" s="13">
        <f t="shared" ref="M14:M79" si="5">ROUND(ROUND(G14*12,2)*2/3,2)</f>
        <v>59.71</v>
      </c>
      <c r="N14" s="13">
        <f t="shared" ref="N14:N79" si="6">ROUND(ROUND(G14*13.33,2)*2/3,2)</f>
        <v>66.33</v>
      </c>
      <c r="O14" s="13">
        <f t="shared" ref="O14:O79" si="7">ROUND(ROUND(G14*14,2)*2/3,2)</f>
        <v>69.67</v>
      </c>
    </row>
    <row r="15" spans="1:15" ht="15" customHeight="1">
      <c r="A15" s="9" t="s">
        <v>24</v>
      </c>
      <c r="B15" s="64">
        <f t="shared" si="0"/>
        <v>8.8999999999999996E-2</v>
      </c>
      <c r="C15" s="11">
        <v>3.5</v>
      </c>
      <c r="D15" s="13" t="s">
        <v>25</v>
      </c>
      <c r="E15" s="13" t="s">
        <v>26</v>
      </c>
      <c r="F15" s="14" t="s">
        <v>83</v>
      </c>
      <c r="G15" s="66">
        <v>7.4640000000000004</v>
      </c>
      <c r="H15" s="15">
        <f t="shared" ref="H15:H16" si="8">ROUND(G15*12,2)</f>
        <v>89.57</v>
      </c>
      <c r="I15" s="68">
        <f t="shared" ref="I15:I16" si="9">ROUND(G15*13.33,2)</f>
        <v>99.5</v>
      </c>
      <c r="J15" s="15">
        <f t="shared" ref="J15:J16" si="10">ROUND(G15*14,2)</f>
        <v>104.5</v>
      </c>
      <c r="K15" s="71">
        <v>0.10007369196757554</v>
      </c>
      <c r="L15" s="13">
        <f t="shared" si="4"/>
        <v>85.86</v>
      </c>
      <c r="M15" s="13">
        <f t="shared" si="5"/>
        <v>59.71</v>
      </c>
      <c r="N15" s="13">
        <f t="shared" si="6"/>
        <v>66.33</v>
      </c>
      <c r="O15" s="13">
        <f t="shared" si="7"/>
        <v>69.67</v>
      </c>
    </row>
    <row r="16" spans="1:15" ht="15" customHeight="1">
      <c r="A16" s="9" t="s">
        <v>24</v>
      </c>
      <c r="B16" s="64">
        <f t="shared" si="0"/>
        <v>0.10199999999999999</v>
      </c>
      <c r="C16" s="11">
        <v>4</v>
      </c>
      <c r="D16" s="13" t="s">
        <v>25</v>
      </c>
      <c r="E16" s="13" t="s">
        <v>26</v>
      </c>
      <c r="F16" s="14" t="s">
        <v>92</v>
      </c>
      <c r="G16" s="66">
        <v>7.46</v>
      </c>
      <c r="H16" s="15">
        <f t="shared" si="8"/>
        <v>89.52</v>
      </c>
      <c r="I16" s="68">
        <f t="shared" si="9"/>
        <v>99.44</v>
      </c>
      <c r="J16" s="15">
        <f t="shared" si="10"/>
        <v>104.44</v>
      </c>
      <c r="K16" s="71">
        <v>9.9970510173990057E-2</v>
      </c>
      <c r="L16" s="13">
        <f t="shared" si="4"/>
        <v>85.81</v>
      </c>
      <c r="M16" s="13">
        <f t="shared" si="5"/>
        <v>59.68</v>
      </c>
      <c r="N16" s="13">
        <f t="shared" si="6"/>
        <v>66.290000000000006</v>
      </c>
      <c r="O16" s="13">
        <f t="shared" si="7"/>
        <v>69.63</v>
      </c>
    </row>
    <row r="17" spans="1:15" ht="15" customHeight="1">
      <c r="A17" s="9" t="s">
        <v>24</v>
      </c>
      <c r="B17" s="64">
        <f t="shared" si="0"/>
        <v>0.10199999999999999</v>
      </c>
      <c r="C17" s="11">
        <v>4</v>
      </c>
      <c r="D17" s="13" t="s">
        <v>25</v>
      </c>
      <c r="E17" s="13" t="s">
        <v>26</v>
      </c>
      <c r="F17" s="14" t="s">
        <v>83</v>
      </c>
      <c r="G17" s="66">
        <v>7.46</v>
      </c>
      <c r="H17" s="15">
        <f t="shared" si="1"/>
        <v>89.52</v>
      </c>
      <c r="I17" s="68">
        <f t="shared" si="2"/>
        <v>99.44</v>
      </c>
      <c r="J17" s="15">
        <f t="shared" si="3"/>
        <v>104.44</v>
      </c>
      <c r="K17" s="71">
        <v>9.9970510173990057E-2</v>
      </c>
      <c r="L17" s="13">
        <f t="shared" si="4"/>
        <v>85.81</v>
      </c>
      <c r="M17" s="13">
        <f t="shared" si="5"/>
        <v>59.68</v>
      </c>
      <c r="N17" s="13">
        <f t="shared" si="6"/>
        <v>66.290000000000006</v>
      </c>
      <c r="O17" s="13">
        <f t="shared" si="7"/>
        <v>69.63</v>
      </c>
    </row>
    <row r="18" spans="1:15" ht="15" customHeight="1">
      <c r="A18" s="9" t="s">
        <v>24</v>
      </c>
      <c r="B18" s="64">
        <f t="shared" si="0"/>
        <v>0.10199999999999999</v>
      </c>
      <c r="C18" s="11">
        <v>4</v>
      </c>
      <c r="D18" s="13" t="s">
        <v>25</v>
      </c>
      <c r="E18" s="13" t="s">
        <v>26</v>
      </c>
      <c r="F18" s="14" t="s">
        <v>84</v>
      </c>
      <c r="G18" s="66">
        <v>7.4580000000000002</v>
      </c>
      <c r="H18" s="15">
        <f t="shared" si="1"/>
        <v>89.5</v>
      </c>
      <c r="I18" s="68">
        <f t="shared" si="2"/>
        <v>99.42</v>
      </c>
      <c r="J18" s="15">
        <f t="shared" si="3"/>
        <v>104.41</v>
      </c>
      <c r="K18" s="71">
        <v>0.10000000000000009</v>
      </c>
      <c r="L18" s="13">
        <f t="shared" si="4"/>
        <v>85.79</v>
      </c>
      <c r="M18" s="13">
        <f t="shared" si="5"/>
        <v>59.67</v>
      </c>
      <c r="N18" s="13">
        <f t="shared" si="6"/>
        <v>66.28</v>
      </c>
      <c r="O18" s="13">
        <f t="shared" si="7"/>
        <v>69.61</v>
      </c>
    </row>
    <row r="19" spans="1:15" ht="15" customHeight="1">
      <c r="A19" s="9" t="s">
        <v>24</v>
      </c>
      <c r="B19" s="64">
        <f t="shared" si="0"/>
        <v>0.10199999999999999</v>
      </c>
      <c r="C19" s="11">
        <v>4</v>
      </c>
      <c r="D19" s="13" t="s">
        <v>25</v>
      </c>
      <c r="E19" s="13" t="s">
        <v>26</v>
      </c>
      <c r="F19" s="14" t="s">
        <v>97</v>
      </c>
      <c r="G19" s="66">
        <v>9.8919999999999995</v>
      </c>
      <c r="H19" s="15">
        <f t="shared" si="1"/>
        <v>118.7</v>
      </c>
      <c r="I19" s="68">
        <f t="shared" si="2"/>
        <v>131.86000000000001</v>
      </c>
      <c r="J19" s="15">
        <f t="shared" si="3"/>
        <v>138.49</v>
      </c>
      <c r="K19" s="71">
        <v>9.9966640720560385E-2</v>
      </c>
      <c r="L19" s="13">
        <f t="shared" si="4"/>
        <v>113.78</v>
      </c>
      <c r="M19" s="13">
        <f t="shared" si="5"/>
        <v>79.13</v>
      </c>
      <c r="N19" s="13">
        <f t="shared" si="6"/>
        <v>87.91</v>
      </c>
      <c r="O19" s="13">
        <f t="shared" si="7"/>
        <v>92.33</v>
      </c>
    </row>
    <row r="20" spans="1:15" ht="15" customHeight="1">
      <c r="A20" s="9" t="s">
        <v>24</v>
      </c>
      <c r="B20" s="64">
        <f t="shared" si="0"/>
        <v>0.109</v>
      </c>
      <c r="C20" s="11">
        <v>4.3</v>
      </c>
      <c r="D20" s="13" t="s">
        <v>25</v>
      </c>
      <c r="E20" s="13" t="s">
        <v>26</v>
      </c>
      <c r="F20" s="14" t="s">
        <v>84</v>
      </c>
      <c r="G20" s="66">
        <v>7.391</v>
      </c>
      <c r="H20" s="15">
        <f t="shared" si="1"/>
        <v>88.69</v>
      </c>
      <c r="I20" s="68">
        <f t="shared" si="2"/>
        <v>98.52</v>
      </c>
      <c r="J20" s="15">
        <f t="shared" si="3"/>
        <v>103.47</v>
      </c>
      <c r="K20" s="71">
        <v>0.10001488316713791</v>
      </c>
      <c r="L20" s="13">
        <f t="shared" si="4"/>
        <v>85.01</v>
      </c>
      <c r="M20" s="13">
        <f t="shared" si="5"/>
        <v>59.13</v>
      </c>
      <c r="N20" s="13">
        <f t="shared" si="6"/>
        <v>65.680000000000007</v>
      </c>
      <c r="O20" s="13">
        <f t="shared" si="7"/>
        <v>68.98</v>
      </c>
    </row>
    <row r="21" spans="1:15" ht="15" customHeight="1">
      <c r="A21" s="9" t="s">
        <v>24</v>
      </c>
      <c r="B21" s="64">
        <f t="shared" si="0"/>
        <v>0.114</v>
      </c>
      <c r="C21" s="11">
        <v>4.5</v>
      </c>
      <c r="D21" s="13" t="s">
        <v>25</v>
      </c>
      <c r="E21" s="13" t="s">
        <v>26</v>
      </c>
      <c r="F21" s="14" t="s">
        <v>84</v>
      </c>
      <c r="G21" s="66">
        <v>7.391</v>
      </c>
      <c r="H21" s="15">
        <f t="shared" si="1"/>
        <v>88.69</v>
      </c>
      <c r="I21" s="68">
        <f t="shared" si="2"/>
        <v>98.52</v>
      </c>
      <c r="J21" s="15">
        <f t="shared" si="3"/>
        <v>103.47</v>
      </c>
      <c r="K21" s="71">
        <v>0.10001488316713791</v>
      </c>
      <c r="L21" s="13">
        <f t="shared" si="4"/>
        <v>85.01</v>
      </c>
      <c r="M21" s="13">
        <f t="shared" si="5"/>
        <v>59.13</v>
      </c>
      <c r="N21" s="13">
        <f t="shared" si="6"/>
        <v>65.680000000000007</v>
      </c>
      <c r="O21" s="13">
        <f t="shared" si="7"/>
        <v>68.98</v>
      </c>
    </row>
    <row r="22" spans="1:15" ht="15" customHeight="1">
      <c r="A22" s="9" t="s">
        <v>24</v>
      </c>
      <c r="B22" s="64">
        <f t="shared" si="0"/>
        <v>0.127</v>
      </c>
      <c r="C22" s="11">
        <v>5</v>
      </c>
      <c r="D22" s="13" t="s">
        <v>25</v>
      </c>
      <c r="E22" s="13" t="s">
        <v>26</v>
      </c>
      <c r="F22" s="14" t="s">
        <v>84</v>
      </c>
      <c r="G22" s="66">
        <v>7.351</v>
      </c>
      <c r="H22" s="15">
        <f t="shared" si="1"/>
        <v>88.21</v>
      </c>
      <c r="I22" s="68">
        <f t="shared" si="2"/>
        <v>97.99</v>
      </c>
      <c r="J22" s="15">
        <f t="shared" si="3"/>
        <v>102.91</v>
      </c>
      <c r="K22" s="71">
        <v>9.9955109980547574E-2</v>
      </c>
      <c r="L22" s="13">
        <f t="shared" si="4"/>
        <v>84.55</v>
      </c>
      <c r="M22" s="13">
        <f t="shared" si="5"/>
        <v>58.81</v>
      </c>
      <c r="N22" s="13">
        <f t="shared" si="6"/>
        <v>65.33</v>
      </c>
      <c r="O22" s="13">
        <f t="shared" si="7"/>
        <v>68.61</v>
      </c>
    </row>
    <row r="23" spans="1:15" ht="15" customHeight="1">
      <c r="A23" s="9" t="s">
        <v>24</v>
      </c>
      <c r="B23" s="64">
        <f t="shared" si="0"/>
        <v>0.127</v>
      </c>
      <c r="C23" s="11">
        <v>5</v>
      </c>
      <c r="D23" s="13" t="s">
        <v>25</v>
      </c>
      <c r="E23" s="13" t="s">
        <v>26</v>
      </c>
      <c r="F23" s="14" t="s">
        <v>86</v>
      </c>
      <c r="G23" s="66">
        <v>8.8350000000000009</v>
      </c>
      <c r="H23" s="15">
        <f t="shared" si="1"/>
        <v>106.02</v>
      </c>
      <c r="I23" s="68">
        <f t="shared" si="2"/>
        <v>117.77</v>
      </c>
      <c r="J23" s="15">
        <f t="shared" si="3"/>
        <v>123.69</v>
      </c>
      <c r="K23" s="71">
        <v>9.9975099601593787E-2</v>
      </c>
      <c r="L23" s="13">
        <f t="shared" si="4"/>
        <v>101.63</v>
      </c>
      <c r="M23" s="13">
        <f t="shared" si="5"/>
        <v>70.680000000000007</v>
      </c>
      <c r="N23" s="13">
        <f t="shared" si="6"/>
        <v>78.510000000000005</v>
      </c>
      <c r="O23" s="13">
        <f t="shared" si="7"/>
        <v>82.46</v>
      </c>
    </row>
    <row r="24" spans="1:15" ht="15" customHeight="1">
      <c r="A24" s="9" t="s">
        <v>24</v>
      </c>
      <c r="B24" s="64">
        <f t="shared" si="0"/>
        <v>0.14000000000000001</v>
      </c>
      <c r="C24" s="11">
        <v>5.5</v>
      </c>
      <c r="D24" s="13" t="s">
        <v>25</v>
      </c>
      <c r="E24" s="13" t="s">
        <v>26</v>
      </c>
      <c r="F24" s="14" t="s">
        <v>86</v>
      </c>
      <c r="G24" s="66">
        <v>8.8610000000000007</v>
      </c>
      <c r="H24" s="15">
        <f t="shared" si="1"/>
        <v>106.33</v>
      </c>
      <c r="I24" s="68">
        <f t="shared" si="2"/>
        <v>118.12</v>
      </c>
      <c r="J24" s="15">
        <f t="shared" si="3"/>
        <v>124.05</v>
      </c>
      <c r="K24" s="71">
        <v>0.10006207324643102</v>
      </c>
      <c r="L24" s="13">
        <f t="shared" si="4"/>
        <v>101.92</v>
      </c>
      <c r="M24" s="13">
        <f t="shared" si="5"/>
        <v>70.89</v>
      </c>
      <c r="N24" s="13">
        <f t="shared" si="6"/>
        <v>78.75</v>
      </c>
      <c r="O24" s="13">
        <f t="shared" si="7"/>
        <v>82.7</v>
      </c>
    </row>
    <row r="25" spans="1:15" ht="15" customHeight="1">
      <c r="A25" s="9" t="s">
        <v>24</v>
      </c>
      <c r="B25" s="64">
        <f t="shared" si="0"/>
        <v>0.152</v>
      </c>
      <c r="C25" s="11">
        <v>6</v>
      </c>
      <c r="D25" s="13" t="s">
        <v>25</v>
      </c>
      <c r="E25" s="13" t="s">
        <v>26</v>
      </c>
      <c r="F25" s="14" t="s">
        <v>93</v>
      </c>
      <c r="G25" s="66">
        <v>7.601</v>
      </c>
      <c r="H25" s="15">
        <f t="shared" si="1"/>
        <v>91.21</v>
      </c>
      <c r="I25" s="68">
        <f t="shared" si="2"/>
        <v>101.32</v>
      </c>
      <c r="J25" s="15">
        <f t="shared" si="3"/>
        <v>106.41</v>
      </c>
      <c r="K25" s="71">
        <v>9.9999999999999867E-2</v>
      </c>
      <c r="L25" s="13">
        <f t="shared" si="4"/>
        <v>87.43</v>
      </c>
      <c r="M25" s="13">
        <f t="shared" si="5"/>
        <v>60.81</v>
      </c>
      <c r="N25" s="13">
        <f t="shared" si="6"/>
        <v>67.55</v>
      </c>
      <c r="O25" s="13">
        <f t="shared" si="7"/>
        <v>70.94</v>
      </c>
    </row>
    <row r="26" spans="1:15" ht="15" customHeight="1">
      <c r="A26" s="9" t="s">
        <v>24</v>
      </c>
      <c r="B26" s="64">
        <f t="shared" si="0"/>
        <v>0.152</v>
      </c>
      <c r="C26" s="11">
        <v>6</v>
      </c>
      <c r="D26" s="13" t="s">
        <v>25</v>
      </c>
      <c r="E26" s="13" t="s">
        <v>26</v>
      </c>
      <c r="F26" s="14" t="s">
        <v>86</v>
      </c>
      <c r="G26" s="66">
        <v>8.8610000000000007</v>
      </c>
      <c r="H26" s="15">
        <f t="shared" si="1"/>
        <v>106.33</v>
      </c>
      <c r="I26" s="68">
        <f t="shared" si="2"/>
        <v>118.12</v>
      </c>
      <c r="J26" s="15">
        <f t="shared" si="3"/>
        <v>124.05</v>
      </c>
      <c r="K26" s="71">
        <v>0.10006207324643102</v>
      </c>
      <c r="L26" s="13">
        <f t="shared" si="4"/>
        <v>101.92</v>
      </c>
      <c r="M26" s="13">
        <f t="shared" si="5"/>
        <v>70.89</v>
      </c>
      <c r="N26" s="13">
        <f t="shared" si="6"/>
        <v>78.75</v>
      </c>
      <c r="O26" s="13">
        <f t="shared" si="7"/>
        <v>82.7</v>
      </c>
    </row>
    <row r="27" spans="1:15" ht="15" customHeight="1">
      <c r="A27" s="9" t="s">
        <v>24</v>
      </c>
      <c r="B27" s="64">
        <f t="shared" si="0"/>
        <v>0.17799999999999999</v>
      </c>
      <c r="C27" s="11">
        <v>7</v>
      </c>
      <c r="D27" s="13" t="s">
        <v>25</v>
      </c>
      <c r="E27" s="13" t="s">
        <v>26</v>
      </c>
      <c r="F27" s="14" t="s">
        <v>98</v>
      </c>
      <c r="G27" s="66">
        <v>7.45</v>
      </c>
      <c r="H27" s="15">
        <f t="shared" si="1"/>
        <v>89.4</v>
      </c>
      <c r="I27" s="68">
        <f t="shared" si="2"/>
        <v>99.31</v>
      </c>
      <c r="J27" s="15">
        <f t="shared" si="3"/>
        <v>104.3</v>
      </c>
      <c r="K27" s="71">
        <v>9.9955706481618334E-2</v>
      </c>
      <c r="L27" s="13">
        <f t="shared" si="4"/>
        <v>85.7</v>
      </c>
      <c r="M27" s="13">
        <f t="shared" si="5"/>
        <v>59.6</v>
      </c>
      <c r="N27" s="13">
        <f t="shared" si="6"/>
        <v>66.209999999999994</v>
      </c>
      <c r="O27" s="13">
        <f t="shared" si="7"/>
        <v>69.53</v>
      </c>
    </row>
    <row r="28" spans="1:15" ht="15" customHeight="1">
      <c r="A28" s="9" t="s">
        <v>24</v>
      </c>
      <c r="B28" s="64">
        <f t="shared" si="0"/>
        <v>0.17799999999999999</v>
      </c>
      <c r="C28" s="11">
        <v>7</v>
      </c>
      <c r="D28" s="13" t="s">
        <v>25</v>
      </c>
      <c r="E28" s="13" t="s">
        <v>26</v>
      </c>
      <c r="F28" s="14" t="s">
        <v>95</v>
      </c>
      <c r="G28" s="66">
        <v>9.2210000000000001</v>
      </c>
      <c r="H28" s="15">
        <f t="shared" si="1"/>
        <v>110.65</v>
      </c>
      <c r="I28" s="68">
        <f t="shared" si="2"/>
        <v>122.92</v>
      </c>
      <c r="J28" s="15">
        <f t="shared" si="3"/>
        <v>129.09</v>
      </c>
      <c r="K28" s="71">
        <v>9.9964213288798787E-2</v>
      </c>
      <c r="L28" s="13">
        <f t="shared" si="4"/>
        <v>106.06</v>
      </c>
      <c r="M28" s="13">
        <f t="shared" si="5"/>
        <v>73.77</v>
      </c>
      <c r="N28" s="13">
        <f t="shared" si="6"/>
        <v>81.95</v>
      </c>
      <c r="O28" s="13">
        <f t="shared" si="7"/>
        <v>86.06</v>
      </c>
    </row>
    <row r="29" spans="1:15" ht="15" customHeight="1">
      <c r="A29" s="9" t="s">
        <v>24</v>
      </c>
      <c r="B29" s="64">
        <f t="shared" si="0"/>
        <v>0.17799999999999999</v>
      </c>
      <c r="C29" s="11">
        <v>7</v>
      </c>
      <c r="D29" s="13" t="s">
        <v>25</v>
      </c>
      <c r="E29" s="13" t="s">
        <v>26</v>
      </c>
      <c r="F29" s="14" t="s">
        <v>87</v>
      </c>
      <c r="G29" s="66">
        <v>9.2210000000000001</v>
      </c>
      <c r="H29" s="15">
        <f t="shared" ref="H29" si="11">ROUND(G29*12,2)</f>
        <v>110.65</v>
      </c>
      <c r="I29" s="68">
        <f t="shared" ref="I29" si="12">ROUND(G29*13.33,2)</f>
        <v>122.92</v>
      </c>
      <c r="J29" s="15">
        <f t="shared" ref="J29" si="13">ROUND(G29*14,2)</f>
        <v>129.09</v>
      </c>
      <c r="K29" s="71">
        <v>9.9964213288798787E-2</v>
      </c>
      <c r="L29" s="13">
        <f t="shared" si="4"/>
        <v>106.06</v>
      </c>
      <c r="M29" s="13">
        <f t="shared" si="5"/>
        <v>73.77</v>
      </c>
      <c r="N29" s="13">
        <f t="shared" si="6"/>
        <v>81.95</v>
      </c>
      <c r="O29" s="13">
        <f t="shared" si="7"/>
        <v>86.06</v>
      </c>
    </row>
    <row r="30" spans="1:15" ht="15" customHeight="1">
      <c r="A30" s="9" t="s">
        <v>24</v>
      </c>
      <c r="B30" s="64">
        <f t="shared" si="0"/>
        <v>0.20300000000000001</v>
      </c>
      <c r="C30" s="11">
        <v>8</v>
      </c>
      <c r="D30" s="13" t="s">
        <v>25</v>
      </c>
      <c r="E30" s="13" t="s">
        <v>26</v>
      </c>
      <c r="F30" s="14" t="s">
        <v>98</v>
      </c>
      <c r="G30" s="66">
        <v>7.45</v>
      </c>
      <c r="H30" s="15">
        <f t="shared" si="1"/>
        <v>89.4</v>
      </c>
      <c r="I30" s="68">
        <f t="shared" si="2"/>
        <v>99.31</v>
      </c>
      <c r="J30" s="15">
        <f t="shared" si="3"/>
        <v>104.3</v>
      </c>
      <c r="K30" s="71">
        <v>9.9955706481618334E-2</v>
      </c>
      <c r="L30" s="13">
        <f t="shared" si="4"/>
        <v>85.7</v>
      </c>
      <c r="M30" s="13">
        <f t="shared" si="5"/>
        <v>59.6</v>
      </c>
      <c r="N30" s="13">
        <f t="shared" si="6"/>
        <v>66.209999999999994</v>
      </c>
      <c r="O30" s="13">
        <f t="shared" si="7"/>
        <v>69.53</v>
      </c>
    </row>
    <row r="31" spans="1:15" ht="15" customHeight="1">
      <c r="A31" s="9" t="s">
        <v>24</v>
      </c>
      <c r="B31" s="64">
        <f t="shared" si="0"/>
        <v>0.20300000000000001</v>
      </c>
      <c r="C31" s="11">
        <v>8</v>
      </c>
      <c r="D31" s="13" t="s">
        <v>25</v>
      </c>
      <c r="E31" s="13" t="s">
        <v>26</v>
      </c>
      <c r="F31" s="14" t="s">
        <v>95</v>
      </c>
      <c r="G31" s="66">
        <v>9.2210000000000001</v>
      </c>
      <c r="H31" s="15">
        <f t="shared" si="1"/>
        <v>110.65</v>
      </c>
      <c r="I31" s="68">
        <f t="shared" si="2"/>
        <v>122.92</v>
      </c>
      <c r="J31" s="15">
        <f t="shared" si="3"/>
        <v>129.09</v>
      </c>
      <c r="K31" s="71">
        <v>9.9964213288798787E-2</v>
      </c>
      <c r="L31" s="13">
        <f t="shared" si="4"/>
        <v>106.06</v>
      </c>
      <c r="M31" s="13">
        <f t="shared" si="5"/>
        <v>73.77</v>
      </c>
      <c r="N31" s="13">
        <f t="shared" si="6"/>
        <v>81.95</v>
      </c>
      <c r="O31" s="13">
        <f t="shared" si="7"/>
        <v>86.06</v>
      </c>
    </row>
    <row r="32" spans="1:15" ht="15" customHeight="1">
      <c r="A32" s="9" t="s">
        <v>24</v>
      </c>
      <c r="B32" s="64">
        <f t="shared" si="0"/>
        <v>0.20300000000000001</v>
      </c>
      <c r="C32" s="11">
        <v>8</v>
      </c>
      <c r="D32" s="13" t="s">
        <v>25</v>
      </c>
      <c r="E32" s="13" t="s">
        <v>26</v>
      </c>
      <c r="F32" s="14" t="s">
        <v>87</v>
      </c>
      <c r="G32" s="66">
        <v>9.2210000000000001</v>
      </c>
      <c r="H32" s="15">
        <f t="shared" ref="H32" si="14">ROUND(G32*12,2)</f>
        <v>110.65</v>
      </c>
      <c r="I32" s="68">
        <f t="shared" ref="I32" si="15">ROUND(G32*13.33,2)</f>
        <v>122.92</v>
      </c>
      <c r="J32" s="15">
        <f t="shared" ref="J32" si="16">ROUND(G32*14,2)</f>
        <v>129.09</v>
      </c>
      <c r="K32" s="71">
        <v>9.9964213288798787E-2</v>
      </c>
      <c r="L32" s="13">
        <f t="shared" si="4"/>
        <v>106.06</v>
      </c>
      <c r="M32" s="13">
        <f t="shared" si="5"/>
        <v>73.77</v>
      </c>
      <c r="N32" s="13">
        <f t="shared" si="6"/>
        <v>81.95</v>
      </c>
      <c r="O32" s="13">
        <f t="shared" si="7"/>
        <v>86.06</v>
      </c>
    </row>
    <row r="33" spans="1:15" ht="15" customHeight="1">
      <c r="A33" s="9" t="s">
        <v>24</v>
      </c>
      <c r="B33" s="64">
        <f t="shared" si="0"/>
        <v>0.20300000000000001</v>
      </c>
      <c r="C33" s="11">
        <v>8</v>
      </c>
      <c r="D33" s="13" t="s">
        <v>25</v>
      </c>
      <c r="E33" s="13" t="s">
        <v>26</v>
      </c>
      <c r="F33" s="14" t="s">
        <v>89</v>
      </c>
      <c r="G33" s="66">
        <v>9.0239999999999991</v>
      </c>
      <c r="H33" s="15">
        <f t="shared" si="1"/>
        <v>108.29</v>
      </c>
      <c r="I33" s="68">
        <f t="shared" si="2"/>
        <v>120.29</v>
      </c>
      <c r="J33" s="15">
        <f t="shared" si="3"/>
        <v>126.34</v>
      </c>
      <c r="K33" s="71">
        <v>9.9951243295953063E-2</v>
      </c>
      <c r="L33" s="13">
        <f t="shared" si="4"/>
        <v>103.8</v>
      </c>
      <c r="M33" s="13">
        <f t="shared" si="5"/>
        <v>72.19</v>
      </c>
      <c r="N33" s="13">
        <f t="shared" si="6"/>
        <v>80.19</v>
      </c>
      <c r="O33" s="13">
        <f t="shared" si="7"/>
        <v>84.23</v>
      </c>
    </row>
    <row r="34" spans="1:15" ht="15" customHeight="1">
      <c r="A34" s="9" t="s">
        <v>24</v>
      </c>
      <c r="B34" s="64">
        <f t="shared" si="0"/>
        <v>0.22900000000000001</v>
      </c>
      <c r="C34" s="11">
        <v>9</v>
      </c>
      <c r="D34" s="13" t="s">
        <v>25</v>
      </c>
      <c r="E34" s="13" t="s">
        <v>26</v>
      </c>
      <c r="F34" s="14" t="s">
        <v>89</v>
      </c>
      <c r="G34" s="66">
        <v>9.0239999999999991</v>
      </c>
      <c r="H34" s="15">
        <f t="shared" si="1"/>
        <v>108.29</v>
      </c>
      <c r="I34" s="68">
        <f t="shared" si="2"/>
        <v>120.29</v>
      </c>
      <c r="J34" s="15">
        <f t="shared" si="3"/>
        <v>126.34</v>
      </c>
      <c r="K34" s="71">
        <v>9.9951243295953063E-2</v>
      </c>
      <c r="L34" s="13">
        <f t="shared" si="4"/>
        <v>103.8</v>
      </c>
      <c r="M34" s="13">
        <f t="shared" si="5"/>
        <v>72.19</v>
      </c>
      <c r="N34" s="13">
        <f t="shared" si="6"/>
        <v>80.19</v>
      </c>
      <c r="O34" s="13">
        <f t="shared" si="7"/>
        <v>84.23</v>
      </c>
    </row>
    <row r="35" spans="1:15" ht="15" customHeight="1">
      <c r="A35" s="9" t="s">
        <v>24</v>
      </c>
      <c r="B35" s="64">
        <f t="shared" si="0"/>
        <v>0.254</v>
      </c>
      <c r="C35" s="11">
        <v>10</v>
      </c>
      <c r="D35" s="13" t="s">
        <v>25</v>
      </c>
      <c r="E35" s="13" t="s">
        <v>26</v>
      </c>
      <c r="F35" s="14" t="s">
        <v>89</v>
      </c>
      <c r="G35" s="66">
        <v>9.0239999999999991</v>
      </c>
      <c r="H35" s="15">
        <f t="shared" si="1"/>
        <v>108.29</v>
      </c>
      <c r="I35" s="68">
        <f t="shared" si="2"/>
        <v>120.29</v>
      </c>
      <c r="J35" s="15">
        <f t="shared" si="3"/>
        <v>126.34</v>
      </c>
      <c r="K35" s="71">
        <v>9.9951243295953063E-2</v>
      </c>
      <c r="L35" s="13">
        <f t="shared" si="4"/>
        <v>103.8</v>
      </c>
      <c r="M35" s="13">
        <f t="shared" si="5"/>
        <v>72.19</v>
      </c>
      <c r="N35" s="13">
        <f t="shared" si="6"/>
        <v>80.19</v>
      </c>
      <c r="O35" s="13">
        <f t="shared" si="7"/>
        <v>84.23</v>
      </c>
    </row>
    <row r="36" spans="1:15" ht="15" customHeight="1">
      <c r="A36" s="9" t="s">
        <v>24</v>
      </c>
      <c r="B36" s="64">
        <f t="shared" si="0"/>
        <v>0.30499999999999999</v>
      </c>
      <c r="C36" s="11">
        <v>12</v>
      </c>
      <c r="D36" s="13" t="s">
        <v>25</v>
      </c>
      <c r="E36" s="13" t="s">
        <v>26</v>
      </c>
      <c r="F36" s="14" t="s">
        <v>99</v>
      </c>
      <c r="G36" s="66">
        <v>9.1869999999999994</v>
      </c>
      <c r="H36" s="15">
        <f t="shared" si="1"/>
        <v>110.24</v>
      </c>
      <c r="I36" s="68">
        <f t="shared" si="2"/>
        <v>122.46</v>
      </c>
      <c r="J36" s="15">
        <f t="shared" si="3"/>
        <v>128.62</v>
      </c>
      <c r="K36" s="71">
        <v>9.9976053639846629E-2</v>
      </c>
      <c r="L36" s="13">
        <f t="shared" si="4"/>
        <v>105.67</v>
      </c>
      <c r="M36" s="13">
        <f t="shared" si="5"/>
        <v>73.489999999999995</v>
      </c>
      <c r="N36" s="13">
        <f t="shared" si="6"/>
        <v>81.64</v>
      </c>
      <c r="O36" s="13">
        <f t="shared" si="7"/>
        <v>85.75</v>
      </c>
    </row>
    <row r="37" spans="1:15" ht="15" customHeight="1">
      <c r="A37" s="9" t="s">
        <v>24</v>
      </c>
      <c r="B37" s="64">
        <f t="shared" si="0"/>
        <v>0.33</v>
      </c>
      <c r="C37" s="11">
        <v>13</v>
      </c>
      <c r="D37" s="13" t="s">
        <v>25</v>
      </c>
      <c r="E37" s="13" t="s">
        <v>26</v>
      </c>
      <c r="F37" s="14" t="s">
        <v>99</v>
      </c>
      <c r="G37" s="66">
        <v>9.1869999999999994</v>
      </c>
      <c r="H37" s="15">
        <f t="shared" si="1"/>
        <v>110.24</v>
      </c>
      <c r="I37" s="68">
        <f t="shared" si="2"/>
        <v>122.46</v>
      </c>
      <c r="J37" s="15">
        <f t="shared" si="3"/>
        <v>128.62</v>
      </c>
      <c r="K37" s="71">
        <v>9.9976053639846629E-2</v>
      </c>
      <c r="L37" s="13">
        <f t="shared" si="4"/>
        <v>105.67</v>
      </c>
      <c r="M37" s="13">
        <f t="shared" si="5"/>
        <v>73.489999999999995</v>
      </c>
      <c r="N37" s="13">
        <f t="shared" si="6"/>
        <v>81.64</v>
      </c>
      <c r="O37" s="13">
        <f t="shared" si="7"/>
        <v>85.75</v>
      </c>
    </row>
    <row r="38" spans="1:15" ht="15" customHeight="1">
      <c r="A38" s="9" t="s">
        <v>24</v>
      </c>
      <c r="B38" s="64">
        <f t="shared" si="0"/>
        <v>0.33</v>
      </c>
      <c r="C38" s="11">
        <v>13</v>
      </c>
      <c r="D38" s="13" t="s">
        <v>25</v>
      </c>
      <c r="E38" s="13" t="s">
        <v>26</v>
      </c>
      <c r="F38" s="14" t="s">
        <v>106</v>
      </c>
      <c r="G38" s="66">
        <v>10.335000000000001</v>
      </c>
      <c r="H38" s="15">
        <f t="shared" si="1"/>
        <v>124.02</v>
      </c>
      <c r="I38" s="68">
        <f t="shared" si="2"/>
        <v>137.77000000000001</v>
      </c>
      <c r="J38" s="15">
        <f t="shared" si="3"/>
        <v>144.69</v>
      </c>
      <c r="K38" s="71">
        <v>0.10005321979776483</v>
      </c>
      <c r="L38" s="13">
        <f t="shared" si="4"/>
        <v>118.88</v>
      </c>
      <c r="M38" s="13">
        <f t="shared" si="5"/>
        <v>82.68</v>
      </c>
      <c r="N38" s="13">
        <f t="shared" si="6"/>
        <v>91.85</v>
      </c>
      <c r="O38" s="13">
        <f t="shared" si="7"/>
        <v>96.46</v>
      </c>
    </row>
    <row r="39" spans="1:15" ht="15" customHeight="1">
      <c r="A39" s="9" t="s">
        <v>24</v>
      </c>
      <c r="B39" s="64">
        <f t="shared" si="0"/>
        <v>0.35599999999999998</v>
      </c>
      <c r="C39" s="11">
        <v>14</v>
      </c>
      <c r="D39" s="13" t="s">
        <v>25</v>
      </c>
      <c r="E39" s="13" t="s">
        <v>26</v>
      </c>
      <c r="F39" s="14" t="s">
        <v>100</v>
      </c>
      <c r="G39" s="66">
        <v>9.1110000000000007</v>
      </c>
      <c r="H39" s="15">
        <f t="shared" si="1"/>
        <v>109.33</v>
      </c>
      <c r="I39" s="68">
        <f t="shared" si="2"/>
        <v>121.45</v>
      </c>
      <c r="J39" s="15">
        <f t="shared" si="3"/>
        <v>127.55</v>
      </c>
      <c r="K39" s="71">
        <v>9.996378123868177E-2</v>
      </c>
      <c r="L39" s="13">
        <f t="shared" si="4"/>
        <v>104.8</v>
      </c>
      <c r="M39" s="13">
        <f t="shared" si="5"/>
        <v>72.89</v>
      </c>
      <c r="N39" s="13">
        <f t="shared" si="6"/>
        <v>80.97</v>
      </c>
      <c r="O39" s="13">
        <f t="shared" si="7"/>
        <v>85.03</v>
      </c>
    </row>
    <row r="40" spans="1:15" ht="15" customHeight="1">
      <c r="A40" s="9" t="s">
        <v>24</v>
      </c>
      <c r="B40" s="64">
        <f t="shared" si="0"/>
        <v>0.38100000000000001</v>
      </c>
      <c r="C40" s="11">
        <v>15</v>
      </c>
      <c r="D40" s="13" t="s">
        <v>25</v>
      </c>
      <c r="E40" s="13" t="s">
        <v>26</v>
      </c>
      <c r="F40" s="14" t="s">
        <v>90</v>
      </c>
      <c r="G40" s="66">
        <v>10.335000000000001</v>
      </c>
      <c r="H40" s="15">
        <f t="shared" si="1"/>
        <v>124.02</v>
      </c>
      <c r="I40" s="68">
        <f t="shared" si="2"/>
        <v>137.77000000000001</v>
      </c>
      <c r="J40" s="15">
        <f t="shared" si="3"/>
        <v>144.69</v>
      </c>
      <c r="K40" s="71">
        <v>0.10005321979776483</v>
      </c>
      <c r="L40" s="13">
        <f t="shared" si="4"/>
        <v>118.88</v>
      </c>
      <c r="M40" s="13">
        <f t="shared" si="5"/>
        <v>82.68</v>
      </c>
      <c r="N40" s="13">
        <f t="shared" si="6"/>
        <v>91.85</v>
      </c>
      <c r="O40" s="13">
        <f t="shared" si="7"/>
        <v>96.46</v>
      </c>
    </row>
    <row r="41" spans="1:15" ht="15" customHeight="1">
      <c r="A41" s="9" t="s">
        <v>24</v>
      </c>
      <c r="B41" s="64">
        <f t="shared" si="0"/>
        <v>0.40600000000000003</v>
      </c>
      <c r="C41" s="11">
        <v>16</v>
      </c>
      <c r="D41" s="13" t="s">
        <v>25</v>
      </c>
      <c r="E41" s="13" t="s">
        <v>26</v>
      </c>
      <c r="F41" s="14" t="s">
        <v>100</v>
      </c>
      <c r="G41" s="66">
        <v>9.2530000000000001</v>
      </c>
      <c r="H41" s="15">
        <f t="shared" si="1"/>
        <v>111.04</v>
      </c>
      <c r="I41" s="68">
        <f t="shared" si="2"/>
        <v>123.34</v>
      </c>
      <c r="J41" s="15">
        <f t="shared" si="3"/>
        <v>129.54</v>
      </c>
      <c r="K41" s="71">
        <v>9.9976224441274297E-2</v>
      </c>
      <c r="L41" s="13">
        <f t="shared" si="4"/>
        <v>106.43</v>
      </c>
      <c r="M41" s="13">
        <f t="shared" si="5"/>
        <v>74.03</v>
      </c>
      <c r="N41" s="13">
        <f t="shared" si="6"/>
        <v>82.23</v>
      </c>
      <c r="O41" s="13">
        <f t="shared" si="7"/>
        <v>86.36</v>
      </c>
    </row>
    <row r="42" spans="1:15" ht="15" customHeight="1">
      <c r="A42" s="9" t="s">
        <v>24</v>
      </c>
      <c r="B42" s="64">
        <f t="shared" si="0"/>
        <v>0.45700000000000002</v>
      </c>
      <c r="C42" s="11">
        <v>18</v>
      </c>
      <c r="D42" s="13" t="s">
        <v>25</v>
      </c>
      <c r="E42" s="13" t="s">
        <v>26</v>
      </c>
      <c r="F42" s="14" t="s">
        <v>107</v>
      </c>
      <c r="G42" s="66">
        <v>10.49</v>
      </c>
      <c r="H42" s="15">
        <f t="shared" si="1"/>
        <v>125.88</v>
      </c>
      <c r="I42" s="68">
        <f t="shared" si="2"/>
        <v>139.83000000000001</v>
      </c>
      <c r="J42" s="15">
        <f t="shared" si="3"/>
        <v>146.86000000000001</v>
      </c>
      <c r="K42" s="71">
        <v>0.10004194630872498</v>
      </c>
      <c r="L42" s="13">
        <f t="shared" si="4"/>
        <v>120.66</v>
      </c>
      <c r="M42" s="13">
        <f t="shared" si="5"/>
        <v>83.92</v>
      </c>
      <c r="N42" s="13">
        <f t="shared" si="6"/>
        <v>93.22</v>
      </c>
      <c r="O42" s="13">
        <f t="shared" si="7"/>
        <v>97.91</v>
      </c>
    </row>
    <row r="43" spans="1:15" ht="15" customHeight="1">
      <c r="A43" s="9" t="s">
        <v>24</v>
      </c>
      <c r="B43" s="64">
        <f t="shared" si="0"/>
        <v>0.50800000000000001</v>
      </c>
      <c r="C43" s="11">
        <v>20</v>
      </c>
      <c r="D43" s="13" t="s">
        <v>25</v>
      </c>
      <c r="E43" s="13" t="s">
        <v>26</v>
      </c>
      <c r="F43" s="14" t="s">
        <v>108</v>
      </c>
      <c r="G43" s="66">
        <v>10.656000000000001</v>
      </c>
      <c r="H43" s="15">
        <f t="shared" si="1"/>
        <v>127.87</v>
      </c>
      <c r="I43" s="68">
        <f t="shared" si="2"/>
        <v>142.04</v>
      </c>
      <c r="J43" s="15">
        <f t="shared" si="3"/>
        <v>149.18</v>
      </c>
      <c r="K43" s="71">
        <v>0.10003096934035316</v>
      </c>
      <c r="L43" s="13">
        <f t="shared" si="4"/>
        <v>122.57</v>
      </c>
      <c r="M43" s="13">
        <f t="shared" si="5"/>
        <v>85.25</v>
      </c>
      <c r="N43" s="13">
        <f t="shared" si="6"/>
        <v>94.69</v>
      </c>
      <c r="O43" s="13">
        <f t="shared" si="7"/>
        <v>99.45</v>
      </c>
    </row>
    <row r="44" spans="1:15" ht="15" customHeight="1">
      <c r="A44" s="9" t="s">
        <v>24</v>
      </c>
      <c r="B44" s="64">
        <f t="shared" si="0"/>
        <v>0.53300000000000003</v>
      </c>
      <c r="C44" s="11">
        <v>21</v>
      </c>
      <c r="D44" s="13" t="s">
        <v>25</v>
      </c>
      <c r="E44" s="13" t="s">
        <v>26</v>
      </c>
      <c r="F44" s="14" t="s">
        <v>94</v>
      </c>
      <c r="G44" s="66">
        <v>10.723000000000001</v>
      </c>
      <c r="H44" s="15">
        <f t="shared" si="1"/>
        <v>128.68</v>
      </c>
      <c r="I44" s="68">
        <f t="shared" si="2"/>
        <v>142.94</v>
      </c>
      <c r="J44" s="15">
        <f t="shared" si="3"/>
        <v>150.12</v>
      </c>
      <c r="K44" s="71">
        <v>0.10002051702913439</v>
      </c>
      <c r="L44" s="13">
        <f t="shared" si="4"/>
        <v>123.35</v>
      </c>
      <c r="M44" s="13">
        <f t="shared" si="5"/>
        <v>85.79</v>
      </c>
      <c r="N44" s="13">
        <f t="shared" si="6"/>
        <v>95.29</v>
      </c>
      <c r="O44" s="13">
        <f t="shared" si="7"/>
        <v>100.08</v>
      </c>
    </row>
    <row r="45" spans="1:15" ht="15" customHeight="1">
      <c r="A45" s="9" t="s">
        <v>24</v>
      </c>
      <c r="B45" s="64">
        <f t="shared" si="0"/>
        <v>0.61</v>
      </c>
      <c r="C45" s="11">
        <v>24</v>
      </c>
      <c r="D45" s="13" t="s">
        <v>25</v>
      </c>
      <c r="E45" s="13" t="s">
        <v>26</v>
      </c>
      <c r="F45" s="14" t="s">
        <v>94</v>
      </c>
      <c r="G45" s="66">
        <v>10.723000000000001</v>
      </c>
      <c r="H45" s="15">
        <f t="shared" si="1"/>
        <v>128.68</v>
      </c>
      <c r="I45" s="68">
        <f t="shared" si="2"/>
        <v>142.94</v>
      </c>
      <c r="J45" s="15">
        <f t="shared" si="3"/>
        <v>150.12</v>
      </c>
      <c r="K45" s="71">
        <v>0.10002051702913439</v>
      </c>
      <c r="L45" s="13">
        <f t="shared" si="4"/>
        <v>123.35</v>
      </c>
      <c r="M45" s="13">
        <f t="shared" si="5"/>
        <v>85.79</v>
      </c>
      <c r="N45" s="13">
        <f t="shared" si="6"/>
        <v>95.29</v>
      </c>
      <c r="O45" s="13">
        <f t="shared" si="7"/>
        <v>100.08</v>
      </c>
    </row>
    <row r="46" spans="1:15" ht="15" customHeight="1">
      <c r="A46" s="9" t="s">
        <v>24</v>
      </c>
      <c r="B46" s="64">
        <f t="shared" si="0"/>
        <v>0.66</v>
      </c>
      <c r="C46" s="11">
        <v>26</v>
      </c>
      <c r="D46" s="13" t="s">
        <v>25</v>
      </c>
      <c r="E46" s="13" t="s">
        <v>26</v>
      </c>
      <c r="F46" s="86" t="s">
        <v>109</v>
      </c>
      <c r="G46" s="66">
        <v>12.121</v>
      </c>
      <c r="H46" s="15">
        <f t="shared" si="1"/>
        <v>145.44999999999999</v>
      </c>
      <c r="I46" s="68">
        <f t="shared" si="2"/>
        <v>161.57</v>
      </c>
      <c r="J46" s="15">
        <f t="shared" si="3"/>
        <v>169.69</v>
      </c>
      <c r="K46" s="71">
        <v>0.10000907523368729</v>
      </c>
      <c r="L46" s="13">
        <f t="shared" si="4"/>
        <v>139.41999999999999</v>
      </c>
      <c r="M46" s="13">
        <f t="shared" si="5"/>
        <v>96.97</v>
      </c>
      <c r="N46" s="13">
        <f t="shared" si="6"/>
        <v>107.71</v>
      </c>
      <c r="O46" s="13">
        <f t="shared" si="7"/>
        <v>113.13</v>
      </c>
    </row>
    <row r="47" spans="1:15" ht="15" customHeight="1">
      <c r="A47" s="9" t="s">
        <v>24</v>
      </c>
      <c r="B47" s="64">
        <f t="shared" si="0"/>
        <v>0.71099999999999997</v>
      </c>
      <c r="C47" s="11">
        <v>28</v>
      </c>
      <c r="D47" s="13" t="s">
        <v>25</v>
      </c>
      <c r="E47" s="13" t="s">
        <v>26</v>
      </c>
      <c r="F47" s="14" t="s">
        <v>101</v>
      </c>
      <c r="G47" s="66">
        <v>11.755000000000001</v>
      </c>
      <c r="H47" s="15">
        <f t="shared" si="1"/>
        <v>141.06</v>
      </c>
      <c r="I47" s="68">
        <f t="shared" si="2"/>
        <v>156.69</v>
      </c>
      <c r="J47" s="15">
        <f t="shared" si="3"/>
        <v>164.57</v>
      </c>
      <c r="K47" s="71">
        <v>0.10003743215422056</v>
      </c>
      <c r="L47" s="13">
        <f t="shared" si="4"/>
        <v>135.22</v>
      </c>
      <c r="M47" s="13">
        <f t="shared" si="5"/>
        <v>94.04</v>
      </c>
      <c r="N47" s="13">
        <f t="shared" si="6"/>
        <v>104.46</v>
      </c>
      <c r="O47" s="13">
        <f t="shared" si="7"/>
        <v>109.71</v>
      </c>
    </row>
    <row r="48" spans="1:15" ht="15" customHeight="1">
      <c r="A48" s="9" t="s">
        <v>24</v>
      </c>
      <c r="B48" s="64">
        <f t="shared" si="0"/>
        <v>0.76200000000000001</v>
      </c>
      <c r="C48" s="11">
        <v>30</v>
      </c>
      <c r="D48" s="13" t="s">
        <v>25</v>
      </c>
      <c r="E48" s="13" t="s">
        <v>26</v>
      </c>
      <c r="F48" s="14" t="s">
        <v>101</v>
      </c>
      <c r="G48" s="66">
        <v>12.121</v>
      </c>
      <c r="H48" s="15">
        <f t="shared" si="1"/>
        <v>145.44999999999999</v>
      </c>
      <c r="I48" s="68">
        <f t="shared" si="2"/>
        <v>161.57</v>
      </c>
      <c r="J48" s="15">
        <f t="shared" si="3"/>
        <v>169.69</v>
      </c>
      <c r="K48" s="71">
        <v>0.10000907523368729</v>
      </c>
      <c r="L48" s="13">
        <f t="shared" si="4"/>
        <v>139.41999999999999</v>
      </c>
      <c r="M48" s="13">
        <f t="shared" si="5"/>
        <v>96.97</v>
      </c>
      <c r="N48" s="13">
        <f t="shared" si="6"/>
        <v>107.71</v>
      </c>
      <c r="O48" s="13">
        <f t="shared" si="7"/>
        <v>113.13</v>
      </c>
    </row>
    <row r="49" spans="1:15" ht="15" customHeight="1">
      <c r="A49" s="9" t="s">
        <v>24</v>
      </c>
      <c r="B49" s="64">
        <f t="shared" si="0"/>
        <v>0.81299999999999994</v>
      </c>
      <c r="C49" s="11">
        <v>32</v>
      </c>
      <c r="D49" s="13" t="s">
        <v>25</v>
      </c>
      <c r="E49" s="13" t="s">
        <v>26</v>
      </c>
      <c r="F49" s="14" t="s">
        <v>101</v>
      </c>
      <c r="G49" s="66">
        <v>12.121</v>
      </c>
      <c r="H49" s="15">
        <f t="shared" si="1"/>
        <v>145.44999999999999</v>
      </c>
      <c r="I49" s="68">
        <f t="shared" si="2"/>
        <v>161.57</v>
      </c>
      <c r="J49" s="15">
        <f t="shared" si="3"/>
        <v>169.69</v>
      </c>
      <c r="K49" s="71">
        <v>0.10000907523368729</v>
      </c>
      <c r="L49" s="13">
        <f t="shared" si="4"/>
        <v>139.41999999999999</v>
      </c>
      <c r="M49" s="13">
        <f t="shared" si="5"/>
        <v>96.97</v>
      </c>
      <c r="N49" s="13">
        <f t="shared" si="6"/>
        <v>107.71</v>
      </c>
      <c r="O49" s="13">
        <f t="shared" si="7"/>
        <v>113.13</v>
      </c>
    </row>
    <row r="50" spans="1:15" ht="15" customHeight="1">
      <c r="A50" s="9" t="s">
        <v>24</v>
      </c>
      <c r="B50" s="64">
        <f t="shared" si="0"/>
        <v>0.83799999999999997</v>
      </c>
      <c r="C50" s="11">
        <v>33</v>
      </c>
      <c r="D50" s="13" t="s">
        <v>25</v>
      </c>
      <c r="E50" s="13" t="s">
        <v>26</v>
      </c>
      <c r="F50" s="76" t="s">
        <v>110</v>
      </c>
      <c r="G50" s="66">
        <v>14.012</v>
      </c>
      <c r="H50" s="15">
        <f t="shared" si="1"/>
        <v>168.14</v>
      </c>
      <c r="I50" s="68">
        <f t="shared" si="2"/>
        <v>186.78</v>
      </c>
      <c r="J50" s="15">
        <f t="shared" si="3"/>
        <v>196.17</v>
      </c>
      <c r="K50" s="71">
        <v>0.10001570105197066</v>
      </c>
      <c r="L50" s="13">
        <f t="shared" si="4"/>
        <v>161.16999999999999</v>
      </c>
      <c r="M50" s="13">
        <f t="shared" si="5"/>
        <v>112.09</v>
      </c>
      <c r="N50" s="13">
        <f t="shared" si="6"/>
        <v>124.52</v>
      </c>
      <c r="O50" s="13">
        <f t="shared" si="7"/>
        <v>130.78</v>
      </c>
    </row>
    <row r="51" spans="1:15" ht="15" customHeight="1">
      <c r="A51" s="9" t="s">
        <v>24</v>
      </c>
      <c r="B51" s="64">
        <f t="shared" si="0"/>
        <v>0.86399999999999999</v>
      </c>
      <c r="C51" s="11">
        <v>34</v>
      </c>
      <c r="D51" s="13" t="s">
        <v>25</v>
      </c>
      <c r="E51" s="13" t="s">
        <v>26</v>
      </c>
      <c r="F51" s="14" t="s">
        <v>111</v>
      </c>
      <c r="G51" s="66">
        <v>13.752000000000001</v>
      </c>
      <c r="H51" s="15">
        <f t="shared" si="1"/>
        <v>165.02</v>
      </c>
      <c r="I51" s="68">
        <f t="shared" si="2"/>
        <v>183.31</v>
      </c>
      <c r="J51" s="15">
        <f t="shared" si="3"/>
        <v>192.53</v>
      </c>
      <c r="K51" s="71">
        <v>9.998400255959039E-2</v>
      </c>
      <c r="L51" s="13">
        <f t="shared" si="4"/>
        <v>158.18</v>
      </c>
      <c r="M51" s="13">
        <f t="shared" si="5"/>
        <v>110.01</v>
      </c>
      <c r="N51" s="13">
        <f t="shared" si="6"/>
        <v>122.21</v>
      </c>
      <c r="O51" s="13">
        <f t="shared" si="7"/>
        <v>128.35</v>
      </c>
    </row>
    <row r="52" spans="1:15" ht="15" customHeight="1">
      <c r="A52" s="9" t="s">
        <v>24</v>
      </c>
      <c r="B52" s="64">
        <f t="shared" si="0"/>
        <v>0.91400000000000003</v>
      </c>
      <c r="C52" s="31">
        <v>36</v>
      </c>
      <c r="D52" s="13" t="s">
        <v>25</v>
      </c>
      <c r="E52" s="13" t="s">
        <v>26</v>
      </c>
      <c r="F52" s="32" t="s">
        <v>96</v>
      </c>
      <c r="G52" s="66">
        <v>13.984999999999999</v>
      </c>
      <c r="H52" s="15">
        <f t="shared" si="1"/>
        <v>167.82</v>
      </c>
      <c r="I52" s="68">
        <f t="shared" si="2"/>
        <v>186.42</v>
      </c>
      <c r="J52" s="15">
        <f t="shared" si="3"/>
        <v>195.79</v>
      </c>
      <c r="K52" s="71">
        <v>9.996853861884536E-2</v>
      </c>
      <c r="L52" s="13">
        <f t="shared" si="4"/>
        <v>160.86000000000001</v>
      </c>
      <c r="M52" s="13">
        <f t="shared" si="5"/>
        <v>111.88</v>
      </c>
      <c r="N52" s="13">
        <f t="shared" si="6"/>
        <v>124.28</v>
      </c>
      <c r="O52" s="13">
        <f t="shared" si="7"/>
        <v>130.53</v>
      </c>
    </row>
    <row r="53" spans="1:15" ht="15" customHeight="1">
      <c r="A53" s="9" t="s">
        <v>24</v>
      </c>
      <c r="B53" s="64">
        <f t="shared" si="0"/>
        <v>0.94</v>
      </c>
      <c r="C53" s="31">
        <v>37</v>
      </c>
      <c r="D53" s="13" t="s">
        <v>25</v>
      </c>
      <c r="E53" s="13" t="s">
        <v>26</v>
      </c>
      <c r="F53" s="32" t="s">
        <v>96</v>
      </c>
      <c r="G53" s="66">
        <v>13.984999999999999</v>
      </c>
      <c r="H53" s="15">
        <f t="shared" si="1"/>
        <v>167.82</v>
      </c>
      <c r="I53" s="68">
        <f t="shared" si="2"/>
        <v>186.42</v>
      </c>
      <c r="J53" s="15">
        <f t="shared" si="3"/>
        <v>195.79</v>
      </c>
      <c r="K53" s="71">
        <v>9.996853861884536E-2</v>
      </c>
      <c r="L53" s="13">
        <f t="shared" si="4"/>
        <v>160.86000000000001</v>
      </c>
      <c r="M53" s="13">
        <f t="shared" si="5"/>
        <v>111.88</v>
      </c>
      <c r="N53" s="13">
        <f t="shared" si="6"/>
        <v>124.28</v>
      </c>
      <c r="O53" s="13">
        <f t="shared" si="7"/>
        <v>130.53</v>
      </c>
    </row>
    <row r="54" spans="1:15" ht="15" customHeight="1">
      <c r="A54" s="9" t="s">
        <v>24</v>
      </c>
      <c r="B54" s="64">
        <f t="shared" si="0"/>
        <v>0.99099999999999999</v>
      </c>
      <c r="C54" s="31">
        <v>39</v>
      </c>
      <c r="D54" s="13" t="s">
        <v>25</v>
      </c>
      <c r="E54" s="13" t="s">
        <v>26</v>
      </c>
      <c r="F54" s="32" t="s">
        <v>96</v>
      </c>
      <c r="G54" s="66">
        <v>13.984999999999999</v>
      </c>
      <c r="H54" s="15">
        <f t="shared" si="1"/>
        <v>167.82</v>
      </c>
      <c r="I54" s="68">
        <f t="shared" si="2"/>
        <v>186.42</v>
      </c>
      <c r="J54" s="15">
        <f t="shared" si="3"/>
        <v>195.79</v>
      </c>
      <c r="K54" s="71">
        <v>9.996853861884536E-2</v>
      </c>
      <c r="L54" s="13">
        <f t="shared" si="4"/>
        <v>160.86000000000001</v>
      </c>
      <c r="M54" s="13">
        <f t="shared" si="5"/>
        <v>111.88</v>
      </c>
      <c r="N54" s="13">
        <f t="shared" si="6"/>
        <v>124.28</v>
      </c>
      <c r="O54" s="13">
        <f t="shared" si="7"/>
        <v>130.53</v>
      </c>
    </row>
    <row r="55" spans="1:15" ht="15" customHeight="1">
      <c r="A55" s="9" t="s">
        <v>24</v>
      </c>
      <c r="B55" s="64">
        <f t="shared" si="0"/>
        <v>1.0669999999999999</v>
      </c>
      <c r="C55" s="31">
        <v>42</v>
      </c>
      <c r="D55" s="13" t="s">
        <v>25</v>
      </c>
      <c r="E55" s="13" t="s">
        <v>26</v>
      </c>
      <c r="F55" s="32" t="s">
        <v>102</v>
      </c>
      <c r="G55" s="66">
        <v>15.032999999999999</v>
      </c>
      <c r="H55" s="15">
        <f t="shared" si="1"/>
        <v>180.4</v>
      </c>
      <c r="I55" s="68">
        <f t="shared" si="2"/>
        <v>200.39</v>
      </c>
      <c r="J55" s="15">
        <f t="shared" si="3"/>
        <v>210.46</v>
      </c>
      <c r="K55" s="71">
        <v>0.1000292697204741</v>
      </c>
      <c r="L55" s="13">
        <f t="shared" si="4"/>
        <v>172.92</v>
      </c>
      <c r="M55" s="13">
        <f t="shared" si="5"/>
        <v>120.27</v>
      </c>
      <c r="N55" s="13">
        <f t="shared" si="6"/>
        <v>133.59</v>
      </c>
      <c r="O55" s="13">
        <f t="shared" si="7"/>
        <v>140.31</v>
      </c>
    </row>
    <row r="56" spans="1:15" ht="15" customHeight="1">
      <c r="A56" s="9" t="s">
        <v>24</v>
      </c>
      <c r="B56" s="64">
        <f t="shared" si="0"/>
        <v>1.0920000000000001</v>
      </c>
      <c r="C56" s="31">
        <v>43</v>
      </c>
      <c r="D56" s="13" t="s">
        <v>25</v>
      </c>
      <c r="E56" s="13" t="s">
        <v>26</v>
      </c>
      <c r="F56" s="32" t="s">
        <v>102</v>
      </c>
      <c r="G56" s="66">
        <v>15.032999999999999</v>
      </c>
      <c r="H56" s="15">
        <f t="shared" si="1"/>
        <v>180.4</v>
      </c>
      <c r="I56" s="68">
        <f t="shared" si="2"/>
        <v>200.39</v>
      </c>
      <c r="J56" s="15">
        <f t="shared" si="3"/>
        <v>210.46</v>
      </c>
      <c r="K56" s="71">
        <v>0.1000292697204741</v>
      </c>
      <c r="L56" s="13">
        <f t="shared" si="4"/>
        <v>172.92</v>
      </c>
      <c r="M56" s="13">
        <f t="shared" si="5"/>
        <v>120.27</v>
      </c>
      <c r="N56" s="13">
        <f t="shared" si="6"/>
        <v>133.59</v>
      </c>
      <c r="O56" s="13">
        <f t="shared" si="7"/>
        <v>140.31</v>
      </c>
    </row>
    <row r="57" spans="1:15" ht="15" customHeight="1">
      <c r="A57" s="9" t="s">
        <v>24</v>
      </c>
      <c r="B57" s="64">
        <f t="shared" si="0"/>
        <v>1.143</v>
      </c>
      <c r="C57" s="31">
        <v>45</v>
      </c>
      <c r="D57" s="13" t="s">
        <v>25</v>
      </c>
      <c r="E57" s="13" t="s">
        <v>26</v>
      </c>
      <c r="F57" s="32" t="s">
        <v>102</v>
      </c>
      <c r="G57" s="66">
        <v>15.032999999999999</v>
      </c>
      <c r="H57" s="15">
        <f t="shared" si="1"/>
        <v>180.4</v>
      </c>
      <c r="I57" s="68">
        <f t="shared" si="2"/>
        <v>200.39</v>
      </c>
      <c r="J57" s="15">
        <f t="shared" si="3"/>
        <v>210.46</v>
      </c>
      <c r="K57" s="71">
        <v>0.1000292697204741</v>
      </c>
      <c r="L57" s="13">
        <f t="shared" si="4"/>
        <v>172.92</v>
      </c>
      <c r="M57" s="13">
        <f t="shared" si="5"/>
        <v>120.27</v>
      </c>
      <c r="N57" s="13">
        <f t="shared" si="6"/>
        <v>133.59</v>
      </c>
      <c r="O57" s="13">
        <f t="shared" si="7"/>
        <v>140.31</v>
      </c>
    </row>
    <row r="58" spans="1:15" ht="15" customHeight="1">
      <c r="A58" s="9" t="s">
        <v>24</v>
      </c>
      <c r="B58" s="64">
        <f t="shared" si="0"/>
        <v>1.194</v>
      </c>
      <c r="C58" s="31">
        <v>47</v>
      </c>
      <c r="D58" s="13" t="s">
        <v>25</v>
      </c>
      <c r="E58" s="13" t="s">
        <v>26</v>
      </c>
      <c r="F58" s="32" t="s">
        <v>102</v>
      </c>
      <c r="G58" s="66">
        <v>15.032999999999999</v>
      </c>
      <c r="H58" s="15">
        <f t="shared" si="1"/>
        <v>180.4</v>
      </c>
      <c r="I58" s="68">
        <f t="shared" si="2"/>
        <v>200.39</v>
      </c>
      <c r="J58" s="15">
        <f t="shared" si="3"/>
        <v>210.46</v>
      </c>
      <c r="K58" s="71">
        <v>0.1000292697204741</v>
      </c>
      <c r="L58" s="13">
        <f t="shared" si="4"/>
        <v>172.92</v>
      </c>
      <c r="M58" s="13">
        <f t="shared" si="5"/>
        <v>120.27</v>
      </c>
      <c r="N58" s="13">
        <f t="shared" si="6"/>
        <v>133.59</v>
      </c>
      <c r="O58" s="13">
        <f t="shared" si="7"/>
        <v>140.31</v>
      </c>
    </row>
    <row r="59" spans="1:15" ht="15" customHeight="1">
      <c r="A59" s="9" t="s">
        <v>24</v>
      </c>
      <c r="B59" s="64">
        <f t="shared" si="0"/>
        <v>1.2450000000000001</v>
      </c>
      <c r="C59" s="31">
        <v>49</v>
      </c>
      <c r="D59" s="13" t="s">
        <v>25</v>
      </c>
      <c r="E59" s="13" t="s">
        <v>26</v>
      </c>
      <c r="F59" s="32" t="s">
        <v>104</v>
      </c>
      <c r="G59" s="66">
        <v>16.800999999999998</v>
      </c>
      <c r="H59" s="15">
        <f t="shared" si="1"/>
        <v>201.61</v>
      </c>
      <c r="I59" s="68">
        <f t="shared" si="2"/>
        <v>223.96</v>
      </c>
      <c r="J59" s="15">
        <f t="shared" si="3"/>
        <v>235.21</v>
      </c>
      <c r="K59" s="71">
        <v>9.9973811706167259E-2</v>
      </c>
      <c r="L59" s="13">
        <f t="shared" si="4"/>
        <v>193.25</v>
      </c>
      <c r="M59" s="13">
        <f t="shared" si="5"/>
        <v>134.41</v>
      </c>
      <c r="N59" s="13">
        <f t="shared" si="6"/>
        <v>149.31</v>
      </c>
      <c r="O59" s="13">
        <f t="shared" si="7"/>
        <v>156.81</v>
      </c>
    </row>
    <row r="60" spans="1:15" ht="15" customHeight="1">
      <c r="A60" s="9" t="s">
        <v>24</v>
      </c>
      <c r="B60" s="64">
        <f t="shared" si="0"/>
        <v>1.27</v>
      </c>
      <c r="C60" s="31">
        <v>50</v>
      </c>
      <c r="D60" s="13" t="s">
        <v>25</v>
      </c>
      <c r="E60" s="13" t="s">
        <v>26</v>
      </c>
      <c r="F60" s="32" t="s">
        <v>104</v>
      </c>
      <c r="G60" s="66">
        <v>16.800999999999998</v>
      </c>
      <c r="H60" s="15">
        <f t="shared" si="1"/>
        <v>201.61</v>
      </c>
      <c r="I60" s="68">
        <f t="shared" si="2"/>
        <v>223.96</v>
      </c>
      <c r="J60" s="15">
        <f t="shared" si="3"/>
        <v>235.21</v>
      </c>
      <c r="K60" s="71">
        <v>9.9973811706167259E-2</v>
      </c>
      <c r="L60" s="13">
        <f t="shared" si="4"/>
        <v>193.25</v>
      </c>
      <c r="M60" s="13">
        <f t="shared" si="5"/>
        <v>134.41</v>
      </c>
      <c r="N60" s="13">
        <f t="shared" si="6"/>
        <v>149.31</v>
      </c>
      <c r="O60" s="13">
        <f t="shared" si="7"/>
        <v>156.81</v>
      </c>
    </row>
    <row r="61" spans="1:15" ht="15" customHeight="1">
      <c r="A61" s="9" t="s">
        <v>24</v>
      </c>
      <c r="B61" s="64">
        <f t="shared" si="0"/>
        <v>1.2949999999999999</v>
      </c>
      <c r="C61" s="31">
        <v>51</v>
      </c>
      <c r="D61" s="13" t="s">
        <v>25</v>
      </c>
      <c r="E61" s="13" t="s">
        <v>26</v>
      </c>
      <c r="F61" s="32" t="s">
        <v>104</v>
      </c>
      <c r="G61" s="66">
        <v>16.800999999999998</v>
      </c>
      <c r="H61" s="15">
        <f t="shared" si="1"/>
        <v>201.61</v>
      </c>
      <c r="I61" s="68">
        <f t="shared" si="2"/>
        <v>223.96</v>
      </c>
      <c r="J61" s="15">
        <f t="shared" si="3"/>
        <v>235.21</v>
      </c>
      <c r="K61" s="71">
        <v>9.9973811706167259E-2</v>
      </c>
      <c r="L61" s="13">
        <f t="shared" si="4"/>
        <v>193.25</v>
      </c>
      <c r="M61" s="13">
        <f t="shared" si="5"/>
        <v>134.41</v>
      </c>
      <c r="N61" s="13">
        <f t="shared" si="6"/>
        <v>149.31</v>
      </c>
      <c r="O61" s="13">
        <f t="shared" si="7"/>
        <v>156.81</v>
      </c>
    </row>
    <row r="62" spans="1:15" ht="15" customHeight="1">
      <c r="A62" s="9" t="s">
        <v>24</v>
      </c>
      <c r="B62" s="64">
        <f t="shared" si="0"/>
        <v>1.397</v>
      </c>
      <c r="C62" s="31">
        <v>55</v>
      </c>
      <c r="D62" s="13" t="s">
        <v>25</v>
      </c>
      <c r="E62" s="13" t="s">
        <v>26</v>
      </c>
      <c r="F62" s="32" t="s">
        <v>104</v>
      </c>
      <c r="G62" s="66">
        <v>17.134</v>
      </c>
      <c r="H62" s="15">
        <f t="shared" si="1"/>
        <v>205.61</v>
      </c>
      <c r="I62" s="68">
        <f t="shared" si="2"/>
        <v>228.4</v>
      </c>
      <c r="J62" s="15">
        <f t="shared" si="3"/>
        <v>239.88</v>
      </c>
      <c r="K62" s="71">
        <v>0.10002568053415506</v>
      </c>
      <c r="L62" s="13">
        <f t="shared" si="4"/>
        <v>197.08</v>
      </c>
      <c r="M62" s="13">
        <f t="shared" si="5"/>
        <v>137.07</v>
      </c>
      <c r="N62" s="13">
        <f t="shared" si="6"/>
        <v>152.27000000000001</v>
      </c>
      <c r="O62" s="13">
        <f t="shared" si="7"/>
        <v>159.91999999999999</v>
      </c>
    </row>
    <row r="63" spans="1:15" ht="15" customHeight="1">
      <c r="A63" s="9" t="s">
        <v>24</v>
      </c>
      <c r="B63" s="64">
        <f t="shared" si="0"/>
        <v>1.4219999999999999</v>
      </c>
      <c r="C63" s="31">
        <v>56</v>
      </c>
      <c r="D63" s="13" t="s">
        <v>25</v>
      </c>
      <c r="E63" s="13" t="s">
        <v>26</v>
      </c>
      <c r="F63" s="32" t="s">
        <v>103</v>
      </c>
      <c r="G63" s="66">
        <v>18.349</v>
      </c>
      <c r="H63" s="15">
        <f t="shared" si="1"/>
        <v>220.19</v>
      </c>
      <c r="I63" s="68">
        <f t="shared" si="2"/>
        <v>244.59</v>
      </c>
      <c r="J63" s="15">
        <f t="shared" si="3"/>
        <v>256.89</v>
      </c>
      <c r="K63" s="71">
        <v>9.9994005155566112E-2</v>
      </c>
      <c r="L63" s="13">
        <f t="shared" si="4"/>
        <v>211.06</v>
      </c>
      <c r="M63" s="13">
        <f t="shared" si="5"/>
        <v>146.79</v>
      </c>
      <c r="N63" s="13">
        <f t="shared" si="6"/>
        <v>163.06</v>
      </c>
      <c r="O63" s="13">
        <f t="shared" si="7"/>
        <v>171.26</v>
      </c>
    </row>
    <row r="64" spans="1:15" ht="15" customHeight="1">
      <c r="A64" s="9" t="s">
        <v>24</v>
      </c>
      <c r="B64" s="64">
        <f t="shared" si="0"/>
        <v>1.448</v>
      </c>
      <c r="C64" s="31">
        <v>57</v>
      </c>
      <c r="D64" s="13" t="s">
        <v>25</v>
      </c>
      <c r="E64" s="13" t="s">
        <v>26</v>
      </c>
      <c r="F64" s="32" t="s">
        <v>103</v>
      </c>
      <c r="G64" s="66">
        <v>18.349</v>
      </c>
      <c r="H64" s="15">
        <f t="shared" si="1"/>
        <v>220.19</v>
      </c>
      <c r="I64" s="68">
        <f t="shared" si="2"/>
        <v>244.59</v>
      </c>
      <c r="J64" s="15">
        <f t="shared" si="3"/>
        <v>256.89</v>
      </c>
      <c r="K64" s="71">
        <v>9.9994005155566112E-2</v>
      </c>
      <c r="L64" s="13">
        <f t="shared" si="4"/>
        <v>211.06</v>
      </c>
      <c r="M64" s="13">
        <f t="shared" si="5"/>
        <v>146.79</v>
      </c>
      <c r="N64" s="13">
        <f t="shared" si="6"/>
        <v>163.06</v>
      </c>
      <c r="O64" s="13">
        <f t="shared" si="7"/>
        <v>171.26</v>
      </c>
    </row>
    <row r="65" spans="1:15" ht="15" customHeight="1">
      <c r="A65" s="9" t="s">
        <v>24</v>
      </c>
      <c r="B65" s="64">
        <f t="shared" si="0"/>
        <v>1.4990000000000001</v>
      </c>
      <c r="C65" s="31">
        <v>59</v>
      </c>
      <c r="D65" s="13" t="s">
        <v>25</v>
      </c>
      <c r="E65" s="13" t="s">
        <v>26</v>
      </c>
      <c r="F65" s="32" t="s">
        <v>103</v>
      </c>
      <c r="G65" s="66">
        <v>18.349</v>
      </c>
      <c r="H65" s="15">
        <f t="shared" si="1"/>
        <v>220.19</v>
      </c>
      <c r="I65" s="68">
        <f t="shared" si="2"/>
        <v>244.59</v>
      </c>
      <c r="J65" s="15">
        <f t="shared" si="3"/>
        <v>256.89</v>
      </c>
      <c r="K65" s="71">
        <v>9.9994005155566112E-2</v>
      </c>
      <c r="L65" s="13">
        <f t="shared" si="4"/>
        <v>211.06</v>
      </c>
      <c r="M65" s="13">
        <f t="shared" si="5"/>
        <v>146.79</v>
      </c>
      <c r="N65" s="13">
        <f t="shared" si="6"/>
        <v>163.06</v>
      </c>
      <c r="O65" s="13">
        <f t="shared" si="7"/>
        <v>171.26</v>
      </c>
    </row>
    <row r="66" spans="1:15" ht="15" customHeight="1">
      <c r="A66" s="9" t="s">
        <v>24</v>
      </c>
      <c r="B66" s="64">
        <f t="shared" si="0"/>
        <v>1.6</v>
      </c>
      <c r="C66" s="31">
        <v>63</v>
      </c>
      <c r="D66" s="13" t="s">
        <v>25</v>
      </c>
      <c r="E66" s="13" t="s">
        <v>26</v>
      </c>
      <c r="F66" s="32" t="s">
        <v>103</v>
      </c>
      <c r="G66" s="66">
        <v>19.012</v>
      </c>
      <c r="H66" s="15">
        <f t="shared" si="1"/>
        <v>228.14</v>
      </c>
      <c r="I66" s="68">
        <f t="shared" si="2"/>
        <v>253.43</v>
      </c>
      <c r="J66" s="15">
        <f t="shared" si="3"/>
        <v>266.17</v>
      </c>
      <c r="K66" s="71">
        <v>9.9976857208979419E-2</v>
      </c>
      <c r="L66" s="13">
        <f t="shared" si="4"/>
        <v>218.69</v>
      </c>
      <c r="M66" s="13">
        <f t="shared" si="5"/>
        <v>152.09</v>
      </c>
      <c r="N66" s="13">
        <f t="shared" si="6"/>
        <v>168.95</v>
      </c>
      <c r="O66" s="13">
        <f t="shared" si="7"/>
        <v>177.45</v>
      </c>
    </row>
    <row r="67" spans="1:15" ht="15" customHeight="1">
      <c r="A67" s="9" t="s">
        <v>24</v>
      </c>
      <c r="B67" s="64">
        <f t="shared" si="0"/>
        <v>1.702</v>
      </c>
      <c r="C67" s="31">
        <v>67</v>
      </c>
      <c r="D67" s="13" t="s">
        <v>25</v>
      </c>
      <c r="E67" s="13" t="s">
        <v>26</v>
      </c>
      <c r="F67" s="32" t="s">
        <v>105</v>
      </c>
      <c r="G67" s="66">
        <v>21.111999999999998</v>
      </c>
      <c r="H67" s="15">
        <f t="shared" si="1"/>
        <v>253.34</v>
      </c>
      <c r="I67" s="68">
        <f t="shared" si="2"/>
        <v>281.42</v>
      </c>
      <c r="J67" s="15">
        <f t="shared" si="3"/>
        <v>295.57</v>
      </c>
      <c r="K67" s="71">
        <v>9.9984369301307607E-2</v>
      </c>
      <c r="L67" s="13">
        <f t="shared" si="4"/>
        <v>242.84</v>
      </c>
      <c r="M67" s="13">
        <f t="shared" si="5"/>
        <v>168.89</v>
      </c>
      <c r="N67" s="13">
        <f t="shared" si="6"/>
        <v>187.61</v>
      </c>
      <c r="O67" s="13">
        <f t="shared" si="7"/>
        <v>197.05</v>
      </c>
    </row>
    <row r="68" spans="1:15" ht="15" customHeight="1">
      <c r="A68" s="9" t="s">
        <v>24</v>
      </c>
      <c r="B68" s="64">
        <f t="shared" si="0"/>
        <v>1.8029999999999999</v>
      </c>
      <c r="C68" s="11">
        <v>71</v>
      </c>
      <c r="D68" s="13" t="s">
        <v>25</v>
      </c>
      <c r="E68" s="13" t="s">
        <v>26</v>
      </c>
      <c r="F68" s="14" t="s">
        <v>112</v>
      </c>
      <c r="G68" s="66">
        <v>23.323</v>
      </c>
      <c r="H68" s="15">
        <f t="shared" si="1"/>
        <v>279.88</v>
      </c>
      <c r="I68" s="68">
        <f t="shared" si="2"/>
        <v>310.89999999999998</v>
      </c>
      <c r="J68" s="15">
        <f t="shared" si="3"/>
        <v>326.52</v>
      </c>
      <c r="K68" s="71">
        <v>9.9985851058812525E-2</v>
      </c>
      <c r="L68" s="13">
        <f t="shared" si="4"/>
        <v>268.27999999999997</v>
      </c>
      <c r="M68" s="13">
        <f t="shared" si="5"/>
        <v>186.59</v>
      </c>
      <c r="N68" s="13">
        <f t="shared" si="6"/>
        <v>207.27</v>
      </c>
      <c r="O68" s="13">
        <f t="shared" si="7"/>
        <v>217.68</v>
      </c>
    </row>
    <row r="69" spans="1:15" ht="15" customHeight="1">
      <c r="A69" s="9" t="s">
        <v>79</v>
      </c>
      <c r="B69" s="64">
        <f t="shared" si="0"/>
        <v>1.905</v>
      </c>
      <c r="C69" s="11">
        <v>75</v>
      </c>
      <c r="D69" s="13" t="s">
        <v>25</v>
      </c>
      <c r="E69" s="13" t="s">
        <v>26</v>
      </c>
      <c r="F69" s="14" t="s">
        <v>112</v>
      </c>
      <c r="G69" s="66">
        <v>23.323</v>
      </c>
      <c r="H69" s="15">
        <f t="shared" si="1"/>
        <v>279.88</v>
      </c>
      <c r="I69" s="68">
        <f t="shared" si="2"/>
        <v>310.89999999999998</v>
      </c>
      <c r="J69" s="15">
        <f t="shared" si="3"/>
        <v>326.52</v>
      </c>
      <c r="K69" s="71">
        <v>9.9985851058812525E-2</v>
      </c>
      <c r="L69" s="13">
        <f t="shared" si="4"/>
        <v>268.27999999999997</v>
      </c>
      <c r="M69" s="13">
        <f t="shared" si="5"/>
        <v>186.59</v>
      </c>
      <c r="N69" s="13">
        <f t="shared" si="6"/>
        <v>207.27</v>
      </c>
      <c r="O69" s="13">
        <f t="shared" si="7"/>
        <v>217.68</v>
      </c>
    </row>
    <row r="70" spans="1:15" ht="15" customHeight="1">
      <c r="A70" s="9" t="s">
        <v>24</v>
      </c>
      <c r="B70" s="64">
        <f t="shared" si="0"/>
        <v>7.5999999999999998E-2</v>
      </c>
      <c r="C70" s="11">
        <v>3</v>
      </c>
      <c r="D70" s="12" t="s">
        <v>28</v>
      </c>
      <c r="E70" s="13" t="s">
        <v>26</v>
      </c>
      <c r="F70" s="14" t="s">
        <v>81</v>
      </c>
      <c r="G70" s="66">
        <v>10.523</v>
      </c>
      <c r="H70" s="15">
        <f t="shared" si="1"/>
        <v>126.28</v>
      </c>
      <c r="I70" s="68">
        <f t="shared" si="2"/>
        <v>140.27000000000001</v>
      </c>
      <c r="J70" s="15">
        <f t="shared" ref="J70:J127" si="17">ROUND(G70*14,2)</f>
        <v>147.32</v>
      </c>
      <c r="K70" s="71">
        <v>0.10004181476061036</v>
      </c>
      <c r="L70" s="13">
        <f t="shared" si="4"/>
        <v>121.05</v>
      </c>
      <c r="M70" s="13">
        <f t="shared" si="5"/>
        <v>84.19</v>
      </c>
      <c r="N70" s="13">
        <f t="shared" si="6"/>
        <v>93.51</v>
      </c>
      <c r="O70" s="13">
        <f t="shared" si="7"/>
        <v>98.21</v>
      </c>
    </row>
    <row r="71" spans="1:15" ht="15" customHeight="1">
      <c r="A71" s="9" t="s">
        <v>24</v>
      </c>
      <c r="B71" s="64">
        <f t="shared" si="0"/>
        <v>8.8999999999999996E-2</v>
      </c>
      <c r="C71" s="11">
        <v>3.5</v>
      </c>
      <c r="D71" s="12" t="s">
        <v>28</v>
      </c>
      <c r="E71" s="13" t="s">
        <v>26</v>
      </c>
      <c r="F71" s="14" t="s">
        <v>83</v>
      </c>
      <c r="G71" s="66">
        <v>10.6</v>
      </c>
      <c r="H71" s="15">
        <f t="shared" si="1"/>
        <v>127.2</v>
      </c>
      <c r="I71" s="68">
        <f t="shared" si="2"/>
        <v>141.30000000000001</v>
      </c>
      <c r="J71" s="15">
        <f t="shared" si="17"/>
        <v>148.4</v>
      </c>
      <c r="K71" s="71">
        <v>0.10004151100041514</v>
      </c>
      <c r="L71" s="13">
        <f t="shared" si="4"/>
        <v>121.93</v>
      </c>
      <c r="M71" s="13">
        <f t="shared" si="5"/>
        <v>84.8</v>
      </c>
      <c r="N71" s="13">
        <f t="shared" si="6"/>
        <v>94.2</v>
      </c>
      <c r="O71" s="13">
        <f t="shared" si="7"/>
        <v>98.93</v>
      </c>
    </row>
    <row r="72" spans="1:15" ht="15" customHeight="1">
      <c r="A72" s="9" t="s">
        <v>24</v>
      </c>
      <c r="B72" s="64">
        <f t="shared" si="0"/>
        <v>8.8999999999999996E-2</v>
      </c>
      <c r="C72" s="11">
        <v>3.5</v>
      </c>
      <c r="D72" s="12" t="s">
        <v>28</v>
      </c>
      <c r="E72" s="13" t="s">
        <v>26</v>
      </c>
      <c r="F72" s="14" t="s">
        <v>92</v>
      </c>
      <c r="G72" s="66">
        <v>10.6</v>
      </c>
      <c r="H72" s="15">
        <f t="shared" ref="H72:H73" si="18">ROUND(G72*12,2)</f>
        <v>127.2</v>
      </c>
      <c r="I72" s="68">
        <f t="shared" ref="I72:I73" si="19">ROUND(G72*13.33,2)</f>
        <v>141.30000000000001</v>
      </c>
      <c r="J72" s="15">
        <f t="shared" ref="J72:J73" si="20">ROUND(G72*14,2)</f>
        <v>148.4</v>
      </c>
      <c r="K72" s="71">
        <v>0.10004151100041514</v>
      </c>
      <c r="L72" s="13">
        <f t="shared" si="4"/>
        <v>121.93</v>
      </c>
      <c r="M72" s="13">
        <f t="shared" si="5"/>
        <v>84.8</v>
      </c>
      <c r="N72" s="13">
        <f t="shared" si="6"/>
        <v>94.2</v>
      </c>
      <c r="O72" s="13">
        <f t="shared" si="7"/>
        <v>98.93</v>
      </c>
    </row>
    <row r="73" spans="1:15" ht="15" customHeight="1">
      <c r="A73" s="9" t="s">
        <v>24</v>
      </c>
      <c r="B73" s="64">
        <f t="shared" si="0"/>
        <v>0.10199999999999999</v>
      </c>
      <c r="C73" s="11">
        <v>4</v>
      </c>
      <c r="D73" s="12" t="s">
        <v>28</v>
      </c>
      <c r="E73" s="13" t="s">
        <v>26</v>
      </c>
      <c r="F73" s="14" t="s">
        <v>92</v>
      </c>
      <c r="G73" s="66">
        <v>10.423</v>
      </c>
      <c r="H73" s="15">
        <f t="shared" si="18"/>
        <v>125.08</v>
      </c>
      <c r="I73" s="68">
        <f t="shared" si="19"/>
        <v>138.94</v>
      </c>
      <c r="J73" s="15">
        <f t="shared" si="20"/>
        <v>145.91999999999999</v>
      </c>
      <c r="K73" s="71">
        <v>0.10005277044854877</v>
      </c>
      <c r="L73" s="13">
        <f t="shared" si="4"/>
        <v>119.89</v>
      </c>
      <c r="M73" s="13">
        <f t="shared" si="5"/>
        <v>83.39</v>
      </c>
      <c r="N73" s="13">
        <f t="shared" si="6"/>
        <v>92.63</v>
      </c>
      <c r="O73" s="13">
        <f t="shared" si="7"/>
        <v>97.28</v>
      </c>
    </row>
    <row r="74" spans="1:15" ht="15" customHeight="1">
      <c r="A74" s="9" t="s">
        <v>24</v>
      </c>
      <c r="B74" s="64">
        <f t="shared" si="0"/>
        <v>0.10199999999999999</v>
      </c>
      <c r="C74" s="11">
        <v>4</v>
      </c>
      <c r="D74" s="12" t="s">
        <v>28</v>
      </c>
      <c r="E74" s="13" t="s">
        <v>26</v>
      </c>
      <c r="F74" s="14" t="s">
        <v>83</v>
      </c>
      <c r="G74" s="66">
        <v>10.423</v>
      </c>
      <c r="H74" s="15">
        <f t="shared" si="1"/>
        <v>125.08</v>
      </c>
      <c r="I74" s="68">
        <f t="shared" si="2"/>
        <v>138.94</v>
      </c>
      <c r="J74" s="15">
        <f t="shared" si="17"/>
        <v>145.91999999999999</v>
      </c>
      <c r="K74" s="71">
        <v>0.10005277044854877</v>
      </c>
      <c r="L74" s="13">
        <f t="shared" si="4"/>
        <v>119.89</v>
      </c>
      <c r="M74" s="13">
        <f t="shared" si="5"/>
        <v>83.39</v>
      </c>
      <c r="N74" s="13">
        <f t="shared" si="6"/>
        <v>92.63</v>
      </c>
      <c r="O74" s="13">
        <f t="shared" si="7"/>
        <v>97.28</v>
      </c>
    </row>
    <row r="75" spans="1:15" ht="15" customHeight="1">
      <c r="A75" s="9" t="s">
        <v>24</v>
      </c>
      <c r="B75" s="64">
        <f t="shared" si="0"/>
        <v>0.10199999999999999</v>
      </c>
      <c r="C75" s="11">
        <v>4</v>
      </c>
      <c r="D75" s="12" t="s">
        <v>28</v>
      </c>
      <c r="E75" s="13" t="s">
        <v>26</v>
      </c>
      <c r="F75" s="14" t="s">
        <v>84</v>
      </c>
      <c r="G75" s="66">
        <v>10.427</v>
      </c>
      <c r="H75" s="15">
        <f t="shared" si="1"/>
        <v>125.12</v>
      </c>
      <c r="I75" s="68">
        <f t="shared" si="2"/>
        <v>138.99</v>
      </c>
      <c r="J75" s="15">
        <f t="shared" si="17"/>
        <v>145.97999999999999</v>
      </c>
      <c r="K75" s="71">
        <v>0.1000105496360375</v>
      </c>
      <c r="L75" s="13">
        <f t="shared" si="4"/>
        <v>119.94</v>
      </c>
      <c r="M75" s="13">
        <f t="shared" si="5"/>
        <v>83.41</v>
      </c>
      <c r="N75" s="13">
        <f t="shared" si="6"/>
        <v>92.66</v>
      </c>
      <c r="O75" s="13">
        <f t="shared" si="7"/>
        <v>97.32</v>
      </c>
    </row>
    <row r="76" spans="1:15" ht="15" customHeight="1">
      <c r="A76" s="9" t="s">
        <v>24</v>
      </c>
      <c r="B76" s="64">
        <f t="shared" si="0"/>
        <v>0.10199999999999999</v>
      </c>
      <c r="C76" s="11">
        <v>4</v>
      </c>
      <c r="D76" s="12" t="s">
        <v>28</v>
      </c>
      <c r="E76" s="13" t="s">
        <v>26</v>
      </c>
      <c r="F76" s="14" t="s">
        <v>97</v>
      </c>
      <c r="G76" s="66">
        <v>12.670999999999999</v>
      </c>
      <c r="H76" s="15">
        <f t="shared" si="1"/>
        <v>152.05000000000001</v>
      </c>
      <c r="I76" s="68">
        <f t="shared" si="2"/>
        <v>168.9</v>
      </c>
      <c r="J76" s="15">
        <f t="shared" si="17"/>
        <v>177.39</v>
      </c>
      <c r="K76" s="71">
        <v>0.10000868130914142</v>
      </c>
      <c r="L76" s="13">
        <f t="shared" si="4"/>
        <v>145.74</v>
      </c>
      <c r="M76" s="13">
        <f t="shared" si="5"/>
        <v>101.37</v>
      </c>
      <c r="N76" s="13">
        <f t="shared" si="6"/>
        <v>112.6</v>
      </c>
      <c r="O76" s="13">
        <f t="shared" si="7"/>
        <v>118.26</v>
      </c>
    </row>
    <row r="77" spans="1:15" ht="15" customHeight="1">
      <c r="A77" s="9" t="s">
        <v>24</v>
      </c>
      <c r="B77" s="64">
        <f t="shared" si="0"/>
        <v>0.109</v>
      </c>
      <c r="C77" s="11">
        <v>4.3</v>
      </c>
      <c r="D77" s="12" t="s">
        <v>28</v>
      </c>
      <c r="E77" s="13" t="s">
        <v>26</v>
      </c>
      <c r="F77" s="14" t="s">
        <v>84</v>
      </c>
      <c r="G77" s="66">
        <v>10.427</v>
      </c>
      <c r="H77" s="15">
        <f t="shared" si="1"/>
        <v>125.12</v>
      </c>
      <c r="I77" s="68">
        <f t="shared" si="2"/>
        <v>138.99</v>
      </c>
      <c r="J77" s="15">
        <f t="shared" si="17"/>
        <v>145.97999999999999</v>
      </c>
      <c r="K77" s="71">
        <v>0.1000105496360375</v>
      </c>
      <c r="L77" s="13">
        <f t="shared" si="4"/>
        <v>119.94</v>
      </c>
      <c r="M77" s="13">
        <f t="shared" si="5"/>
        <v>83.41</v>
      </c>
      <c r="N77" s="13">
        <f t="shared" si="6"/>
        <v>92.66</v>
      </c>
      <c r="O77" s="13">
        <f t="shared" si="7"/>
        <v>97.32</v>
      </c>
    </row>
    <row r="78" spans="1:15" ht="15" customHeight="1">
      <c r="A78" s="9" t="s">
        <v>24</v>
      </c>
      <c r="B78" s="64">
        <f t="shared" ref="B78:B141" si="21">ROUND(C78*0.0254,3)</f>
        <v>0.114</v>
      </c>
      <c r="C78" s="11">
        <v>4.5</v>
      </c>
      <c r="D78" s="12" t="s">
        <v>28</v>
      </c>
      <c r="E78" s="13" t="s">
        <v>26</v>
      </c>
      <c r="F78" s="14" t="s">
        <v>84</v>
      </c>
      <c r="G78" s="66">
        <v>10.427</v>
      </c>
      <c r="H78" s="15">
        <f t="shared" si="1"/>
        <v>125.12</v>
      </c>
      <c r="I78" s="68">
        <f t="shared" si="2"/>
        <v>138.99</v>
      </c>
      <c r="J78" s="15">
        <f t="shared" si="17"/>
        <v>145.97999999999999</v>
      </c>
      <c r="K78" s="71">
        <v>0.1000105496360375</v>
      </c>
      <c r="L78" s="13">
        <f t="shared" si="4"/>
        <v>119.94</v>
      </c>
      <c r="M78" s="13">
        <f t="shared" si="5"/>
        <v>83.41</v>
      </c>
      <c r="N78" s="13">
        <f t="shared" si="6"/>
        <v>92.66</v>
      </c>
      <c r="O78" s="13">
        <f t="shared" si="7"/>
        <v>97.32</v>
      </c>
    </row>
    <row r="79" spans="1:15" ht="15" customHeight="1">
      <c r="A79" s="9" t="s">
        <v>24</v>
      </c>
      <c r="B79" s="64">
        <f t="shared" si="21"/>
        <v>0.127</v>
      </c>
      <c r="C79" s="11">
        <v>5</v>
      </c>
      <c r="D79" s="12" t="s">
        <v>28</v>
      </c>
      <c r="E79" s="13" t="s">
        <v>26</v>
      </c>
      <c r="F79" s="14" t="s">
        <v>84</v>
      </c>
      <c r="G79" s="66">
        <v>10.427</v>
      </c>
      <c r="H79" s="15">
        <f t="shared" si="1"/>
        <v>125.12</v>
      </c>
      <c r="I79" s="68">
        <f t="shared" si="2"/>
        <v>138.99</v>
      </c>
      <c r="J79" s="15">
        <f t="shared" si="17"/>
        <v>145.97999999999999</v>
      </c>
      <c r="K79" s="71">
        <v>0.1000105496360375</v>
      </c>
      <c r="L79" s="13">
        <f t="shared" si="4"/>
        <v>119.94</v>
      </c>
      <c r="M79" s="13">
        <f t="shared" si="5"/>
        <v>83.41</v>
      </c>
      <c r="N79" s="13">
        <f t="shared" si="6"/>
        <v>92.66</v>
      </c>
      <c r="O79" s="13">
        <f t="shared" si="7"/>
        <v>97.32</v>
      </c>
    </row>
    <row r="80" spans="1:15" ht="15" customHeight="1">
      <c r="A80" s="9" t="s">
        <v>24</v>
      </c>
      <c r="B80" s="64">
        <f t="shared" si="21"/>
        <v>0.127</v>
      </c>
      <c r="C80" s="11">
        <v>5</v>
      </c>
      <c r="D80" s="12" t="s">
        <v>28</v>
      </c>
      <c r="E80" s="13" t="s">
        <v>26</v>
      </c>
      <c r="F80" s="14" t="s">
        <v>86</v>
      </c>
      <c r="G80" s="66">
        <v>12.192</v>
      </c>
      <c r="H80" s="15">
        <f t="shared" si="1"/>
        <v>146.30000000000001</v>
      </c>
      <c r="I80" s="68">
        <f t="shared" si="2"/>
        <v>162.52000000000001</v>
      </c>
      <c r="J80" s="15">
        <f t="shared" si="17"/>
        <v>170.69</v>
      </c>
      <c r="K80" s="71">
        <v>9.9963911945146311E-2</v>
      </c>
      <c r="L80" s="13">
        <f t="shared" ref="L80:L144" si="22">ROUND(ROUND(ROUND(G80*12,2)*43/48,2)*1.07,2)</f>
        <v>140.22999999999999</v>
      </c>
      <c r="M80" s="13">
        <f t="shared" ref="M80:M144" si="23">ROUND(ROUND(G80*12,2)*2/3,2)</f>
        <v>97.53</v>
      </c>
      <c r="N80" s="13">
        <f t="shared" ref="N80:N144" si="24">ROUND(ROUND(G80*13.33,2)*2/3,2)</f>
        <v>108.35</v>
      </c>
      <c r="O80" s="13">
        <f t="shared" ref="O80:O144" si="25">ROUND(ROUND(G80*14,2)*2/3,2)</f>
        <v>113.79</v>
      </c>
    </row>
    <row r="81" spans="1:15" ht="15" customHeight="1">
      <c r="A81" s="9" t="s">
        <v>24</v>
      </c>
      <c r="B81" s="64">
        <f t="shared" si="21"/>
        <v>0.14000000000000001</v>
      </c>
      <c r="C81" s="11">
        <v>5.5</v>
      </c>
      <c r="D81" s="12" t="s">
        <v>28</v>
      </c>
      <c r="E81" s="13" t="s">
        <v>26</v>
      </c>
      <c r="F81" s="14" t="s">
        <v>86</v>
      </c>
      <c r="G81" s="66">
        <v>12.192</v>
      </c>
      <c r="H81" s="15">
        <f t="shared" si="1"/>
        <v>146.30000000000001</v>
      </c>
      <c r="I81" s="68">
        <f t="shared" si="2"/>
        <v>162.52000000000001</v>
      </c>
      <c r="J81" s="15">
        <f t="shared" si="17"/>
        <v>170.69</v>
      </c>
      <c r="K81" s="71">
        <v>9.9963911945146311E-2</v>
      </c>
      <c r="L81" s="13">
        <f t="shared" si="22"/>
        <v>140.22999999999999</v>
      </c>
      <c r="M81" s="13">
        <f t="shared" si="23"/>
        <v>97.53</v>
      </c>
      <c r="N81" s="13">
        <f t="shared" si="24"/>
        <v>108.35</v>
      </c>
      <c r="O81" s="13">
        <f t="shared" si="25"/>
        <v>113.79</v>
      </c>
    </row>
    <row r="82" spans="1:15" ht="15" customHeight="1">
      <c r="A82" s="9" t="s">
        <v>24</v>
      </c>
      <c r="B82" s="64">
        <f t="shared" si="21"/>
        <v>0.152</v>
      </c>
      <c r="C82" s="11">
        <v>6</v>
      </c>
      <c r="D82" s="12" t="s">
        <v>28</v>
      </c>
      <c r="E82" s="13" t="s">
        <v>26</v>
      </c>
      <c r="F82" s="14" t="s">
        <v>93</v>
      </c>
      <c r="G82" s="66">
        <v>10.571</v>
      </c>
      <c r="H82" s="15">
        <f t="shared" ref="H82:H148" si="26">ROUND(G82*12,2)</f>
        <v>126.85</v>
      </c>
      <c r="I82" s="68">
        <f t="shared" si="2"/>
        <v>140.91</v>
      </c>
      <c r="J82" s="15">
        <f t="shared" si="17"/>
        <v>147.99</v>
      </c>
      <c r="K82" s="71">
        <v>0.10000000000000009</v>
      </c>
      <c r="L82" s="13">
        <f t="shared" si="22"/>
        <v>121.59</v>
      </c>
      <c r="M82" s="13">
        <f t="shared" si="23"/>
        <v>84.57</v>
      </c>
      <c r="N82" s="13">
        <f t="shared" si="24"/>
        <v>93.94</v>
      </c>
      <c r="O82" s="13">
        <f t="shared" si="25"/>
        <v>98.66</v>
      </c>
    </row>
    <row r="83" spans="1:15" ht="15" customHeight="1">
      <c r="A83" s="9" t="s">
        <v>24</v>
      </c>
      <c r="B83" s="64">
        <f t="shared" si="21"/>
        <v>0.152</v>
      </c>
      <c r="C83" s="11">
        <v>6</v>
      </c>
      <c r="D83" s="12" t="s">
        <v>28</v>
      </c>
      <c r="E83" s="13" t="s">
        <v>26</v>
      </c>
      <c r="F83" s="14" t="s">
        <v>86</v>
      </c>
      <c r="G83" s="66">
        <v>11.711</v>
      </c>
      <c r="H83" s="15">
        <f t="shared" si="26"/>
        <v>140.53</v>
      </c>
      <c r="I83" s="68">
        <f t="shared" si="2"/>
        <v>156.11000000000001</v>
      </c>
      <c r="J83" s="15">
        <f t="shared" si="17"/>
        <v>163.95</v>
      </c>
      <c r="K83" s="71">
        <v>0.10003757279729464</v>
      </c>
      <c r="L83" s="13">
        <f t="shared" si="22"/>
        <v>134.69999999999999</v>
      </c>
      <c r="M83" s="13">
        <f t="shared" si="23"/>
        <v>93.69</v>
      </c>
      <c r="N83" s="13">
        <f t="shared" si="24"/>
        <v>104.07</v>
      </c>
      <c r="O83" s="13">
        <f t="shared" si="25"/>
        <v>109.3</v>
      </c>
    </row>
    <row r="84" spans="1:15" ht="15" customHeight="1">
      <c r="A84" s="9" t="s">
        <v>24</v>
      </c>
      <c r="B84" s="64">
        <f t="shared" si="21"/>
        <v>0.17799999999999999</v>
      </c>
      <c r="C84" s="11">
        <v>7</v>
      </c>
      <c r="D84" s="12" t="s">
        <v>28</v>
      </c>
      <c r="E84" s="13" t="s">
        <v>26</v>
      </c>
      <c r="F84" s="14" t="s">
        <v>98</v>
      </c>
      <c r="G84" s="66">
        <v>10.523999999999999</v>
      </c>
      <c r="H84" s="15">
        <f t="shared" si="26"/>
        <v>126.29</v>
      </c>
      <c r="I84" s="68">
        <f t="shared" ref="I84:I152" si="27">ROUND(G84*13.33,2)</f>
        <v>140.28</v>
      </c>
      <c r="J84" s="15">
        <f t="shared" si="17"/>
        <v>147.34</v>
      </c>
      <c r="K84" s="71">
        <v>0.10003135779241124</v>
      </c>
      <c r="L84" s="13">
        <f t="shared" si="22"/>
        <v>121.05</v>
      </c>
      <c r="M84" s="13">
        <f t="shared" si="23"/>
        <v>84.19</v>
      </c>
      <c r="N84" s="13">
        <f t="shared" si="24"/>
        <v>93.52</v>
      </c>
      <c r="O84" s="13">
        <f t="shared" si="25"/>
        <v>98.23</v>
      </c>
    </row>
    <row r="85" spans="1:15" ht="15" customHeight="1">
      <c r="A85" s="9" t="s">
        <v>24</v>
      </c>
      <c r="B85" s="64">
        <f t="shared" si="21"/>
        <v>0.17799999999999999</v>
      </c>
      <c r="C85" s="11">
        <v>7</v>
      </c>
      <c r="D85" s="12" t="s">
        <v>28</v>
      </c>
      <c r="E85" s="13" t="s">
        <v>26</v>
      </c>
      <c r="F85" s="14" t="s">
        <v>87</v>
      </c>
      <c r="G85" s="66">
        <v>12.363</v>
      </c>
      <c r="H85" s="15">
        <f t="shared" si="26"/>
        <v>148.36000000000001</v>
      </c>
      <c r="I85" s="68">
        <f t="shared" si="27"/>
        <v>164.8</v>
      </c>
      <c r="J85" s="15">
        <f t="shared" si="17"/>
        <v>173.08</v>
      </c>
      <c r="K85" s="71">
        <v>0.10000889758875342</v>
      </c>
      <c r="L85" s="13">
        <f t="shared" si="22"/>
        <v>142.21</v>
      </c>
      <c r="M85" s="13">
        <f t="shared" si="23"/>
        <v>98.91</v>
      </c>
      <c r="N85" s="13">
        <f t="shared" si="24"/>
        <v>109.87</v>
      </c>
      <c r="O85" s="13">
        <f t="shared" si="25"/>
        <v>115.39</v>
      </c>
    </row>
    <row r="86" spans="1:15" ht="15" customHeight="1">
      <c r="A86" s="9" t="s">
        <v>24</v>
      </c>
      <c r="B86" s="64">
        <f t="shared" si="21"/>
        <v>0.17799999999999999</v>
      </c>
      <c r="C86" s="11">
        <v>7</v>
      </c>
      <c r="D86" s="12" t="s">
        <v>28</v>
      </c>
      <c r="E86" s="13" t="s">
        <v>26</v>
      </c>
      <c r="F86" s="14" t="s">
        <v>95</v>
      </c>
      <c r="G86" s="66">
        <v>12.363</v>
      </c>
      <c r="H86" s="15">
        <f t="shared" ref="H86" si="28">ROUND(G86*12,2)</f>
        <v>148.36000000000001</v>
      </c>
      <c r="I86" s="68">
        <f t="shared" ref="I86" si="29">ROUND(G86*13.33,2)</f>
        <v>164.8</v>
      </c>
      <c r="J86" s="15">
        <f t="shared" ref="J86" si="30">ROUND(G86*14,2)</f>
        <v>173.08</v>
      </c>
      <c r="K86" s="71">
        <v>0.10000889758875342</v>
      </c>
      <c r="L86" s="13">
        <f t="shared" si="22"/>
        <v>142.21</v>
      </c>
      <c r="M86" s="13">
        <f t="shared" si="23"/>
        <v>98.91</v>
      </c>
      <c r="N86" s="13">
        <f t="shared" si="24"/>
        <v>109.87</v>
      </c>
      <c r="O86" s="13">
        <f t="shared" si="25"/>
        <v>115.39</v>
      </c>
    </row>
    <row r="87" spans="1:15" ht="15" customHeight="1">
      <c r="A87" s="9" t="s">
        <v>24</v>
      </c>
      <c r="B87" s="64">
        <f t="shared" si="21"/>
        <v>0.20300000000000001</v>
      </c>
      <c r="C87" s="11">
        <v>8</v>
      </c>
      <c r="D87" s="12" t="s">
        <v>28</v>
      </c>
      <c r="E87" s="13" t="s">
        <v>26</v>
      </c>
      <c r="F87" s="14" t="s">
        <v>98</v>
      </c>
      <c r="G87" s="66">
        <v>10.523999999999999</v>
      </c>
      <c r="H87" s="15">
        <f t="shared" si="26"/>
        <v>126.29</v>
      </c>
      <c r="I87" s="68">
        <f t="shared" si="27"/>
        <v>140.28</v>
      </c>
      <c r="J87" s="15">
        <f t="shared" si="17"/>
        <v>147.34</v>
      </c>
      <c r="K87" s="71">
        <v>0.10003135779241124</v>
      </c>
      <c r="L87" s="13">
        <f t="shared" si="22"/>
        <v>121.05</v>
      </c>
      <c r="M87" s="13">
        <f t="shared" si="23"/>
        <v>84.19</v>
      </c>
      <c r="N87" s="13">
        <f t="shared" si="24"/>
        <v>93.52</v>
      </c>
      <c r="O87" s="13">
        <f t="shared" si="25"/>
        <v>98.23</v>
      </c>
    </row>
    <row r="88" spans="1:15" ht="15" customHeight="1">
      <c r="A88" s="9" t="s">
        <v>24</v>
      </c>
      <c r="B88" s="64">
        <f t="shared" si="21"/>
        <v>0.20300000000000001</v>
      </c>
      <c r="C88" s="11">
        <v>8</v>
      </c>
      <c r="D88" s="12" t="s">
        <v>28</v>
      </c>
      <c r="E88" s="13" t="s">
        <v>26</v>
      </c>
      <c r="F88" s="14" t="s">
        <v>95</v>
      </c>
      <c r="G88" s="66">
        <v>12.363</v>
      </c>
      <c r="H88" s="15">
        <f t="shared" si="26"/>
        <v>148.36000000000001</v>
      </c>
      <c r="I88" s="68">
        <f t="shared" si="27"/>
        <v>164.8</v>
      </c>
      <c r="J88" s="15">
        <f t="shared" si="17"/>
        <v>173.08</v>
      </c>
      <c r="K88" s="71">
        <v>0.10000889758875342</v>
      </c>
      <c r="L88" s="13">
        <f t="shared" si="22"/>
        <v>142.21</v>
      </c>
      <c r="M88" s="13">
        <f t="shared" si="23"/>
        <v>98.91</v>
      </c>
      <c r="N88" s="13">
        <f t="shared" si="24"/>
        <v>109.87</v>
      </c>
      <c r="O88" s="13">
        <f t="shared" si="25"/>
        <v>115.39</v>
      </c>
    </row>
    <row r="89" spans="1:15" ht="15" customHeight="1">
      <c r="A89" s="9" t="s">
        <v>24</v>
      </c>
      <c r="B89" s="64">
        <f t="shared" si="21"/>
        <v>0.20300000000000001</v>
      </c>
      <c r="C89" s="11">
        <v>8</v>
      </c>
      <c r="D89" s="12" t="s">
        <v>28</v>
      </c>
      <c r="E89" s="13" t="s">
        <v>26</v>
      </c>
      <c r="F89" s="14" t="s">
        <v>87</v>
      </c>
      <c r="G89" s="66">
        <v>12.363</v>
      </c>
      <c r="H89" s="15">
        <f t="shared" ref="H89" si="31">ROUND(G89*12,2)</f>
        <v>148.36000000000001</v>
      </c>
      <c r="I89" s="68">
        <f t="shared" ref="I89" si="32">ROUND(G89*13.33,2)</f>
        <v>164.8</v>
      </c>
      <c r="J89" s="15">
        <f t="shared" ref="J89" si="33">ROUND(G89*14,2)</f>
        <v>173.08</v>
      </c>
      <c r="K89" s="71">
        <v>0.10000889758875342</v>
      </c>
      <c r="L89" s="13">
        <f t="shared" si="22"/>
        <v>142.21</v>
      </c>
      <c r="M89" s="13">
        <f t="shared" si="23"/>
        <v>98.91</v>
      </c>
      <c r="N89" s="13">
        <f t="shared" si="24"/>
        <v>109.87</v>
      </c>
      <c r="O89" s="13">
        <f t="shared" si="25"/>
        <v>115.39</v>
      </c>
    </row>
    <row r="90" spans="1:15" ht="15" customHeight="1">
      <c r="A90" s="9" t="s">
        <v>24</v>
      </c>
      <c r="B90" s="64">
        <f t="shared" si="21"/>
        <v>0.20300000000000001</v>
      </c>
      <c r="C90" s="11">
        <v>8</v>
      </c>
      <c r="D90" s="12" t="s">
        <v>28</v>
      </c>
      <c r="E90" s="13" t="s">
        <v>26</v>
      </c>
      <c r="F90" s="14" t="s">
        <v>89</v>
      </c>
      <c r="G90" s="66">
        <v>12.192</v>
      </c>
      <c r="H90" s="15">
        <f t="shared" si="26"/>
        <v>146.30000000000001</v>
      </c>
      <c r="I90" s="68">
        <f t="shared" si="27"/>
        <v>162.52000000000001</v>
      </c>
      <c r="J90" s="15">
        <f t="shared" si="17"/>
        <v>170.69</v>
      </c>
      <c r="K90" s="71">
        <v>9.9963911945146311E-2</v>
      </c>
      <c r="L90" s="13">
        <f t="shared" si="22"/>
        <v>140.22999999999999</v>
      </c>
      <c r="M90" s="13">
        <f t="shared" si="23"/>
        <v>97.53</v>
      </c>
      <c r="N90" s="13">
        <f t="shared" si="24"/>
        <v>108.35</v>
      </c>
      <c r="O90" s="13">
        <f t="shared" si="25"/>
        <v>113.79</v>
      </c>
    </row>
    <row r="91" spans="1:15" ht="15" customHeight="1">
      <c r="A91" s="9" t="s">
        <v>24</v>
      </c>
      <c r="B91" s="64">
        <f t="shared" si="21"/>
        <v>0.22900000000000001</v>
      </c>
      <c r="C91" s="11">
        <v>9</v>
      </c>
      <c r="D91" s="12" t="s">
        <v>28</v>
      </c>
      <c r="E91" s="13" t="s">
        <v>26</v>
      </c>
      <c r="F91" s="14" t="s">
        <v>89</v>
      </c>
      <c r="G91" s="66">
        <v>12.157</v>
      </c>
      <c r="H91" s="15">
        <f t="shared" si="26"/>
        <v>145.88</v>
      </c>
      <c r="I91" s="68">
        <f t="shared" si="27"/>
        <v>162.05000000000001</v>
      </c>
      <c r="J91" s="15">
        <f t="shared" si="17"/>
        <v>170.2</v>
      </c>
      <c r="K91" s="71">
        <v>9.9981903727832E-2</v>
      </c>
      <c r="L91" s="13">
        <f t="shared" si="22"/>
        <v>139.83000000000001</v>
      </c>
      <c r="M91" s="13">
        <f t="shared" si="23"/>
        <v>97.25</v>
      </c>
      <c r="N91" s="13">
        <f t="shared" si="24"/>
        <v>108.03</v>
      </c>
      <c r="O91" s="13">
        <f t="shared" si="25"/>
        <v>113.47</v>
      </c>
    </row>
    <row r="92" spans="1:15" ht="15" customHeight="1">
      <c r="A92" s="9" t="s">
        <v>24</v>
      </c>
      <c r="B92" s="64">
        <f t="shared" si="21"/>
        <v>0.254</v>
      </c>
      <c r="C92" s="11">
        <v>10</v>
      </c>
      <c r="D92" s="12" t="s">
        <v>28</v>
      </c>
      <c r="E92" s="13" t="s">
        <v>26</v>
      </c>
      <c r="F92" s="14" t="s">
        <v>89</v>
      </c>
      <c r="G92" s="66">
        <v>12.192</v>
      </c>
      <c r="H92" s="15">
        <f t="shared" si="26"/>
        <v>146.30000000000001</v>
      </c>
      <c r="I92" s="68">
        <f t="shared" si="27"/>
        <v>162.52000000000001</v>
      </c>
      <c r="J92" s="15">
        <f t="shared" si="17"/>
        <v>170.69</v>
      </c>
      <c r="K92" s="71">
        <v>9.9963911945146311E-2</v>
      </c>
      <c r="L92" s="13">
        <f t="shared" si="22"/>
        <v>140.22999999999999</v>
      </c>
      <c r="M92" s="13">
        <f t="shared" si="23"/>
        <v>97.53</v>
      </c>
      <c r="N92" s="13">
        <f t="shared" si="24"/>
        <v>108.35</v>
      </c>
      <c r="O92" s="13">
        <f t="shared" si="25"/>
        <v>113.79</v>
      </c>
    </row>
    <row r="93" spans="1:15" ht="15" customHeight="1">
      <c r="A93" s="9" t="s">
        <v>24</v>
      </c>
      <c r="B93" s="64">
        <f t="shared" si="21"/>
        <v>0.30499999999999999</v>
      </c>
      <c r="C93" s="11">
        <v>12</v>
      </c>
      <c r="D93" s="12" t="s">
        <v>28</v>
      </c>
      <c r="E93" s="13" t="s">
        <v>26</v>
      </c>
      <c r="F93" s="14" t="s">
        <v>99</v>
      </c>
      <c r="G93" s="66">
        <v>12.481</v>
      </c>
      <c r="H93" s="15">
        <f t="shared" si="26"/>
        <v>149.77000000000001</v>
      </c>
      <c r="I93" s="68">
        <f t="shared" si="27"/>
        <v>166.37</v>
      </c>
      <c r="J93" s="15">
        <f t="shared" si="17"/>
        <v>174.73</v>
      </c>
      <c r="K93" s="71">
        <v>0.10003525471531804</v>
      </c>
      <c r="L93" s="13">
        <f t="shared" si="22"/>
        <v>143.56</v>
      </c>
      <c r="M93" s="13">
        <f t="shared" si="23"/>
        <v>99.85</v>
      </c>
      <c r="N93" s="13">
        <f t="shared" si="24"/>
        <v>110.91</v>
      </c>
      <c r="O93" s="13">
        <f t="shared" si="25"/>
        <v>116.49</v>
      </c>
    </row>
    <row r="94" spans="1:15" ht="15" customHeight="1">
      <c r="A94" s="9" t="s">
        <v>24</v>
      </c>
      <c r="B94" s="64">
        <f t="shared" si="21"/>
        <v>0.30499999999999999</v>
      </c>
      <c r="C94" s="11">
        <v>12</v>
      </c>
      <c r="D94" s="12" t="s">
        <v>28</v>
      </c>
      <c r="E94" s="13" t="s">
        <v>26</v>
      </c>
      <c r="F94" s="14" t="s">
        <v>90</v>
      </c>
      <c r="G94" s="66">
        <v>14.284000000000001</v>
      </c>
      <c r="H94" s="15">
        <f t="shared" si="26"/>
        <v>171.41</v>
      </c>
      <c r="I94" s="68">
        <f t="shared" si="27"/>
        <v>190.41</v>
      </c>
      <c r="J94" s="15">
        <f t="shared" si="17"/>
        <v>199.98</v>
      </c>
      <c r="K94" s="71">
        <v>0.10003850596842523</v>
      </c>
      <c r="L94" s="13">
        <f t="shared" si="22"/>
        <v>164.3</v>
      </c>
      <c r="M94" s="13">
        <f t="shared" si="23"/>
        <v>114.27</v>
      </c>
      <c r="N94" s="13">
        <f t="shared" si="24"/>
        <v>126.94</v>
      </c>
      <c r="O94" s="13">
        <f t="shared" si="25"/>
        <v>133.32</v>
      </c>
    </row>
    <row r="95" spans="1:15" ht="15" customHeight="1">
      <c r="A95" s="9" t="s">
        <v>24</v>
      </c>
      <c r="B95" s="64">
        <f t="shared" si="21"/>
        <v>0.33</v>
      </c>
      <c r="C95" s="11">
        <v>13</v>
      </c>
      <c r="D95" s="12" t="s">
        <v>28</v>
      </c>
      <c r="E95" s="13" t="s">
        <v>26</v>
      </c>
      <c r="F95" s="14" t="s">
        <v>99</v>
      </c>
      <c r="G95" s="66">
        <v>12.481</v>
      </c>
      <c r="H95" s="15">
        <f t="shared" si="26"/>
        <v>149.77000000000001</v>
      </c>
      <c r="I95" s="68">
        <f t="shared" si="27"/>
        <v>166.37</v>
      </c>
      <c r="J95" s="15">
        <f t="shared" si="17"/>
        <v>174.73</v>
      </c>
      <c r="K95" s="71">
        <v>0.10003525471531804</v>
      </c>
      <c r="L95" s="13">
        <f t="shared" si="22"/>
        <v>143.56</v>
      </c>
      <c r="M95" s="13">
        <f t="shared" si="23"/>
        <v>99.85</v>
      </c>
      <c r="N95" s="13">
        <f t="shared" si="24"/>
        <v>110.91</v>
      </c>
      <c r="O95" s="13">
        <f t="shared" si="25"/>
        <v>116.49</v>
      </c>
    </row>
    <row r="96" spans="1:15" ht="15" customHeight="1">
      <c r="A96" s="9" t="s">
        <v>24</v>
      </c>
      <c r="B96" s="64">
        <f t="shared" si="21"/>
        <v>0.33</v>
      </c>
      <c r="C96" s="11">
        <v>13</v>
      </c>
      <c r="D96" s="12" t="s">
        <v>28</v>
      </c>
      <c r="E96" s="13" t="s">
        <v>26</v>
      </c>
      <c r="F96" s="14" t="s">
        <v>100</v>
      </c>
      <c r="G96" s="66">
        <v>13.468</v>
      </c>
      <c r="H96" s="15">
        <f t="shared" si="26"/>
        <v>161.62</v>
      </c>
      <c r="I96" s="68">
        <f t="shared" si="27"/>
        <v>179.53</v>
      </c>
      <c r="J96" s="15">
        <f t="shared" si="17"/>
        <v>188.55</v>
      </c>
      <c r="K96" s="71">
        <v>9.9967330937602128E-2</v>
      </c>
      <c r="L96" s="13">
        <f t="shared" si="22"/>
        <v>154.91</v>
      </c>
      <c r="M96" s="13">
        <f t="shared" si="23"/>
        <v>107.75</v>
      </c>
      <c r="N96" s="13">
        <f t="shared" si="24"/>
        <v>119.69</v>
      </c>
      <c r="O96" s="13">
        <f t="shared" si="25"/>
        <v>125.7</v>
      </c>
    </row>
    <row r="97" spans="1:15" ht="15" customHeight="1">
      <c r="A97" s="9" t="s">
        <v>24</v>
      </c>
      <c r="B97" s="64">
        <f t="shared" si="21"/>
        <v>0.35599999999999998</v>
      </c>
      <c r="C97" s="11">
        <v>14</v>
      </c>
      <c r="D97" s="12" t="s">
        <v>28</v>
      </c>
      <c r="E97" s="13" t="s">
        <v>26</v>
      </c>
      <c r="F97" s="14" t="s">
        <v>100</v>
      </c>
      <c r="G97" s="66">
        <v>12.311999999999999</v>
      </c>
      <c r="H97" s="15">
        <f t="shared" si="26"/>
        <v>147.74</v>
      </c>
      <c r="I97" s="68">
        <f t="shared" si="27"/>
        <v>164.12</v>
      </c>
      <c r="J97" s="15">
        <f t="shared" si="17"/>
        <v>172.37</v>
      </c>
      <c r="K97" s="71">
        <v>9.9973197534173108E-2</v>
      </c>
      <c r="L97" s="13">
        <f t="shared" si="22"/>
        <v>141.61000000000001</v>
      </c>
      <c r="M97" s="13">
        <f t="shared" si="23"/>
        <v>98.49</v>
      </c>
      <c r="N97" s="13">
        <f t="shared" si="24"/>
        <v>109.41</v>
      </c>
      <c r="O97" s="13">
        <f t="shared" si="25"/>
        <v>114.91</v>
      </c>
    </row>
    <row r="98" spans="1:15" ht="15" customHeight="1">
      <c r="A98" s="9" t="s">
        <v>24</v>
      </c>
      <c r="B98" s="64">
        <f t="shared" si="21"/>
        <v>0.38100000000000001</v>
      </c>
      <c r="C98" s="11">
        <v>15</v>
      </c>
      <c r="D98" s="12" t="s">
        <v>28</v>
      </c>
      <c r="E98" s="13" t="s">
        <v>26</v>
      </c>
      <c r="F98" s="14" t="s">
        <v>90</v>
      </c>
      <c r="G98" s="66">
        <v>13.468</v>
      </c>
      <c r="H98" s="15">
        <f t="shared" si="26"/>
        <v>161.62</v>
      </c>
      <c r="I98" s="68">
        <f t="shared" si="27"/>
        <v>179.53</v>
      </c>
      <c r="J98" s="15">
        <f t="shared" si="17"/>
        <v>188.55</v>
      </c>
      <c r="K98" s="71">
        <v>9.9967330937602128E-2</v>
      </c>
      <c r="L98" s="13">
        <f t="shared" si="22"/>
        <v>154.91</v>
      </c>
      <c r="M98" s="13">
        <f t="shared" si="23"/>
        <v>107.75</v>
      </c>
      <c r="N98" s="13">
        <f t="shared" si="24"/>
        <v>119.69</v>
      </c>
      <c r="O98" s="13">
        <f t="shared" si="25"/>
        <v>125.7</v>
      </c>
    </row>
    <row r="99" spans="1:15" ht="15" customHeight="1">
      <c r="A99" s="9" t="s">
        <v>24</v>
      </c>
      <c r="B99" s="64">
        <f t="shared" si="21"/>
        <v>0.40600000000000003</v>
      </c>
      <c r="C99" s="11">
        <v>16</v>
      </c>
      <c r="D99" s="12" t="s">
        <v>28</v>
      </c>
      <c r="E99" s="13" t="s">
        <v>26</v>
      </c>
      <c r="F99" s="14" t="s">
        <v>100</v>
      </c>
      <c r="G99" s="66">
        <v>12.403</v>
      </c>
      <c r="H99" s="15">
        <f t="shared" si="26"/>
        <v>148.84</v>
      </c>
      <c r="I99" s="68">
        <f t="shared" si="27"/>
        <v>165.33</v>
      </c>
      <c r="J99" s="15">
        <f t="shared" si="17"/>
        <v>173.64</v>
      </c>
      <c r="K99" s="71">
        <v>0.10004434589800448</v>
      </c>
      <c r="L99" s="13">
        <f t="shared" si="22"/>
        <v>142.66999999999999</v>
      </c>
      <c r="M99" s="13">
        <f t="shared" si="23"/>
        <v>99.23</v>
      </c>
      <c r="N99" s="13">
        <f t="shared" si="24"/>
        <v>110.22</v>
      </c>
      <c r="O99" s="13">
        <f t="shared" si="25"/>
        <v>115.76</v>
      </c>
    </row>
    <row r="100" spans="1:15" ht="15" customHeight="1">
      <c r="A100" s="9" t="s">
        <v>24</v>
      </c>
      <c r="B100" s="64">
        <f t="shared" si="21"/>
        <v>0.45700000000000002</v>
      </c>
      <c r="C100" s="11">
        <v>18</v>
      </c>
      <c r="D100" s="12" t="s">
        <v>28</v>
      </c>
      <c r="E100" s="13" t="s">
        <v>26</v>
      </c>
      <c r="F100" s="14" t="s">
        <v>107</v>
      </c>
      <c r="G100" s="66">
        <v>13.254</v>
      </c>
      <c r="H100" s="15">
        <f t="shared" si="26"/>
        <v>159.05000000000001</v>
      </c>
      <c r="I100" s="68">
        <f t="shared" si="27"/>
        <v>176.68</v>
      </c>
      <c r="J100" s="15">
        <f t="shared" si="17"/>
        <v>185.56</v>
      </c>
      <c r="K100" s="71">
        <v>0.1000082994439373</v>
      </c>
      <c r="L100" s="13">
        <f t="shared" si="22"/>
        <v>152.44999999999999</v>
      </c>
      <c r="M100" s="13">
        <f t="shared" si="23"/>
        <v>106.03</v>
      </c>
      <c r="N100" s="13">
        <f t="shared" si="24"/>
        <v>117.79</v>
      </c>
      <c r="O100" s="13">
        <f t="shared" si="25"/>
        <v>123.71</v>
      </c>
    </row>
    <row r="101" spans="1:15" ht="15" customHeight="1">
      <c r="A101" s="9" t="s">
        <v>24</v>
      </c>
      <c r="B101" s="64">
        <f t="shared" si="21"/>
        <v>0.50800000000000001</v>
      </c>
      <c r="C101" s="11">
        <v>20</v>
      </c>
      <c r="D101" s="12" t="s">
        <v>28</v>
      </c>
      <c r="E101" s="13" t="s">
        <v>26</v>
      </c>
      <c r="F101" s="14" t="s">
        <v>27</v>
      </c>
      <c r="G101" s="66">
        <v>13.834</v>
      </c>
      <c r="H101" s="15">
        <f t="shared" si="26"/>
        <v>166.01</v>
      </c>
      <c r="I101" s="68">
        <f t="shared" si="27"/>
        <v>184.41</v>
      </c>
      <c r="J101" s="15">
        <f t="shared" si="17"/>
        <v>193.68</v>
      </c>
      <c r="K101" s="71">
        <v>0.10003180661577593</v>
      </c>
      <c r="L101" s="13">
        <f t="shared" si="22"/>
        <v>159.13</v>
      </c>
      <c r="M101" s="13">
        <f t="shared" si="23"/>
        <v>110.67</v>
      </c>
      <c r="N101" s="13">
        <f t="shared" si="24"/>
        <v>122.94</v>
      </c>
      <c r="O101" s="13">
        <f t="shared" si="25"/>
        <v>129.12</v>
      </c>
    </row>
    <row r="102" spans="1:15" ht="15" customHeight="1">
      <c r="A102" s="9" t="s">
        <v>24</v>
      </c>
      <c r="B102" s="64">
        <f t="shared" si="21"/>
        <v>0.53300000000000003</v>
      </c>
      <c r="C102" s="11">
        <v>21</v>
      </c>
      <c r="D102" s="12" t="s">
        <v>28</v>
      </c>
      <c r="E102" s="13" t="s">
        <v>26</v>
      </c>
      <c r="F102" s="14" t="s">
        <v>94</v>
      </c>
      <c r="G102" s="66">
        <v>13.364000000000001</v>
      </c>
      <c r="H102" s="15">
        <f t="shared" si="26"/>
        <v>160.37</v>
      </c>
      <c r="I102" s="68">
        <f t="shared" si="27"/>
        <v>178.14</v>
      </c>
      <c r="J102" s="15">
        <f t="shared" si="17"/>
        <v>187.1</v>
      </c>
      <c r="K102" s="71">
        <v>0.10000823113013424</v>
      </c>
      <c r="L102" s="13">
        <f t="shared" si="22"/>
        <v>153.72</v>
      </c>
      <c r="M102" s="13">
        <f t="shared" si="23"/>
        <v>106.91</v>
      </c>
      <c r="N102" s="13">
        <f t="shared" si="24"/>
        <v>118.76</v>
      </c>
      <c r="O102" s="13">
        <f t="shared" si="25"/>
        <v>124.73</v>
      </c>
    </row>
    <row r="103" spans="1:15" ht="15" customHeight="1">
      <c r="A103" s="9" t="s">
        <v>24</v>
      </c>
      <c r="B103" s="64">
        <f t="shared" si="21"/>
        <v>0.61</v>
      </c>
      <c r="C103" s="11">
        <v>24</v>
      </c>
      <c r="D103" s="12" t="s">
        <v>28</v>
      </c>
      <c r="E103" s="13" t="s">
        <v>26</v>
      </c>
      <c r="F103" s="14" t="s">
        <v>94</v>
      </c>
      <c r="G103" s="66">
        <v>13.484</v>
      </c>
      <c r="H103" s="15">
        <f t="shared" si="26"/>
        <v>161.81</v>
      </c>
      <c r="I103" s="68">
        <f t="shared" si="27"/>
        <v>179.74</v>
      </c>
      <c r="J103" s="15">
        <f t="shared" si="17"/>
        <v>188.78</v>
      </c>
      <c r="K103" s="71">
        <v>0.10001631587534687</v>
      </c>
      <c r="L103" s="13">
        <f t="shared" si="22"/>
        <v>155.1</v>
      </c>
      <c r="M103" s="13">
        <f t="shared" si="23"/>
        <v>107.87</v>
      </c>
      <c r="N103" s="13">
        <f t="shared" si="24"/>
        <v>119.83</v>
      </c>
      <c r="O103" s="13">
        <f t="shared" si="25"/>
        <v>125.85</v>
      </c>
    </row>
    <row r="104" spans="1:15" ht="15" customHeight="1">
      <c r="A104" s="9" t="s">
        <v>24</v>
      </c>
      <c r="B104" s="64">
        <f t="shared" si="21"/>
        <v>0.66</v>
      </c>
      <c r="C104" s="11">
        <v>26</v>
      </c>
      <c r="D104" s="12" t="s">
        <v>28</v>
      </c>
      <c r="E104" s="13" t="s">
        <v>26</v>
      </c>
      <c r="F104" s="75" t="s">
        <v>109</v>
      </c>
      <c r="G104" s="66">
        <v>15.683</v>
      </c>
      <c r="H104" s="15">
        <f t="shared" si="26"/>
        <v>188.2</v>
      </c>
      <c r="I104" s="68">
        <f t="shared" si="27"/>
        <v>209.05</v>
      </c>
      <c r="J104" s="15">
        <f t="shared" si="17"/>
        <v>219.56</v>
      </c>
      <c r="K104" s="71">
        <v>0.10002104229501296</v>
      </c>
      <c r="L104" s="13">
        <f t="shared" si="22"/>
        <v>180.4</v>
      </c>
      <c r="M104" s="13">
        <f t="shared" si="23"/>
        <v>125.47</v>
      </c>
      <c r="N104" s="13">
        <f t="shared" si="24"/>
        <v>139.37</v>
      </c>
      <c r="O104" s="13">
        <f t="shared" si="25"/>
        <v>146.37</v>
      </c>
    </row>
    <row r="105" spans="1:15" ht="15" customHeight="1">
      <c r="A105" s="9" t="s">
        <v>24</v>
      </c>
      <c r="B105" s="64">
        <f t="shared" si="21"/>
        <v>0.71099999999999997</v>
      </c>
      <c r="C105" s="11">
        <v>28</v>
      </c>
      <c r="D105" s="12" t="s">
        <v>28</v>
      </c>
      <c r="E105" s="13" t="s">
        <v>26</v>
      </c>
      <c r="F105" s="14" t="s">
        <v>101</v>
      </c>
      <c r="G105" s="66">
        <v>15.683</v>
      </c>
      <c r="H105" s="15">
        <f t="shared" si="26"/>
        <v>188.2</v>
      </c>
      <c r="I105" s="68">
        <f t="shared" si="27"/>
        <v>209.05</v>
      </c>
      <c r="J105" s="15">
        <f t="shared" si="17"/>
        <v>219.56</v>
      </c>
      <c r="K105" s="71">
        <v>0.10002104229501296</v>
      </c>
      <c r="L105" s="13">
        <f t="shared" si="22"/>
        <v>180.4</v>
      </c>
      <c r="M105" s="13">
        <f t="shared" si="23"/>
        <v>125.47</v>
      </c>
      <c r="N105" s="13">
        <f t="shared" si="24"/>
        <v>139.37</v>
      </c>
      <c r="O105" s="13">
        <f t="shared" si="25"/>
        <v>146.37</v>
      </c>
    </row>
    <row r="106" spans="1:15" ht="15" customHeight="1">
      <c r="A106" s="9" t="s">
        <v>24</v>
      </c>
      <c r="B106" s="64">
        <f t="shared" si="21"/>
        <v>0.76200000000000001</v>
      </c>
      <c r="C106" s="11">
        <v>30</v>
      </c>
      <c r="D106" s="12" t="s">
        <v>28</v>
      </c>
      <c r="E106" s="13" t="s">
        <v>26</v>
      </c>
      <c r="F106" s="14" t="s">
        <v>101</v>
      </c>
      <c r="G106" s="66">
        <v>15.683</v>
      </c>
      <c r="H106" s="15">
        <f t="shared" si="26"/>
        <v>188.2</v>
      </c>
      <c r="I106" s="68">
        <f t="shared" si="27"/>
        <v>209.05</v>
      </c>
      <c r="J106" s="15">
        <f t="shared" si="17"/>
        <v>219.56</v>
      </c>
      <c r="K106" s="71">
        <v>0.10002104229501296</v>
      </c>
      <c r="L106" s="13">
        <f t="shared" si="22"/>
        <v>180.4</v>
      </c>
      <c r="M106" s="13">
        <f t="shared" si="23"/>
        <v>125.47</v>
      </c>
      <c r="N106" s="13">
        <f t="shared" si="24"/>
        <v>139.37</v>
      </c>
      <c r="O106" s="13">
        <f t="shared" si="25"/>
        <v>146.37</v>
      </c>
    </row>
    <row r="107" spans="1:15" ht="15" customHeight="1">
      <c r="A107" s="9" t="s">
        <v>24</v>
      </c>
      <c r="B107" s="64">
        <f t="shared" si="21"/>
        <v>0.81299999999999994</v>
      </c>
      <c r="C107" s="11">
        <v>32</v>
      </c>
      <c r="D107" s="12" t="s">
        <v>28</v>
      </c>
      <c r="E107" s="13" t="s">
        <v>26</v>
      </c>
      <c r="F107" s="14" t="s">
        <v>101</v>
      </c>
      <c r="G107" s="66">
        <v>15.212999999999999</v>
      </c>
      <c r="H107" s="15">
        <f t="shared" si="26"/>
        <v>182.56</v>
      </c>
      <c r="I107" s="68">
        <f t="shared" si="27"/>
        <v>202.79</v>
      </c>
      <c r="J107" s="15">
        <f t="shared" si="17"/>
        <v>212.98</v>
      </c>
      <c r="K107" s="71">
        <v>9.9999999999999867E-2</v>
      </c>
      <c r="L107" s="13">
        <f t="shared" si="22"/>
        <v>174.99</v>
      </c>
      <c r="M107" s="13">
        <f t="shared" si="23"/>
        <v>121.71</v>
      </c>
      <c r="N107" s="13">
        <f t="shared" si="24"/>
        <v>135.19</v>
      </c>
      <c r="O107" s="13">
        <f t="shared" si="25"/>
        <v>141.99</v>
      </c>
    </row>
    <row r="108" spans="1:15" ht="15" customHeight="1">
      <c r="A108" s="9" t="s">
        <v>24</v>
      </c>
      <c r="B108" s="64">
        <f t="shared" si="21"/>
        <v>0.83799999999999997</v>
      </c>
      <c r="C108" s="11">
        <v>33</v>
      </c>
      <c r="D108" s="12" t="s">
        <v>28</v>
      </c>
      <c r="E108" s="13" t="s">
        <v>26</v>
      </c>
      <c r="F108" s="76" t="s">
        <v>110</v>
      </c>
      <c r="G108" s="66">
        <v>17.795000000000002</v>
      </c>
      <c r="H108" s="15">
        <f t="shared" si="26"/>
        <v>213.54</v>
      </c>
      <c r="I108" s="68">
        <f t="shared" si="27"/>
        <v>237.21</v>
      </c>
      <c r="J108" s="15">
        <f t="shared" si="17"/>
        <v>249.13</v>
      </c>
      <c r="K108" s="71">
        <v>0.1000185448476234</v>
      </c>
      <c r="L108" s="13">
        <f t="shared" si="22"/>
        <v>204.69</v>
      </c>
      <c r="M108" s="13">
        <f t="shared" si="23"/>
        <v>142.36000000000001</v>
      </c>
      <c r="N108" s="13">
        <f t="shared" si="24"/>
        <v>158.13999999999999</v>
      </c>
      <c r="O108" s="13">
        <f t="shared" si="25"/>
        <v>166.09</v>
      </c>
    </row>
    <row r="109" spans="1:15" ht="15" customHeight="1">
      <c r="A109" s="9" t="s">
        <v>24</v>
      </c>
      <c r="B109" s="64">
        <f t="shared" si="21"/>
        <v>0.86399999999999999</v>
      </c>
      <c r="C109" s="11">
        <v>34</v>
      </c>
      <c r="D109" s="12" t="s">
        <v>28</v>
      </c>
      <c r="E109" s="13" t="s">
        <v>26</v>
      </c>
      <c r="F109" s="14" t="s">
        <v>111</v>
      </c>
      <c r="G109" s="66">
        <v>17.3</v>
      </c>
      <c r="H109" s="15">
        <f t="shared" si="26"/>
        <v>207.6</v>
      </c>
      <c r="I109" s="68">
        <f t="shared" si="27"/>
        <v>230.61</v>
      </c>
      <c r="J109" s="15">
        <f t="shared" si="17"/>
        <v>242.2</v>
      </c>
      <c r="K109" s="71">
        <v>0.1000190754752972</v>
      </c>
      <c r="L109" s="13">
        <f t="shared" si="22"/>
        <v>199</v>
      </c>
      <c r="M109" s="13">
        <f t="shared" si="23"/>
        <v>138.4</v>
      </c>
      <c r="N109" s="13">
        <f t="shared" si="24"/>
        <v>153.74</v>
      </c>
      <c r="O109" s="13">
        <f t="shared" si="25"/>
        <v>161.47</v>
      </c>
    </row>
    <row r="110" spans="1:15" ht="15" customHeight="1">
      <c r="A110" s="9" t="s">
        <v>24</v>
      </c>
      <c r="B110" s="64">
        <f t="shared" si="21"/>
        <v>0.91400000000000003</v>
      </c>
      <c r="C110" s="31">
        <v>36</v>
      </c>
      <c r="D110" s="12" t="s">
        <v>28</v>
      </c>
      <c r="E110" s="13" t="s">
        <v>26</v>
      </c>
      <c r="F110" s="32" t="s">
        <v>96</v>
      </c>
      <c r="G110" s="66">
        <v>17.533999999999999</v>
      </c>
      <c r="H110" s="15">
        <f t="shared" si="26"/>
        <v>210.41</v>
      </c>
      <c r="I110" s="68">
        <f t="shared" si="27"/>
        <v>233.73</v>
      </c>
      <c r="J110" s="15">
        <f t="shared" si="17"/>
        <v>245.48</v>
      </c>
      <c r="K110" s="71">
        <v>9.9999999999999867E-2</v>
      </c>
      <c r="L110" s="13">
        <f t="shared" si="22"/>
        <v>201.68</v>
      </c>
      <c r="M110" s="13">
        <f t="shared" si="23"/>
        <v>140.27000000000001</v>
      </c>
      <c r="N110" s="13">
        <f t="shared" si="24"/>
        <v>155.82</v>
      </c>
      <c r="O110" s="13">
        <f t="shared" si="25"/>
        <v>163.65</v>
      </c>
    </row>
    <row r="111" spans="1:15" ht="15" customHeight="1">
      <c r="A111" s="9" t="s">
        <v>24</v>
      </c>
      <c r="B111" s="64">
        <f t="shared" si="21"/>
        <v>0.94</v>
      </c>
      <c r="C111" s="31">
        <v>37</v>
      </c>
      <c r="D111" s="12" t="s">
        <v>28</v>
      </c>
      <c r="E111" s="13" t="s">
        <v>26</v>
      </c>
      <c r="F111" s="32" t="s">
        <v>96</v>
      </c>
      <c r="G111" s="66">
        <v>17.533999999999999</v>
      </c>
      <c r="H111" s="15">
        <f t="shared" si="26"/>
        <v>210.41</v>
      </c>
      <c r="I111" s="68">
        <f t="shared" si="27"/>
        <v>233.73</v>
      </c>
      <c r="J111" s="15">
        <f t="shared" si="17"/>
        <v>245.48</v>
      </c>
      <c r="K111" s="71">
        <v>9.9999999999999867E-2</v>
      </c>
      <c r="L111" s="13">
        <f t="shared" si="22"/>
        <v>201.68</v>
      </c>
      <c r="M111" s="13">
        <f t="shared" si="23"/>
        <v>140.27000000000001</v>
      </c>
      <c r="N111" s="13">
        <f t="shared" si="24"/>
        <v>155.82</v>
      </c>
      <c r="O111" s="13">
        <f t="shared" si="25"/>
        <v>163.65</v>
      </c>
    </row>
    <row r="112" spans="1:15" ht="15" customHeight="1">
      <c r="A112" s="9" t="s">
        <v>24</v>
      </c>
      <c r="B112" s="64">
        <f t="shared" si="21"/>
        <v>0.99099999999999999</v>
      </c>
      <c r="C112" s="31">
        <v>39</v>
      </c>
      <c r="D112" s="12" t="s">
        <v>28</v>
      </c>
      <c r="E112" s="13" t="s">
        <v>26</v>
      </c>
      <c r="F112" s="32" t="s">
        <v>96</v>
      </c>
      <c r="G112" s="66">
        <v>17.533999999999999</v>
      </c>
      <c r="H112" s="15">
        <f t="shared" si="26"/>
        <v>210.41</v>
      </c>
      <c r="I112" s="68">
        <f t="shared" si="27"/>
        <v>233.73</v>
      </c>
      <c r="J112" s="15">
        <f t="shared" si="17"/>
        <v>245.48</v>
      </c>
      <c r="K112" s="71">
        <v>9.9999999999999867E-2</v>
      </c>
      <c r="L112" s="13">
        <f t="shared" si="22"/>
        <v>201.68</v>
      </c>
      <c r="M112" s="13">
        <f t="shared" si="23"/>
        <v>140.27000000000001</v>
      </c>
      <c r="N112" s="13">
        <f t="shared" si="24"/>
        <v>155.82</v>
      </c>
      <c r="O112" s="13">
        <f t="shared" si="25"/>
        <v>163.65</v>
      </c>
    </row>
    <row r="113" spans="1:15" ht="15" customHeight="1">
      <c r="A113" s="9" t="s">
        <v>24</v>
      </c>
      <c r="B113" s="64">
        <f t="shared" si="21"/>
        <v>1.0669999999999999</v>
      </c>
      <c r="C113" s="31">
        <v>42</v>
      </c>
      <c r="D113" s="12" t="s">
        <v>28</v>
      </c>
      <c r="E113" s="13" t="s">
        <v>26</v>
      </c>
      <c r="F113" s="32" t="s">
        <v>102</v>
      </c>
      <c r="G113" s="66">
        <v>18.414999999999999</v>
      </c>
      <c r="H113" s="15">
        <f t="shared" si="26"/>
        <v>220.98</v>
      </c>
      <c r="I113" s="68">
        <f t="shared" si="27"/>
        <v>245.47</v>
      </c>
      <c r="J113" s="15">
        <f t="shared" si="17"/>
        <v>257.81</v>
      </c>
      <c r="K113" s="71">
        <v>9.9994026641180289E-2</v>
      </c>
      <c r="L113" s="13">
        <f t="shared" si="22"/>
        <v>211.82</v>
      </c>
      <c r="M113" s="13">
        <f t="shared" si="23"/>
        <v>147.32</v>
      </c>
      <c r="N113" s="13">
        <f t="shared" si="24"/>
        <v>163.65</v>
      </c>
      <c r="O113" s="13">
        <f t="shared" si="25"/>
        <v>171.87</v>
      </c>
    </row>
    <row r="114" spans="1:15" ht="15" customHeight="1">
      <c r="A114" s="9" t="s">
        <v>24</v>
      </c>
      <c r="B114" s="64">
        <f t="shared" si="21"/>
        <v>1.0920000000000001</v>
      </c>
      <c r="C114" s="31">
        <v>43</v>
      </c>
      <c r="D114" s="12" t="s">
        <v>28</v>
      </c>
      <c r="E114" s="13" t="s">
        <v>26</v>
      </c>
      <c r="F114" s="32" t="s">
        <v>102</v>
      </c>
      <c r="G114" s="66">
        <v>18.414999999999999</v>
      </c>
      <c r="H114" s="15">
        <f t="shared" si="26"/>
        <v>220.98</v>
      </c>
      <c r="I114" s="68">
        <f t="shared" si="27"/>
        <v>245.47</v>
      </c>
      <c r="J114" s="15">
        <f t="shared" si="17"/>
        <v>257.81</v>
      </c>
      <c r="K114" s="71">
        <v>9.9994026641180289E-2</v>
      </c>
      <c r="L114" s="13">
        <f t="shared" si="22"/>
        <v>211.82</v>
      </c>
      <c r="M114" s="13">
        <f t="shared" si="23"/>
        <v>147.32</v>
      </c>
      <c r="N114" s="13">
        <f t="shared" si="24"/>
        <v>163.65</v>
      </c>
      <c r="O114" s="13">
        <f t="shared" si="25"/>
        <v>171.87</v>
      </c>
    </row>
    <row r="115" spans="1:15" ht="15" customHeight="1">
      <c r="A115" s="9" t="s">
        <v>24</v>
      </c>
      <c r="B115" s="64">
        <f t="shared" si="21"/>
        <v>1.143</v>
      </c>
      <c r="C115" s="31">
        <v>45</v>
      </c>
      <c r="D115" s="12" t="s">
        <v>28</v>
      </c>
      <c r="E115" s="13" t="s">
        <v>26</v>
      </c>
      <c r="F115" s="32" t="s">
        <v>102</v>
      </c>
      <c r="G115" s="66">
        <v>18.414999999999999</v>
      </c>
      <c r="H115" s="15">
        <f t="shared" si="26"/>
        <v>220.98</v>
      </c>
      <c r="I115" s="68">
        <f t="shared" si="27"/>
        <v>245.47</v>
      </c>
      <c r="J115" s="15">
        <f t="shared" si="17"/>
        <v>257.81</v>
      </c>
      <c r="K115" s="71">
        <v>9.9994026641180289E-2</v>
      </c>
      <c r="L115" s="13">
        <f t="shared" si="22"/>
        <v>211.82</v>
      </c>
      <c r="M115" s="13">
        <f t="shared" si="23"/>
        <v>147.32</v>
      </c>
      <c r="N115" s="13">
        <f t="shared" si="24"/>
        <v>163.65</v>
      </c>
      <c r="O115" s="13">
        <f t="shared" si="25"/>
        <v>171.87</v>
      </c>
    </row>
    <row r="116" spans="1:15" ht="15" customHeight="1">
      <c r="A116" s="9" t="s">
        <v>24</v>
      </c>
      <c r="B116" s="64">
        <f t="shared" si="21"/>
        <v>1.194</v>
      </c>
      <c r="C116" s="31">
        <v>47</v>
      </c>
      <c r="D116" s="12" t="s">
        <v>28</v>
      </c>
      <c r="E116" s="13" t="s">
        <v>26</v>
      </c>
      <c r="F116" s="32" t="s">
        <v>102</v>
      </c>
      <c r="G116" s="66">
        <v>15.752000000000001</v>
      </c>
      <c r="H116" s="15">
        <f t="shared" si="26"/>
        <v>189.02</v>
      </c>
      <c r="I116" s="68">
        <f t="shared" si="27"/>
        <v>209.97</v>
      </c>
      <c r="J116" s="15">
        <f t="shared" si="17"/>
        <v>220.53</v>
      </c>
      <c r="K116" s="71">
        <v>0.10000000000000009</v>
      </c>
      <c r="L116" s="13">
        <f t="shared" si="22"/>
        <v>181.18</v>
      </c>
      <c r="M116" s="13">
        <f t="shared" si="23"/>
        <v>126.01</v>
      </c>
      <c r="N116" s="13">
        <f t="shared" si="24"/>
        <v>139.97999999999999</v>
      </c>
      <c r="O116" s="13">
        <f t="shared" si="25"/>
        <v>147.02000000000001</v>
      </c>
    </row>
    <row r="117" spans="1:15" ht="15" customHeight="1">
      <c r="A117" s="9" t="s">
        <v>24</v>
      </c>
      <c r="B117" s="64">
        <f t="shared" si="21"/>
        <v>1.24</v>
      </c>
      <c r="C117" s="31">
        <v>48.8</v>
      </c>
      <c r="D117" s="12" t="s">
        <v>28</v>
      </c>
      <c r="E117" s="13" t="s">
        <v>26</v>
      </c>
      <c r="F117" s="32" t="s">
        <v>104</v>
      </c>
      <c r="G117" s="66">
        <v>19.239000000000001</v>
      </c>
      <c r="H117" s="15">
        <f t="shared" si="26"/>
        <v>230.87</v>
      </c>
      <c r="I117" s="68">
        <f t="shared" si="27"/>
        <v>256.45999999999998</v>
      </c>
      <c r="J117" s="15">
        <f t="shared" si="17"/>
        <v>269.35000000000002</v>
      </c>
      <c r="K117" s="71">
        <v>0.10000000000000009</v>
      </c>
      <c r="L117" s="13">
        <f t="shared" si="22"/>
        <v>221.3</v>
      </c>
      <c r="M117" s="13">
        <f t="shared" si="23"/>
        <v>153.91</v>
      </c>
      <c r="N117" s="13">
        <f t="shared" si="24"/>
        <v>170.97</v>
      </c>
      <c r="O117" s="13">
        <f t="shared" si="25"/>
        <v>179.57</v>
      </c>
    </row>
    <row r="118" spans="1:15" ht="15" customHeight="1">
      <c r="A118" s="9" t="s">
        <v>24</v>
      </c>
      <c r="B118" s="64">
        <f t="shared" si="21"/>
        <v>1.27</v>
      </c>
      <c r="C118" s="31">
        <v>50</v>
      </c>
      <c r="D118" s="12" t="s">
        <v>28</v>
      </c>
      <c r="E118" s="13" t="s">
        <v>26</v>
      </c>
      <c r="F118" s="32" t="s">
        <v>104</v>
      </c>
      <c r="G118" s="66">
        <v>20.2</v>
      </c>
      <c r="H118" s="15">
        <f t="shared" si="26"/>
        <v>242.4</v>
      </c>
      <c r="I118" s="68">
        <f t="shared" si="27"/>
        <v>269.27</v>
      </c>
      <c r="J118" s="15">
        <f t="shared" si="17"/>
        <v>282.8</v>
      </c>
      <c r="K118" s="71">
        <v>9.9978218253103712E-2</v>
      </c>
      <c r="L118" s="13">
        <f t="shared" si="22"/>
        <v>232.35</v>
      </c>
      <c r="M118" s="13">
        <f t="shared" si="23"/>
        <v>161.6</v>
      </c>
      <c r="N118" s="13">
        <f t="shared" si="24"/>
        <v>179.51</v>
      </c>
      <c r="O118" s="13">
        <f t="shared" si="25"/>
        <v>188.53</v>
      </c>
    </row>
    <row r="119" spans="1:15" ht="15" customHeight="1">
      <c r="A119" s="9" t="s">
        <v>24</v>
      </c>
      <c r="B119" s="64">
        <f t="shared" si="21"/>
        <v>1.3</v>
      </c>
      <c r="C119" s="31">
        <v>51.2</v>
      </c>
      <c r="D119" s="12" t="s">
        <v>28</v>
      </c>
      <c r="E119" s="13" t="s">
        <v>26</v>
      </c>
      <c r="F119" s="32" t="s">
        <v>104</v>
      </c>
      <c r="G119" s="66">
        <v>20.2</v>
      </c>
      <c r="H119" s="15">
        <f t="shared" si="26"/>
        <v>242.4</v>
      </c>
      <c r="I119" s="68">
        <f t="shared" si="27"/>
        <v>269.27</v>
      </c>
      <c r="J119" s="15">
        <f t="shared" si="17"/>
        <v>282.8</v>
      </c>
      <c r="K119" s="71">
        <v>9.9978218253103712E-2</v>
      </c>
      <c r="L119" s="13">
        <f t="shared" si="22"/>
        <v>232.35</v>
      </c>
      <c r="M119" s="13">
        <f t="shared" si="23"/>
        <v>161.6</v>
      </c>
      <c r="N119" s="13">
        <f t="shared" si="24"/>
        <v>179.51</v>
      </c>
      <c r="O119" s="13">
        <f t="shared" si="25"/>
        <v>188.53</v>
      </c>
    </row>
    <row r="120" spans="1:15" ht="15" customHeight="1">
      <c r="A120" s="9" t="s">
        <v>24</v>
      </c>
      <c r="B120" s="64">
        <f t="shared" si="21"/>
        <v>1.397</v>
      </c>
      <c r="C120" s="31">
        <v>55</v>
      </c>
      <c r="D120" s="12" t="s">
        <v>28</v>
      </c>
      <c r="E120" s="13" t="s">
        <v>26</v>
      </c>
      <c r="F120" s="32" t="s">
        <v>104</v>
      </c>
      <c r="G120" s="66">
        <v>20.536000000000001</v>
      </c>
      <c r="H120" s="15">
        <f t="shared" si="26"/>
        <v>246.43</v>
      </c>
      <c r="I120" s="68">
        <f t="shared" si="27"/>
        <v>273.74</v>
      </c>
      <c r="J120" s="15">
        <f t="shared" si="17"/>
        <v>287.5</v>
      </c>
      <c r="K120" s="71">
        <v>0.10000535647329811</v>
      </c>
      <c r="L120" s="13">
        <f t="shared" si="22"/>
        <v>236.21</v>
      </c>
      <c r="M120" s="13">
        <f t="shared" si="23"/>
        <v>164.29</v>
      </c>
      <c r="N120" s="13">
        <f t="shared" si="24"/>
        <v>182.49</v>
      </c>
      <c r="O120" s="13">
        <f t="shared" si="25"/>
        <v>191.67</v>
      </c>
    </row>
    <row r="121" spans="1:15" ht="15" customHeight="1">
      <c r="A121" s="9" t="s">
        <v>24</v>
      </c>
      <c r="B121" s="64">
        <f t="shared" si="21"/>
        <v>1.4219999999999999</v>
      </c>
      <c r="C121" s="31">
        <v>56</v>
      </c>
      <c r="D121" s="12" t="s">
        <v>28</v>
      </c>
      <c r="E121" s="13" t="s">
        <v>26</v>
      </c>
      <c r="F121" s="32" t="s">
        <v>103</v>
      </c>
      <c r="G121" s="66">
        <v>21.763999999999999</v>
      </c>
      <c r="H121" s="15">
        <f t="shared" si="26"/>
        <v>261.17</v>
      </c>
      <c r="I121" s="68">
        <f t="shared" si="27"/>
        <v>290.11</v>
      </c>
      <c r="J121" s="15">
        <f t="shared" si="17"/>
        <v>304.7</v>
      </c>
      <c r="K121" s="71">
        <v>0.10002527167045727</v>
      </c>
      <c r="L121" s="13">
        <f t="shared" si="22"/>
        <v>250.34</v>
      </c>
      <c r="M121" s="13">
        <f t="shared" si="23"/>
        <v>174.11</v>
      </c>
      <c r="N121" s="13">
        <f t="shared" si="24"/>
        <v>193.41</v>
      </c>
      <c r="O121" s="13">
        <f t="shared" si="25"/>
        <v>203.13</v>
      </c>
    </row>
    <row r="122" spans="1:15" ht="15" customHeight="1">
      <c r="A122" s="9" t="s">
        <v>24</v>
      </c>
      <c r="B122" s="64">
        <f t="shared" si="21"/>
        <v>1.448</v>
      </c>
      <c r="C122" s="31">
        <v>57</v>
      </c>
      <c r="D122" s="12" t="s">
        <v>28</v>
      </c>
      <c r="E122" s="13" t="s">
        <v>26</v>
      </c>
      <c r="F122" s="32" t="s">
        <v>103</v>
      </c>
      <c r="G122" s="66">
        <v>21.763999999999999</v>
      </c>
      <c r="H122" s="15">
        <f t="shared" si="26"/>
        <v>261.17</v>
      </c>
      <c r="I122" s="68">
        <f t="shared" si="27"/>
        <v>290.11</v>
      </c>
      <c r="J122" s="15">
        <f t="shared" si="17"/>
        <v>304.7</v>
      </c>
      <c r="K122" s="71">
        <v>0.10002527167045727</v>
      </c>
      <c r="L122" s="13">
        <f t="shared" si="22"/>
        <v>250.34</v>
      </c>
      <c r="M122" s="13">
        <f t="shared" si="23"/>
        <v>174.11</v>
      </c>
      <c r="N122" s="13">
        <f t="shared" si="24"/>
        <v>193.41</v>
      </c>
      <c r="O122" s="13">
        <f t="shared" si="25"/>
        <v>203.13</v>
      </c>
    </row>
    <row r="123" spans="1:15" ht="15" customHeight="1">
      <c r="A123" s="9" t="s">
        <v>24</v>
      </c>
      <c r="B123" s="64">
        <f t="shared" si="21"/>
        <v>1.4990000000000001</v>
      </c>
      <c r="C123" s="31">
        <v>59</v>
      </c>
      <c r="D123" s="12" t="s">
        <v>28</v>
      </c>
      <c r="E123" s="13" t="s">
        <v>26</v>
      </c>
      <c r="F123" s="32" t="s">
        <v>103</v>
      </c>
      <c r="G123" s="66">
        <v>21.763999999999999</v>
      </c>
      <c r="H123" s="15">
        <f t="shared" si="26"/>
        <v>261.17</v>
      </c>
      <c r="I123" s="68">
        <f t="shared" si="27"/>
        <v>290.11</v>
      </c>
      <c r="J123" s="15">
        <f t="shared" si="17"/>
        <v>304.7</v>
      </c>
      <c r="K123" s="71">
        <v>0.10002527167045727</v>
      </c>
      <c r="L123" s="13">
        <f t="shared" si="22"/>
        <v>250.34</v>
      </c>
      <c r="M123" s="13">
        <f t="shared" si="23"/>
        <v>174.11</v>
      </c>
      <c r="N123" s="13">
        <f t="shared" si="24"/>
        <v>193.41</v>
      </c>
      <c r="O123" s="13">
        <f t="shared" si="25"/>
        <v>203.13</v>
      </c>
    </row>
    <row r="124" spans="1:15" ht="15" customHeight="1">
      <c r="A124" s="9" t="s">
        <v>24</v>
      </c>
      <c r="B124" s="64">
        <f t="shared" si="21"/>
        <v>1.6</v>
      </c>
      <c r="C124" s="31">
        <v>63</v>
      </c>
      <c r="D124" s="12" t="s">
        <v>28</v>
      </c>
      <c r="E124" s="13" t="s">
        <v>26</v>
      </c>
      <c r="F124" s="32" t="s">
        <v>103</v>
      </c>
      <c r="G124" s="66">
        <v>22.433</v>
      </c>
      <c r="H124" s="15">
        <f t="shared" si="26"/>
        <v>269.2</v>
      </c>
      <c r="I124" s="68">
        <f t="shared" si="27"/>
        <v>299.02999999999997</v>
      </c>
      <c r="J124" s="15">
        <f t="shared" si="17"/>
        <v>314.06</v>
      </c>
      <c r="K124" s="71">
        <v>9.998038638815343E-2</v>
      </c>
      <c r="L124" s="13">
        <f t="shared" si="22"/>
        <v>258.04000000000002</v>
      </c>
      <c r="M124" s="13">
        <f t="shared" si="23"/>
        <v>179.47</v>
      </c>
      <c r="N124" s="13">
        <f t="shared" si="24"/>
        <v>199.35</v>
      </c>
      <c r="O124" s="13">
        <f t="shared" si="25"/>
        <v>209.37</v>
      </c>
    </row>
    <row r="125" spans="1:15" ht="15" customHeight="1">
      <c r="A125" s="9" t="s">
        <v>24</v>
      </c>
      <c r="B125" s="64">
        <f t="shared" si="21"/>
        <v>1.702</v>
      </c>
      <c r="C125" s="31">
        <v>67</v>
      </c>
      <c r="D125" s="12" t="s">
        <v>28</v>
      </c>
      <c r="E125" s="13" t="s">
        <v>26</v>
      </c>
      <c r="F125" s="32" t="s">
        <v>105</v>
      </c>
      <c r="G125" s="66">
        <v>24.555</v>
      </c>
      <c r="H125" s="15">
        <f t="shared" si="26"/>
        <v>294.66000000000003</v>
      </c>
      <c r="I125" s="68">
        <f t="shared" si="27"/>
        <v>327.32</v>
      </c>
      <c r="J125" s="15">
        <f t="shared" si="17"/>
        <v>343.77</v>
      </c>
      <c r="K125" s="71">
        <v>9.9986560946109471E-2</v>
      </c>
      <c r="L125" s="13">
        <f t="shared" si="22"/>
        <v>282.45</v>
      </c>
      <c r="M125" s="13">
        <f t="shared" si="23"/>
        <v>196.44</v>
      </c>
      <c r="N125" s="13">
        <f t="shared" si="24"/>
        <v>218.21</v>
      </c>
      <c r="O125" s="13">
        <f t="shared" si="25"/>
        <v>229.18</v>
      </c>
    </row>
    <row r="126" spans="1:15" ht="15" customHeight="1">
      <c r="A126" s="9" t="s">
        <v>24</v>
      </c>
      <c r="B126" s="64">
        <f t="shared" si="21"/>
        <v>1.8029999999999999</v>
      </c>
      <c r="C126" s="11">
        <v>71</v>
      </c>
      <c r="D126" s="12" t="s">
        <v>28</v>
      </c>
      <c r="E126" s="13" t="s">
        <v>26</v>
      </c>
      <c r="F126" s="14" t="s">
        <v>112</v>
      </c>
      <c r="G126" s="66">
        <v>26.786000000000001</v>
      </c>
      <c r="H126" s="15">
        <f t="shared" si="26"/>
        <v>321.43</v>
      </c>
      <c r="I126" s="68">
        <f t="shared" si="27"/>
        <v>357.06</v>
      </c>
      <c r="J126" s="15">
        <f t="shared" si="17"/>
        <v>375</v>
      </c>
      <c r="K126" s="71">
        <v>9.9995893392468505E-2</v>
      </c>
      <c r="L126" s="13">
        <f t="shared" si="22"/>
        <v>308.11</v>
      </c>
      <c r="M126" s="13">
        <f t="shared" si="23"/>
        <v>214.29</v>
      </c>
      <c r="N126" s="13">
        <f t="shared" si="24"/>
        <v>238.04</v>
      </c>
      <c r="O126" s="13">
        <f t="shared" si="25"/>
        <v>250</v>
      </c>
    </row>
    <row r="127" spans="1:15" ht="15" customHeight="1">
      <c r="A127" s="9" t="s">
        <v>24</v>
      </c>
      <c r="B127" s="64">
        <f t="shared" si="21"/>
        <v>1.905</v>
      </c>
      <c r="C127" s="11">
        <v>75</v>
      </c>
      <c r="D127" s="12" t="s">
        <v>28</v>
      </c>
      <c r="E127" s="13" t="s">
        <v>26</v>
      </c>
      <c r="F127" s="14" t="s">
        <v>112</v>
      </c>
      <c r="G127" s="66">
        <v>26.786000000000001</v>
      </c>
      <c r="H127" s="15">
        <f t="shared" si="26"/>
        <v>321.43</v>
      </c>
      <c r="I127" s="68">
        <f t="shared" si="27"/>
        <v>357.06</v>
      </c>
      <c r="J127" s="15">
        <f t="shared" si="17"/>
        <v>375</v>
      </c>
      <c r="K127" s="71">
        <v>9.9995893392468505E-2</v>
      </c>
      <c r="L127" s="13">
        <f t="shared" si="22"/>
        <v>308.11</v>
      </c>
      <c r="M127" s="13">
        <f t="shared" si="23"/>
        <v>214.29</v>
      </c>
      <c r="N127" s="13">
        <f t="shared" si="24"/>
        <v>238.04</v>
      </c>
      <c r="O127" s="13">
        <f t="shared" si="25"/>
        <v>250</v>
      </c>
    </row>
    <row r="128" spans="1:15" ht="15" customHeight="1">
      <c r="A128" s="9" t="s">
        <v>24</v>
      </c>
      <c r="B128" s="64">
        <f t="shared" si="21"/>
        <v>7.5999999999999998E-2</v>
      </c>
      <c r="C128" s="11">
        <v>3</v>
      </c>
      <c r="D128" s="12" t="s">
        <v>29</v>
      </c>
      <c r="E128" s="13" t="s">
        <v>26</v>
      </c>
      <c r="F128" s="14" t="s">
        <v>81</v>
      </c>
      <c r="G128" s="66">
        <v>20.524999999999999</v>
      </c>
      <c r="H128" s="15">
        <f t="shared" si="26"/>
        <v>246.3</v>
      </c>
      <c r="I128" s="68">
        <f t="shared" si="27"/>
        <v>273.60000000000002</v>
      </c>
      <c r="J128" s="15">
        <f t="shared" ref="J128:J183" si="34">ROUND(G128*14,2)</f>
        <v>287.35000000000002</v>
      </c>
      <c r="K128" s="71">
        <v>6.7009773341651035E-2</v>
      </c>
      <c r="L128" s="13">
        <f t="shared" si="22"/>
        <v>236.08</v>
      </c>
      <c r="M128" s="13">
        <f t="shared" si="23"/>
        <v>164.2</v>
      </c>
      <c r="N128" s="13">
        <f t="shared" si="24"/>
        <v>182.4</v>
      </c>
      <c r="O128" s="13">
        <f t="shared" si="25"/>
        <v>191.57</v>
      </c>
    </row>
    <row r="129" spans="1:15" ht="15" customHeight="1">
      <c r="A129" s="9" t="s">
        <v>24</v>
      </c>
      <c r="B129" s="64">
        <f t="shared" si="21"/>
        <v>8.8999999999999996E-2</v>
      </c>
      <c r="C129" s="11">
        <v>3.5</v>
      </c>
      <c r="D129" s="12" t="s">
        <v>29</v>
      </c>
      <c r="E129" s="13" t="s">
        <v>26</v>
      </c>
      <c r="F129" s="14" t="s">
        <v>83</v>
      </c>
      <c r="G129" s="66">
        <v>20.57</v>
      </c>
      <c r="H129" s="15">
        <f t="shared" si="26"/>
        <v>246.84</v>
      </c>
      <c r="I129" s="68">
        <f t="shared" si="27"/>
        <v>274.2</v>
      </c>
      <c r="J129" s="15">
        <f t="shared" si="34"/>
        <v>287.98</v>
      </c>
      <c r="K129" s="71">
        <v>6.7019400352733793E-2</v>
      </c>
      <c r="L129" s="13">
        <f t="shared" si="22"/>
        <v>236.61</v>
      </c>
      <c r="M129" s="13">
        <f t="shared" si="23"/>
        <v>164.56</v>
      </c>
      <c r="N129" s="13">
        <f t="shared" si="24"/>
        <v>182.8</v>
      </c>
      <c r="O129" s="13">
        <f t="shared" si="25"/>
        <v>191.99</v>
      </c>
    </row>
    <row r="130" spans="1:15" ht="15" customHeight="1">
      <c r="A130" s="9" t="s">
        <v>24</v>
      </c>
      <c r="B130" s="64">
        <f t="shared" si="21"/>
        <v>8.8999999999999996E-2</v>
      </c>
      <c r="C130" s="11">
        <v>3.5</v>
      </c>
      <c r="D130" s="12" t="s">
        <v>29</v>
      </c>
      <c r="E130" s="13" t="s">
        <v>26</v>
      </c>
      <c r="F130" s="14" t="s">
        <v>92</v>
      </c>
      <c r="G130" s="66">
        <v>20.57</v>
      </c>
      <c r="H130" s="15">
        <f t="shared" ref="H130:H131" si="35">ROUND(G130*12,2)</f>
        <v>246.84</v>
      </c>
      <c r="I130" s="68">
        <f t="shared" ref="I130:I131" si="36">ROUND(G130*13.33,2)</f>
        <v>274.2</v>
      </c>
      <c r="J130" s="15">
        <f t="shared" ref="J130:J131" si="37">ROUND(G130*14,2)</f>
        <v>287.98</v>
      </c>
      <c r="K130" s="71">
        <v>6.7019400352733793E-2</v>
      </c>
      <c r="L130" s="13">
        <f t="shared" si="22"/>
        <v>236.61</v>
      </c>
      <c r="M130" s="13">
        <f t="shared" si="23"/>
        <v>164.56</v>
      </c>
      <c r="N130" s="13">
        <f t="shared" si="24"/>
        <v>182.8</v>
      </c>
      <c r="O130" s="13">
        <f t="shared" si="25"/>
        <v>191.99</v>
      </c>
    </row>
    <row r="131" spans="1:15" ht="15" customHeight="1">
      <c r="A131" s="9" t="s">
        <v>24</v>
      </c>
      <c r="B131" s="64">
        <f t="shared" si="21"/>
        <v>0.10199999999999999</v>
      </c>
      <c r="C131" s="11">
        <v>4</v>
      </c>
      <c r="D131" s="12" t="s">
        <v>29</v>
      </c>
      <c r="E131" s="13" t="s">
        <v>26</v>
      </c>
      <c r="F131" s="14" t="s">
        <v>92</v>
      </c>
      <c r="G131" s="66">
        <v>20.486999999999998</v>
      </c>
      <c r="H131" s="15">
        <f t="shared" si="35"/>
        <v>245.84</v>
      </c>
      <c r="I131" s="68">
        <f t="shared" si="36"/>
        <v>273.08999999999997</v>
      </c>
      <c r="J131" s="15">
        <f t="shared" si="37"/>
        <v>286.82</v>
      </c>
      <c r="K131" s="71">
        <v>6.6975678350085888E-2</v>
      </c>
      <c r="L131" s="13">
        <f t="shared" si="22"/>
        <v>235.65</v>
      </c>
      <c r="M131" s="13">
        <f t="shared" si="23"/>
        <v>163.89</v>
      </c>
      <c r="N131" s="13">
        <f t="shared" si="24"/>
        <v>182.06</v>
      </c>
      <c r="O131" s="13">
        <f t="shared" si="25"/>
        <v>191.21</v>
      </c>
    </row>
    <row r="132" spans="1:15" ht="15" customHeight="1">
      <c r="A132" s="9" t="s">
        <v>24</v>
      </c>
      <c r="B132" s="64">
        <f t="shared" si="21"/>
        <v>0.10199999999999999</v>
      </c>
      <c r="C132" s="11">
        <v>4</v>
      </c>
      <c r="D132" s="12" t="s">
        <v>29</v>
      </c>
      <c r="E132" s="13" t="s">
        <v>26</v>
      </c>
      <c r="F132" s="14" t="s">
        <v>83</v>
      </c>
      <c r="G132" s="66">
        <v>20.486999999999998</v>
      </c>
      <c r="H132" s="15">
        <f t="shared" si="26"/>
        <v>245.84</v>
      </c>
      <c r="I132" s="68">
        <f t="shared" si="27"/>
        <v>273.08999999999997</v>
      </c>
      <c r="J132" s="15">
        <f t="shared" si="34"/>
        <v>286.82</v>
      </c>
      <c r="K132" s="71">
        <v>6.6975678350085888E-2</v>
      </c>
      <c r="L132" s="13">
        <f t="shared" si="22"/>
        <v>235.65</v>
      </c>
      <c r="M132" s="13">
        <f t="shared" si="23"/>
        <v>163.89</v>
      </c>
      <c r="N132" s="13">
        <f t="shared" si="24"/>
        <v>182.06</v>
      </c>
      <c r="O132" s="13">
        <f t="shared" si="25"/>
        <v>191.21</v>
      </c>
    </row>
    <row r="133" spans="1:15" ht="15" customHeight="1">
      <c r="A133" s="9" t="s">
        <v>24</v>
      </c>
      <c r="B133" s="64">
        <f t="shared" si="21"/>
        <v>0.10199999999999999</v>
      </c>
      <c r="C133" s="11">
        <v>4</v>
      </c>
      <c r="D133" s="12" t="s">
        <v>29</v>
      </c>
      <c r="E133" s="13" t="s">
        <v>26</v>
      </c>
      <c r="F133" s="14" t="s">
        <v>84</v>
      </c>
      <c r="G133" s="66">
        <v>20.677</v>
      </c>
      <c r="H133" s="15">
        <f t="shared" si="26"/>
        <v>248.12</v>
      </c>
      <c r="I133" s="68">
        <f t="shared" si="27"/>
        <v>275.62</v>
      </c>
      <c r="J133" s="15">
        <f t="shared" si="34"/>
        <v>289.48</v>
      </c>
      <c r="K133" s="71">
        <v>6.6979720315805569E-2</v>
      </c>
      <c r="L133" s="13">
        <f t="shared" si="22"/>
        <v>237.83</v>
      </c>
      <c r="M133" s="13">
        <f t="shared" si="23"/>
        <v>165.41</v>
      </c>
      <c r="N133" s="13">
        <f t="shared" si="24"/>
        <v>183.75</v>
      </c>
      <c r="O133" s="13">
        <f t="shared" si="25"/>
        <v>192.99</v>
      </c>
    </row>
    <row r="134" spans="1:15" ht="15" customHeight="1">
      <c r="A134" s="9" t="s">
        <v>24</v>
      </c>
      <c r="B134" s="64">
        <f t="shared" si="21"/>
        <v>0.109</v>
      </c>
      <c r="C134" s="11">
        <v>4.3</v>
      </c>
      <c r="D134" s="12" t="s">
        <v>29</v>
      </c>
      <c r="E134" s="13" t="s">
        <v>26</v>
      </c>
      <c r="F134" s="14" t="s">
        <v>84</v>
      </c>
      <c r="G134" s="66">
        <v>20.677</v>
      </c>
      <c r="H134" s="15">
        <f t="shared" si="26"/>
        <v>248.12</v>
      </c>
      <c r="I134" s="68">
        <f t="shared" si="27"/>
        <v>275.62</v>
      </c>
      <c r="J134" s="15">
        <f t="shared" si="34"/>
        <v>289.48</v>
      </c>
      <c r="K134" s="71">
        <v>6.6979720315805569E-2</v>
      </c>
      <c r="L134" s="13">
        <f t="shared" si="22"/>
        <v>237.83</v>
      </c>
      <c r="M134" s="13">
        <f t="shared" si="23"/>
        <v>165.41</v>
      </c>
      <c r="N134" s="13">
        <f t="shared" si="24"/>
        <v>183.75</v>
      </c>
      <c r="O134" s="13">
        <f t="shared" si="25"/>
        <v>192.99</v>
      </c>
    </row>
    <row r="135" spans="1:15" ht="15" customHeight="1">
      <c r="A135" s="9" t="s">
        <v>24</v>
      </c>
      <c r="B135" s="64">
        <f t="shared" si="21"/>
        <v>0.114</v>
      </c>
      <c r="C135" s="11">
        <v>4.5</v>
      </c>
      <c r="D135" s="12" t="s">
        <v>29</v>
      </c>
      <c r="E135" s="13" t="s">
        <v>26</v>
      </c>
      <c r="F135" s="14" t="s">
        <v>84</v>
      </c>
      <c r="G135" s="66">
        <v>20.677</v>
      </c>
      <c r="H135" s="15">
        <f t="shared" si="26"/>
        <v>248.12</v>
      </c>
      <c r="I135" s="68">
        <f t="shared" si="27"/>
        <v>275.62</v>
      </c>
      <c r="J135" s="15">
        <f t="shared" si="34"/>
        <v>289.48</v>
      </c>
      <c r="K135" s="71">
        <v>6.6979720315805569E-2</v>
      </c>
      <c r="L135" s="13">
        <f t="shared" si="22"/>
        <v>237.83</v>
      </c>
      <c r="M135" s="13">
        <f t="shared" si="23"/>
        <v>165.41</v>
      </c>
      <c r="N135" s="13">
        <f t="shared" si="24"/>
        <v>183.75</v>
      </c>
      <c r="O135" s="13">
        <f t="shared" si="25"/>
        <v>192.99</v>
      </c>
    </row>
    <row r="136" spans="1:15" ht="15" customHeight="1">
      <c r="A136" s="9" t="s">
        <v>24</v>
      </c>
      <c r="B136" s="64">
        <f t="shared" si="21"/>
        <v>0.127</v>
      </c>
      <c r="C136" s="11">
        <v>5</v>
      </c>
      <c r="D136" s="12" t="s">
        <v>29</v>
      </c>
      <c r="E136" s="13" t="s">
        <v>26</v>
      </c>
      <c r="F136" s="14" t="s">
        <v>84</v>
      </c>
      <c r="G136" s="66">
        <v>20.803999999999998</v>
      </c>
      <c r="H136" s="15">
        <f t="shared" si="26"/>
        <v>249.65</v>
      </c>
      <c r="I136" s="68">
        <f t="shared" si="27"/>
        <v>277.32</v>
      </c>
      <c r="J136" s="15">
        <f t="shared" si="34"/>
        <v>291.26</v>
      </c>
      <c r="K136" s="71">
        <v>6.7035954249371699E-2</v>
      </c>
      <c r="L136" s="13">
        <f t="shared" si="22"/>
        <v>239.29</v>
      </c>
      <c r="M136" s="13">
        <f t="shared" si="23"/>
        <v>166.43</v>
      </c>
      <c r="N136" s="13">
        <f t="shared" si="24"/>
        <v>184.88</v>
      </c>
      <c r="O136" s="13">
        <f t="shared" si="25"/>
        <v>194.17</v>
      </c>
    </row>
    <row r="137" spans="1:15" ht="15" customHeight="1">
      <c r="A137" s="9" t="s">
        <v>24</v>
      </c>
      <c r="B137" s="64">
        <f t="shared" si="21"/>
        <v>0.127</v>
      </c>
      <c r="C137" s="11">
        <v>5</v>
      </c>
      <c r="D137" s="12" t="s">
        <v>29</v>
      </c>
      <c r="E137" s="13" t="s">
        <v>26</v>
      </c>
      <c r="F137" s="14" t="s">
        <v>86</v>
      </c>
      <c r="G137" s="66">
        <v>21.106000000000002</v>
      </c>
      <c r="H137" s="15">
        <f t="shared" si="26"/>
        <v>253.27</v>
      </c>
      <c r="I137" s="68">
        <f t="shared" si="27"/>
        <v>281.33999999999997</v>
      </c>
      <c r="J137" s="15">
        <f t="shared" si="34"/>
        <v>295.48</v>
      </c>
      <c r="K137" s="71">
        <v>6.6983468985390093E-2</v>
      </c>
      <c r="L137" s="13">
        <f t="shared" si="22"/>
        <v>242.77</v>
      </c>
      <c r="M137" s="13">
        <f t="shared" si="23"/>
        <v>168.85</v>
      </c>
      <c r="N137" s="13">
        <f t="shared" si="24"/>
        <v>187.56</v>
      </c>
      <c r="O137" s="13">
        <f t="shared" si="25"/>
        <v>196.99</v>
      </c>
    </row>
    <row r="138" spans="1:15" ht="15" customHeight="1">
      <c r="A138" s="9" t="s">
        <v>24</v>
      </c>
      <c r="B138" s="64">
        <f t="shared" si="21"/>
        <v>0.14000000000000001</v>
      </c>
      <c r="C138" s="11">
        <v>5.5</v>
      </c>
      <c r="D138" s="12" t="s">
        <v>29</v>
      </c>
      <c r="E138" s="13" t="s">
        <v>26</v>
      </c>
      <c r="F138" s="14" t="s">
        <v>86</v>
      </c>
      <c r="G138" s="66">
        <v>21.106000000000002</v>
      </c>
      <c r="H138" s="15">
        <f t="shared" si="26"/>
        <v>253.27</v>
      </c>
      <c r="I138" s="68">
        <f t="shared" si="27"/>
        <v>281.33999999999997</v>
      </c>
      <c r="J138" s="15">
        <f t="shared" si="34"/>
        <v>295.48</v>
      </c>
      <c r="K138" s="71">
        <v>6.6983468985390093E-2</v>
      </c>
      <c r="L138" s="13">
        <f t="shared" si="22"/>
        <v>242.77</v>
      </c>
      <c r="M138" s="13">
        <f t="shared" si="23"/>
        <v>168.85</v>
      </c>
      <c r="N138" s="13">
        <f t="shared" si="24"/>
        <v>187.56</v>
      </c>
      <c r="O138" s="13">
        <f t="shared" si="25"/>
        <v>196.99</v>
      </c>
    </row>
    <row r="139" spans="1:15" ht="15" customHeight="1">
      <c r="A139" s="9" t="s">
        <v>24</v>
      </c>
      <c r="B139" s="64">
        <f t="shared" si="21"/>
        <v>0.152</v>
      </c>
      <c r="C139" s="11">
        <v>6</v>
      </c>
      <c r="D139" s="12" t="s">
        <v>29</v>
      </c>
      <c r="E139" s="13" t="s">
        <v>26</v>
      </c>
      <c r="F139" s="14" t="s">
        <v>93</v>
      </c>
      <c r="G139" s="66">
        <v>20.372</v>
      </c>
      <c r="H139" s="15">
        <f t="shared" si="26"/>
        <v>244.46</v>
      </c>
      <c r="I139" s="68">
        <f t="shared" si="27"/>
        <v>271.56</v>
      </c>
      <c r="J139" s="15">
        <f t="shared" si="34"/>
        <v>285.20999999999998</v>
      </c>
      <c r="K139" s="71">
        <v>6.6987901325092913E-2</v>
      </c>
      <c r="L139" s="13">
        <f t="shared" si="22"/>
        <v>234.33</v>
      </c>
      <c r="M139" s="13">
        <f t="shared" si="23"/>
        <v>162.97</v>
      </c>
      <c r="N139" s="13">
        <f t="shared" si="24"/>
        <v>181.04</v>
      </c>
      <c r="O139" s="13">
        <f t="shared" si="25"/>
        <v>190.14</v>
      </c>
    </row>
    <row r="140" spans="1:15" ht="15" customHeight="1">
      <c r="A140" s="9" t="s">
        <v>24</v>
      </c>
      <c r="B140" s="64">
        <f t="shared" si="21"/>
        <v>0.152</v>
      </c>
      <c r="C140" s="11">
        <v>6</v>
      </c>
      <c r="D140" s="12" t="s">
        <v>29</v>
      </c>
      <c r="E140" s="13" t="s">
        <v>26</v>
      </c>
      <c r="F140" s="14" t="s">
        <v>86</v>
      </c>
      <c r="G140" s="66">
        <v>21.106000000000002</v>
      </c>
      <c r="H140" s="15">
        <f t="shared" si="26"/>
        <v>253.27</v>
      </c>
      <c r="I140" s="68">
        <f t="shared" si="27"/>
        <v>281.33999999999997</v>
      </c>
      <c r="J140" s="15">
        <f t="shared" si="34"/>
        <v>295.48</v>
      </c>
      <c r="K140" s="71">
        <v>6.6983468985390093E-2</v>
      </c>
      <c r="L140" s="13">
        <f t="shared" si="22"/>
        <v>242.77</v>
      </c>
      <c r="M140" s="13">
        <f t="shared" si="23"/>
        <v>168.85</v>
      </c>
      <c r="N140" s="13">
        <f t="shared" si="24"/>
        <v>187.56</v>
      </c>
      <c r="O140" s="13">
        <f t="shared" si="25"/>
        <v>196.99</v>
      </c>
    </row>
    <row r="141" spans="1:15" ht="15" customHeight="1">
      <c r="A141" s="9" t="s">
        <v>24</v>
      </c>
      <c r="B141" s="64">
        <f t="shared" si="21"/>
        <v>0.17799999999999999</v>
      </c>
      <c r="C141" s="11">
        <v>7</v>
      </c>
      <c r="D141" s="12" t="s">
        <v>29</v>
      </c>
      <c r="E141" s="13" t="s">
        <v>26</v>
      </c>
      <c r="F141" s="14" t="s">
        <v>98</v>
      </c>
      <c r="G141" s="66">
        <v>20.417999999999999</v>
      </c>
      <c r="H141" s="15">
        <f t="shared" si="26"/>
        <v>245.02</v>
      </c>
      <c r="I141" s="68">
        <f t="shared" si="27"/>
        <v>272.17</v>
      </c>
      <c r="J141" s="15">
        <f t="shared" si="34"/>
        <v>285.85000000000002</v>
      </c>
      <c r="K141" s="71">
        <v>6.7049908544551728E-2</v>
      </c>
      <c r="L141" s="13">
        <f t="shared" si="22"/>
        <v>234.87</v>
      </c>
      <c r="M141" s="13">
        <f t="shared" si="23"/>
        <v>163.35</v>
      </c>
      <c r="N141" s="13">
        <f t="shared" si="24"/>
        <v>181.45</v>
      </c>
      <c r="O141" s="13">
        <f t="shared" si="25"/>
        <v>190.57</v>
      </c>
    </row>
    <row r="142" spans="1:15" ht="15" customHeight="1">
      <c r="A142" s="9" t="s">
        <v>24</v>
      </c>
      <c r="B142" s="64">
        <f t="shared" ref="B142:B183" si="38">ROUND(C142*0.0254,3)</f>
        <v>0.17799999999999999</v>
      </c>
      <c r="C142" s="11">
        <v>7</v>
      </c>
      <c r="D142" s="12" t="s">
        <v>29</v>
      </c>
      <c r="E142" s="13" t="s">
        <v>26</v>
      </c>
      <c r="F142" s="14" t="s">
        <v>87</v>
      </c>
      <c r="G142" s="66">
        <v>21.106000000000002</v>
      </c>
      <c r="H142" s="15">
        <f t="shared" si="26"/>
        <v>253.27</v>
      </c>
      <c r="I142" s="68">
        <f t="shared" si="27"/>
        <v>281.33999999999997</v>
      </c>
      <c r="J142" s="15">
        <f t="shared" si="34"/>
        <v>295.48</v>
      </c>
      <c r="K142" s="71">
        <v>6.6983468985390093E-2</v>
      </c>
      <c r="L142" s="13">
        <f t="shared" si="22"/>
        <v>242.77</v>
      </c>
      <c r="M142" s="13">
        <f t="shared" si="23"/>
        <v>168.85</v>
      </c>
      <c r="N142" s="13">
        <f t="shared" si="24"/>
        <v>187.56</v>
      </c>
      <c r="O142" s="13">
        <f t="shared" si="25"/>
        <v>196.99</v>
      </c>
    </row>
    <row r="143" spans="1:15" ht="15" customHeight="1">
      <c r="A143" s="9" t="s">
        <v>24</v>
      </c>
      <c r="B143" s="64">
        <f t="shared" si="38"/>
        <v>0.17799999999999999</v>
      </c>
      <c r="C143" s="11">
        <v>7</v>
      </c>
      <c r="D143" s="12" t="s">
        <v>29</v>
      </c>
      <c r="E143" s="13" t="s">
        <v>26</v>
      </c>
      <c r="F143" s="14" t="s">
        <v>95</v>
      </c>
      <c r="G143" s="66">
        <v>21.106000000000002</v>
      </c>
      <c r="H143" s="15">
        <f t="shared" ref="H143" si="39">ROUND(G143*12,2)</f>
        <v>253.27</v>
      </c>
      <c r="I143" s="68">
        <f t="shared" ref="I143" si="40">ROUND(G143*13.33,2)</f>
        <v>281.33999999999997</v>
      </c>
      <c r="J143" s="15">
        <f t="shared" ref="J143" si="41">ROUND(G143*14,2)</f>
        <v>295.48</v>
      </c>
      <c r="K143" s="71">
        <v>6.6983468985390093E-2</v>
      </c>
      <c r="L143" s="13">
        <f t="shared" si="22"/>
        <v>242.77</v>
      </c>
      <c r="M143" s="13">
        <f t="shared" si="23"/>
        <v>168.85</v>
      </c>
      <c r="N143" s="13">
        <f t="shared" si="24"/>
        <v>187.56</v>
      </c>
      <c r="O143" s="13">
        <f t="shared" si="25"/>
        <v>196.99</v>
      </c>
    </row>
    <row r="144" spans="1:15" ht="15" customHeight="1">
      <c r="A144" s="9" t="s">
        <v>24</v>
      </c>
      <c r="B144" s="64">
        <f t="shared" si="38"/>
        <v>0.20300000000000001</v>
      </c>
      <c r="C144" s="11">
        <v>8</v>
      </c>
      <c r="D144" s="12" t="s">
        <v>29</v>
      </c>
      <c r="E144" s="13" t="s">
        <v>26</v>
      </c>
      <c r="F144" s="14" t="s">
        <v>98</v>
      </c>
      <c r="G144" s="66">
        <v>20.417999999999999</v>
      </c>
      <c r="H144" s="15">
        <f t="shared" si="26"/>
        <v>245.02</v>
      </c>
      <c r="I144" s="68">
        <f t="shared" si="27"/>
        <v>272.17</v>
      </c>
      <c r="J144" s="15">
        <f t="shared" si="34"/>
        <v>285.85000000000002</v>
      </c>
      <c r="K144" s="71">
        <v>6.7049908544551728E-2</v>
      </c>
      <c r="L144" s="13">
        <f t="shared" si="22"/>
        <v>234.87</v>
      </c>
      <c r="M144" s="13">
        <f t="shared" si="23"/>
        <v>163.35</v>
      </c>
      <c r="N144" s="13">
        <f t="shared" si="24"/>
        <v>181.45</v>
      </c>
      <c r="O144" s="13">
        <f t="shared" si="25"/>
        <v>190.57</v>
      </c>
    </row>
    <row r="145" spans="1:15" ht="15" customHeight="1">
      <c r="A145" s="9" t="s">
        <v>24</v>
      </c>
      <c r="B145" s="64">
        <f t="shared" si="38"/>
        <v>0.20300000000000001</v>
      </c>
      <c r="C145" s="11">
        <v>8</v>
      </c>
      <c r="D145" s="12" t="s">
        <v>29</v>
      </c>
      <c r="E145" s="13" t="s">
        <v>26</v>
      </c>
      <c r="F145" s="14" t="s">
        <v>95</v>
      </c>
      <c r="G145" s="66">
        <v>21.106000000000002</v>
      </c>
      <c r="H145" s="15">
        <f t="shared" si="26"/>
        <v>253.27</v>
      </c>
      <c r="I145" s="68">
        <f t="shared" si="27"/>
        <v>281.33999999999997</v>
      </c>
      <c r="J145" s="15">
        <f t="shared" si="34"/>
        <v>295.48</v>
      </c>
      <c r="K145" s="71">
        <v>6.6983468985390093E-2</v>
      </c>
      <c r="L145" s="13">
        <f t="shared" ref="L145:L183" si="42">ROUND(ROUND(ROUND(G145*12,2)*43/48,2)*1.07,2)</f>
        <v>242.77</v>
      </c>
      <c r="M145" s="13">
        <f t="shared" ref="M145:M183" si="43">ROUND(ROUND(G145*12,2)*2/3,2)</f>
        <v>168.85</v>
      </c>
      <c r="N145" s="13">
        <f t="shared" ref="N145:N183" si="44">ROUND(ROUND(G145*13.33,2)*2/3,2)</f>
        <v>187.56</v>
      </c>
      <c r="O145" s="13">
        <f t="shared" ref="O145:O183" si="45">ROUND(ROUND(G145*14,2)*2/3,2)</f>
        <v>196.99</v>
      </c>
    </row>
    <row r="146" spans="1:15" ht="15" customHeight="1">
      <c r="A146" s="9" t="s">
        <v>24</v>
      </c>
      <c r="B146" s="64">
        <f t="shared" si="38"/>
        <v>0.20300000000000001</v>
      </c>
      <c r="C146" s="11">
        <v>8</v>
      </c>
      <c r="D146" s="12" t="s">
        <v>29</v>
      </c>
      <c r="E146" s="13" t="s">
        <v>26</v>
      </c>
      <c r="F146" s="14" t="s">
        <v>87</v>
      </c>
      <c r="G146" s="66">
        <v>21.106000000000002</v>
      </c>
      <c r="H146" s="15">
        <f t="shared" ref="H146" si="46">ROUND(G146*12,2)</f>
        <v>253.27</v>
      </c>
      <c r="I146" s="68">
        <f t="shared" ref="I146" si="47">ROUND(G146*13.33,2)</f>
        <v>281.33999999999997</v>
      </c>
      <c r="J146" s="15">
        <f t="shared" ref="J146" si="48">ROUND(G146*14,2)</f>
        <v>295.48</v>
      </c>
      <c r="K146" s="71">
        <v>6.6983468985390093E-2</v>
      </c>
      <c r="L146" s="13">
        <f t="shared" si="42"/>
        <v>242.77</v>
      </c>
      <c r="M146" s="13">
        <f t="shared" si="43"/>
        <v>168.85</v>
      </c>
      <c r="N146" s="13">
        <f t="shared" si="44"/>
        <v>187.56</v>
      </c>
      <c r="O146" s="13">
        <f t="shared" si="45"/>
        <v>196.99</v>
      </c>
    </row>
    <row r="147" spans="1:15" ht="15" customHeight="1">
      <c r="A147" s="9" t="s">
        <v>24</v>
      </c>
      <c r="B147" s="64">
        <f t="shared" si="38"/>
        <v>0.20300000000000001</v>
      </c>
      <c r="C147" s="11">
        <v>8</v>
      </c>
      <c r="D147" s="12" t="s">
        <v>29</v>
      </c>
      <c r="E147" s="13" t="s">
        <v>26</v>
      </c>
      <c r="F147" s="14" t="s">
        <v>89</v>
      </c>
      <c r="G147" s="66">
        <v>21.106000000000002</v>
      </c>
      <c r="H147" s="15">
        <f t="shared" si="26"/>
        <v>253.27</v>
      </c>
      <c r="I147" s="68">
        <f t="shared" si="27"/>
        <v>281.33999999999997</v>
      </c>
      <c r="J147" s="15">
        <f t="shared" si="34"/>
        <v>295.48</v>
      </c>
      <c r="K147" s="71">
        <v>6.6983468985390093E-2</v>
      </c>
      <c r="L147" s="13">
        <f t="shared" si="42"/>
        <v>242.77</v>
      </c>
      <c r="M147" s="13">
        <f t="shared" si="43"/>
        <v>168.85</v>
      </c>
      <c r="N147" s="13">
        <f t="shared" si="44"/>
        <v>187.56</v>
      </c>
      <c r="O147" s="13">
        <f t="shared" si="45"/>
        <v>196.99</v>
      </c>
    </row>
    <row r="148" spans="1:15" ht="15" customHeight="1">
      <c r="A148" s="9" t="s">
        <v>24</v>
      </c>
      <c r="B148" s="64">
        <f t="shared" si="38"/>
        <v>0.22900000000000001</v>
      </c>
      <c r="C148" s="11">
        <v>9</v>
      </c>
      <c r="D148" s="12" t="s">
        <v>29</v>
      </c>
      <c r="E148" s="13" t="s">
        <v>26</v>
      </c>
      <c r="F148" s="14" t="s">
        <v>89</v>
      </c>
      <c r="G148" s="66">
        <v>21.106000000000002</v>
      </c>
      <c r="H148" s="15">
        <f t="shared" si="26"/>
        <v>253.27</v>
      </c>
      <c r="I148" s="68">
        <f t="shared" si="27"/>
        <v>281.33999999999997</v>
      </c>
      <c r="J148" s="15">
        <f t="shared" si="34"/>
        <v>295.48</v>
      </c>
      <c r="K148" s="71">
        <v>6.6983468985390093E-2</v>
      </c>
      <c r="L148" s="13">
        <f t="shared" si="42"/>
        <v>242.77</v>
      </c>
      <c r="M148" s="13">
        <f t="shared" si="43"/>
        <v>168.85</v>
      </c>
      <c r="N148" s="13">
        <f t="shared" si="44"/>
        <v>187.56</v>
      </c>
      <c r="O148" s="13">
        <f t="shared" si="45"/>
        <v>196.99</v>
      </c>
    </row>
    <row r="149" spans="1:15" ht="15" customHeight="1">
      <c r="A149" s="9" t="s">
        <v>24</v>
      </c>
      <c r="B149" s="64">
        <f t="shared" si="38"/>
        <v>0.254</v>
      </c>
      <c r="C149" s="11">
        <v>10</v>
      </c>
      <c r="D149" s="12" t="s">
        <v>29</v>
      </c>
      <c r="E149" s="13" t="s">
        <v>26</v>
      </c>
      <c r="F149" s="14" t="s">
        <v>89</v>
      </c>
      <c r="G149" s="66">
        <v>21.106000000000002</v>
      </c>
      <c r="H149" s="15">
        <f t="shared" ref="H149:H183" si="49">ROUND(G149*12,2)</f>
        <v>253.27</v>
      </c>
      <c r="I149" s="68">
        <f t="shared" si="27"/>
        <v>281.33999999999997</v>
      </c>
      <c r="J149" s="15">
        <f t="shared" si="34"/>
        <v>295.48</v>
      </c>
      <c r="K149" s="71">
        <v>6.6983468985390093E-2</v>
      </c>
      <c r="L149" s="13">
        <f t="shared" si="42"/>
        <v>242.77</v>
      </c>
      <c r="M149" s="13">
        <f t="shared" si="43"/>
        <v>168.85</v>
      </c>
      <c r="N149" s="13">
        <f t="shared" si="44"/>
        <v>187.56</v>
      </c>
      <c r="O149" s="13">
        <f t="shared" si="45"/>
        <v>196.99</v>
      </c>
    </row>
    <row r="150" spans="1:15" ht="15" customHeight="1">
      <c r="A150" s="9" t="s">
        <v>24</v>
      </c>
      <c r="B150" s="64">
        <f t="shared" si="38"/>
        <v>0.30499999999999999</v>
      </c>
      <c r="C150" s="11">
        <v>12</v>
      </c>
      <c r="D150" s="12" t="s">
        <v>29</v>
      </c>
      <c r="E150" s="13" t="s">
        <v>26</v>
      </c>
      <c r="F150" s="14" t="s">
        <v>99</v>
      </c>
      <c r="G150" s="66">
        <v>20.677</v>
      </c>
      <c r="H150" s="15">
        <f t="shared" si="49"/>
        <v>248.12</v>
      </c>
      <c r="I150" s="68">
        <f t="shared" si="27"/>
        <v>275.62</v>
      </c>
      <c r="J150" s="15">
        <f t="shared" si="34"/>
        <v>289.48</v>
      </c>
      <c r="K150" s="71">
        <v>6.6979720315805569E-2</v>
      </c>
      <c r="L150" s="13">
        <f t="shared" si="42"/>
        <v>237.83</v>
      </c>
      <c r="M150" s="13">
        <f t="shared" si="43"/>
        <v>165.41</v>
      </c>
      <c r="N150" s="13">
        <f t="shared" si="44"/>
        <v>183.75</v>
      </c>
      <c r="O150" s="13">
        <f t="shared" si="45"/>
        <v>192.99</v>
      </c>
    </row>
    <row r="151" spans="1:15" ht="15" customHeight="1">
      <c r="A151" s="9" t="s">
        <v>24</v>
      </c>
      <c r="B151" s="64">
        <f t="shared" si="38"/>
        <v>0.33</v>
      </c>
      <c r="C151" s="11">
        <v>13</v>
      </c>
      <c r="D151" s="12" t="s">
        <v>29</v>
      </c>
      <c r="E151" s="13" t="s">
        <v>26</v>
      </c>
      <c r="F151" s="14" t="s">
        <v>99</v>
      </c>
      <c r="G151" s="66">
        <v>21.175000000000001</v>
      </c>
      <c r="H151" s="15">
        <f t="shared" si="49"/>
        <v>254.1</v>
      </c>
      <c r="I151" s="68">
        <f t="shared" si="27"/>
        <v>282.26</v>
      </c>
      <c r="J151" s="15">
        <f t="shared" si="34"/>
        <v>296.45</v>
      </c>
      <c r="K151" s="71">
        <v>6.7019400352733793E-2</v>
      </c>
      <c r="L151" s="13">
        <f t="shared" si="42"/>
        <v>243.56</v>
      </c>
      <c r="M151" s="13">
        <f t="shared" si="43"/>
        <v>169.4</v>
      </c>
      <c r="N151" s="13">
        <f t="shared" si="44"/>
        <v>188.17</v>
      </c>
      <c r="O151" s="13">
        <f t="shared" si="45"/>
        <v>197.63</v>
      </c>
    </row>
    <row r="152" spans="1:15" ht="15" customHeight="1">
      <c r="A152" s="9" t="s">
        <v>24</v>
      </c>
      <c r="B152" s="64">
        <f t="shared" si="38"/>
        <v>0.33</v>
      </c>
      <c r="C152" s="11">
        <v>13</v>
      </c>
      <c r="D152" s="12" t="s">
        <v>29</v>
      </c>
      <c r="E152" s="13" t="s">
        <v>26</v>
      </c>
      <c r="F152" s="14" t="s">
        <v>106</v>
      </c>
      <c r="G152" s="66">
        <v>21.808</v>
      </c>
      <c r="H152" s="15">
        <f t="shared" si="49"/>
        <v>261.7</v>
      </c>
      <c r="I152" s="68">
        <f t="shared" si="27"/>
        <v>290.7</v>
      </c>
      <c r="J152" s="15">
        <f t="shared" si="34"/>
        <v>305.31</v>
      </c>
      <c r="K152" s="71">
        <v>4.4994968613733199E-2</v>
      </c>
      <c r="L152" s="13">
        <f t="shared" si="42"/>
        <v>250.85</v>
      </c>
      <c r="M152" s="13">
        <f t="shared" si="43"/>
        <v>174.47</v>
      </c>
      <c r="N152" s="13">
        <f t="shared" si="44"/>
        <v>193.8</v>
      </c>
      <c r="O152" s="13">
        <f t="shared" si="45"/>
        <v>203.54</v>
      </c>
    </row>
    <row r="153" spans="1:15" ht="15" customHeight="1">
      <c r="A153" s="9" t="s">
        <v>24</v>
      </c>
      <c r="B153" s="64">
        <f t="shared" si="38"/>
        <v>0.35599999999999998</v>
      </c>
      <c r="C153" s="11">
        <v>14</v>
      </c>
      <c r="D153" s="12" t="s">
        <v>29</v>
      </c>
      <c r="E153" s="13" t="s">
        <v>26</v>
      </c>
      <c r="F153" s="14" t="s">
        <v>100</v>
      </c>
      <c r="G153" s="66">
        <v>20.509</v>
      </c>
      <c r="H153" s="15">
        <f t="shared" si="49"/>
        <v>246.11</v>
      </c>
      <c r="I153" s="68">
        <f t="shared" ref="I153:I183" si="50">ROUND(G153*13.33,2)</f>
        <v>273.38</v>
      </c>
      <c r="J153" s="15">
        <f t="shared" si="34"/>
        <v>287.13</v>
      </c>
      <c r="K153" s="71">
        <v>4.5044585987261243E-2</v>
      </c>
      <c r="L153" s="13">
        <f t="shared" si="42"/>
        <v>235.9</v>
      </c>
      <c r="M153" s="13">
        <f t="shared" si="43"/>
        <v>164.07</v>
      </c>
      <c r="N153" s="13">
        <f t="shared" si="44"/>
        <v>182.25</v>
      </c>
      <c r="O153" s="13">
        <f t="shared" si="45"/>
        <v>191.42</v>
      </c>
    </row>
    <row r="154" spans="1:15" ht="15" customHeight="1">
      <c r="A154" s="9" t="s">
        <v>24</v>
      </c>
      <c r="B154" s="64">
        <f t="shared" si="38"/>
        <v>0.38100000000000001</v>
      </c>
      <c r="C154" s="11">
        <v>15</v>
      </c>
      <c r="D154" s="12" t="s">
        <v>29</v>
      </c>
      <c r="E154" s="13" t="s">
        <v>26</v>
      </c>
      <c r="F154" s="14" t="s">
        <v>90</v>
      </c>
      <c r="G154" s="66">
        <v>21.808</v>
      </c>
      <c r="H154" s="15">
        <f t="shared" si="49"/>
        <v>261.7</v>
      </c>
      <c r="I154" s="68">
        <f t="shared" si="50"/>
        <v>290.7</v>
      </c>
      <c r="J154" s="15">
        <f t="shared" si="34"/>
        <v>305.31</v>
      </c>
      <c r="K154" s="71">
        <v>4.4994968613733199E-2</v>
      </c>
      <c r="L154" s="13">
        <f t="shared" si="42"/>
        <v>250.85</v>
      </c>
      <c r="M154" s="13">
        <f t="shared" si="43"/>
        <v>174.47</v>
      </c>
      <c r="N154" s="13">
        <f t="shared" si="44"/>
        <v>193.8</v>
      </c>
      <c r="O154" s="13">
        <f t="shared" si="45"/>
        <v>203.54</v>
      </c>
    </row>
    <row r="155" spans="1:15" ht="15" customHeight="1">
      <c r="A155" s="9" t="s">
        <v>24</v>
      </c>
      <c r="B155" s="64">
        <f t="shared" si="38"/>
        <v>0.40600000000000003</v>
      </c>
      <c r="C155" s="11">
        <v>16</v>
      </c>
      <c r="D155" s="12" t="s">
        <v>29</v>
      </c>
      <c r="E155" s="13" t="s">
        <v>26</v>
      </c>
      <c r="F155" s="14" t="s">
        <v>100</v>
      </c>
      <c r="G155" s="66">
        <v>20.626999999999999</v>
      </c>
      <c r="H155" s="15">
        <f t="shared" si="49"/>
        <v>247.52</v>
      </c>
      <c r="I155" s="68">
        <f t="shared" si="50"/>
        <v>274.95999999999998</v>
      </c>
      <c r="J155" s="15">
        <f t="shared" si="34"/>
        <v>288.77999999999997</v>
      </c>
      <c r="K155" s="71">
        <v>4.4987081412432239E-2</v>
      </c>
      <c r="L155" s="13">
        <f t="shared" si="42"/>
        <v>237.26</v>
      </c>
      <c r="M155" s="13">
        <f t="shared" si="43"/>
        <v>165.01</v>
      </c>
      <c r="N155" s="13">
        <f t="shared" si="44"/>
        <v>183.31</v>
      </c>
      <c r="O155" s="13">
        <f t="shared" si="45"/>
        <v>192.52</v>
      </c>
    </row>
    <row r="156" spans="1:15" ht="15" customHeight="1">
      <c r="A156" s="9" t="s">
        <v>24</v>
      </c>
      <c r="B156" s="64">
        <f t="shared" si="38"/>
        <v>0.45700000000000002</v>
      </c>
      <c r="C156" s="11">
        <v>18</v>
      </c>
      <c r="D156" s="12" t="s">
        <v>29</v>
      </c>
      <c r="E156" s="13" t="s">
        <v>26</v>
      </c>
      <c r="F156" s="14" t="s">
        <v>107</v>
      </c>
      <c r="G156" s="66">
        <v>21.798999999999999</v>
      </c>
      <c r="H156" s="15">
        <f t="shared" si="49"/>
        <v>261.58999999999997</v>
      </c>
      <c r="I156" s="68">
        <f t="shared" si="50"/>
        <v>290.58</v>
      </c>
      <c r="J156" s="15">
        <f t="shared" si="34"/>
        <v>305.19</v>
      </c>
      <c r="K156" s="71">
        <v>4.5014381591562902E-2</v>
      </c>
      <c r="L156" s="13">
        <f t="shared" si="42"/>
        <v>250.74</v>
      </c>
      <c r="M156" s="13">
        <f t="shared" si="43"/>
        <v>174.39</v>
      </c>
      <c r="N156" s="13">
        <f t="shared" si="44"/>
        <v>193.72</v>
      </c>
      <c r="O156" s="13">
        <f t="shared" si="45"/>
        <v>203.46</v>
      </c>
    </row>
    <row r="157" spans="1:15" ht="15" customHeight="1">
      <c r="A157" s="9" t="s">
        <v>24</v>
      </c>
      <c r="B157" s="64">
        <f t="shared" si="38"/>
        <v>0.50800000000000001</v>
      </c>
      <c r="C157" s="11">
        <v>20</v>
      </c>
      <c r="D157" s="12" t="s">
        <v>29</v>
      </c>
      <c r="E157" s="13" t="s">
        <v>26</v>
      </c>
      <c r="F157" s="14" t="s">
        <v>108</v>
      </c>
      <c r="G157" s="66">
        <v>21.959</v>
      </c>
      <c r="H157" s="15">
        <f t="shared" si="49"/>
        <v>263.51</v>
      </c>
      <c r="I157" s="68">
        <f t="shared" si="50"/>
        <v>292.70999999999998</v>
      </c>
      <c r="J157" s="15">
        <f t="shared" si="34"/>
        <v>307.43</v>
      </c>
      <c r="K157" s="71">
        <v>4.4970019986675602E-2</v>
      </c>
      <c r="L157" s="13">
        <f t="shared" si="42"/>
        <v>252.58</v>
      </c>
      <c r="M157" s="13">
        <f t="shared" si="43"/>
        <v>175.67</v>
      </c>
      <c r="N157" s="13">
        <f t="shared" si="44"/>
        <v>195.14</v>
      </c>
      <c r="O157" s="13">
        <f t="shared" si="45"/>
        <v>204.95</v>
      </c>
    </row>
    <row r="158" spans="1:15" ht="15" customHeight="1">
      <c r="A158" s="9" t="s">
        <v>24</v>
      </c>
      <c r="B158" s="64">
        <f t="shared" si="38"/>
        <v>0.53300000000000003</v>
      </c>
      <c r="C158" s="11">
        <v>21</v>
      </c>
      <c r="D158" s="12" t="s">
        <v>29</v>
      </c>
      <c r="E158" s="13" t="s">
        <v>26</v>
      </c>
      <c r="F158" s="14" t="s">
        <v>94</v>
      </c>
      <c r="G158" s="66">
        <v>22.024999999999999</v>
      </c>
      <c r="H158" s="15">
        <f t="shared" si="49"/>
        <v>264.3</v>
      </c>
      <c r="I158" s="68">
        <f t="shared" si="50"/>
        <v>293.58999999999997</v>
      </c>
      <c r="J158" s="15">
        <f t="shared" si="34"/>
        <v>308.35000000000002</v>
      </c>
      <c r="K158" s="71">
        <v>4.5027519453406661E-2</v>
      </c>
      <c r="L158" s="13">
        <f t="shared" si="42"/>
        <v>253.34</v>
      </c>
      <c r="M158" s="13">
        <f t="shared" si="43"/>
        <v>176.2</v>
      </c>
      <c r="N158" s="13">
        <f t="shared" si="44"/>
        <v>195.73</v>
      </c>
      <c r="O158" s="13">
        <f t="shared" si="45"/>
        <v>205.57</v>
      </c>
    </row>
    <row r="159" spans="1:15" ht="15" customHeight="1">
      <c r="A159" s="9" t="s">
        <v>24</v>
      </c>
      <c r="B159" s="64">
        <f t="shared" si="38"/>
        <v>0.61</v>
      </c>
      <c r="C159" s="11">
        <v>24</v>
      </c>
      <c r="D159" s="12" t="s">
        <v>29</v>
      </c>
      <c r="E159" s="13" t="s">
        <v>26</v>
      </c>
      <c r="F159" s="14" t="s">
        <v>94</v>
      </c>
      <c r="G159" s="66">
        <v>22.024999999999999</v>
      </c>
      <c r="H159" s="15">
        <f t="shared" si="49"/>
        <v>264.3</v>
      </c>
      <c r="I159" s="68">
        <f t="shared" si="50"/>
        <v>293.58999999999997</v>
      </c>
      <c r="J159" s="15">
        <f t="shared" si="34"/>
        <v>308.35000000000002</v>
      </c>
      <c r="K159" s="71">
        <v>4.5027519453406661E-2</v>
      </c>
      <c r="L159" s="13">
        <f t="shared" si="42"/>
        <v>253.34</v>
      </c>
      <c r="M159" s="13">
        <f t="shared" si="43"/>
        <v>176.2</v>
      </c>
      <c r="N159" s="13">
        <f t="shared" si="44"/>
        <v>195.73</v>
      </c>
      <c r="O159" s="13">
        <f t="shared" si="45"/>
        <v>205.57</v>
      </c>
    </row>
    <row r="160" spans="1:15" ht="15" customHeight="1">
      <c r="A160" s="9" t="s">
        <v>24</v>
      </c>
      <c r="B160" s="64">
        <f t="shared" si="38"/>
        <v>0.66</v>
      </c>
      <c r="C160" s="11">
        <v>26</v>
      </c>
      <c r="D160" s="12" t="s">
        <v>29</v>
      </c>
      <c r="E160" s="13" t="s">
        <v>26</v>
      </c>
      <c r="F160" s="85" t="s">
        <v>109</v>
      </c>
      <c r="G160" s="66">
        <v>23.364000000000001</v>
      </c>
      <c r="H160" s="15">
        <f t="shared" si="49"/>
        <v>280.37</v>
      </c>
      <c r="I160" s="68">
        <f t="shared" si="50"/>
        <v>311.44</v>
      </c>
      <c r="J160" s="15">
        <f t="shared" si="34"/>
        <v>327.10000000000002</v>
      </c>
      <c r="K160" s="71">
        <v>4.4995080060828307E-2</v>
      </c>
      <c r="L160" s="13">
        <f t="shared" si="42"/>
        <v>268.74</v>
      </c>
      <c r="M160" s="13">
        <f t="shared" si="43"/>
        <v>186.91</v>
      </c>
      <c r="N160" s="13">
        <f t="shared" si="44"/>
        <v>207.63</v>
      </c>
      <c r="O160" s="13">
        <f t="shared" si="45"/>
        <v>218.07</v>
      </c>
    </row>
    <row r="161" spans="1:15" ht="15" customHeight="1">
      <c r="A161" s="9" t="s">
        <v>24</v>
      </c>
      <c r="B161" s="64">
        <f t="shared" si="38"/>
        <v>0.71099999999999997</v>
      </c>
      <c r="C161" s="11">
        <v>28</v>
      </c>
      <c r="D161" s="12" t="s">
        <v>29</v>
      </c>
      <c r="E161" s="13" t="s">
        <v>26</v>
      </c>
      <c r="F161" s="14" t="s">
        <v>101</v>
      </c>
      <c r="G161" s="66">
        <v>23.364000000000001</v>
      </c>
      <c r="H161" s="15">
        <f t="shared" si="49"/>
        <v>280.37</v>
      </c>
      <c r="I161" s="68">
        <f t="shared" si="50"/>
        <v>311.44</v>
      </c>
      <c r="J161" s="15">
        <f t="shared" si="34"/>
        <v>327.10000000000002</v>
      </c>
      <c r="K161" s="71">
        <v>4.4995080060828307E-2</v>
      </c>
      <c r="L161" s="13">
        <f t="shared" si="42"/>
        <v>268.74</v>
      </c>
      <c r="M161" s="13">
        <f t="shared" si="43"/>
        <v>186.91</v>
      </c>
      <c r="N161" s="13">
        <f t="shared" si="44"/>
        <v>207.63</v>
      </c>
      <c r="O161" s="13">
        <f t="shared" si="45"/>
        <v>218.07</v>
      </c>
    </row>
    <row r="162" spans="1:15" ht="15" customHeight="1">
      <c r="A162" s="9" t="s">
        <v>24</v>
      </c>
      <c r="B162" s="64">
        <f t="shared" si="38"/>
        <v>0.76200000000000001</v>
      </c>
      <c r="C162" s="11">
        <v>30</v>
      </c>
      <c r="D162" s="12" t="s">
        <v>29</v>
      </c>
      <c r="E162" s="13" t="s">
        <v>26</v>
      </c>
      <c r="F162" s="14" t="s">
        <v>101</v>
      </c>
      <c r="G162" s="66">
        <v>23.364000000000001</v>
      </c>
      <c r="H162" s="15">
        <f t="shared" si="49"/>
        <v>280.37</v>
      </c>
      <c r="I162" s="68">
        <f t="shared" si="50"/>
        <v>311.44</v>
      </c>
      <c r="J162" s="15">
        <f t="shared" si="34"/>
        <v>327.10000000000002</v>
      </c>
      <c r="K162" s="71">
        <v>4.4995080060828307E-2</v>
      </c>
      <c r="L162" s="13">
        <f t="shared" si="42"/>
        <v>268.74</v>
      </c>
      <c r="M162" s="13">
        <f t="shared" si="43"/>
        <v>186.91</v>
      </c>
      <c r="N162" s="13">
        <f t="shared" si="44"/>
        <v>207.63</v>
      </c>
      <c r="O162" s="13">
        <f t="shared" si="45"/>
        <v>218.07</v>
      </c>
    </row>
    <row r="163" spans="1:15" ht="15" customHeight="1">
      <c r="A163" s="9" t="s">
        <v>24</v>
      </c>
      <c r="B163" s="64">
        <f t="shared" si="38"/>
        <v>0.81299999999999994</v>
      </c>
      <c r="C163" s="11">
        <v>32</v>
      </c>
      <c r="D163" s="12" t="s">
        <v>29</v>
      </c>
      <c r="E163" s="13" t="s">
        <v>26</v>
      </c>
      <c r="F163" s="14" t="s">
        <v>101</v>
      </c>
      <c r="G163" s="66">
        <v>23.364000000000001</v>
      </c>
      <c r="H163" s="15">
        <f t="shared" si="49"/>
        <v>280.37</v>
      </c>
      <c r="I163" s="68">
        <f t="shared" si="50"/>
        <v>311.44</v>
      </c>
      <c r="J163" s="15">
        <f t="shared" si="34"/>
        <v>327.10000000000002</v>
      </c>
      <c r="K163" s="71">
        <v>4.4995080060828307E-2</v>
      </c>
      <c r="L163" s="13">
        <f t="shared" si="42"/>
        <v>268.74</v>
      </c>
      <c r="M163" s="13">
        <f t="shared" si="43"/>
        <v>186.91</v>
      </c>
      <c r="N163" s="13">
        <f t="shared" si="44"/>
        <v>207.63</v>
      </c>
      <c r="O163" s="13">
        <f t="shared" si="45"/>
        <v>218.07</v>
      </c>
    </row>
    <row r="164" spans="1:15" ht="15" customHeight="1">
      <c r="A164" s="9" t="s">
        <v>24</v>
      </c>
      <c r="B164" s="64">
        <f t="shared" si="38"/>
        <v>0.83799999999999997</v>
      </c>
      <c r="C164" s="11">
        <v>33</v>
      </c>
      <c r="D164" s="12" t="s">
        <v>29</v>
      </c>
      <c r="E164" s="13" t="s">
        <v>26</v>
      </c>
      <c r="F164" s="76" t="s">
        <v>110</v>
      </c>
      <c r="G164" s="66">
        <v>24.931999999999999</v>
      </c>
      <c r="H164" s="15">
        <f t="shared" si="49"/>
        <v>299.18</v>
      </c>
      <c r="I164" s="68">
        <f t="shared" si="50"/>
        <v>332.34</v>
      </c>
      <c r="J164" s="15">
        <f t="shared" si="34"/>
        <v>349.05</v>
      </c>
      <c r="K164" s="71">
        <v>4.5016346718081968E-2</v>
      </c>
      <c r="L164" s="13">
        <f t="shared" si="42"/>
        <v>286.77999999999997</v>
      </c>
      <c r="M164" s="13">
        <f t="shared" si="43"/>
        <v>199.45</v>
      </c>
      <c r="N164" s="13">
        <f t="shared" si="44"/>
        <v>221.56</v>
      </c>
      <c r="O164" s="13">
        <f t="shared" si="45"/>
        <v>232.7</v>
      </c>
    </row>
    <row r="165" spans="1:15" ht="15" customHeight="1">
      <c r="A165" s="9" t="s">
        <v>24</v>
      </c>
      <c r="B165" s="64">
        <f t="shared" si="38"/>
        <v>0.86399999999999999</v>
      </c>
      <c r="C165" s="11">
        <v>34</v>
      </c>
      <c r="D165" s="12" t="s">
        <v>29</v>
      </c>
      <c r="E165" s="13" t="s">
        <v>26</v>
      </c>
      <c r="F165" s="14" t="s">
        <v>111</v>
      </c>
      <c r="G165" s="66">
        <v>24.690999999999999</v>
      </c>
      <c r="H165" s="15">
        <f t="shared" si="49"/>
        <v>296.29000000000002</v>
      </c>
      <c r="I165" s="68">
        <f t="shared" si="50"/>
        <v>329.13</v>
      </c>
      <c r="J165" s="15">
        <f t="shared" si="34"/>
        <v>345.67</v>
      </c>
      <c r="K165" s="71">
        <v>4.4988996106314572E-2</v>
      </c>
      <c r="L165" s="13">
        <f t="shared" si="42"/>
        <v>284.01</v>
      </c>
      <c r="M165" s="13">
        <f t="shared" si="43"/>
        <v>197.53</v>
      </c>
      <c r="N165" s="13">
        <f t="shared" si="44"/>
        <v>219.42</v>
      </c>
      <c r="O165" s="13">
        <f t="shared" si="45"/>
        <v>230.45</v>
      </c>
    </row>
    <row r="166" spans="1:15" ht="15" customHeight="1">
      <c r="A166" s="9" t="s">
        <v>24</v>
      </c>
      <c r="B166" s="64">
        <f t="shared" si="38"/>
        <v>0.91400000000000003</v>
      </c>
      <c r="C166" s="31">
        <v>36</v>
      </c>
      <c r="D166" s="12" t="s">
        <v>29</v>
      </c>
      <c r="E166" s="13" t="s">
        <v>26</v>
      </c>
      <c r="F166" s="32" t="s">
        <v>96</v>
      </c>
      <c r="G166" s="66">
        <v>24.911999999999999</v>
      </c>
      <c r="H166" s="15">
        <f t="shared" si="49"/>
        <v>298.94</v>
      </c>
      <c r="I166" s="68">
        <f t="shared" si="50"/>
        <v>332.08</v>
      </c>
      <c r="J166" s="15">
        <f t="shared" si="34"/>
        <v>348.77</v>
      </c>
      <c r="K166" s="71">
        <v>4.5010277276731347E-2</v>
      </c>
      <c r="L166" s="13">
        <f t="shared" si="42"/>
        <v>286.55</v>
      </c>
      <c r="M166" s="13">
        <f t="shared" si="43"/>
        <v>199.29</v>
      </c>
      <c r="N166" s="13">
        <f t="shared" si="44"/>
        <v>221.39</v>
      </c>
      <c r="O166" s="13">
        <f t="shared" si="45"/>
        <v>232.51</v>
      </c>
    </row>
    <row r="167" spans="1:15" ht="15" customHeight="1">
      <c r="A167" s="9" t="s">
        <v>24</v>
      </c>
      <c r="B167" s="64">
        <f t="shared" si="38"/>
        <v>0.94</v>
      </c>
      <c r="C167" s="31">
        <v>37</v>
      </c>
      <c r="D167" s="12" t="s">
        <v>29</v>
      </c>
      <c r="E167" s="13" t="s">
        <v>26</v>
      </c>
      <c r="F167" s="32" t="s">
        <v>96</v>
      </c>
      <c r="G167" s="66">
        <v>24.911999999999999</v>
      </c>
      <c r="H167" s="15">
        <f t="shared" si="49"/>
        <v>298.94</v>
      </c>
      <c r="I167" s="68">
        <f t="shared" si="50"/>
        <v>332.08</v>
      </c>
      <c r="J167" s="15">
        <f t="shared" si="34"/>
        <v>348.77</v>
      </c>
      <c r="K167" s="71">
        <v>4.5010277276731347E-2</v>
      </c>
      <c r="L167" s="13">
        <f t="shared" si="42"/>
        <v>286.55</v>
      </c>
      <c r="M167" s="13">
        <f t="shared" si="43"/>
        <v>199.29</v>
      </c>
      <c r="N167" s="13">
        <f t="shared" si="44"/>
        <v>221.39</v>
      </c>
      <c r="O167" s="13">
        <f t="shared" si="45"/>
        <v>232.51</v>
      </c>
    </row>
    <row r="168" spans="1:15" ht="15" customHeight="1">
      <c r="A168" s="9" t="s">
        <v>24</v>
      </c>
      <c r="B168" s="64">
        <f t="shared" si="38"/>
        <v>0.99099999999999999</v>
      </c>
      <c r="C168" s="31">
        <v>39</v>
      </c>
      <c r="D168" s="12" t="s">
        <v>29</v>
      </c>
      <c r="E168" s="13" t="s">
        <v>26</v>
      </c>
      <c r="F168" s="32" t="s">
        <v>96</v>
      </c>
      <c r="G168" s="66">
        <v>24.911999999999999</v>
      </c>
      <c r="H168" s="15">
        <f t="shared" si="49"/>
        <v>298.94</v>
      </c>
      <c r="I168" s="68">
        <f t="shared" si="50"/>
        <v>332.08</v>
      </c>
      <c r="J168" s="15">
        <f t="shared" si="34"/>
        <v>348.77</v>
      </c>
      <c r="K168" s="71">
        <v>4.5010277276731347E-2</v>
      </c>
      <c r="L168" s="13">
        <f t="shared" si="42"/>
        <v>286.55</v>
      </c>
      <c r="M168" s="13">
        <f t="shared" si="43"/>
        <v>199.29</v>
      </c>
      <c r="N168" s="13">
        <f t="shared" si="44"/>
        <v>221.39</v>
      </c>
      <c r="O168" s="13">
        <f t="shared" si="45"/>
        <v>232.51</v>
      </c>
    </row>
    <row r="169" spans="1:15" ht="15" customHeight="1">
      <c r="A169" s="9" t="s">
        <v>24</v>
      </c>
      <c r="B169" s="64">
        <f t="shared" si="38"/>
        <v>1.0669999999999999</v>
      </c>
      <c r="C169" s="31">
        <v>42</v>
      </c>
      <c r="D169" s="12" t="s">
        <v>29</v>
      </c>
      <c r="E169" s="13" t="s">
        <v>26</v>
      </c>
      <c r="F169" s="32" t="s">
        <v>102</v>
      </c>
      <c r="G169" s="66">
        <v>25.306999999999999</v>
      </c>
      <c r="H169" s="15">
        <f t="shared" si="49"/>
        <v>303.68</v>
      </c>
      <c r="I169" s="68">
        <f t="shared" si="50"/>
        <v>337.34</v>
      </c>
      <c r="J169" s="15">
        <f t="shared" si="34"/>
        <v>354.3</v>
      </c>
      <c r="K169" s="71">
        <v>4.5009703926993438E-2</v>
      </c>
      <c r="L169" s="13">
        <f t="shared" si="42"/>
        <v>291.08999999999997</v>
      </c>
      <c r="M169" s="13">
        <f t="shared" si="43"/>
        <v>202.45</v>
      </c>
      <c r="N169" s="13">
        <f t="shared" si="44"/>
        <v>224.89</v>
      </c>
      <c r="O169" s="13">
        <f t="shared" si="45"/>
        <v>236.2</v>
      </c>
    </row>
    <row r="170" spans="1:15" ht="15" customHeight="1">
      <c r="A170" s="9" t="s">
        <v>24</v>
      </c>
      <c r="B170" s="64">
        <f t="shared" si="38"/>
        <v>1.0920000000000001</v>
      </c>
      <c r="C170" s="31">
        <v>43</v>
      </c>
      <c r="D170" s="12" t="s">
        <v>29</v>
      </c>
      <c r="E170" s="13" t="s">
        <v>26</v>
      </c>
      <c r="F170" s="32" t="s">
        <v>102</v>
      </c>
      <c r="G170" s="66">
        <v>25.306999999999999</v>
      </c>
      <c r="H170" s="15">
        <f t="shared" si="49"/>
        <v>303.68</v>
      </c>
      <c r="I170" s="68">
        <f t="shared" si="50"/>
        <v>337.34</v>
      </c>
      <c r="J170" s="15">
        <f t="shared" si="34"/>
        <v>354.3</v>
      </c>
      <c r="K170" s="71">
        <v>4.5009703926993438E-2</v>
      </c>
      <c r="L170" s="13">
        <f t="shared" si="42"/>
        <v>291.08999999999997</v>
      </c>
      <c r="M170" s="13">
        <f t="shared" si="43"/>
        <v>202.45</v>
      </c>
      <c r="N170" s="13">
        <f t="shared" si="44"/>
        <v>224.89</v>
      </c>
      <c r="O170" s="13">
        <f t="shared" si="45"/>
        <v>236.2</v>
      </c>
    </row>
    <row r="171" spans="1:15" ht="15" customHeight="1">
      <c r="A171" s="9" t="s">
        <v>24</v>
      </c>
      <c r="B171" s="64">
        <f t="shared" si="38"/>
        <v>1.143</v>
      </c>
      <c r="C171" s="31">
        <v>45</v>
      </c>
      <c r="D171" s="12" t="s">
        <v>29</v>
      </c>
      <c r="E171" s="13" t="s">
        <v>26</v>
      </c>
      <c r="F171" s="32" t="s">
        <v>102</v>
      </c>
      <c r="G171" s="66">
        <v>25.306999999999999</v>
      </c>
      <c r="H171" s="15">
        <f t="shared" si="49"/>
        <v>303.68</v>
      </c>
      <c r="I171" s="68">
        <f t="shared" si="50"/>
        <v>337.34</v>
      </c>
      <c r="J171" s="15">
        <f t="shared" si="34"/>
        <v>354.3</v>
      </c>
      <c r="K171" s="71">
        <v>4.5009703926993438E-2</v>
      </c>
      <c r="L171" s="13">
        <f t="shared" si="42"/>
        <v>291.08999999999997</v>
      </c>
      <c r="M171" s="13">
        <f t="shared" si="43"/>
        <v>202.45</v>
      </c>
      <c r="N171" s="13">
        <f t="shared" si="44"/>
        <v>224.89</v>
      </c>
      <c r="O171" s="13">
        <f t="shared" si="45"/>
        <v>236.2</v>
      </c>
    </row>
    <row r="172" spans="1:15" ht="15" customHeight="1">
      <c r="A172" s="9" t="s">
        <v>24</v>
      </c>
      <c r="B172" s="64">
        <f t="shared" si="38"/>
        <v>1.194</v>
      </c>
      <c r="C172" s="31">
        <v>47</v>
      </c>
      <c r="D172" s="12" t="s">
        <v>29</v>
      </c>
      <c r="E172" s="13" t="s">
        <v>26</v>
      </c>
      <c r="F172" s="32" t="s">
        <v>102</v>
      </c>
      <c r="G172" s="66">
        <v>25.306999999999999</v>
      </c>
      <c r="H172" s="15">
        <f t="shared" si="49"/>
        <v>303.68</v>
      </c>
      <c r="I172" s="68">
        <f t="shared" si="50"/>
        <v>337.34</v>
      </c>
      <c r="J172" s="15">
        <f t="shared" si="34"/>
        <v>354.3</v>
      </c>
      <c r="K172" s="71">
        <v>4.5009703926993438E-2</v>
      </c>
      <c r="L172" s="13">
        <f t="shared" si="42"/>
        <v>291.08999999999997</v>
      </c>
      <c r="M172" s="13">
        <f t="shared" si="43"/>
        <v>202.45</v>
      </c>
      <c r="N172" s="13">
        <f t="shared" si="44"/>
        <v>224.89</v>
      </c>
      <c r="O172" s="13">
        <f t="shared" si="45"/>
        <v>236.2</v>
      </c>
    </row>
    <row r="173" spans="1:15" ht="15" customHeight="1">
      <c r="A173" s="9" t="s">
        <v>24</v>
      </c>
      <c r="B173" s="64">
        <f t="shared" si="38"/>
        <v>1.2450000000000001</v>
      </c>
      <c r="C173" s="31">
        <v>49</v>
      </c>
      <c r="D173" s="12" t="s">
        <v>29</v>
      </c>
      <c r="E173" s="13" t="s">
        <v>26</v>
      </c>
      <c r="F173" s="32" t="s">
        <v>104</v>
      </c>
      <c r="G173" s="66">
        <v>26.201000000000001</v>
      </c>
      <c r="H173" s="15">
        <f t="shared" si="49"/>
        <v>314.41000000000003</v>
      </c>
      <c r="I173" s="68">
        <f t="shared" si="50"/>
        <v>349.26</v>
      </c>
      <c r="J173" s="15">
        <f t="shared" si="34"/>
        <v>366.81</v>
      </c>
      <c r="K173" s="71">
        <v>4.4988633191082039E-2</v>
      </c>
      <c r="L173" s="13">
        <f t="shared" si="42"/>
        <v>301.38</v>
      </c>
      <c r="M173" s="13">
        <f t="shared" si="43"/>
        <v>209.61</v>
      </c>
      <c r="N173" s="13">
        <f t="shared" si="44"/>
        <v>232.84</v>
      </c>
      <c r="O173" s="13">
        <f t="shared" si="45"/>
        <v>244.54</v>
      </c>
    </row>
    <row r="174" spans="1:15" ht="15" customHeight="1">
      <c r="A174" s="9" t="s">
        <v>24</v>
      </c>
      <c r="B174" s="64">
        <f t="shared" si="38"/>
        <v>1.27</v>
      </c>
      <c r="C174" s="31">
        <v>50</v>
      </c>
      <c r="D174" s="12" t="s">
        <v>29</v>
      </c>
      <c r="E174" s="13" t="s">
        <v>26</v>
      </c>
      <c r="F174" s="32" t="s">
        <v>104</v>
      </c>
      <c r="G174" s="66">
        <v>26.201000000000001</v>
      </c>
      <c r="H174" s="15">
        <f t="shared" si="49"/>
        <v>314.41000000000003</v>
      </c>
      <c r="I174" s="68">
        <f t="shared" si="50"/>
        <v>349.26</v>
      </c>
      <c r="J174" s="15">
        <f t="shared" si="34"/>
        <v>366.81</v>
      </c>
      <c r="K174" s="71">
        <v>4.4988633191082039E-2</v>
      </c>
      <c r="L174" s="13">
        <f t="shared" si="42"/>
        <v>301.38</v>
      </c>
      <c r="M174" s="13">
        <f t="shared" si="43"/>
        <v>209.61</v>
      </c>
      <c r="N174" s="13">
        <f t="shared" si="44"/>
        <v>232.84</v>
      </c>
      <c r="O174" s="13">
        <f t="shared" si="45"/>
        <v>244.54</v>
      </c>
    </row>
    <row r="175" spans="1:15" ht="15" customHeight="1">
      <c r="A175" s="9" t="s">
        <v>24</v>
      </c>
      <c r="B175" s="64">
        <f t="shared" si="38"/>
        <v>1.3</v>
      </c>
      <c r="C175" s="31">
        <v>51.2</v>
      </c>
      <c r="D175" s="12" t="s">
        <v>29</v>
      </c>
      <c r="E175" s="13" t="s">
        <v>26</v>
      </c>
      <c r="F175" s="32" t="s">
        <v>104</v>
      </c>
      <c r="G175" s="66">
        <v>26.201000000000001</v>
      </c>
      <c r="H175" s="15">
        <f t="shared" si="49"/>
        <v>314.41000000000003</v>
      </c>
      <c r="I175" s="68">
        <f t="shared" si="50"/>
        <v>349.26</v>
      </c>
      <c r="J175" s="15">
        <f t="shared" si="34"/>
        <v>366.81</v>
      </c>
      <c r="K175" s="71">
        <v>4.4988633191082039E-2</v>
      </c>
      <c r="L175" s="13">
        <f t="shared" si="42"/>
        <v>301.38</v>
      </c>
      <c r="M175" s="13">
        <f t="shared" si="43"/>
        <v>209.61</v>
      </c>
      <c r="N175" s="13">
        <f t="shared" si="44"/>
        <v>232.84</v>
      </c>
      <c r="O175" s="13">
        <f t="shared" si="45"/>
        <v>244.54</v>
      </c>
    </row>
    <row r="176" spans="1:15" ht="15" customHeight="1">
      <c r="A176" s="9" t="s">
        <v>24</v>
      </c>
      <c r="B176" s="64">
        <f t="shared" si="38"/>
        <v>1.397</v>
      </c>
      <c r="C176" s="31">
        <v>55</v>
      </c>
      <c r="D176" s="12" t="s">
        <v>29</v>
      </c>
      <c r="E176" s="13" t="s">
        <v>26</v>
      </c>
      <c r="F176" s="32" t="s">
        <v>104</v>
      </c>
      <c r="G176" s="66">
        <v>26.507999999999999</v>
      </c>
      <c r="H176" s="15">
        <f t="shared" si="49"/>
        <v>318.10000000000002</v>
      </c>
      <c r="I176" s="68">
        <f t="shared" si="50"/>
        <v>353.35</v>
      </c>
      <c r="J176" s="15">
        <f t="shared" si="34"/>
        <v>371.11</v>
      </c>
      <c r="K176" s="71">
        <v>4.5020894110226362E-2</v>
      </c>
      <c r="L176" s="13">
        <f t="shared" si="42"/>
        <v>304.91000000000003</v>
      </c>
      <c r="M176" s="13">
        <f t="shared" si="43"/>
        <v>212.07</v>
      </c>
      <c r="N176" s="13">
        <f t="shared" si="44"/>
        <v>235.57</v>
      </c>
      <c r="O176" s="13">
        <f t="shared" si="45"/>
        <v>247.41</v>
      </c>
    </row>
    <row r="177" spans="1:15" ht="15" customHeight="1">
      <c r="A177" s="9" t="s">
        <v>24</v>
      </c>
      <c r="B177" s="64">
        <f t="shared" si="38"/>
        <v>1.4219999999999999</v>
      </c>
      <c r="C177" s="31">
        <v>56</v>
      </c>
      <c r="D177" s="12" t="s">
        <v>29</v>
      </c>
      <c r="E177" s="13" t="s">
        <v>26</v>
      </c>
      <c r="F177" s="32" t="s">
        <v>103</v>
      </c>
      <c r="G177" s="66">
        <v>27.628</v>
      </c>
      <c r="H177" s="15">
        <f t="shared" si="49"/>
        <v>331.54</v>
      </c>
      <c r="I177" s="68">
        <f t="shared" si="50"/>
        <v>368.28</v>
      </c>
      <c r="J177" s="15">
        <f t="shared" si="34"/>
        <v>386.79</v>
      </c>
      <c r="K177" s="71">
        <v>4.5010969059686934E-2</v>
      </c>
      <c r="L177" s="13">
        <f t="shared" si="42"/>
        <v>317.79000000000002</v>
      </c>
      <c r="M177" s="13">
        <f t="shared" si="43"/>
        <v>221.03</v>
      </c>
      <c r="N177" s="13">
        <f t="shared" si="44"/>
        <v>245.52</v>
      </c>
      <c r="O177" s="13">
        <f t="shared" si="45"/>
        <v>257.86</v>
      </c>
    </row>
    <row r="178" spans="1:15" ht="15" customHeight="1">
      <c r="A178" s="9" t="s">
        <v>24</v>
      </c>
      <c r="B178" s="64">
        <f t="shared" si="38"/>
        <v>1.448</v>
      </c>
      <c r="C178" s="31">
        <v>57</v>
      </c>
      <c r="D178" s="12" t="s">
        <v>29</v>
      </c>
      <c r="E178" s="13" t="s">
        <v>26</v>
      </c>
      <c r="F178" s="32" t="s">
        <v>103</v>
      </c>
      <c r="G178" s="66">
        <v>27.628</v>
      </c>
      <c r="H178" s="15">
        <f t="shared" si="49"/>
        <v>331.54</v>
      </c>
      <c r="I178" s="68">
        <f t="shared" si="50"/>
        <v>368.28</v>
      </c>
      <c r="J178" s="15">
        <f t="shared" si="34"/>
        <v>386.79</v>
      </c>
      <c r="K178" s="71">
        <v>4.5010969059686934E-2</v>
      </c>
      <c r="L178" s="13">
        <f t="shared" si="42"/>
        <v>317.79000000000002</v>
      </c>
      <c r="M178" s="13">
        <f t="shared" si="43"/>
        <v>221.03</v>
      </c>
      <c r="N178" s="13">
        <f t="shared" si="44"/>
        <v>245.52</v>
      </c>
      <c r="O178" s="13">
        <f t="shared" si="45"/>
        <v>257.86</v>
      </c>
    </row>
    <row r="179" spans="1:15" ht="15" customHeight="1">
      <c r="A179" s="9" t="s">
        <v>24</v>
      </c>
      <c r="B179" s="64">
        <f t="shared" si="38"/>
        <v>1.4990000000000001</v>
      </c>
      <c r="C179" s="31">
        <v>59</v>
      </c>
      <c r="D179" s="12" t="s">
        <v>29</v>
      </c>
      <c r="E179" s="13" t="s">
        <v>26</v>
      </c>
      <c r="F179" s="32" t="s">
        <v>103</v>
      </c>
      <c r="G179" s="66">
        <v>27.628</v>
      </c>
      <c r="H179" s="15">
        <f t="shared" si="49"/>
        <v>331.54</v>
      </c>
      <c r="I179" s="68">
        <f t="shared" si="50"/>
        <v>368.28</v>
      </c>
      <c r="J179" s="15">
        <f t="shared" si="34"/>
        <v>386.79</v>
      </c>
      <c r="K179" s="71">
        <v>4.5010969059686934E-2</v>
      </c>
      <c r="L179" s="13">
        <f t="shared" si="42"/>
        <v>317.79000000000002</v>
      </c>
      <c r="M179" s="13">
        <f t="shared" si="43"/>
        <v>221.03</v>
      </c>
      <c r="N179" s="13">
        <f t="shared" si="44"/>
        <v>245.52</v>
      </c>
      <c r="O179" s="13">
        <f t="shared" si="45"/>
        <v>257.86</v>
      </c>
    </row>
    <row r="180" spans="1:15" ht="15" customHeight="1">
      <c r="A180" s="9" t="s">
        <v>24</v>
      </c>
      <c r="B180" s="64">
        <f t="shared" si="38"/>
        <v>1.6</v>
      </c>
      <c r="C180" s="31">
        <v>63</v>
      </c>
      <c r="D180" s="12" t="s">
        <v>29</v>
      </c>
      <c r="E180" s="13" t="s">
        <v>26</v>
      </c>
      <c r="F180" s="32" t="s">
        <v>103</v>
      </c>
      <c r="G180" s="66">
        <v>28.24</v>
      </c>
      <c r="H180" s="15">
        <f t="shared" si="49"/>
        <v>338.88</v>
      </c>
      <c r="I180" s="68">
        <f t="shared" si="50"/>
        <v>376.44</v>
      </c>
      <c r="J180" s="15">
        <f t="shared" si="34"/>
        <v>395.36</v>
      </c>
      <c r="K180" s="71">
        <v>4.4997039668442707E-2</v>
      </c>
      <c r="L180" s="13">
        <f t="shared" si="42"/>
        <v>324.83</v>
      </c>
      <c r="M180" s="13">
        <f t="shared" si="43"/>
        <v>225.92</v>
      </c>
      <c r="N180" s="13">
        <f t="shared" si="44"/>
        <v>250.96</v>
      </c>
      <c r="O180" s="13">
        <f t="shared" si="45"/>
        <v>263.57</v>
      </c>
    </row>
    <row r="181" spans="1:15" ht="15" customHeight="1">
      <c r="A181" s="9" t="s">
        <v>24</v>
      </c>
      <c r="B181" s="64">
        <f t="shared" si="38"/>
        <v>1.702</v>
      </c>
      <c r="C181" s="31">
        <v>67</v>
      </c>
      <c r="D181" s="12" t="s">
        <v>29</v>
      </c>
      <c r="E181" s="13" t="s">
        <v>26</v>
      </c>
      <c r="F181" s="32" t="s">
        <v>105</v>
      </c>
      <c r="G181" s="66">
        <v>30.178000000000001</v>
      </c>
      <c r="H181" s="15">
        <f t="shared" si="49"/>
        <v>362.14</v>
      </c>
      <c r="I181" s="68">
        <f t="shared" si="50"/>
        <v>402.27</v>
      </c>
      <c r="J181" s="15">
        <f t="shared" si="34"/>
        <v>422.49</v>
      </c>
      <c r="K181" s="71">
        <v>4.5016967934067509E-2</v>
      </c>
      <c r="L181" s="13">
        <f t="shared" si="42"/>
        <v>347.13</v>
      </c>
      <c r="M181" s="13">
        <f t="shared" si="43"/>
        <v>241.43</v>
      </c>
      <c r="N181" s="13">
        <f t="shared" si="44"/>
        <v>268.18</v>
      </c>
      <c r="O181" s="13">
        <f t="shared" si="45"/>
        <v>281.66000000000003</v>
      </c>
    </row>
    <row r="182" spans="1:15" ht="15" customHeight="1">
      <c r="A182" s="9" t="s">
        <v>24</v>
      </c>
      <c r="B182" s="64">
        <f t="shared" si="38"/>
        <v>1.8029999999999999</v>
      </c>
      <c r="C182" s="11">
        <v>71</v>
      </c>
      <c r="D182" s="12" t="s">
        <v>29</v>
      </c>
      <c r="E182" s="13" t="s">
        <v>26</v>
      </c>
      <c r="F182" s="14" t="s">
        <v>112</v>
      </c>
      <c r="G182" s="66">
        <v>32.215000000000003</v>
      </c>
      <c r="H182" s="15">
        <f t="shared" si="49"/>
        <v>386.58</v>
      </c>
      <c r="I182" s="68">
        <f t="shared" si="50"/>
        <v>429.43</v>
      </c>
      <c r="J182" s="15">
        <f t="shared" si="34"/>
        <v>451.01</v>
      </c>
      <c r="K182" s="71">
        <v>4.4991566108732561E-2</v>
      </c>
      <c r="L182" s="13">
        <f t="shared" si="42"/>
        <v>370.55</v>
      </c>
      <c r="M182" s="13">
        <f t="shared" si="43"/>
        <v>257.72000000000003</v>
      </c>
      <c r="N182" s="13">
        <f t="shared" si="44"/>
        <v>286.29000000000002</v>
      </c>
      <c r="O182" s="13">
        <f t="shared" si="45"/>
        <v>300.67</v>
      </c>
    </row>
    <row r="183" spans="1:15" ht="15" customHeight="1">
      <c r="A183" s="9" t="s">
        <v>24</v>
      </c>
      <c r="B183" s="64">
        <f t="shared" si="38"/>
        <v>1.905</v>
      </c>
      <c r="C183" s="11">
        <v>75</v>
      </c>
      <c r="D183" s="12" t="s">
        <v>29</v>
      </c>
      <c r="E183" s="13" t="s">
        <v>26</v>
      </c>
      <c r="F183" s="14" t="s">
        <v>112</v>
      </c>
      <c r="G183" s="66">
        <v>32.215000000000003</v>
      </c>
      <c r="H183" s="15">
        <f t="shared" si="49"/>
        <v>386.58</v>
      </c>
      <c r="I183" s="68">
        <f t="shared" si="50"/>
        <v>429.43</v>
      </c>
      <c r="J183" s="15">
        <f t="shared" si="34"/>
        <v>451.01</v>
      </c>
      <c r="K183" s="71">
        <v>4.4991566108732561E-2</v>
      </c>
      <c r="L183" s="13">
        <f t="shared" si="42"/>
        <v>370.55</v>
      </c>
      <c r="M183" s="13">
        <f t="shared" si="43"/>
        <v>257.72000000000003</v>
      </c>
      <c r="N183" s="13">
        <f t="shared" si="44"/>
        <v>286.29000000000002</v>
      </c>
      <c r="O183" s="13">
        <f t="shared" si="45"/>
        <v>300.67</v>
      </c>
    </row>
    <row r="184" spans="1:15" ht="1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73"/>
      <c r="M184" s="73"/>
      <c r="N184" s="73"/>
      <c r="O184" s="73"/>
    </row>
    <row r="185" spans="1:15" ht="22.2" customHeight="1">
      <c r="A185" s="92" t="s">
        <v>30</v>
      </c>
      <c r="B185" s="93"/>
      <c r="C185" s="93"/>
      <c r="D185" s="93"/>
      <c r="E185" s="93"/>
      <c r="F185" s="93"/>
      <c r="G185" s="93"/>
      <c r="H185" s="93"/>
      <c r="I185" s="93"/>
      <c r="J185" s="93"/>
      <c r="K185" s="93"/>
    </row>
    <row r="186" spans="1:15" ht="24.6" customHeight="1">
      <c r="A186" s="78" t="s">
        <v>13</v>
      </c>
      <c r="B186" s="78" t="s">
        <v>31</v>
      </c>
      <c r="C186" s="78" t="s">
        <v>32</v>
      </c>
      <c r="D186" s="78" t="s">
        <v>33</v>
      </c>
      <c r="E186" s="78" t="s">
        <v>34</v>
      </c>
      <c r="F186" s="78" t="s">
        <v>35</v>
      </c>
      <c r="G186" s="78" t="s">
        <v>36</v>
      </c>
      <c r="H186" s="78" t="s">
        <v>37</v>
      </c>
      <c r="I186" s="94" t="s">
        <v>38</v>
      </c>
      <c r="J186" s="95"/>
      <c r="K186" s="78" t="s">
        <v>23</v>
      </c>
    </row>
    <row r="187" spans="1:15" ht="15" customHeight="1">
      <c r="A187" s="41" t="s">
        <v>39</v>
      </c>
      <c r="B187" s="41">
        <v>1037</v>
      </c>
      <c r="C187" s="16">
        <v>0.7</v>
      </c>
      <c r="D187" s="41" t="s">
        <v>40</v>
      </c>
      <c r="E187" s="44" t="s">
        <v>41</v>
      </c>
      <c r="F187" s="41">
        <v>3937</v>
      </c>
      <c r="G187" s="45">
        <v>2.145</v>
      </c>
      <c r="H187" s="46">
        <f>ROUND(G187*13.124,2)</f>
        <v>28.15</v>
      </c>
      <c r="I187" s="89">
        <f t="shared" ref="I187:I223" si="51">ROUND(G187*F187,2)</f>
        <v>8444.8700000000008</v>
      </c>
      <c r="J187" s="89"/>
      <c r="K187" s="43">
        <v>0</v>
      </c>
    </row>
    <row r="188" spans="1:15" ht="15" customHeight="1">
      <c r="A188" s="41" t="s">
        <v>39</v>
      </c>
      <c r="B188" s="41">
        <v>106</v>
      </c>
      <c r="C188" s="16">
        <v>0.7</v>
      </c>
      <c r="D188" s="41" t="s">
        <v>40</v>
      </c>
      <c r="E188" s="44" t="s">
        <v>41</v>
      </c>
      <c r="F188" s="41">
        <v>3937</v>
      </c>
      <c r="G188" s="45">
        <v>1.897</v>
      </c>
      <c r="H188" s="46">
        <f>ROUND(G188*13.124,2)</f>
        <v>24.9</v>
      </c>
      <c r="I188" s="89">
        <f t="shared" si="51"/>
        <v>7468.49</v>
      </c>
      <c r="J188" s="89"/>
      <c r="K188" s="43">
        <v>0</v>
      </c>
    </row>
    <row r="189" spans="1:15" ht="15" customHeight="1">
      <c r="A189" s="41" t="s">
        <v>39</v>
      </c>
      <c r="B189" s="41">
        <v>106</v>
      </c>
      <c r="C189" s="43">
        <v>0.72</v>
      </c>
      <c r="D189" s="41" t="s">
        <v>40</v>
      </c>
      <c r="E189" s="44" t="s">
        <v>41</v>
      </c>
      <c r="F189" s="41">
        <v>3937</v>
      </c>
      <c r="G189" s="74">
        <v>2.1419999999999999</v>
      </c>
      <c r="H189" s="46">
        <f>ROUND(G189*13.124,2)</f>
        <v>28.11</v>
      </c>
      <c r="I189" s="89">
        <f t="shared" si="51"/>
        <v>8433.0499999999993</v>
      </c>
      <c r="J189" s="89"/>
      <c r="K189" s="43">
        <v>0.10015408320493058</v>
      </c>
      <c r="N189" s="77"/>
    </row>
    <row r="190" spans="1:15" ht="15" customHeight="1">
      <c r="A190" s="41" t="s">
        <v>39</v>
      </c>
      <c r="B190" s="41">
        <v>106</v>
      </c>
      <c r="C190" s="43">
        <v>0.74</v>
      </c>
      <c r="D190" s="41" t="s">
        <v>40</v>
      </c>
      <c r="E190" s="44" t="s">
        <v>41</v>
      </c>
      <c r="F190" s="41">
        <v>3937</v>
      </c>
      <c r="G190" s="74">
        <v>2.1840000000000002</v>
      </c>
      <c r="H190" s="46">
        <f t="shared" ref="H190:H223" si="52">ROUND(G190*13.124,2)</f>
        <v>28.66</v>
      </c>
      <c r="I190" s="89">
        <f t="shared" si="51"/>
        <v>8598.41</v>
      </c>
      <c r="J190" s="89"/>
      <c r="K190" s="43">
        <v>0.10025188916876582</v>
      </c>
      <c r="N190" s="77"/>
    </row>
    <row r="191" spans="1:15" ht="15" customHeight="1">
      <c r="A191" s="41" t="s">
        <v>39</v>
      </c>
      <c r="B191" s="41">
        <v>106</v>
      </c>
      <c r="C191" s="43">
        <v>0.76</v>
      </c>
      <c r="D191" s="41" t="s">
        <v>40</v>
      </c>
      <c r="E191" s="44" t="s">
        <v>41</v>
      </c>
      <c r="F191" s="41">
        <v>3937</v>
      </c>
      <c r="G191" s="74">
        <v>2.25</v>
      </c>
      <c r="H191" s="46">
        <f t="shared" si="52"/>
        <v>29.53</v>
      </c>
      <c r="I191" s="89">
        <f t="shared" si="51"/>
        <v>8858.25</v>
      </c>
      <c r="J191" s="89"/>
      <c r="K191" s="43">
        <v>0.10024449877750619</v>
      </c>
      <c r="N191" s="77"/>
    </row>
    <row r="192" spans="1:15" ht="15" customHeight="1">
      <c r="A192" s="41" t="s">
        <v>39</v>
      </c>
      <c r="B192" s="41">
        <v>106</v>
      </c>
      <c r="C192" s="43">
        <v>0.78</v>
      </c>
      <c r="D192" s="41" t="s">
        <v>40</v>
      </c>
      <c r="E192" s="44" t="s">
        <v>41</v>
      </c>
      <c r="F192" s="41">
        <v>3937</v>
      </c>
      <c r="G192" s="74">
        <v>2.3650000000000002</v>
      </c>
      <c r="H192" s="46">
        <f t="shared" si="52"/>
        <v>31.04</v>
      </c>
      <c r="I192" s="89">
        <f t="shared" si="51"/>
        <v>9311.01</v>
      </c>
      <c r="J192" s="89"/>
      <c r="K192" s="43"/>
      <c r="N192" s="77"/>
    </row>
    <row r="193" spans="1:14" ht="15" customHeight="1">
      <c r="A193" s="41" t="s">
        <v>39</v>
      </c>
      <c r="B193" s="41">
        <v>1067</v>
      </c>
      <c r="C193" s="43">
        <v>0.76</v>
      </c>
      <c r="D193" s="41" t="s">
        <v>40</v>
      </c>
      <c r="E193" s="44" t="s">
        <v>41</v>
      </c>
      <c r="F193" s="41">
        <v>3937</v>
      </c>
      <c r="G193" s="74">
        <v>2.411</v>
      </c>
      <c r="H193" s="46">
        <f t="shared" si="52"/>
        <v>31.64</v>
      </c>
      <c r="I193" s="89">
        <f t="shared" si="51"/>
        <v>9492.11</v>
      </c>
      <c r="J193" s="89"/>
      <c r="K193" s="43"/>
      <c r="N193" s="77"/>
    </row>
    <row r="194" spans="1:14" ht="15" customHeight="1">
      <c r="A194" s="41" t="s">
        <v>39</v>
      </c>
      <c r="B194" s="41">
        <v>1078</v>
      </c>
      <c r="C194" s="43">
        <v>0.68</v>
      </c>
      <c r="D194" s="41" t="s">
        <v>40</v>
      </c>
      <c r="E194" s="44" t="s">
        <v>41</v>
      </c>
      <c r="F194" s="41">
        <v>3937</v>
      </c>
      <c r="G194" s="74">
        <v>2.117</v>
      </c>
      <c r="H194" s="46">
        <f t="shared" si="52"/>
        <v>27.78</v>
      </c>
      <c r="I194" s="89">
        <f t="shared" si="51"/>
        <v>8334.6299999999992</v>
      </c>
      <c r="J194" s="89"/>
      <c r="K194" s="43"/>
      <c r="N194" s="77"/>
    </row>
    <row r="195" spans="1:14" ht="15" customHeight="1">
      <c r="A195" s="41" t="s">
        <v>69</v>
      </c>
      <c r="B195" s="41">
        <v>1080</v>
      </c>
      <c r="C195" s="43">
        <v>0.62</v>
      </c>
      <c r="D195" s="41" t="s">
        <v>40</v>
      </c>
      <c r="E195" s="44" t="s">
        <v>41</v>
      </c>
      <c r="F195" s="41">
        <v>3937</v>
      </c>
      <c r="G195" s="74">
        <v>1.708</v>
      </c>
      <c r="H195" s="46">
        <f t="shared" si="52"/>
        <v>22.42</v>
      </c>
      <c r="I195" s="89">
        <f t="shared" si="51"/>
        <v>6724.4</v>
      </c>
      <c r="J195" s="89"/>
      <c r="K195" s="43">
        <v>9.980682549903408E-2</v>
      </c>
      <c r="N195" s="77"/>
    </row>
    <row r="196" spans="1:14" ht="15" customHeight="1">
      <c r="A196" s="41" t="s">
        <v>39</v>
      </c>
      <c r="B196" s="41">
        <v>1080</v>
      </c>
      <c r="C196" s="43">
        <v>0.63</v>
      </c>
      <c r="D196" s="41" t="s">
        <v>40</v>
      </c>
      <c r="E196" s="44" t="s">
        <v>41</v>
      </c>
      <c r="F196" s="41">
        <v>3937</v>
      </c>
      <c r="G196" s="74">
        <v>1.6830000000000001</v>
      </c>
      <c r="H196" s="46">
        <f t="shared" si="52"/>
        <v>22.09</v>
      </c>
      <c r="I196" s="89">
        <f t="shared" si="51"/>
        <v>6625.97</v>
      </c>
      <c r="J196" s="89"/>
      <c r="K196" s="43">
        <v>0.10000000000000009</v>
      </c>
      <c r="N196" s="77"/>
    </row>
    <row r="197" spans="1:14" ht="15" customHeight="1">
      <c r="A197" s="41" t="s">
        <v>39</v>
      </c>
      <c r="B197" s="41">
        <v>1080</v>
      </c>
      <c r="C197" s="43">
        <v>0.65</v>
      </c>
      <c r="D197" s="41" t="s">
        <v>40</v>
      </c>
      <c r="E197" s="44" t="s">
        <v>41</v>
      </c>
      <c r="F197" s="41">
        <v>3937</v>
      </c>
      <c r="G197" s="74">
        <v>1.7110000000000001</v>
      </c>
      <c r="H197" s="46">
        <f t="shared" si="52"/>
        <v>22.46</v>
      </c>
      <c r="I197" s="89">
        <f t="shared" si="51"/>
        <v>6736.21</v>
      </c>
      <c r="J197" s="89"/>
      <c r="K197" s="43">
        <v>0.13011889035667101</v>
      </c>
      <c r="N197" s="77"/>
    </row>
    <row r="198" spans="1:14" ht="15" customHeight="1">
      <c r="A198" s="41" t="s">
        <v>39</v>
      </c>
      <c r="B198" s="41">
        <v>1080</v>
      </c>
      <c r="C198" s="43">
        <v>0.67</v>
      </c>
      <c r="D198" s="41" t="s">
        <v>40</v>
      </c>
      <c r="E198" s="44" t="s">
        <v>41</v>
      </c>
      <c r="F198" s="41">
        <v>3937</v>
      </c>
      <c r="G198" s="74">
        <v>1.7130000000000001</v>
      </c>
      <c r="H198" s="46">
        <f t="shared" si="52"/>
        <v>22.48</v>
      </c>
      <c r="I198" s="89">
        <f t="shared" si="51"/>
        <v>6744.08</v>
      </c>
      <c r="J198" s="89"/>
      <c r="K198" s="43">
        <v>0.12994722955145122</v>
      </c>
      <c r="N198" s="77"/>
    </row>
    <row r="199" spans="1:14" ht="15" customHeight="1">
      <c r="A199" s="41" t="s">
        <v>39</v>
      </c>
      <c r="B199" s="41">
        <v>1080</v>
      </c>
      <c r="C199" s="43">
        <v>0.68</v>
      </c>
      <c r="D199" s="41" t="s">
        <v>40</v>
      </c>
      <c r="E199" s="44" t="s">
        <v>41</v>
      </c>
      <c r="F199" s="41">
        <v>3937</v>
      </c>
      <c r="G199" s="74">
        <v>1.7130000000000001</v>
      </c>
      <c r="H199" s="46">
        <f t="shared" si="52"/>
        <v>22.48</v>
      </c>
      <c r="I199" s="89">
        <f t="shared" si="51"/>
        <v>6744.08</v>
      </c>
      <c r="J199" s="89"/>
      <c r="K199" s="43">
        <v>0.12994722955145122</v>
      </c>
      <c r="N199" s="77"/>
    </row>
    <row r="200" spans="1:14" ht="14.4" customHeight="1">
      <c r="A200" s="41" t="s">
        <v>39</v>
      </c>
      <c r="B200" s="41">
        <v>1080</v>
      </c>
      <c r="C200" s="43">
        <v>0.7</v>
      </c>
      <c r="D200" s="41" t="s">
        <v>40</v>
      </c>
      <c r="E200" s="44" t="s">
        <v>41</v>
      </c>
      <c r="F200" s="41">
        <v>3937</v>
      </c>
      <c r="G200" s="74">
        <v>1.7949999999999999</v>
      </c>
      <c r="H200" s="46">
        <f t="shared" si="52"/>
        <v>23.56</v>
      </c>
      <c r="I200" s="89">
        <f t="shared" si="51"/>
        <v>7066.92</v>
      </c>
      <c r="J200" s="89"/>
      <c r="K200" s="43">
        <v>9.9877450980392135E-2</v>
      </c>
      <c r="N200" s="77"/>
    </row>
    <row r="201" spans="1:14" ht="15" customHeight="1">
      <c r="A201" s="41" t="s">
        <v>39</v>
      </c>
      <c r="B201" s="41">
        <v>1080</v>
      </c>
      <c r="C201" s="43">
        <v>0.71</v>
      </c>
      <c r="D201" s="41" t="s">
        <v>40</v>
      </c>
      <c r="E201" s="44" t="s">
        <v>41</v>
      </c>
      <c r="F201" s="41">
        <v>3937</v>
      </c>
      <c r="G201" s="74">
        <v>1.85</v>
      </c>
      <c r="H201" s="46">
        <f t="shared" si="52"/>
        <v>24.28</v>
      </c>
      <c r="I201" s="89">
        <f t="shared" si="51"/>
        <v>7283.45</v>
      </c>
      <c r="J201" s="89"/>
      <c r="K201" s="43">
        <v>9.988109393579081E-2</v>
      </c>
      <c r="N201" s="77"/>
    </row>
    <row r="202" spans="1:14" ht="15" customHeight="1">
      <c r="A202" s="41" t="s">
        <v>39</v>
      </c>
      <c r="B202" s="41" t="s">
        <v>42</v>
      </c>
      <c r="C202" s="43">
        <v>0.55000000000000004</v>
      </c>
      <c r="D202" s="41" t="s">
        <v>40</v>
      </c>
      <c r="E202" s="44" t="s">
        <v>41</v>
      </c>
      <c r="F202" s="41">
        <v>3937</v>
      </c>
      <c r="G202" s="74">
        <v>1.825</v>
      </c>
      <c r="H202" s="46">
        <f t="shared" si="52"/>
        <v>23.95</v>
      </c>
      <c r="I202" s="89">
        <f t="shared" si="51"/>
        <v>7185.03</v>
      </c>
      <c r="J202" s="89"/>
      <c r="K202" s="43">
        <v>0.10006027727546707</v>
      </c>
      <c r="N202" s="77"/>
    </row>
    <row r="203" spans="1:14" ht="15" customHeight="1">
      <c r="A203" s="41" t="s">
        <v>39</v>
      </c>
      <c r="B203" s="41" t="s">
        <v>42</v>
      </c>
      <c r="C203" s="43">
        <v>0.56000000000000005</v>
      </c>
      <c r="D203" s="41" t="s">
        <v>40</v>
      </c>
      <c r="E203" s="44" t="s">
        <v>41</v>
      </c>
      <c r="F203" s="41">
        <v>3937</v>
      </c>
      <c r="G203" s="74">
        <v>1.8979999999999999</v>
      </c>
      <c r="H203" s="46">
        <f t="shared" si="52"/>
        <v>24.91</v>
      </c>
      <c r="I203" s="89">
        <f t="shared" si="51"/>
        <v>7472.43</v>
      </c>
      <c r="J203" s="89"/>
      <c r="K203" s="43">
        <v>0.10028985507246357</v>
      </c>
      <c r="N203" s="77"/>
    </row>
    <row r="204" spans="1:14" ht="15" customHeight="1">
      <c r="A204" s="41" t="s">
        <v>39</v>
      </c>
      <c r="B204" s="41" t="s">
        <v>42</v>
      </c>
      <c r="C204" s="43">
        <v>0.57999999999999996</v>
      </c>
      <c r="D204" s="41" t="s">
        <v>40</v>
      </c>
      <c r="E204" s="44" t="s">
        <v>41</v>
      </c>
      <c r="F204" s="41">
        <v>3937</v>
      </c>
      <c r="G204" s="74">
        <v>1.923</v>
      </c>
      <c r="H204" s="46">
        <f t="shared" si="52"/>
        <v>25.24</v>
      </c>
      <c r="I204" s="89">
        <f t="shared" si="51"/>
        <v>7570.85</v>
      </c>
      <c r="J204" s="89"/>
      <c r="K204" s="43">
        <v>0.10011441647597263</v>
      </c>
      <c r="N204" s="77"/>
    </row>
    <row r="205" spans="1:14" ht="15" customHeight="1">
      <c r="A205" s="41" t="s">
        <v>39</v>
      </c>
      <c r="B205" s="41" t="s">
        <v>42</v>
      </c>
      <c r="C205" s="43">
        <v>0.59</v>
      </c>
      <c r="D205" s="41" t="s">
        <v>40</v>
      </c>
      <c r="E205" s="44" t="s">
        <v>41</v>
      </c>
      <c r="F205" s="41">
        <v>3937</v>
      </c>
      <c r="G205" s="74">
        <v>1.9530000000000001</v>
      </c>
      <c r="H205" s="46">
        <f t="shared" si="52"/>
        <v>25.63</v>
      </c>
      <c r="I205" s="89">
        <f t="shared" si="51"/>
        <v>7688.96</v>
      </c>
      <c r="J205" s="89"/>
      <c r="K205" s="43">
        <v>0.1002816901408452</v>
      </c>
      <c r="N205" s="77"/>
    </row>
    <row r="206" spans="1:14" ht="15" customHeight="1">
      <c r="A206" s="41" t="s">
        <v>39</v>
      </c>
      <c r="B206" s="41" t="s">
        <v>42</v>
      </c>
      <c r="C206" s="43">
        <v>0.6</v>
      </c>
      <c r="D206" s="41" t="s">
        <v>40</v>
      </c>
      <c r="E206" s="44" t="s">
        <v>41</v>
      </c>
      <c r="F206" s="41">
        <v>3937</v>
      </c>
      <c r="G206" s="74">
        <v>1.96</v>
      </c>
      <c r="H206" s="46">
        <f t="shared" si="52"/>
        <v>25.72</v>
      </c>
      <c r="I206" s="89">
        <f t="shared" si="51"/>
        <v>7716.52</v>
      </c>
      <c r="J206" s="89"/>
      <c r="K206" s="43">
        <v>9.9887766554433099E-2</v>
      </c>
      <c r="N206" s="77"/>
    </row>
    <row r="207" spans="1:14" ht="15" customHeight="1">
      <c r="A207" s="41" t="s">
        <v>39</v>
      </c>
      <c r="B207" s="41">
        <v>2116</v>
      </c>
      <c r="C207" s="43">
        <v>0.52</v>
      </c>
      <c r="D207" s="41" t="s">
        <v>43</v>
      </c>
      <c r="E207" s="44" t="s">
        <v>41</v>
      </c>
      <c r="F207" s="42">
        <v>2624.6</v>
      </c>
      <c r="G207" s="74">
        <v>1.6639999999999999</v>
      </c>
      <c r="H207" s="46">
        <f t="shared" si="52"/>
        <v>21.84</v>
      </c>
      <c r="I207" s="89">
        <f t="shared" si="51"/>
        <v>4367.33</v>
      </c>
      <c r="J207" s="89"/>
      <c r="K207" s="43">
        <v>9.980171844018515E-2</v>
      </c>
      <c r="N207" s="77"/>
    </row>
    <row r="208" spans="1:14" ht="15" customHeight="1">
      <c r="A208" s="41" t="s">
        <v>39</v>
      </c>
      <c r="B208" s="41">
        <v>2116</v>
      </c>
      <c r="C208" s="43">
        <v>0.53</v>
      </c>
      <c r="D208" s="41" t="s">
        <v>43</v>
      </c>
      <c r="E208" s="44" t="s">
        <v>41</v>
      </c>
      <c r="F208" s="42">
        <v>2624.6</v>
      </c>
      <c r="G208" s="74">
        <v>1.6639999999999999</v>
      </c>
      <c r="H208" s="46">
        <f t="shared" si="52"/>
        <v>21.84</v>
      </c>
      <c r="I208" s="89">
        <f t="shared" si="51"/>
        <v>4367.33</v>
      </c>
      <c r="J208" s="89"/>
      <c r="K208" s="43">
        <v>9.980171844018515E-2</v>
      </c>
      <c r="N208" s="77"/>
    </row>
    <row r="209" spans="1:14" ht="15" customHeight="1">
      <c r="A209" s="41" t="s">
        <v>39</v>
      </c>
      <c r="B209" s="41">
        <v>2116</v>
      </c>
      <c r="C209" s="43">
        <v>0.54</v>
      </c>
      <c r="D209" s="41" t="s">
        <v>43</v>
      </c>
      <c r="E209" s="44" t="s">
        <v>41</v>
      </c>
      <c r="F209" s="42">
        <v>2624.6</v>
      </c>
      <c r="G209" s="74">
        <v>1.7270000000000001</v>
      </c>
      <c r="H209" s="46">
        <f t="shared" si="52"/>
        <v>22.67</v>
      </c>
      <c r="I209" s="89">
        <f t="shared" si="51"/>
        <v>4532.68</v>
      </c>
      <c r="J209" s="89"/>
      <c r="K209" s="43">
        <v>0.10000000000000009</v>
      </c>
      <c r="N209" s="77"/>
    </row>
    <row r="210" spans="1:14" ht="15" customHeight="1">
      <c r="A210" s="41" t="s">
        <v>39</v>
      </c>
      <c r="B210" s="41">
        <v>2116</v>
      </c>
      <c r="C210" s="43">
        <v>0.55000000000000004</v>
      </c>
      <c r="D210" s="41" t="s">
        <v>43</v>
      </c>
      <c r="E210" s="44" t="s">
        <v>41</v>
      </c>
      <c r="F210" s="42">
        <v>2624.6</v>
      </c>
      <c r="G210" s="74">
        <v>1.736</v>
      </c>
      <c r="H210" s="46">
        <f t="shared" si="52"/>
        <v>22.78</v>
      </c>
      <c r="I210" s="89">
        <f t="shared" si="51"/>
        <v>4556.3100000000004</v>
      </c>
      <c r="J210" s="89"/>
      <c r="K210" s="43">
        <v>0.10012674271229405</v>
      </c>
      <c r="N210" s="77"/>
    </row>
    <row r="211" spans="1:14" ht="15" customHeight="1">
      <c r="A211" s="41" t="s">
        <v>39</v>
      </c>
      <c r="B211" s="41">
        <v>2116</v>
      </c>
      <c r="C211" s="43">
        <v>0.56000000000000005</v>
      </c>
      <c r="D211" s="41" t="s">
        <v>43</v>
      </c>
      <c r="E211" s="44" t="s">
        <v>41</v>
      </c>
      <c r="F211" s="42">
        <v>2624.6</v>
      </c>
      <c r="G211" s="74">
        <v>1.702</v>
      </c>
      <c r="H211" s="46">
        <f t="shared" si="52"/>
        <v>22.34</v>
      </c>
      <c r="I211" s="89">
        <f t="shared" si="51"/>
        <v>4467.07</v>
      </c>
      <c r="J211" s="89"/>
      <c r="K211" s="43">
        <v>0.14999999999999991</v>
      </c>
      <c r="N211" s="77"/>
    </row>
    <row r="212" spans="1:14" ht="15" customHeight="1">
      <c r="A212" s="41" t="s">
        <v>39</v>
      </c>
      <c r="B212" s="41">
        <v>2116</v>
      </c>
      <c r="C212" s="43">
        <v>0.57999999999999996</v>
      </c>
      <c r="D212" s="41" t="s">
        <v>43</v>
      </c>
      <c r="E212" s="44" t="s">
        <v>41</v>
      </c>
      <c r="F212" s="42">
        <v>2624.6</v>
      </c>
      <c r="G212" s="74">
        <v>1.74</v>
      </c>
      <c r="H212" s="46">
        <f t="shared" si="52"/>
        <v>22.84</v>
      </c>
      <c r="I212" s="89">
        <f t="shared" si="51"/>
        <v>4566.8</v>
      </c>
      <c r="J212" s="89"/>
      <c r="K212" s="43">
        <v>0.15003304692663599</v>
      </c>
      <c r="N212" s="77"/>
    </row>
    <row r="213" spans="1:14" ht="15" customHeight="1">
      <c r="A213" s="41" t="s">
        <v>39</v>
      </c>
      <c r="B213" s="41">
        <v>2116</v>
      </c>
      <c r="C213" s="43">
        <v>0.59</v>
      </c>
      <c r="D213" s="41" t="s">
        <v>43</v>
      </c>
      <c r="E213" s="44" t="s">
        <v>41</v>
      </c>
      <c r="F213" s="42">
        <v>2624.6</v>
      </c>
      <c r="G213" s="74">
        <v>1.7669999999999999</v>
      </c>
      <c r="H213" s="46">
        <f t="shared" si="52"/>
        <v>23.19</v>
      </c>
      <c r="I213" s="89">
        <f t="shared" si="51"/>
        <v>4637.67</v>
      </c>
      <c r="J213" s="89"/>
      <c r="K213" s="43">
        <v>0.10024906600249062</v>
      </c>
      <c r="N213" s="77"/>
    </row>
    <row r="214" spans="1:14" ht="15" customHeight="1">
      <c r="A214" s="41" t="s">
        <v>39</v>
      </c>
      <c r="B214" s="41">
        <v>2116</v>
      </c>
      <c r="C214" s="43">
        <v>0.6</v>
      </c>
      <c r="D214" s="41" t="s">
        <v>43</v>
      </c>
      <c r="E214" s="44" t="s">
        <v>41</v>
      </c>
      <c r="F214" s="42">
        <v>2624.6</v>
      </c>
      <c r="G214" s="74">
        <v>1.78</v>
      </c>
      <c r="H214" s="46">
        <f t="shared" si="52"/>
        <v>23.36</v>
      </c>
      <c r="I214" s="89">
        <f t="shared" si="51"/>
        <v>4671.79</v>
      </c>
      <c r="J214" s="89"/>
      <c r="K214" s="43">
        <v>0.10012360939431386</v>
      </c>
      <c r="N214" s="77"/>
    </row>
    <row r="215" spans="1:14" ht="15" customHeight="1">
      <c r="A215" s="41" t="s">
        <v>39</v>
      </c>
      <c r="B215" s="41">
        <v>1506</v>
      </c>
      <c r="C215" s="43">
        <v>0.46</v>
      </c>
      <c r="D215" s="41" t="s">
        <v>44</v>
      </c>
      <c r="E215" s="44" t="s">
        <v>41</v>
      </c>
      <c r="F215" s="42">
        <v>1968.5</v>
      </c>
      <c r="G215" s="74">
        <v>1.8280000000000001</v>
      </c>
      <c r="H215" s="46">
        <f t="shared" si="52"/>
        <v>23.99</v>
      </c>
      <c r="I215" s="89">
        <f t="shared" si="51"/>
        <v>3598.42</v>
      </c>
      <c r="J215" s="89"/>
      <c r="K215" s="43">
        <v>9.9879663056558377E-2</v>
      </c>
      <c r="N215" s="77"/>
    </row>
    <row r="216" spans="1:14" ht="15" customHeight="1">
      <c r="A216" s="41" t="s">
        <v>39</v>
      </c>
      <c r="B216" s="41">
        <v>1506</v>
      </c>
      <c r="C216" s="43">
        <v>0.48</v>
      </c>
      <c r="D216" s="41" t="s">
        <v>44</v>
      </c>
      <c r="E216" s="44" t="s">
        <v>41</v>
      </c>
      <c r="F216" s="42">
        <v>1968.5</v>
      </c>
      <c r="G216" s="74">
        <v>1.909</v>
      </c>
      <c r="H216" s="46">
        <f t="shared" si="52"/>
        <v>25.05</v>
      </c>
      <c r="I216" s="89">
        <f t="shared" si="51"/>
        <v>3757.87</v>
      </c>
      <c r="J216" s="89"/>
      <c r="K216" s="43">
        <v>0.10028818443804033</v>
      </c>
      <c r="N216" s="77"/>
    </row>
    <row r="217" spans="1:14" ht="15" customHeight="1">
      <c r="A217" s="41" t="s">
        <v>39</v>
      </c>
      <c r="B217" s="41">
        <v>1506</v>
      </c>
      <c r="C217" s="43">
        <v>0.5</v>
      </c>
      <c r="D217" s="41" t="s">
        <v>44</v>
      </c>
      <c r="E217" s="44" t="s">
        <v>41</v>
      </c>
      <c r="F217" s="42">
        <v>1968.5</v>
      </c>
      <c r="G217" s="74">
        <v>1.9670000000000001</v>
      </c>
      <c r="H217" s="46">
        <f t="shared" si="52"/>
        <v>25.81</v>
      </c>
      <c r="I217" s="89">
        <f t="shared" si="51"/>
        <v>3872.04</v>
      </c>
      <c r="J217" s="89"/>
      <c r="K217" s="43">
        <v>0.10011185682326618</v>
      </c>
      <c r="N217" s="77"/>
    </row>
    <row r="218" spans="1:14" ht="15" customHeight="1">
      <c r="A218" s="41" t="s">
        <v>39</v>
      </c>
      <c r="B218" s="41">
        <v>1506</v>
      </c>
      <c r="C218" s="43">
        <v>0.52</v>
      </c>
      <c r="D218" s="41" t="s">
        <v>44</v>
      </c>
      <c r="E218" s="44" t="s">
        <v>41</v>
      </c>
      <c r="F218" s="42">
        <v>1968.5</v>
      </c>
      <c r="G218" s="74">
        <v>2.008</v>
      </c>
      <c r="H218" s="46">
        <f t="shared" si="52"/>
        <v>26.35</v>
      </c>
      <c r="I218" s="89">
        <f t="shared" si="51"/>
        <v>3952.75</v>
      </c>
      <c r="J218" s="89"/>
      <c r="K218" s="43">
        <v>0.10027397260273974</v>
      </c>
      <c r="N218" s="77"/>
    </row>
    <row r="219" spans="1:14" ht="15" customHeight="1">
      <c r="A219" s="41" t="s">
        <v>39</v>
      </c>
      <c r="B219" s="41">
        <v>7628</v>
      </c>
      <c r="C219" s="43">
        <v>0.44</v>
      </c>
      <c r="D219" s="41" t="s">
        <v>44</v>
      </c>
      <c r="E219" s="44" t="s">
        <v>41</v>
      </c>
      <c r="F219" s="42">
        <v>1968.5</v>
      </c>
      <c r="G219" s="74">
        <v>1.67</v>
      </c>
      <c r="H219" s="46">
        <f t="shared" si="52"/>
        <v>21.92</v>
      </c>
      <c r="I219" s="89">
        <f t="shared" si="51"/>
        <v>3287.4</v>
      </c>
      <c r="J219" s="89"/>
      <c r="K219" s="43">
        <v>0.10013175230566529</v>
      </c>
      <c r="N219" s="77"/>
    </row>
    <row r="220" spans="1:14" ht="15" customHeight="1">
      <c r="A220" s="41" t="s">
        <v>39</v>
      </c>
      <c r="B220" s="41">
        <v>7628</v>
      </c>
      <c r="C220" s="43">
        <v>0.46</v>
      </c>
      <c r="D220" s="41" t="s">
        <v>44</v>
      </c>
      <c r="E220" s="44" t="s">
        <v>41</v>
      </c>
      <c r="F220" s="42">
        <v>1968.5</v>
      </c>
      <c r="G220" s="74">
        <v>1.6950000000000001</v>
      </c>
      <c r="H220" s="46">
        <f t="shared" si="52"/>
        <v>22.25</v>
      </c>
      <c r="I220" s="89">
        <f t="shared" si="51"/>
        <v>3336.61</v>
      </c>
      <c r="J220" s="89"/>
      <c r="K220" s="43">
        <v>9.9935107073329199E-2</v>
      </c>
      <c r="N220" s="77"/>
    </row>
    <row r="221" spans="1:14" ht="15" customHeight="1">
      <c r="A221" s="41" t="s">
        <v>39</v>
      </c>
      <c r="B221" s="41">
        <v>7628</v>
      </c>
      <c r="C221" s="43">
        <v>0.48</v>
      </c>
      <c r="D221" s="41" t="s">
        <v>44</v>
      </c>
      <c r="E221" s="44" t="s">
        <v>41</v>
      </c>
      <c r="F221" s="42">
        <v>1968.5</v>
      </c>
      <c r="G221" s="74">
        <v>1.6859999999999999</v>
      </c>
      <c r="H221" s="46">
        <f t="shared" si="52"/>
        <v>22.13</v>
      </c>
      <c r="I221" s="89">
        <f t="shared" si="51"/>
        <v>3318.89</v>
      </c>
      <c r="J221" s="89"/>
      <c r="K221" s="43">
        <v>9.9804305283757389E-2</v>
      </c>
      <c r="N221" s="77"/>
    </row>
    <row r="222" spans="1:14" ht="15" customHeight="1">
      <c r="A222" s="41" t="s">
        <v>39</v>
      </c>
      <c r="B222" s="41">
        <v>7628</v>
      </c>
      <c r="C222" s="43">
        <v>0.5</v>
      </c>
      <c r="D222" s="41" t="s">
        <v>44</v>
      </c>
      <c r="E222" s="44" t="s">
        <v>41</v>
      </c>
      <c r="F222" s="42">
        <v>1968.5</v>
      </c>
      <c r="G222" s="74">
        <v>1.752</v>
      </c>
      <c r="H222" s="46">
        <f t="shared" si="52"/>
        <v>22.99</v>
      </c>
      <c r="I222" s="89">
        <f t="shared" si="51"/>
        <v>3448.81</v>
      </c>
      <c r="J222" s="89"/>
      <c r="K222" s="43">
        <v>9.9811676082862455E-2</v>
      </c>
      <c r="N222" s="77"/>
    </row>
    <row r="223" spans="1:14" ht="15" customHeight="1">
      <c r="A223" s="41" t="s">
        <v>39</v>
      </c>
      <c r="B223" s="41">
        <v>7628</v>
      </c>
      <c r="C223" s="43">
        <v>0.52</v>
      </c>
      <c r="D223" s="41" t="s">
        <v>44</v>
      </c>
      <c r="E223" s="44" t="s">
        <v>41</v>
      </c>
      <c r="F223" s="42">
        <v>1968.5</v>
      </c>
      <c r="G223" s="74">
        <v>1.839</v>
      </c>
      <c r="H223" s="46">
        <f t="shared" si="52"/>
        <v>24.14</v>
      </c>
      <c r="I223" s="89">
        <f t="shared" si="51"/>
        <v>3620.07</v>
      </c>
      <c r="J223" s="89"/>
      <c r="K223" s="43">
        <v>9.9880382775119569E-2</v>
      </c>
      <c r="N223" s="77"/>
    </row>
    <row r="224" spans="1:14">
      <c r="G224" s="47"/>
    </row>
    <row r="225" spans="1:11" ht="15.6">
      <c r="A225" s="35" t="s">
        <v>45</v>
      </c>
      <c r="B225" s="35"/>
      <c r="C225" s="48"/>
      <c r="D225" s="48"/>
      <c r="E225" s="48"/>
      <c r="F225" s="48"/>
      <c r="G225" s="48"/>
      <c r="H225" s="48"/>
      <c r="I225" s="49"/>
      <c r="J225" s="50"/>
    </row>
    <row r="226" spans="1:11" ht="15.6">
      <c r="A226" s="48" t="s">
        <v>46</v>
      </c>
      <c r="B226" s="48"/>
      <c r="C226" s="48"/>
      <c r="D226" s="48"/>
      <c r="E226" s="48"/>
      <c r="F226" s="48"/>
      <c r="G226" s="48"/>
      <c r="H226" s="48"/>
      <c r="I226" s="49"/>
      <c r="J226" s="50"/>
    </row>
    <row r="227" spans="1:11" ht="15.6">
      <c r="A227" s="51" t="s">
        <v>47</v>
      </c>
      <c r="B227" s="51"/>
      <c r="C227" s="48"/>
      <c r="D227" s="48"/>
      <c r="E227" s="48"/>
      <c r="F227" s="48"/>
      <c r="G227" s="48"/>
      <c r="H227" s="48"/>
      <c r="I227" s="49"/>
      <c r="J227" s="50"/>
    </row>
    <row r="228" spans="1:11" ht="15.6">
      <c r="A228" s="51" t="s">
        <v>48</v>
      </c>
      <c r="B228" s="51"/>
      <c r="C228" s="48"/>
      <c r="D228" s="48"/>
      <c r="E228" s="48"/>
      <c r="F228" s="48"/>
      <c r="G228" s="48"/>
      <c r="H228" s="48"/>
      <c r="I228" s="49"/>
      <c r="J228" s="50"/>
    </row>
    <row r="229" spans="1:11" ht="15.6">
      <c r="A229" s="51" t="s">
        <v>49</v>
      </c>
      <c r="B229" s="51"/>
      <c r="C229" s="48"/>
      <c r="D229" s="48"/>
      <c r="E229" s="48"/>
      <c r="F229" s="48"/>
      <c r="G229" s="48"/>
      <c r="H229" s="48"/>
      <c r="I229" s="49"/>
      <c r="J229" s="50"/>
    </row>
    <row r="230" spans="1:11" ht="15.6">
      <c r="A230" s="52" t="s">
        <v>50</v>
      </c>
      <c r="B230" s="52"/>
      <c r="C230" s="48"/>
      <c r="D230" s="48"/>
      <c r="E230" s="48"/>
      <c r="F230" s="48"/>
      <c r="G230" s="48"/>
      <c r="H230" s="48"/>
      <c r="I230" s="49"/>
      <c r="J230" s="50"/>
    </row>
    <row r="231" spans="1:11" ht="15.6">
      <c r="A231" s="25" t="s">
        <v>78</v>
      </c>
      <c r="B231" s="25"/>
      <c r="C231" s="21"/>
      <c r="D231" s="21"/>
      <c r="E231" s="21"/>
      <c r="F231" s="21"/>
      <c r="G231" s="21"/>
      <c r="H231" s="21"/>
      <c r="I231" s="22"/>
      <c r="J231" s="23"/>
    </row>
    <row r="232" spans="1:11" ht="14.4">
      <c r="A232" s="53" t="s">
        <v>51</v>
      </c>
      <c r="B232" s="53"/>
      <c r="C232" s="54"/>
      <c r="D232" s="54"/>
      <c r="E232" s="54"/>
      <c r="F232" s="54"/>
      <c r="G232" s="54"/>
      <c r="H232" s="54"/>
      <c r="I232" s="54"/>
    </row>
    <row r="233" spans="1:11" ht="14.4">
      <c r="A233" s="53"/>
      <c r="B233" s="53"/>
      <c r="C233" s="54"/>
      <c r="D233" s="54"/>
      <c r="E233" s="54"/>
      <c r="F233" s="54"/>
      <c r="G233" s="54"/>
      <c r="H233" s="54"/>
      <c r="I233" s="54"/>
    </row>
    <row r="234" spans="1:11" ht="15.6">
      <c r="A234" s="55" t="s">
        <v>52</v>
      </c>
      <c r="B234" s="55"/>
      <c r="C234" s="55"/>
      <c r="D234" s="56"/>
      <c r="E234" s="56"/>
      <c r="F234" s="56"/>
      <c r="G234" s="56"/>
      <c r="H234" s="55" t="s">
        <v>53</v>
      </c>
      <c r="I234" s="56"/>
      <c r="J234" s="57"/>
      <c r="K234" s="58"/>
    </row>
    <row r="235" spans="1:11" ht="15">
      <c r="A235" s="56"/>
      <c r="B235" s="56"/>
      <c r="C235" s="56"/>
      <c r="D235" s="56"/>
      <c r="E235" s="56"/>
      <c r="F235" s="59"/>
      <c r="G235" s="59"/>
      <c r="H235" s="58"/>
      <c r="I235" s="58"/>
      <c r="J235" s="58"/>
      <c r="K235" s="58"/>
    </row>
  </sheetData>
  <mergeCells count="46">
    <mergeCell ref="C1:K1"/>
    <mergeCell ref="A2:K2"/>
    <mergeCell ref="A3:K3"/>
    <mergeCell ref="A4:K4"/>
    <mergeCell ref="A5:K5"/>
    <mergeCell ref="A11:K11"/>
    <mergeCell ref="A184:K184"/>
    <mergeCell ref="A185:K185"/>
    <mergeCell ref="I186:J186"/>
    <mergeCell ref="I189:J189"/>
    <mergeCell ref="I187:J187"/>
    <mergeCell ref="I188:J188"/>
    <mergeCell ref="I190:J190"/>
    <mergeCell ref="I195:J195"/>
    <mergeCell ref="I196:J196"/>
    <mergeCell ref="I197:J197"/>
    <mergeCell ref="I198:J198"/>
    <mergeCell ref="I191:J191"/>
    <mergeCell ref="I192:J192"/>
    <mergeCell ref="I193:J193"/>
    <mergeCell ref="I194:J194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</mergeCells>
  <phoneticPr fontId="18" type="noConversion"/>
  <pageMargins left="0.25" right="0.25" top="0.75" bottom="0.75" header="0.3" footer="0.3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48"/>
  <sheetViews>
    <sheetView topLeftCell="A4" workbookViewId="0">
      <selection activeCell="Q17" sqref="Q17"/>
    </sheetView>
  </sheetViews>
  <sheetFormatPr defaultColWidth="9" defaultRowHeight="13.8"/>
  <cols>
    <col min="1" max="3" width="8.09765625" style="1" customWidth="1"/>
    <col min="4" max="4" width="8.09765625" style="2" customWidth="1"/>
    <col min="5" max="11" width="8.09765625" style="1" customWidth="1"/>
    <col min="12" max="15" width="8.796875" style="1"/>
    <col min="16" max="16" width="12.69921875" style="1" bestFit="1" customWidth="1"/>
    <col min="17" max="16378" width="8.796875" style="1"/>
    <col min="16379" max="16384" width="9" style="1"/>
  </cols>
  <sheetData>
    <row r="1" spans="1:11" ht="16.350000000000001" customHeight="1">
      <c r="A1" s="3"/>
      <c r="B1" s="3"/>
      <c r="C1" s="105"/>
      <c r="D1" s="105"/>
      <c r="E1" s="105"/>
      <c r="F1" s="105"/>
      <c r="G1" s="105"/>
      <c r="H1" s="105"/>
      <c r="I1" s="105"/>
      <c r="J1" s="105"/>
      <c r="K1" s="105"/>
    </row>
    <row r="2" spans="1:11" ht="74.400000000000006" customHeigh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21" customHeight="1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1" ht="15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1" ht="15" customHeight="1">
      <c r="A6" s="4" t="s">
        <v>3</v>
      </c>
      <c r="B6" s="4" t="s">
        <v>4</v>
      </c>
      <c r="C6" s="3"/>
      <c r="D6" s="5"/>
      <c r="E6" s="5"/>
      <c r="F6" s="5"/>
      <c r="G6" s="5"/>
      <c r="H6" s="5"/>
      <c r="I6" s="4" t="s">
        <v>5</v>
      </c>
      <c r="J6" s="4"/>
      <c r="K6" s="6"/>
    </row>
    <row r="7" spans="1:11" ht="15" customHeight="1">
      <c r="A7" s="4"/>
      <c r="B7" s="4" t="s">
        <v>6</v>
      </c>
      <c r="C7" s="3"/>
      <c r="D7" s="5"/>
      <c r="E7" s="5"/>
      <c r="F7" s="5"/>
      <c r="G7" s="5"/>
      <c r="H7" s="5"/>
      <c r="I7" s="7" t="s">
        <v>7</v>
      </c>
      <c r="J7" s="7"/>
      <c r="K7" s="7"/>
    </row>
    <row r="8" spans="1:11" ht="15" customHeight="1">
      <c r="A8" s="4" t="s">
        <v>8</v>
      </c>
      <c r="B8" s="4" t="s">
        <v>9</v>
      </c>
      <c r="C8" s="3"/>
      <c r="D8" s="5"/>
      <c r="E8" s="5"/>
      <c r="F8" s="5"/>
      <c r="G8" s="5"/>
      <c r="H8" s="5"/>
      <c r="I8" s="38" t="s">
        <v>80</v>
      </c>
      <c r="J8" s="38"/>
      <c r="K8" s="39"/>
    </row>
    <row r="9" spans="1:11" ht="15" customHeight="1">
      <c r="A9" s="4"/>
      <c r="B9" s="4" t="s">
        <v>10</v>
      </c>
      <c r="C9" s="3"/>
      <c r="D9" s="5"/>
      <c r="E9" s="5"/>
      <c r="F9" s="5"/>
      <c r="G9" s="5"/>
      <c r="H9" s="5"/>
      <c r="I9" s="8" t="s">
        <v>11</v>
      </c>
      <c r="J9" s="4"/>
      <c r="K9" s="6"/>
    </row>
    <row r="10" spans="1:11" ht="15" customHeight="1">
      <c r="A10" s="5"/>
      <c r="B10" s="5"/>
      <c r="C10" s="5"/>
      <c r="D10" s="5"/>
      <c r="E10" s="5"/>
      <c r="F10" s="5"/>
      <c r="G10" s="5"/>
      <c r="H10" s="5"/>
      <c r="I10" s="3"/>
      <c r="J10" s="3"/>
      <c r="K10" s="3"/>
    </row>
    <row r="11" spans="1:11" ht="28.2" customHeight="1">
      <c r="A11" s="102" t="s">
        <v>60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1" ht="22.8" customHeight="1">
      <c r="A12" s="79" t="s">
        <v>13</v>
      </c>
      <c r="B12" s="79" t="s">
        <v>14</v>
      </c>
      <c r="C12" s="79" t="s">
        <v>15</v>
      </c>
      <c r="D12" s="79" t="s">
        <v>16</v>
      </c>
      <c r="E12" s="79" t="s">
        <v>17</v>
      </c>
      <c r="F12" s="79" t="s">
        <v>18</v>
      </c>
      <c r="G12" s="79" t="s">
        <v>19</v>
      </c>
      <c r="H12" s="79" t="s">
        <v>20</v>
      </c>
      <c r="I12" s="84" t="s">
        <v>21</v>
      </c>
      <c r="J12" s="79" t="s">
        <v>22</v>
      </c>
      <c r="K12" s="79" t="s">
        <v>23</v>
      </c>
    </row>
    <row r="13" spans="1:11" ht="16.2" customHeight="1">
      <c r="A13" s="9" t="s">
        <v>61</v>
      </c>
      <c r="B13" s="10">
        <f>ROUND(C13*0.0254,3)</f>
        <v>2.3620000000000001</v>
      </c>
      <c r="C13" s="60">
        <v>93</v>
      </c>
      <c r="D13" s="60" t="s">
        <v>67</v>
      </c>
      <c r="E13" s="13" t="s">
        <v>26</v>
      </c>
      <c r="F13" s="60" t="s">
        <v>113</v>
      </c>
      <c r="G13" s="70">
        <v>28.266999999999999</v>
      </c>
      <c r="H13" s="15">
        <f>ROUND(G13*12,2)</f>
        <v>339.2</v>
      </c>
      <c r="I13" s="68">
        <f>ROUND(G13*13.33,2)</f>
        <v>376.8</v>
      </c>
      <c r="J13" s="15">
        <f>ROUND(G13*14,2)</f>
        <v>395.74</v>
      </c>
      <c r="K13" s="67"/>
    </row>
    <row r="14" spans="1:11" ht="16.8" customHeight="1">
      <c r="A14" s="9" t="s">
        <v>61</v>
      </c>
      <c r="B14" s="10">
        <f t="shared" ref="B14:B24" si="0">ROUND(C14*0.0254,3)</f>
        <v>7.5999999999999998E-2</v>
      </c>
      <c r="C14" s="69">
        <v>3</v>
      </c>
      <c r="D14" s="12" t="s">
        <v>65</v>
      </c>
      <c r="E14" s="13" t="s">
        <v>26</v>
      </c>
      <c r="F14" s="14" t="s">
        <v>81</v>
      </c>
      <c r="G14" s="70">
        <v>10.646000000000001</v>
      </c>
      <c r="H14" s="15">
        <f>ROUND(G14*12,2)</f>
        <v>127.75</v>
      </c>
      <c r="I14" s="68">
        <f>ROUND(G14*13.33,2)</f>
        <v>141.91</v>
      </c>
      <c r="J14" s="15">
        <f>ROUND(G14*14,2)</f>
        <v>149.04</v>
      </c>
      <c r="K14" s="67">
        <v>0.1</v>
      </c>
    </row>
    <row r="15" spans="1:11" ht="16.8" customHeight="1">
      <c r="A15" s="9" t="s">
        <v>76</v>
      </c>
      <c r="B15" s="10">
        <f t="shared" si="0"/>
        <v>0.20300000000000001</v>
      </c>
      <c r="C15" s="11">
        <v>8</v>
      </c>
      <c r="D15" s="12" t="s">
        <v>28</v>
      </c>
      <c r="E15" s="13" t="s">
        <v>26</v>
      </c>
      <c r="F15" s="14" t="s">
        <v>95</v>
      </c>
      <c r="G15" s="64">
        <v>12.065</v>
      </c>
      <c r="H15" s="15">
        <f>ROUND(G15*12,2)</f>
        <v>144.78</v>
      </c>
      <c r="I15" s="68">
        <f>ROUND(G15*13.33,2)</f>
        <v>160.83000000000001</v>
      </c>
      <c r="J15" s="15">
        <f>ROUND(G15*14,2)</f>
        <v>168.91</v>
      </c>
      <c r="K15" s="67">
        <v>0.1</v>
      </c>
    </row>
    <row r="16" spans="1:11" ht="16.8" customHeight="1">
      <c r="A16" s="9" t="s">
        <v>61</v>
      </c>
      <c r="B16" s="10">
        <f t="shared" si="0"/>
        <v>0.254</v>
      </c>
      <c r="C16" s="69">
        <v>10</v>
      </c>
      <c r="D16" s="12" t="s">
        <v>65</v>
      </c>
      <c r="E16" s="13" t="s">
        <v>26</v>
      </c>
      <c r="F16" s="14" t="s">
        <v>89</v>
      </c>
      <c r="G16" s="70">
        <v>13.023</v>
      </c>
      <c r="H16" s="15">
        <f t="shared" ref="H16:H22" si="1">ROUND(G16*12,2)</f>
        <v>156.28</v>
      </c>
      <c r="I16" s="68">
        <f t="shared" ref="I16:I22" si="2">ROUND(G16*13.33,2)</f>
        <v>173.6</v>
      </c>
      <c r="J16" s="15">
        <f t="shared" ref="J16:J22" si="3">ROUND(G16*14,2)</f>
        <v>182.32</v>
      </c>
      <c r="K16" s="67">
        <v>0.1</v>
      </c>
    </row>
    <row r="17" spans="1:13" ht="15" customHeight="1">
      <c r="A17" s="9" t="s">
        <v>61</v>
      </c>
      <c r="B17" s="10">
        <f t="shared" si="0"/>
        <v>7.5999999999999998E-2</v>
      </c>
      <c r="C17" s="72">
        <v>3</v>
      </c>
      <c r="D17" s="12" t="s">
        <v>68</v>
      </c>
      <c r="E17" s="13" t="s">
        <v>26</v>
      </c>
      <c r="F17" s="14" t="s">
        <v>81</v>
      </c>
      <c r="G17" s="64">
        <v>19.309999999999999</v>
      </c>
      <c r="H17" s="15">
        <f t="shared" si="1"/>
        <v>231.72</v>
      </c>
      <c r="I17" s="68">
        <f t="shared" si="2"/>
        <v>257.39999999999998</v>
      </c>
      <c r="J17" s="15">
        <f t="shared" si="3"/>
        <v>270.33999999999997</v>
      </c>
      <c r="K17" s="67">
        <v>0.1</v>
      </c>
    </row>
    <row r="18" spans="1:13" ht="15" customHeight="1">
      <c r="A18" s="9" t="s">
        <v>61</v>
      </c>
      <c r="B18" s="10">
        <f t="shared" si="0"/>
        <v>7.5999999999999998E-2</v>
      </c>
      <c r="C18" s="69">
        <v>3</v>
      </c>
      <c r="D18" s="12" t="s">
        <v>64</v>
      </c>
      <c r="E18" s="13" t="s">
        <v>26</v>
      </c>
      <c r="F18" s="14" t="s">
        <v>81</v>
      </c>
      <c r="G18" s="70">
        <v>21.119</v>
      </c>
      <c r="H18" s="15">
        <f t="shared" si="1"/>
        <v>253.43</v>
      </c>
      <c r="I18" s="68">
        <f t="shared" si="2"/>
        <v>281.52</v>
      </c>
      <c r="J18" s="15">
        <f t="shared" si="3"/>
        <v>295.67</v>
      </c>
      <c r="K18" s="67">
        <v>0.1</v>
      </c>
    </row>
    <row r="19" spans="1:13" ht="15" customHeight="1">
      <c r="A19" s="9" t="s">
        <v>61</v>
      </c>
      <c r="B19" s="10">
        <f t="shared" si="0"/>
        <v>0.10199999999999999</v>
      </c>
      <c r="C19" s="72">
        <v>4</v>
      </c>
      <c r="D19" s="12" t="s">
        <v>29</v>
      </c>
      <c r="E19" s="13" t="s">
        <v>26</v>
      </c>
      <c r="F19" s="14" t="s">
        <v>82</v>
      </c>
      <c r="G19" s="64">
        <v>21.545000000000002</v>
      </c>
      <c r="H19" s="15">
        <f t="shared" si="1"/>
        <v>258.54000000000002</v>
      </c>
      <c r="I19" s="68">
        <f t="shared" si="2"/>
        <v>287.19</v>
      </c>
      <c r="J19" s="15">
        <f t="shared" si="3"/>
        <v>301.63</v>
      </c>
      <c r="K19" s="67">
        <v>0.1</v>
      </c>
    </row>
    <row r="20" spans="1:13" ht="15" customHeight="1">
      <c r="A20" s="9" t="s">
        <v>76</v>
      </c>
      <c r="B20" s="10">
        <f t="shared" si="0"/>
        <v>0.254</v>
      </c>
      <c r="C20" s="69">
        <v>10</v>
      </c>
      <c r="D20" s="12" t="s">
        <v>64</v>
      </c>
      <c r="E20" s="13" t="s">
        <v>26</v>
      </c>
      <c r="F20" s="14" t="s">
        <v>89</v>
      </c>
      <c r="G20" s="70">
        <v>22.545000000000002</v>
      </c>
      <c r="H20" s="15">
        <f t="shared" si="1"/>
        <v>270.54000000000002</v>
      </c>
      <c r="I20" s="68">
        <f t="shared" si="2"/>
        <v>300.52</v>
      </c>
      <c r="J20" s="15">
        <f t="shared" si="3"/>
        <v>315.63</v>
      </c>
      <c r="K20" s="67">
        <v>0.1</v>
      </c>
    </row>
    <row r="21" spans="1:13" ht="15" customHeight="1">
      <c r="A21" s="9" t="s">
        <v>76</v>
      </c>
      <c r="B21" s="10">
        <f t="shared" ref="B21" si="4">ROUND(C21*0.0254,3)</f>
        <v>0.38100000000000001</v>
      </c>
      <c r="C21" s="69">
        <v>15</v>
      </c>
      <c r="D21" s="12" t="s">
        <v>64</v>
      </c>
      <c r="E21" s="13" t="s">
        <v>26</v>
      </c>
      <c r="F21" s="14" t="s">
        <v>100</v>
      </c>
      <c r="G21" s="70">
        <v>23.872</v>
      </c>
      <c r="H21" s="15">
        <f t="shared" ref="H21" si="5">ROUND(G21*12,2)</f>
        <v>286.45999999999998</v>
      </c>
      <c r="I21" s="68">
        <f t="shared" ref="I21" si="6">ROUND(G21*13.33,2)</f>
        <v>318.20999999999998</v>
      </c>
      <c r="J21" s="15">
        <f t="shared" ref="J21" si="7">ROUND(G21*14,2)</f>
        <v>334.21</v>
      </c>
      <c r="K21" s="67">
        <v>0.1</v>
      </c>
    </row>
    <row r="22" spans="1:13" ht="15" customHeight="1">
      <c r="A22" s="9" t="s">
        <v>76</v>
      </c>
      <c r="B22" s="10">
        <f t="shared" si="0"/>
        <v>0.40600000000000003</v>
      </c>
      <c r="C22" s="69">
        <v>16</v>
      </c>
      <c r="D22" s="12" t="s">
        <v>64</v>
      </c>
      <c r="E22" s="13" t="s">
        <v>26</v>
      </c>
      <c r="F22" s="14" t="s">
        <v>100</v>
      </c>
      <c r="G22" s="70">
        <v>23.872</v>
      </c>
      <c r="H22" s="15">
        <f t="shared" si="1"/>
        <v>286.45999999999998</v>
      </c>
      <c r="I22" s="68">
        <f t="shared" si="2"/>
        <v>318.20999999999998</v>
      </c>
      <c r="J22" s="15">
        <f t="shared" si="3"/>
        <v>334.21</v>
      </c>
      <c r="K22" s="67">
        <v>0.1</v>
      </c>
    </row>
    <row r="23" spans="1:13" ht="15" customHeight="1">
      <c r="A23" s="9" t="s">
        <v>76</v>
      </c>
      <c r="B23" s="10">
        <f t="shared" si="0"/>
        <v>0.78700000000000003</v>
      </c>
      <c r="C23" s="72">
        <v>31</v>
      </c>
      <c r="D23" s="12" t="s">
        <v>64</v>
      </c>
      <c r="E23" s="13" t="s">
        <v>26</v>
      </c>
      <c r="F23" s="14" t="s">
        <v>101</v>
      </c>
      <c r="G23" s="64">
        <v>25.675999999999998</v>
      </c>
      <c r="H23" s="15">
        <f>ROUND(G23*12,2)</f>
        <v>308.11</v>
      </c>
      <c r="I23" s="68">
        <f>ROUND(G23*13.33,2)</f>
        <v>342.26</v>
      </c>
      <c r="J23" s="15">
        <f>ROUND(G23*14,2)</f>
        <v>359.46</v>
      </c>
      <c r="K23" s="67">
        <v>0.1</v>
      </c>
    </row>
    <row r="24" spans="1:13" ht="15" customHeight="1">
      <c r="A24" s="9" t="s">
        <v>61</v>
      </c>
      <c r="B24" s="10">
        <f t="shared" si="0"/>
        <v>1.194</v>
      </c>
      <c r="C24" s="72">
        <v>47</v>
      </c>
      <c r="D24" s="12" t="s">
        <v>64</v>
      </c>
      <c r="E24" s="13" t="s">
        <v>70</v>
      </c>
      <c r="F24" s="14" t="s">
        <v>102</v>
      </c>
      <c r="G24" s="64">
        <v>32.908999999999999</v>
      </c>
      <c r="H24" s="15">
        <f>ROUND(G24*12,2)</f>
        <v>394.91</v>
      </c>
      <c r="I24" s="68">
        <f>ROUND(G24*13.33,2)</f>
        <v>438.68</v>
      </c>
      <c r="J24" s="15">
        <f>ROUND(G24*14,2)</f>
        <v>460.73</v>
      </c>
      <c r="K24" s="67">
        <v>0.1</v>
      </c>
    </row>
    <row r="26" spans="1:13" ht="22.2">
      <c r="A26" s="103" t="s">
        <v>62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</row>
    <row r="27" spans="1:13" ht="25.8" customHeight="1">
      <c r="A27" s="79" t="s">
        <v>13</v>
      </c>
      <c r="B27" s="79" t="s">
        <v>31</v>
      </c>
      <c r="C27" s="79" t="s">
        <v>32</v>
      </c>
      <c r="D27" s="79" t="s">
        <v>33</v>
      </c>
      <c r="E27" s="79" t="s">
        <v>34</v>
      </c>
      <c r="F27" s="79" t="s">
        <v>35</v>
      </c>
      <c r="G27" s="79" t="s">
        <v>36</v>
      </c>
      <c r="H27" s="79" t="s">
        <v>37</v>
      </c>
      <c r="I27" s="104" t="s">
        <v>38</v>
      </c>
      <c r="J27" s="104"/>
      <c r="K27" s="79" t="s">
        <v>23</v>
      </c>
    </row>
    <row r="28" spans="1:13" ht="18" customHeight="1">
      <c r="A28" s="13" t="s">
        <v>66</v>
      </c>
      <c r="B28" s="13">
        <v>106</v>
      </c>
      <c r="C28" s="65">
        <v>73</v>
      </c>
      <c r="D28" s="13" t="s">
        <v>40</v>
      </c>
      <c r="E28" s="17" t="s">
        <v>41</v>
      </c>
      <c r="F28" s="13">
        <v>3937</v>
      </c>
      <c r="G28" s="81">
        <v>2.149</v>
      </c>
      <c r="H28" s="19">
        <f>ROUND(G28*13.124,2)</f>
        <v>28.2</v>
      </c>
      <c r="I28" s="101">
        <f>ROUND(G28*F28,2)</f>
        <v>8460.61</v>
      </c>
      <c r="J28" s="101"/>
      <c r="K28" s="71">
        <v>9.9795291709314338E-2</v>
      </c>
    </row>
    <row r="29" spans="1:13" ht="15" customHeight="1">
      <c r="A29" s="13" t="s">
        <v>66</v>
      </c>
      <c r="B29" s="13">
        <v>106</v>
      </c>
      <c r="C29" s="65">
        <v>77</v>
      </c>
      <c r="D29" s="13" t="s">
        <v>40</v>
      </c>
      <c r="E29" s="17" t="s">
        <v>41</v>
      </c>
      <c r="F29" s="13">
        <v>3937</v>
      </c>
      <c r="G29" s="81">
        <v>2.3650000000000002</v>
      </c>
      <c r="H29" s="19">
        <f>ROUND(G29*13.124,2)</f>
        <v>31.04</v>
      </c>
      <c r="I29" s="101">
        <f t="shared" ref="I29" si="8">ROUND(G29*F29,2)</f>
        <v>9311.01</v>
      </c>
      <c r="J29" s="101"/>
      <c r="K29" s="71">
        <v>5.0177619893428282E-2</v>
      </c>
      <c r="M29" s="61"/>
    </row>
    <row r="30" spans="1:13">
      <c r="A30" s="13" t="s">
        <v>66</v>
      </c>
      <c r="B30" s="13">
        <v>1080</v>
      </c>
      <c r="C30" s="65">
        <v>66</v>
      </c>
      <c r="D30" s="13" t="s">
        <v>40</v>
      </c>
      <c r="E30" s="17" t="s">
        <v>41</v>
      </c>
      <c r="F30" s="13">
        <v>3937</v>
      </c>
      <c r="G30" s="81">
        <v>1.8260000000000001</v>
      </c>
      <c r="H30" s="19">
        <f>ROUND(G30*13.124,2)</f>
        <v>23.96</v>
      </c>
      <c r="I30" s="101">
        <f>ROUND(G30*F30,2)</f>
        <v>7188.96</v>
      </c>
      <c r="J30" s="101"/>
      <c r="K30" s="71">
        <v>0.10000000000000009</v>
      </c>
    </row>
    <row r="31" spans="1:13">
      <c r="A31" s="13" t="s">
        <v>66</v>
      </c>
      <c r="B31" s="13">
        <v>1080</v>
      </c>
      <c r="C31" s="65">
        <v>71</v>
      </c>
      <c r="D31" s="13" t="s">
        <v>40</v>
      </c>
      <c r="E31" s="17" t="s">
        <v>41</v>
      </c>
      <c r="F31" s="62">
        <v>3937</v>
      </c>
      <c r="G31" s="81">
        <v>1.9430000000000001</v>
      </c>
      <c r="H31" s="19">
        <f t="shared" ref="H31:H32" si="9">ROUND(G31*13.124,2)</f>
        <v>25.5</v>
      </c>
      <c r="I31" s="101">
        <f t="shared" ref="I31:I32" si="10">ROUND(G31*F31,2)</f>
        <v>7649.59</v>
      </c>
      <c r="J31" s="101"/>
      <c r="K31" s="71">
        <v>0.10022650056625149</v>
      </c>
    </row>
    <row r="32" spans="1:13">
      <c r="A32" s="13" t="s">
        <v>66</v>
      </c>
      <c r="B32" s="13">
        <v>2116</v>
      </c>
      <c r="C32" s="65">
        <v>51</v>
      </c>
      <c r="D32" s="13" t="s">
        <v>43</v>
      </c>
      <c r="E32" s="17" t="s">
        <v>41</v>
      </c>
      <c r="F32" s="62">
        <v>2624.6</v>
      </c>
      <c r="G32" s="81">
        <v>1.7829999999999999</v>
      </c>
      <c r="H32" s="19">
        <f t="shared" si="9"/>
        <v>23.4</v>
      </c>
      <c r="I32" s="101">
        <f t="shared" si="10"/>
        <v>4679.66</v>
      </c>
      <c r="J32" s="101"/>
      <c r="K32" s="71">
        <v>9.9938309685379423E-2</v>
      </c>
    </row>
    <row r="33" spans="1:11">
      <c r="A33" s="13" t="s">
        <v>66</v>
      </c>
      <c r="B33" s="13">
        <v>2116</v>
      </c>
      <c r="C33" s="65">
        <v>53</v>
      </c>
      <c r="D33" s="13" t="s">
        <v>43</v>
      </c>
      <c r="E33" s="17" t="s">
        <v>41</v>
      </c>
      <c r="F33" s="13">
        <v>2624.6</v>
      </c>
      <c r="G33" s="81">
        <v>1.8</v>
      </c>
      <c r="H33" s="19">
        <f t="shared" ref="H33" si="11">ROUND(G33*13.124,2)</f>
        <v>23.62</v>
      </c>
      <c r="I33" s="101">
        <f t="shared" ref="I33" si="12">ROUND(G33*F33,2)</f>
        <v>4724.28</v>
      </c>
      <c r="J33" s="101"/>
      <c r="K33" s="71">
        <v>0.10024449877750619</v>
      </c>
    </row>
    <row r="34" spans="1:11">
      <c r="A34" s="13" t="s">
        <v>66</v>
      </c>
      <c r="B34" s="13">
        <v>2116</v>
      </c>
      <c r="C34" s="65">
        <v>56.000000000000007</v>
      </c>
      <c r="D34" s="13" t="s">
        <v>43</v>
      </c>
      <c r="E34" s="17" t="s">
        <v>41</v>
      </c>
      <c r="F34" s="13">
        <v>2624.6</v>
      </c>
      <c r="G34" s="81">
        <v>1.8360000000000001</v>
      </c>
      <c r="H34" s="19">
        <f t="shared" ref="H34" si="13">ROUND(G34*13.124,2)</f>
        <v>24.1</v>
      </c>
      <c r="I34" s="101">
        <f t="shared" ref="I34" si="14">ROUND(G34*F34,2)</f>
        <v>4818.7700000000004</v>
      </c>
      <c r="J34" s="101"/>
      <c r="K34" s="71">
        <v>0.10005991611743559</v>
      </c>
    </row>
    <row r="35" spans="1:11">
      <c r="A35" s="13" t="s">
        <v>66</v>
      </c>
      <c r="B35" s="13">
        <v>2116</v>
      </c>
      <c r="C35" s="65">
        <v>57.999999999999993</v>
      </c>
      <c r="D35" s="13" t="s">
        <v>43</v>
      </c>
      <c r="E35" s="17" t="s">
        <v>41</v>
      </c>
      <c r="F35" s="13">
        <v>2624.6</v>
      </c>
      <c r="G35" s="81">
        <v>1.887</v>
      </c>
      <c r="H35" s="19">
        <f>ROUND(G35*13.124,2)</f>
        <v>24.76</v>
      </c>
      <c r="I35" s="101">
        <f>ROUND(G35*F35,2)</f>
        <v>4952.62</v>
      </c>
      <c r="J35" s="101"/>
      <c r="K35" s="71">
        <v>0.10029154518950434</v>
      </c>
    </row>
    <row r="36" spans="1:11">
      <c r="A36" s="13" t="s">
        <v>63</v>
      </c>
      <c r="B36" s="13">
        <v>2116</v>
      </c>
      <c r="C36" s="65">
        <v>59</v>
      </c>
      <c r="D36" s="13" t="s">
        <v>43</v>
      </c>
      <c r="E36" s="17" t="s">
        <v>41</v>
      </c>
      <c r="F36" s="13">
        <v>2624.6</v>
      </c>
      <c r="G36" s="81">
        <v>1.9710000000000001</v>
      </c>
      <c r="H36" s="19">
        <f>ROUND(G36*13.124,2)</f>
        <v>25.87</v>
      </c>
      <c r="I36" s="101">
        <f>ROUND(G36*F36,2)</f>
        <v>5173.09</v>
      </c>
      <c r="J36" s="101"/>
      <c r="K36" s="71"/>
    </row>
    <row r="37" spans="1:11">
      <c r="A37" s="13" t="s">
        <v>63</v>
      </c>
      <c r="B37" s="13">
        <v>2116</v>
      </c>
      <c r="C37" s="65">
        <v>60</v>
      </c>
      <c r="D37" s="13" t="s">
        <v>43</v>
      </c>
      <c r="E37" s="17" t="s">
        <v>41</v>
      </c>
      <c r="F37" s="13">
        <v>2624.6</v>
      </c>
      <c r="G37" s="81">
        <v>1.9710000000000001</v>
      </c>
      <c r="H37" s="19">
        <f>ROUND(G37*13.124,2)</f>
        <v>25.87</v>
      </c>
      <c r="I37" s="101">
        <f>ROUND(G37*F37,2)</f>
        <v>5173.09</v>
      </c>
      <c r="J37" s="101"/>
      <c r="K37" s="71">
        <v>0.24984147114774902</v>
      </c>
    </row>
    <row r="38" spans="1:11">
      <c r="G38" s="20"/>
    </row>
    <row r="39" spans="1:11" ht="15.6">
      <c r="A39" s="4" t="s">
        <v>45</v>
      </c>
      <c r="B39" s="21"/>
      <c r="C39" s="21"/>
      <c r="D39" s="21"/>
      <c r="E39" s="21"/>
      <c r="F39" s="21"/>
      <c r="G39" s="21"/>
      <c r="H39" s="22"/>
      <c r="I39" s="23"/>
    </row>
    <row r="40" spans="1:11" ht="15.6">
      <c r="A40" s="21" t="s">
        <v>46</v>
      </c>
      <c r="B40" s="21"/>
      <c r="C40" s="21"/>
      <c r="D40" s="21"/>
      <c r="E40" s="21"/>
      <c r="F40" s="21"/>
      <c r="G40" s="21"/>
      <c r="H40" s="22"/>
      <c r="I40" s="23"/>
    </row>
    <row r="41" spans="1:11" ht="15.6">
      <c r="A41" s="24" t="s">
        <v>47</v>
      </c>
      <c r="B41" s="21"/>
      <c r="C41" s="21"/>
      <c r="D41" s="21"/>
      <c r="E41" s="21"/>
      <c r="F41" s="21"/>
      <c r="G41" s="21"/>
      <c r="H41" s="22"/>
      <c r="I41" s="23"/>
    </row>
    <row r="42" spans="1:11" ht="15.6">
      <c r="A42" s="24" t="s">
        <v>48</v>
      </c>
      <c r="B42" s="21"/>
      <c r="C42" s="21"/>
      <c r="D42" s="21"/>
      <c r="E42" s="21"/>
      <c r="F42" s="21"/>
      <c r="G42" s="21"/>
      <c r="H42" s="22"/>
      <c r="I42" s="23"/>
    </row>
    <row r="43" spans="1:11" ht="15.6">
      <c r="A43" s="24" t="s">
        <v>49</v>
      </c>
      <c r="B43" s="21"/>
      <c r="C43" s="21"/>
      <c r="D43" s="21"/>
      <c r="E43" s="21"/>
      <c r="F43" s="21"/>
      <c r="G43" s="21"/>
      <c r="H43" s="22"/>
      <c r="I43" s="23"/>
    </row>
    <row r="44" spans="1:11" ht="15.6">
      <c r="A44" s="25" t="s">
        <v>50</v>
      </c>
      <c r="B44" s="21"/>
      <c r="C44" s="21"/>
      <c r="D44" s="21"/>
      <c r="E44" s="21"/>
      <c r="F44" s="21"/>
      <c r="G44" s="21"/>
      <c r="H44" s="22"/>
      <c r="I44" s="23"/>
    </row>
    <row r="45" spans="1:11" ht="15.6">
      <c r="A45" s="25" t="s">
        <v>78</v>
      </c>
      <c r="B45" s="21"/>
      <c r="C45" s="21"/>
      <c r="D45" s="21"/>
      <c r="E45" s="21"/>
      <c r="F45" s="21"/>
      <c r="G45" s="21"/>
      <c r="H45" s="22"/>
      <c r="I45" s="23"/>
    </row>
    <row r="46" spans="1:11" ht="14.4">
      <c r="A46" s="26" t="s">
        <v>51</v>
      </c>
      <c r="B46" s="27"/>
      <c r="C46" s="27"/>
      <c r="D46" s="27"/>
      <c r="E46" s="27"/>
      <c r="F46" s="27"/>
      <c r="G46" s="27"/>
      <c r="H46" s="27"/>
    </row>
    <row r="47" spans="1:11" ht="14.4">
      <c r="A47" s="26"/>
      <c r="B47" s="27"/>
      <c r="C47" s="27"/>
      <c r="D47" s="27"/>
      <c r="E47" s="27"/>
      <c r="F47" s="27"/>
      <c r="G47" s="27"/>
      <c r="H47" s="27"/>
    </row>
    <row r="48" spans="1:11" ht="15.6">
      <c r="A48" s="28" t="s">
        <v>52</v>
      </c>
      <c r="B48" s="28"/>
      <c r="C48" s="29"/>
      <c r="D48" s="29"/>
      <c r="E48" s="29"/>
      <c r="F48" s="29"/>
      <c r="G48" s="29"/>
      <c r="H48" s="28" t="s">
        <v>53</v>
      </c>
      <c r="I48" s="30"/>
      <c r="J48" s="29"/>
      <c r="K48" s="29"/>
    </row>
  </sheetData>
  <mergeCells count="18">
    <mergeCell ref="C1:K1"/>
    <mergeCell ref="A2:K2"/>
    <mergeCell ref="A3:K3"/>
    <mergeCell ref="A4:K4"/>
    <mergeCell ref="A5:K5"/>
    <mergeCell ref="I37:J37"/>
    <mergeCell ref="I29:J29"/>
    <mergeCell ref="A11:K11"/>
    <mergeCell ref="A26:K26"/>
    <mergeCell ref="I27:J27"/>
    <mergeCell ref="I30:J30"/>
    <mergeCell ref="I35:J35"/>
    <mergeCell ref="I31:J31"/>
    <mergeCell ref="I28:J28"/>
    <mergeCell ref="I33:J33"/>
    <mergeCell ref="I32:J32"/>
    <mergeCell ref="I34:J34"/>
    <mergeCell ref="I36:J36"/>
  </mergeCells>
  <phoneticPr fontId="18" type="noConversion"/>
  <pageMargins left="0.25" right="0.25" top="0.75" bottom="0.75" header="0.3" footer="0.3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39"/>
  <sheetViews>
    <sheetView workbookViewId="0">
      <selection activeCell="A103" sqref="A103:XFD128"/>
    </sheetView>
  </sheetViews>
  <sheetFormatPr defaultColWidth="9" defaultRowHeight="13.8"/>
  <cols>
    <col min="1" max="3" width="8.09765625" style="1" customWidth="1"/>
    <col min="4" max="4" width="8.09765625" style="2" customWidth="1"/>
    <col min="5" max="11" width="8.09765625" style="1" customWidth="1"/>
    <col min="12" max="13" width="0" style="1" hidden="1" customWidth="1"/>
    <col min="14" max="14" width="9.8984375" style="1" hidden="1" customWidth="1"/>
    <col min="15" max="15" width="0" style="1" hidden="1" customWidth="1"/>
    <col min="16" max="16373" width="8.796875" style="1"/>
    <col min="16374" max="16384" width="9" style="1"/>
  </cols>
  <sheetData>
    <row r="1" spans="1:16" ht="16.350000000000001" customHeight="1">
      <c r="C1" s="110"/>
      <c r="D1" s="110"/>
      <c r="E1" s="110"/>
      <c r="F1" s="110"/>
      <c r="G1" s="110"/>
      <c r="H1" s="110"/>
      <c r="I1" s="110"/>
      <c r="J1" s="110"/>
      <c r="K1" s="110"/>
    </row>
    <row r="2" spans="1:16" ht="74.400000000000006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6" ht="21" customHeight="1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6" ht="15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6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6" ht="15" customHeight="1">
      <c r="A6" s="4" t="s">
        <v>3</v>
      </c>
      <c r="B6" s="4" t="s">
        <v>4</v>
      </c>
      <c r="D6" s="5"/>
      <c r="E6" s="5"/>
      <c r="F6" s="5"/>
      <c r="G6" s="5"/>
      <c r="H6" s="5"/>
      <c r="I6" s="4" t="s">
        <v>5</v>
      </c>
      <c r="J6" s="4"/>
      <c r="K6" s="6"/>
    </row>
    <row r="7" spans="1:16" ht="15" customHeight="1">
      <c r="A7" s="4"/>
      <c r="B7" s="4" t="s">
        <v>6</v>
      </c>
      <c r="D7" s="5"/>
      <c r="E7" s="5"/>
      <c r="F7" s="5"/>
      <c r="G7" s="5"/>
      <c r="H7" s="5"/>
      <c r="I7" s="7" t="s">
        <v>7</v>
      </c>
      <c r="J7" s="7"/>
      <c r="K7" s="7"/>
    </row>
    <row r="8" spans="1:16" ht="15" customHeight="1">
      <c r="A8" s="4" t="s">
        <v>8</v>
      </c>
      <c r="B8" s="4" t="s">
        <v>9</v>
      </c>
      <c r="D8" s="5"/>
      <c r="E8" s="5"/>
      <c r="F8" s="5"/>
      <c r="G8" s="5"/>
      <c r="H8" s="5"/>
      <c r="I8" s="7" t="s">
        <v>80</v>
      </c>
      <c r="J8" s="7"/>
      <c r="K8" s="7"/>
    </row>
    <row r="9" spans="1:16" ht="15" customHeight="1">
      <c r="A9" s="4"/>
      <c r="B9" s="4" t="s">
        <v>10</v>
      </c>
      <c r="D9" s="5"/>
      <c r="E9" s="5"/>
      <c r="F9" s="5"/>
      <c r="G9" s="5"/>
      <c r="H9" s="5"/>
      <c r="I9" s="8" t="s">
        <v>11</v>
      </c>
      <c r="J9" s="4"/>
      <c r="K9" s="6"/>
    </row>
    <row r="10" spans="1:16" ht="15" customHeight="1">
      <c r="A10" s="5"/>
      <c r="B10" s="5"/>
      <c r="C10" s="5"/>
      <c r="D10" s="5"/>
      <c r="E10" s="5"/>
      <c r="F10" s="5"/>
      <c r="G10" s="5"/>
      <c r="H10" s="5"/>
    </row>
    <row r="11" spans="1:16" ht="28.2" customHeight="1">
      <c r="A11" s="102" t="s">
        <v>54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6" ht="22.8" customHeight="1">
      <c r="A12" s="79" t="s">
        <v>13</v>
      </c>
      <c r="B12" s="79" t="s">
        <v>14</v>
      </c>
      <c r="C12" s="79" t="s">
        <v>15</v>
      </c>
      <c r="D12" s="79" t="s">
        <v>16</v>
      </c>
      <c r="E12" s="79" t="s">
        <v>17</v>
      </c>
      <c r="F12" s="79" t="s">
        <v>18</v>
      </c>
      <c r="G12" s="79" t="s">
        <v>19</v>
      </c>
      <c r="H12" s="79" t="s">
        <v>20</v>
      </c>
      <c r="I12" s="84" t="s">
        <v>21</v>
      </c>
      <c r="J12" s="79" t="s">
        <v>22</v>
      </c>
      <c r="K12" s="79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  <c r="P12" s="33"/>
    </row>
    <row r="13" spans="1:16" ht="15" customHeight="1">
      <c r="A13" s="9" t="s">
        <v>55</v>
      </c>
      <c r="B13" s="10">
        <f>ROUND(C13*0.0254,3)</f>
        <v>7.5999999999999998E-2</v>
      </c>
      <c r="C13" s="11">
        <v>3</v>
      </c>
      <c r="D13" s="13" t="s">
        <v>25</v>
      </c>
      <c r="E13" s="13" t="s">
        <v>26</v>
      </c>
      <c r="F13" s="14" t="s">
        <v>81</v>
      </c>
      <c r="G13" s="82">
        <v>7.9059999999999997</v>
      </c>
      <c r="H13" s="15">
        <f t="shared" ref="H13:H33" si="0">ROUND(G13*12,2)</f>
        <v>94.87</v>
      </c>
      <c r="I13" s="68">
        <f t="shared" ref="I13:I33" si="1">ROUND(G13*13.33,2)</f>
        <v>105.39</v>
      </c>
      <c r="J13" s="15">
        <f>ROUND(G13*14,2)</f>
        <v>110.68</v>
      </c>
      <c r="K13" s="16">
        <v>0.10004174203422833</v>
      </c>
      <c r="L13" s="63">
        <f>ROUND(ROUND(ROUND(G13*12,2)*43/48,2)*1.07,2)</f>
        <v>90.94</v>
      </c>
      <c r="M13" s="63">
        <f>ROUND(ROUND(G13*12,2)*2/3,2)</f>
        <v>63.25</v>
      </c>
      <c r="N13" s="63">
        <f>ROUND(ROUND(G13*13.33,2)*2/3,2)</f>
        <v>70.260000000000005</v>
      </c>
      <c r="O13" s="63">
        <f>ROUND(ROUND(G13*14,2)*2/3,2)</f>
        <v>73.790000000000006</v>
      </c>
      <c r="P13" s="77"/>
    </row>
    <row r="14" spans="1:16" ht="15" customHeight="1">
      <c r="A14" s="9" t="s">
        <v>55</v>
      </c>
      <c r="B14" s="10">
        <f t="shared" ref="B14:B79" si="2">ROUND(C14*0.0254,3)</f>
        <v>0.10199999999999999</v>
      </c>
      <c r="C14" s="11">
        <v>4</v>
      </c>
      <c r="D14" s="13" t="s">
        <v>25</v>
      </c>
      <c r="E14" s="13" t="s">
        <v>26</v>
      </c>
      <c r="F14" s="14" t="s">
        <v>84</v>
      </c>
      <c r="G14" s="82">
        <v>7.766</v>
      </c>
      <c r="H14" s="15">
        <f t="shared" si="0"/>
        <v>93.19</v>
      </c>
      <c r="I14" s="68">
        <f t="shared" si="1"/>
        <v>103.52</v>
      </c>
      <c r="J14" s="15">
        <f t="shared" ref="J14:J39" si="3">ROUND(G14*14,2)</f>
        <v>108.72</v>
      </c>
      <c r="K14" s="16">
        <v>0.10000000000000009</v>
      </c>
      <c r="L14" s="63">
        <f t="shared" ref="L14:L80" si="4">ROUND(ROUND(ROUND(G14*12,2)*43/48,2)*1.07,2)</f>
        <v>89.32</v>
      </c>
      <c r="M14" s="63">
        <f t="shared" ref="M14:M80" si="5">ROUND(ROUND(G14*12,2)*2/3,2)</f>
        <v>62.13</v>
      </c>
      <c r="N14" s="63">
        <f t="shared" ref="N14:N80" si="6">ROUND(ROUND(G14*13.33,2)*2/3,2)</f>
        <v>69.010000000000005</v>
      </c>
      <c r="O14" s="63">
        <f t="shared" ref="O14:O80" si="7">ROUND(ROUND(G14*14,2)*2/3,2)</f>
        <v>72.48</v>
      </c>
      <c r="P14" s="77"/>
    </row>
    <row r="15" spans="1:16" ht="15" customHeight="1">
      <c r="A15" s="9" t="s">
        <v>55</v>
      </c>
      <c r="B15" s="10">
        <f t="shared" si="2"/>
        <v>0.10199999999999999</v>
      </c>
      <c r="C15" s="11">
        <v>4</v>
      </c>
      <c r="D15" s="13" t="s">
        <v>25</v>
      </c>
      <c r="E15" s="13" t="s">
        <v>26</v>
      </c>
      <c r="F15" s="14" t="s">
        <v>97</v>
      </c>
      <c r="G15" s="82">
        <v>9.2530000000000001</v>
      </c>
      <c r="H15" s="15">
        <f t="shared" si="0"/>
        <v>111.04</v>
      </c>
      <c r="I15" s="68">
        <f t="shared" si="1"/>
        <v>123.34</v>
      </c>
      <c r="J15" s="15">
        <f t="shared" si="3"/>
        <v>129.54</v>
      </c>
      <c r="K15" s="16">
        <v>9.9976224441274297E-2</v>
      </c>
      <c r="L15" s="63">
        <f t="shared" si="4"/>
        <v>106.43</v>
      </c>
      <c r="M15" s="63">
        <f t="shared" si="5"/>
        <v>74.03</v>
      </c>
      <c r="N15" s="63">
        <f t="shared" si="6"/>
        <v>82.23</v>
      </c>
      <c r="O15" s="63">
        <f t="shared" si="7"/>
        <v>86.36</v>
      </c>
      <c r="P15" s="77"/>
    </row>
    <row r="16" spans="1:16" ht="15" customHeight="1">
      <c r="A16" s="9" t="s">
        <v>55</v>
      </c>
      <c r="B16" s="10">
        <f t="shared" si="2"/>
        <v>0.114</v>
      </c>
      <c r="C16" s="11">
        <v>4.5</v>
      </c>
      <c r="D16" s="13" t="s">
        <v>25</v>
      </c>
      <c r="E16" s="13" t="s">
        <v>26</v>
      </c>
      <c r="F16" s="14" t="s">
        <v>84</v>
      </c>
      <c r="G16" s="82">
        <v>7.766</v>
      </c>
      <c r="H16" s="15">
        <f t="shared" si="0"/>
        <v>93.19</v>
      </c>
      <c r="I16" s="68">
        <f t="shared" si="1"/>
        <v>103.52</v>
      </c>
      <c r="J16" s="15">
        <f t="shared" si="3"/>
        <v>108.72</v>
      </c>
      <c r="K16" s="16">
        <v>0.10000000000000009</v>
      </c>
      <c r="L16" s="63">
        <f t="shared" si="4"/>
        <v>89.32</v>
      </c>
      <c r="M16" s="63">
        <f t="shared" si="5"/>
        <v>62.13</v>
      </c>
      <c r="N16" s="63">
        <f t="shared" si="6"/>
        <v>69.010000000000005</v>
      </c>
      <c r="O16" s="63">
        <f t="shared" si="7"/>
        <v>72.48</v>
      </c>
      <c r="P16" s="77"/>
    </row>
    <row r="17" spans="1:16" ht="15" customHeight="1">
      <c r="A17" s="9" t="s">
        <v>55</v>
      </c>
      <c r="B17" s="10">
        <f t="shared" si="2"/>
        <v>0.11899999999999999</v>
      </c>
      <c r="C17" s="11">
        <v>4.7</v>
      </c>
      <c r="D17" s="13" t="s">
        <v>25</v>
      </c>
      <c r="E17" s="13" t="s">
        <v>26</v>
      </c>
      <c r="F17" s="14" t="s">
        <v>84</v>
      </c>
      <c r="G17" s="82">
        <v>7.766</v>
      </c>
      <c r="H17" s="15">
        <f t="shared" si="0"/>
        <v>93.19</v>
      </c>
      <c r="I17" s="68">
        <f t="shared" si="1"/>
        <v>103.52</v>
      </c>
      <c r="J17" s="15">
        <f t="shared" si="3"/>
        <v>108.72</v>
      </c>
      <c r="K17" s="16">
        <v>0.10000000000000009</v>
      </c>
      <c r="L17" s="63">
        <f t="shared" si="4"/>
        <v>89.32</v>
      </c>
      <c r="M17" s="63">
        <f t="shared" si="5"/>
        <v>62.13</v>
      </c>
      <c r="N17" s="63">
        <f t="shared" si="6"/>
        <v>69.010000000000005</v>
      </c>
      <c r="O17" s="63">
        <f t="shared" si="7"/>
        <v>72.48</v>
      </c>
      <c r="P17" s="77"/>
    </row>
    <row r="18" spans="1:16" ht="15" customHeight="1">
      <c r="A18" s="9" t="s">
        <v>55</v>
      </c>
      <c r="B18" s="10">
        <f t="shared" si="2"/>
        <v>0.127</v>
      </c>
      <c r="C18" s="11">
        <v>5</v>
      </c>
      <c r="D18" s="13" t="s">
        <v>25</v>
      </c>
      <c r="E18" s="13" t="s">
        <v>26</v>
      </c>
      <c r="F18" s="14" t="s">
        <v>84</v>
      </c>
      <c r="G18" s="82">
        <v>7.7220000000000004</v>
      </c>
      <c r="H18" s="15">
        <f t="shared" si="0"/>
        <v>92.66</v>
      </c>
      <c r="I18" s="68">
        <f t="shared" si="1"/>
        <v>102.93</v>
      </c>
      <c r="J18" s="15">
        <f t="shared" si="3"/>
        <v>108.11</v>
      </c>
      <c r="K18" s="16">
        <v>0.10000000000000009</v>
      </c>
      <c r="L18" s="63">
        <f t="shared" si="4"/>
        <v>88.82</v>
      </c>
      <c r="M18" s="63">
        <f t="shared" si="5"/>
        <v>61.77</v>
      </c>
      <c r="N18" s="63">
        <f t="shared" si="6"/>
        <v>68.62</v>
      </c>
      <c r="O18" s="63">
        <f t="shared" si="7"/>
        <v>72.069999999999993</v>
      </c>
      <c r="P18" s="77"/>
    </row>
    <row r="19" spans="1:16" ht="15" customHeight="1">
      <c r="A19" s="9" t="s">
        <v>55</v>
      </c>
      <c r="B19" s="10">
        <f t="shared" si="2"/>
        <v>0.127</v>
      </c>
      <c r="C19" s="11">
        <v>5</v>
      </c>
      <c r="D19" s="13" t="s">
        <v>25</v>
      </c>
      <c r="E19" s="13" t="s">
        <v>26</v>
      </c>
      <c r="F19" s="14" t="s">
        <v>85</v>
      </c>
      <c r="G19" s="82">
        <v>9.5180000000000007</v>
      </c>
      <c r="H19" s="15">
        <f t="shared" si="0"/>
        <v>114.22</v>
      </c>
      <c r="I19" s="68">
        <f t="shared" si="1"/>
        <v>126.87</v>
      </c>
      <c r="J19" s="15">
        <f t="shared" si="3"/>
        <v>133.25</v>
      </c>
      <c r="K19" s="16">
        <v>9.9965329943372261E-2</v>
      </c>
      <c r="L19" s="63">
        <f t="shared" si="4"/>
        <v>109.48</v>
      </c>
      <c r="M19" s="63">
        <f t="shared" si="5"/>
        <v>76.150000000000006</v>
      </c>
      <c r="N19" s="63">
        <f t="shared" si="6"/>
        <v>84.58</v>
      </c>
      <c r="O19" s="63">
        <f t="shared" si="7"/>
        <v>88.83</v>
      </c>
      <c r="P19" s="77"/>
    </row>
    <row r="20" spans="1:16" ht="15" customHeight="1">
      <c r="A20" s="9" t="s">
        <v>55</v>
      </c>
      <c r="B20" s="10">
        <f t="shared" si="2"/>
        <v>0.152</v>
      </c>
      <c r="C20" s="11">
        <v>6</v>
      </c>
      <c r="D20" s="13" t="s">
        <v>25</v>
      </c>
      <c r="E20" s="13" t="s">
        <v>26</v>
      </c>
      <c r="F20" s="14" t="s">
        <v>93</v>
      </c>
      <c r="G20" s="82">
        <v>8.4260000000000002</v>
      </c>
      <c r="H20" s="15">
        <f t="shared" si="0"/>
        <v>101.11</v>
      </c>
      <c r="I20" s="68">
        <f t="shared" si="1"/>
        <v>112.32</v>
      </c>
      <c r="J20" s="15">
        <f t="shared" si="3"/>
        <v>117.96</v>
      </c>
      <c r="K20" s="16">
        <v>0.10000000000000009</v>
      </c>
      <c r="L20" s="63">
        <f t="shared" si="4"/>
        <v>96.92</v>
      </c>
      <c r="M20" s="63">
        <f t="shared" si="5"/>
        <v>67.41</v>
      </c>
      <c r="N20" s="63">
        <f t="shared" si="6"/>
        <v>74.88</v>
      </c>
      <c r="O20" s="63">
        <f t="shared" si="7"/>
        <v>78.64</v>
      </c>
      <c r="P20" s="77"/>
    </row>
    <row r="21" spans="1:16" ht="15" customHeight="1">
      <c r="A21" s="9" t="s">
        <v>55</v>
      </c>
      <c r="B21" s="10">
        <f t="shared" si="2"/>
        <v>0.152</v>
      </c>
      <c r="C21" s="11">
        <v>6</v>
      </c>
      <c r="D21" s="13" t="s">
        <v>25</v>
      </c>
      <c r="E21" s="13" t="s">
        <v>26</v>
      </c>
      <c r="F21" s="14" t="s">
        <v>86</v>
      </c>
      <c r="G21" s="82">
        <v>9.5389999999999997</v>
      </c>
      <c r="H21" s="15">
        <f t="shared" si="0"/>
        <v>114.47</v>
      </c>
      <c r="I21" s="68">
        <f t="shared" si="1"/>
        <v>127.15</v>
      </c>
      <c r="J21" s="15">
        <f t="shared" si="3"/>
        <v>133.55000000000001</v>
      </c>
      <c r="K21" s="16">
        <v>9.9976937269372623E-2</v>
      </c>
      <c r="L21" s="63">
        <f t="shared" si="4"/>
        <v>109.73</v>
      </c>
      <c r="M21" s="63">
        <f t="shared" si="5"/>
        <v>76.31</v>
      </c>
      <c r="N21" s="63">
        <f t="shared" si="6"/>
        <v>84.77</v>
      </c>
      <c r="O21" s="63">
        <f t="shared" si="7"/>
        <v>89.03</v>
      </c>
      <c r="P21" s="77"/>
    </row>
    <row r="22" spans="1:16" ht="15" customHeight="1">
      <c r="A22" s="9" t="s">
        <v>55</v>
      </c>
      <c r="B22" s="10">
        <f t="shared" si="2"/>
        <v>0.17799999999999999</v>
      </c>
      <c r="C22" s="11">
        <v>7</v>
      </c>
      <c r="D22" s="13" t="s">
        <v>25</v>
      </c>
      <c r="E22" s="13" t="s">
        <v>26</v>
      </c>
      <c r="F22" s="14" t="s">
        <v>98</v>
      </c>
      <c r="G22" s="82">
        <v>8.3030000000000008</v>
      </c>
      <c r="H22" s="15">
        <f t="shared" si="0"/>
        <v>99.64</v>
      </c>
      <c r="I22" s="68">
        <f t="shared" si="1"/>
        <v>110.68</v>
      </c>
      <c r="J22" s="15">
        <f t="shared" si="3"/>
        <v>116.24</v>
      </c>
      <c r="K22" s="16">
        <v>0.10002649708532063</v>
      </c>
      <c r="L22" s="63">
        <f t="shared" si="4"/>
        <v>95.51</v>
      </c>
      <c r="M22" s="63">
        <f t="shared" si="5"/>
        <v>66.430000000000007</v>
      </c>
      <c r="N22" s="63">
        <f t="shared" si="6"/>
        <v>73.790000000000006</v>
      </c>
      <c r="O22" s="63">
        <f t="shared" si="7"/>
        <v>77.489999999999995</v>
      </c>
      <c r="P22" s="77"/>
    </row>
    <row r="23" spans="1:16" ht="15" customHeight="1">
      <c r="A23" s="9" t="s">
        <v>55</v>
      </c>
      <c r="B23" s="10">
        <f t="shared" si="2"/>
        <v>0.20300000000000001</v>
      </c>
      <c r="C23" s="11">
        <v>8</v>
      </c>
      <c r="D23" s="13" t="s">
        <v>25</v>
      </c>
      <c r="E23" s="13" t="s">
        <v>26</v>
      </c>
      <c r="F23" s="14" t="s">
        <v>98</v>
      </c>
      <c r="G23" s="82">
        <v>8.3030000000000008</v>
      </c>
      <c r="H23" s="15">
        <f t="shared" si="0"/>
        <v>99.64</v>
      </c>
      <c r="I23" s="68">
        <f t="shared" si="1"/>
        <v>110.68</v>
      </c>
      <c r="J23" s="15">
        <f t="shared" si="3"/>
        <v>116.24</v>
      </c>
      <c r="K23" s="16">
        <v>0.10002649708532063</v>
      </c>
      <c r="L23" s="63">
        <f t="shared" si="4"/>
        <v>95.51</v>
      </c>
      <c r="M23" s="63">
        <f t="shared" si="5"/>
        <v>66.430000000000007</v>
      </c>
      <c r="N23" s="63">
        <f t="shared" si="6"/>
        <v>73.790000000000006</v>
      </c>
      <c r="O23" s="63">
        <f t="shared" si="7"/>
        <v>77.489999999999995</v>
      </c>
      <c r="P23" s="77"/>
    </row>
    <row r="24" spans="1:16" ht="15" customHeight="1">
      <c r="A24" s="9" t="s">
        <v>55</v>
      </c>
      <c r="B24" s="10">
        <f t="shared" si="2"/>
        <v>0.20300000000000001</v>
      </c>
      <c r="C24" s="11">
        <v>8</v>
      </c>
      <c r="D24" s="13" t="s">
        <v>25</v>
      </c>
      <c r="E24" s="13" t="s">
        <v>26</v>
      </c>
      <c r="F24" s="14" t="s">
        <v>95</v>
      </c>
      <c r="G24" s="82">
        <v>9.5299999999999994</v>
      </c>
      <c r="H24" s="15">
        <f t="shared" si="0"/>
        <v>114.36</v>
      </c>
      <c r="I24" s="68">
        <f t="shared" si="1"/>
        <v>127.03</v>
      </c>
      <c r="J24" s="15">
        <f t="shared" si="3"/>
        <v>133.41999999999999</v>
      </c>
      <c r="K24" s="16">
        <v>9.9953831948291771E-2</v>
      </c>
      <c r="L24" s="63">
        <f t="shared" si="4"/>
        <v>109.62</v>
      </c>
      <c r="M24" s="63">
        <f t="shared" si="5"/>
        <v>76.239999999999995</v>
      </c>
      <c r="N24" s="63">
        <f t="shared" si="6"/>
        <v>84.69</v>
      </c>
      <c r="O24" s="63">
        <f t="shared" si="7"/>
        <v>88.95</v>
      </c>
      <c r="P24" s="77"/>
    </row>
    <row r="25" spans="1:16" ht="15" customHeight="1">
      <c r="A25" s="9" t="s">
        <v>55</v>
      </c>
      <c r="B25" s="10">
        <f t="shared" si="2"/>
        <v>0.20300000000000001</v>
      </c>
      <c r="C25" s="11">
        <v>8</v>
      </c>
      <c r="D25" s="13" t="s">
        <v>25</v>
      </c>
      <c r="E25" s="13" t="s">
        <v>26</v>
      </c>
      <c r="F25" s="14" t="s">
        <v>89</v>
      </c>
      <c r="G25" s="82">
        <v>9.5470000000000006</v>
      </c>
      <c r="H25" s="15">
        <f t="shared" si="0"/>
        <v>114.56</v>
      </c>
      <c r="I25" s="68">
        <f t="shared" si="1"/>
        <v>127.26</v>
      </c>
      <c r="J25" s="15">
        <f t="shared" si="3"/>
        <v>133.66</v>
      </c>
      <c r="K25" s="16">
        <v>0.10001152206475394</v>
      </c>
      <c r="L25" s="63">
        <f t="shared" si="4"/>
        <v>109.81</v>
      </c>
      <c r="M25" s="63">
        <f t="shared" si="5"/>
        <v>76.37</v>
      </c>
      <c r="N25" s="63">
        <f t="shared" si="6"/>
        <v>84.84</v>
      </c>
      <c r="O25" s="63">
        <f t="shared" si="7"/>
        <v>89.11</v>
      </c>
      <c r="P25" s="77"/>
    </row>
    <row r="26" spans="1:16" ht="15" customHeight="1">
      <c r="A26" s="9" t="s">
        <v>55</v>
      </c>
      <c r="B26" s="10">
        <f t="shared" si="2"/>
        <v>0.22900000000000001</v>
      </c>
      <c r="C26" s="11">
        <v>9</v>
      </c>
      <c r="D26" s="13" t="s">
        <v>25</v>
      </c>
      <c r="E26" s="13" t="s">
        <v>26</v>
      </c>
      <c r="F26" s="14" t="s">
        <v>89</v>
      </c>
      <c r="G26" s="82">
        <v>9.5470000000000006</v>
      </c>
      <c r="H26" s="15">
        <f t="shared" si="0"/>
        <v>114.56</v>
      </c>
      <c r="I26" s="68">
        <f t="shared" si="1"/>
        <v>127.26</v>
      </c>
      <c r="J26" s="15">
        <f t="shared" si="3"/>
        <v>133.66</v>
      </c>
      <c r="K26" s="16">
        <v>0.10001152206475394</v>
      </c>
      <c r="L26" s="63">
        <f t="shared" si="4"/>
        <v>109.81</v>
      </c>
      <c r="M26" s="63">
        <f t="shared" si="5"/>
        <v>76.37</v>
      </c>
      <c r="N26" s="63">
        <f t="shared" si="6"/>
        <v>84.84</v>
      </c>
      <c r="O26" s="63">
        <f t="shared" si="7"/>
        <v>89.11</v>
      </c>
      <c r="P26" s="77"/>
    </row>
    <row r="27" spans="1:16" ht="15" customHeight="1">
      <c r="A27" s="9" t="s">
        <v>55</v>
      </c>
      <c r="B27" s="10">
        <f t="shared" si="2"/>
        <v>0.254</v>
      </c>
      <c r="C27" s="11">
        <v>10</v>
      </c>
      <c r="D27" s="13" t="s">
        <v>25</v>
      </c>
      <c r="E27" s="13" t="s">
        <v>26</v>
      </c>
      <c r="F27" s="14" t="s">
        <v>89</v>
      </c>
      <c r="G27" s="82">
        <v>9.5470000000000006</v>
      </c>
      <c r="H27" s="15">
        <f t="shared" si="0"/>
        <v>114.56</v>
      </c>
      <c r="I27" s="68">
        <f t="shared" si="1"/>
        <v>127.26</v>
      </c>
      <c r="J27" s="15">
        <f t="shared" si="3"/>
        <v>133.66</v>
      </c>
      <c r="K27" s="16">
        <v>0.10001152206475394</v>
      </c>
      <c r="L27" s="63">
        <f t="shared" si="4"/>
        <v>109.81</v>
      </c>
      <c r="M27" s="63">
        <f t="shared" si="5"/>
        <v>76.37</v>
      </c>
      <c r="N27" s="63">
        <f t="shared" si="6"/>
        <v>84.84</v>
      </c>
      <c r="O27" s="63">
        <f t="shared" si="7"/>
        <v>89.11</v>
      </c>
      <c r="P27" s="77"/>
    </row>
    <row r="28" spans="1:16" ht="15" customHeight="1">
      <c r="A28" s="9" t="s">
        <v>55</v>
      </c>
      <c r="B28" s="10">
        <f t="shared" si="2"/>
        <v>0.35599999999999998</v>
      </c>
      <c r="C28" s="11">
        <v>14</v>
      </c>
      <c r="D28" s="13" t="s">
        <v>25</v>
      </c>
      <c r="E28" s="13" t="s">
        <v>26</v>
      </c>
      <c r="F28" s="14" t="s">
        <v>100</v>
      </c>
      <c r="G28" s="82">
        <v>9.7539999999999996</v>
      </c>
      <c r="H28" s="15">
        <f t="shared" si="0"/>
        <v>117.05</v>
      </c>
      <c r="I28" s="68">
        <f t="shared" si="1"/>
        <v>130.02000000000001</v>
      </c>
      <c r="J28" s="15">
        <f t="shared" si="3"/>
        <v>136.56</v>
      </c>
      <c r="K28" s="16">
        <v>0.10003383331453697</v>
      </c>
      <c r="L28" s="63">
        <f t="shared" si="4"/>
        <v>112.2</v>
      </c>
      <c r="M28" s="63">
        <f t="shared" si="5"/>
        <v>78.03</v>
      </c>
      <c r="N28" s="63">
        <f t="shared" si="6"/>
        <v>86.68</v>
      </c>
      <c r="O28" s="63">
        <f t="shared" si="7"/>
        <v>91.04</v>
      </c>
      <c r="P28" s="77"/>
    </row>
    <row r="29" spans="1:16" ht="15" customHeight="1">
      <c r="A29" s="9" t="s">
        <v>55</v>
      </c>
      <c r="B29" s="10">
        <f t="shared" si="2"/>
        <v>0.50800000000000001</v>
      </c>
      <c r="C29" s="31">
        <v>20</v>
      </c>
      <c r="D29" s="13" t="s">
        <v>25</v>
      </c>
      <c r="E29" s="13" t="s">
        <v>26</v>
      </c>
      <c r="F29" s="32" t="s">
        <v>108</v>
      </c>
      <c r="G29" s="82">
        <v>11.332000000000001</v>
      </c>
      <c r="H29" s="15">
        <f t="shared" si="0"/>
        <v>135.97999999999999</v>
      </c>
      <c r="I29" s="68">
        <f t="shared" si="1"/>
        <v>151.06</v>
      </c>
      <c r="J29" s="15">
        <f t="shared" si="3"/>
        <v>158.65</v>
      </c>
      <c r="K29" s="16">
        <v>9.998058629392359E-2</v>
      </c>
      <c r="L29" s="63">
        <f t="shared" si="4"/>
        <v>130.35</v>
      </c>
      <c r="M29" s="63">
        <f t="shared" si="5"/>
        <v>90.65</v>
      </c>
      <c r="N29" s="63">
        <f t="shared" si="6"/>
        <v>100.71</v>
      </c>
      <c r="O29" s="63">
        <f t="shared" si="7"/>
        <v>105.77</v>
      </c>
      <c r="P29" s="77"/>
    </row>
    <row r="30" spans="1:16" ht="15" customHeight="1">
      <c r="A30" s="9" t="s">
        <v>55</v>
      </c>
      <c r="B30" s="10">
        <f t="shared" si="2"/>
        <v>0.50800000000000001</v>
      </c>
      <c r="C30" s="11">
        <v>20</v>
      </c>
      <c r="D30" s="13" t="s">
        <v>25</v>
      </c>
      <c r="E30" s="13" t="s">
        <v>26</v>
      </c>
      <c r="F30" s="14" t="s">
        <v>91</v>
      </c>
      <c r="G30" s="82">
        <v>14.269</v>
      </c>
      <c r="H30" s="15">
        <f t="shared" si="0"/>
        <v>171.23</v>
      </c>
      <c r="I30" s="68">
        <f t="shared" si="1"/>
        <v>190.21</v>
      </c>
      <c r="J30" s="15">
        <f t="shared" si="3"/>
        <v>199.77</v>
      </c>
      <c r="K30" s="16">
        <v>9.9984582176996684E-2</v>
      </c>
      <c r="L30" s="63">
        <f t="shared" si="4"/>
        <v>164.13</v>
      </c>
      <c r="M30" s="63">
        <f t="shared" si="5"/>
        <v>114.15</v>
      </c>
      <c r="N30" s="63">
        <f t="shared" si="6"/>
        <v>126.81</v>
      </c>
      <c r="O30" s="63">
        <f t="shared" si="7"/>
        <v>133.18</v>
      </c>
      <c r="P30" s="77"/>
    </row>
    <row r="31" spans="1:16" ht="15" customHeight="1">
      <c r="A31" s="9" t="s">
        <v>55</v>
      </c>
      <c r="B31" s="10">
        <f t="shared" si="2"/>
        <v>0.61</v>
      </c>
      <c r="C31" s="31">
        <v>24</v>
      </c>
      <c r="D31" s="13" t="s">
        <v>25</v>
      </c>
      <c r="E31" s="13" t="s">
        <v>26</v>
      </c>
      <c r="F31" s="32" t="s">
        <v>94</v>
      </c>
      <c r="G31" s="82">
        <v>11.244999999999999</v>
      </c>
      <c r="H31" s="15">
        <f t="shared" si="0"/>
        <v>134.94</v>
      </c>
      <c r="I31" s="68">
        <f t="shared" si="1"/>
        <v>149.9</v>
      </c>
      <c r="J31" s="15">
        <f t="shared" si="3"/>
        <v>157.43</v>
      </c>
      <c r="K31" s="16">
        <v>9.9970654406729809E-2</v>
      </c>
      <c r="L31" s="63">
        <f t="shared" si="4"/>
        <v>129.34</v>
      </c>
      <c r="M31" s="63">
        <f t="shared" si="5"/>
        <v>89.96</v>
      </c>
      <c r="N31" s="63">
        <f t="shared" si="6"/>
        <v>99.93</v>
      </c>
      <c r="O31" s="63">
        <f t="shared" si="7"/>
        <v>104.95</v>
      </c>
      <c r="P31" s="77"/>
    </row>
    <row r="32" spans="1:16" ht="15" customHeight="1">
      <c r="A32" s="9" t="s">
        <v>55</v>
      </c>
      <c r="B32" s="10">
        <f t="shared" si="2"/>
        <v>0.63500000000000001</v>
      </c>
      <c r="C32" s="31">
        <v>25</v>
      </c>
      <c r="D32" s="13" t="s">
        <v>25</v>
      </c>
      <c r="E32" s="13" t="s">
        <v>26</v>
      </c>
      <c r="F32" s="32" t="s">
        <v>88</v>
      </c>
      <c r="G32" s="82">
        <v>15.936999999999999</v>
      </c>
      <c r="H32" s="15">
        <f t="shared" si="0"/>
        <v>191.24</v>
      </c>
      <c r="I32" s="68">
        <f t="shared" si="1"/>
        <v>212.44</v>
      </c>
      <c r="J32" s="15">
        <f t="shared" si="3"/>
        <v>223.12</v>
      </c>
      <c r="K32" s="16">
        <v>0.10001380452788511</v>
      </c>
      <c r="L32" s="63">
        <f t="shared" si="4"/>
        <v>183.31</v>
      </c>
      <c r="M32" s="63">
        <f t="shared" si="5"/>
        <v>127.49</v>
      </c>
      <c r="N32" s="63">
        <f t="shared" si="6"/>
        <v>141.63</v>
      </c>
      <c r="O32" s="63">
        <f t="shared" si="7"/>
        <v>148.75</v>
      </c>
      <c r="P32" s="77"/>
    </row>
    <row r="33" spans="1:16" ht="15" customHeight="1">
      <c r="A33" s="9" t="s">
        <v>55</v>
      </c>
      <c r="B33" s="10">
        <f t="shared" si="2"/>
        <v>0.71099999999999997</v>
      </c>
      <c r="C33" s="31">
        <v>28</v>
      </c>
      <c r="D33" s="13" t="s">
        <v>25</v>
      </c>
      <c r="E33" s="13" t="s">
        <v>26</v>
      </c>
      <c r="F33" s="32" t="s">
        <v>101</v>
      </c>
      <c r="G33" s="82">
        <v>13.111000000000001</v>
      </c>
      <c r="H33" s="15">
        <f t="shared" si="0"/>
        <v>157.33000000000001</v>
      </c>
      <c r="I33" s="68">
        <f t="shared" si="1"/>
        <v>174.77</v>
      </c>
      <c r="J33" s="15">
        <f t="shared" si="3"/>
        <v>183.55</v>
      </c>
      <c r="K33" s="16">
        <v>0.10000838996560124</v>
      </c>
      <c r="L33" s="63">
        <f t="shared" si="4"/>
        <v>150.81</v>
      </c>
      <c r="M33" s="63">
        <f t="shared" si="5"/>
        <v>104.89</v>
      </c>
      <c r="N33" s="63">
        <f t="shared" si="6"/>
        <v>116.51</v>
      </c>
      <c r="O33" s="63">
        <f t="shared" si="7"/>
        <v>122.37</v>
      </c>
      <c r="P33" s="77"/>
    </row>
    <row r="34" spans="1:16" ht="15" customHeight="1">
      <c r="A34" s="9" t="s">
        <v>55</v>
      </c>
      <c r="B34" s="10">
        <f t="shared" si="2"/>
        <v>0.83799999999999997</v>
      </c>
      <c r="C34" s="11">
        <v>33</v>
      </c>
      <c r="D34" s="13" t="s">
        <v>25</v>
      </c>
      <c r="E34" s="13" t="s">
        <v>26</v>
      </c>
      <c r="F34" s="14" t="s">
        <v>111</v>
      </c>
      <c r="G34" s="82">
        <v>15.032</v>
      </c>
      <c r="H34" s="15">
        <f t="shared" ref="H34:H39" si="8">ROUND(G34*12,2)</f>
        <v>180.38</v>
      </c>
      <c r="I34" s="68">
        <f t="shared" ref="I34:I39" si="9">ROUND(G34*13.33,2)</f>
        <v>200.38</v>
      </c>
      <c r="J34" s="15">
        <f t="shared" si="3"/>
        <v>210.45</v>
      </c>
      <c r="K34" s="16">
        <v>0.10003658982802799</v>
      </c>
      <c r="L34" s="63">
        <f t="shared" si="4"/>
        <v>172.9</v>
      </c>
      <c r="M34" s="63">
        <f t="shared" si="5"/>
        <v>120.25</v>
      </c>
      <c r="N34" s="63">
        <f t="shared" si="6"/>
        <v>133.59</v>
      </c>
      <c r="O34" s="63">
        <f t="shared" si="7"/>
        <v>140.30000000000001</v>
      </c>
      <c r="P34" s="77"/>
    </row>
    <row r="35" spans="1:16" ht="15" customHeight="1">
      <c r="A35" s="9" t="s">
        <v>55</v>
      </c>
      <c r="B35" s="10">
        <f t="shared" si="2"/>
        <v>0.88900000000000001</v>
      </c>
      <c r="C35" s="11">
        <v>35</v>
      </c>
      <c r="D35" s="13" t="s">
        <v>25</v>
      </c>
      <c r="E35" s="13" t="s">
        <v>26</v>
      </c>
      <c r="F35" s="14" t="s">
        <v>111</v>
      </c>
      <c r="G35" s="82">
        <v>15.032</v>
      </c>
      <c r="H35" s="15">
        <f t="shared" si="8"/>
        <v>180.38</v>
      </c>
      <c r="I35" s="68">
        <f t="shared" si="9"/>
        <v>200.38</v>
      </c>
      <c r="J35" s="15">
        <f t="shared" si="3"/>
        <v>210.45</v>
      </c>
      <c r="K35" s="16">
        <v>0.10003658982802799</v>
      </c>
      <c r="L35" s="63">
        <f t="shared" si="4"/>
        <v>172.9</v>
      </c>
      <c r="M35" s="63">
        <f t="shared" si="5"/>
        <v>120.25</v>
      </c>
      <c r="N35" s="63">
        <f t="shared" si="6"/>
        <v>133.59</v>
      </c>
      <c r="O35" s="63">
        <f t="shared" si="7"/>
        <v>140.30000000000001</v>
      </c>
      <c r="P35" s="77"/>
    </row>
    <row r="36" spans="1:16" ht="15" customHeight="1">
      <c r="A36" s="9" t="s">
        <v>55</v>
      </c>
      <c r="B36" s="10">
        <f t="shared" si="2"/>
        <v>0.99099999999999999</v>
      </c>
      <c r="C36" s="11">
        <v>39</v>
      </c>
      <c r="D36" s="13" t="s">
        <v>25</v>
      </c>
      <c r="E36" s="13" t="s">
        <v>26</v>
      </c>
      <c r="F36" s="14" t="s">
        <v>96</v>
      </c>
      <c r="G36" s="82">
        <v>15.032</v>
      </c>
      <c r="H36" s="15">
        <f t="shared" si="8"/>
        <v>180.38</v>
      </c>
      <c r="I36" s="68">
        <f t="shared" si="9"/>
        <v>200.38</v>
      </c>
      <c r="J36" s="15">
        <f t="shared" si="3"/>
        <v>210.45</v>
      </c>
      <c r="K36" s="16">
        <v>0.10003658982802799</v>
      </c>
      <c r="L36" s="63">
        <f t="shared" si="4"/>
        <v>172.9</v>
      </c>
      <c r="M36" s="63">
        <f t="shared" si="5"/>
        <v>120.25</v>
      </c>
      <c r="N36" s="63">
        <f t="shared" si="6"/>
        <v>133.59</v>
      </c>
      <c r="O36" s="63">
        <f t="shared" si="7"/>
        <v>140.30000000000001</v>
      </c>
      <c r="P36" s="77"/>
    </row>
    <row r="37" spans="1:16" ht="15" customHeight="1">
      <c r="A37" s="9" t="s">
        <v>55</v>
      </c>
      <c r="B37" s="10">
        <f t="shared" si="2"/>
        <v>1.6</v>
      </c>
      <c r="C37" s="11">
        <v>63</v>
      </c>
      <c r="D37" s="13" t="s">
        <v>25</v>
      </c>
      <c r="E37" s="13" t="s">
        <v>26</v>
      </c>
      <c r="F37" s="14" t="s">
        <v>103</v>
      </c>
      <c r="G37" s="82">
        <v>19.975000000000001</v>
      </c>
      <c r="H37" s="15">
        <f t="shared" si="8"/>
        <v>239.7</v>
      </c>
      <c r="I37" s="68">
        <f t="shared" si="9"/>
        <v>266.27</v>
      </c>
      <c r="J37" s="15">
        <f t="shared" si="3"/>
        <v>279.64999999999998</v>
      </c>
      <c r="K37" s="16">
        <v>0.1000055069111736</v>
      </c>
      <c r="L37" s="63">
        <f t="shared" si="4"/>
        <v>229.76</v>
      </c>
      <c r="M37" s="63">
        <f t="shared" si="5"/>
        <v>159.80000000000001</v>
      </c>
      <c r="N37" s="63">
        <f t="shared" si="6"/>
        <v>177.51</v>
      </c>
      <c r="O37" s="63">
        <f t="shared" si="7"/>
        <v>186.43</v>
      </c>
      <c r="P37" s="77"/>
    </row>
    <row r="38" spans="1:16" ht="15" customHeight="1">
      <c r="A38" s="9" t="s">
        <v>55</v>
      </c>
      <c r="B38" s="10">
        <f t="shared" si="2"/>
        <v>7.5999999999999998E-2</v>
      </c>
      <c r="C38" s="11">
        <v>3</v>
      </c>
      <c r="D38" s="12" t="s">
        <v>28</v>
      </c>
      <c r="E38" s="13" t="s">
        <v>26</v>
      </c>
      <c r="F38" s="14" t="s">
        <v>81</v>
      </c>
      <c r="G38" s="82">
        <v>10.805</v>
      </c>
      <c r="H38" s="15">
        <f t="shared" si="8"/>
        <v>129.66</v>
      </c>
      <c r="I38" s="68">
        <f t="shared" si="9"/>
        <v>144.03</v>
      </c>
      <c r="J38" s="15">
        <f t="shared" si="3"/>
        <v>151.27000000000001</v>
      </c>
      <c r="K38" s="16">
        <v>9.9969459431945351E-2</v>
      </c>
      <c r="L38" s="63">
        <f t="shared" si="4"/>
        <v>124.28</v>
      </c>
      <c r="M38" s="63">
        <f t="shared" si="5"/>
        <v>86.44</v>
      </c>
      <c r="N38" s="63">
        <f t="shared" si="6"/>
        <v>96.02</v>
      </c>
      <c r="O38" s="63">
        <f t="shared" si="7"/>
        <v>100.85</v>
      </c>
      <c r="P38" s="77"/>
    </row>
    <row r="39" spans="1:16" ht="15" customHeight="1">
      <c r="A39" s="9" t="s">
        <v>55</v>
      </c>
      <c r="B39" s="10">
        <f t="shared" si="2"/>
        <v>0.10199999999999999</v>
      </c>
      <c r="C39" s="11">
        <v>4</v>
      </c>
      <c r="D39" s="12" t="s">
        <v>28</v>
      </c>
      <c r="E39" s="13" t="s">
        <v>26</v>
      </c>
      <c r="F39" s="14" t="s">
        <v>84</v>
      </c>
      <c r="G39" s="82">
        <v>10.58</v>
      </c>
      <c r="H39" s="15">
        <f t="shared" si="8"/>
        <v>126.96</v>
      </c>
      <c r="I39" s="68">
        <f t="shared" si="9"/>
        <v>141.03</v>
      </c>
      <c r="J39" s="15">
        <f t="shared" si="3"/>
        <v>148.12</v>
      </c>
      <c r="K39" s="16">
        <v>0.1000207943439384</v>
      </c>
      <c r="L39" s="63">
        <f t="shared" si="4"/>
        <v>121.7</v>
      </c>
      <c r="M39" s="63">
        <f t="shared" si="5"/>
        <v>84.64</v>
      </c>
      <c r="N39" s="63">
        <f t="shared" si="6"/>
        <v>94.02</v>
      </c>
      <c r="O39" s="63">
        <f t="shared" si="7"/>
        <v>98.75</v>
      </c>
      <c r="P39" s="77"/>
    </row>
    <row r="40" spans="1:16" ht="15" customHeight="1">
      <c r="A40" s="9" t="s">
        <v>55</v>
      </c>
      <c r="B40" s="10">
        <f t="shared" si="2"/>
        <v>0.10199999999999999</v>
      </c>
      <c r="C40" s="11">
        <v>4</v>
      </c>
      <c r="D40" s="12" t="s">
        <v>28</v>
      </c>
      <c r="E40" s="13" t="s">
        <v>26</v>
      </c>
      <c r="F40" s="14" t="s">
        <v>92</v>
      </c>
      <c r="G40" s="82">
        <v>10.58</v>
      </c>
      <c r="H40" s="15">
        <f t="shared" ref="H40:H83" si="10">ROUND(G40*12,2)</f>
        <v>126.96</v>
      </c>
      <c r="I40" s="68">
        <f t="shared" ref="I40:I83" si="11">ROUND(G40*13.33,2)</f>
        <v>141.03</v>
      </c>
      <c r="J40" s="15">
        <f t="shared" ref="J40:J67" si="12">ROUND(G40*14,2)</f>
        <v>148.12</v>
      </c>
      <c r="K40" s="16">
        <v>0.1000207943439384</v>
      </c>
      <c r="L40" s="63">
        <f t="shared" si="4"/>
        <v>121.7</v>
      </c>
      <c r="M40" s="63">
        <f t="shared" si="5"/>
        <v>84.64</v>
      </c>
      <c r="N40" s="63">
        <f t="shared" si="6"/>
        <v>94.02</v>
      </c>
      <c r="O40" s="63">
        <f t="shared" si="7"/>
        <v>98.75</v>
      </c>
      <c r="P40" s="77"/>
    </row>
    <row r="41" spans="1:16" ht="15" customHeight="1">
      <c r="A41" s="9" t="s">
        <v>55</v>
      </c>
      <c r="B41" s="10">
        <f t="shared" si="2"/>
        <v>0.10199999999999999</v>
      </c>
      <c r="C41" s="11">
        <v>4</v>
      </c>
      <c r="D41" s="12" t="s">
        <v>28</v>
      </c>
      <c r="E41" s="13" t="s">
        <v>26</v>
      </c>
      <c r="F41" s="14" t="s">
        <v>97</v>
      </c>
      <c r="G41" s="82">
        <v>12.265000000000001</v>
      </c>
      <c r="H41" s="15">
        <f t="shared" si="10"/>
        <v>147.18</v>
      </c>
      <c r="I41" s="68">
        <f t="shared" si="11"/>
        <v>163.49</v>
      </c>
      <c r="J41" s="15">
        <f t="shared" si="12"/>
        <v>171.71</v>
      </c>
      <c r="K41" s="16">
        <v>0.10000000000000009</v>
      </c>
      <c r="L41" s="63">
        <f t="shared" si="4"/>
        <v>141.08000000000001</v>
      </c>
      <c r="M41" s="63">
        <f t="shared" si="5"/>
        <v>98.12</v>
      </c>
      <c r="N41" s="63">
        <f t="shared" si="6"/>
        <v>108.99</v>
      </c>
      <c r="O41" s="63">
        <f t="shared" si="7"/>
        <v>114.47</v>
      </c>
      <c r="P41" s="77"/>
    </row>
    <row r="42" spans="1:16" ht="15" customHeight="1">
      <c r="A42" s="9" t="s">
        <v>55</v>
      </c>
      <c r="B42" s="10">
        <f t="shared" si="2"/>
        <v>0.114</v>
      </c>
      <c r="C42" s="11">
        <v>4.5</v>
      </c>
      <c r="D42" s="12" t="s">
        <v>28</v>
      </c>
      <c r="E42" s="13" t="s">
        <v>26</v>
      </c>
      <c r="F42" s="14" t="s">
        <v>84</v>
      </c>
      <c r="G42" s="82">
        <v>10.911</v>
      </c>
      <c r="H42" s="15">
        <f t="shared" si="10"/>
        <v>130.93</v>
      </c>
      <c r="I42" s="68">
        <f t="shared" si="11"/>
        <v>145.44</v>
      </c>
      <c r="J42" s="15">
        <f t="shared" si="12"/>
        <v>152.75</v>
      </c>
      <c r="K42" s="16">
        <v>0.10001008166145775</v>
      </c>
      <c r="L42" s="63">
        <f t="shared" si="4"/>
        <v>125.5</v>
      </c>
      <c r="M42" s="63">
        <f t="shared" si="5"/>
        <v>87.29</v>
      </c>
      <c r="N42" s="63">
        <f t="shared" si="6"/>
        <v>96.96</v>
      </c>
      <c r="O42" s="63">
        <f t="shared" si="7"/>
        <v>101.83</v>
      </c>
      <c r="P42" s="77"/>
    </row>
    <row r="43" spans="1:16" ht="15" customHeight="1">
      <c r="A43" s="9" t="s">
        <v>55</v>
      </c>
      <c r="B43" s="10">
        <f t="shared" si="2"/>
        <v>0.11899999999999999</v>
      </c>
      <c r="C43" s="11">
        <v>4.7</v>
      </c>
      <c r="D43" s="12" t="s">
        <v>28</v>
      </c>
      <c r="E43" s="13" t="s">
        <v>26</v>
      </c>
      <c r="F43" s="14" t="s">
        <v>84</v>
      </c>
      <c r="G43" s="82">
        <v>10.911</v>
      </c>
      <c r="H43" s="15">
        <f t="shared" si="10"/>
        <v>130.93</v>
      </c>
      <c r="I43" s="68">
        <f t="shared" si="11"/>
        <v>145.44</v>
      </c>
      <c r="J43" s="15">
        <f t="shared" si="12"/>
        <v>152.75</v>
      </c>
      <c r="K43" s="16">
        <v>0.10001008166145775</v>
      </c>
      <c r="L43" s="63">
        <f t="shared" si="4"/>
        <v>125.5</v>
      </c>
      <c r="M43" s="63">
        <f t="shared" si="5"/>
        <v>87.29</v>
      </c>
      <c r="N43" s="63">
        <f t="shared" si="6"/>
        <v>96.96</v>
      </c>
      <c r="O43" s="63">
        <f t="shared" si="7"/>
        <v>101.83</v>
      </c>
      <c r="P43" s="77"/>
    </row>
    <row r="44" spans="1:16" ht="15" customHeight="1">
      <c r="A44" s="9" t="s">
        <v>55</v>
      </c>
      <c r="B44" s="10">
        <f t="shared" si="2"/>
        <v>0.127</v>
      </c>
      <c r="C44" s="11">
        <v>5</v>
      </c>
      <c r="D44" s="12" t="s">
        <v>28</v>
      </c>
      <c r="E44" s="13" t="s">
        <v>26</v>
      </c>
      <c r="F44" s="14" t="s">
        <v>84</v>
      </c>
      <c r="G44" s="82">
        <v>10.656000000000001</v>
      </c>
      <c r="H44" s="15">
        <f t="shared" si="10"/>
        <v>127.87</v>
      </c>
      <c r="I44" s="68">
        <f t="shared" si="11"/>
        <v>142.04</v>
      </c>
      <c r="J44" s="15">
        <f t="shared" si="12"/>
        <v>149.18</v>
      </c>
      <c r="K44" s="16">
        <v>0.10003096934035316</v>
      </c>
      <c r="L44" s="63">
        <f t="shared" si="4"/>
        <v>122.57</v>
      </c>
      <c r="M44" s="63">
        <f t="shared" si="5"/>
        <v>85.25</v>
      </c>
      <c r="N44" s="63">
        <f t="shared" si="6"/>
        <v>94.69</v>
      </c>
      <c r="O44" s="63">
        <f t="shared" si="7"/>
        <v>99.45</v>
      </c>
      <c r="P44" s="77"/>
    </row>
    <row r="45" spans="1:16" ht="15" customHeight="1">
      <c r="A45" s="9" t="s">
        <v>55</v>
      </c>
      <c r="B45" s="10">
        <f t="shared" si="2"/>
        <v>0.127</v>
      </c>
      <c r="C45" s="11">
        <v>5</v>
      </c>
      <c r="D45" s="12" t="s">
        <v>28</v>
      </c>
      <c r="E45" s="13" t="s">
        <v>26</v>
      </c>
      <c r="F45" s="14" t="s">
        <v>85</v>
      </c>
      <c r="G45" s="82">
        <v>12.614000000000001</v>
      </c>
      <c r="H45" s="15">
        <f t="shared" si="10"/>
        <v>151.37</v>
      </c>
      <c r="I45" s="68">
        <f t="shared" si="11"/>
        <v>168.14</v>
      </c>
      <c r="J45" s="15">
        <f t="shared" si="12"/>
        <v>176.6</v>
      </c>
      <c r="K45" s="16">
        <v>0.10002616203017345</v>
      </c>
      <c r="L45" s="63">
        <f t="shared" si="4"/>
        <v>145.09</v>
      </c>
      <c r="M45" s="63">
        <f t="shared" si="5"/>
        <v>100.91</v>
      </c>
      <c r="N45" s="63">
        <f t="shared" si="6"/>
        <v>112.09</v>
      </c>
      <c r="O45" s="63">
        <f t="shared" si="7"/>
        <v>117.73</v>
      </c>
      <c r="P45" s="77"/>
    </row>
    <row r="46" spans="1:16" ht="15" customHeight="1">
      <c r="A46" s="9" t="s">
        <v>55</v>
      </c>
      <c r="B46" s="10">
        <f t="shared" si="2"/>
        <v>0.152</v>
      </c>
      <c r="C46" s="11">
        <v>6</v>
      </c>
      <c r="D46" s="12" t="s">
        <v>28</v>
      </c>
      <c r="E46" s="13" t="s">
        <v>26</v>
      </c>
      <c r="F46" s="14" t="s">
        <v>93</v>
      </c>
      <c r="G46" s="82">
        <v>11.423999999999999</v>
      </c>
      <c r="H46" s="15">
        <f t="shared" si="10"/>
        <v>137.09</v>
      </c>
      <c r="I46" s="68">
        <f t="shared" si="11"/>
        <v>152.28</v>
      </c>
      <c r="J46" s="15">
        <f t="shared" si="12"/>
        <v>159.94</v>
      </c>
      <c r="K46" s="16">
        <v>0.10004814636494941</v>
      </c>
      <c r="L46" s="63">
        <f t="shared" si="4"/>
        <v>131.41</v>
      </c>
      <c r="M46" s="63">
        <f t="shared" si="5"/>
        <v>91.39</v>
      </c>
      <c r="N46" s="63">
        <f t="shared" si="6"/>
        <v>101.52</v>
      </c>
      <c r="O46" s="63">
        <f t="shared" si="7"/>
        <v>106.63</v>
      </c>
      <c r="P46" s="77"/>
    </row>
    <row r="47" spans="1:16" ht="15" customHeight="1">
      <c r="A47" s="9" t="s">
        <v>55</v>
      </c>
      <c r="B47" s="10">
        <f t="shared" si="2"/>
        <v>0.152</v>
      </c>
      <c r="C47" s="11">
        <v>6</v>
      </c>
      <c r="D47" s="12" t="s">
        <v>28</v>
      </c>
      <c r="E47" s="13" t="s">
        <v>26</v>
      </c>
      <c r="F47" s="14" t="s">
        <v>86</v>
      </c>
      <c r="G47" s="82">
        <v>12.62</v>
      </c>
      <c r="H47" s="15">
        <f t="shared" si="10"/>
        <v>151.44</v>
      </c>
      <c r="I47" s="68">
        <f t="shared" si="11"/>
        <v>168.22</v>
      </c>
      <c r="J47" s="15">
        <f t="shared" si="12"/>
        <v>176.68</v>
      </c>
      <c r="K47" s="16">
        <v>9.9973851651703916E-2</v>
      </c>
      <c r="L47" s="63">
        <f t="shared" si="4"/>
        <v>145.16999999999999</v>
      </c>
      <c r="M47" s="63">
        <f t="shared" si="5"/>
        <v>100.96</v>
      </c>
      <c r="N47" s="63">
        <f t="shared" si="6"/>
        <v>112.15</v>
      </c>
      <c r="O47" s="63">
        <f t="shared" si="7"/>
        <v>117.79</v>
      </c>
      <c r="P47" s="77"/>
    </row>
    <row r="48" spans="1:16" ht="15" customHeight="1">
      <c r="A48" s="9" t="s">
        <v>55</v>
      </c>
      <c r="B48" s="10">
        <f t="shared" si="2"/>
        <v>0.17799999999999999</v>
      </c>
      <c r="C48" s="11">
        <v>7</v>
      </c>
      <c r="D48" s="12" t="s">
        <v>28</v>
      </c>
      <c r="E48" s="13" t="s">
        <v>26</v>
      </c>
      <c r="F48" s="14" t="s">
        <v>98</v>
      </c>
      <c r="G48" s="82">
        <v>11.494999999999999</v>
      </c>
      <c r="H48" s="15">
        <f t="shared" si="10"/>
        <v>137.94</v>
      </c>
      <c r="I48" s="68">
        <f t="shared" si="11"/>
        <v>153.22999999999999</v>
      </c>
      <c r="J48" s="15">
        <f t="shared" si="12"/>
        <v>160.93</v>
      </c>
      <c r="K48" s="16">
        <v>0.10000000000000009</v>
      </c>
      <c r="L48" s="63">
        <f t="shared" si="4"/>
        <v>132.22</v>
      </c>
      <c r="M48" s="63">
        <f t="shared" si="5"/>
        <v>91.96</v>
      </c>
      <c r="N48" s="63">
        <f t="shared" si="6"/>
        <v>102.15</v>
      </c>
      <c r="O48" s="63">
        <f t="shared" si="7"/>
        <v>107.29</v>
      </c>
      <c r="P48" s="77"/>
    </row>
    <row r="49" spans="1:16" ht="15" customHeight="1">
      <c r="A49" s="9" t="s">
        <v>55</v>
      </c>
      <c r="B49" s="10">
        <f t="shared" si="2"/>
        <v>0.20300000000000001</v>
      </c>
      <c r="C49" s="11">
        <v>8</v>
      </c>
      <c r="D49" s="12" t="s">
        <v>28</v>
      </c>
      <c r="E49" s="13" t="s">
        <v>26</v>
      </c>
      <c r="F49" s="14" t="s">
        <v>98</v>
      </c>
      <c r="G49" s="82">
        <v>11.494999999999999</v>
      </c>
      <c r="H49" s="15">
        <f t="shared" si="10"/>
        <v>137.94</v>
      </c>
      <c r="I49" s="68">
        <f t="shared" si="11"/>
        <v>153.22999999999999</v>
      </c>
      <c r="J49" s="15">
        <f t="shared" si="12"/>
        <v>160.93</v>
      </c>
      <c r="K49" s="16">
        <v>0.10000000000000009</v>
      </c>
      <c r="L49" s="63">
        <f t="shared" si="4"/>
        <v>132.22</v>
      </c>
      <c r="M49" s="63">
        <f t="shared" si="5"/>
        <v>91.96</v>
      </c>
      <c r="N49" s="63">
        <f t="shared" si="6"/>
        <v>102.15</v>
      </c>
      <c r="O49" s="63">
        <f t="shared" si="7"/>
        <v>107.29</v>
      </c>
      <c r="P49" s="77"/>
    </row>
    <row r="50" spans="1:16" ht="15" customHeight="1">
      <c r="A50" s="9" t="s">
        <v>55</v>
      </c>
      <c r="B50" s="10">
        <f t="shared" si="2"/>
        <v>0.20300000000000001</v>
      </c>
      <c r="C50" s="11">
        <v>8</v>
      </c>
      <c r="D50" s="12" t="s">
        <v>28</v>
      </c>
      <c r="E50" s="13" t="s">
        <v>26</v>
      </c>
      <c r="F50" s="14" t="s">
        <v>95</v>
      </c>
      <c r="G50" s="82">
        <v>12.667999999999999</v>
      </c>
      <c r="H50" s="15">
        <f t="shared" si="10"/>
        <v>152.02000000000001</v>
      </c>
      <c r="I50" s="68">
        <f t="shared" si="11"/>
        <v>168.86</v>
      </c>
      <c r="J50" s="15">
        <f t="shared" si="12"/>
        <v>177.35</v>
      </c>
      <c r="K50" s="16">
        <v>0.10003473428273701</v>
      </c>
      <c r="L50" s="63">
        <f t="shared" si="4"/>
        <v>145.71</v>
      </c>
      <c r="M50" s="63">
        <f t="shared" si="5"/>
        <v>101.35</v>
      </c>
      <c r="N50" s="63">
        <f t="shared" si="6"/>
        <v>112.57</v>
      </c>
      <c r="O50" s="63">
        <f t="shared" si="7"/>
        <v>118.23</v>
      </c>
      <c r="P50" s="77"/>
    </row>
    <row r="51" spans="1:16" ht="15" customHeight="1">
      <c r="A51" s="9" t="s">
        <v>55</v>
      </c>
      <c r="B51" s="10">
        <f t="shared" si="2"/>
        <v>0.20300000000000001</v>
      </c>
      <c r="C51" s="11">
        <v>8</v>
      </c>
      <c r="D51" s="12" t="s">
        <v>28</v>
      </c>
      <c r="E51" s="13" t="s">
        <v>26</v>
      </c>
      <c r="F51" s="14" t="s">
        <v>89</v>
      </c>
      <c r="G51" s="82">
        <v>12.62</v>
      </c>
      <c r="H51" s="15">
        <f t="shared" si="10"/>
        <v>151.44</v>
      </c>
      <c r="I51" s="68">
        <f t="shared" si="11"/>
        <v>168.22</v>
      </c>
      <c r="J51" s="15">
        <f t="shared" si="12"/>
        <v>176.68</v>
      </c>
      <c r="K51" s="16">
        <v>9.9973851651703916E-2</v>
      </c>
      <c r="L51" s="63">
        <f t="shared" si="4"/>
        <v>145.16999999999999</v>
      </c>
      <c r="M51" s="63">
        <f t="shared" si="5"/>
        <v>100.96</v>
      </c>
      <c r="N51" s="63">
        <f t="shared" si="6"/>
        <v>112.15</v>
      </c>
      <c r="O51" s="63">
        <f t="shared" si="7"/>
        <v>117.79</v>
      </c>
      <c r="P51" s="77"/>
    </row>
    <row r="52" spans="1:16" ht="15" customHeight="1">
      <c r="A52" s="9" t="s">
        <v>55</v>
      </c>
      <c r="B52" s="10">
        <f t="shared" si="2"/>
        <v>0.22900000000000001</v>
      </c>
      <c r="C52" s="11">
        <v>9</v>
      </c>
      <c r="D52" s="12" t="s">
        <v>28</v>
      </c>
      <c r="E52" s="13" t="s">
        <v>26</v>
      </c>
      <c r="F52" s="14" t="s">
        <v>89</v>
      </c>
      <c r="G52" s="82">
        <v>12.62</v>
      </c>
      <c r="H52" s="15">
        <f t="shared" si="10"/>
        <v>151.44</v>
      </c>
      <c r="I52" s="68">
        <f t="shared" si="11"/>
        <v>168.22</v>
      </c>
      <c r="J52" s="15">
        <f t="shared" si="12"/>
        <v>176.68</v>
      </c>
      <c r="K52" s="16">
        <v>9.9973851651703916E-2</v>
      </c>
      <c r="L52" s="63">
        <f t="shared" si="4"/>
        <v>145.16999999999999</v>
      </c>
      <c r="M52" s="63">
        <f t="shared" si="5"/>
        <v>100.96</v>
      </c>
      <c r="N52" s="63">
        <f t="shared" si="6"/>
        <v>112.15</v>
      </c>
      <c r="O52" s="63">
        <f t="shared" si="7"/>
        <v>117.79</v>
      </c>
      <c r="P52" s="77"/>
    </row>
    <row r="53" spans="1:16" ht="15" customHeight="1">
      <c r="A53" s="9" t="s">
        <v>55</v>
      </c>
      <c r="B53" s="10">
        <f t="shared" si="2"/>
        <v>0.249</v>
      </c>
      <c r="C53" s="11">
        <v>9.8000000000000007</v>
      </c>
      <c r="D53" s="12" t="s">
        <v>28</v>
      </c>
      <c r="E53" s="13" t="s">
        <v>26</v>
      </c>
      <c r="F53" s="14" t="s">
        <v>89</v>
      </c>
      <c r="G53" s="82">
        <v>12.62</v>
      </c>
      <c r="H53" s="15">
        <f t="shared" si="10"/>
        <v>151.44</v>
      </c>
      <c r="I53" s="68">
        <f t="shared" si="11"/>
        <v>168.22</v>
      </c>
      <c r="J53" s="15">
        <f t="shared" si="12"/>
        <v>176.68</v>
      </c>
      <c r="K53" s="16">
        <v>9.9973851651703916E-2</v>
      </c>
      <c r="L53" s="63">
        <f t="shared" si="4"/>
        <v>145.16999999999999</v>
      </c>
      <c r="M53" s="63">
        <f t="shared" si="5"/>
        <v>100.96</v>
      </c>
      <c r="N53" s="63">
        <f t="shared" si="6"/>
        <v>112.15</v>
      </c>
      <c r="O53" s="63">
        <f t="shared" si="7"/>
        <v>117.79</v>
      </c>
      <c r="P53" s="77"/>
    </row>
    <row r="54" spans="1:16" ht="15" customHeight="1">
      <c r="A54" s="9" t="s">
        <v>55</v>
      </c>
      <c r="B54" s="10">
        <f t="shared" si="2"/>
        <v>0.35599999999999998</v>
      </c>
      <c r="C54" s="11">
        <v>14</v>
      </c>
      <c r="D54" s="12" t="s">
        <v>28</v>
      </c>
      <c r="E54" s="13" t="s">
        <v>26</v>
      </c>
      <c r="F54" s="14" t="s">
        <v>100</v>
      </c>
      <c r="G54" s="82">
        <v>12.676</v>
      </c>
      <c r="H54" s="15">
        <f t="shared" si="10"/>
        <v>152.11000000000001</v>
      </c>
      <c r="I54" s="68">
        <f t="shared" si="11"/>
        <v>168.97</v>
      </c>
      <c r="J54" s="15">
        <f t="shared" si="12"/>
        <v>177.46</v>
      </c>
      <c r="K54" s="16">
        <v>9.9965289829920367E-2</v>
      </c>
      <c r="L54" s="63">
        <f t="shared" si="4"/>
        <v>145.81</v>
      </c>
      <c r="M54" s="63">
        <f t="shared" si="5"/>
        <v>101.41</v>
      </c>
      <c r="N54" s="63">
        <f t="shared" si="6"/>
        <v>112.65</v>
      </c>
      <c r="O54" s="63">
        <f t="shared" si="7"/>
        <v>118.31</v>
      </c>
      <c r="P54" s="77"/>
    </row>
    <row r="55" spans="1:16" ht="15" customHeight="1">
      <c r="A55" s="9" t="s">
        <v>55</v>
      </c>
      <c r="B55" s="10">
        <f t="shared" ref="B55" si="13">ROUND(C55*0.0254,3)</f>
        <v>0.40600000000000003</v>
      </c>
      <c r="C55" s="11">
        <v>16</v>
      </c>
      <c r="D55" s="12" t="s">
        <v>28</v>
      </c>
      <c r="E55" s="13" t="s">
        <v>26</v>
      </c>
      <c r="F55" s="14" t="s">
        <v>100</v>
      </c>
      <c r="G55" s="82">
        <v>13.78</v>
      </c>
      <c r="H55" s="15">
        <f t="shared" si="10"/>
        <v>165.36</v>
      </c>
      <c r="I55" s="68">
        <f t="shared" si="11"/>
        <v>183.69</v>
      </c>
      <c r="J55" s="15">
        <f t="shared" si="12"/>
        <v>192.92</v>
      </c>
      <c r="K55" s="16"/>
      <c r="L55" s="63">
        <f t="shared" si="4"/>
        <v>158.51</v>
      </c>
      <c r="M55" s="63">
        <f t="shared" si="5"/>
        <v>110.24</v>
      </c>
      <c r="N55" s="63">
        <f t="shared" si="6"/>
        <v>122.46</v>
      </c>
      <c r="O55" s="63">
        <f t="shared" si="7"/>
        <v>128.61000000000001</v>
      </c>
      <c r="P55" s="77"/>
    </row>
    <row r="56" spans="1:16" ht="15" customHeight="1">
      <c r="A56" s="9" t="s">
        <v>77</v>
      </c>
      <c r="B56" s="10">
        <f t="shared" si="2"/>
        <v>0.50800000000000001</v>
      </c>
      <c r="C56" s="31">
        <v>20</v>
      </c>
      <c r="D56" s="12" t="s">
        <v>28</v>
      </c>
      <c r="E56" s="13" t="s">
        <v>26</v>
      </c>
      <c r="F56" s="32" t="s">
        <v>108</v>
      </c>
      <c r="G56" s="82">
        <v>14.603999999999999</v>
      </c>
      <c r="H56" s="15">
        <f t="shared" si="10"/>
        <v>175.25</v>
      </c>
      <c r="I56" s="68">
        <f t="shared" si="11"/>
        <v>194.67</v>
      </c>
      <c r="J56" s="15">
        <f t="shared" si="12"/>
        <v>204.46</v>
      </c>
      <c r="K56" s="16">
        <v>0.10003012955709556</v>
      </c>
      <c r="L56" s="63">
        <f t="shared" si="4"/>
        <v>167.98</v>
      </c>
      <c r="M56" s="63">
        <f t="shared" si="5"/>
        <v>116.83</v>
      </c>
      <c r="N56" s="63">
        <f t="shared" si="6"/>
        <v>129.78</v>
      </c>
      <c r="O56" s="63">
        <f t="shared" si="7"/>
        <v>136.31</v>
      </c>
      <c r="P56" s="77"/>
    </row>
    <row r="57" spans="1:16" ht="15" customHeight="1">
      <c r="A57" s="9" t="s">
        <v>55</v>
      </c>
      <c r="B57" s="10">
        <f t="shared" si="2"/>
        <v>0.50800000000000001</v>
      </c>
      <c r="C57" s="11">
        <v>20</v>
      </c>
      <c r="D57" s="12" t="s">
        <v>28</v>
      </c>
      <c r="E57" s="13" t="s">
        <v>26</v>
      </c>
      <c r="F57" s="14" t="s">
        <v>91</v>
      </c>
      <c r="G57" s="82">
        <v>17.271999999999998</v>
      </c>
      <c r="H57" s="15">
        <f t="shared" si="10"/>
        <v>207.26</v>
      </c>
      <c r="I57" s="68">
        <f t="shared" si="11"/>
        <v>230.24</v>
      </c>
      <c r="J57" s="15">
        <f t="shared" si="12"/>
        <v>241.81</v>
      </c>
      <c r="K57" s="16">
        <v>9.9987262769073881E-2</v>
      </c>
      <c r="L57" s="63">
        <f t="shared" si="4"/>
        <v>198.67</v>
      </c>
      <c r="M57" s="63">
        <f t="shared" si="5"/>
        <v>138.16999999999999</v>
      </c>
      <c r="N57" s="63">
        <f t="shared" si="6"/>
        <v>153.49</v>
      </c>
      <c r="O57" s="63">
        <f t="shared" si="7"/>
        <v>161.21</v>
      </c>
      <c r="P57" s="77"/>
    </row>
    <row r="58" spans="1:16" ht="15" customHeight="1">
      <c r="A58" s="9" t="s">
        <v>55</v>
      </c>
      <c r="B58" s="10">
        <f t="shared" si="2"/>
        <v>0.61</v>
      </c>
      <c r="C58" s="31">
        <v>24</v>
      </c>
      <c r="D58" s="12" t="s">
        <v>28</v>
      </c>
      <c r="E58" s="13" t="s">
        <v>26</v>
      </c>
      <c r="F58" s="32" t="s">
        <v>94</v>
      </c>
      <c r="G58" s="82">
        <v>14.472</v>
      </c>
      <c r="H58" s="15">
        <f t="shared" si="10"/>
        <v>173.66</v>
      </c>
      <c r="I58" s="68">
        <f t="shared" si="11"/>
        <v>192.91</v>
      </c>
      <c r="J58" s="15">
        <f t="shared" si="12"/>
        <v>202.61</v>
      </c>
      <c r="K58" s="16">
        <v>0.1000304043782303</v>
      </c>
      <c r="L58" s="63">
        <f t="shared" si="4"/>
        <v>166.46</v>
      </c>
      <c r="M58" s="63">
        <f t="shared" si="5"/>
        <v>115.77</v>
      </c>
      <c r="N58" s="63">
        <f t="shared" si="6"/>
        <v>128.61000000000001</v>
      </c>
      <c r="O58" s="63">
        <f t="shared" si="7"/>
        <v>135.07</v>
      </c>
      <c r="P58" s="77"/>
    </row>
    <row r="59" spans="1:16" ht="15" customHeight="1">
      <c r="A59" s="9" t="s">
        <v>55</v>
      </c>
      <c r="B59" s="10">
        <f t="shared" si="2"/>
        <v>0.63500000000000001</v>
      </c>
      <c r="C59" s="31">
        <v>25</v>
      </c>
      <c r="D59" s="12" t="s">
        <v>28</v>
      </c>
      <c r="E59" s="13" t="s">
        <v>26</v>
      </c>
      <c r="F59" s="32" t="s">
        <v>88</v>
      </c>
      <c r="G59" s="82">
        <v>18.911000000000001</v>
      </c>
      <c r="H59" s="15">
        <f t="shared" si="10"/>
        <v>226.93</v>
      </c>
      <c r="I59" s="68">
        <f t="shared" si="11"/>
        <v>252.08</v>
      </c>
      <c r="J59" s="15">
        <f t="shared" si="12"/>
        <v>264.75</v>
      </c>
      <c r="K59" s="16">
        <v>9.998836668217792E-2</v>
      </c>
      <c r="L59" s="63">
        <f t="shared" si="4"/>
        <v>217.52</v>
      </c>
      <c r="M59" s="63">
        <f t="shared" si="5"/>
        <v>151.29</v>
      </c>
      <c r="N59" s="63">
        <f t="shared" si="6"/>
        <v>168.05</v>
      </c>
      <c r="O59" s="63">
        <f t="shared" si="7"/>
        <v>176.5</v>
      </c>
      <c r="P59" s="77"/>
    </row>
    <row r="60" spans="1:16" ht="15" customHeight="1">
      <c r="A60" s="9" t="s">
        <v>55</v>
      </c>
      <c r="B60" s="10">
        <f t="shared" si="2"/>
        <v>0.71099999999999997</v>
      </c>
      <c r="C60" s="31">
        <v>28</v>
      </c>
      <c r="D60" s="12" t="s">
        <v>28</v>
      </c>
      <c r="E60" s="13" t="s">
        <v>26</v>
      </c>
      <c r="F60" s="32" t="s">
        <v>101</v>
      </c>
      <c r="G60" s="82">
        <v>16.117000000000001</v>
      </c>
      <c r="H60" s="15">
        <f t="shared" si="10"/>
        <v>193.4</v>
      </c>
      <c r="I60" s="68">
        <f t="shared" si="11"/>
        <v>214.84</v>
      </c>
      <c r="J60" s="15">
        <f t="shared" si="12"/>
        <v>225.64</v>
      </c>
      <c r="K60" s="16">
        <v>9.9986349986350032E-2</v>
      </c>
      <c r="L60" s="63">
        <f t="shared" si="4"/>
        <v>185.38</v>
      </c>
      <c r="M60" s="63">
        <f t="shared" si="5"/>
        <v>128.93</v>
      </c>
      <c r="N60" s="63">
        <f t="shared" si="6"/>
        <v>143.22999999999999</v>
      </c>
      <c r="O60" s="63">
        <f t="shared" si="7"/>
        <v>150.43</v>
      </c>
      <c r="P60" s="77"/>
    </row>
    <row r="61" spans="1:16" ht="15" customHeight="1">
      <c r="A61" s="9" t="s">
        <v>55</v>
      </c>
      <c r="B61" s="10">
        <f t="shared" si="2"/>
        <v>0.83799999999999997</v>
      </c>
      <c r="C61" s="11">
        <v>33</v>
      </c>
      <c r="D61" s="12" t="s">
        <v>28</v>
      </c>
      <c r="E61" s="13" t="s">
        <v>26</v>
      </c>
      <c r="F61" s="14" t="s">
        <v>111</v>
      </c>
      <c r="G61" s="82">
        <v>17.719000000000001</v>
      </c>
      <c r="H61" s="15">
        <f t="shared" si="10"/>
        <v>212.63</v>
      </c>
      <c r="I61" s="68">
        <f t="shared" si="11"/>
        <v>236.19</v>
      </c>
      <c r="J61" s="15">
        <f t="shared" si="12"/>
        <v>248.07</v>
      </c>
      <c r="K61" s="16">
        <v>0.10001241619071277</v>
      </c>
      <c r="L61" s="63">
        <f t="shared" si="4"/>
        <v>203.81</v>
      </c>
      <c r="M61" s="63">
        <f t="shared" si="5"/>
        <v>141.75</v>
      </c>
      <c r="N61" s="63">
        <f t="shared" si="6"/>
        <v>157.46</v>
      </c>
      <c r="O61" s="63">
        <f t="shared" si="7"/>
        <v>165.38</v>
      </c>
      <c r="P61" s="77"/>
    </row>
    <row r="62" spans="1:16" ht="15" customHeight="1">
      <c r="A62" s="9" t="s">
        <v>55</v>
      </c>
      <c r="B62" s="10">
        <f t="shared" si="2"/>
        <v>0.88900000000000001</v>
      </c>
      <c r="C62" s="11">
        <v>35</v>
      </c>
      <c r="D62" s="12" t="s">
        <v>28</v>
      </c>
      <c r="E62" s="13" t="s">
        <v>26</v>
      </c>
      <c r="F62" s="14" t="s">
        <v>111</v>
      </c>
      <c r="G62" s="82">
        <v>17.719000000000001</v>
      </c>
      <c r="H62" s="15">
        <f t="shared" si="10"/>
        <v>212.63</v>
      </c>
      <c r="I62" s="68">
        <f t="shared" si="11"/>
        <v>236.19</v>
      </c>
      <c r="J62" s="15">
        <f t="shared" si="12"/>
        <v>248.07</v>
      </c>
      <c r="K62" s="16">
        <v>0.10001241619071277</v>
      </c>
      <c r="L62" s="63">
        <f t="shared" si="4"/>
        <v>203.81</v>
      </c>
      <c r="M62" s="63">
        <f t="shared" si="5"/>
        <v>141.75</v>
      </c>
      <c r="N62" s="63">
        <f t="shared" si="6"/>
        <v>157.46</v>
      </c>
      <c r="O62" s="63">
        <f t="shared" si="7"/>
        <v>165.38</v>
      </c>
      <c r="P62" s="77"/>
    </row>
    <row r="63" spans="1:16" ht="15" customHeight="1">
      <c r="A63" s="9" t="s">
        <v>55</v>
      </c>
      <c r="B63" s="10">
        <f t="shared" si="2"/>
        <v>0.99099999999999999</v>
      </c>
      <c r="C63" s="11">
        <v>39</v>
      </c>
      <c r="D63" s="12" t="s">
        <v>28</v>
      </c>
      <c r="E63" s="13" t="s">
        <v>26</v>
      </c>
      <c r="F63" s="14" t="s">
        <v>96</v>
      </c>
      <c r="G63" s="82">
        <v>17.719000000000001</v>
      </c>
      <c r="H63" s="15">
        <f t="shared" si="10"/>
        <v>212.63</v>
      </c>
      <c r="I63" s="68">
        <f t="shared" si="11"/>
        <v>236.19</v>
      </c>
      <c r="J63" s="15">
        <f t="shared" si="12"/>
        <v>248.07</v>
      </c>
      <c r="K63" s="16">
        <v>0.10001241619071277</v>
      </c>
      <c r="L63" s="63">
        <f t="shared" si="4"/>
        <v>203.81</v>
      </c>
      <c r="M63" s="63">
        <f t="shared" si="5"/>
        <v>141.75</v>
      </c>
      <c r="N63" s="63">
        <f t="shared" si="6"/>
        <v>157.46</v>
      </c>
      <c r="O63" s="63">
        <f t="shared" si="7"/>
        <v>165.38</v>
      </c>
      <c r="P63" s="77"/>
    </row>
    <row r="64" spans="1:16" ht="15" customHeight="1">
      <c r="A64" s="9" t="s">
        <v>55</v>
      </c>
      <c r="B64" s="10">
        <f t="shared" si="2"/>
        <v>1.6</v>
      </c>
      <c r="C64" s="11">
        <v>63</v>
      </c>
      <c r="D64" s="12" t="s">
        <v>28</v>
      </c>
      <c r="E64" s="13" t="s">
        <v>26</v>
      </c>
      <c r="F64" s="14" t="s">
        <v>103</v>
      </c>
      <c r="G64" s="82">
        <v>22.768999999999998</v>
      </c>
      <c r="H64" s="15">
        <f t="shared" si="10"/>
        <v>273.23</v>
      </c>
      <c r="I64" s="68">
        <f t="shared" si="11"/>
        <v>303.51</v>
      </c>
      <c r="J64" s="15">
        <f t="shared" si="12"/>
        <v>318.77</v>
      </c>
      <c r="K64" s="16">
        <v>0.10000483115126313</v>
      </c>
      <c r="L64" s="63">
        <f t="shared" si="4"/>
        <v>261.89999999999998</v>
      </c>
      <c r="M64" s="63">
        <f t="shared" si="5"/>
        <v>182.15</v>
      </c>
      <c r="N64" s="63">
        <f t="shared" si="6"/>
        <v>202.34</v>
      </c>
      <c r="O64" s="63">
        <f t="shared" si="7"/>
        <v>212.51</v>
      </c>
      <c r="P64" s="77"/>
    </row>
    <row r="65" spans="1:16" ht="15" customHeight="1">
      <c r="A65" s="9" t="s">
        <v>55</v>
      </c>
      <c r="B65" s="10">
        <f t="shared" si="2"/>
        <v>2.54</v>
      </c>
      <c r="C65" s="11">
        <v>100</v>
      </c>
      <c r="D65" s="12" t="s">
        <v>28</v>
      </c>
      <c r="E65" s="13" t="s">
        <v>26</v>
      </c>
      <c r="F65" s="14" t="s">
        <v>98</v>
      </c>
      <c r="G65" s="82">
        <v>32.603999999999999</v>
      </c>
      <c r="H65" s="15">
        <f t="shared" si="10"/>
        <v>391.25</v>
      </c>
      <c r="I65" s="68">
        <f t="shared" si="11"/>
        <v>434.61</v>
      </c>
      <c r="J65" s="15">
        <f t="shared" si="12"/>
        <v>456.46</v>
      </c>
      <c r="K65" s="16">
        <v>9.9999999999999867E-2</v>
      </c>
      <c r="L65" s="63">
        <f t="shared" si="4"/>
        <v>375.02</v>
      </c>
      <c r="M65" s="63">
        <f t="shared" si="5"/>
        <v>260.83</v>
      </c>
      <c r="N65" s="63">
        <f t="shared" si="6"/>
        <v>289.74</v>
      </c>
      <c r="O65" s="63">
        <f t="shared" si="7"/>
        <v>304.31</v>
      </c>
      <c r="P65" s="77"/>
    </row>
    <row r="66" spans="1:16" ht="15" customHeight="1">
      <c r="A66" s="9" t="s">
        <v>55</v>
      </c>
      <c r="B66" s="10">
        <f t="shared" si="2"/>
        <v>7.5999999999999998E-2</v>
      </c>
      <c r="C66" s="11">
        <v>3</v>
      </c>
      <c r="D66" s="12" t="s">
        <v>68</v>
      </c>
      <c r="E66" s="13" t="s">
        <v>26</v>
      </c>
      <c r="F66" s="14" t="s">
        <v>81</v>
      </c>
      <c r="G66" s="82">
        <v>18.439</v>
      </c>
      <c r="H66" s="15">
        <f t="shared" si="10"/>
        <v>221.27</v>
      </c>
      <c r="I66" s="15">
        <f t="shared" si="11"/>
        <v>245.79</v>
      </c>
      <c r="J66" s="15">
        <f t="shared" si="12"/>
        <v>258.14999999999998</v>
      </c>
      <c r="K66" s="16">
        <v>0.06</v>
      </c>
      <c r="L66" s="63">
        <f t="shared" si="4"/>
        <v>212.1</v>
      </c>
      <c r="M66" s="63">
        <f t="shared" si="5"/>
        <v>147.51</v>
      </c>
      <c r="N66" s="63">
        <f t="shared" si="6"/>
        <v>163.86</v>
      </c>
      <c r="O66" s="63">
        <f t="shared" si="7"/>
        <v>172.1</v>
      </c>
      <c r="P66" s="77"/>
    </row>
    <row r="67" spans="1:16" ht="15" customHeight="1">
      <c r="A67" s="9" t="s">
        <v>55</v>
      </c>
      <c r="B67" s="10">
        <f t="shared" ref="B67" si="14">ROUND(C67*0.0254,3)</f>
        <v>0.127</v>
      </c>
      <c r="C67" s="11">
        <v>5</v>
      </c>
      <c r="D67" s="12" t="s">
        <v>68</v>
      </c>
      <c r="E67" s="13" t="s">
        <v>26</v>
      </c>
      <c r="F67" s="14" t="s">
        <v>86</v>
      </c>
      <c r="G67" s="82">
        <v>19.356000000000002</v>
      </c>
      <c r="H67" s="15">
        <f t="shared" si="10"/>
        <v>232.27</v>
      </c>
      <c r="I67" s="15">
        <f t="shared" si="11"/>
        <v>258.02</v>
      </c>
      <c r="J67" s="15">
        <f t="shared" si="12"/>
        <v>270.98</v>
      </c>
      <c r="K67" s="16"/>
      <c r="L67" s="63">
        <f t="shared" si="4"/>
        <v>222.65</v>
      </c>
      <c r="M67" s="63">
        <f t="shared" si="5"/>
        <v>154.85</v>
      </c>
      <c r="N67" s="63">
        <f t="shared" si="6"/>
        <v>172.01</v>
      </c>
      <c r="O67" s="63">
        <f t="shared" si="7"/>
        <v>180.65</v>
      </c>
      <c r="P67" s="77"/>
    </row>
    <row r="68" spans="1:16" ht="15" customHeight="1">
      <c r="A68" s="9" t="s">
        <v>77</v>
      </c>
      <c r="B68" s="10">
        <f t="shared" si="2"/>
        <v>7.5999999999999998E-2</v>
      </c>
      <c r="C68" s="11">
        <v>3</v>
      </c>
      <c r="D68" s="12" t="s">
        <v>29</v>
      </c>
      <c r="E68" s="13" t="s">
        <v>26</v>
      </c>
      <c r="F68" s="14" t="s">
        <v>81</v>
      </c>
      <c r="G68" s="82">
        <v>21.564</v>
      </c>
      <c r="H68" s="15">
        <f t="shared" si="10"/>
        <v>258.77</v>
      </c>
      <c r="I68" s="68">
        <f t="shared" si="11"/>
        <v>287.45</v>
      </c>
      <c r="J68" s="15">
        <f t="shared" ref="J68:J99" si="15">ROUND(G68*14,2)</f>
        <v>301.89999999999998</v>
      </c>
      <c r="K68" s="16">
        <v>6.6996536368134629E-2</v>
      </c>
      <c r="L68" s="63">
        <f t="shared" si="4"/>
        <v>248.04</v>
      </c>
      <c r="M68" s="63">
        <f t="shared" si="5"/>
        <v>172.51</v>
      </c>
      <c r="N68" s="63">
        <f t="shared" si="6"/>
        <v>191.63</v>
      </c>
      <c r="O68" s="63">
        <f t="shared" si="7"/>
        <v>201.27</v>
      </c>
      <c r="P68" s="77"/>
    </row>
    <row r="69" spans="1:16" ht="15" customHeight="1">
      <c r="A69" s="9" t="s">
        <v>55</v>
      </c>
      <c r="B69" s="10">
        <f t="shared" si="2"/>
        <v>0.10199999999999999</v>
      </c>
      <c r="C69" s="11">
        <v>4</v>
      </c>
      <c r="D69" s="12" t="s">
        <v>29</v>
      </c>
      <c r="E69" s="13" t="s">
        <v>26</v>
      </c>
      <c r="F69" s="14" t="s">
        <v>84</v>
      </c>
      <c r="G69" s="82">
        <v>21.247</v>
      </c>
      <c r="H69" s="15">
        <f t="shared" si="10"/>
        <v>254.96</v>
      </c>
      <c r="I69" s="68">
        <f t="shared" si="11"/>
        <v>283.22000000000003</v>
      </c>
      <c r="J69" s="15">
        <f t="shared" si="15"/>
        <v>297.45999999999998</v>
      </c>
      <c r="K69" s="16">
        <v>6.6991412645005743E-2</v>
      </c>
      <c r="L69" s="63">
        <f t="shared" si="4"/>
        <v>244.39</v>
      </c>
      <c r="M69" s="63">
        <f t="shared" si="5"/>
        <v>169.97</v>
      </c>
      <c r="N69" s="63">
        <f t="shared" si="6"/>
        <v>188.81</v>
      </c>
      <c r="O69" s="63">
        <f t="shared" si="7"/>
        <v>198.31</v>
      </c>
      <c r="P69" s="77"/>
    </row>
    <row r="70" spans="1:16" ht="15" customHeight="1">
      <c r="A70" s="9" t="s">
        <v>55</v>
      </c>
      <c r="B70" s="10">
        <f t="shared" si="2"/>
        <v>0.10199999999999999</v>
      </c>
      <c r="C70" s="11">
        <v>4</v>
      </c>
      <c r="D70" s="12" t="s">
        <v>29</v>
      </c>
      <c r="E70" s="13" t="s">
        <v>26</v>
      </c>
      <c r="F70" s="14" t="s">
        <v>97</v>
      </c>
      <c r="G70" s="82">
        <v>22.361000000000001</v>
      </c>
      <c r="H70" s="15">
        <f t="shared" si="10"/>
        <v>268.33</v>
      </c>
      <c r="I70" s="68">
        <f t="shared" si="11"/>
        <v>298.07</v>
      </c>
      <c r="J70" s="15">
        <f t="shared" si="15"/>
        <v>313.05</v>
      </c>
      <c r="K70" s="16">
        <v>6.6994321706351112E-2</v>
      </c>
      <c r="L70" s="63">
        <f t="shared" si="4"/>
        <v>257.20999999999998</v>
      </c>
      <c r="M70" s="63">
        <f t="shared" si="5"/>
        <v>178.89</v>
      </c>
      <c r="N70" s="63">
        <f t="shared" si="6"/>
        <v>198.71</v>
      </c>
      <c r="O70" s="63">
        <f t="shared" si="7"/>
        <v>208.7</v>
      </c>
      <c r="P70" s="77"/>
    </row>
    <row r="71" spans="1:16" ht="15" customHeight="1">
      <c r="A71" s="9" t="s">
        <v>55</v>
      </c>
      <c r="B71" s="10">
        <f t="shared" si="2"/>
        <v>0.114</v>
      </c>
      <c r="C71" s="11">
        <v>4.5</v>
      </c>
      <c r="D71" s="12" t="s">
        <v>29</v>
      </c>
      <c r="E71" s="13" t="s">
        <v>26</v>
      </c>
      <c r="F71" s="14" t="s">
        <v>84</v>
      </c>
      <c r="G71" s="82">
        <v>20.850999999999999</v>
      </c>
      <c r="H71" s="15">
        <f t="shared" si="10"/>
        <v>250.21</v>
      </c>
      <c r="I71" s="68">
        <f t="shared" si="11"/>
        <v>277.94</v>
      </c>
      <c r="J71" s="15">
        <f t="shared" si="15"/>
        <v>291.91000000000003</v>
      </c>
      <c r="K71" s="16">
        <v>6.6983932043803041E-2</v>
      </c>
      <c r="L71" s="63">
        <f t="shared" si="4"/>
        <v>239.84</v>
      </c>
      <c r="M71" s="63">
        <f t="shared" si="5"/>
        <v>166.81</v>
      </c>
      <c r="N71" s="63">
        <f t="shared" si="6"/>
        <v>185.29</v>
      </c>
      <c r="O71" s="63">
        <f t="shared" si="7"/>
        <v>194.61</v>
      </c>
      <c r="P71" s="77"/>
    </row>
    <row r="72" spans="1:16" ht="15" customHeight="1">
      <c r="A72" s="9" t="s">
        <v>55</v>
      </c>
      <c r="B72" s="10">
        <f t="shared" si="2"/>
        <v>0.11899999999999999</v>
      </c>
      <c r="C72" s="11">
        <v>4.7</v>
      </c>
      <c r="D72" s="12" t="s">
        <v>29</v>
      </c>
      <c r="E72" s="13" t="s">
        <v>26</v>
      </c>
      <c r="F72" s="14" t="s">
        <v>84</v>
      </c>
      <c r="G72" s="82">
        <v>21.042999999999999</v>
      </c>
      <c r="H72" s="15">
        <f t="shared" si="10"/>
        <v>252.52</v>
      </c>
      <c r="I72" s="68">
        <f t="shared" si="11"/>
        <v>280.5</v>
      </c>
      <c r="J72" s="15">
        <f t="shared" si="15"/>
        <v>294.60000000000002</v>
      </c>
      <c r="K72" s="16">
        <v>6.6981036406043915E-2</v>
      </c>
      <c r="L72" s="63">
        <f t="shared" si="4"/>
        <v>242.06</v>
      </c>
      <c r="M72" s="63">
        <f t="shared" si="5"/>
        <v>168.35</v>
      </c>
      <c r="N72" s="63">
        <f t="shared" si="6"/>
        <v>187</v>
      </c>
      <c r="O72" s="63">
        <f t="shared" si="7"/>
        <v>196.4</v>
      </c>
      <c r="P72" s="77"/>
    </row>
    <row r="73" spans="1:16" ht="15" customHeight="1">
      <c r="A73" s="9" t="s">
        <v>55</v>
      </c>
      <c r="B73" s="10">
        <f t="shared" ref="B73" si="16">ROUND(C73*0.0254,3)</f>
        <v>0.127</v>
      </c>
      <c r="C73" s="11">
        <v>5</v>
      </c>
      <c r="D73" s="12" t="s">
        <v>29</v>
      </c>
      <c r="E73" s="13" t="s">
        <v>26</v>
      </c>
      <c r="F73" s="14" t="s">
        <v>97</v>
      </c>
      <c r="G73" s="82">
        <v>22.571000000000002</v>
      </c>
      <c r="H73" s="15">
        <f t="shared" ref="H73" si="17">ROUND(G73*12,2)</f>
        <v>270.85000000000002</v>
      </c>
      <c r="I73" s="68">
        <f t="shared" ref="I73" si="18">ROUND(G73*13.33,2)</f>
        <v>300.87</v>
      </c>
      <c r="J73" s="15">
        <f t="shared" ref="J73" si="19">ROUND(G73*14,2)</f>
        <v>315.99</v>
      </c>
      <c r="K73" s="16">
        <v>6.6984967382055505E-2</v>
      </c>
      <c r="L73" s="63">
        <f t="shared" ref="L73" si="20">ROUND(ROUND(ROUND(G73*12,2)*43/48,2)*1.07,2)</f>
        <v>259.62</v>
      </c>
      <c r="M73" s="63">
        <f t="shared" ref="M73" si="21">ROUND(ROUND(G73*12,2)*2/3,2)</f>
        <v>180.57</v>
      </c>
      <c r="N73" s="63">
        <f t="shared" ref="N73" si="22">ROUND(ROUND(G73*13.33,2)*2/3,2)</f>
        <v>200.58</v>
      </c>
      <c r="O73" s="63">
        <f t="shared" ref="O73" si="23">ROUND(ROUND(G73*14,2)*2/3,2)</f>
        <v>210.66</v>
      </c>
      <c r="P73" s="77"/>
    </row>
    <row r="74" spans="1:16" ht="15" customHeight="1">
      <c r="A74" s="9" t="s">
        <v>77</v>
      </c>
      <c r="B74" s="10">
        <f t="shared" si="2"/>
        <v>0.127</v>
      </c>
      <c r="C74" s="11">
        <v>5</v>
      </c>
      <c r="D74" s="12" t="s">
        <v>29</v>
      </c>
      <c r="E74" s="13" t="s">
        <v>26</v>
      </c>
      <c r="F74" s="14" t="s">
        <v>84</v>
      </c>
      <c r="G74" s="82">
        <v>21.042999999999999</v>
      </c>
      <c r="H74" s="15">
        <f t="shared" si="10"/>
        <v>252.52</v>
      </c>
      <c r="I74" s="68">
        <f t="shared" si="11"/>
        <v>280.5</v>
      </c>
      <c r="J74" s="15">
        <f t="shared" si="15"/>
        <v>294.60000000000002</v>
      </c>
      <c r="K74" s="16">
        <v>6.6981036406043915E-2</v>
      </c>
      <c r="L74" s="63">
        <f t="shared" si="4"/>
        <v>242.06</v>
      </c>
      <c r="M74" s="63">
        <f t="shared" si="5"/>
        <v>168.35</v>
      </c>
      <c r="N74" s="63">
        <f t="shared" si="6"/>
        <v>187</v>
      </c>
      <c r="O74" s="63">
        <f t="shared" si="7"/>
        <v>196.4</v>
      </c>
      <c r="P74" s="77"/>
    </row>
    <row r="75" spans="1:16" ht="15" customHeight="1">
      <c r="A75" s="9" t="s">
        <v>55</v>
      </c>
      <c r="B75" s="10">
        <f t="shared" si="2"/>
        <v>0.127</v>
      </c>
      <c r="C75" s="11">
        <v>5</v>
      </c>
      <c r="D75" s="12" t="s">
        <v>29</v>
      </c>
      <c r="E75" s="13" t="s">
        <v>26</v>
      </c>
      <c r="F75" s="14" t="s">
        <v>85</v>
      </c>
      <c r="G75" s="82">
        <v>22.571000000000002</v>
      </c>
      <c r="H75" s="15">
        <f t="shared" si="10"/>
        <v>270.85000000000002</v>
      </c>
      <c r="I75" s="68">
        <f t="shared" si="11"/>
        <v>300.87</v>
      </c>
      <c r="J75" s="15">
        <f t="shared" si="15"/>
        <v>315.99</v>
      </c>
      <c r="K75" s="16">
        <v>6.6984967382055505E-2</v>
      </c>
      <c r="L75" s="63">
        <f t="shared" si="4"/>
        <v>259.62</v>
      </c>
      <c r="M75" s="63">
        <f t="shared" si="5"/>
        <v>180.57</v>
      </c>
      <c r="N75" s="63">
        <f t="shared" si="6"/>
        <v>200.58</v>
      </c>
      <c r="O75" s="63">
        <f t="shared" si="7"/>
        <v>210.66</v>
      </c>
      <c r="P75" s="77"/>
    </row>
    <row r="76" spans="1:16" ht="15" customHeight="1">
      <c r="A76" s="9" t="s">
        <v>55</v>
      </c>
      <c r="B76" s="10">
        <f t="shared" si="2"/>
        <v>0.152</v>
      </c>
      <c r="C76" s="11">
        <v>6</v>
      </c>
      <c r="D76" s="12" t="s">
        <v>29</v>
      </c>
      <c r="E76" s="13" t="s">
        <v>26</v>
      </c>
      <c r="F76" s="14" t="s">
        <v>93</v>
      </c>
      <c r="G76" s="82">
        <v>21.161999999999999</v>
      </c>
      <c r="H76" s="15">
        <f t="shared" si="10"/>
        <v>253.94</v>
      </c>
      <c r="I76" s="68">
        <f t="shared" si="11"/>
        <v>282.08999999999997</v>
      </c>
      <c r="J76" s="15">
        <f t="shared" si="15"/>
        <v>296.27</v>
      </c>
      <c r="K76" s="16">
        <v>6.6955732580417537E-2</v>
      </c>
      <c r="L76" s="63">
        <f t="shared" si="4"/>
        <v>243.41</v>
      </c>
      <c r="M76" s="63">
        <f t="shared" si="5"/>
        <v>169.29</v>
      </c>
      <c r="N76" s="63">
        <f t="shared" si="6"/>
        <v>188.06</v>
      </c>
      <c r="O76" s="63">
        <f t="shared" si="7"/>
        <v>197.51</v>
      </c>
      <c r="P76" s="77"/>
    </row>
    <row r="77" spans="1:16" ht="15" customHeight="1">
      <c r="A77" s="9" t="s">
        <v>55</v>
      </c>
      <c r="B77" s="10">
        <f t="shared" si="2"/>
        <v>0.152</v>
      </c>
      <c r="C77" s="11">
        <v>6</v>
      </c>
      <c r="D77" s="12" t="s">
        <v>29</v>
      </c>
      <c r="E77" s="13" t="s">
        <v>26</v>
      </c>
      <c r="F77" s="14" t="s">
        <v>86</v>
      </c>
      <c r="G77" s="82">
        <v>23.07</v>
      </c>
      <c r="H77" s="15">
        <f t="shared" si="10"/>
        <v>276.83999999999997</v>
      </c>
      <c r="I77" s="68">
        <f t="shared" si="11"/>
        <v>307.52</v>
      </c>
      <c r="J77" s="15">
        <f t="shared" si="15"/>
        <v>322.98</v>
      </c>
      <c r="K77" s="16">
        <v>6.7018176772582372E-2</v>
      </c>
      <c r="L77" s="63">
        <f t="shared" si="4"/>
        <v>265.36</v>
      </c>
      <c r="M77" s="63">
        <f t="shared" si="5"/>
        <v>184.56</v>
      </c>
      <c r="N77" s="63">
        <f t="shared" si="6"/>
        <v>205.01</v>
      </c>
      <c r="O77" s="63">
        <f t="shared" si="7"/>
        <v>215.32</v>
      </c>
      <c r="P77" s="77"/>
    </row>
    <row r="78" spans="1:16" ht="15" customHeight="1">
      <c r="A78" s="9" t="s">
        <v>55</v>
      </c>
      <c r="B78" s="10">
        <f t="shared" si="2"/>
        <v>0.17799999999999999</v>
      </c>
      <c r="C78" s="11">
        <v>7</v>
      </c>
      <c r="D78" s="12" t="s">
        <v>29</v>
      </c>
      <c r="E78" s="13" t="s">
        <v>26</v>
      </c>
      <c r="F78" s="14" t="s">
        <v>98</v>
      </c>
      <c r="G78" s="82">
        <v>21.254000000000001</v>
      </c>
      <c r="H78" s="15">
        <f t="shared" si="10"/>
        <v>255.05</v>
      </c>
      <c r="I78" s="68">
        <f t="shared" si="11"/>
        <v>283.32</v>
      </c>
      <c r="J78" s="15">
        <f t="shared" si="15"/>
        <v>297.56</v>
      </c>
      <c r="K78" s="16">
        <v>6.7021436819117541E-2</v>
      </c>
      <c r="L78" s="63">
        <f t="shared" si="4"/>
        <v>244.47</v>
      </c>
      <c r="M78" s="63">
        <f t="shared" si="5"/>
        <v>170.03</v>
      </c>
      <c r="N78" s="63">
        <f t="shared" si="6"/>
        <v>188.88</v>
      </c>
      <c r="O78" s="63">
        <f t="shared" si="7"/>
        <v>198.37</v>
      </c>
      <c r="P78" s="77"/>
    </row>
    <row r="79" spans="1:16" ht="15" customHeight="1">
      <c r="A79" s="9" t="s">
        <v>55</v>
      </c>
      <c r="B79" s="10">
        <f t="shared" si="2"/>
        <v>0.20300000000000001</v>
      </c>
      <c r="C79" s="11">
        <v>8</v>
      </c>
      <c r="D79" s="12" t="s">
        <v>29</v>
      </c>
      <c r="E79" s="13" t="s">
        <v>26</v>
      </c>
      <c r="F79" s="14" t="s">
        <v>98</v>
      </c>
      <c r="G79" s="82">
        <v>21.254000000000001</v>
      </c>
      <c r="H79" s="15">
        <f t="shared" si="10"/>
        <v>255.05</v>
      </c>
      <c r="I79" s="68">
        <f t="shared" si="11"/>
        <v>283.32</v>
      </c>
      <c r="J79" s="15">
        <f t="shared" si="15"/>
        <v>297.56</v>
      </c>
      <c r="K79" s="16">
        <v>6.7021436819117541E-2</v>
      </c>
      <c r="L79" s="63">
        <f t="shared" si="4"/>
        <v>244.47</v>
      </c>
      <c r="M79" s="63">
        <f t="shared" si="5"/>
        <v>170.03</v>
      </c>
      <c r="N79" s="63">
        <f t="shared" si="6"/>
        <v>188.88</v>
      </c>
      <c r="O79" s="63">
        <f t="shared" si="7"/>
        <v>198.37</v>
      </c>
      <c r="P79" s="77"/>
    </row>
    <row r="80" spans="1:16" ht="15" customHeight="1">
      <c r="A80" s="9" t="s">
        <v>55</v>
      </c>
      <c r="B80" s="10">
        <f t="shared" ref="B80:B99" si="24">ROUND(C80*0.0254,3)</f>
        <v>0.20300000000000001</v>
      </c>
      <c r="C80" s="11">
        <v>8</v>
      </c>
      <c r="D80" s="12" t="s">
        <v>29</v>
      </c>
      <c r="E80" s="13" t="s">
        <v>26</v>
      </c>
      <c r="F80" s="14" t="s">
        <v>95</v>
      </c>
      <c r="G80" s="82">
        <v>25.152000000000001</v>
      </c>
      <c r="H80" s="15">
        <f t="shared" si="10"/>
        <v>301.82</v>
      </c>
      <c r="I80" s="68">
        <f t="shared" si="11"/>
        <v>335.28</v>
      </c>
      <c r="J80" s="15">
        <f t="shared" si="15"/>
        <v>352.13</v>
      </c>
      <c r="K80" s="16">
        <v>6.6983413226997079E-2</v>
      </c>
      <c r="L80" s="63">
        <f t="shared" si="4"/>
        <v>289.31</v>
      </c>
      <c r="M80" s="63">
        <f t="shared" si="5"/>
        <v>201.21</v>
      </c>
      <c r="N80" s="63">
        <f t="shared" si="6"/>
        <v>223.52</v>
      </c>
      <c r="O80" s="63">
        <f t="shared" si="7"/>
        <v>234.75</v>
      </c>
      <c r="P80" s="77"/>
    </row>
    <row r="81" spans="1:16" ht="15" customHeight="1">
      <c r="A81" s="9" t="s">
        <v>55</v>
      </c>
      <c r="B81" s="10">
        <f t="shared" si="24"/>
        <v>0.20300000000000001</v>
      </c>
      <c r="C81" s="11">
        <v>8</v>
      </c>
      <c r="D81" s="12" t="s">
        <v>29</v>
      </c>
      <c r="E81" s="13" t="s">
        <v>26</v>
      </c>
      <c r="F81" s="14" t="s">
        <v>89</v>
      </c>
      <c r="G81" s="82">
        <v>24.902000000000001</v>
      </c>
      <c r="H81" s="15">
        <f t="shared" si="10"/>
        <v>298.82</v>
      </c>
      <c r="I81" s="68">
        <f t="shared" si="11"/>
        <v>331.94</v>
      </c>
      <c r="J81" s="15">
        <f t="shared" si="15"/>
        <v>348.63</v>
      </c>
      <c r="K81" s="16">
        <v>6.7015168394892521E-2</v>
      </c>
      <c r="L81" s="63">
        <f t="shared" ref="L81:L99" si="25">ROUND(ROUND(ROUND(G81*12,2)*43/48,2)*1.07,2)</f>
        <v>286.43</v>
      </c>
      <c r="M81" s="63">
        <f t="shared" ref="M81:M99" si="26">ROUND(ROUND(G81*12,2)*2/3,2)</f>
        <v>199.21</v>
      </c>
      <c r="N81" s="63">
        <f t="shared" ref="N81:N99" si="27">ROUND(ROUND(G81*13.33,2)*2/3,2)</f>
        <v>221.29</v>
      </c>
      <c r="O81" s="63">
        <f t="shared" ref="O81:O99" si="28">ROUND(ROUND(G81*14,2)*2/3,2)</f>
        <v>232.42</v>
      </c>
      <c r="P81" s="77"/>
    </row>
    <row r="82" spans="1:16" ht="15" customHeight="1">
      <c r="A82" s="9" t="s">
        <v>55</v>
      </c>
      <c r="B82" s="10">
        <f t="shared" si="24"/>
        <v>0.22900000000000001</v>
      </c>
      <c r="C82" s="11">
        <v>9</v>
      </c>
      <c r="D82" s="12" t="s">
        <v>29</v>
      </c>
      <c r="E82" s="13" t="s">
        <v>26</v>
      </c>
      <c r="F82" s="14" t="s">
        <v>89</v>
      </c>
      <c r="G82" s="82">
        <v>24.902000000000001</v>
      </c>
      <c r="H82" s="15">
        <f t="shared" si="10"/>
        <v>298.82</v>
      </c>
      <c r="I82" s="68">
        <f t="shared" si="11"/>
        <v>331.94</v>
      </c>
      <c r="J82" s="15">
        <f t="shared" si="15"/>
        <v>348.63</v>
      </c>
      <c r="K82" s="16">
        <v>6.7015168394892521E-2</v>
      </c>
      <c r="L82" s="63">
        <f t="shared" si="25"/>
        <v>286.43</v>
      </c>
      <c r="M82" s="63">
        <f t="shared" si="26"/>
        <v>199.21</v>
      </c>
      <c r="N82" s="63">
        <f t="shared" si="27"/>
        <v>221.29</v>
      </c>
      <c r="O82" s="63">
        <f t="shared" si="28"/>
        <v>232.42</v>
      </c>
      <c r="P82" s="77"/>
    </row>
    <row r="83" spans="1:16" ht="15" customHeight="1">
      <c r="A83" s="9" t="s">
        <v>55</v>
      </c>
      <c r="B83" s="10">
        <f t="shared" si="24"/>
        <v>0.254</v>
      </c>
      <c r="C83" s="11">
        <v>10</v>
      </c>
      <c r="D83" s="12" t="s">
        <v>29</v>
      </c>
      <c r="E83" s="13" t="s">
        <v>26</v>
      </c>
      <c r="F83" s="14" t="s">
        <v>89</v>
      </c>
      <c r="G83" s="82">
        <v>24.902000000000001</v>
      </c>
      <c r="H83" s="15">
        <f t="shared" si="10"/>
        <v>298.82</v>
      </c>
      <c r="I83" s="68">
        <f t="shared" si="11"/>
        <v>331.94</v>
      </c>
      <c r="J83" s="15">
        <f t="shared" si="15"/>
        <v>348.63</v>
      </c>
      <c r="K83" s="16">
        <v>6.7015168394892521E-2</v>
      </c>
      <c r="L83" s="63">
        <f t="shared" si="25"/>
        <v>286.43</v>
      </c>
      <c r="M83" s="63">
        <f t="shared" si="26"/>
        <v>199.21</v>
      </c>
      <c r="N83" s="63">
        <f t="shared" si="27"/>
        <v>221.29</v>
      </c>
      <c r="O83" s="63">
        <f t="shared" si="28"/>
        <v>232.42</v>
      </c>
      <c r="P83" s="77"/>
    </row>
    <row r="84" spans="1:16" ht="15" customHeight="1">
      <c r="A84" s="9" t="s">
        <v>55</v>
      </c>
      <c r="B84" s="10">
        <f t="shared" si="24"/>
        <v>0.35599999999999998</v>
      </c>
      <c r="C84" s="11">
        <v>14</v>
      </c>
      <c r="D84" s="12" t="s">
        <v>29</v>
      </c>
      <c r="E84" s="13" t="s">
        <v>26</v>
      </c>
      <c r="F84" s="14" t="s">
        <v>100</v>
      </c>
      <c r="G84" s="82">
        <v>25.204999999999998</v>
      </c>
      <c r="H84" s="15">
        <f t="shared" ref="H84:H99" si="29">ROUND(G84*12,2)</f>
        <v>302.45999999999998</v>
      </c>
      <c r="I84" s="68">
        <f t="shared" ref="I84:I99" si="30">ROUND(G84*13.33,2)</f>
        <v>335.98</v>
      </c>
      <c r="J84" s="15">
        <f t="shared" si="15"/>
        <v>352.87</v>
      </c>
      <c r="K84" s="16">
        <v>6.6968632265165251E-2</v>
      </c>
      <c r="L84" s="63">
        <f t="shared" si="25"/>
        <v>289.92</v>
      </c>
      <c r="M84" s="63">
        <f t="shared" si="26"/>
        <v>201.64</v>
      </c>
      <c r="N84" s="63">
        <f t="shared" si="27"/>
        <v>223.99</v>
      </c>
      <c r="O84" s="63">
        <f t="shared" si="28"/>
        <v>235.25</v>
      </c>
      <c r="P84" s="77"/>
    </row>
    <row r="85" spans="1:16" ht="15" customHeight="1">
      <c r="A85" s="9" t="s">
        <v>55</v>
      </c>
      <c r="B85" s="10">
        <f t="shared" si="24"/>
        <v>0.35599999999999998</v>
      </c>
      <c r="C85" s="11">
        <v>14</v>
      </c>
      <c r="D85" s="12" t="s">
        <v>29</v>
      </c>
      <c r="E85" s="13" t="s">
        <v>26</v>
      </c>
      <c r="F85" s="14" t="s">
        <v>90</v>
      </c>
      <c r="G85" s="82">
        <v>26.63</v>
      </c>
      <c r="H85" s="15">
        <f t="shared" si="29"/>
        <v>319.56</v>
      </c>
      <c r="I85" s="68">
        <f t="shared" si="30"/>
        <v>354.98</v>
      </c>
      <c r="J85" s="15">
        <f t="shared" si="15"/>
        <v>372.82</v>
      </c>
      <c r="K85" s="16">
        <v>6.6992547479766129E-2</v>
      </c>
      <c r="L85" s="63">
        <f t="shared" si="25"/>
        <v>306.31</v>
      </c>
      <c r="M85" s="63">
        <f t="shared" si="26"/>
        <v>213.04</v>
      </c>
      <c r="N85" s="63">
        <f t="shared" si="27"/>
        <v>236.65</v>
      </c>
      <c r="O85" s="63">
        <f t="shared" si="28"/>
        <v>248.55</v>
      </c>
      <c r="P85" s="77"/>
    </row>
    <row r="86" spans="1:16" ht="15" customHeight="1">
      <c r="A86" s="9" t="s">
        <v>55</v>
      </c>
      <c r="B86" s="10">
        <f t="shared" si="24"/>
        <v>0.40600000000000003</v>
      </c>
      <c r="C86" s="11">
        <v>16</v>
      </c>
      <c r="D86" s="12" t="s">
        <v>29</v>
      </c>
      <c r="E86" s="13" t="s">
        <v>26</v>
      </c>
      <c r="F86" s="14" t="s">
        <v>100</v>
      </c>
      <c r="G86" s="82">
        <v>25.204999999999998</v>
      </c>
      <c r="H86" s="15">
        <f t="shared" ref="H86" si="31">ROUND(G86*12,2)</f>
        <v>302.45999999999998</v>
      </c>
      <c r="I86" s="68">
        <f t="shared" ref="I86" si="32">ROUND(G86*13.33,2)</f>
        <v>335.98</v>
      </c>
      <c r="J86" s="15">
        <f t="shared" ref="J86" si="33">ROUND(G86*14,2)</f>
        <v>352.87</v>
      </c>
      <c r="K86" s="16">
        <v>6.6968632265165251E-2</v>
      </c>
      <c r="L86" s="63">
        <f t="shared" ref="L86" si="34">ROUND(ROUND(ROUND(G86*12,2)*43/48,2)*1.07,2)</f>
        <v>289.92</v>
      </c>
      <c r="M86" s="63">
        <f t="shared" ref="M86" si="35">ROUND(ROUND(G86*12,2)*2/3,2)</f>
        <v>201.64</v>
      </c>
      <c r="N86" s="63">
        <f t="shared" ref="N86" si="36">ROUND(ROUND(G86*13.33,2)*2/3,2)</f>
        <v>223.99</v>
      </c>
      <c r="O86" s="63">
        <f t="shared" ref="O86" si="37">ROUND(ROUND(G86*14,2)*2/3,2)</f>
        <v>235.25</v>
      </c>
      <c r="P86" s="77"/>
    </row>
    <row r="87" spans="1:16" ht="15" customHeight="1">
      <c r="A87" s="9" t="s">
        <v>55</v>
      </c>
      <c r="B87" s="10">
        <f t="shared" si="24"/>
        <v>0.50800000000000001</v>
      </c>
      <c r="C87" s="31">
        <v>20</v>
      </c>
      <c r="D87" s="12" t="s">
        <v>29</v>
      </c>
      <c r="E87" s="13" t="s">
        <v>26</v>
      </c>
      <c r="F87" s="32" t="s">
        <v>89</v>
      </c>
      <c r="G87" s="82">
        <v>26.082000000000001</v>
      </c>
      <c r="H87" s="15">
        <f t="shared" si="29"/>
        <v>312.98</v>
      </c>
      <c r="I87" s="68">
        <f t="shared" si="30"/>
        <v>347.67</v>
      </c>
      <c r="J87" s="15">
        <f t="shared" si="15"/>
        <v>365.15</v>
      </c>
      <c r="K87" s="16">
        <v>4.4993789815297225E-2</v>
      </c>
      <c r="L87" s="63">
        <f t="shared" si="25"/>
        <v>300.01</v>
      </c>
      <c r="M87" s="63">
        <f t="shared" si="26"/>
        <v>208.65</v>
      </c>
      <c r="N87" s="63">
        <f t="shared" si="27"/>
        <v>231.78</v>
      </c>
      <c r="O87" s="63">
        <f t="shared" si="28"/>
        <v>243.43</v>
      </c>
      <c r="P87" s="77"/>
    </row>
    <row r="88" spans="1:16" ht="15" customHeight="1">
      <c r="A88" s="9" t="s">
        <v>55</v>
      </c>
      <c r="B88" s="10">
        <f t="shared" si="24"/>
        <v>0.50800000000000001</v>
      </c>
      <c r="C88" s="11">
        <v>20</v>
      </c>
      <c r="D88" s="12" t="s">
        <v>29</v>
      </c>
      <c r="E88" s="13" t="s">
        <v>26</v>
      </c>
      <c r="F88" s="14" t="s">
        <v>91</v>
      </c>
      <c r="G88" s="82">
        <v>29.268999999999998</v>
      </c>
      <c r="H88" s="15">
        <f t="shared" si="29"/>
        <v>351.23</v>
      </c>
      <c r="I88" s="68">
        <f t="shared" si="30"/>
        <v>390.16</v>
      </c>
      <c r="J88" s="15">
        <f t="shared" si="15"/>
        <v>409.77</v>
      </c>
      <c r="K88" s="16">
        <v>4.5022850614110155E-2</v>
      </c>
      <c r="L88" s="63">
        <f t="shared" si="25"/>
        <v>336.66</v>
      </c>
      <c r="M88" s="63">
        <f t="shared" si="26"/>
        <v>234.15</v>
      </c>
      <c r="N88" s="63">
        <f t="shared" si="27"/>
        <v>260.11</v>
      </c>
      <c r="O88" s="63">
        <f t="shared" si="28"/>
        <v>273.18</v>
      </c>
      <c r="P88" s="77"/>
    </row>
    <row r="89" spans="1:16" ht="15" customHeight="1">
      <c r="A89" s="9" t="s">
        <v>55</v>
      </c>
      <c r="B89" s="10">
        <f t="shared" si="24"/>
        <v>0.61</v>
      </c>
      <c r="C89" s="31">
        <v>24</v>
      </c>
      <c r="D89" s="12" t="s">
        <v>29</v>
      </c>
      <c r="E89" s="13" t="s">
        <v>26</v>
      </c>
      <c r="F89" s="32" t="s">
        <v>94</v>
      </c>
      <c r="G89" s="82">
        <v>26.082000000000001</v>
      </c>
      <c r="H89" s="15">
        <f t="shared" si="29"/>
        <v>312.98</v>
      </c>
      <c r="I89" s="68">
        <f t="shared" si="30"/>
        <v>347.67</v>
      </c>
      <c r="J89" s="15">
        <f t="shared" si="15"/>
        <v>365.15</v>
      </c>
      <c r="K89" s="16">
        <v>4.4993789815297225E-2</v>
      </c>
      <c r="L89" s="63">
        <f t="shared" si="25"/>
        <v>300.01</v>
      </c>
      <c r="M89" s="63">
        <f t="shared" si="26"/>
        <v>208.65</v>
      </c>
      <c r="N89" s="63">
        <f t="shared" si="27"/>
        <v>231.78</v>
      </c>
      <c r="O89" s="63">
        <f t="shared" si="28"/>
        <v>243.43</v>
      </c>
      <c r="P89" s="77"/>
    </row>
    <row r="90" spans="1:16" ht="15" customHeight="1">
      <c r="A90" s="9" t="s">
        <v>55</v>
      </c>
      <c r="B90" s="10">
        <f t="shared" si="24"/>
        <v>0.63500000000000001</v>
      </c>
      <c r="C90" s="31">
        <v>25</v>
      </c>
      <c r="D90" s="12" t="s">
        <v>29</v>
      </c>
      <c r="E90" s="13" t="s">
        <v>26</v>
      </c>
      <c r="F90" s="32" t="s">
        <v>88</v>
      </c>
      <c r="G90" s="82">
        <v>27.727</v>
      </c>
      <c r="H90" s="15">
        <f t="shared" si="29"/>
        <v>332.72</v>
      </c>
      <c r="I90" s="68">
        <f t="shared" si="30"/>
        <v>369.6</v>
      </c>
      <c r="J90" s="15">
        <f t="shared" si="15"/>
        <v>388.18</v>
      </c>
      <c r="K90" s="16">
        <v>4.500056533373531E-2</v>
      </c>
      <c r="L90" s="63">
        <f t="shared" si="25"/>
        <v>318.92</v>
      </c>
      <c r="M90" s="63">
        <f t="shared" si="26"/>
        <v>221.81</v>
      </c>
      <c r="N90" s="63">
        <f t="shared" si="27"/>
        <v>246.4</v>
      </c>
      <c r="O90" s="63">
        <f t="shared" si="28"/>
        <v>258.79000000000002</v>
      </c>
      <c r="P90" s="77"/>
    </row>
    <row r="91" spans="1:16" ht="15" customHeight="1">
      <c r="A91" s="9" t="s">
        <v>55</v>
      </c>
      <c r="B91" s="10">
        <f t="shared" si="24"/>
        <v>0.71099999999999997</v>
      </c>
      <c r="C91" s="31">
        <v>28</v>
      </c>
      <c r="D91" s="12" t="s">
        <v>29</v>
      </c>
      <c r="E91" s="13" t="s">
        <v>26</v>
      </c>
      <c r="F91" s="32" t="s">
        <v>101</v>
      </c>
      <c r="G91" s="82">
        <v>28.117999999999999</v>
      </c>
      <c r="H91" s="15">
        <f t="shared" si="29"/>
        <v>337.42</v>
      </c>
      <c r="I91" s="68">
        <f t="shared" si="30"/>
        <v>374.81</v>
      </c>
      <c r="J91" s="15">
        <f t="shared" si="15"/>
        <v>393.65</v>
      </c>
      <c r="K91" s="16">
        <v>4.5006875534247648E-2</v>
      </c>
      <c r="L91" s="63">
        <f t="shared" si="25"/>
        <v>323.43</v>
      </c>
      <c r="M91" s="63">
        <f t="shared" si="26"/>
        <v>224.95</v>
      </c>
      <c r="N91" s="63">
        <f t="shared" si="27"/>
        <v>249.87</v>
      </c>
      <c r="O91" s="63">
        <f t="shared" si="28"/>
        <v>262.43</v>
      </c>
      <c r="P91" s="77"/>
    </row>
    <row r="92" spans="1:16" ht="15" customHeight="1">
      <c r="A92" s="9" t="s">
        <v>55</v>
      </c>
      <c r="B92" s="10">
        <f t="shared" si="24"/>
        <v>0.83799999999999997</v>
      </c>
      <c r="C92" s="11">
        <v>33</v>
      </c>
      <c r="D92" s="12" t="s">
        <v>29</v>
      </c>
      <c r="E92" s="13" t="s">
        <v>26</v>
      </c>
      <c r="F92" s="14" t="s">
        <v>111</v>
      </c>
      <c r="G92" s="82">
        <v>29.494</v>
      </c>
      <c r="H92" s="15">
        <f t="shared" si="29"/>
        <v>353.93</v>
      </c>
      <c r="I92" s="68">
        <f t="shared" si="30"/>
        <v>393.16</v>
      </c>
      <c r="J92" s="15">
        <f t="shared" si="15"/>
        <v>412.92</v>
      </c>
      <c r="K92" s="16">
        <v>4.4997165532879801E-2</v>
      </c>
      <c r="L92" s="63">
        <f t="shared" si="25"/>
        <v>339.25</v>
      </c>
      <c r="M92" s="63">
        <f t="shared" si="26"/>
        <v>235.95</v>
      </c>
      <c r="N92" s="63">
        <f t="shared" si="27"/>
        <v>262.11</v>
      </c>
      <c r="O92" s="63">
        <f t="shared" si="28"/>
        <v>275.27999999999997</v>
      </c>
      <c r="P92" s="77"/>
    </row>
    <row r="93" spans="1:16" ht="15" customHeight="1">
      <c r="A93" s="9" t="s">
        <v>55</v>
      </c>
      <c r="B93" s="10">
        <f t="shared" si="24"/>
        <v>0.88900000000000001</v>
      </c>
      <c r="C93" s="11">
        <v>35</v>
      </c>
      <c r="D93" s="12" t="s">
        <v>29</v>
      </c>
      <c r="E93" s="13" t="s">
        <v>26</v>
      </c>
      <c r="F93" s="14" t="s">
        <v>111</v>
      </c>
      <c r="G93" s="82">
        <v>29.494</v>
      </c>
      <c r="H93" s="15">
        <f t="shared" si="29"/>
        <v>353.93</v>
      </c>
      <c r="I93" s="68">
        <f t="shared" si="30"/>
        <v>393.16</v>
      </c>
      <c r="J93" s="15">
        <f t="shared" si="15"/>
        <v>412.92</v>
      </c>
      <c r="K93" s="16">
        <v>4.4997165532879801E-2</v>
      </c>
      <c r="L93" s="63">
        <f t="shared" si="25"/>
        <v>339.25</v>
      </c>
      <c r="M93" s="63">
        <f t="shared" si="26"/>
        <v>235.95</v>
      </c>
      <c r="N93" s="63">
        <f t="shared" si="27"/>
        <v>262.11</v>
      </c>
      <c r="O93" s="63">
        <f t="shared" si="28"/>
        <v>275.27999999999997</v>
      </c>
      <c r="P93" s="77"/>
    </row>
    <row r="94" spans="1:16" ht="15" customHeight="1">
      <c r="A94" s="9" t="s">
        <v>55</v>
      </c>
      <c r="B94" s="10">
        <f t="shared" si="24"/>
        <v>0.99099999999999999</v>
      </c>
      <c r="C94" s="11">
        <v>39</v>
      </c>
      <c r="D94" s="12" t="s">
        <v>29</v>
      </c>
      <c r="E94" s="13" t="s">
        <v>26</v>
      </c>
      <c r="F94" s="14" t="s">
        <v>96</v>
      </c>
      <c r="G94" s="82">
        <v>29.494</v>
      </c>
      <c r="H94" s="15">
        <f t="shared" si="29"/>
        <v>353.93</v>
      </c>
      <c r="I94" s="68">
        <f t="shared" si="30"/>
        <v>393.16</v>
      </c>
      <c r="J94" s="15">
        <f t="shared" si="15"/>
        <v>412.92</v>
      </c>
      <c r="K94" s="16">
        <v>4.4997165532879801E-2</v>
      </c>
      <c r="L94" s="63">
        <f t="shared" si="25"/>
        <v>339.25</v>
      </c>
      <c r="M94" s="63">
        <f t="shared" si="26"/>
        <v>235.95</v>
      </c>
      <c r="N94" s="63">
        <f t="shared" si="27"/>
        <v>262.11</v>
      </c>
      <c r="O94" s="63">
        <f t="shared" si="28"/>
        <v>275.27999999999997</v>
      </c>
      <c r="P94" s="77"/>
    </row>
    <row r="95" spans="1:16" ht="15" customHeight="1">
      <c r="A95" s="9" t="s">
        <v>55</v>
      </c>
      <c r="B95" s="10">
        <f t="shared" si="24"/>
        <v>1.1180000000000001</v>
      </c>
      <c r="C95" s="11">
        <v>44</v>
      </c>
      <c r="D95" s="12" t="s">
        <v>29</v>
      </c>
      <c r="E95" s="13" t="s">
        <v>26</v>
      </c>
      <c r="F95" s="14" t="s">
        <v>102</v>
      </c>
      <c r="G95" s="82">
        <v>30.295000000000002</v>
      </c>
      <c r="H95" s="15">
        <f t="shared" si="29"/>
        <v>363.54</v>
      </c>
      <c r="I95" s="68">
        <f t="shared" si="30"/>
        <v>403.83</v>
      </c>
      <c r="J95" s="15">
        <f t="shared" si="15"/>
        <v>424.13</v>
      </c>
      <c r="K95" s="16"/>
      <c r="L95" s="63">
        <f t="shared" si="25"/>
        <v>348.47</v>
      </c>
      <c r="M95" s="63">
        <f t="shared" si="26"/>
        <v>242.36</v>
      </c>
      <c r="N95" s="63">
        <f t="shared" si="27"/>
        <v>269.22000000000003</v>
      </c>
      <c r="O95" s="63">
        <f t="shared" si="28"/>
        <v>282.75</v>
      </c>
      <c r="P95" s="77"/>
    </row>
    <row r="96" spans="1:16" ht="15" customHeight="1">
      <c r="A96" s="9" t="s">
        <v>55</v>
      </c>
      <c r="B96" s="10">
        <f t="shared" si="24"/>
        <v>1.194</v>
      </c>
      <c r="C96" s="11">
        <v>47</v>
      </c>
      <c r="D96" s="12" t="s">
        <v>29</v>
      </c>
      <c r="E96" s="13" t="s">
        <v>26</v>
      </c>
      <c r="F96" s="14" t="s">
        <v>102</v>
      </c>
      <c r="G96" s="82">
        <v>31.263999999999999</v>
      </c>
      <c r="H96" s="15">
        <f t="shared" si="29"/>
        <v>375.17</v>
      </c>
      <c r="I96" s="68">
        <f t="shared" si="30"/>
        <v>416.75</v>
      </c>
      <c r="J96" s="15">
        <f t="shared" si="15"/>
        <v>437.7</v>
      </c>
      <c r="K96" s="16">
        <v>4.502456797138743E-2</v>
      </c>
      <c r="L96" s="63">
        <f t="shared" si="25"/>
        <v>359.62</v>
      </c>
      <c r="M96" s="63">
        <f t="shared" si="26"/>
        <v>250.11</v>
      </c>
      <c r="N96" s="63">
        <f t="shared" si="27"/>
        <v>277.83</v>
      </c>
      <c r="O96" s="63">
        <f t="shared" si="28"/>
        <v>291.8</v>
      </c>
      <c r="P96" s="77"/>
    </row>
    <row r="97" spans="1:16" ht="15" customHeight="1">
      <c r="A97" s="9" t="s">
        <v>77</v>
      </c>
      <c r="B97" s="10">
        <f t="shared" si="24"/>
        <v>1.6</v>
      </c>
      <c r="C97" s="11">
        <v>63</v>
      </c>
      <c r="D97" s="12" t="s">
        <v>29</v>
      </c>
      <c r="E97" s="13" t="s">
        <v>26</v>
      </c>
      <c r="F97" s="14" t="s">
        <v>103</v>
      </c>
      <c r="G97" s="82">
        <v>34.247</v>
      </c>
      <c r="H97" s="15">
        <f t="shared" si="29"/>
        <v>410.96</v>
      </c>
      <c r="I97" s="68">
        <f t="shared" si="30"/>
        <v>456.51</v>
      </c>
      <c r="J97" s="15">
        <f t="shared" si="15"/>
        <v>479.46</v>
      </c>
      <c r="K97" s="16">
        <v>4.5007933601855399E-2</v>
      </c>
      <c r="L97" s="63">
        <f t="shared" si="25"/>
        <v>393.92</v>
      </c>
      <c r="M97" s="63">
        <f t="shared" si="26"/>
        <v>273.97000000000003</v>
      </c>
      <c r="N97" s="63">
        <f t="shared" si="27"/>
        <v>304.33999999999997</v>
      </c>
      <c r="O97" s="63">
        <f t="shared" si="28"/>
        <v>319.64</v>
      </c>
      <c r="P97" s="77"/>
    </row>
    <row r="98" spans="1:16" ht="15" customHeight="1">
      <c r="A98" s="9" t="s">
        <v>55</v>
      </c>
      <c r="B98" s="10">
        <f t="shared" si="24"/>
        <v>0.10199999999999999</v>
      </c>
      <c r="C98" s="11">
        <v>4</v>
      </c>
      <c r="D98" s="12" t="s">
        <v>56</v>
      </c>
      <c r="E98" s="13" t="s">
        <v>26</v>
      </c>
      <c r="F98" s="14" t="s">
        <v>82</v>
      </c>
      <c r="G98" s="82">
        <v>35.207999999999998</v>
      </c>
      <c r="H98" s="15">
        <f t="shared" si="29"/>
        <v>422.5</v>
      </c>
      <c r="I98" s="68">
        <f t="shared" si="30"/>
        <v>469.32</v>
      </c>
      <c r="J98" s="15">
        <f t="shared" si="15"/>
        <v>492.91</v>
      </c>
      <c r="K98" s="16">
        <v>4.4995844710910449E-2</v>
      </c>
      <c r="L98" s="63">
        <f t="shared" si="25"/>
        <v>404.98</v>
      </c>
      <c r="M98" s="63">
        <f t="shared" si="26"/>
        <v>281.67</v>
      </c>
      <c r="N98" s="63">
        <f t="shared" si="27"/>
        <v>312.88</v>
      </c>
      <c r="O98" s="63">
        <f t="shared" si="28"/>
        <v>328.61</v>
      </c>
      <c r="P98" s="77"/>
    </row>
    <row r="99" spans="1:16" ht="15" customHeight="1">
      <c r="A99" s="9" t="s">
        <v>55</v>
      </c>
      <c r="B99" s="10">
        <f t="shared" si="24"/>
        <v>0.254</v>
      </c>
      <c r="C99" s="11">
        <v>10</v>
      </c>
      <c r="D99" s="12" t="s">
        <v>56</v>
      </c>
      <c r="E99" s="13" t="s">
        <v>26</v>
      </c>
      <c r="F99" s="14" t="s">
        <v>89</v>
      </c>
      <c r="G99" s="82">
        <v>35.207999999999998</v>
      </c>
      <c r="H99" s="15">
        <f t="shared" si="29"/>
        <v>422.5</v>
      </c>
      <c r="I99" s="68">
        <f t="shared" si="30"/>
        <v>469.32</v>
      </c>
      <c r="J99" s="15">
        <f t="shared" si="15"/>
        <v>492.91</v>
      </c>
      <c r="K99" s="16">
        <v>4.4995844710910449E-2</v>
      </c>
      <c r="L99" s="63">
        <f t="shared" si="25"/>
        <v>404.98</v>
      </c>
      <c r="M99" s="63">
        <f t="shared" si="26"/>
        <v>281.67</v>
      </c>
      <c r="N99" s="63">
        <f t="shared" si="27"/>
        <v>312.88</v>
      </c>
      <c r="O99" s="63">
        <f t="shared" si="28"/>
        <v>328.61</v>
      </c>
      <c r="P99" s="77"/>
    </row>
    <row r="101" spans="1:16" ht="22.2">
      <c r="A101" s="103" t="s">
        <v>57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</row>
    <row r="102" spans="1:16" ht="25.8" customHeight="1">
      <c r="A102" s="78" t="s">
        <v>13</v>
      </c>
      <c r="B102" s="78" t="s">
        <v>31</v>
      </c>
      <c r="C102" s="78" t="s">
        <v>32</v>
      </c>
      <c r="D102" s="78" t="s">
        <v>33</v>
      </c>
      <c r="E102" s="78" t="s">
        <v>34</v>
      </c>
      <c r="F102" s="78" t="s">
        <v>35</v>
      </c>
      <c r="G102" s="78" t="s">
        <v>36</v>
      </c>
      <c r="H102" s="78" t="s">
        <v>37</v>
      </c>
      <c r="I102" s="94" t="s">
        <v>38</v>
      </c>
      <c r="J102" s="95"/>
      <c r="K102" s="79" t="s">
        <v>23</v>
      </c>
    </row>
    <row r="103" spans="1:16">
      <c r="A103" s="13" t="s">
        <v>58</v>
      </c>
      <c r="B103" s="13">
        <v>106</v>
      </c>
      <c r="C103" s="65">
        <v>73</v>
      </c>
      <c r="D103" s="13" t="s">
        <v>40</v>
      </c>
      <c r="E103" s="17" t="s">
        <v>41</v>
      </c>
      <c r="F103" s="62">
        <v>3937</v>
      </c>
      <c r="G103" s="18">
        <v>2.149</v>
      </c>
      <c r="H103" s="19">
        <f>ROUND(G103*13.124,2)</f>
        <v>28.2</v>
      </c>
      <c r="I103" s="101">
        <f>ROUND(G103*F103,2)</f>
        <v>8460.61</v>
      </c>
      <c r="J103" s="101"/>
      <c r="K103" s="80">
        <v>9.9795291709314338E-2</v>
      </c>
      <c r="L103" s="33"/>
      <c r="M103" s="33"/>
      <c r="N103" s="77"/>
    </row>
    <row r="104" spans="1:16">
      <c r="A104" s="13" t="s">
        <v>58</v>
      </c>
      <c r="B104" s="13">
        <v>106</v>
      </c>
      <c r="C104" s="65">
        <v>75</v>
      </c>
      <c r="D104" s="13" t="s">
        <v>40</v>
      </c>
      <c r="E104" s="17" t="s">
        <v>41</v>
      </c>
      <c r="F104" s="62">
        <v>3937</v>
      </c>
      <c r="G104" s="18">
        <v>2.2799999999999998</v>
      </c>
      <c r="H104" s="19">
        <f>ROUND(G104*13.124,2)</f>
        <v>29.92</v>
      </c>
      <c r="I104" s="101">
        <f>ROUND(G104*F104,2)</f>
        <v>8976.36</v>
      </c>
      <c r="J104" s="101"/>
      <c r="K104" s="80">
        <v>5.0207277752188029E-2</v>
      </c>
      <c r="L104" s="33"/>
      <c r="M104" s="33"/>
      <c r="N104" s="77"/>
    </row>
    <row r="105" spans="1:16">
      <c r="A105" s="13" t="s">
        <v>58</v>
      </c>
      <c r="B105" s="13">
        <v>106</v>
      </c>
      <c r="C105" s="65">
        <v>77</v>
      </c>
      <c r="D105" s="13" t="s">
        <v>40</v>
      </c>
      <c r="E105" s="17" t="s">
        <v>41</v>
      </c>
      <c r="F105" s="62">
        <v>3937</v>
      </c>
      <c r="G105" s="18">
        <v>2.3650000000000002</v>
      </c>
      <c r="H105" s="19">
        <f>ROUND(G105*13.124,2)</f>
        <v>31.04</v>
      </c>
      <c r="I105" s="101">
        <f t="shared" ref="I105:I128" si="38">ROUND(G105*F105,2)</f>
        <v>9311.01</v>
      </c>
      <c r="J105" s="101"/>
      <c r="K105" s="80">
        <v>5.0177619893428282E-2</v>
      </c>
      <c r="L105" s="33"/>
      <c r="M105" s="33"/>
      <c r="N105" s="77"/>
    </row>
    <row r="106" spans="1:16">
      <c r="A106" s="13" t="s">
        <v>58</v>
      </c>
      <c r="B106" s="13">
        <v>1080</v>
      </c>
      <c r="C106" s="65">
        <v>63</v>
      </c>
      <c r="D106" s="13" t="s">
        <v>40</v>
      </c>
      <c r="E106" s="17" t="s">
        <v>41</v>
      </c>
      <c r="F106" s="62">
        <v>3937</v>
      </c>
      <c r="G106" s="18">
        <v>1.7729999999999999</v>
      </c>
      <c r="H106" s="19">
        <f t="shared" ref="H106:H128" si="39">ROUND(G106*13.124,2)</f>
        <v>23.27</v>
      </c>
      <c r="I106" s="101">
        <f t="shared" si="38"/>
        <v>6980.3</v>
      </c>
      <c r="J106" s="101"/>
      <c r="K106" s="80">
        <v>9.9875930521091671E-2</v>
      </c>
      <c r="L106" s="33"/>
      <c r="M106" s="33"/>
      <c r="N106" s="77"/>
    </row>
    <row r="107" spans="1:16">
      <c r="A107" s="13" t="s">
        <v>58</v>
      </c>
      <c r="B107" s="13">
        <v>1080</v>
      </c>
      <c r="C107" s="65">
        <v>64</v>
      </c>
      <c r="D107" s="13" t="s">
        <v>40</v>
      </c>
      <c r="E107" s="17" t="s">
        <v>41</v>
      </c>
      <c r="F107" s="62">
        <v>3937</v>
      </c>
      <c r="G107" s="18">
        <v>1.7729999999999999</v>
      </c>
      <c r="H107" s="19">
        <f t="shared" ref="H107" si="40">ROUND(G107*13.124,2)</f>
        <v>23.27</v>
      </c>
      <c r="I107" s="101">
        <f t="shared" si="38"/>
        <v>6980.3</v>
      </c>
      <c r="J107" s="101"/>
      <c r="K107" s="80">
        <v>9.9875930521091671E-2</v>
      </c>
      <c r="L107" s="33"/>
      <c r="M107" s="33"/>
      <c r="N107" s="77"/>
    </row>
    <row r="108" spans="1:16">
      <c r="A108" s="13" t="s">
        <v>58</v>
      </c>
      <c r="B108" s="13">
        <v>1080</v>
      </c>
      <c r="C108" s="65">
        <v>65</v>
      </c>
      <c r="D108" s="13" t="s">
        <v>40</v>
      </c>
      <c r="E108" s="17" t="s">
        <v>41</v>
      </c>
      <c r="F108" s="62">
        <v>3937</v>
      </c>
      <c r="G108" s="18">
        <v>1.8149999999999999</v>
      </c>
      <c r="H108" s="19">
        <f t="shared" si="39"/>
        <v>23.82</v>
      </c>
      <c r="I108" s="101">
        <f t="shared" si="38"/>
        <v>7145.66</v>
      </c>
      <c r="J108" s="101"/>
      <c r="K108" s="80">
        <v>0.15019011406844096</v>
      </c>
      <c r="L108" s="33"/>
      <c r="M108" s="33"/>
      <c r="N108" s="77"/>
    </row>
    <row r="109" spans="1:16">
      <c r="A109" s="13" t="s">
        <v>58</v>
      </c>
      <c r="B109" s="13">
        <v>1080</v>
      </c>
      <c r="C109" s="65">
        <v>66</v>
      </c>
      <c r="D109" s="13" t="s">
        <v>40</v>
      </c>
      <c r="E109" s="17" t="s">
        <v>41</v>
      </c>
      <c r="F109" s="62">
        <v>3937</v>
      </c>
      <c r="G109" s="18">
        <v>1.8149999999999999</v>
      </c>
      <c r="H109" s="19">
        <f t="shared" ref="H109" si="41">ROUND(G109*13.124,2)</f>
        <v>23.82</v>
      </c>
      <c r="I109" s="101">
        <f t="shared" si="38"/>
        <v>7145.66</v>
      </c>
      <c r="J109" s="101"/>
      <c r="K109" s="80">
        <v>0.15019011406844096</v>
      </c>
      <c r="L109" s="33"/>
      <c r="M109" s="33"/>
      <c r="N109" s="77"/>
    </row>
    <row r="110" spans="1:16">
      <c r="A110" s="13" t="s">
        <v>58</v>
      </c>
      <c r="B110" s="13">
        <v>1080</v>
      </c>
      <c r="C110" s="65">
        <v>68</v>
      </c>
      <c r="D110" s="13" t="s">
        <v>40</v>
      </c>
      <c r="E110" s="17" t="s">
        <v>41</v>
      </c>
      <c r="F110" s="62">
        <v>3937</v>
      </c>
      <c r="G110" s="18">
        <v>1.9910000000000001</v>
      </c>
      <c r="H110" s="19">
        <f t="shared" si="39"/>
        <v>26.13</v>
      </c>
      <c r="I110" s="101">
        <f t="shared" si="38"/>
        <v>7838.57</v>
      </c>
      <c r="J110" s="101"/>
      <c r="K110" s="80">
        <v>0.10000000000000009</v>
      </c>
      <c r="L110" s="33"/>
      <c r="M110" s="33"/>
      <c r="N110" s="77"/>
    </row>
    <row r="111" spans="1:16">
      <c r="A111" s="13" t="s">
        <v>71</v>
      </c>
      <c r="B111" s="13">
        <v>1080</v>
      </c>
      <c r="C111" s="65">
        <v>70</v>
      </c>
      <c r="D111" s="13" t="s">
        <v>40</v>
      </c>
      <c r="E111" s="17" t="s">
        <v>41</v>
      </c>
      <c r="F111" s="62">
        <v>3937</v>
      </c>
      <c r="G111" s="18">
        <v>2.0390000000000001</v>
      </c>
      <c r="H111" s="19">
        <f t="shared" si="39"/>
        <v>26.76</v>
      </c>
      <c r="I111" s="101">
        <f t="shared" si="38"/>
        <v>8027.54</v>
      </c>
      <c r="J111" s="101"/>
      <c r="K111" s="80">
        <v>9.9784250269687291E-2</v>
      </c>
      <c r="L111" s="33"/>
      <c r="M111" s="33"/>
      <c r="N111" s="77"/>
    </row>
    <row r="112" spans="1:16">
      <c r="A112" s="13" t="s">
        <v>58</v>
      </c>
      <c r="B112" s="13" t="s">
        <v>42</v>
      </c>
      <c r="C112" s="65">
        <v>56.000000000000007</v>
      </c>
      <c r="D112" s="13" t="s">
        <v>40</v>
      </c>
      <c r="E112" s="17" t="s">
        <v>41</v>
      </c>
      <c r="F112" s="62">
        <v>3937</v>
      </c>
      <c r="G112" s="18">
        <v>2.1669999999999998</v>
      </c>
      <c r="H112" s="19">
        <f t="shared" si="39"/>
        <v>28.44</v>
      </c>
      <c r="I112" s="101">
        <f t="shared" si="38"/>
        <v>8531.48</v>
      </c>
      <c r="J112" s="101"/>
      <c r="K112" s="80">
        <v>9.9999999999999867E-2</v>
      </c>
      <c r="L112" s="33"/>
      <c r="M112" s="33"/>
      <c r="N112" s="77"/>
    </row>
    <row r="113" spans="1:14">
      <c r="A113" s="13" t="s">
        <v>58</v>
      </c>
      <c r="B113" s="13" t="s">
        <v>42</v>
      </c>
      <c r="C113" s="65">
        <v>59</v>
      </c>
      <c r="D113" s="13" t="s">
        <v>40</v>
      </c>
      <c r="E113" s="17" t="s">
        <v>41</v>
      </c>
      <c r="F113" s="62">
        <v>3937</v>
      </c>
      <c r="G113" s="18">
        <v>2.1629999999999998</v>
      </c>
      <c r="H113" s="19">
        <f t="shared" si="39"/>
        <v>28.39</v>
      </c>
      <c r="I113" s="101">
        <f t="shared" si="38"/>
        <v>8515.73</v>
      </c>
      <c r="J113" s="101"/>
      <c r="K113" s="80">
        <v>7.9880179730404288E-2</v>
      </c>
      <c r="L113" s="33"/>
      <c r="M113" s="33"/>
      <c r="N113" s="77"/>
    </row>
    <row r="114" spans="1:14">
      <c r="A114" s="13" t="s">
        <v>58</v>
      </c>
      <c r="B114" s="13" t="s">
        <v>42</v>
      </c>
      <c r="C114" s="65">
        <v>60</v>
      </c>
      <c r="D114" s="13" t="s">
        <v>40</v>
      </c>
      <c r="E114" s="17" t="s">
        <v>41</v>
      </c>
      <c r="F114" s="62">
        <v>3937</v>
      </c>
      <c r="G114" s="18">
        <v>2.1850000000000001</v>
      </c>
      <c r="H114" s="19">
        <f t="shared" si="39"/>
        <v>28.68</v>
      </c>
      <c r="I114" s="101">
        <f t="shared" si="38"/>
        <v>8602.35</v>
      </c>
      <c r="J114" s="101"/>
      <c r="K114" s="80">
        <v>0.11993849308047144</v>
      </c>
      <c r="L114" s="33"/>
      <c r="M114" s="33"/>
      <c r="N114" s="77"/>
    </row>
    <row r="115" spans="1:14">
      <c r="A115" s="13" t="s">
        <v>58</v>
      </c>
      <c r="B115" s="13">
        <v>2116</v>
      </c>
      <c r="C115" s="65">
        <v>50</v>
      </c>
      <c r="D115" s="13" t="s">
        <v>43</v>
      </c>
      <c r="E115" s="17" t="s">
        <v>41</v>
      </c>
      <c r="F115" s="62">
        <v>2624.6</v>
      </c>
      <c r="G115" s="18">
        <v>1.9379999999999999</v>
      </c>
      <c r="H115" s="19">
        <f t="shared" si="39"/>
        <v>25.43</v>
      </c>
      <c r="I115" s="101">
        <f t="shared" si="38"/>
        <v>5086.47</v>
      </c>
      <c r="J115" s="101"/>
      <c r="K115" s="80">
        <v>9.9886492622020429E-2</v>
      </c>
      <c r="L115" s="33"/>
      <c r="M115" s="33"/>
      <c r="N115" s="77"/>
    </row>
    <row r="116" spans="1:14">
      <c r="A116" s="13" t="s">
        <v>58</v>
      </c>
      <c r="B116" s="13">
        <v>2116</v>
      </c>
      <c r="C116" s="65">
        <v>52</v>
      </c>
      <c r="D116" s="13" t="s">
        <v>43</v>
      </c>
      <c r="E116" s="17" t="s">
        <v>41</v>
      </c>
      <c r="F116" s="62">
        <v>2624.6</v>
      </c>
      <c r="G116" s="18">
        <v>1.9490000000000001</v>
      </c>
      <c r="H116" s="19">
        <f t="shared" si="39"/>
        <v>25.58</v>
      </c>
      <c r="I116" s="101">
        <f t="shared" si="38"/>
        <v>5115.3500000000004</v>
      </c>
      <c r="J116" s="101"/>
      <c r="K116" s="80">
        <v>9.0044742729306515E-2</v>
      </c>
      <c r="L116" s="33"/>
      <c r="M116" s="33"/>
      <c r="N116" s="77"/>
    </row>
    <row r="117" spans="1:14">
      <c r="A117" s="13" t="s">
        <v>58</v>
      </c>
      <c r="B117" s="13">
        <v>2116</v>
      </c>
      <c r="C117" s="65">
        <v>53</v>
      </c>
      <c r="D117" s="13" t="s">
        <v>43</v>
      </c>
      <c r="E117" s="17" t="s">
        <v>41</v>
      </c>
      <c r="F117" s="62">
        <v>2624.6</v>
      </c>
      <c r="G117" s="18">
        <v>1.9490000000000001</v>
      </c>
      <c r="H117" s="19">
        <f t="shared" si="39"/>
        <v>25.58</v>
      </c>
      <c r="I117" s="101">
        <f t="shared" si="38"/>
        <v>5115.3500000000004</v>
      </c>
      <c r="J117" s="101"/>
      <c r="K117" s="80">
        <v>9.0044742729306515E-2</v>
      </c>
      <c r="L117" s="33"/>
      <c r="M117" s="33"/>
      <c r="N117" s="77"/>
    </row>
    <row r="118" spans="1:14">
      <c r="A118" s="13" t="s">
        <v>58</v>
      </c>
      <c r="B118" s="13">
        <v>2116</v>
      </c>
      <c r="C118" s="65">
        <v>54</v>
      </c>
      <c r="D118" s="13" t="s">
        <v>43</v>
      </c>
      <c r="E118" s="17" t="s">
        <v>41</v>
      </c>
      <c r="F118" s="62">
        <v>2624.6</v>
      </c>
      <c r="G118" s="18">
        <v>1.9490000000000001</v>
      </c>
      <c r="H118" s="19">
        <f t="shared" si="39"/>
        <v>25.58</v>
      </c>
      <c r="I118" s="101">
        <f t="shared" si="38"/>
        <v>5115.3500000000004</v>
      </c>
      <c r="J118" s="101"/>
      <c r="K118" s="80">
        <v>9.0044742729306515E-2</v>
      </c>
      <c r="L118" s="33"/>
      <c r="M118" s="33"/>
      <c r="N118" s="77"/>
    </row>
    <row r="119" spans="1:14">
      <c r="A119" s="13" t="s">
        <v>58</v>
      </c>
      <c r="B119" s="13">
        <v>2116</v>
      </c>
      <c r="C119" s="65">
        <v>56.000000000000007</v>
      </c>
      <c r="D119" s="13" t="s">
        <v>43</v>
      </c>
      <c r="E119" s="17" t="s">
        <v>41</v>
      </c>
      <c r="F119" s="62">
        <v>2624.6</v>
      </c>
      <c r="G119" s="18">
        <v>1.96</v>
      </c>
      <c r="H119" s="19">
        <f t="shared" si="39"/>
        <v>25.72</v>
      </c>
      <c r="I119" s="101">
        <f t="shared" si="38"/>
        <v>5144.22</v>
      </c>
      <c r="J119" s="101"/>
      <c r="K119" s="80">
        <v>0.25</v>
      </c>
      <c r="L119" s="33"/>
      <c r="M119" s="33"/>
      <c r="N119" s="77"/>
    </row>
    <row r="120" spans="1:14">
      <c r="A120" s="13" t="s">
        <v>58</v>
      </c>
      <c r="B120" s="13">
        <v>2116</v>
      </c>
      <c r="C120" s="65">
        <v>56.999999999999993</v>
      </c>
      <c r="D120" s="13" t="s">
        <v>43</v>
      </c>
      <c r="E120" s="17" t="s">
        <v>41</v>
      </c>
      <c r="F120" s="62">
        <v>2624.6</v>
      </c>
      <c r="G120" s="18">
        <v>2.0030000000000001</v>
      </c>
      <c r="H120" s="19">
        <f t="shared" si="39"/>
        <v>26.29</v>
      </c>
      <c r="I120" s="101">
        <f t="shared" si="38"/>
        <v>5257.07</v>
      </c>
      <c r="J120" s="101"/>
      <c r="K120" s="80">
        <v>9.994508511806699E-2</v>
      </c>
      <c r="L120" s="33"/>
      <c r="M120" s="33"/>
      <c r="N120" s="77"/>
    </row>
    <row r="121" spans="1:14">
      <c r="A121" s="13" t="s">
        <v>58</v>
      </c>
      <c r="B121" s="13">
        <v>2116</v>
      </c>
      <c r="C121" s="65">
        <v>57.999999999999993</v>
      </c>
      <c r="D121" s="13" t="s">
        <v>43</v>
      </c>
      <c r="E121" s="17" t="s">
        <v>41</v>
      </c>
      <c r="F121" s="62">
        <v>2624.6</v>
      </c>
      <c r="G121" s="18">
        <v>2.0030000000000001</v>
      </c>
      <c r="H121" s="19">
        <f t="shared" si="39"/>
        <v>26.29</v>
      </c>
      <c r="I121" s="101">
        <f t="shared" si="38"/>
        <v>5257.07</v>
      </c>
      <c r="J121" s="101"/>
      <c r="K121" s="80">
        <v>9.994508511806699E-2</v>
      </c>
      <c r="L121" s="33"/>
      <c r="M121" s="33"/>
      <c r="N121" s="77"/>
    </row>
    <row r="122" spans="1:14">
      <c r="A122" s="13" t="s">
        <v>58</v>
      </c>
      <c r="B122" s="13">
        <v>2116</v>
      </c>
      <c r="C122" s="65">
        <v>59</v>
      </c>
      <c r="D122" s="13" t="s">
        <v>43</v>
      </c>
      <c r="E122" s="17" t="s">
        <v>41</v>
      </c>
      <c r="F122" s="62">
        <v>2624.6</v>
      </c>
      <c r="G122" s="18">
        <v>2.0030000000000001</v>
      </c>
      <c r="H122" s="19">
        <f t="shared" si="39"/>
        <v>26.29</v>
      </c>
      <c r="I122" s="101">
        <f t="shared" si="38"/>
        <v>5257.07</v>
      </c>
      <c r="J122" s="101"/>
      <c r="K122" s="80">
        <v>9.994508511806699E-2</v>
      </c>
      <c r="L122" s="33"/>
      <c r="M122" s="33"/>
      <c r="N122" s="77"/>
    </row>
    <row r="123" spans="1:14">
      <c r="A123" s="13" t="s">
        <v>58</v>
      </c>
      <c r="B123" s="13">
        <v>2116</v>
      </c>
      <c r="C123" s="65">
        <v>60</v>
      </c>
      <c r="D123" s="13" t="s">
        <v>43</v>
      </c>
      <c r="E123" s="17" t="s">
        <v>41</v>
      </c>
      <c r="F123" s="62">
        <v>2624.6</v>
      </c>
      <c r="G123" s="18">
        <v>2.1139999999999999</v>
      </c>
      <c r="H123" s="19">
        <f t="shared" si="39"/>
        <v>27.74</v>
      </c>
      <c r="I123" s="101">
        <f t="shared" si="38"/>
        <v>5548.4</v>
      </c>
      <c r="J123" s="101"/>
      <c r="K123" s="80">
        <v>9.9895941727367266E-2</v>
      </c>
      <c r="L123" s="33"/>
      <c r="M123" s="33"/>
      <c r="N123" s="77"/>
    </row>
    <row r="124" spans="1:14">
      <c r="A124" s="13" t="s">
        <v>58</v>
      </c>
      <c r="B124" s="13">
        <v>2116</v>
      </c>
      <c r="C124" s="65">
        <v>61</v>
      </c>
      <c r="D124" s="13" t="s">
        <v>43</v>
      </c>
      <c r="E124" s="17" t="s">
        <v>41</v>
      </c>
      <c r="F124" s="62">
        <v>2624.6</v>
      </c>
      <c r="G124" s="18">
        <v>1.968</v>
      </c>
      <c r="H124" s="19">
        <f t="shared" si="39"/>
        <v>25.83</v>
      </c>
      <c r="I124" s="101">
        <f t="shared" si="38"/>
        <v>5165.21</v>
      </c>
      <c r="J124" s="101"/>
      <c r="K124" s="80">
        <v>0.10005589714924534</v>
      </c>
      <c r="L124" s="33"/>
      <c r="M124" s="33"/>
      <c r="N124" s="77"/>
    </row>
    <row r="125" spans="1:14">
      <c r="A125" s="13" t="s">
        <v>58</v>
      </c>
      <c r="B125" s="13">
        <v>7628</v>
      </c>
      <c r="C125" s="65">
        <v>45</v>
      </c>
      <c r="D125" s="13" t="s">
        <v>44</v>
      </c>
      <c r="E125" s="17" t="s">
        <v>59</v>
      </c>
      <c r="F125" s="62">
        <v>1968.5</v>
      </c>
      <c r="G125" s="18">
        <v>1.9490000000000001</v>
      </c>
      <c r="H125" s="19">
        <f t="shared" si="39"/>
        <v>25.58</v>
      </c>
      <c r="I125" s="101">
        <f t="shared" si="38"/>
        <v>3836.61</v>
      </c>
      <c r="J125" s="101"/>
      <c r="K125" s="80">
        <v>9.9887133182844368E-2</v>
      </c>
      <c r="L125" s="33"/>
      <c r="M125" s="33"/>
      <c r="N125" s="77"/>
    </row>
    <row r="126" spans="1:14">
      <c r="A126" s="13" t="s">
        <v>58</v>
      </c>
      <c r="B126" s="13">
        <v>7628</v>
      </c>
      <c r="C126" s="65">
        <v>48</v>
      </c>
      <c r="D126" s="13" t="s">
        <v>44</v>
      </c>
      <c r="E126" s="17" t="s">
        <v>59</v>
      </c>
      <c r="F126" s="62">
        <v>1968.5</v>
      </c>
      <c r="G126" s="18">
        <v>2.1459999999999999</v>
      </c>
      <c r="H126" s="19">
        <f t="shared" si="39"/>
        <v>28.16</v>
      </c>
      <c r="I126" s="101">
        <f t="shared" si="38"/>
        <v>4224.3999999999996</v>
      </c>
      <c r="J126" s="101"/>
      <c r="K126" s="80">
        <v>9.9948744233726128E-2</v>
      </c>
      <c r="L126" s="33"/>
      <c r="M126" s="33"/>
      <c r="N126" s="77"/>
    </row>
    <row r="127" spans="1:14">
      <c r="A127" s="13" t="s">
        <v>58</v>
      </c>
      <c r="B127" s="13">
        <v>7628</v>
      </c>
      <c r="C127" s="65">
        <v>50</v>
      </c>
      <c r="D127" s="13" t="s">
        <v>44</v>
      </c>
      <c r="E127" s="17" t="s">
        <v>59</v>
      </c>
      <c r="F127" s="62">
        <v>1968.5</v>
      </c>
      <c r="G127" s="18">
        <v>2.21</v>
      </c>
      <c r="H127" s="19">
        <f t="shared" si="39"/>
        <v>29</v>
      </c>
      <c r="I127" s="101">
        <f t="shared" si="38"/>
        <v>4350.3900000000003</v>
      </c>
      <c r="J127" s="101"/>
      <c r="K127" s="80">
        <v>0.10004977600796416</v>
      </c>
      <c r="L127" s="33"/>
      <c r="M127" s="33"/>
      <c r="N127" s="77"/>
    </row>
    <row r="128" spans="1:14">
      <c r="A128" s="13" t="s">
        <v>58</v>
      </c>
      <c r="B128" s="13">
        <v>7628</v>
      </c>
      <c r="C128" s="65">
        <v>52</v>
      </c>
      <c r="D128" s="13" t="s">
        <v>44</v>
      </c>
      <c r="E128" s="17" t="s">
        <v>59</v>
      </c>
      <c r="F128" s="62">
        <v>1968.5</v>
      </c>
      <c r="G128" s="18">
        <v>2.2749999999999999</v>
      </c>
      <c r="H128" s="19">
        <f t="shared" si="39"/>
        <v>29.86</v>
      </c>
      <c r="I128" s="101">
        <f t="shared" si="38"/>
        <v>4478.34</v>
      </c>
      <c r="J128" s="101"/>
      <c r="K128" s="80">
        <v>0.10009671179883939</v>
      </c>
      <c r="L128" s="33"/>
      <c r="M128" s="33"/>
      <c r="N128" s="77"/>
    </row>
    <row r="129" spans="1:11">
      <c r="G129" s="20"/>
    </row>
    <row r="130" spans="1:11" ht="15.6">
      <c r="A130" s="4" t="s">
        <v>45</v>
      </c>
      <c r="B130" s="21"/>
      <c r="C130" s="21"/>
      <c r="D130" s="21"/>
      <c r="E130" s="21"/>
      <c r="F130" s="21"/>
      <c r="G130" s="21"/>
      <c r="H130" s="22"/>
      <c r="I130" s="23"/>
    </row>
    <row r="131" spans="1:11" ht="15.6">
      <c r="A131" s="21" t="s">
        <v>46</v>
      </c>
      <c r="B131" s="21"/>
      <c r="C131" s="21"/>
      <c r="D131" s="21"/>
      <c r="E131" s="21"/>
      <c r="F131" s="21"/>
      <c r="G131" s="21"/>
      <c r="H131" s="22"/>
      <c r="I131" s="23"/>
    </row>
    <row r="132" spans="1:11" ht="15.6">
      <c r="A132" s="24" t="s">
        <v>47</v>
      </c>
      <c r="B132" s="21"/>
      <c r="C132" s="21"/>
      <c r="D132" s="21"/>
      <c r="E132" s="21"/>
      <c r="F132" s="21"/>
      <c r="G132" s="21"/>
      <c r="H132" s="22"/>
      <c r="I132" s="23"/>
    </row>
    <row r="133" spans="1:11" ht="15.6">
      <c r="A133" s="24" t="s">
        <v>48</v>
      </c>
      <c r="B133" s="21"/>
      <c r="C133" s="21"/>
      <c r="D133" s="21"/>
      <c r="E133" s="21"/>
      <c r="F133" s="21"/>
      <c r="G133" s="21"/>
      <c r="H133" s="22"/>
      <c r="I133" s="23"/>
    </row>
    <row r="134" spans="1:11" ht="15.6">
      <c r="A134" s="24" t="s">
        <v>49</v>
      </c>
      <c r="B134" s="21"/>
      <c r="C134" s="21"/>
      <c r="D134" s="21"/>
      <c r="E134" s="21"/>
      <c r="F134" s="21"/>
      <c r="G134" s="21"/>
      <c r="H134" s="22"/>
      <c r="I134" s="23"/>
    </row>
    <row r="135" spans="1:11" ht="15.6">
      <c r="A135" s="25" t="s">
        <v>50</v>
      </c>
      <c r="B135" s="21"/>
      <c r="C135" s="21"/>
      <c r="D135" s="21"/>
      <c r="E135" s="21"/>
      <c r="F135" s="21"/>
      <c r="G135" s="21"/>
      <c r="H135" s="22"/>
      <c r="I135" s="23"/>
    </row>
    <row r="136" spans="1:11" ht="15.6">
      <c r="A136" s="25" t="s">
        <v>78</v>
      </c>
      <c r="B136" s="21"/>
      <c r="C136" s="21"/>
      <c r="D136" s="21"/>
      <c r="E136" s="21"/>
      <c r="F136" s="21"/>
      <c r="G136" s="21"/>
      <c r="H136" s="22"/>
      <c r="I136" s="23"/>
    </row>
    <row r="137" spans="1:11" ht="14.4">
      <c r="A137" s="26" t="s">
        <v>51</v>
      </c>
      <c r="B137" s="27"/>
      <c r="C137" s="27"/>
      <c r="D137" s="27"/>
      <c r="E137" s="27"/>
      <c r="F137" s="27"/>
      <c r="G137" s="27"/>
      <c r="H137" s="27"/>
    </row>
    <row r="138" spans="1:11" ht="14.4">
      <c r="A138" s="26"/>
      <c r="B138" s="27"/>
      <c r="C138" s="27"/>
      <c r="D138" s="27"/>
      <c r="E138" s="27"/>
      <c r="F138" s="27"/>
      <c r="G138" s="27"/>
      <c r="H138" s="27"/>
    </row>
    <row r="139" spans="1:11" ht="15.6">
      <c r="A139" s="28" t="s">
        <v>52</v>
      </c>
      <c r="B139" s="28"/>
      <c r="C139" s="29"/>
      <c r="D139" s="29"/>
      <c r="E139" s="29"/>
      <c r="F139" s="29"/>
      <c r="G139" s="29"/>
      <c r="H139" s="28" t="s">
        <v>53</v>
      </c>
      <c r="I139" s="30"/>
      <c r="J139" s="29"/>
      <c r="K139" s="29"/>
    </row>
  </sheetData>
  <mergeCells count="34">
    <mergeCell ref="C1:K1"/>
    <mergeCell ref="A2:K2"/>
    <mergeCell ref="A3:K3"/>
    <mergeCell ref="A4:K4"/>
    <mergeCell ref="A5:K5"/>
    <mergeCell ref="A11:K11"/>
    <mergeCell ref="A101:K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5:J125"/>
    <mergeCell ref="I126:J126"/>
    <mergeCell ref="I127:J127"/>
    <mergeCell ref="I128:J128"/>
    <mergeCell ref="I120:J120"/>
    <mergeCell ref="I121:J121"/>
    <mergeCell ref="I122:J122"/>
    <mergeCell ref="I123:J123"/>
    <mergeCell ref="I124:J124"/>
  </mergeCells>
  <phoneticPr fontId="18" type="noConversion"/>
  <pageMargins left="0.25" right="0.25" top="0.75" bottom="0.75" header="0.3" footer="0.3"/>
  <pageSetup paperSize="9" fitToWidth="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A06A-10E0-4313-9EC6-AAF25498916A}">
  <sheetPr>
    <tabColor rgb="FFFFFF00"/>
  </sheetPr>
  <dimension ref="A1:O394"/>
  <sheetViews>
    <sheetView workbookViewId="0">
      <selection activeCell="T11" sqref="T11"/>
    </sheetView>
  </sheetViews>
  <sheetFormatPr defaultColWidth="9" defaultRowHeight="13.8"/>
  <cols>
    <col min="1" max="5" width="8.09765625" style="33" customWidth="1"/>
    <col min="6" max="6" width="8.19921875" style="33" customWidth="1"/>
    <col min="7" max="11" width="8.09765625" style="33" customWidth="1"/>
    <col min="12" max="13" width="12.09765625" style="33" hidden="1" customWidth="1"/>
    <col min="14" max="15" width="0" style="33" hidden="1" customWidth="1"/>
    <col min="16" max="16384" width="9" style="33"/>
  </cols>
  <sheetData>
    <row r="1" spans="1:15" ht="16.350000000000001" customHeight="1">
      <c r="C1" s="96"/>
      <c r="D1" s="96"/>
      <c r="E1" s="96"/>
      <c r="F1" s="96"/>
      <c r="G1" s="96"/>
      <c r="H1" s="96"/>
      <c r="I1" s="96"/>
      <c r="J1" s="96"/>
      <c r="K1" s="96"/>
    </row>
    <row r="2" spans="1:15" ht="74.400000000000006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5" ht="19.2" customHeight="1">
      <c r="A3" s="98" t="s">
        <v>0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5" ht="15" customHeight="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 ht="15" customHeight="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5" ht="15" customHeight="1">
      <c r="A6" s="35" t="s">
        <v>3</v>
      </c>
      <c r="B6" s="35" t="s">
        <v>4</v>
      </c>
      <c r="D6" s="36"/>
      <c r="E6" s="36"/>
      <c r="F6" s="36"/>
      <c r="G6" s="36"/>
      <c r="H6" s="36"/>
      <c r="I6" s="35" t="s">
        <v>5</v>
      </c>
      <c r="J6" s="35"/>
      <c r="K6" s="35"/>
    </row>
    <row r="7" spans="1:15" ht="15" customHeight="1">
      <c r="A7" s="35"/>
      <c r="B7" s="35" t="s">
        <v>6</v>
      </c>
      <c r="D7" s="36"/>
      <c r="E7" s="36"/>
      <c r="F7" s="36"/>
      <c r="G7" s="36"/>
      <c r="H7" s="36"/>
      <c r="I7" s="38" t="s">
        <v>7</v>
      </c>
      <c r="J7" s="38"/>
      <c r="K7" s="38"/>
    </row>
    <row r="8" spans="1:15" ht="15" customHeight="1">
      <c r="A8" s="35" t="s">
        <v>8</v>
      </c>
      <c r="B8" s="35" t="s">
        <v>9</v>
      </c>
      <c r="D8" s="36"/>
      <c r="E8" s="36"/>
      <c r="F8" s="36"/>
      <c r="G8" s="36"/>
      <c r="H8" s="36"/>
      <c r="I8" s="38" t="s">
        <v>80</v>
      </c>
      <c r="J8" s="38"/>
      <c r="K8" s="38"/>
    </row>
    <row r="9" spans="1:15" ht="15" customHeight="1">
      <c r="A9" s="35"/>
      <c r="B9" s="35" t="s">
        <v>10</v>
      </c>
      <c r="D9" s="36"/>
      <c r="E9" s="36"/>
      <c r="F9" s="36"/>
      <c r="G9" s="36"/>
      <c r="H9" s="36"/>
      <c r="I9" s="40" t="s">
        <v>11</v>
      </c>
      <c r="J9" s="35"/>
      <c r="K9" s="35"/>
    </row>
    <row r="10" spans="1:15" ht="28.2" customHeight="1">
      <c r="A10" s="36"/>
      <c r="B10" s="36"/>
      <c r="C10" s="36"/>
      <c r="D10" s="36"/>
      <c r="E10" s="36"/>
      <c r="F10" s="36"/>
      <c r="G10" s="36"/>
      <c r="H10" s="36"/>
    </row>
    <row r="11" spans="1:15" ht="25.8" customHeight="1">
      <c r="A11" s="90" t="s">
        <v>114</v>
      </c>
      <c r="B11" s="90"/>
      <c r="C11" s="90"/>
      <c r="D11" s="90"/>
      <c r="E11" s="90"/>
      <c r="F11" s="90"/>
      <c r="G11" s="90"/>
      <c r="H11" s="90"/>
      <c r="I11" s="90"/>
      <c r="J11" s="90"/>
      <c r="K11" s="90"/>
    </row>
    <row r="12" spans="1:15" ht="22.2" customHeight="1">
      <c r="A12" s="112" t="s">
        <v>13</v>
      </c>
      <c r="B12" s="112" t="s">
        <v>14</v>
      </c>
      <c r="C12" s="112" t="s">
        <v>15</v>
      </c>
      <c r="D12" s="112" t="s">
        <v>16</v>
      </c>
      <c r="E12" s="112" t="s">
        <v>17</v>
      </c>
      <c r="F12" s="112" t="s">
        <v>18</v>
      </c>
      <c r="G12" s="112" t="s">
        <v>19</v>
      </c>
      <c r="H12" s="112" t="s">
        <v>20</v>
      </c>
      <c r="I12" s="113" t="s">
        <v>21</v>
      </c>
      <c r="J12" s="112" t="s">
        <v>22</v>
      </c>
      <c r="K12" s="114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 ht="15" customHeight="1">
      <c r="A13" s="87" t="s">
        <v>115</v>
      </c>
      <c r="B13" s="115">
        <f>ROUND(C13*0.0254,3)</f>
        <v>0.114</v>
      </c>
      <c r="C13" s="116">
        <v>4.5</v>
      </c>
      <c r="D13" s="117" t="s">
        <v>28</v>
      </c>
      <c r="E13" s="41" t="s">
        <v>116</v>
      </c>
      <c r="F13" s="118" t="s">
        <v>117</v>
      </c>
      <c r="G13" s="119">
        <v>17.774999999999999</v>
      </c>
      <c r="H13" s="120">
        <f>ROUND(G13*12,2)</f>
        <v>213.3</v>
      </c>
      <c r="I13" s="68">
        <f>ROUND(G13*13.33,2)</f>
        <v>236.94</v>
      </c>
      <c r="J13" s="120">
        <f>ROUND(G13*14,2)</f>
        <v>248.85</v>
      </c>
      <c r="K13" s="121">
        <v>0.05</v>
      </c>
      <c r="L13" s="63">
        <f>ROUND(ROUND(ROUND(G13*12,2)*43/48,2)*1.07,2)</f>
        <v>204.46</v>
      </c>
      <c r="M13" s="63">
        <f>ROUND(ROUND(G13*12,2)*2/3,2)</f>
        <v>142.19999999999999</v>
      </c>
      <c r="N13" s="63">
        <f>ROUND(ROUND(G13*13.33,2)*2/3,2)</f>
        <v>157.96</v>
      </c>
      <c r="O13" s="63">
        <f>ROUND(ROUND(G13*14,2)*2/3,2)</f>
        <v>165.9</v>
      </c>
    </row>
    <row r="14" spans="1:15" ht="15" customHeight="1">
      <c r="A14" s="87" t="s">
        <v>118</v>
      </c>
      <c r="B14" s="115">
        <f>ROUND(C14*0.0254,3)</f>
        <v>5.0999999999999997E-2</v>
      </c>
      <c r="C14" s="116">
        <v>2</v>
      </c>
      <c r="D14" s="117" t="s">
        <v>25</v>
      </c>
      <c r="E14" s="41" t="s">
        <v>119</v>
      </c>
      <c r="F14" s="118" t="s">
        <v>120</v>
      </c>
      <c r="G14" s="122">
        <v>9.3719999999999999</v>
      </c>
      <c r="H14" s="120">
        <f>ROUND(G14*12,2)</f>
        <v>112.46</v>
      </c>
      <c r="I14" s="68">
        <f>ROUND(G14*13.33,2)</f>
        <v>124.93</v>
      </c>
      <c r="J14" s="120">
        <f>ROUND(G14*14,2)</f>
        <v>131.21</v>
      </c>
      <c r="K14" s="121"/>
      <c r="L14" s="63">
        <f>ROUND(ROUND(ROUND(G14*12,2)*43/48,2)*1.07,2)</f>
        <v>107.8</v>
      </c>
      <c r="M14" s="63">
        <f>ROUND(ROUND(G14*12,2)*2/3,2)</f>
        <v>74.97</v>
      </c>
      <c r="N14" s="63">
        <f>ROUND(ROUND(G14*13.33,2)*2/3,2)</f>
        <v>83.29</v>
      </c>
      <c r="O14" s="63">
        <f>ROUND(ROUND(G14*14,2)*2/3,2)</f>
        <v>87.47</v>
      </c>
    </row>
    <row r="15" spans="1:15" ht="15" customHeight="1">
      <c r="A15" s="87" t="s">
        <v>115</v>
      </c>
      <c r="B15" s="115">
        <f t="shared" ref="B15:B22" si="0">ROUND(C15*0.0254,3)</f>
        <v>5.8000000000000003E-2</v>
      </c>
      <c r="C15" s="116">
        <v>2.2999999999999998</v>
      </c>
      <c r="D15" s="117" t="s">
        <v>25</v>
      </c>
      <c r="E15" s="41" t="s">
        <v>119</v>
      </c>
      <c r="F15" s="118" t="s">
        <v>121</v>
      </c>
      <c r="G15" s="122">
        <v>9.3719999999999999</v>
      </c>
      <c r="H15" s="120">
        <f t="shared" ref="H15:H78" si="1">ROUND(G15*12,2)</f>
        <v>112.46</v>
      </c>
      <c r="I15" s="68">
        <f t="shared" ref="I15:I74" si="2">ROUND(G15*13.33,2)</f>
        <v>124.93</v>
      </c>
      <c r="J15" s="120">
        <f t="shared" ref="J15:J78" si="3">ROUND(G15*14,2)</f>
        <v>131.21</v>
      </c>
      <c r="K15" s="121"/>
      <c r="L15" s="63">
        <f t="shared" ref="L15:L78" si="4">ROUND(ROUND(ROUND(G15*12,2)*43/48,2)*1.07,2)</f>
        <v>107.8</v>
      </c>
      <c r="M15" s="63">
        <f t="shared" ref="M15:M78" si="5">ROUND(ROUND(G15*12,2)*2/3,2)</f>
        <v>74.97</v>
      </c>
      <c r="N15" s="63">
        <f t="shared" ref="N15:N78" si="6">ROUND(ROUND(G15*13.33,2)*2/3,2)</f>
        <v>83.29</v>
      </c>
      <c r="O15" s="63">
        <f t="shared" ref="O15:O78" si="7">ROUND(ROUND(G15*14,2)*2/3,2)</f>
        <v>87.47</v>
      </c>
    </row>
    <row r="16" spans="1:15" ht="15" customHeight="1">
      <c r="A16" s="87" t="s">
        <v>115</v>
      </c>
      <c r="B16" s="115">
        <f t="shared" si="0"/>
        <v>6.4000000000000001E-2</v>
      </c>
      <c r="C16" s="116">
        <v>2.5</v>
      </c>
      <c r="D16" s="117" t="s">
        <v>25</v>
      </c>
      <c r="E16" s="41" t="s">
        <v>119</v>
      </c>
      <c r="F16" s="118" t="s">
        <v>121</v>
      </c>
      <c r="G16" s="122">
        <v>9.3719999999999999</v>
      </c>
      <c r="H16" s="120">
        <f t="shared" si="1"/>
        <v>112.46</v>
      </c>
      <c r="I16" s="68">
        <f t="shared" si="2"/>
        <v>124.93</v>
      </c>
      <c r="J16" s="120">
        <f t="shared" si="3"/>
        <v>131.21</v>
      </c>
      <c r="K16" s="121"/>
      <c r="L16" s="63">
        <f t="shared" si="4"/>
        <v>107.8</v>
      </c>
      <c r="M16" s="63">
        <f t="shared" si="5"/>
        <v>74.97</v>
      </c>
      <c r="N16" s="63">
        <f t="shared" si="6"/>
        <v>83.29</v>
      </c>
      <c r="O16" s="63">
        <f t="shared" si="7"/>
        <v>87.47</v>
      </c>
    </row>
    <row r="17" spans="1:15" ht="15" customHeight="1">
      <c r="A17" s="87" t="s">
        <v>115</v>
      </c>
      <c r="B17" s="115">
        <f t="shared" si="0"/>
        <v>6.4000000000000001E-2</v>
      </c>
      <c r="C17" s="116">
        <v>2.5</v>
      </c>
      <c r="D17" s="117" t="s">
        <v>25</v>
      </c>
      <c r="E17" s="41" t="s">
        <v>119</v>
      </c>
      <c r="F17" s="118" t="s">
        <v>122</v>
      </c>
      <c r="G17" s="122">
        <v>9.7010000000000005</v>
      </c>
      <c r="H17" s="120">
        <f t="shared" si="1"/>
        <v>116.41</v>
      </c>
      <c r="I17" s="68">
        <f t="shared" si="2"/>
        <v>129.31</v>
      </c>
      <c r="J17" s="120">
        <f t="shared" si="3"/>
        <v>135.81</v>
      </c>
      <c r="K17" s="121"/>
      <c r="L17" s="63">
        <f t="shared" si="4"/>
        <v>111.58</v>
      </c>
      <c r="M17" s="63">
        <f t="shared" si="5"/>
        <v>77.61</v>
      </c>
      <c r="N17" s="63">
        <f t="shared" si="6"/>
        <v>86.21</v>
      </c>
      <c r="O17" s="63">
        <f t="shared" si="7"/>
        <v>90.54</v>
      </c>
    </row>
    <row r="18" spans="1:15" ht="15" customHeight="1">
      <c r="A18" s="87" t="s">
        <v>115</v>
      </c>
      <c r="B18" s="115">
        <f t="shared" si="0"/>
        <v>7.5999999999999998E-2</v>
      </c>
      <c r="C18" s="116">
        <v>3</v>
      </c>
      <c r="D18" s="117" t="s">
        <v>25</v>
      </c>
      <c r="E18" s="41" t="s">
        <v>119</v>
      </c>
      <c r="F18" s="118" t="s">
        <v>81</v>
      </c>
      <c r="G18" s="122">
        <v>9.2259999999999991</v>
      </c>
      <c r="H18" s="120">
        <f t="shared" si="1"/>
        <v>110.71</v>
      </c>
      <c r="I18" s="68">
        <f t="shared" si="2"/>
        <v>122.98</v>
      </c>
      <c r="J18" s="120">
        <f t="shared" si="3"/>
        <v>129.16</v>
      </c>
      <c r="K18" s="121"/>
      <c r="L18" s="63">
        <f t="shared" si="4"/>
        <v>106.12</v>
      </c>
      <c r="M18" s="63">
        <f t="shared" si="5"/>
        <v>73.81</v>
      </c>
      <c r="N18" s="63">
        <f t="shared" si="6"/>
        <v>81.99</v>
      </c>
      <c r="O18" s="63">
        <f t="shared" si="7"/>
        <v>86.11</v>
      </c>
    </row>
    <row r="19" spans="1:15" ht="15" customHeight="1">
      <c r="A19" s="87" t="s">
        <v>115</v>
      </c>
      <c r="B19" s="115">
        <f t="shared" si="0"/>
        <v>7.5999999999999998E-2</v>
      </c>
      <c r="C19" s="116">
        <v>3</v>
      </c>
      <c r="D19" s="117" t="s">
        <v>25</v>
      </c>
      <c r="E19" s="41" t="s">
        <v>119</v>
      </c>
      <c r="F19" s="118" t="s">
        <v>123</v>
      </c>
      <c r="G19" s="122">
        <v>9.2890000000000015</v>
      </c>
      <c r="H19" s="120">
        <f t="shared" si="1"/>
        <v>111.47</v>
      </c>
      <c r="I19" s="68">
        <f t="shared" si="2"/>
        <v>123.82</v>
      </c>
      <c r="J19" s="120">
        <f t="shared" si="3"/>
        <v>130.05000000000001</v>
      </c>
      <c r="K19" s="121"/>
      <c r="L19" s="63">
        <f t="shared" si="4"/>
        <v>106.85</v>
      </c>
      <c r="M19" s="63">
        <f t="shared" si="5"/>
        <v>74.31</v>
      </c>
      <c r="N19" s="63">
        <f t="shared" si="6"/>
        <v>82.55</v>
      </c>
      <c r="O19" s="63">
        <f t="shared" si="7"/>
        <v>86.7</v>
      </c>
    </row>
    <row r="20" spans="1:15" ht="15" customHeight="1">
      <c r="A20" s="87" t="s">
        <v>115</v>
      </c>
      <c r="B20" s="115">
        <f t="shared" si="0"/>
        <v>7.5999999999999998E-2</v>
      </c>
      <c r="C20" s="116">
        <v>3</v>
      </c>
      <c r="D20" s="117" t="s">
        <v>25</v>
      </c>
      <c r="E20" s="41" t="s">
        <v>119</v>
      </c>
      <c r="F20" s="118" t="s">
        <v>122</v>
      </c>
      <c r="G20" s="122">
        <v>9.4550000000000018</v>
      </c>
      <c r="H20" s="120">
        <f t="shared" si="1"/>
        <v>113.46</v>
      </c>
      <c r="I20" s="68">
        <f t="shared" si="2"/>
        <v>126.04</v>
      </c>
      <c r="J20" s="120">
        <f t="shared" si="3"/>
        <v>132.37</v>
      </c>
      <c r="K20" s="121"/>
      <c r="L20" s="63">
        <f t="shared" si="4"/>
        <v>108.75</v>
      </c>
      <c r="M20" s="63">
        <f t="shared" si="5"/>
        <v>75.64</v>
      </c>
      <c r="N20" s="63">
        <f t="shared" si="6"/>
        <v>84.03</v>
      </c>
      <c r="O20" s="63">
        <f t="shared" si="7"/>
        <v>88.25</v>
      </c>
    </row>
    <row r="21" spans="1:15" ht="15" customHeight="1">
      <c r="A21" s="87" t="s">
        <v>115</v>
      </c>
      <c r="B21" s="115">
        <f t="shared" si="0"/>
        <v>8.8999999999999996E-2</v>
      </c>
      <c r="C21" s="116">
        <v>3.5</v>
      </c>
      <c r="D21" s="117" t="s">
        <v>25</v>
      </c>
      <c r="E21" s="41" t="s">
        <v>119</v>
      </c>
      <c r="F21" s="118" t="s">
        <v>122</v>
      </c>
      <c r="G21" s="122">
        <v>9.5</v>
      </c>
      <c r="H21" s="120">
        <f t="shared" si="1"/>
        <v>114</v>
      </c>
      <c r="I21" s="68">
        <f t="shared" si="2"/>
        <v>126.64</v>
      </c>
      <c r="J21" s="120">
        <f t="shared" si="3"/>
        <v>133</v>
      </c>
      <c r="K21" s="121"/>
      <c r="L21" s="63">
        <f t="shared" si="4"/>
        <v>109.28</v>
      </c>
      <c r="M21" s="63">
        <f t="shared" si="5"/>
        <v>76</v>
      </c>
      <c r="N21" s="63">
        <f t="shared" si="6"/>
        <v>84.43</v>
      </c>
      <c r="O21" s="63">
        <f t="shared" si="7"/>
        <v>88.67</v>
      </c>
    </row>
    <row r="22" spans="1:15" ht="15" customHeight="1">
      <c r="A22" s="87" t="s">
        <v>115</v>
      </c>
      <c r="B22" s="115">
        <f t="shared" si="0"/>
        <v>8.8999999999999996E-2</v>
      </c>
      <c r="C22" s="116">
        <v>3.5</v>
      </c>
      <c r="D22" s="117" t="s">
        <v>25</v>
      </c>
      <c r="E22" s="41" t="s">
        <v>119</v>
      </c>
      <c r="F22" s="118" t="s">
        <v>124</v>
      </c>
      <c r="G22" s="122">
        <v>9.2959999999999994</v>
      </c>
      <c r="H22" s="120">
        <f t="shared" si="1"/>
        <v>111.55</v>
      </c>
      <c r="I22" s="68">
        <f t="shared" si="2"/>
        <v>123.92</v>
      </c>
      <c r="J22" s="120">
        <f t="shared" si="3"/>
        <v>130.13999999999999</v>
      </c>
      <c r="K22" s="121"/>
      <c r="L22" s="63">
        <f t="shared" si="4"/>
        <v>106.93</v>
      </c>
      <c r="M22" s="63">
        <f t="shared" si="5"/>
        <v>74.37</v>
      </c>
      <c r="N22" s="63">
        <f t="shared" si="6"/>
        <v>82.61</v>
      </c>
      <c r="O22" s="63">
        <f t="shared" si="7"/>
        <v>86.76</v>
      </c>
    </row>
    <row r="23" spans="1:15" ht="15" customHeight="1">
      <c r="A23" s="87" t="s">
        <v>115</v>
      </c>
      <c r="B23" s="115">
        <f t="shared" ref="B23:B70" si="8">ROUND(C23*0.0254,2)</f>
        <v>0.1</v>
      </c>
      <c r="C23" s="116">
        <v>4</v>
      </c>
      <c r="D23" s="117" t="s">
        <v>25</v>
      </c>
      <c r="E23" s="41" t="s">
        <v>119</v>
      </c>
      <c r="F23" s="118" t="s">
        <v>84</v>
      </c>
      <c r="G23" s="122">
        <v>9.2630000000000017</v>
      </c>
      <c r="H23" s="120">
        <f t="shared" si="1"/>
        <v>111.16</v>
      </c>
      <c r="I23" s="68">
        <f t="shared" si="2"/>
        <v>123.48</v>
      </c>
      <c r="J23" s="120">
        <f t="shared" si="3"/>
        <v>129.68</v>
      </c>
      <c r="K23" s="121"/>
      <c r="L23" s="63">
        <f t="shared" si="4"/>
        <v>106.55</v>
      </c>
      <c r="M23" s="63">
        <f t="shared" si="5"/>
        <v>74.11</v>
      </c>
      <c r="N23" s="63">
        <f t="shared" si="6"/>
        <v>82.32</v>
      </c>
      <c r="O23" s="63">
        <f t="shared" si="7"/>
        <v>86.45</v>
      </c>
    </row>
    <row r="24" spans="1:15" ht="15" customHeight="1">
      <c r="A24" s="87" t="s">
        <v>115</v>
      </c>
      <c r="B24" s="115">
        <f t="shared" si="8"/>
        <v>0.1</v>
      </c>
      <c r="C24" s="116">
        <v>4</v>
      </c>
      <c r="D24" s="117" t="s">
        <v>25</v>
      </c>
      <c r="E24" s="41" t="s">
        <v>119</v>
      </c>
      <c r="F24" s="118" t="s">
        <v>97</v>
      </c>
      <c r="G24" s="122">
        <v>11.207000000000001</v>
      </c>
      <c r="H24" s="120">
        <f t="shared" si="1"/>
        <v>134.47999999999999</v>
      </c>
      <c r="I24" s="68">
        <f t="shared" si="2"/>
        <v>149.38999999999999</v>
      </c>
      <c r="J24" s="120">
        <f t="shared" si="3"/>
        <v>156.9</v>
      </c>
      <c r="K24" s="121"/>
      <c r="L24" s="63">
        <f t="shared" si="4"/>
        <v>128.9</v>
      </c>
      <c r="M24" s="63">
        <f t="shared" si="5"/>
        <v>89.65</v>
      </c>
      <c r="N24" s="63">
        <f t="shared" si="6"/>
        <v>99.59</v>
      </c>
      <c r="O24" s="63">
        <f t="shared" si="7"/>
        <v>104.6</v>
      </c>
    </row>
    <row r="25" spans="1:15" ht="15" customHeight="1">
      <c r="A25" s="87" t="s">
        <v>115</v>
      </c>
      <c r="B25" s="115">
        <f t="shared" si="8"/>
        <v>0.1</v>
      </c>
      <c r="C25" s="116">
        <v>4</v>
      </c>
      <c r="D25" s="117" t="s">
        <v>25</v>
      </c>
      <c r="E25" s="41" t="s">
        <v>119</v>
      </c>
      <c r="F25" s="118" t="s">
        <v>85</v>
      </c>
      <c r="G25" s="122">
        <v>11.192</v>
      </c>
      <c r="H25" s="120">
        <f t="shared" si="1"/>
        <v>134.30000000000001</v>
      </c>
      <c r="I25" s="68">
        <f t="shared" si="2"/>
        <v>149.19</v>
      </c>
      <c r="J25" s="120">
        <f t="shared" si="3"/>
        <v>156.69</v>
      </c>
      <c r="K25" s="121"/>
      <c r="L25" s="63">
        <f t="shared" si="4"/>
        <v>128.72999999999999</v>
      </c>
      <c r="M25" s="63">
        <f t="shared" si="5"/>
        <v>89.53</v>
      </c>
      <c r="N25" s="63">
        <f t="shared" si="6"/>
        <v>99.46</v>
      </c>
      <c r="O25" s="63">
        <f t="shared" si="7"/>
        <v>104.46</v>
      </c>
    </row>
    <row r="26" spans="1:15" ht="15" customHeight="1">
      <c r="A26" s="87" t="s">
        <v>115</v>
      </c>
      <c r="B26" s="115">
        <f t="shared" si="8"/>
        <v>0.1</v>
      </c>
      <c r="C26" s="116">
        <v>4</v>
      </c>
      <c r="D26" s="117" t="s">
        <v>25</v>
      </c>
      <c r="E26" s="41" t="s">
        <v>119</v>
      </c>
      <c r="F26" s="118" t="s">
        <v>124</v>
      </c>
      <c r="G26" s="122">
        <v>9.2890000000000015</v>
      </c>
      <c r="H26" s="120">
        <f t="shared" si="1"/>
        <v>111.47</v>
      </c>
      <c r="I26" s="68">
        <f t="shared" si="2"/>
        <v>123.82</v>
      </c>
      <c r="J26" s="120">
        <f t="shared" si="3"/>
        <v>130.05000000000001</v>
      </c>
      <c r="K26" s="121"/>
      <c r="L26" s="63">
        <f t="shared" si="4"/>
        <v>106.85</v>
      </c>
      <c r="M26" s="63">
        <f t="shared" si="5"/>
        <v>74.31</v>
      </c>
      <c r="N26" s="63">
        <f t="shared" si="6"/>
        <v>82.55</v>
      </c>
      <c r="O26" s="63">
        <f t="shared" si="7"/>
        <v>86.7</v>
      </c>
    </row>
    <row r="27" spans="1:15" ht="15" customHeight="1">
      <c r="A27" s="87" t="s">
        <v>115</v>
      </c>
      <c r="B27" s="115">
        <f t="shared" si="8"/>
        <v>0.11</v>
      </c>
      <c r="C27" s="116">
        <v>4.5</v>
      </c>
      <c r="D27" s="117" t="s">
        <v>25</v>
      </c>
      <c r="E27" s="41" t="s">
        <v>119</v>
      </c>
      <c r="F27" s="118" t="s">
        <v>84</v>
      </c>
      <c r="G27" s="122">
        <v>9.370000000000001</v>
      </c>
      <c r="H27" s="120">
        <f t="shared" si="1"/>
        <v>112.44</v>
      </c>
      <c r="I27" s="68">
        <f t="shared" si="2"/>
        <v>124.9</v>
      </c>
      <c r="J27" s="120">
        <f t="shared" si="3"/>
        <v>131.18</v>
      </c>
      <c r="K27" s="121"/>
      <c r="L27" s="63">
        <f t="shared" si="4"/>
        <v>107.78</v>
      </c>
      <c r="M27" s="63">
        <f t="shared" si="5"/>
        <v>74.959999999999994</v>
      </c>
      <c r="N27" s="63">
        <f t="shared" si="6"/>
        <v>83.27</v>
      </c>
      <c r="O27" s="63">
        <f t="shared" si="7"/>
        <v>87.45</v>
      </c>
    </row>
    <row r="28" spans="1:15" ht="15" customHeight="1">
      <c r="A28" s="87" t="s">
        <v>115</v>
      </c>
      <c r="B28" s="115">
        <f t="shared" si="8"/>
        <v>0.11</v>
      </c>
      <c r="C28" s="116">
        <v>4.5</v>
      </c>
      <c r="D28" s="117" t="s">
        <v>25</v>
      </c>
      <c r="E28" s="41" t="s">
        <v>119</v>
      </c>
      <c r="F28" s="118" t="s">
        <v>85</v>
      </c>
      <c r="G28" s="122">
        <v>11.192</v>
      </c>
      <c r="H28" s="120">
        <f t="shared" si="1"/>
        <v>134.30000000000001</v>
      </c>
      <c r="I28" s="68">
        <f t="shared" si="2"/>
        <v>149.19</v>
      </c>
      <c r="J28" s="120">
        <f t="shared" si="3"/>
        <v>156.69</v>
      </c>
      <c r="K28" s="121"/>
      <c r="L28" s="63">
        <f t="shared" si="4"/>
        <v>128.72999999999999</v>
      </c>
      <c r="M28" s="63">
        <f t="shared" si="5"/>
        <v>89.53</v>
      </c>
      <c r="N28" s="63">
        <f t="shared" si="6"/>
        <v>99.46</v>
      </c>
      <c r="O28" s="63">
        <f t="shared" si="7"/>
        <v>104.46</v>
      </c>
    </row>
    <row r="29" spans="1:15" ht="15" customHeight="1">
      <c r="A29" s="87" t="s">
        <v>115</v>
      </c>
      <c r="B29" s="115">
        <f t="shared" si="8"/>
        <v>0.13</v>
      </c>
      <c r="C29" s="116">
        <v>5</v>
      </c>
      <c r="D29" s="117" t="s">
        <v>25</v>
      </c>
      <c r="E29" s="41" t="s">
        <v>119</v>
      </c>
      <c r="F29" s="118" t="s">
        <v>86</v>
      </c>
      <c r="G29" s="122">
        <v>11.07</v>
      </c>
      <c r="H29" s="120">
        <f t="shared" si="1"/>
        <v>132.84</v>
      </c>
      <c r="I29" s="68">
        <f t="shared" si="2"/>
        <v>147.56</v>
      </c>
      <c r="J29" s="120">
        <f t="shared" si="3"/>
        <v>154.97999999999999</v>
      </c>
      <c r="K29" s="121"/>
      <c r="L29" s="63">
        <f t="shared" si="4"/>
        <v>127.33</v>
      </c>
      <c r="M29" s="63">
        <f t="shared" si="5"/>
        <v>88.56</v>
      </c>
      <c r="N29" s="63">
        <f t="shared" si="6"/>
        <v>98.37</v>
      </c>
      <c r="O29" s="63">
        <f t="shared" si="7"/>
        <v>103.32</v>
      </c>
    </row>
    <row r="30" spans="1:15" ht="15" customHeight="1">
      <c r="A30" s="87" t="s">
        <v>115</v>
      </c>
      <c r="B30" s="115">
        <f t="shared" si="8"/>
        <v>0.13</v>
      </c>
      <c r="C30" s="116">
        <v>5</v>
      </c>
      <c r="D30" s="117" t="s">
        <v>25</v>
      </c>
      <c r="E30" s="41" t="s">
        <v>119</v>
      </c>
      <c r="F30" s="118" t="s">
        <v>85</v>
      </c>
      <c r="G30" s="122">
        <v>11.442</v>
      </c>
      <c r="H30" s="120">
        <f t="shared" si="1"/>
        <v>137.30000000000001</v>
      </c>
      <c r="I30" s="68">
        <f t="shared" si="2"/>
        <v>152.52000000000001</v>
      </c>
      <c r="J30" s="120">
        <f t="shared" si="3"/>
        <v>160.19</v>
      </c>
      <c r="K30" s="121"/>
      <c r="L30" s="63">
        <f t="shared" si="4"/>
        <v>131.61000000000001</v>
      </c>
      <c r="M30" s="63">
        <f t="shared" si="5"/>
        <v>91.53</v>
      </c>
      <c r="N30" s="63">
        <f t="shared" si="6"/>
        <v>101.68</v>
      </c>
      <c r="O30" s="63">
        <f t="shared" si="7"/>
        <v>106.79</v>
      </c>
    </row>
    <row r="31" spans="1:15" ht="15" customHeight="1">
      <c r="A31" s="87" t="s">
        <v>115</v>
      </c>
      <c r="B31" s="115">
        <f t="shared" si="8"/>
        <v>0.13</v>
      </c>
      <c r="C31" s="116">
        <v>5</v>
      </c>
      <c r="D31" s="117" t="s">
        <v>25</v>
      </c>
      <c r="E31" s="41" t="s">
        <v>119</v>
      </c>
      <c r="F31" s="118" t="s">
        <v>84</v>
      </c>
      <c r="G31" s="122">
        <v>9.4329999999999998</v>
      </c>
      <c r="H31" s="120">
        <f t="shared" si="1"/>
        <v>113.2</v>
      </c>
      <c r="I31" s="68">
        <f t="shared" si="2"/>
        <v>125.74</v>
      </c>
      <c r="J31" s="120">
        <f t="shared" si="3"/>
        <v>132.06</v>
      </c>
      <c r="K31" s="121"/>
      <c r="L31" s="63">
        <f t="shared" si="4"/>
        <v>108.51</v>
      </c>
      <c r="M31" s="63">
        <f t="shared" si="5"/>
        <v>75.47</v>
      </c>
      <c r="N31" s="63">
        <f t="shared" si="6"/>
        <v>83.83</v>
      </c>
      <c r="O31" s="63">
        <f t="shared" si="7"/>
        <v>88.04</v>
      </c>
    </row>
    <row r="32" spans="1:15" ht="15" customHeight="1">
      <c r="A32" s="87" t="s">
        <v>115</v>
      </c>
      <c r="B32" s="115">
        <f t="shared" si="8"/>
        <v>0.13</v>
      </c>
      <c r="C32" s="116">
        <v>5</v>
      </c>
      <c r="D32" s="117" t="s">
        <v>25</v>
      </c>
      <c r="E32" s="41" t="s">
        <v>119</v>
      </c>
      <c r="F32" s="118" t="s">
        <v>117</v>
      </c>
      <c r="G32" s="122">
        <v>11.396999999999998</v>
      </c>
      <c r="H32" s="120">
        <f t="shared" si="1"/>
        <v>136.76</v>
      </c>
      <c r="I32" s="68">
        <f t="shared" si="2"/>
        <v>151.91999999999999</v>
      </c>
      <c r="J32" s="120">
        <f t="shared" si="3"/>
        <v>159.56</v>
      </c>
      <c r="K32" s="121"/>
      <c r="L32" s="63">
        <f t="shared" si="4"/>
        <v>131.09</v>
      </c>
      <c r="M32" s="63">
        <f t="shared" si="5"/>
        <v>91.17</v>
      </c>
      <c r="N32" s="63">
        <f t="shared" si="6"/>
        <v>101.28</v>
      </c>
      <c r="O32" s="63">
        <f t="shared" si="7"/>
        <v>106.37</v>
      </c>
    </row>
    <row r="33" spans="1:15" ht="15" customHeight="1">
      <c r="A33" s="87" t="s">
        <v>115</v>
      </c>
      <c r="B33" s="115">
        <f t="shared" si="8"/>
        <v>0.15</v>
      </c>
      <c r="C33" s="116">
        <v>6</v>
      </c>
      <c r="D33" s="117" t="s">
        <v>25</v>
      </c>
      <c r="E33" s="41" t="s">
        <v>119</v>
      </c>
      <c r="F33" s="118" t="s">
        <v>93</v>
      </c>
      <c r="G33" s="122">
        <v>9.3930000000000007</v>
      </c>
      <c r="H33" s="120">
        <f t="shared" si="1"/>
        <v>112.72</v>
      </c>
      <c r="I33" s="68">
        <f t="shared" si="2"/>
        <v>125.21</v>
      </c>
      <c r="J33" s="120">
        <f t="shared" si="3"/>
        <v>131.5</v>
      </c>
      <c r="K33" s="121"/>
      <c r="L33" s="63">
        <f t="shared" si="4"/>
        <v>108.05</v>
      </c>
      <c r="M33" s="63">
        <f t="shared" si="5"/>
        <v>75.150000000000006</v>
      </c>
      <c r="N33" s="63">
        <f t="shared" si="6"/>
        <v>83.47</v>
      </c>
      <c r="O33" s="63">
        <f t="shared" si="7"/>
        <v>87.67</v>
      </c>
    </row>
    <row r="34" spans="1:15" ht="15" customHeight="1">
      <c r="A34" s="87" t="s">
        <v>115</v>
      </c>
      <c r="B34" s="115">
        <f t="shared" si="8"/>
        <v>0.15</v>
      </c>
      <c r="C34" s="116">
        <v>6</v>
      </c>
      <c r="D34" s="117" t="s">
        <v>25</v>
      </c>
      <c r="E34" s="41" t="s">
        <v>119</v>
      </c>
      <c r="F34" s="118" t="s">
        <v>86</v>
      </c>
      <c r="G34" s="122">
        <v>10.960999999999999</v>
      </c>
      <c r="H34" s="120">
        <f t="shared" si="1"/>
        <v>131.53</v>
      </c>
      <c r="I34" s="68">
        <f t="shared" si="2"/>
        <v>146.11000000000001</v>
      </c>
      <c r="J34" s="120">
        <f t="shared" si="3"/>
        <v>153.44999999999999</v>
      </c>
      <c r="K34" s="121"/>
      <c r="L34" s="63">
        <f t="shared" si="4"/>
        <v>126.08</v>
      </c>
      <c r="M34" s="63">
        <f t="shared" si="5"/>
        <v>87.69</v>
      </c>
      <c r="N34" s="63">
        <f t="shared" si="6"/>
        <v>97.41</v>
      </c>
      <c r="O34" s="63">
        <f t="shared" si="7"/>
        <v>102.3</v>
      </c>
    </row>
    <row r="35" spans="1:15" ht="15" customHeight="1">
      <c r="A35" s="87" t="s">
        <v>115</v>
      </c>
      <c r="B35" s="115">
        <f t="shared" si="8"/>
        <v>0.15</v>
      </c>
      <c r="C35" s="116">
        <v>6</v>
      </c>
      <c r="D35" s="117" t="s">
        <v>25</v>
      </c>
      <c r="E35" s="41" t="s">
        <v>119</v>
      </c>
      <c r="F35" s="118" t="s">
        <v>125</v>
      </c>
      <c r="G35" s="122">
        <v>11.045999999999999</v>
      </c>
      <c r="H35" s="120">
        <f t="shared" si="1"/>
        <v>132.55000000000001</v>
      </c>
      <c r="I35" s="68">
        <f t="shared" si="2"/>
        <v>147.24</v>
      </c>
      <c r="J35" s="120">
        <f t="shared" si="3"/>
        <v>154.63999999999999</v>
      </c>
      <c r="K35" s="121"/>
      <c r="L35" s="63">
        <f t="shared" si="4"/>
        <v>127.05</v>
      </c>
      <c r="M35" s="63">
        <f t="shared" si="5"/>
        <v>88.37</v>
      </c>
      <c r="N35" s="63">
        <f t="shared" si="6"/>
        <v>98.16</v>
      </c>
      <c r="O35" s="63">
        <f t="shared" si="7"/>
        <v>103.09</v>
      </c>
    </row>
    <row r="36" spans="1:15" ht="15" customHeight="1">
      <c r="A36" s="87" t="s">
        <v>115</v>
      </c>
      <c r="B36" s="115">
        <f t="shared" si="8"/>
        <v>0.15</v>
      </c>
      <c r="C36" s="116">
        <v>6</v>
      </c>
      <c r="D36" s="117" t="s">
        <v>25</v>
      </c>
      <c r="E36" s="41" t="s">
        <v>119</v>
      </c>
      <c r="F36" s="118" t="s">
        <v>117</v>
      </c>
      <c r="G36" s="122">
        <v>11.834</v>
      </c>
      <c r="H36" s="120">
        <f t="shared" si="1"/>
        <v>142.01</v>
      </c>
      <c r="I36" s="68">
        <f t="shared" si="2"/>
        <v>157.75</v>
      </c>
      <c r="J36" s="120">
        <f t="shared" si="3"/>
        <v>165.68</v>
      </c>
      <c r="K36" s="121"/>
      <c r="L36" s="63">
        <f t="shared" si="4"/>
        <v>136.13</v>
      </c>
      <c r="M36" s="63">
        <f t="shared" si="5"/>
        <v>94.67</v>
      </c>
      <c r="N36" s="63">
        <f t="shared" si="6"/>
        <v>105.17</v>
      </c>
      <c r="O36" s="63">
        <f t="shared" si="7"/>
        <v>110.45</v>
      </c>
    </row>
    <row r="37" spans="1:15" ht="15" customHeight="1">
      <c r="A37" s="87" t="s">
        <v>115</v>
      </c>
      <c r="B37" s="115">
        <f t="shared" si="8"/>
        <v>0.18</v>
      </c>
      <c r="C37" s="116">
        <v>7</v>
      </c>
      <c r="D37" s="117" t="s">
        <v>25</v>
      </c>
      <c r="E37" s="41" t="s">
        <v>119</v>
      </c>
      <c r="F37" s="118" t="s">
        <v>126</v>
      </c>
      <c r="G37" s="122">
        <v>11.541</v>
      </c>
      <c r="H37" s="120">
        <f t="shared" si="1"/>
        <v>138.49</v>
      </c>
      <c r="I37" s="68">
        <f t="shared" si="2"/>
        <v>153.84</v>
      </c>
      <c r="J37" s="120">
        <f t="shared" si="3"/>
        <v>161.57</v>
      </c>
      <c r="K37" s="121"/>
      <c r="L37" s="63">
        <f t="shared" si="4"/>
        <v>132.74</v>
      </c>
      <c r="M37" s="63">
        <f t="shared" si="5"/>
        <v>92.33</v>
      </c>
      <c r="N37" s="63">
        <f t="shared" si="6"/>
        <v>102.56</v>
      </c>
      <c r="O37" s="63">
        <f t="shared" si="7"/>
        <v>107.71</v>
      </c>
    </row>
    <row r="38" spans="1:15" ht="15" customHeight="1">
      <c r="A38" s="87" t="s">
        <v>115</v>
      </c>
      <c r="B38" s="115">
        <f t="shared" si="8"/>
        <v>0.2</v>
      </c>
      <c r="C38" s="116">
        <v>8</v>
      </c>
      <c r="D38" s="117" t="s">
        <v>25</v>
      </c>
      <c r="E38" s="41" t="s">
        <v>119</v>
      </c>
      <c r="F38" s="118" t="s">
        <v>126</v>
      </c>
      <c r="G38" s="122">
        <v>11.989000000000001</v>
      </c>
      <c r="H38" s="120">
        <f t="shared" si="1"/>
        <v>143.87</v>
      </c>
      <c r="I38" s="68">
        <f t="shared" si="2"/>
        <v>159.81</v>
      </c>
      <c r="J38" s="120">
        <f t="shared" si="3"/>
        <v>167.85</v>
      </c>
      <c r="K38" s="121"/>
      <c r="L38" s="63">
        <f t="shared" si="4"/>
        <v>137.9</v>
      </c>
      <c r="M38" s="63">
        <f t="shared" si="5"/>
        <v>95.91</v>
      </c>
      <c r="N38" s="63">
        <f t="shared" si="6"/>
        <v>106.54</v>
      </c>
      <c r="O38" s="63">
        <f t="shared" si="7"/>
        <v>111.9</v>
      </c>
    </row>
    <row r="39" spans="1:15" ht="15" customHeight="1">
      <c r="A39" s="87" t="s">
        <v>115</v>
      </c>
      <c r="B39" s="115">
        <f t="shared" si="8"/>
        <v>0.2</v>
      </c>
      <c r="C39" s="116">
        <v>8</v>
      </c>
      <c r="D39" s="117" t="s">
        <v>25</v>
      </c>
      <c r="E39" s="41" t="s">
        <v>119</v>
      </c>
      <c r="F39" s="118" t="s">
        <v>89</v>
      </c>
      <c r="G39" s="122">
        <v>10.968</v>
      </c>
      <c r="H39" s="120">
        <f t="shared" si="1"/>
        <v>131.62</v>
      </c>
      <c r="I39" s="68">
        <f t="shared" si="2"/>
        <v>146.19999999999999</v>
      </c>
      <c r="J39" s="120">
        <f t="shared" si="3"/>
        <v>153.55000000000001</v>
      </c>
      <c r="K39" s="121"/>
      <c r="L39" s="63">
        <f t="shared" si="4"/>
        <v>126.16</v>
      </c>
      <c r="M39" s="63">
        <f t="shared" si="5"/>
        <v>87.75</v>
      </c>
      <c r="N39" s="63">
        <f t="shared" si="6"/>
        <v>97.47</v>
      </c>
      <c r="O39" s="63">
        <f t="shared" si="7"/>
        <v>102.37</v>
      </c>
    </row>
    <row r="40" spans="1:15" ht="15" customHeight="1">
      <c r="A40" s="87" t="s">
        <v>115</v>
      </c>
      <c r="B40" s="115">
        <f t="shared" si="8"/>
        <v>0.23</v>
      </c>
      <c r="C40" s="116">
        <v>9</v>
      </c>
      <c r="D40" s="117" t="s">
        <v>25</v>
      </c>
      <c r="E40" s="41" t="s">
        <v>119</v>
      </c>
      <c r="F40" s="118" t="s">
        <v>89</v>
      </c>
      <c r="G40" s="122">
        <v>10.986000000000001</v>
      </c>
      <c r="H40" s="120">
        <f t="shared" si="1"/>
        <v>131.83000000000001</v>
      </c>
      <c r="I40" s="68">
        <f t="shared" si="2"/>
        <v>146.44</v>
      </c>
      <c r="J40" s="120">
        <f t="shared" si="3"/>
        <v>153.80000000000001</v>
      </c>
      <c r="K40" s="121"/>
      <c r="L40" s="63">
        <f t="shared" si="4"/>
        <v>126.37</v>
      </c>
      <c r="M40" s="63">
        <f t="shared" si="5"/>
        <v>87.89</v>
      </c>
      <c r="N40" s="63">
        <f t="shared" si="6"/>
        <v>97.63</v>
      </c>
      <c r="O40" s="63">
        <f t="shared" si="7"/>
        <v>102.53</v>
      </c>
    </row>
    <row r="41" spans="1:15" ht="15" customHeight="1">
      <c r="A41" s="87" t="s">
        <v>115</v>
      </c>
      <c r="B41" s="115">
        <f t="shared" si="8"/>
        <v>0.23</v>
      </c>
      <c r="C41" s="116">
        <v>9</v>
      </c>
      <c r="D41" s="117" t="s">
        <v>25</v>
      </c>
      <c r="E41" s="41" t="s">
        <v>119</v>
      </c>
      <c r="F41" s="118" t="s">
        <v>127</v>
      </c>
      <c r="G41" s="122">
        <v>13.228999999999999</v>
      </c>
      <c r="H41" s="120">
        <f t="shared" si="1"/>
        <v>158.75</v>
      </c>
      <c r="I41" s="68">
        <f t="shared" si="2"/>
        <v>176.34</v>
      </c>
      <c r="J41" s="120">
        <f t="shared" si="3"/>
        <v>185.21</v>
      </c>
      <c r="K41" s="121"/>
      <c r="L41" s="63">
        <f t="shared" si="4"/>
        <v>152.16</v>
      </c>
      <c r="M41" s="63">
        <f t="shared" si="5"/>
        <v>105.83</v>
      </c>
      <c r="N41" s="63">
        <f t="shared" si="6"/>
        <v>117.56</v>
      </c>
      <c r="O41" s="63">
        <f t="shared" si="7"/>
        <v>123.47</v>
      </c>
    </row>
    <row r="42" spans="1:15" ht="15" customHeight="1">
      <c r="A42" s="87" t="s">
        <v>115</v>
      </c>
      <c r="B42" s="115">
        <f t="shared" si="8"/>
        <v>0.25</v>
      </c>
      <c r="C42" s="116">
        <v>10</v>
      </c>
      <c r="D42" s="117" t="s">
        <v>25</v>
      </c>
      <c r="E42" s="41" t="s">
        <v>119</v>
      </c>
      <c r="F42" s="118" t="s">
        <v>89</v>
      </c>
      <c r="G42" s="122">
        <v>11.055</v>
      </c>
      <c r="H42" s="120">
        <f t="shared" si="1"/>
        <v>132.66</v>
      </c>
      <c r="I42" s="68">
        <f t="shared" si="2"/>
        <v>147.36000000000001</v>
      </c>
      <c r="J42" s="120">
        <f t="shared" si="3"/>
        <v>154.77000000000001</v>
      </c>
      <c r="K42" s="121"/>
      <c r="L42" s="63">
        <f t="shared" si="4"/>
        <v>127.16</v>
      </c>
      <c r="M42" s="63">
        <f t="shared" si="5"/>
        <v>88.44</v>
      </c>
      <c r="N42" s="63">
        <f t="shared" si="6"/>
        <v>98.24</v>
      </c>
      <c r="O42" s="63">
        <f t="shared" si="7"/>
        <v>103.18</v>
      </c>
    </row>
    <row r="43" spans="1:15" ht="15" customHeight="1">
      <c r="A43" s="87" t="s">
        <v>115</v>
      </c>
      <c r="B43" s="115">
        <f t="shared" si="8"/>
        <v>0.3</v>
      </c>
      <c r="C43" s="116">
        <v>12</v>
      </c>
      <c r="D43" s="117" t="s">
        <v>25</v>
      </c>
      <c r="E43" s="41" t="s">
        <v>119</v>
      </c>
      <c r="F43" s="118" t="s">
        <v>99</v>
      </c>
      <c r="G43" s="122">
        <v>11.580000000000002</v>
      </c>
      <c r="H43" s="120">
        <f t="shared" si="1"/>
        <v>138.96</v>
      </c>
      <c r="I43" s="68">
        <f t="shared" si="2"/>
        <v>154.36000000000001</v>
      </c>
      <c r="J43" s="120">
        <f t="shared" si="3"/>
        <v>162.12</v>
      </c>
      <c r="K43" s="121"/>
      <c r="L43" s="63">
        <f t="shared" si="4"/>
        <v>133.19999999999999</v>
      </c>
      <c r="M43" s="63">
        <f t="shared" si="5"/>
        <v>92.64</v>
      </c>
      <c r="N43" s="63">
        <f t="shared" si="6"/>
        <v>102.91</v>
      </c>
      <c r="O43" s="63">
        <f t="shared" si="7"/>
        <v>108.08</v>
      </c>
    </row>
    <row r="44" spans="1:15" ht="15" customHeight="1">
      <c r="A44" s="87" t="s">
        <v>115</v>
      </c>
      <c r="B44" s="115">
        <f t="shared" si="8"/>
        <v>0.3</v>
      </c>
      <c r="C44" s="116">
        <v>12</v>
      </c>
      <c r="D44" s="117" t="s">
        <v>25</v>
      </c>
      <c r="E44" s="41" t="s">
        <v>119</v>
      </c>
      <c r="F44" s="118" t="s">
        <v>128</v>
      </c>
      <c r="G44" s="122">
        <v>14.321000000000002</v>
      </c>
      <c r="H44" s="120">
        <f t="shared" si="1"/>
        <v>171.85</v>
      </c>
      <c r="I44" s="68">
        <f t="shared" si="2"/>
        <v>190.9</v>
      </c>
      <c r="J44" s="120">
        <f t="shared" si="3"/>
        <v>200.49</v>
      </c>
      <c r="K44" s="121"/>
      <c r="L44" s="63">
        <f t="shared" si="4"/>
        <v>164.73</v>
      </c>
      <c r="M44" s="63">
        <f t="shared" si="5"/>
        <v>114.57</v>
      </c>
      <c r="N44" s="63">
        <f t="shared" si="6"/>
        <v>127.27</v>
      </c>
      <c r="O44" s="63">
        <f t="shared" si="7"/>
        <v>133.66</v>
      </c>
    </row>
    <row r="45" spans="1:15" ht="15" customHeight="1">
      <c r="A45" s="87" t="s">
        <v>115</v>
      </c>
      <c r="B45" s="115">
        <f t="shared" si="8"/>
        <v>0.3</v>
      </c>
      <c r="C45" s="116">
        <v>12</v>
      </c>
      <c r="D45" s="117" t="s">
        <v>25</v>
      </c>
      <c r="E45" s="41" t="s">
        <v>119</v>
      </c>
      <c r="F45" s="118" t="s">
        <v>90</v>
      </c>
      <c r="G45" s="122">
        <v>14.018999999999998</v>
      </c>
      <c r="H45" s="120">
        <f t="shared" si="1"/>
        <v>168.23</v>
      </c>
      <c r="I45" s="68">
        <f t="shared" si="2"/>
        <v>186.87</v>
      </c>
      <c r="J45" s="120">
        <f t="shared" si="3"/>
        <v>196.27</v>
      </c>
      <c r="K45" s="121"/>
      <c r="L45" s="63">
        <f t="shared" si="4"/>
        <v>161.26</v>
      </c>
      <c r="M45" s="63">
        <f t="shared" si="5"/>
        <v>112.15</v>
      </c>
      <c r="N45" s="63">
        <f t="shared" si="6"/>
        <v>124.58</v>
      </c>
      <c r="O45" s="63">
        <f t="shared" si="7"/>
        <v>130.85</v>
      </c>
    </row>
    <row r="46" spans="1:15" ht="15" customHeight="1">
      <c r="A46" s="87" t="s">
        <v>115</v>
      </c>
      <c r="B46" s="115">
        <f t="shared" si="8"/>
        <v>0.33</v>
      </c>
      <c r="C46" s="116">
        <v>13</v>
      </c>
      <c r="D46" s="117" t="s">
        <v>25</v>
      </c>
      <c r="E46" s="41" t="s">
        <v>119</v>
      </c>
      <c r="F46" s="118" t="s">
        <v>90</v>
      </c>
      <c r="G46" s="122">
        <v>14.018999999999998</v>
      </c>
      <c r="H46" s="120">
        <f t="shared" si="1"/>
        <v>168.23</v>
      </c>
      <c r="I46" s="68">
        <f t="shared" si="2"/>
        <v>186.87</v>
      </c>
      <c r="J46" s="120">
        <f t="shared" si="3"/>
        <v>196.27</v>
      </c>
      <c r="K46" s="121"/>
      <c r="L46" s="63">
        <f t="shared" si="4"/>
        <v>161.26</v>
      </c>
      <c r="M46" s="63">
        <f t="shared" si="5"/>
        <v>112.15</v>
      </c>
      <c r="N46" s="63">
        <f t="shared" si="6"/>
        <v>124.58</v>
      </c>
      <c r="O46" s="63">
        <f t="shared" si="7"/>
        <v>130.85</v>
      </c>
    </row>
    <row r="47" spans="1:15" ht="15" customHeight="1">
      <c r="A47" s="87" t="s">
        <v>115</v>
      </c>
      <c r="B47" s="115">
        <f t="shared" si="8"/>
        <v>0.36</v>
      </c>
      <c r="C47" s="116">
        <v>14</v>
      </c>
      <c r="D47" s="117" t="s">
        <v>25</v>
      </c>
      <c r="E47" s="41" t="s">
        <v>119</v>
      </c>
      <c r="F47" s="118" t="s">
        <v>100</v>
      </c>
      <c r="G47" s="122">
        <v>11.870999999999999</v>
      </c>
      <c r="H47" s="120">
        <f t="shared" si="1"/>
        <v>142.44999999999999</v>
      </c>
      <c r="I47" s="68">
        <f t="shared" si="2"/>
        <v>158.24</v>
      </c>
      <c r="J47" s="120">
        <f t="shared" si="3"/>
        <v>166.19</v>
      </c>
      <c r="K47" s="121"/>
      <c r="L47" s="63">
        <f t="shared" si="4"/>
        <v>136.54</v>
      </c>
      <c r="M47" s="63">
        <f t="shared" si="5"/>
        <v>94.97</v>
      </c>
      <c r="N47" s="63">
        <f t="shared" si="6"/>
        <v>105.49</v>
      </c>
      <c r="O47" s="63">
        <f t="shared" si="7"/>
        <v>110.79</v>
      </c>
    </row>
    <row r="48" spans="1:15" ht="15" customHeight="1">
      <c r="A48" s="87" t="s">
        <v>115</v>
      </c>
      <c r="B48" s="115">
        <f t="shared" si="8"/>
        <v>0.36</v>
      </c>
      <c r="C48" s="116">
        <v>14</v>
      </c>
      <c r="D48" s="117" t="s">
        <v>25</v>
      </c>
      <c r="E48" s="41" t="s">
        <v>119</v>
      </c>
      <c r="F48" s="118" t="s">
        <v>90</v>
      </c>
      <c r="G48" s="122">
        <v>14.018999999999998</v>
      </c>
      <c r="H48" s="120">
        <f t="shared" si="1"/>
        <v>168.23</v>
      </c>
      <c r="I48" s="68">
        <f t="shared" si="2"/>
        <v>186.87</v>
      </c>
      <c r="J48" s="120">
        <f t="shared" si="3"/>
        <v>196.27</v>
      </c>
      <c r="K48" s="121"/>
      <c r="L48" s="63">
        <f t="shared" si="4"/>
        <v>161.26</v>
      </c>
      <c r="M48" s="63">
        <f t="shared" si="5"/>
        <v>112.15</v>
      </c>
      <c r="N48" s="63">
        <f t="shared" si="6"/>
        <v>124.58</v>
      </c>
      <c r="O48" s="63">
        <f t="shared" si="7"/>
        <v>130.85</v>
      </c>
    </row>
    <row r="49" spans="1:15" ht="15" customHeight="1">
      <c r="A49" s="87" t="s">
        <v>115</v>
      </c>
      <c r="B49" s="115">
        <f t="shared" si="8"/>
        <v>0.38</v>
      </c>
      <c r="C49" s="116">
        <v>15</v>
      </c>
      <c r="D49" s="117" t="s">
        <v>25</v>
      </c>
      <c r="E49" s="41" t="s">
        <v>119</v>
      </c>
      <c r="F49" s="118" t="s">
        <v>90</v>
      </c>
      <c r="G49" s="122">
        <v>14.018999999999998</v>
      </c>
      <c r="H49" s="120">
        <f t="shared" si="1"/>
        <v>168.23</v>
      </c>
      <c r="I49" s="68">
        <f t="shared" si="2"/>
        <v>186.87</v>
      </c>
      <c r="J49" s="120">
        <f t="shared" si="3"/>
        <v>196.27</v>
      </c>
      <c r="K49" s="121"/>
      <c r="L49" s="63">
        <f t="shared" si="4"/>
        <v>161.26</v>
      </c>
      <c r="M49" s="63">
        <f t="shared" si="5"/>
        <v>112.15</v>
      </c>
      <c r="N49" s="63">
        <f t="shared" si="6"/>
        <v>124.58</v>
      </c>
      <c r="O49" s="63">
        <f t="shared" si="7"/>
        <v>130.85</v>
      </c>
    </row>
    <row r="50" spans="1:15" ht="15" customHeight="1">
      <c r="A50" s="87" t="s">
        <v>115</v>
      </c>
      <c r="B50" s="115">
        <f t="shared" si="8"/>
        <v>0.41</v>
      </c>
      <c r="C50" s="116">
        <v>16</v>
      </c>
      <c r="D50" s="117" t="s">
        <v>25</v>
      </c>
      <c r="E50" s="41" t="s">
        <v>119</v>
      </c>
      <c r="F50" s="118" t="s">
        <v>100</v>
      </c>
      <c r="G50" s="122">
        <v>12.324000000000002</v>
      </c>
      <c r="H50" s="120">
        <f t="shared" si="1"/>
        <v>147.88999999999999</v>
      </c>
      <c r="I50" s="68">
        <f t="shared" si="2"/>
        <v>164.28</v>
      </c>
      <c r="J50" s="120">
        <f t="shared" si="3"/>
        <v>172.54</v>
      </c>
      <c r="K50" s="121"/>
      <c r="L50" s="63">
        <f t="shared" si="4"/>
        <v>141.75</v>
      </c>
      <c r="M50" s="63">
        <f t="shared" si="5"/>
        <v>98.59</v>
      </c>
      <c r="N50" s="63">
        <f t="shared" si="6"/>
        <v>109.52</v>
      </c>
      <c r="O50" s="63">
        <f t="shared" si="7"/>
        <v>115.03</v>
      </c>
    </row>
    <row r="51" spans="1:15" ht="15" customHeight="1">
      <c r="A51" s="87" t="s">
        <v>115</v>
      </c>
      <c r="B51" s="115">
        <f t="shared" si="8"/>
        <v>0.41</v>
      </c>
      <c r="C51" s="116">
        <v>16</v>
      </c>
      <c r="D51" s="117" t="s">
        <v>25</v>
      </c>
      <c r="E51" s="41" t="s">
        <v>119</v>
      </c>
      <c r="F51" s="118" t="s">
        <v>129</v>
      </c>
      <c r="G51" s="122">
        <v>16.010000000000002</v>
      </c>
      <c r="H51" s="120">
        <f t="shared" si="1"/>
        <v>192.12</v>
      </c>
      <c r="I51" s="68">
        <f t="shared" si="2"/>
        <v>213.41</v>
      </c>
      <c r="J51" s="120">
        <f t="shared" si="3"/>
        <v>224.14</v>
      </c>
      <c r="K51" s="121"/>
      <c r="L51" s="63">
        <f t="shared" si="4"/>
        <v>184.16</v>
      </c>
      <c r="M51" s="63">
        <f t="shared" si="5"/>
        <v>128.08000000000001</v>
      </c>
      <c r="N51" s="63">
        <f t="shared" si="6"/>
        <v>142.27000000000001</v>
      </c>
      <c r="O51" s="63">
        <f t="shared" si="7"/>
        <v>149.43</v>
      </c>
    </row>
    <row r="52" spans="1:15" ht="15" customHeight="1">
      <c r="A52" s="87" t="s">
        <v>115</v>
      </c>
      <c r="B52" s="115">
        <f t="shared" si="8"/>
        <v>0.46</v>
      </c>
      <c r="C52" s="116">
        <v>18</v>
      </c>
      <c r="D52" s="117" t="s">
        <v>25</v>
      </c>
      <c r="E52" s="41" t="s">
        <v>119</v>
      </c>
      <c r="F52" s="118" t="s">
        <v>108</v>
      </c>
      <c r="G52" s="122">
        <v>14.317</v>
      </c>
      <c r="H52" s="120">
        <f t="shared" si="1"/>
        <v>171.8</v>
      </c>
      <c r="I52" s="68">
        <f t="shared" si="2"/>
        <v>190.85</v>
      </c>
      <c r="J52" s="120">
        <f t="shared" si="3"/>
        <v>200.44</v>
      </c>
      <c r="K52" s="121"/>
      <c r="L52" s="63">
        <f t="shared" si="4"/>
        <v>164.67</v>
      </c>
      <c r="M52" s="63">
        <f t="shared" si="5"/>
        <v>114.53</v>
      </c>
      <c r="N52" s="63">
        <f t="shared" si="6"/>
        <v>127.23</v>
      </c>
      <c r="O52" s="63">
        <f t="shared" si="7"/>
        <v>133.63</v>
      </c>
    </row>
    <row r="53" spans="1:15" ht="15" customHeight="1">
      <c r="A53" s="87" t="s">
        <v>115</v>
      </c>
      <c r="B53" s="115">
        <f t="shared" si="8"/>
        <v>0.46</v>
      </c>
      <c r="C53" s="116">
        <v>18</v>
      </c>
      <c r="D53" s="117" t="s">
        <v>25</v>
      </c>
      <c r="E53" s="41" t="s">
        <v>119</v>
      </c>
      <c r="F53" s="118" t="s">
        <v>129</v>
      </c>
      <c r="G53" s="122">
        <v>16.145</v>
      </c>
      <c r="H53" s="120">
        <f t="shared" si="1"/>
        <v>193.74</v>
      </c>
      <c r="I53" s="68">
        <f t="shared" si="2"/>
        <v>215.21</v>
      </c>
      <c r="J53" s="120">
        <f t="shared" si="3"/>
        <v>226.03</v>
      </c>
      <c r="K53" s="121"/>
      <c r="L53" s="63">
        <f t="shared" si="4"/>
        <v>185.71</v>
      </c>
      <c r="M53" s="63">
        <f t="shared" si="5"/>
        <v>129.16</v>
      </c>
      <c r="N53" s="63">
        <f t="shared" si="6"/>
        <v>143.47</v>
      </c>
      <c r="O53" s="63">
        <f t="shared" si="7"/>
        <v>150.69</v>
      </c>
    </row>
    <row r="54" spans="1:15" ht="15" customHeight="1">
      <c r="A54" s="87" t="s">
        <v>115</v>
      </c>
      <c r="B54" s="115">
        <f t="shared" si="8"/>
        <v>0.51</v>
      </c>
      <c r="C54" s="116">
        <v>20</v>
      </c>
      <c r="D54" s="117" t="s">
        <v>25</v>
      </c>
      <c r="E54" s="41" t="s">
        <v>119</v>
      </c>
      <c r="F54" s="118" t="s">
        <v>108</v>
      </c>
      <c r="G54" s="122">
        <v>14.580000000000002</v>
      </c>
      <c r="H54" s="120">
        <f t="shared" si="1"/>
        <v>174.96</v>
      </c>
      <c r="I54" s="68">
        <f t="shared" si="2"/>
        <v>194.35</v>
      </c>
      <c r="J54" s="120">
        <f t="shared" si="3"/>
        <v>204.12</v>
      </c>
      <c r="K54" s="121"/>
      <c r="L54" s="63">
        <f t="shared" si="4"/>
        <v>167.71</v>
      </c>
      <c r="M54" s="63">
        <f t="shared" si="5"/>
        <v>116.64</v>
      </c>
      <c r="N54" s="63">
        <f t="shared" si="6"/>
        <v>129.57</v>
      </c>
      <c r="O54" s="63">
        <f t="shared" si="7"/>
        <v>136.08000000000001</v>
      </c>
    </row>
    <row r="55" spans="1:15" ht="15" customHeight="1">
      <c r="A55" s="87" t="s">
        <v>115</v>
      </c>
      <c r="B55" s="115">
        <f t="shared" si="8"/>
        <v>0.51</v>
      </c>
      <c r="C55" s="116">
        <v>20</v>
      </c>
      <c r="D55" s="117" t="s">
        <v>25</v>
      </c>
      <c r="E55" s="41" t="s">
        <v>119</v>
      </c>
      <c r="F55" s="118" t="s">
        <v>91</v>
      </c>
      <c r="G55" s="122">
        <v>16.501000000000001</v>
      </c>
      <c r="H55" s="120">
        <f t="shared" si="1"/>
        <v>198.01</v>
      </c>
      <c r="I55" s="68">
        <f t="shared" si="2"/>
        <v>219.96</v>
      </c>
      <c r="J55" s="120">
        <f t="shared" si="3"/>
        <v>231.01</v>
      </c>
      <c r="K55" s="121"/>
      <c r="L55" s="63">
        <f t="shared" si="4"/>
        <v>189.8</v>
      </c>
      <c r="M55" s="63">
        <f t="shared" si="5"/>
        <v>132.01</v>
      </c>
      <c r="N55" s="63">
        <f t="shared" si="6"/>
        <v>146.63999999999999</v>
      </c>
      <c r="O55" s="63">
        <f t="shared" si="7"/>
        <v>154.01</v>
      </c>
    </row>
    <row r="56" spans="1:15" ht="15" customHeight="1">
      <c r="A56" s="87" t="s">
        <v>115</v>
      </c>
      <c r="B56" s="115">
        <f t="shared" si="8"/>
        <v>0.53</v>
      </c>
      <c r="C56" s="116">
        <v>21</v>
      </c>
      <c r="D56" s="117" t="s">
        <v>25</v>
      </c>
      <c r="E56" s="41" t="s">
        <v>119</v>
      </c>
      <c r="F56" s="118" t="s">
        <v>91</v>
      </c>
      <c r="G56" s="122">
        <v>16.408000000000001</v>
      </c>
      <c r="H56" s="120">
        <f t="shared" si="1"/>
        <v>196.9</v>
      </c>
      <c r="I56" s="68">
        <f t="shared" si="2"/>
        <v>218.72</v>
      </c>
      <c r="J56" s="120">
        <f t="shared" si="3"/>
        <v>229.71</v>
      </c>
      <c r="K56" s="121"/>
      <c r="L56" s="63">
        <f t="shared" si="4"/>
        <v>188.74</v>
      </c>
      <c r="M56" s="63">
        <f t="shared" si="5"/>
        <v>131.27000000000001</v>
      </c>
      <c r="N56" s="63">
        <f t="shared" si="6"/>
        <v>145.81</v>
      </c>
      <c r="O56" s="63">
        <f t="shared" si="7"/>
        <v>153.13999999999999</v>
      </c>
    </row>
    <row r="57" spans="1:15" ht="15" customHeight="1">
      <c r="A57" s="87" t="s">
        <v>115</v>
      </c>
      <c r="B57" s="115">
        <f t="shared" si="8"/>
        <v>0.61</v>
      </c>
      <c r="C57" s="116">
        <v>24</v>
      </c>
      <c r="D57" s="117" t="s">
        <v>25</v>
      </c>
      <c r="E57" s="41" t="s">
        <v>119</v>
      </c>
      <c r="F57" s="118" t="s">
        <v>94</v>
      </c>
      <c r="G57" s="122">
        <v>15.437000000000001</v>
      </c>
      <c r="H57" s="120">
        <f t="shared" si="1"/>
        <v>185.24</v>
      </c>
      <c r="I57" s="68">
        <f t="shared" si="2"/>
        <v>205.78</v>
      </c>
      <c r="J57" s="120">
        <f t="shared" si="3"/>
        <v>216.12</v>
      </c>
      <c r="K57" s="121"/>
      <c r="L57" s="63">
        <f t="shared" si="4"/>
        <v>177.56</v>
      </c>
      <c r="M57" s="63">
        <f t="shared" si="5"/>
        <v>123.49</v>
      </c>
      <c r="N57" s="63">
        <f t="shared" si="6"/>
        <v>137.19</v>
      </c>
      <c r="O57" s="63">
        <f t="shared" si="7"/>
        <v>144.08000000000001</v>
      </c>
    </row>
    <row r="58" spans="1:15" ht="15" customHeight="1">
      <c r="A58" s="87" t="s">
        <v>115</v>
      </c>
      <c r="B58" s="115">
        <f t="shared" si="8"/>
        <v>0.61</v>
      </c>
      <c r="C58" s="116">
        <v>24</v>
      </c>
      <c r="D58" s="117" t="s">
        <v>25</v>
      </c>
      <c r="E58" s="41" t="s">
        <v>119</v>
      </c>
      <c r="F58" s="118" t="s">
        <v>88</v>
      </c>
      <c r="G58" s="122">
        <v>19.383000000000003</v>
      </c>
      <c r="H58" s="120">
        <f t="shared" si="1"/>
        <v>232.6</v>
      </c>
      <c r="I58" s="68">
        <f t="shared" si="2"/>
        <v>258.38</v>
      </c>
      <c r="J58" s="120">
        <f t="shared" si="3"/>
        <v>271.36</v>
      </c>
      <c r="K58" s="121"/>
      <c r="L58" s="63">
        <f t="shared" si="4"/>
        <v>222.96</v>
      </c>
      <c r="M58" s="63">
        <f t="shared" si="5"/>
        <v>155.07</v>
      </c>
      <c r="N58" s="63">
        <f t="shared" si="6"/>
        <v>172.25</v>
      </c>
      <c r="O58" s="63">
        <f t="shared" si="7"/>
        <v>180.91</v>
      </c>
    </row>
    <row r="59" spans="1:15" ht="15" customHeight="1">
      <c r="A59" s="87" t="s">
        <v>115</v>
      </c>
      <c r="B59" s="115">
        <f t="shared" si="8"/>
        <v>0.61</v>
      </c>
      <c r="C59" s="116">
        <v>24</v>
      </c>
      <c r="D59" s="117" t="s">
        <v>25</v>
      </c>
      <c r="E59" s="41" t="s">
        <v>119</v>
      </c>
      <c r="F59" s="118" t="s">
        <v>130</v>
      </c>
      <c r="G59" s="122">
        <v>17.327000000000002</v>
      </c>
      <c r="H59" s="120">
        <f t="shared" si="1"/>
        <v>207.92</v>
      </c>
      <c r="I59" s="68">
        <f t="shared" si="2"/>
        <v>230.97</v>
      </c>
      <c r="J59" s="120">
        <f t="shared" si="3"/>
        <v>242.58</v>
      </c>
      <c r="K59" s="121"/>
      <c r="L59" s="63">
        <f t="shared" si="4"/>
        <v>199.3</v>
      </c>
      <c r="M59" s="63">
        <f t="shared" si="5"/>
        <v>138.61000000000001</v>
      </c>
      <c r="N59" s="63">
        <f t="shared" si="6"/>
        <v>153.97999999999999</v>
      </c>
      <c r="O59" s="63">
        <f t="shared" si="7"/>
        <v>161.72</v>
      </c>
    </row>
    <row r="60" spans="1:15" ht="15" customHeight="1">
      <c r="A60" s="87" t="s">
        <v>115</v>
      </c>
      <c r="B60" s="115">
        <f t="shared" si="8"/>
        <v>0.71</v>
      </c>
      <c r="C60" s="116">
        <v>28</v>
      </c>
      <c r="D60" s="117" t="s">
        <v>25</v>
      </c>
      <c r="E60" s="41" t="s">
        <v>119</v>
      </c>
      <c r="F60" s="118" t="s">
        <v>131</v>
      </c>
      <c r="G60" s="122">
        <v>22.039000000000001</v>
      </c>
      <c r="H60" s="120">
        <f t="shared" si="1"/>
        <v>264.47000000000003</v>
      </c>
      <c r="I60" s="68">
        <f t="shared" si="2"/>
        <v>293.77999999999997</v>
      </c>
      <c r="J60" s="120">
        <f t="shared" si="3"/>
        <v>308.55</v>
      </c>
      <c r="K60" s="121"/>
      <c r="L60" s="63">
        <f t="shared" si="4"/>
        <v>253.5</v>
      </c>
      <c r="M60" s="63">
        <f t="shared" si="5"/>
        <v>176.31</v>
      </c>
      <c r="N60" s="63">
        <f t="shared" si="6"/>
        <v>195.85</v>
      </c>
      <c r="O60" s="63">
        <f t="shared" si="7"/>
        <v>205.7</v>
      </c>
    </row>
    <row r="61" spans="1:15" ht="15" customHeight="1">
      <c r="A61" s="87" t="s">
        <v>115</v>
      </c>
      <c r="B61" s="115">
        <f t="shared" si="8"/>
        <v>0.71</v>
      </c>
      <c r="C61" s="116">
        <v>28</v>
      </c>
      <c r="D61" s="117" t="s">
        <v>25</v>
      </c>
      <c r="E61" s="41" t="s">
        <v>119</v>
      </c>
      <c r="F61" s="118" t="s">
        <v>101</v>
      </c>
      <c r="G61" s="122">
        <v>17.673000000000002</v>
      </c>
      <c r="H61" s="120">
        <f t="shared" si="1"/>
        <v>212.08</v>
      </c>
      <c r="I61" s="68">
        <f t="shared" si="2"/>
        <v>235.58</v>
      </c>
      <c r="J61" s="120">
        <f t="shared" si="3"/>
        <v>247.42</v>
      </c>
      <c r="K61" s="121"/>
      <c r="L61" s="63">
        <f t="shared" si="4"/>
        <v>203.29</v>
      </c>
      <c r="M61" s="63">
        <f t="shared" si="5"/>
        <v>141.38999999999999</v>
      </c>
      <c r="N61" s="63">
        <f t="shared" si="6"/>
        <v>157.05000000000001</v>
      </c>
      <c r="O61" s="63">
        <f t="shared" si="7"/>
        <v>164.95</v>
      </c>
    </row>
    <row r="62" spans="1:15" ht="15" customHeight="1">
      <c r="A62" s="87" t="s">
        <v>115</v>
      </c>
      <c r="B62" s="115">
        <f t="shared" si="8"/>
        <v>0.76</v>
      </c>
      <c r="C62" s="116">
        <v>30</v>
      </c>
      <c r="D62" s="117" t="s">
        <v>25</v>
      </c>
      <c r="E62" s="41" t="s">
        <v>119</v>
      </c>
      <c r="F62" s="118" t="s">
        <v>101</v>
      </c>
      <c r="G62" s="122">
        <v>17.673000000000002</v>
      </c>
      <c r="H62" s="120">
        <f t="shared" si="1"/>
        <v>212.08</v>
      </c>
      <c r="I62" s="68">
        <f t="shared" si="2"/>
        <v>235.58</v>
      </c>
      <c r="J62" s="120">
        <f t="shared" si="3"/>
        <v>247.42</v>
      </c>
      <c r="K62" s="121"/>
      <c r="L62" s="63">
        <f t="shared" si="4"/>
        <v>203.29</v>
      </c>
      <c r="M62" s="63">
        <f t="shared" si="5"/>
        <v>141.38999999999999</v>
      </c>
      <c r="N62" s="63">
        <f t="shared" si="6"/>
        <v>157.05000000000001</v>
      </c>
      <c r="O62" s="63">
        <f t="shared" si="7"/>
        <v>164.95</v>
      </c>
    </row>
    <row r="63" spans="1:15" ht="15" customHeight="1">
      <c r="A63" s="87" t="s">
        <v>115</v>
      </c>
      <c r="B63" s="115">
        <f t="shared" si="8"/>
        <v>0.81</v>
      </c>
      <c r="C63" s="116">
        <v>31.9</v>
      </c>
      <c r="D63" s="117" t="s">
        <v>25</v>
      </c>
      <c r="E63" s="41" t="s">
        <v>119</v>
      </c>
      <c r="F63" s="118" t="s">
        <v>96</v>
      </c>
      <c r="G63" s="122">
        <v>20.444000000000003</v>
      </c>
      <c r="H63" s="120">
        <f t="shared" si="1"/>
        <v>245.33</v>
      </c>
      <c r="I63" s="68">
        <f t="shared" si="2"/>
        <v>272.52</v>
      </c>
      <c r="J63" s="120">
        <f t="shared" si="3"/>
        <v>286.22000000000003</v>
      </c>
      <c r="K63" s="121"/>
      <c r="L63" s="63">
        <f t="shared" si="4"/>
        <v>235.15</v>
      </c>
      <c r="M63" s="63">
        <f t="shared" si="5"/>
        <v>163.55000000000001</v>
      </c>
      <c r="N63" s="63">
        <f t="shared" si="6"/>
        <v>181.68</v>
      </c>
      <c r="O63" s="63">
        <f t="shared" si="7"/>
        <v>190.81</v>
      </c>
    </row>
    <row r="64" spans="1:15" ht="15" customHeight="1">
      <c r="A64" s="87" t="s">
        <v>115</v>
      </c>
      <c r="B64" s="115">
        <f t="shared" si="8"/>
        <v>0.86</v>
      </c>
      <c r="C64" s="116">
        <v>34</v>
      </c>
      <c r="D64" s="117" t="s">
        <v>25</v>
      </c>
      <c r="E64" s="41" t="s">
        <v>119</v>
      </c>
      <c r="F64" s="118" t="s">
        <v>132</v>
      </c>
      <c r="G64" s="122">
        <v>21.148</v>
      </c>
      <c r="H64" s="120">
        <f t="shared" si="1"/>
        <v>253.78</v>
      </c>
      <c r="I64" s="68">
        <f t="shared" si="2"/>
        <v>281.89999999999998</v>
      </c>
      <c r="J64" s="120">
        <f t="shared" si="3"/>
        <v>296.07</v>
      </c>
      <c r="K64" s="121"/>
      <c r="L64" s="63">
        <f t="shared" si="4"/>
        <v>243.25</v>
      </c>
      <c r="M64" s="63">
        <f t="shared" si="5"/>
        <v>169.19</v>
      </c>
      <c r="N64" s="63">
        <f t="shared" si="6"/>
        <v>187.93</v>
      </c>
      <c r="O64" s="63">
        <f t="shared" si="7"/>
        <v>197.38</v>
      </c>
    </row>
    <row r="65" spans="1:15" ht="15" customHeight="1">
      <c r="A65" s="87" t="s">
        <v>115</v>
      </c>
      <c r="B65" s="115">
        <f t="shared" si="8"/>
        <v>0.89</v>
      </c>
      <c r="C65" s="116">
        <v>35</v>
      </c>
      <c r="D65" s="117" t="s">
        <v>25</v>
      </c>
      <c r="E65" s="41" t="s">
        <v>119</v>
      </c>
      <c r="F65" s="118" t="s">
        <v>133</v>
      </c>
      <c r="G65" s="122">
        <v>23.987000000000002</v>
      </c>
      <c r="H65" s="120">
        <f t="shared" si="1"/>
        <v>287.83999999999997</v>
      </c>
      <c r="I65" s="68">
        <f t="shared" si="2"/>
        <v>319.75</v>
      </c>
      <c r="J65" s="120">
        <f t="shared" si="3"/>
        <v>335.82</v>
      </c>
      <c r="K65" s="121"/>
      <c r="L65" s="63">
        <f t="shared" si="4"/>
        <v>275.91000000000003</v>
      </c>
      <c r="M65" s="63">
        <f t="shared" si="5"/>
        <v>191.89</v>
      </c>
      <c r="N65" s="63">
        <f t="shared" si="6"/>
        <v>213.17</v>
      </c>
      <c r="O65" s="63">
        <f t="shared" si="7"/>
        <v>223.88</v>
      </c>
    </row>
    <row r="66" spans="1:15" ht="15" customHeight="1">
      <c r="A66" s="87" t="s">
        <v>115</v>
      </c>
      <c r="B66" s="115">
        <f t="shared" si="8"/>
        <v>0.89</v>
      </c>
      <c r="C66" s="116">
        <v>35</v>
      </c>
      <c r="D66" s="117" t="s">
        <v>25</v>
      </c>
      <c r="E66" s="41" t="s">
        <v>119</v>
      </c>
      <c r="F66" s="118" t="s">
        <v>96</v>
      </c>
      <c r="G66" s="122">
        <v>20.444000000000003</v>
      </c>
      <c r="H66" s="120">
        <f t="shared" si="1"/>
        <v>245.33</v>
      </c>
      <c r="I66" s="68">
        <f t="shared" si="2"/>
        <v>272.52</v>
      </c>
      <c r="J66" s="120">
        <f t="shared" si="3"/>
        <v>286.22000000000003</v>
      </c>
      <c r="K66" s="121"/>
      <c r="L66" s="63">
        <f t="shared" si="4"/>
        <v>235.15</v>
      </c>
      <c r="M66" s="63">
        <f t="shared" si="5"/>
        <v>163.55000000000001</v>
      </c>
      <c r="N66" s="63">
        <f t="shared" si="6"/>
        <v>181.68</v>
      </c>
      <c r="O66" s="63">
        <f t="shared" si="7"/>
        <v>190.81</v>
      </c>
    </row>
    <row r="67" spans="1:15" ht="15" customHeight="1">
      <c r="A67" s="87" t="s">
        <v>115</v>
      </c>
      <c r="B67" s="115">
        <f t="shared" si="8"/>
        <v>0.99</v>
      </c>
      <c r="C67" s="116">
        <v>39</v>
      </c>
      <c r="D67" s="117" t="s">
        <v>25</v>
      </c>
      <c r="E67" s="41" t="s">
        <v>119</v>
      </c>
      <c r="F67" s="118" t="s">
        <v>134</v>
      </c>
      <c r="G67" s="122">
        <v>28.468</v>
      </c>
      <c r="H67" s="120">
        <f t="shared" si="1"/>
        <v>341.62</v>
      </c>
      <c r="I67" s="68">
        <f t="shared" si="2"/>
        <v>379.48</v>
      </c>
      <c r="J67" s="120">
        <f t="shared" si="3"/>
        <v>398.55</v>
      </c>
      <c r="K67" s="121"/>
      <c r="L67" s="63">
        <f t="shared" si="4"/>
        <v>327.45</v>
      </c>
      <c r="M67" s="63">
        <f t="shared" si="5"/>
        <v>227.75</v>
      </c>
      <c r="N67" s="63">
        <f t="shared" si="6"/>
        <v>252.99</v>
      </c>
      <c r="O67" s="63">
        <f t="shared" si="7"/>
        <v>265.7</v>
      </c>
    </row>
    <row r="68" spans="1:15" ht="15" customHeight="1">
      <c r="A68" s="87" t="s">
        <v>115</v>
      </c>
      <c r="B68" s="115">
        <f t="shared" si="8"/>
        <v>1.17</v>
      </c>
      <c r="C68" s="116">
        <v>46</v>
      </c>
      <c r="D68" s="117" t="s">
        <v>25</v>
      </c>
      <c r="E68" s="41" t="s">
        <v>119</v>
      </c>
      <c r="F68" s="118" t="s">
        <v>102</v>
      </c>
      <c r="G68" s="122">
        <v>23.714000000000002</v>
      </c>
      <c r="H68" s="120">
        <f t="shared" si="1"/>
        <v>284.57</v>
      </c>
      <c r="I68" s="68">
        <f t="shared" si="2"/>
        <v>316.11</v>
      </c>
      <c r="J68" s="120">
        <f t="shared" si="3"/>
        <v>332</v>
      </c>
      <c r="K68" s="121"/>
      <c r="L68" s="63">
        <f t="shared" si="4"/>
        <v>272.77999999999997</v>
      </c>
      <c r="M68" s="63">
        <f t="shared" si="5"/>
        <v>189.71</v>
      </c>
      <c r="N68" s="63">
        <f t="shared" si="6"/>
        <v>210.74</v>
      </c>
      <c r="O68" s="63">
        <f t="shared" si="7"/>
        <v>221.33</v>
      </c>
    </row>
    <row r="69" spans="1:15" ht="15" customHeight="1">
      <c r="A69" s="87" t="s">
        <v>115</v>
      </c>
      <c r="B69" s="115">
        <f t="shared" si="8"/>
        <v>1.22</v>
      </c>
      <c r="C69" s="116">
        <v>48</v>
      </c>
      <c r="D69" s="117" t="s">
        <v>25</v>
      </c>
      <c r="E69" s="41" t="s">
        <v>119</v>
      </c>
      <c r="F69" s="118" t="s">
        <v>135</v>
      </c>
      <c r="G69" s="122">
        <v>31.567</v>
      </c>
      <c r="H69" s="120">
        <f t="shared" si="1"/>
        <v>378.8</v>
      </c>
      <c r="I69" s="68">
        <f t="shared" si="2"/>
        <v>420.79</v>
      </c>
      <c r="J69" s="120">
        <f t="shared" si="3"/>
        <v>441.94</v>
      </c>
      <c r="K69" s="121"/>
      <c r="L69" s="63">
        <f t="shared" si="4"/>
        <v>363.09</v>
      </c>
      <c r="M69" s="63">
        <f t="shared" si="5"/>
        <v>252.53</v>
      </c>
      <c r="N69" s="63">
        <f t="shared" si="6"/>
        <v>280.52999999999997</v>
      </c>
      <c r="O69" s="63">
        <f t="shared" si="7"/>
        <v>294.63</v>
      </c>
    </row>
    <row r="70" spans="1:15" ht="15" customHeight="1">
      <c r="A70" s="123" t="s">
        <v>115</v>
      </c>
      <c r="B70" s="115">
        <f t="shared" si="8"/>
        <v>2.08</v>
      </c>
      <c r="C70" s="124">
        <v>82</v>
      </c>
      <c r="D70" s="125" t="s">
        <v>25</v>
      </c>
      <c r="E70" s="41" t="s">
        <v>119</v>
      </c>
      <c r="F70" s="126" t="s">
        <v>136</v>
      </c>
      <c r="G70" s="127">
        <v>31.824999999999999</v>
      </c>
      <c r="H70" s="128">
        <f t="shared" si="1"/>
        <v>381.9</v>
      </c>
      <c r="I70" s="68">
        <f t="shared" si="2"/>
        <v>424.23</v>
      </c>
      <c r="J70" s="128">
        <f t="shared" si="3"/>
        <v>445.55</v>
      </c>
      <c r="K70" s="121"/>
      <c r="L70" s="63">
        <f t="shared" si="4"/>
        <v>366.07</v>
      </c>
      <c r="M70" s="63">
        <f t="shared" si="5"/>
        <v>254.6</v>
      </c>
      <c r="N70" s="63">
        <f t="shared" si="6"/>
        <v>282.82</v>
      </c>
      <c r="O70" s="63">
        <f t="shared" si="7"/>
        <v>297.02999999999997</v>
      </c>
    </row>
    <row r="71" spans="1:15" ht="15" customHeight="1">
      <c r="A71" s="87" t="s">
        <v>118</v>
      </c>
      <c r="B71" s="115">
        <f>ROUND(C71*0.0254,3)</f>
        <v>5.0999999999999997E-2</v>
      </c>
      <c r="C71" s="116">
        <v>2</v>
      </c>
      <c r="D71" s="117" t="s">
        <v>28</v>
      </c>
      <c r="E71" s="41" t="s">
        <v>119</v>
      </c>
      <c r="F71" s="118" t="s">
        <v>120</v>
      </c>
      <c r="G71" s="119">
        <v>13.747</v>
      </c>
      <c r="H71" s="120">
        <f t="shared" si="1"/>
        <v>164.96</v>
      </c>
      <c r="I71" s="68">
        <f t="shared" si="2"/>
        <v>183.25</v>
      </c>
      <c r="J71" s="120">
        <f t="shared" si="3"/>
        <v>192.46</v>
      </c>
      <c r="K71" s="121"/>
      <c r="L71" s="63">
        <f t="shared" si="4"/>
        <v>158.12</v>
      </c>
      <c r="M71" s="63">
        <f t="shared" si="5"/>
        <v>109.97</v>
      </c>
      <c r="N71" s="63">
        <f t="shared" si="6"/>
        <v>122.17</v>
      </c>
      <c r="O71" s="63">
        <f t="shared" si="7"/>
        <v>128.31</v>
      </c>
    </row>
    <row r="72" spans="1:15" ht="15" customHeight="1">
      <c r="A72" s="87" t="s">
        <v>115</v>
      </c>
      <c r="B72" s="115">
        <f t="shared" ref="B72:B78" si="9">ROUND(C72*0.0254,3)</f>
        <v>5.8000000000000003E-2</v>
      </c>
      <c r="C72" s="116">
        <v>2.2999999999999998</v>
      </c>
      <c r="D72" s="117" t="s">
        <v>28</v>
      </c>
      <c r="E72" s="41" t="s">
        <v>119</v>
      </c>
      <c r="F72" s="118" t="s">
        <v>121</v>
      </c>
      <c r="G72" s="119">
        <v>13.670999999999999</v>
      </c>
      <c r="H72" s="120">
        <f t="shared" si="1"/>
        <v>164.05</v>
      </c>
      <c r="I72" s="68">
        <f t="shared" si="2"/>
        <v>182.23</v>
      </c>
      <c r="J72" s="120">
        <f t="shared" si="3"/>
        <v>191.39</v>
      </c>
      <c r="K72" s="121"/>
      <c r="L72" s="63">
        <f t="shared" si="4"/>
        <v>157.25</v>
      </c>
      <c r="M72" s="63">
        <f t="shared" si="5"/>
        <v>109.37</v>
      </c>
      <c r="N72" s="63">
        <f t="shared" si="6"/>
        <v>121.49</v>
      </c>
      <c r="O72" s="63">
        <f t="shared" si="7"/>
        <v>127.59</v>
      </c>
    </row>
    <row r="73" spans="1:15" ht="15" customHeight="1">
      <c r="A73" s="87" t="s">
        <v>115</v>
      </c>
      <c r="B73" s="115">
        <f t="shared" si="9"/>
        <v>6.4000000000000001E-2</v>
      </c>
      <c r="C73" s="116">
        <v>2.5</v>
      </c>
      <c r="D73" s="117" t="s">
        <v>28</v>
      </c>
      <c r="E73" s="41" t="s">
        <v>119</v>
      </c>
      <c r="F73" s="118" t="s">
        <v>121</v>
      </c>
      <c r="G73" s="119">
        <v>13.738999999999999</v>
      </c>
      <c r="H73" s="120">
        <f t="shared" si="1"/>
        <v>164.87</v>
      </c>
      <c r="I73" s="68">
        <f t="shared" si="2"/>
        <v>183.14</v>
      </c>
      <c r="J73" s="120">
        <f t="shared" si="3"/>
        <v>192.35</v>
      </c>
      <c r="K73" s="121"/>
      <c r="L73" s="63">
        <f t="shared" si="4"/>
        <v>158.04</v>
      </c>
      <c r="M73" s="63">
        <f t="shared" si="5"/>
        <v>109.91</v>
      </c>
      <c r="N73" s="63">
        <f t="shared" si="6"/>
        <v>122.09</v>
      </c>
      <c r="O73" s="63">
        <f t="shared" si="7"/>
        <v>128.22999999999999</v>
      </c>
    </row>
    <row r="74" spans="1:15" ht="15" customHeight="1">
      <c r="A74" s="87" t="s">
        <v>115</v>
      </c>
      <c r="B74" s="115">
        <f t="shared" si="9"/>
        <v>7.5999999999999998E-2</v>
      </c>
      <c r="C74" s="116">
        <v>3</v>
      </c>
      <c r="D74" s="117" t="s">
        <v>28</v>
      </c>
      <c r="E74" s="41" t="s">
        <v>119</v>
      </c>
      <c r="F74" s="118" t="s">
        <v>81</v>
      </c>
      <c r="G74" s="119">
        <v>13.632999999999999</v>
      </c>
      <c r="H74" s="120">
        <f t="shared" si="1"/>
        <v>163.6</v>
      </c>
      <c r="I74" s="68">
        <f t="shared" si="2"/>
        <v>181.73</v>
      </c>
      <c r="J74" s="120">
        <f t="shared" si="3"/>
        <v>190.86</v>
      </c>
      <c r="K74" s="121"/>
      <c r="L74" s="63">
        <f t="shared" si="4"/>
        <v>156.82</v>
      </c>
      <c r="M74" s="63">
        <f t="shared" si="5"/>
        <v>109.07</v>
      </c>
      <c r="N74" s="63">
        <f t="shared" si="6"/>
        <v>121.15</v>
      </c>
      <c r="O74" s="63">
        <f t="shared" si="7"/>
        <v>127.24</v>
      </c>
    </row>
    <row r="75" spans="1:15" ht="15" customHeight="1">
      <c r="A75" s="87" t="s">
        <v>115</v>
      </c>
      <c r="B75" s="115">
        <f t="shared" si="9"/>
        <v>7.5999999999999998E-2</v>
      </c>
      <c r="C75" s="116">
        <v>3</v>
      </c>
      <c r="D75" s="117" t="s">
        <v>28</v>
      </c>
      <c r="E75" s="41" t="s">
        <v>119</v>
      </c>
      <c r="F75" s="118" t="s">
        <v>123</v>
      </c>
      <c r="G75" s="119">
        <v>13.635</v>
      </c>
      <c r="H75" s="120">
        <f t="shared" si="1"/>
        <v>163.62</v>
      </c>
      <c r="I75" s="68">
        <f>ROUND(G75*13.33,2)</f>
        <v>181.75</v>
      </c>
      <c r="J75" s="120">
        <f t="shared" si="3"/>
        <v>190.89</v>
      </c>
      <c r="K75" s="121"/>
      <c r="L75" s="63">
        <f t="shared" si="4"/>
        <v>156.84</v>
      </c>
      <c r="M75" s="63">
        <f t="shared" si="5"/>
        <v>109.08</v>
      </c>
      <c r="N75" s="63">
        <f t="shared" si="6"/>
        <v>121.17</v>
      </c>
      <c r="O75" s="63">
        <f t="shared" si="7"/>
        <v>127.26</v>
      </c>
    </row>
    <row r="76" spans="1:15" ht="15" customHeight="1">
      <c r="A76" s="87" t="s">
        <v>118</v>
      </c>
      <c r="B76" s="115">
        <f t="shared" si="9"/>
        <v>7.5999999999999998E-2</v>
      </c>
      <c r="C76" s="116">
        <v>3</v>
      </c>
      <c r="D76" s="117" t="s">
        <v>28</v>
      </c>
      <c r="E76" s="41" t="s">
        <v>119</v>
      </c>
      <c r="F76" s="118" t="s">
        <v>122</v>
      </c>
      <c r="G76" s="119">
        <v>13.759</v>
      </c>
      <c r="H76" s="120">
        <f t="shared" si="1"/>
        <v>165.11</v>
      </c>
      <c r="I76" s="68">
        <f>ROUND(G76*13.33,2)</f>
        <v>183.41</v>
      </c>
      <c r="J76" s="120">
        <f t="shared" si="3"/>
        <v>192.63</v>
      </c>
      <c r="K76" s="121"/>
      <c r="L76" s="63">
        <f t="shared" si="4"/>
        <v>158.26</v>
      </c>
      <c r="M76" s="63">
        <f t="shared" si="5"/>
        <v>110.07</v>
      </c>
      <c r="N76" s="63">
        <f t="shared" si="6"/>
        <v>122.27</v>
      </c>
      <c r="O76" s="63">
        <f t="shared" si="7"/>
        <v>128.41999999999999</v>
      </c>
    </row>
    <row r="77" spans="1:15" ht="15" customHeight="1">
      <c r="A77" s="87" t="s">
        <v>115</v>
      </c>
      <c r="B77" s="115">
        <f t="shared" si="9"/>
        <v>8.8999999999999996E-2</v>
      </c>
      <c r="C77" s="116">
        <v>3.5</v>
      </c>
      <c r="D77" s="117" t="s">
        <v>28</v>
      </c>
      <c r="E77" s="41" t="s">
        <v>119</v>
      </c>
      <c r="F77" s="118" t="s">
        <v>122</v>
      </c>
      <c r="G77" s="119">
        <v>13.759</v>
      </c>
      <c r="H77" s="120">
        <f t="shared" si="1"/>
        <v>165.11</v>
      </c>
      <c r="I77" s="68">
        <f t="shared" ref="I77:I125" si="10">ROUND(G77*13.33,2)</f>
        <v>183.41</v>
      </c>
      <c r="J77" s="120">
        <f t="shared" si="3"/>
        <v>192.63</v>
      </c>
      <c r="K77" s="121"/>
      <c r="L77" s="63">
        <f t="shared" si="4"/>
        <v>158.26</v>
      </c>
      <c r="M77" s="63">
        <f t="shared" si="5"/>
        <v>110.07</v>
      </c>
      <c r="N77" s="63">
        <f t="shared" si="6"/>
        <v>122.27</v>
      </c>
      <c r="O77" s="63">
        <f t="shared" si="7"/>
        <v>128.41999999999999</v>
      </c>
    </row>
    <row r="78" spans="1:15" ht="15" customHeight="1">
      <c r="A78" s="87" t="s">
        <v>115</v>
      </c>
      <c r="B78" s="115">
        <f t="shared" si="9"/>
        <v>8.8999999999999996E-2</v>
      </c>
      <c r="C78" s="116">
        <v>3.5</v>
      </c>
      <c r="D78" s="117" t="s">
        <v>28</v>
      </c>
      <c r="E78" s="41" t="s">
        <v>119</v>
      </c>
      <c r="F78" s="118" t="s">
        <v>124</v>
      </c>
      <c r="G78" s="119">
        <v>13.602</v>
      </c>
      <c r="H78" s="120">
        <f t="shared" si="1"/>
        <v>163.22</v>
      </c>
      <c r="I78" s="68">
        <f t="shared" si="10"/>
        <v>181.31</v>
      </c>
      <c r="J78" s="120">
        <f t="shared" si="3"/>
        <v>190.43</v>
      </c>
      <c r="K78" s="121"/>
      <c r="L78" s="63">
        <f t="shared" si="4"/>
        <v>156.46</v>
      </c>
      <c r="M78" s="63">
        <f t="shared" si="5"/>
        <v>108.81</v>
      </c>
      <c r="N78" s="63">
        <f t="shared" si="6"/>
        <v>120.87</v>
      </c>
      <c r="O78" s="63">
        <f t="shared" si="7"/>
        <v>126.95</v>
      </c>
    </row>
    <row r="79" spans="1:15" ht="15" customHeight="1">
      <c r="A79" s="87" t="s">
        <v>115</v>
      </c>
      <c r="B79" s="115">
        <f t="shared" ref="B79:B125" si="11">ROUND(C79*0.0254,2)</f>
        <v>0.1</v>
      </c>
      <c r="C79" s="116">
        <v>4</v>
      </c>
      <c r="D79" s="117" t="s">
        <v>28</v>
      </c>
      <c r="E79" s="41" t="s">
        <v>119</v>
      </c>
      <c r="F79" s="118" t="s">
        <v>124</v>
      </c>
      <c r="G79" s="119">
        <v>13.31</v>
      </c>
      <c r="H79" s="120">
        <f t="shared" ref="H79:H130" si="12">ROUND(G79*12,2)</f>
        <v>159.72</v>
      </c>
      <c r="I79" s="68">
        <f t="shared" si="10"/>
        <v>177.42</v>
      </c>
      <c r="J79" s="120">
        <f t="shared" ref="J79:J130" si="13">ROUND(G79*14,2)</f>
        <v>186.34</v>
      </c>
      <c r="K79" s="121"/>
      <c r="L79" s="63">
        <f t="shared" ref="L79:L130" si="14">ROUND(ROUND(ROUND(G79*12,2)*43/48,2)*1.07,2)</f>
        <v>153.1</v>
      </c>
      <c r="M79" s="63">
        <f t="shared" ref="M79:M130" si="15">ROUND(ROUND(G79*12,2)*2/3,2)</f>
        <v>106.48</v>
      </c>
      <c r="N79" s="63">
        <f t="shared" ref="N79:N130" si="16">ROUND(ROUND(G79*13.33,2)*2/3,2)</f>
        <v>118.28</v>
      </c>
      <c r="O79" s="63">
        <f t="shared" ref="O79:O130" si="17">ROUND(ROUND(G79*14,2)*2/3,2)</f>
        <v>124.23</v>
      </c>
    </row>
    <row r="80" spans="1:15" ht="15" customHeight="1">
      <c r="A80" s="87" t="s">
        <v>115</v>
      </c>
      <c r="B80" s="115">
        <f t="shared" si="11"/>
        <v>0.1</v>
      </c>
      <c r="C80" s="116">
        <v>4</v>
      </c>
      <c r="D80" s="117" t="s">
        <v>28</v>
      </c>
      <c r="E80" s="41" t="s">
        <v>119</v>
      </c>
      <c r="F80" s="118" t="s">
        <v>84</v>
      </c>
      <c r="G80" s="119">
        <v>13.289</v>
      </c>
      <c r="H80" s="120">
        <f t="shared" si="12"/>
        <v>159.47</v>
      </c>
      <c r="I80" s="68">
        <f t="shared" si="10"/>
        <v>177.14</v>
      </c>
      <c r="J80" s="120">
        <f t="shared" si="13"/>
        <v>186.05</v>
      </c>
      <c r="K80" s="121"/>
      <c r="L80" s="63">
        <f t="shared" si="14"/>
        <v>152.86000000000001</v>
      </c>
      <c r="M80" s="63">
        <f t="shared" si="15"/>
        <v>106.31</v>
      </c>
      <c r="N80" s="63">
        <f t="shared" si="16"/>
        <v>118.09</v>
      </c>
      <c r="O80" s="63">
        <f t="shared" si="17"/>
        <v>124.03</v>
      </c>
    </row>
    <row r="81" spans="1:15" ht="15" customHeight="1">
      <c r="A81" s="87" t="s">
        <v>115</v>
      </c>
      <c r="B81" s="115">
        <f t="shared" si="11"/>
        <v>0.1</v>
      </c>
      <c r="C81" s="116">
        <v>4</v>
      </c>
      <c r="D81" s="117" t="s">
        <v>28</v>
      </c>
      <c r="E81" s="41" t="s">
        <v>119</v>
      </c>
      <c r="F81" s="118" t="s">
        <v>97</v>
      </c>
      <c r="G81" s="119">
        <v>14.773999999999999</v>
      </c>
      <c r="H81" s="120">
        <f t="shared" si="12"/>
        <v>177.29</v>
      </c>
      <c r="I81" s="68">
        <f t="shared" si="10"/>
        <v>196.94</v>
      </c>
      <c r="J81" s="120">
        <f t="shared" si="13"/>
        <v>206.84</v>
      </c>
      <c r="K81" s="121"/>
      <c r="L81" s="63">
        <f t="shared" si="14"/>
        <v>169.94</v>
      </c>
      <c r="M81" s="63">
        <f t="shared" si="15"/>
        <v>118.19</v>
      </c>
      <c r="N81" s="63">
        <f t="shared" si="16"/>
        <v>131.29</v>
      </c>
      <c r="O81" s="63">
        <f t="shared" si="17"/>
        <v>137.88999999999999</v>
      </c>
    </row>
    <row r="82" spans="1:15" ht="15" customHeight="1">
      <c r="A82" s="87" t="s">
        <v>115</v>
      </c>
      <c r="B82" s="115">
        <f t="shared" si="11"/>
        <v>0.1</v>
      </c>
      <c r="C82" s="116">
        <v>4</v>
      </c>
      <c r="D82" s="117" t="s">
        <v>28</v>
      </c>
      <c r="E82" s="41" t="s">
        <v>119</v>
      </c>
      <c r="F82" s="118" t="s">
        <v>85</v>
      </c>
      <c r="G82" s="119">
        <v>14.794</v>
      </c>
      <c r="H82" s="120">
        <f t="shared" si="12"/>
        <v>177.53</v>
      </c>
      <c r="I82" s="68">
        <f t="shared" si="10"/>
        <v>197.2</v>
      </c>
      <c r="J82" s="120">
        <f t="shared" si="13"/>
        <v>207.12</v>
      </c>
      <c r="K82" s="121"/>
      <c r="L82" s="63">
        <f t="shared" si="14"/>
        <v>170.17</v>
      </c>
      <c r="M82" s="63">
        <f t="shared" si="15"/>
        <v>118.35</v>
      </c>
      <c r="N82" s="63">
        <f t="shared" si="16"/>
        <v>131.47</v>
      </c>
      <c r="O82" s="63">
        <f t="shared" si="17"/>
        <v>138.08000000000001</v>
      </c>
    </row>
    <row r="83" spans="1:15" ht="15" customHeight="1">
      <c r="A83" s="87" t="s">
        <v>115</v>
      </c>
      <c r="B83" s="115">
        <f t="shared" si="11"/>
        <v>0.11</v>
      </c>
      <c r="C83" s="116">
        <v>4.5</v>
      </c>
      <c r="D83" s="117" t="s">
        <v>28</v>
      </c>
      <c r="E83" s="41" t="s">
        <v>119</v>
      </c>
      <c r="F83" s="118" t="s">
        <v>84</v>
      </c>
      <c r="G83" s="119">
        <v>13.266</v>
      </c>
      <c r="H83" s="120">
        <f t="shared" si="12"/>
        <v>159.19</v>
      </c>
      <c r="I83" s="68">
        <f t="shared" si="10"/>
        <v>176.84</v>
      </c>
      <c r="J83" s="120">
        <f t="shared" si="13"/>
        <v>185.72</v>
      </c>
      <c r="K83" s="121"/>
      <c r="L83" s="63">
        <f t="shared" si="14"/>
        <v>152.59</v>
      </c>
      <c r="M83" s="63">
        <f t="shared" si="15"/>
        <v>106.13</v>
      </c>
      <c r="N83" s="63">
        <f t="shared" si="16"/>
        <v>117.89</v>
      </c>
      <c r="O83" s="63">
        <f t="shared" si="17"/>
        <v>123.81</v>
      </c>
    </row>
    <row r="84" spans="1:15" ht="15" customHeight="1">
      <c r="A84" s="87" t="s">
        <v>115</v>
      </c>
      <c r="B84" s="115">
        <f t="shared" si="11"/>
        <v>0.11</v>
      </c>
      <c r="C84" s="116">
        <v>4.5</v>
      </c>
      <c r="D84" s="117" t="s">
        <v>28</v>
      </c>
      <c r="E84" s="41" t="s">
        <v>119</v>
      </c>
      <c r="F84" s="118" t="s">
        <v>85</v>
      </c>
      <c r="G84" s="119">
        <v>14.945</v>
      </c>
      <c r="H84" s="120">
        <f t="shared" si="12"/>
        <v>179.34</v>
      </c>
      <c r="I84" s="68">
        <f t="shared" si="10"/>
        <v>199.22</v>
      </c>
      <c r="J84" s="120">
        <f t="shared" si="13"/>
        <v>209.23</v>
      </c>
      <c r="K84" s="121"/>
      <c r="L84" s="63">
        <f t="shared" si="14"/>
        <v>171.91</v>
      </c>
      <c r="M84" s="63">
        <f t="shared" si="15"/>
        <v>119.56</v>
      </c>
      <c r="N84" s="63">
        <f t="shared" si="16"/>
        <v>132.81</v>
      </c>
      <c r="O84" s="63">
        <f t="shared" si="17"/>
        <v>139.49</v>
      </c>
    </row>
    <row r="85" spans="1:15" ht="15" customHeight="1">
      <c r="A85" s="87" t="s">
        <v>115</v>
      </c>
      <c r="B85" s="115">
        <f t="shared" si="11"/>
        <v>0.13</v>
      </c>
      <c r="C85" s="116">
        <v>5</v>
      </c>
      <c r="D85" s="117" t="s">
        <v>28</v>
      </c>
      <c r="E85" s="41" t="s">
        <v>119</v>
      </c>
      <c r="F85" s="118" t="s">
        <v>86</v>
      </c>
      <c r="G85" s="119">
        <v>14.81</v>
      </c>
      <c r="H85" s="120">
        <f t="shared" si="12"/>
        <v>177.72</v>
      </c>
      <c r="I85" s="68">
        <f t="shared" si="10"/>
        <v>197.42</v>
      </c>
      <c r="J85" s="120">
        <f t="shared" si="13"/>
        <v>207.34</v>
      </c>
      <c r="K85" s="121"/>
      <c r="L85" s="63">
        <f t="shared" si="14"/>
        <v>170.35</v>
      </c>
      <c r="M85" s="63">
        <f t="shared" si="15"/>
        <v>118.48</v>
      </c>
      <c r="N85" s="63">
        <f t="shared" si="16"/>
        <v>131.61000000000001</v>
      </c>
      <c r="O85" s="63">
        <f t="shared" si="17"/>
        <v>138.22999999999999</v>
      </c>
    </row>
    <row r="86" spans="1:15" ht="15" customHeight="1">
      <c r="A86" s="87" t="s">
        <v>115</v>
      </c>
      <c r="B86" s="115">
        <f t="shared" si="11"/>
        <v>0.13</v>
      </c>
      <c r="C86" s="116">
        <v>5</v>
      </c>
      <c r="D86" s="117" t="s">
        <v>28</v>
      </c>
      <c r="E86" s="41" t="s">
        <v>119</v>
      </c>
      <c r="F86" s="118" t="s">
        <v>85</v>
      </c>
      <c r="G86" s="119">
        <v>15.286999999999999</v>
      </c>
      <c r="H86" s="120">
        <f t="shared" si="12"/>
        <v>183.44</v>
      </c>
      <c r="I86" s="68">
        <f t="shared" si="10"/>
        <v>203.78</v>
      </c>
      <c r="J86" s="120">
        <f t="shared" si="13"/>
        <v>214.02</v>
      </c>
      <c r="K86" s="121"/>
      <c r="L86" s="63">
        <f t="shared" si="14"/>
        <v>175.83</v>
      </c>
      <c r="M86" s="63">
        <f t="shared" si="15"/>
        <v>122.29</v>
      </c>
      <c r="N86" s="63">
        <f t="shared" si="16"/>
        <v>135.85</v>
      </c>
      <c r="O86" s="63">
        <f t="shared" si="17"/>
        <v>142.68</v>
      </c>
    </row>
    <row r="87" spans="1:15" ht="15" customHeight="1">
      <c r="A87" s="87" t="s">
        <v>115</v>
      </c>
      <c r="B87" s="115">
        <f t="shared" si="11"/>
        <v>0.13</v>
      </c>
      <c r="C87" s="116">
        <v>5</v>
      </c>
      <c r="D87" s="117" t="s">
        <v>28</v>
      </c>
      <c r="E87" s="41" t="s">
        <v>119</v>
      </c>
      <c r="F87" s="118" t="s">
        <v>84</v>
      </c>
      <c r="G87" s="119">
        <v>13.291</v>
      </c>
      <c r="H87" s="120">
        <f t="shared" si="12"/>
        <v>159.49</v>
      </c>
      <c r="I87" s="68">
        <f t="shared" si="10"/>
        <v>177.17</v>
      </c>
      <c r="J87" s="120">
        <f t="shared" si="13"/>
        <v>186.07</v>
      </c>
      <c r="K87" s="121"/>
      <c r="L87" s="63">
        <f t="shared" si="14"/>
        <v>152.88</v>
      </c>
      <c r="M87" s="63">
        <f t="shared" si="15"/>
        <v>106.33</v>
      </c>
      <c r="N87" s="63">
        <f t="shared" si="16"/>
        <v>118.11</v>
      </c>
      <c r="O87" s="63">
        <f t="shared" si="17"/>
        <v>124.05</v>
      </c>
    </row>
    <row r="88" spans="1:15" ht="15" customHeight="1">
      <c r="A88" s="87" t="s">
        <v>115</v>
      </c>
      <c r="B88" s="115">
        <f t="shared" si="11"/>
        <v>0.13</v>
      </c>
      <c r="C88" s="116">
        <v>5</v>
      </c>
      <c r="D88" s="117" t="s">
        <v>28</v>
      </c>
      <c r="E88" s="41" t="s">
        <v>119</v>
      </c>
      <c r="F88" s="118" t="s">
        <v>117</v>
      </c>
      <c r="G88" s="119">
        <v>15.352</v>
      </c>
      <c r="H88" s="120">
        <f t="shared" si="12"/>
        <v>184.22</v>
      </c>
      <c r="I88" s="68">
        <f t="shared" si="10"/>
        <v>204.64</v>
      </c>
      <c r="J88" s="120">
        <f t="shared" si="13"/>
        <v>214.93</v>
      </c>
      <c r="K88" s="121"/>
      <c r="L88" s="63">
        <f t="shared" si="14"/>
        <v>176.58</v>
      </c>
      <c r="M88" s="63">
        <f t="shared" si="15"/>
        <v>122.81</v>
      </c>
      <c r="N88" s="63">
        <f t="shared" si="16"/>
        <v>136.43</v>
      </c>
      <c r="O88" s="63">
        <f t="shared" si="17"/>
        <v>143.29</v>
      </c>
    </row>
    <row r="89" spans="1:15" ht="15" customHeight="1">
      <c r="A89" s="87" t="s">
        <v>115</v>
      </c>
      <c r="B89" s="115">
        <f t="shared" si="11"/>
        <v>0.15</v>
      </c>
      <c r="C89" s="116">
        <v>6</v>
      </c>
      <c r="D89" s="117" t="s">
        <v>28</v>
      </c>
      <c r="E89" s="41" t="s">
        <v>119</v>
      </c>
      <c r="F89" s="118" t="s">
        <v>93</v>
      </c>
      <c r="G89" s="119">
        <v>13.602</v>
      </c>
      <c r="H89" s="120">
        <f t="shared" si="12"/>
        <v>163.22</v>
      </c>
      <c r="I89" s="68">
        <f t="shared" si="10"/>
        <v>181.31</v>
      </c>
      <c r="J89" s="120">
        <f t="shared" si="13"/>
        <v>190.43</v>
      </c>
      <c r="K89" s="121"/>
      <c r="L89" s="63">
        <f t="shared" si="14"/>
        <v>156.46</v>
      </c>
      <c r="M89" s="63">
        <f t="shared" si="15"/>
        <v>108.81</v>
      </c>
      <c r="N89" s="63">
        <f t="shared" si="16"/>
        <v>120.87</v>
      </c>
      <c r="O89" s="63">
        <f t="shared" si="17"/>
        <v>126.95</v>
      </c>
    </row>
    <row r="90" spans="1:15" ht="15" customHeight="1">
      <c r="A90" s="87" t="s">
        <v>115</v>
      </c>
      <c r="B90" s="115">
        <f t="shared" si="11"/>
        <v>0.15</v>
      </c>
      <c r="C90" s="116">
        <v>6</v>
      </c>
      <c r="D90" s="117" t="s">
        <v>28</v>
      </c>
      <c r="E90" s="41" t="s">
        <v>119</v>
      </c>
      <c r="F90" s="118" t="s">
        <v>86</v>
      </c>
      <c r="G90" s="119">
        <v>14.808999999999999</v>
      </c>
      <c r="H90" s="120">
        <f t="shared" si="12"/>
        <v>177.71</v>
      </c>
      <c r="I90" s="68">
        <f t="shared" si="10"/>
        <v>197.4</v>
      </c>
      <c r="J90" s="120">
        <f t="shared" si="13"/>
        <v>207.33</v>
      </c>
      <c r="K90" s="121"/>
      <c r="L90" s="63">
        <f t="shared" si="14"/>
        <v>170.34</v>
      </c>
      <c r="M90" s="63">
        <f t="shared" si="15"/>
        <v>118.47</v>
      </c>
      <c r="N90" s="63">
        <f t="shared" si="16"/>
        <v>131.6</v>
      </c>
      <c r="O90" s="63">
        <f t="shared" si="17"/>
        <v>138.22</v>
      </c>
    </row>
    <row r="91" spans="1:15" ht="15" customHeight="1">
      <c r="A91" s="87" t="s">
        <v>115</v>
      </c>
      <c r="B91" s="115">
        <f t="shared" si="11"/>
        <v>0.15</v>
      </c>
      <c r="C91" s="116">
        <v>6</v>
      </c>
      <c r="D91" s="117" t="s">
        <v>28</v>
      </c>
      <c r="E91" s="41" t="s">
        <v>119</v>
      </c>
      <c r="F91" s="118" t="s">
        <v>125</v>
      </c>
      <c r="G91" s="119">
        <v>14.968</v>
      </c>
      <c r="H91" s="120">
        <f t="shared" si="12"/>
        <v>179.62</v>
      </c>
      <c r="I91" s="68">
        <f t="shared" si="10"/>
        <v>199.52</v>
      </c>
      <c r="J91" s="120">
        <f t="shared" si="13"/>
        <v>209.55</v>
      </c>
      <c r="K91" s="121"/>
      <c r="L91" s="63">
        <f t="shared" si="14"/>
        <v>172.17</v>
      </c>
      <c r="M91" s="63">
        <f t="shared" si="15"/>
        <v>119.75</v>
      </c>
      <c r="N91" s="63">
        <f t="shared" si="16"/>
        <v>133.01</v>
      </c>
      <c r="O91" s="63">
        <f t="shared" si="17"/>
        <v>139.69999999999999</v>
      </c>
    </row>
    <row r="92" spans="1:15" ht="15" customHeight="1">
      <c r="A92" s="87" t="s">
        <v>115</v>
      </c>
      <c r="B92" s="115">
        <f t="shared" si="11"/>
        <v>0.15</v>
      </c>
      <c r="C92" s="116">
        <v>6</v>
      </c>
      <c r="D92" s="117" t="s">
        <v>28</v>
      </c>
      <c r="E92" s="41" t="s">
        <v>119</v>
      </c>
      <c r="F92" s="118" t="s">
        <v>117</v>
      </c>
      <c r="G92" s="119">
        <v>15.427</v>
      </c>
      <c r="H92" s="120">
        <f t="shared" si="12"/>
        <v>185.12</v>
      </c>
      <c r="I92" s="68">
        <f t="shared" si="10"/>
        <v>205.64</v>
      </c>
      <c r="J92" s="120">
        <f t="shared" si="13"/>
        <v>215.98</v>
      </c>
      <c r="K92" s="121"/>
      <c r="L92" s="63">
        <f t="shared" si="14"/>
        <v>177.45</v>
      </c>
      <c r="M92" s="63">
        <f t="shared" si="15"/>
        <v>123.41</v>
      </c>
      <c r="N92" s="63">
        <f t="shared" si="16"/>
        <v>137.09</v>
      </c>
      <c r="O92" s="63">
        <f t="shared" si="17"/>
        <v>143.99</v>
      </c>
    </row>
    <row r="93" spans="1:15" ht="15" customHeight="1">
      <c r="A93" s="87" t="s">
        <v>115</v>
      </c>
      <c r="B93" s="115">
        <f t="shared" si="11"/>
        <v>0.18</v>
      </c>
      <c r="C93" s="116">
        <v>7</v>
      </c>
      <c r="D93" s="117" t="s">
        <v>28</v>
      </c>
      <c r="E93" s="41" t="s">
        <v>119</v>
      </c>
      <c r="F93" s="118" t="s">
        <v>126</v>
      </c>
      <c r="G93" s="119">
        <v>15.795</v>
      </c>
      <c r="H93" s="120">
        <f t="shared" si="12"/>
        <v>189.54</v>
      </c>
      <c r="I93" s="68">
        <f t="shared" si="10"/>
        <v>210.55</v>
      </c>
      <c r="J93" s="120">
        <f t="shared" si="13"/>
        <v>221.13</v>
      </c>
      <c r="K93" s="121"/>
      <c r="L93" s="63">
        <f t="shared" si="14"/>
        <v>181.69</v>
      </c>
      <c r="M93" s="63">
        <f t="shared" si="15"/>
        <v>126.36</v>
      </c>
      <c r="N93" s="63">
        <f t="shared" si="16"/>
        <v>140.37</v>
      </c>
      <c r="O93" s="63">
        <f t="shared" si="17"/>
        <v>147.41999999999999</v>
      </c>
    </row>
    <row r="94" spans="1:15" ht="15" customHeight="1">
      <c r="A94" s="87" t="s">
        <v>115</v>
      </c>
      <c r="B94" s="115">
        <f t="shared" si="11"/>
        <v>0.2</v>
      </c>
      <c r="C94" s="116">
        <v>8</v>
      </c>
      <c r="D94" s="117" t="s">
        <v>28</v>
      </c>
      <c r="E94" s="41" t="s">
        <v>119</v>
      </c>
      <c r="F94" s="118" t="s">
        <v>126</v>
      </c>
      <c r="G94" s="119">
        <v>15.219999999999999</v>
      </c>
      <c r="H94" s="120">
        <f t="shared" si="12"/>
        <v>182.64</v>
      </c>
      <c r="I94" s="68">
        <f t="shared" si="10"/>
        <v>202.88</v>
      </c>
      <c r="J94" s="120">
        <f t="shared" si="13"/>
        <v>213.08</v>
      </c>
      <c r="K94" s="121"/>
      <c r="L94" s="63">
        <f t="shared" si="14"/>
        <v>175.07</v>
      </c>
      <c r="M94" s="63">
        <f t="shared" si="15"/>
        <v>121.76</v>
      </c>
      <c r="N94" s="63">
        <f t="shared" si="16"/>
        <v>135.25</v>
      </c>
      <c r="O94" s="63">
        <f t="shared" si="17"/>
        <v>142.05000000000001</v>
      </c>
    </row>
    <row r="95" spans="1:15" ht="15" customHeight="1">
      <c r="A95" s="87" t="s">
        <v>115</v>
      </c>
      <c r="B95" s="115">
        <f t="shared" si="11"/>
        <v>0.2</v>
      </c>
      <c r="C95" s="116">
        <v>8</v>
      </c>
      <c r="D95" s="117" t="s">
        <v>28</v>
      </c>
      <c r="E95" s="41" t="s">
        <v>119</v>
      </c>
      <c r="F95" s="118" t="s">
        <v>89</v>
      </c>
      <c r="G95" s="119">
        <v>15.209</v>
      </c>
      <c r="H95" s="120">
        <f t="shared" si="12"/>
        <v>182.51</v>
      </c>
      <c r="I95" s="68">
        <f t="shared" si="10"/>
        <v>202.74</v>
      </c>
      <c r="J95" s="120">
        <f t="shared" si="13"/>
        <v>212.93</v>
      </c>
      <c r="K95" s="121"/>
      <c r="L95" s="63">
        <f t="shared" si="14"/>
        <v>174.95</v>
      </c>
      <c r="M95" s="63">
        <f t="shared" si="15"/>
        <v>121.67</v>
      </c>
      <c r="N95" s="63">
        <f t="shared" si="16"/>
        <v>135.16</v>
      </c>
      <c r="O95" s="63">
        <f t="shared" si="17"/>
        <v>141.94999999999999</v>
      </c>
    </row>
    <row r="96" spans="1:15" ht="15" customHeight="1">
      <c r="A96" s="87" t="s">
        <v>115</v>
      </c>
      <c r="B96" s="115">
        <f t="shared" si="11"/>
        <v>0.23</v>
      </c>
      <c r="C96" s="116">
        <v>9</v>
      </c>
      <c r="D96" s="117" t="s">
        <v>28</v>
      </c>
      <c r="E96" s="41" t="s">
        <v>119</v>
      </c>
      <c r="F96" s="118" t="s">
        <v>89</v>
      </c>
      <c r="G96" s="119">
        <v>15.209</v>
      </c>
      <c r="H96" s="120">
        <f t="shared" si="12"/>
        <v>182.51</v>
      </c>
      <c r="I96" s="68">
        <f t="shared" si="10"/>
        <v>202.74</v>
      </c>
      <c r="J96" s="120">
        <f t="shared" si="13"/>
        <v>212.93</v>
      </c>
      <c r="K96" s="121"/>
      <c r="L96" s="63">
        <f t="shared" si="14"/>
        <v>174.95</v>
      </c>
      <c r="M96" s="63">
        <f t="shared" si="15"/>
        <v>121.67</v>
      </c>
      <c r="N96" s="63">
        <f t="shared" si="16"/>
        <v>135.16</v>
      </c>
      <c r="O96" s="63">
        <f t="shared" si="17"/>
        <v>141.94999999999999</v>
      </c>
    </row>
    <row r="97" spans="1:15" ht="15" customHeight="1">
      <c r="A97" s="87" t="s">
        <v>118</v>
      </c>
      <c r="B97" s="115">
        <f t="shared" si="11"/>
        <v>0.23</v>
      </c>
      <c r="C97" s="116">
        <v>9</v>
      </c>
      <c r="D97" s="117" t="s">
        <v>28</v>
      </c>
      <c r="E97" s="41" t="s">
        <v>119</v>
      </c>
      <c r="F97" s="118" t="s">
        <v>127</v>
      </c>
      <c r="G97" s="119">
        <v>18.001000000000001</v>
      </c>
      <c r="H97" s="120">
        <f t="shared" si="12"/>
        <v>216.01</v>
      </c>
      <c r="I97" s="68">
        <f t="shared" si="10"/>
        <v>239.95</v>
      </c>
      <c r="J97" s="120">
        <f t="shared" si="13"/>
        <v>252.01</v>
      </c>
      <c r="K97" s="121"/>
      <c r="L97" s="63">
        <f t="shared" si="14"/>
        <v>207.06</v>
      </c>
      <c r="M97" s="63">
        <f t="shared" si="15"/>
        <v>144.01</v>
      </c>
      <c r="N97" s="63">
        <f t="shared" si="16"/>
        <v>159.97</v>
      </c>
      <c r="O97" s="63">
        <f t="shared" si="17"/>
        <v>168.01</v>
      </c>
    </row>
    <row r="98" spans="1:15" ht="15" customHeight="1">
      <c r="A98" s="87" t="s">
        <v>115</v>
      </c>
      <c r="B98" s="115">
        <f t="shared" si="11"/>
        <v>0.25</v>
      </c>
      <c r="C98" s="116">
        <v>10</v>
      </c>
      <c r="D98" s="117" t="s">
        <v>28</v>
      </c>
      <c r="E98" s="41" t="s">
        <v>119</v>
      </c>
      <c r="F98" s="118" t="s">
        <v>89</v>
      </c>
      <c r="G98" s="119">
        <v>15.209</v>
      </c>
      <c r="H98" s="120">
        <f t="shared" si="12"/>
        <v>182.51</v>
      </c>
      <c r="I98" s="68">
        <f t="shared" si="10"/>
        <v>202.74</v>
      </c>
      <c r="J98" s="120">
        <f t="shared" si="13"/>
        <v>212.93</v>
      </c>
      <c r="K98" s="121"/>
      <c r="L98" s="63">
        <f t="shared" si="14"/>
        <v>174.95</v>
      </c>
      <c r="M98" s="63">
        <f t="shared" si="15"/>
        <v>121.67</v>
      </c>
      <c r="N98" s="63">
        <f t="shared" si="16"/>
        <v>135.16</v>
      </c>
      <c r="O98" s="63">
        <f t="shared" si="17"/>
        <v>141.94999999999999</v>
      </c>
    </row>
    <row r="99" spans="1:15" ht="15" customHeight="1">
      <c r="A99" s="87" t="s">
        <v>115</v>
      </c>
      <c r="B99" s="115">
        <f t="shared" si="11"/>
        <v>0.3</v>
      </c>
      <c r="C99" s="116">
        <v>12</v>
      </c>
      <c r="D99" s="117" t="s">
        <v>28</v>
      </c>
      <c r="E99" s="41" t="s">
        <v>119</v>
      </c>
      <c r="F99" s="118" t="s">
        <v>99</v>
      </c>
      <c r="G99" s="119">
        <v>16.132000000000001</v>
      </c>
      <c r="H99" s="120">
        <f t="shared" si="12"/>
        <v>193.58</v>
      </c>
      <c r="I99" s="68">
        <f t="shared" si="10"/>
        <v>215.04</v>
      </c>
      <c r="J99" s="120">
        <f t="shared" si="13"/>
        <v>225.85</v>
      </c>
      <c r="K99" s="121"/>
      <c r="L99" s="63">
        <f t="shared" si="14"/>
        <v>185.56</v>
      </c>
      <c r="M99" s="63">
        <f t="shared" si="15"/>
        <v>129.05000000000001</v>
      </c>
      <c r="N99" s="63">
        <f t="shared" si="16"/>
        <v>143.36000000000001</v>
      </c>
      <c r="O99" s="63">
        <f t="shared" si="17"/>
        <v>150.57</v>
      </c>
    </row>
    <row r="100" spans="1:15" ht="15" customHeight="1">
      <c r="A100" s="87" t="s">
        <v>115</v>
      </c>
      <c r="B100" s="115">
        <f t="shared" si="11"/>
        <v>0.3</v>
      </c>
      <c r="C100" s="116">
        <v>12</v>
      </c>
      <c r="D100" s="117" t="s">
        <v>28</v>
      </c>
      <c r="E100" s="41" t="s">
        <v>119</v>
      </c>
      <c r="F100" s="118" t="s">
        <v>128</v>
      </c>
      <c r="G100" s="119">
        <v>17.823</v>
      </c>
      <c r="H100" s="120">
        <f t="shared" si="12"/>
        <v>213.88</v>
      </c>
      <c r="I100" s="68">
        <f t="shared" si="10"/>
        <v>237.58</v>
      </c>
      <c r="J100" s="120">
        <f t="shared" si="13"/>
        <v>249.52</v>
      </c>
      <c r="K100" s="121"/>
      <c r="L100" s="63">
        <f t="shared" si="14"/>
        <v>205.01</v>
      </c>
      <c r="M100" s="63">
        <f t="shared" si="15"/>
        <v>142.59</v>
      </c>
      <c r="N100" s="63">
        <f t="shared" si="16"/>
        <v>158.38999999999999</v>
      </c>
      <c r="O100" s="63">
        <f t="shared" si="17"/>
        <v>166.35</v>
      </c>
    </row>
    <row r="101" spans="1:15" ht="15" customHeight="1">
      <c r="A101" s="87" t="s">
        <v>115</v>
      </c>
      <c r="B101" s="115">
        <f t="shared" si="11"/>
        <v>0.3</v>
      </c>
      <c r="C101" s="116">
        <v>12</v>
      </c>
      <c r="D101" s="117" t="s">
        <v>28</v>
      </c>
      <c r="E101" s="41" t="s">
        <v>119</v>
      </c>
      <c r="F101" s="118" t="s">
        <v>90</v>
      </c>
      <c r="G101" s="119">
        <v>17.37</v>
      </c>
      <c r="H101" s="120">
        <f t="shared" si="12"/>
        <v>208.44</v>
      </c>
      <c r="I101" s="68">
        <f t="shared" si="10"/>
        <v>231.54</v>
      </c>
      <c r="J101" s="120">
        <f t="shared" si="13"/>
        <v>243.18</v>
      </c>
      <c r="K101" s="121"/>
      <c r="L101" s="63">
        <f t="shared" si="14"/>
        <v>199.8</v>
      </c>
      <c r="M101" s="63">
        <f t="shared" si="15"/>
        <v>138.96</v>
      </c>
      <c r="N101" s="63">
        <f t="shared" si="16"/>
        <v>154.36000000000001</v>
      </c>
      <c r="O101" s="63">
        <f t="shared" si="17"/>
        <v>162.12</v>
      </c>
    </row>
    <row r="102" spans="1:15" ht="15" customHeight="1">
      <c r="A102" s="87" t="s">
        <v>115</v>
      </c>
      <c r="B102" s="115">
        <f t="shared" si="11"/>
        <v>0.33</v>
      </c>
      <c r="C102" s="116">
        <v>13</v>
      </c>
      <c r="D102" s="117" t="s">
        <v>28</v>
      </c>
      <c r="E102" s="41" t="s">
        <v>119</v>
      </c>
      <c r="F102" s="118" t="s">
        <v>90</v>
      </c>
      <c r="G102" s="119">
        <v>18.21</v>
      </c>
      <c r="H102" s="120">
        <f t="shared" si="12"/>
        <v>218.52</v>
      </c>
      <c r="I102" s="68">
        <f t="shared" si="10"/>
        <v>242.74</v>
      </c>
      <c r="J102" s="120">
        <f t="shared" si="13"/>
        <v>254.94</v>
      </c>
      <c r="K102" s="121"/>
      <c r="L102" s="63">
        <f t="shared" si="14"/>
        <v>209.46</v>
      </c>
      <c r="M102" s="63">
        <f t="shared" si="15"/>
        <v>145.68</v>
      </c>
      <c r="N102" s="63">
        <f t="shared" si="16"/>
        <v>161.83000000000001</v>
      </c>
      <c r="O102" s="63">
        <f t="shared" si="17"/>
        <v>169.96</v>
      </c>
    </row>
    <row r="103" spans="1:15" ht="15" customHeight="1">
      <c r="A103" s="87" t="s">
        <v>115</v>
      </c>
      <c r="B103" s="115">
        <f t="shared" si="11"/>
        <v>0.36</v>
      </c>
      <c r="C103" s="116">
        <v>14</v>
      </c>
      <c r="D103" s="117" t="s">
        <v>28</v>
      </c>
      <c r="E103" s="41" t="s">
        <v>119</v>
      </c>
      <c r="F103" s="118" t="s">
        <v>100</v>
      </c>
      <c r="G103" s="119">
        <v>16.611000000000001</v>
      </c>
      <c r="H103" s="120">
        <f t="shared" si="12"/>
        <v>199.33</v>
      </c>
      <c r="I103" s="68">
        <f t="shared" si="10"/>
        <v>221.42</v>
      </c>
      <c r="J103" s="120">
        <f t="shared" si="13"/>
        <v>232.55</v>
      </c>
      <c r="K103" s="121"/>
      <c r="L103" s="63">
        <f t="shared" si="14"/>
        <v>191.07</v>
      </c>
      <c r="M103" s="63">
        <f t="shared" si="15"/>
        <v>132.88999999999999</v>
      </c>
      <c r="N103" s="63">
        <f t="shared" si="16"/>
        <v>147.61000000000001</v>
      </c>
      <c r="O103" s="63">
        <f t="shared" si="17"/>
        <v>155.03</v>
      </c>
    </row>
    <row r="104" spans="1:15" ht="15" customHeight="1">
      <c r="A104" s="87" t="s">
        <v>115</v>
      </c>
      <c r="B104" s="115">
        <f t="shared" si="11"/>
        <v>0.36</v>
      </c>
      <c r="C104" s="116">
        <v>14</v>
      </c>
      <c r="D104" s="117" t="s">
        <v>28</v>
      </c>
      <c r="E104" s="41" t="s">
        <v>119</v>
      </c>
      <c r="F104" s="118" t="s">
        <v>90</v>
      </c>
      <c r="G104" s="119">
        <v>18.21</v>
      </c>
      <c r="H104" s="120">
        <f t="shared" si="12"/>
        <v>218.52</v>
      </c>
      <c r="I104" s="68">
        <f t="shared" si="10"/>
        <v>242.74</v>
      </c>
      <c r="J104" s="120">
        <f t="shared" si="13"/>
        <v>254.94</v>
      </c>
      <c r="K104" s="121"/>
      <c r="L104" s="63">
        <f t="shared" si="14"/>
        <v>209.46</v>
      </c>
      <c r="M104" s="63">
        <f t="shared" si="15"/>
        <v>145.68</v>
      </c>
      <c r="N104" s="63">
        <f t="shared" si="16"/>
        <v>161.83000000000001</v>
      </c>
      <c r="O104" s="63">
        <f t="shared" si="17"/>
        <v>169.96</v>
      </c>
    </row>
    <row r="105" spans="1:15" ht="15" customHeight="1">
      <c r="A105" s="87" t="s">
        <v>115</v>
      </c>
      <c r="B105" s="115">
        <f t="shared" si="11"/>
        <v>0.38</v>
      </c>
      <c r="C105" s="116">
        <v>15</v>
      </c>
      <c r="D105" s="117" t="s">
        <v>28</v>
      </c>
      <c r="E105" s="41" t="s">
        <v>119</v>
      </c>
      <c r="F105" s="118" t="s">
        <v>90</v>
      </c>
      <c r="G105" s="119">
        <v>17.849</v>
      </c>
      <c r="H105" s="120">
        <f t="shared" si="12"/>
        <v>214.19</v>
      </c>
      <c r="I105" s="68">
        <f t="shared" si="10"/>
        <v>237.93</v>
      </c>
      <c r="J105" s="120">
        <f t="shared" si="13"/>
        <v>249.89</v>
      </c>
      <c r="K105" s="121"/>
      <c r="L105" s="63">
        <f t="shared" si="14"/>
        <v>205.31</v>
      </c>
      <c r="M105" s="63">
        <f t="shared" si="15"/>
        <v>142.79</v>
      </c>
      <c r="N105" s="63">
        <f t="shared" si="16"/>
        <v>158.62</v>
      </c>
      <c r="O105" s="63">
        <f t="shared" si="17"/>
        <v>166.59</v>
      </c>
    </row>
    <row r="106" spans="1:15" ht="15" customHeight="1">
      <c r="A106" s="87" t="s">
        <v>115</v>
      </c>
      <c r="B106" s="115">
        <f t="shared" si="11"/>
        <v>0.41</v>
      </c>
      <c r="C106" s="116">
        <v>16</v>
      </c>
      <c r="D106" s="117" t="s">
        <v>28</v>
      </c>
      <c r="E106" s="41" t="s">
        <v>119</v>
      </c>
      <c r="F106" s="118" t="s">
        <v>100</v>
      </c>
      <c r="G106" s="119">
        <v>16.474</v>
      </c>
      <c r="H106" s="120">
        <f t="shared" si="12"/>
        <v>197.69</v>
      </c>
      <c r="I106" s="68">
        <f t="shared" si="10"/>
        <v>219.6</v>
      </c>
      <c r="J106" s="120">
        <f t="shared" si="13"/>
        <v>230.64</v>
      </c>
      <c r="K106" s="121"/>
      <c r="L106" s="63">
        <f t="shared" si="14"/>
        <v>189.5</v>
      </c>
      <c r="M106" s="63">
        <f t="shared" si="15"/>
        <v>131.79</v>
      </c>
      <c r="N106" s="63">
        <f t="shared" si="16"/>
        <v>146.4</v>
      </c>
      <c r="O106" s="63">
        <f t="shared" si="17"/>
        <v>153.76</v>
      </c>
    </row>
    <row r="107" spans="1:15" ht="15" customHeight="1">
      <c r="A107" s="87" t="s">
        <v>115</v>
      </c>
      <c r="B107" s="115">
        <f t="shared" si="11"/>
        <v>0.41</v>
      </c>
      <c r="C107" s="116">
        <v>16</v>
      </c>
      <c r="D107" s="117" t="s">
        <v>28</v>
      </c>
      <c r="E107" s="41" t="s">
        <v>119</v>
      </c>
      <c r="F107" s="118" t="s">
        <v>129</v>
      </c>
      <c r="G107" s="119">
        <v>19.882000000000001</v>
      </c>
      <c r="H107" s="120">
        <f t="shared" si="12"/>
        <v>238.58</v>
      </c>
      <c r="I107" s="68">
        <f t="shared" si="10"/>
        <v>265.02999999999997</v>
      </c>
      <c r="J107" s="120">
        <f t="shared" si="13"/>
        <v>278.35000000000002</v>
      </c>
      <c r="K107" s="121"/>
      <c r="L107" s="63">
        <f t="shared" si="14"/>
        <v>228.69</v>
      </c>
      <c r="M107" s="63">
        <f t="shared" si="15"/>
        <v>159.05000000000001</v>
      </c>
      <c r="N107" s="63">
        <f t="shared" si="16"/>
        <v>176.69</v>
      </c>
      <c r="O107" s="63">
        <f t="shared" si="17"/>
        <v>185.57</v>
      </c>
    </row>
    <row r="108" spans="1:15" ht="15" customHeight="1">
      <c r="A108" s="87" t="s">
        <v>115</v>
      </c>
      <c r="B108" s="115">
        <f t="shared" si="11"/>
        <v>0.46</v>
      </c>
      <c r="C108" s="116">
        <v>18</v>
      </c>
      <c r="D108" s="117" t="s">
        <v>28</v>
      </c>
      <c r="E108" s="41" t="s">
        <v>119</v>
      </c>
      <c r="F108" s="118" t="s">
        <v>108</v>
      </c>
      <c r="G108" s="119">
        <v>18.983999999999998</v>
      </c>
      <c r="H108" s="120">
        <f t="shared" si="12"/>
        <v>227.81</v>
      </c>
      <c r="I108" s="68">
        <f t="shared" si="10"/>
        <v>253.06</v>
      </c>
      <c r="J108" s="120">
        <f t="shared" si="13"/>
        <v>265.77999999999997</v>
      </c>
      <c r="K108" s="121"/>
      <c r="L108" s="63">
        <f t="shared" si="14"/>
        <v>218.37</v>
      </c>
      <c r="M108" s="63">
        <f t="shared" si="15"/>
        <v>151.87</v>
      </c>
      <c r="N108" s="63">
        <f t="shared" si="16"/>
        <v>168.71</v>
      </c>
      <c r="O108" s="63">
        <f t="shared" si="17"/>
        <v>177.19</v>
      </c>
    </row>
    <row r="109" spans="1:15" ht="15" customHeight="1">
      <c r="A109" s="87" t="s">
        <v>115</v>
      </c>
      <c r="B109" s="115">
        <f t="shared" si="11"/>
        <v>0.46</v>
      </c>
      <c r="C109" s="116">
        <v>18</v>
      </c>
      <c r="D109" s="117" t="s">
        <v>28</v>
      </c>
      <c r="E109" s="41" t="s">
        <v>119</v>
      </c>
      <c r="F109" s="118" t="s">
        <v>129</v>
      </c>
      <c r="G109" s="119">
        <v>19.928999999999998</v>
      </c>
      <c r="H109" s="120">
        <f t="shared" si="12"/>
        <v>239.15</v>
      </c>
      <c r="I109" s="68">
        <f t="shared" si="10"/>
        <v>265.64999999999998</v>
      </c>
      <c r="J109" s="120">
        <f t="shared" si="13"/>
        <v>279.01</v>
      </c>
      <c r="K109" s="121"/>
      <c r="L109" s="63">
        <f t="shared" si="14"/>
        <v>229.24</v>
      </c>
      <c r="M109" s="63">
        <f t="shared" si="15"/>
        <v>159.43</v>
      </c>
      <c r="N109" s="63">
        <f t="shared" si="16"/>
        <v>177.1</v>
      </c>
      <c r="O109" s="63">
        <f t="shared" si="17"/>
        <v>186.01</v>
      </c>
    </row>
    <row r="110" spans="1:15" ht="15" customHeight="1">
      <c r="A110" s="87" t="s">
        <v>115</v>
      </c>
      <c r="B110" s="115">
        <f t="shared" si="11"/>
        <v>0.51</v>
      </c>
      <c r="C110" s="116">
        <v>20</v>
      </c>
      <c r="D110" s="117" t="s">
        <v>28</v>
      </c>
      <c r="E110" s="41" t="s">
        <v>119</v>
      </c>
      <c r="F110" s="118" t="s">
        <v>108</v>
      </c>
      <c r="G110" s="119">
        <v>18.722000000000001</v>
      </c>
      <c r="H110" s="120">
        <f t="shared" si="12"/>
        <v>224.66</v>
      </c>
      <c r="I110" s="68">
        <f t="shared" si="10"/>
        <v>249.56</v>
      </c>
      <c r="J110" s="120">
        <f t="shared" si="13"/>
        <v>262.11</v>
      </c>
      <c r="K110" s="121"/>
      <c r="L110" s="63">
        <f t="shared" si="14"/>
        <v>215.35</v>
      </c>
      <c r="M110" s="63">
        <f t="shared" si="15"/>
        <v>149.77000000000001</v>
      </c>
      <c r="N110" s="63">
        <f t="shared" si="16"/>
        <v>166.37</v>
      </c>
      <c r="O110" s="63">
        <f t="shared" si="17"/>
        <v>174.74</v>
      </c>
    </row>
    <row r="111" spans="1:15" ht="15" customHeight="1">
      <c r="A111" s="87" t="s">
        <v>115</v>
      </c>
      <c r="B111" s="115">
        <f t="shared" si="11"/>
        <v>0.51</v>
      </c>
      <c r="C111" s="116">
        <v>20</v>
      </c>
      <c r="D111" s="117" t="s">
        <v>28</v>
      </c>
      <c r="E111" s="41" t="s">
        <v>119</v>
      </c>
      <c r="F111" s="118" t="s">
        <v>91</v>
      </c>
      <c r="G111" s="119">
        <v>20.056999999999999</v>
      </c>
      <c r="H111" s="120">
        <f t="shared" si="12"/>
        <v>240.68</v>
      </c>
      <c r="I111" s="68">
        <f t="shared" si="10"/>
        <v>267.36</v>
      </c>
      <c r="J111" s="120">
        <f t="shared" si="13"/>
        <v>280.8</v>
      </c>
      <c r="K111" s="121"/>
      <c r="L111" s="63">
        <f t="shared" si="14"/>
        <v>230.7</v>
      </c>
      <c r="M111" s="63">
        <f t="shared" si="15"/>
        <v>160.44999999999999</v>
      </c>
      <c r="N111" s="63">
        <f t="shared" si="16"/>
        <v>178.24</v>
      </c>
      <c r="O111" s="63">
        <f t="shared" si="17"/>
        <v>187.2</v>
      </c>
    </row>
    <row r="112" spans="1:15" ht="15" customHeight="1">
      <c r="A112" s="87" t="s">
        <v>115</v>
      </c>
      <c r="B112" s="115">
        <f t="shared" si="11"/>
        <v>0.53</v>
      </c>
      <c r="C112" s="116">
        <v>21</v>
      </c>
      <c r="D112" s="117" t="s">
        <v>28</v>
      </c>
      <c r="E112" s="41" t="s">
        <v>119</v>
      </c>
      <c r="F112" s="118" t="s">
        <v>91</v>
      </c>
      <c r="G112" s="119">
        <v>21.457000000000001</v>
      </c>
      <c r="H112" s="120">
        <f t="shared" si="12"/>
        <v>257.48</v>
      </c>
      <c r="I112" s="68">
        <f t="shared" si="10"/>
        <v>286.02</v>
      </c>
      <c r="J112" s="120">
        <f t="shared" si="13"/>
        <v>300.39999999999998</v>
      </c>
      <c r="K112" s="121"/>
      <c r="L112" s="63">
        <f t="shared" si="14"/>
        <v>246.81</v>
      </c>
      <c r="M112" s="63">
        <f t="shared" si="15"/>
        <v>171.65</v>
      </c>
      <c r="N112" s="63">
        <f t="shared" si="16"/>
        <v>190.68</v>
      </c>
      <c r="O112" s="63">
        <f t="shared" si="17"/>
        <v>200.27</v>
      </c>
    </row>
    <row r="113" spans="1:15" ht="15" customHeight="1">
      <c r="A113" s="87" t="s">
        <v>115</v>
      </c>
      <c r="B113" s="115">
        <f t="shared" si="11"/>
        <v>0.61</v>
      </c>
      <c r="C113" s="116">
        <v>24</v>
      </c>
      <c r="D113" s="117" t="s">
        <v>28</v>
      </c>
      <c r="E113" s="41" t="s">
        <v>119</v>
      </c>
      <c r="F113" s="118" t="s">
        <v>94</v>
      </c>
      <c r="G113" s="119">
        <v>18.920999999999999</v>
      </c>
      <c r="H113" s="120">
        <f t="shared" si="12"/>
        <v>227.05</v>
      </c>
      <c r="I113" s="68">
        <f t="shared" si="10"/>
        <v>252.22</v>
      </c>
      <c r="J113" s="120">
        <f t="shared" si="13"/>
        <v>264.89</v>
      </c>
      <c r="K113" s="121"/>
      <c r="L113" s="63">
        <f t="shared" si="14"/>
        <v>217.64</v>
      </c>
      <c r="M113" s="63">
        <f t="shared" si="15"/>
        <v>151.37</v>
      </c>
      <c r="N113" s="63">
        <f t="shared" si="16"/>
        <v>168.15</v>
      </c>
      <c r="O113" s="63">
        <f t="shared" si="17"/>
        <v>176.59</v>
      </c>
    </row>
    <row r="114" spans="1:15" ht="15" customHeight="1">
      <c r="A114" s="87" t="s">
        <v>115</v>
      </c>
      <c r="B114" s="115">
        <f t="shared" si="11"/>
        <v>0.61</v>
      </c>
      <c r="C114" s="116">
        <v>24</v>
      </c>
      <c r="D114" s="117" t="s">
        <v>28</v>
      </c>
      <c r="E114" s="41" t="s">
        <v>119</v>
      </c>
      <c r="F114" s="118" t="s">
        <v>88</v>
      </c>
      <c r="G114" s="119">
        <v>23.166999999999998</v>
      </c>
      <c r="H114" s="120">
        <f t="shared" si="12"/>
        <v>278</v>
      </c>
      <c r="I114" s="68">
        <f t="shared" si="10"/>
        <v>308.82</v>
      </c>
      <c r="J114" s="120">
        <f t="shared" si="13"/>
        <v>324.33999999999997</v>
      </c>
      <c r="K114" s="121"/>
      <c r="L114" s="63">
        <f t="shared" si="14"/>
        <v>266.47000000000003</v>
      </c>
      <c r="M114" s="63">
        <f t="shared" si="15"/>
        <v>185.33</v>
      </c>
      <c r="N114" s="63">
        <f t="shared" si="16"/>
        <v>205.88</v>
      </c>
      <c r="O114" s="63">
        <f t="shared" si="17"/>
        <v>216.23</v>
      </c>
    </row>
    <row r="115" spans="1:15" ht="15" customHeight="1">
      <c r="A115" s="87" t="s">
        <v>115</v>
      </c>
      <c r="B115" s="115">
        <f t="shared" si="11"/>
        <v>0.61</v>
      </c>
      <c r="C115" s="116">
        <v>24</v>
      </c>
      <c r="D115" s="117" t="s">
        <v>28</v>
      </c>
      <c r="E115" s="41" t="s">
        <v>119</v>
      </c>
      <c r="F115" s="118" t="s">
        <v>130</v>
      </c>
      <c r="G115" s="119">
        <v>21.029</v>
      </c>
      <c r="H115" s="120">
        <f t="shared" si="12"/>
        <v>252.35</v>
      </c>
      <c r="I115" s="68">
        <f t="shared" si="10"/>
        <v>280.32</v>
      </c>
      <c r="J115" s="120">
        <f t="shared" si="13"/>
        <v>294.41000000000003</v>
      </c>
      <c r="K115" s="121"/>
      <c r="L115" s="63">
        <f t="shared" si="14"/>
        <v>241.88</v>
      </c>
      <c r="M115" s="63">
        <f t="shared" si="15"/>
        <v>168.23</v>
      </c>
      <c r="N115" s="63">
        <f t="shared" si="16"/>
        <v>186.88</v>
      </c>
      <c r="O115" s="63">
        <f t="shared" si="17"/>
        <v>196.27</v>
      </c>
    </row>
    <row r="116" spans="1:15" ht="15" customHeight="1">
      <c r="A116" s="87" t="s">
        <v>115</v>
      </c>
      <c r="B116" s="115">
        <f t="shared" si="11"/>
        <v>0.71</v>
      </c>
      <c r="C116" s="116">
        <v>28</v>
      </c>
      <c r="D116" s="117" t="s">
        <v>28</v>
      </c>
      <c r="E116" s="41" t="s">
        <v>119</v>
      </c>
      <c r="F116" s="118" t="s">
        <v>131</v>
      </c>
      <c r="G116" s="119">
        <v>24.925000000000001</v>
      </c>
      <c r="H116" s="120">
        <f t="shared" si="12"/>
        <v>299.10000000000002</v>
      </c>
      <c r="I116" s="68">
        <f t="shared" si="10"/>
        <v>332.25</v>
      </c>
      <c r="J116" s="120">
        <f t="shared" si="13"/>
        <v>348.95</v>
      </c>
      <c r="K116" s="121"/>
      <c r="L116" s="63">
        <f t="shared" si="14"/>
        <v>286.7</v>
      </c>
      <c r="M116" s="63">
        <f t="shared" si="15"/>
        <v>199.4</v>
      </c>
      <c r="N116" s="63">
        <f t="shared" si="16"/>
        <v>221.5</v>
      </c>
      <c r="O116" s="63">
        <f t="shared" si="17"/>
        <v>232.63</v>
      </c>
    </row>
    <row r="117" spans="1:15" ht="15" customHeight="1">
      <c r="A117" s="87" t="s">
        <v>115</v>
      </c>
      <c r="B117" s="115">
        <f t="shared" si="11"/>
        <v>0.76</v>
      </c>
      <c r="C117" s="116">
        <v>30</v>
      </c>
      <c r="D117" s="117" t="s">
        <v>28</v>
      </c>
      <c r="E117" s="41" t="s">
        <v>119</v>
      </c>
      <c r="F117" s="118" t="s">
        <v>101</v>
      </c>
      <c r="G117" s="119">
        <v>21.751999999999999</v>
      </c>
      <c r="H117" s="120">
        <f t="shared" si="12"/>
        <v>261.02</v>
      </c>
      <c r="I117" s="68">
        <f t="shared" si="10"/>
        <v>289.95</v>
      </c>
      <c r="J117" s="120">
        <f t="shared" si="13"/>
        <v>304.52999999999997</v>
      </c>
      <c r="K117" s="121"/>
      <c r="L117" s="63">
        <f t="shared" si="14"/>
        <v>250.2</v>
      </c>
      <c r="M117" s="63">
        <f t="shared" si="15"/>
        <v>174.01</v>
      </c>
      <c r="N117" s="63">
        <f t="shared" si="16"/>
        <v>193.3</v>
      </c>
      <c r="O117" s="63">
        <f t="shared" si="17"/>
        <v>203.02</v>
      </c>
    </row>
    <row r="118" spans="1:15" ht="15" customHeight="1">
      <c r="A118" s="87" t="s">
        <v>115</v>
      </c>
      <c r="B118" s="115">
        <f t="shared" si="11"/>
        <v>0.79</v>
      </c>
      <c r="C118" s="116">
        <v>31</v>
      </c>
      <c r="D118" s="117" t="s">
        <v>28</v>
      </c>
      <c r="E118" s="41" t="s">
        <v>119</v>
      </c>
      <c r="F118" s="118" t="s">
        <v>101</v>
      </c>
      <c r="G118" s="119">
        <v>22.742999999999999</v>
      </c>
      <c r="H118" s="120">
        <f t="shared" si="12"/>
        <v>272.92</v>
      </c>
      <c r="I118" s="68">
        <f t="shared" si="10"/>
        <v>303.16000000000003</v>
      </c>
      <c r="J118" s="120">
        <f t="shared" si="13"/>
        <v>318.39999999999998</v>
      </c>
      <c r="K118" s="121"/>
      <c r="L118" s="63">
        <f t="shared" si="14"/>
        <v>261.60000000000002</v>
      </c>
      <c r="M118" s="63">
        <f t="shared" si="15"/>
        <v>181.95</v>
      </c>
      <c r="N118" s="63">
        <f t="shared" si="16"/>
        <v>202.11</v>
      </c>
      <c r="O118" s="63">
        <f t="shared" si="17"/>
        <v>212.27</v>
      </c>
    </row>
    <row r="119" spans="1:15" ht="15" customHeight="1">
      <c r="A119" s="87" t="s">
        <v>115</v>
      </c>
      <c r="B119" s="115">
        <f t="shared" si="11"/>
        <v>0.86</v>
      </c>
      <c r="C119" s="116">
        <v>34</v>
      </c>
      <c r="D119" s="117" t="s">
        <v>28</v>
      </c>
      <c r="E119" s="41" t="s">
        <v>119</v>
      </c>
      <c r="F119" s="118" t="s">
        <v>132</v>
      </c>
      <c r="G119" s="119">
        <v>29.553999999999998</v>
      </c>
      <c r="H119" s="120">
        <f t="shared" si="12"/>
        <v>354.65</v>
      </c>
      <c r="I119" s="68">
        <f t="shared" si="10"/>
        <v>393.95</v>
      </c>
      <c r="J119" s="120">
        <f t="shared" si="13"/>
        <v>413.76</v>
      </c>
      <c r="K119" s="121"/>
      <c r="L119" s="63">
        <f t="shared" si="14"/>
        <v>339.95</v>
      </c>
      <c r="M119" s="63">
        <f t="shared" si="15"/>
        <v>236.43</v>
      </c>
      <c r="N119" s="63">
        <f t="shared" si="16"/>
        <v>262.63</v>
      </c>
      <c r="O119" s="63">
        <f t="shared" si="17"/>
        <v>275.83999999999997</v>
      </c>
    </row>
    <row r="120" spans="1:15" ht="15" customHeight="1">
      <c r="A120" s="87" t="s">
        <v>115</v>
      </c>
      <c r="B120" s="115">
        <f t="shared" si="11"/>
        <v>0.89</v>
      </c>
      <c r="C120" s="116">
        <v>35</v>
      </c>
      <c r="D120" s="117" t="s">
        <v>28</v>
      </c>
      <c r="E120" s="41" t="s">
        <v>119</v>
      </c>
      <c r="F120" s="118" t="s">
        <v>133</v>
      </c>
      <c r="G120" s="119">
        <v>31.343</v>
      </c>
      <c r="H120" s="120">
        <f t="shared" si="12"/>
        <v>376.12</v>
      </c>
      <c r="I120" s="68">
        <f t="shared" si="10"/>
        <v>417.8</v>
      </c>
      <c r="J120" s="120">
        <f t="shared" si="13"/>
        <v>438.8</v>
      </c>
      <c r="K120" s="121"/>
      <c r="L120" s="63">
        <f t="shared" si="14"/>
        <v>360.53</v>
      </c>
      <c r="M120" s="63">
        <f t="shared" si="15"/>
        <v>250.75</v>
      </c>
      <c r="N120" s="63">
        <f t="shared" si="16"/>
        <v>278.52999999999997</v>
      </c>
      <c r="O120" s="63">
        <f t="shared" si="17"/>
        <v>292.52999999999997</v>
      </c>
    </row>
    <row r="121" spans="1:15" ht="15" customHeight="1">
      <c r="A121" s="87" t="s">
        <v>115</v>
      </c>
      <c r="B121" s="115">
        <f t="shared" si="11"/>
        <v>0.89</v>
      </c>
      <c r="C121" s="116">
        <v>35</v>
      </c>
      <c r="D121" s="117" t="s">
        <v>28</v>
      </c>
      <c r="E121" s="41" t="s">
        <v>119</v>
      </c>
      <c r="F121" s="118" t="s">
        <v>96</v>
      </c>
      <c r="G121" s="119">
        <v>23.413</v>
      </c>
      <c r="H121" s="120">
        <f t="shared" si="12"/>
        <v>280.95999999999998</v>
      </c>
      <c r="I121" s="68">
        <f t="shared" si="10"/>
        <v>312.10000000000002</v>
      </c>
      <c r="J121" s="120">
        <f t="shared" si="13"/>
        <v>327.78</v>
      </c>
      <c r="K121" s="121"/>
      <c r="L121" s="63">
        <f t="shared" si="14"/>
        <v>269.31</v>
      </c>
      <c r="M121" s="63">
        <f t="shared" si="15"/>
        <v>187.31</v>
      </c>
      <c r="N121" s="63">
        <f t="shared" si="16"/>
        <v>208.07</v>
      </c>
      <c r="O121" s="63">
        <f t="shared" si="17"/>
        <v>218.52</v>
      </c>
    </row>
    <row r="122" spans="1:15" ht="15" customHeight="1">
      <c r="A122" s="87" t="s">
        <v>115</v>
      </c>
      <c r="B122" s="115">
        <f t="shared" si="11"/>
        <v>0.99</v>
      </c>
      <c r="C122" s="116">
        <v>39</v>
      </c>
      <c r="D122" s="117" t="s">
        <v>28</v>
      </c>
      <c r="E122" s="41" t="s">
        <v>119</v>
      </c>
      <c r="F122" s="118" t="s">
        <v>134</v>
      </c>
      <c r="G122" s="119">
        <v>31.898</v>
      </c>
      <c r="H122" s="120">
        <f t="shared" si="12"/>
        <v>382.78</v>
      </c>
      <c r="I122" s="68">
        <f t="shared" si="10"/>
        <v>425.2</v>
      </c>
      <c r="J122" s="120">
        <f t="shared" si="13"/>
        <v>446.57</v>
      </c>
      <c r="K122" s="121"/>
      <c r="L122" s="63">
        <f t="shared" si="14"/>
        <v>366.91</v>
      </c>
      <c r="M122" s="63">
        <f t="shared" si="15"/>
        <v>255.19</v>
      </c>
      <c r="N122" s="63">
        <f t="shared" si="16"/>
        <v>283.47000000000003</v>
      </c>
      <c r="O122" s="63">
        <f t="shared" si="17"/>
        <v>297.70999999999998</v>
      </c>
    </row>
    <row r="123" spans="1:15" ht="15" customHeight="1">
      <c r="A123" s="87" t="s">
        <v>115</v>
      </c>
      <c r="B123" s="115">
        <f t="shared" si="11"/>
        <v>1.17</v>
      </c>
      <c r="C123" s="116">
        <v>46</v>
      </c>
      <c r="D123" s="117" t="s">
        <v>28</v>
      </c>
      <c r="E123" s="41" t="s">
        <v>119</v>
      </c>
      <c r="F123" s="118" t="s">
        <v>102</v>
      </c>
      <c r="G123" s="119">
        <v>26.248999999999999</v>
      </c>
      <c r="H123" s="120">
        <f t="shared" si="12"/>
        <v>314.99</v>
      </c>
      <c r="I123" s="68">
        <f t="shared" si="10"/>
        <v>349.9</v>
      </c>
      <c r="J123" s="120">
        <f t="shared" si="13"/>
        <v>367.49</v>
      </c>
      <c r="K123" s="121"/>
      <c r="L123" s="63">
        <f t="shared" si="14"/>
        <v>301.93</v>
      </c>
      <c r="M123" s="63">
        <f t="shared" si="15"/>
        <v>209.99</v>
      </c>
      <c r="N123" s="63">
        <f t="shared" si="16"/>
        <v>233.27</v>
      </c>
      <c r="O123" s="63">
        <f t="shared" si="17"/>
        <v>244.99</v>
      </c>
    </row>
    <row r="124" spans="1:15" ht="15" customHeight="1">
      <c r="A124" s="87" t="s">
        <v>115</v>
      </c>
      <c r="B124" s="115">
        <f t="shared" si="11"/>
        <v>1.22</v>
      </c>
      <c r="C124" s="116">
        <v>48</v>
      </c>
      <c r="D124" s="117" t="s">
        <v>28</v>
      </c>
      <c r="E124" s="41" t="s">
        <v>119</v>
      </c>
      <c r="F124" s="118" t="s">
        <v>135</v>
      </c>
      <c r="G124" s="119">
        <v>35.723999999999997</v>
      </c>
      <c r="H124" s="120">
        <f t="shared" si="12"/>
        <v>428.69</v>
      </c>
      <c r="I124" s="68">
        <f t="shared" si="10"/>
        <v>476.2</v>
      </c>
      <c r="J124" s="120">
        <f t="shared" si="13"/>
        <v>500.14</v>
      </c>
      <c r="K124" s="121"/>
      <c r="L124" s="63">
        <f t="shared" si="14"/>
        <v>410.91</v>
      </c>
      <c r="M124" s="63">
        <f t="shared" si="15"/>
        <v>285.79000000000002</v>
      </c>
      <c r="N124" s="63">
        <f t="shared" si="16"/>
        <v>317.47000000000003</v>
      </c>
      <c r="O124" s="63">
        <f t="shared" si="17"/>
        <v>333.43</v>
      </c>
    </row>
    <row r="125" spans="1:15" ht="15" customHeight="1">
      <c r="A125" s="87" t="s">
        <v>115</v>
      </c>
      <c r="B125" s="115">
        <f t="shared" si="11"/>
        <v>2.08</v>
      </c>
      <c r="C125" s="116">
        <v>82</v>
      </c>
      <c r="D125" s="125" t="s">
        <v>28</v>
      </c>
      <c r="E125" s="41" t="s">
        <v>119</v>
      </c>
      <c r="F125" s="118" t="s">
        <v>136</v>
      </c>
      <c r="G125" s="119">
        <v>40.662999999999997</v>
      </c>
      <c r="H125" s="120">
        <f t="shared" si="12"/>
        <v>487.96</v>
      </c>
      <c r="I125" s="68">
        <f t="shared" si="10"/>
        <v>542.04</v>
      </c>
      <c r="J125" s="120">
        <f t="shared" si="13"/>
        <v>569.28</v>
      </c>
      <c r="K125" s="121"/>
      <c r="L125" s="63">
        <f t="shared" si="14"/>
        <v>467.73</v>
      </c>
      <c r="M125" s="63">
        <f t="shared" si="15"/>
        <v>325.31</v>
      </c>
      <c r="N125" s="63">
        <f t="shared" si="16"/>
        <v>361.36</v>
      </c>
      <c r="O125" s="63">
        <f t="shared" si="17"/>
        <v>379.52</v>
      </c>
    </row>
    <row r="126" spans="1:15" ht="15" customHeight="1">
      <c r="A126" s="87" t="s">
        <v>118</v>
      </c>
      <c r="B126" s="115">
        <f>ROUND(C126*0.0254,3)</f>
        <v>5.0999999999999997E-2</v>
      </c>
      <c r="C126" s="116">
        <v>2</v>
      </c>
      <c r="D126" s="117" t="s">
        <v>25</v>
      </c>
      <c r="E126" s="41" t="s">
        <v>137</v>
      </c>
      <c r="F126" s="118" t="s">
        <v>120</v>
      </c>
      <c r="G126" s="122">
        <v>8.2520000000000007</v>
      </c>
      <c r="H126" s="120">
        <f>ROUND(G126*12,2)</f>
        <v>99.02</v>
      </c>
      <c r="I126" s="68">
        <f>ROUND(G126*13.33,2)</f>
        <v>110</v>
      </c>
      <c r="J126" s="120">
        <f>ROUND(G126*14,2)</f>
        <v>115.53</v>
      </c>
      <c r="K126" s="121">
        <v>9.9973340442548686E-2</v>
      </c>
      <c r="L126" s="63">
        <f>ROUND(ROUND(ROUND(G126*12,2)*43/48,2)*1.07,2)</f>
        <v>94.92</v>
      </c>
      <c r="M126" s="63">
        <f>ROUND(ROUND(G126*12,2)*2/3,2)</f>
        <v>66.010000000000005</v>
      </c>
      <c r="N126" s="63">
        <f>ROUND(ROUND(G126*13.33,2)*2/3,2)</f>
        <v>73.33</v>
      </c>
      <c r="O126" s="63">
        <f>ROUND(ROUND(G126*14,2)*2/3,2)</f>
        <v>77.02</v>
      </c>
    </row>
    <row r="127" spans="1:15" ht="15" customHeight="1">
      <c r="A127" s="87" t="s">
        <v>115</v>
      </c>
      <c r="B127" s="115">
        <f t="shared" ref="B127:B134" si="18">ROUND(C127*0.0254,3)</f>
        <v>5.8000000000000003E-2</v>
      </c>
      <c r="C127" s="116">
        <v>2.2999999999999998</v>
      </c>
      <c r="D127" s="117" t="s">
        <v>25</v>
      </c>
      <c r="E127" s="41" t="s">
        <v>137</v>
      </c>
      <c r="F127" s="118" t="s">
        <v>121</v>
      </c>
      <c r="G127" s="122">
        <v>8.2520000000000007</v>
      </c>
      <c r="H127" s="120">
        <f t="shared" ref="H127:H190" si="19">ROUND(G127*12,2)</f>
        <v>99.02</v>
      </c>
      <c r="I127" s="68">
        <f t="shared" ref="I127:I186" si="20">ROUND(G127*13.33,2)</f>
        <v>110</v>
      </c>
      <c r="J127" s="120">
        <f t="shared" ref="J127:J190" si="21">ROUND(G127*14,2)</f>
        <v>115.53</v>
      </c>
      <c r="K127" s="121">
        <v>9.9973340442548686E-2</v>
      </c>
      <c r="L127" s="63">
        <f t="shared" ref="L127:L190" si="22">ROUND(ROUND(ROUND(G127*12,2)*43/48,2)*1.07,2)</f>
        <v>94.92</v>
      </c>
      <c r="M127" s="63">
        <f t="shared" ref="M127:M190" si="23">ROUND(ROUND(G127*12,2)*2/3,2)</f>
        <v>66.010000000000005</v>
      </c>
      <c r="N127" s="63">
        <f t="shared" ref="N127:N190" si="24">ROUND(ROUND(G127*13.33,2)*2/3,2)</f>
        <v>73.33</v>
      </c>
      <c r="O127" s="63">
        <f t="shared" ref="O127:O190" si="25">ROUND(ROUND(G127*14,2)*2/3,2)</f>
        <v>77.02</v>
      </c>
    </row>
    <row r="128" spans="1:15" ht="15" customHeight="1">
      <c r="A128" s="87" t="s">
        <v>115</v>
      </c>
      <c r="B128" s="115">
        <f t="shared" si="18"/>
        <v>6.4000000000000001E-2</v>
      </c>
      <c r="C128" s="116">
        <v>2.5</v>
      </c>
      <c r="D128" s="117" t="s">
        <v>25</v>
      </c>
      <c r="E128" s="41" t="s">
        <v>137</v>
      </c>
      <c r="F128" s="118" t="s">
        <v>121</v>
      </c>
      <c r="G128" s="122">
        <v>8.2520000000000007</v>
      </c>
      <c r="H128" s="120">
        <f t="shared" si="19"/>
        <v>99.02</v>
      </c>
      <c r="I128" s="68">
        <f t="shared" si="20"/>
        <v>110</v>
      </c>
      <c r="J128" s="120">
        <f t="shared" si="21"/>
        <v>115.53</v>
      </c>
      <c r="K128" s="121">
        <v>9.9973340442548686E-2</v>
      </c>
      <c r="L128" s="63">
        <f t="shared" si="22"/>
        <v>94.92</v>
      </c>
      <c r="M128" s="63">
        <f t="shared" si="23"/>
        <v>66.010000000000005</v>
      </c>
      <c r="N128" s="63">
        <f t="shared" si="24"/>
        <v>73.33</v>
      </c>
      <c r="O128" s="63">
        <f t="shared" si="25"/>
        <v>77.02</v>
      </c>
    </row>
    <row r="129" spans="1:15" ht="15" customHeight="1">
      <c r="A129" s="87" t="s">
        <v>115</v>
      </c>
      <c r="B129" s="115">
        <f t="shared" si="18"/>
        <v>6.4000000000000001E-2</v>
      </c>
      <c r="C129" s="116">
        <v>2.5</v>
      </c>
      <c r="D129" s="117" t="s">
        <v>25</v>
      </c>
      <c r="E129" s="41" t="s">
        <v>137</v>
      </c>
      <c r="F129" s="118" t="s">
        <v>122</v>
      </c>
      <c r="G129" s="122">
        <v>8.5809999999999995</v>
      </c>
      <c r="H129" s="120">
        <f t="shared" si="19"/>
        <v>102.97</v>
      </c>
      <c r="I129" s="68">
        <f t="shared" si="20"/>
        <v>114.38</v>
      </c>
      <c r="J129" s="120">
        <f t="shared" si="21"/>
        <v>120.13</v>
      </c>
      <c r="K129" s="121">
        <v>9.9987181130624103E-2</v>
      </c>
      <c r="L129" s="63">
        <f t="shared" si="22"/>
        <v>98.7</v>
      </c>
      <c r="M129" s="63">
        <f t="shared" si="23"/>
        <v>68.650000000000006</v>
      </c>
      <c r="N129" s="63">
        <f t="shared" si="24"/>
        <v>76.25</v>
      </c>
      <c r="O129" s="63">
        <f t="shared" si="25"/>
        <v>80.09</v>
      </c>
    </row>
    <row r="130" spans="1:15" ht="15" customHeight="1">
      <c r="A130" s="87" t="s">
        <v>115</v>
      </c>
      <c r="B130" s="115">
        <f t="shared" si="18"/>
        <v>7.5999999999999998E-2</v>
      </c>
      <c r="C130" s="116">
        <v>3</v>
      </c>
      <c r="D130" s="117" t="s">
        <v>25</v>
      </c>
      <c r="E130" s="41" t="s">
        <v>137</v>
      </c>
      <c r="F130" s="118" t="s">
        <v>81</v>
      </c>
      <c r="G130" s="122">
        <v>8.1059999999999999</v>
      </c>
      <c r="H130" s="120">
        <f t="shared" si="19"/>
        <v>97.27</v>
      </c>
      <c r="I130" s="68">
        <f t="shared" si="20"/>
        <v>108.05</v>
      </c>
      <c r="J130" s="120">
        <f t="shared" si="21"/>
        <v>113.48</v>
      </c>
      <c r="K130" s="121">
        <v>0.10001357036232861</v>
      </c>
      <c r="L130" s="63">
        <f t="shared" si="22"/>
        <v>93.24</v>
      </c>
      <c r="M130" s="63">
        <f t="shared" si="23"/>
        <v>64.849999999999994</v>
      </c>
      <c r="N130" s="63">
        <f t="shared" si="24"/>
        <v>72.03</v>
      </c>
      <c r="O130" s="63">
        <f t="shared" si="25"/>
        <v>75.650000000000006</v>
      </c>
    </row>
    <row r="131" spans="1:15" ht="15" customHeight="1">
      <c r="A131" s="87" t="s">
        <v>115</v>
      </c>
      <c r="B131" s="115">
        <f t="shared" si="18"/>
        <v>7.5999999999999998E-2</v>
      </c>
      <c r="C131" s="116">
        <v>3</v>
      </c>
      <c r="D131" s="117" t="s">
        <v>25</v>
      </c>
      <c r="E131" s="41" t="s">
        <v>137</v>
      </c>
      <c r="F131" s="118" t="s">
        <v>123</v>
      </c>
      <c r="G131" s="122">
        <v>8.1690000000000005</v>
      </c>
      <c r="H131" s="120">
        <f t="shared" si="19"/>
        <v>98.03</v>
      </c>
      <c r="I131" s="68">
        <f t="shared" si="20"/>
        <v>108.89</v>
      </c>
      <c r="J131" s="120">
        <f t="shared" si="21"/>
        <v>114.37</v>
      </c>
      <c r="K131" s="121">
        <v>0.10005386479935363</v>
      </c>
      <c r="L131" s="63">
        <f t="shared" si="22"/>
        <v>93.97</v>
      </c>
      <c r="M131" s="63">
        <f t="shared" si="23"/>
        <v>65.349999999999994</v>
      </c>
      <c r="N131" s="63">
        <f t="shared" si="24"/>
        <v>72.59</v>
      </c>
      <c r="O131" s="63">
        <f t="shared" si="25"/>
        <v>76.25</v>
      </c>
    </row>
    <row r="132" spans="1:15" ht="15" customHeight="1">
      <c r="A132" s="87" t="s">
        <v>115</v>
      </c>
      <c r="B132" s="115">
        <f t="shared" si="18"/>
        <v>7.5999999999999998E-2</v>
      </c>
      <c r="C132" s="116">
        <v>3</v>
      </c>
      <c r="D132" s="117" t="s">
        <v>25</v>
      </c>
      <c r="E132" s="41" t="s">
        <v>137</v>
      </c>
      <c r="F132" s="118" t="s">
        <v>122</v>
      </c>
      <c r="G132" s="122">
        <v>8.3350000000000009</v>
      </c>
      <c r="H132" s="120">
        <f t="shared" si="19"/>
        <v>100.02</v>
      </c>
      <c r="I132" s="68">
        <f t="shared" si="20"/>
        <v>111.11</v>
      </c>
      <c r="J132" s="120">
        <f t="shared" si="21"/>
        <v>116.69</v>
      </c>
      <c r="K132" s="121">
        <v>0.10003959350666514</v>
      </c>
      <c r="L132" s="63">
        <f t="shared" si="22"/>
        <v>95.87</v>
      </c>
      <c r="M132" s="63">
        <f t="shared" si="23"/>
        <v>66.680000000000007</v>
      </c>
      <c r="N132" s="63">
        <f t="shared" si="24"/>
        <v>74.069999999999993</v>
      </c>
      <c r="O132" s="63">
        <f t="shared" si="25"/>
        <v>77.790000000000006</v>
      </c>
    </row>
    <row r="133" spans="1:15" ht="15" customHeight="1">
      <c r="A133" s="87" t="s">
        <v>115</v>
      </c>
      <c r="B133" s="115">
        <f t="shared" si="18"/>
        <v>8.8999999999999996E-2</v>
      </c>
      <c r="C133" s="116">
        <v>3.5</v>
      </c>
      <c r="D133" s="117" t="s">
        <v>25</v>
      </c>
      <c r="E133" s="41" t="s">
        <v>137</v>
      </c>
      <c r="F133" s="118" t="s">
        <v>122</v>
      </c>
      <c r="G133" s="122">
        <v>8.3800000000000008</v>
      </c>
      <c r="H133" s="120">
        <f t="shared" si="19"/>
        <v>100.56</v>
      </c>
      <c r="I133" s="68">
        <f t="shared" si="20"/>
        <v>111.71</v>
      </c>
      <c r="J133" s="120">
        <f t="shared" si="21"/>
        <v>117.32</v>
      </c>
      <c r="K133" s="121">
        <v>0.1000262536098715</v>
      </c>
      <c r="L133" s="63">
        <f t="shared" si="22"/>
        <v>96.4</v>
      </c>
      <c r="M133" s="63">
        <f t="shared" si="23"/>
        <v>67.040000000000006</v>
      </c>
      <c r="N133" s="63">
        <f t="shared" si="24"/>
        <v>74.47</v>
      </c>
      <c r="O133" s="63">
        <f t="shared" si="25"/>
        <v>78.209999999999994</v>
      </c>
    </row>
    <row r="134" spans="1:15" ht="15" customHeight="1">
      <c r="A134" s="87" t="s">
        <v>115</v>
      </c>
      <c r="B134" s="115">
        <f t="shared" si="18"/>
        <v>8.8999999999999996E-2</v>
      </c>
      <c r="C134" s="116">
        <v>3.5</v>
      </c>
      <c r="D134" s="117" t="s">
        <v>25</v>
      </c>
      <c r="E134" s="41" t="s">
        <v>137</v>
      </c>
      <c r="F134" s="118" t="s">
        <v>124</v>
      </c>
      <c r="G134" s="122">
        <v>8.1760000000000002</v>
      </c>
      <c r="H134" s="120">
        <f t="shared" si="19"/>
        <v>98.11</v>
      </c>
      <c r="I134" s="68">
        <f t="shared" si="20"/>
        <v>108.99</v>
      </c>
      <c r="J134" s="120">
        <f t="shared" si="21"/>
        <v>114.46</v>
      </c>
      <c r="K134" s="121">
        <v>9.9959639445715176E-2</v>
      </c>
      <c r="L134" s="63">
        <f t="shared" si="22"/>
        <v>94.04</v>
      </c>
      <c r="M134" s="63">
        <f t="shared" si="23"/>
        <v>65.41</v>
      </c>
      <c r="N134" s="63">
        <f t="shared" si="24"/>
        <v>72.66</v>
      </c>
      <c r="O134" s="63">
        <f t="shared" si="25"/>
        <v>76.31</v>
      </c>
    </row>
    <row r="135" spans="1:15" ht="15" customHeight="1">
      <c r="A135" s="87" t="s">
        <v>115</v>
      </c>
      <c r="B135" s="115">
        <f t="shared" ref="B135:B182" si="26">ROUND(C135*0.0254,2)</f>
        <v>0.1</v>
      </c>
      <c r="C135" s="116">
        <v>4</v>
      </c>
      <c r="D135" s="117" t="s">
        <v>25</v>
      </c>
      <c r="E135" s="41" t="s">
        <v>137</v>
      </c>
      <c r="F135" s="118" t="s">
        <v>84</v>
      </c>
      <c r="G135" s="122">
        <v>8.1430000000000007</v>
      </c>
      <c r="H135" s="120">
        <f t="shared" si="19"/>
        <v>97.72</v>
      </c>
      <c r="I135" s="68">
        <f t="shared" si="20"/>
        <v>108.55</v>
      </c>
      <c r="J135" s="120">
        <f t="shared" si="21"/>
        <v>114</v>
      </c>
      <c r="K135" s="121">
        <v>9.9959475888153682E-2</v>
      </c>
      <c r="L135" s="63">
        <f t="shared" si="22"/>
        <v>93.67</v>
      </c>
      <c r="M135" s="63">
        <f t="shared" si="23"/>
        <v>65.150000000000006</v>
      </c>
      <c r="N135" s="63">
        <f t="shared" si="24"/>
        <v>72.37</v>
      </c>
      <c r="O135" s="63">
        <f t="shared" si="25"/>
        <v>76</v>
      </c>
    </row>
    <row r="136" spans="1:15" ht="15" customHeight="1">
      <c r="A136" s="87" t="s">
        <v>115</v>
      </c>
      <c r="B136" s="115">
        <f t="shared" si="26"/>
        <v>0.1</v>
      </c>
      <c r="C136" s="116">
        <v>4</v>
      </c>
      <c r="D136" s="117" t="s">
        <v>25</v>
      </c>
      <c r="E136" s="41" t="s">
        <v>137</v>
      </c>
      <c r="F136" s="118" t="s">
        <v>97</v>
      </c>
      <c r="G136" s="122">
        <v>10.087</v>
      </c>
      <c r="H136" s="120">
        <f t="shared" si="19"/>
        <v>121.04</v>
      </c>
      <c r="I136" s="68">
        <f t="shared" si="20"/>
        <v>134.46</v>
      </c>
      <c r="J136" s="120">
        <f t="shared" si="21"/>
        <v>141.22</v>
      </c>
      <c r="K136" s="121">
        <v>0.10000000000000009</v>
      </c>
      <c r="L136" s="63">
        <f t="shared" si="22"/>
        <v>116.02</v>
      </c>
      <c r="M136" s="63">
        <f t="shared" si="23"/>
        <v>80.69</v>
      </c>
      <c r="N136" s="63">
        <f t="shared" si="24"/>
        <v>89.64</v>
      </c>
      <c r="O136" s="63">
        <f t="shared" si="25"/>
        <v>94.15</v>
      </c>
    </row>
    <row r="137" spans="1:15" ht="15" customHeight="1">
      <c r="A137" s="87" t="s">
        <v>115</v>
      </c>
      <c r="B137" s="115">
        <f t="shared" si="26"/>
        <v>0.1</v>
      </c>
      <c r="C137" s="116">
        <v>4</v>
      </c>
      <c r="D137" s="117" t="s">
        <v>25</v>
      </c>
      <c r="E137" s="41" t="s">
        <v>137</v>
      </c>
      <c r="F137" s="118" t="s">
        <v>85</v>
      </c>
      <c r="G137" s="122">
        <v>10.071999999999999</v>
      </c>
      <c r="H137" s="120">
        <f t="shared" si="19"/>
        <v>120.86</v>
      </c>
      <c r="I137" s="68">
        <f t="shared" si="20"/>
        <v>134.26</v>
      </c>
      <c r="J137" s="120">
        <f t="shared" si="21"/>
        <v>141.01</v>
      </c>
      <c r="K137" s="121">
        <v>0.1000436871996504</v>
      </c>
      <c r="L137" s="63">
        <f t="shared" si="22"/>
        <v>115.85</v>
      </c>
      <c r="M137" s="63">
        <f t="shared" si="23"/>
        <v>80.569999999999993</v>
      </c>
      <c r="N137" s="63">
        <f t="shared" si="24"/>
        <v>89.51</v>
      </c>
      <c r="O137" s="63">
        <f t="shared" si="25"/>
        <v>94.01</v>
      </c>
    </row>
    <row r="138" spans="1:15" ht="15" customHeight="1">
      <c r="A138" s="87" t="s">
        <v>115</v>
      </c>
      <c r="B138" s="115">
        <f t="shared" si="26"/>
        <v>0.1</v>
      </c>
      <c r="C138" s="116">
        <v>4</v>
      </c>
      <c r="D138" s="117" t="s">
        <v>25</v>
      </c>
      <c r="E138" s="41" t="s">
        <v>137</v>
      </c>
      <c r="F138" s="118" t="s">
        <v>124</v>
      </c>
      <c r="G138" s="122">
        <v>8.1690000000000005</v>
      </c>
      <c r="H138" s="120">
        <f t="shared" si="19"/>
        <v>98.03</v>
      </c>
      <c r="I138" s="68">
        <f t="shared" si="20"/>
        <v>108.89</v>
      </c>
      <c r="J138" s="120">
        <f t="shared" si="21"/>
        <v>114.37</v>
      </c>
      <c r="K138" s="121">
        <v>0.10005386479935363</v>
      </c>
      <c r="L138" s="63">
        <f t="shared" si="22"/>
        <v>93.97</v>
      </c>
      <c r="M138" s="63">
        <f t="shared" si="23"/>
        <v>65.349999999999994</v>
      </c>
      <c r="N138" s="63">
        <f t="shared" si="24"/>
        <v>72.59</v>
      </c>
      <c r="O138" s="63">
        <f t="shared" si="25"/>
        <v>76.25</v>
      </c>
    </row>
    <row r="139" spans="1:15" ht="15" customHeight="1">
      <c r="A139" s="87" t="s">
        <v>115</v>
      </c>
      <c r="B139" s="115">
        <f t="shared" si="26"/>
        <v>0.11</v>
      </c>
      <c r="C139" s="116">
        <v>4.5</v>
      </c>
      <c r="D139" s="117" t="s">
        <v>25</v>
      </c>
      <c r="E139" s="41" t="s">
        <v>137</v>
      </c>
      <c r="F139" s="118" t="s">
        <v>84</v>
      </c>
      <c r="G139" s="122">
        <v>8.25</v>
      </c>
      <c r="H139" s="120">
        <f t="shared" si="19"/>
        <v>99</v>
      </c>
      <c r="I139" s="68">
        <f t="shared" si="20"/>
        <v>109.97</v>
      </c>
      <c r="J139" s="120">
        <f t="shared" si="21"/>
        <v>115.5</v>
      </c>
      <c r="K139" s="121">
        <v>0.10000000000000009</v>
      </c>
      <c r="L139" s="63">
        <f t="shared" si="22"/>
        <v>94.9</v>
      </c>
      <c r="M139" s="63">
        <f t="shared" si="23"/>
        <v>66</v>
      </c>
      <c r="N139" s="63">
        <f t="shared" si="24"/>
        <v>73.31</v>
      </c>
      <c r="O139" s="63">
        <f t="shared" si="25"/>
        <v>77</v>
      </c>
    </row>
    <row r="140" spans="1:15" ht="15" customHeight="1">
      <c r="A140" s="87" t="s">
        <v>115</v>
      </c>
      <c r="B140" s="115">
        <f t="shared" si="26"/>
        <v>0.11</v>
      </c>
      <c r="C140" s="116">
        <v>4.5</v>
      </c>
      <c r="D140" s="117" t="s">
        <v>25</v>
      </c>
      <c r="E140" s="41" t="s">
        <v>137</v>
      </c>
      <c r="F140" s="118" t="s">
        <v>85</v>
      </c>
      <c r="G140" s="122">
        <v>10.071999999999999</v>
      </c>
      <c r="H140" s="120">
        <f t="shared" si="19"/>
        <v>120.86</v>
      </c>
      <c r="I140" s="68">
        <f t="shared" si="20"/>
        <v>134.26</v>
      </c>
      <c r="J140" s="120">
        <f t="shared" si="21"/>
        <v>141.01</v>
      </c>
      <c r="K140" s="121">
        <v>0.1000436871996504</v>
      </c>
      <c r="L140" s="63">
        <f t="shared" si="22"/>
        <v>115.85</v>
      </c>
      <c r="M140" s="63">
        <f t="shared" si="23"/>
        <v>80.569999999999993</v>
      </c>
      <c r="N140" s="63">
        <f t="shared" si="24"/>
        <v>89.51</v>
      </c>
      <c r="O140" s="63">
        <f t="shared" si="25"/>
        <v>94.01</v>
      </c>
    </row>
    <row r="141" spans="1:15" ht="15" customHeight="1">
      <c r="A141" s="87" t="s">
        <v>115</v>
      </c>
      <c r="B141" s="115">
        <f t="shared" si="26"/>
        <v>0.13</v>
      </c>
      <c r="C141" s="116">
        <v>5</v>
      </c>
      <c r="D141" s="117" t="s">
        <v>25</v>
      </c>
      <c r="E141" s="41" t="s">
        <v>137</v>
      </c>
      <c r="F141" s="118" t="s">
        <v>86</v>
      </c>
      <c r="G141" s="122">
        <v>9.9499999999999993</v>
      </c>
      <c r="H141" s="120">
        <f t="shared" si="19"/>
        <v>119.4</v>
      </c>
      <c r="I141" s="68">
        <f t="shared" si="20"/>
        <v>132.63</v>
      </c>
      <c r="J141" s="120">
        <f t="shared" si="21"/>
        <v>139.30000000000001</v>
      </c>
      <c r="K141" s="121">
        <v>0.10005527915975665</v>
      </c>
      <c r="L141" s="63">
        <f t="shared" si="22"/>
        <v>114.45</v>
      </c>
      <c r="M141" s="63">
        <f t="shared" si="23"/>
        <v>79.599999999999994</v>
      </c>
      <c r="N141" s="63">
        <f t="shared" si="24"/>
        <v>88.42</v>
      </c>
      <c r="O141" s="63">
        <f t="shared" si="25"/>
        <v>92.87</v>
      </c>
    </row>
    <row r="142" spans="1:15" ht="15" customHeight="1">
      <c r="A142" s="87" t="s">
        <v>115</v>
      </c>
      <c r="B142" s="115">
        <f t="shared" si="26"/>
        <v>0.13</v>
      </c>
      <c r="C142" s="116">
        <v>5</v>
      </c>
      <c r="D142" s="117" t="s">
        <v>25</v>
      </c>
      <c r="E142" s="41" t="s">
        <v>137</v>
      </c>
      <c r="F142" s="118" t="s">
        <v>85</v>
      </c>
      <c r="G142" s="122">
        <v>10.321999999999999</v>
      </c>
      <c r="H142" s="120">
        <f t="shared" si="19"/>
        <v>123.86</v>
      </c>
      <c r="I142" s="68">
        <f t="shared" si="20"/>
        <v>137.59</v>
      </c>
      <c r="J142" s="120">
        <f t="shared" si="21"/>
        <v>144.51</v>
      </c>
      <c r="K142" s="121">
        <v>9.995737425404938E-2</v>
      </c>
      <c r="L142" s="63">
        <f t="shared" si="22"/>
        <v>118.73</v>
      </c>
      <c r="M142" s="63">
        <f t="shared" si="23"/>
        <v>82.57</v>
      </c>
      <c r="N142" s="63">
        <f t="shared" si="24"/>
        <v>91.73</v>
      </c>
      <c r="O142" s="63">
        <f t="shared" si="25"/>
        <v>96.34</v>
      </c>
    </row>
    <row r="143" spans="1:15" ht="15" customHeight="1">
      <c r="A143" s="87" t="s">
        <v>115</v>
      </c>
      <c r="B143" s="115">
        <f t="shared" si="26"/>
        <v>0.13</v>
      </c>
      <c r="C143" s="116">
        <v>5</v>
      </c>
      <c r="D143" s="117" t="s">
        <v>25</v>
      </c>
      <c r="E143" s="41" t="s">
        <v>137</v>
      </c>
      <c r="F143" s="118" t="s">
        <v>84</v>
      </c>
      <c r="G143" s="122">
        <v>8.3130000000000006</v>
      </c>
      <c r="H143" s="120">
        <f t="shared" si="19"/>
        <v>99.76</v>
      </c>
      <c r="I143" s="68">
        <f t="shared" si="20"/>
        <v>110.81</v>
      </c>
      <c r="J143" s="120">
        <f t="shared" si="21"/>
        <v>116.38</v>
      </c>
      <c r="K143" s="121">
        <v>0.10003969829297343</v>
      </c>
      <c r="L143" s="63">
        <f t="shared" si="22"/>
        <v>95.63</v>
      </c>
      <c r="M143" s="63">
        <f t="shared" si="23"/>
        <v>66.510000000000005</v>
      </c>
      <c r="N143" s="63">
        <f t="shared" si="24"/>
        <v>73.87</v>
      </c>
      <c r="O143" s="63">
        <f t="shared" si="25"/>
        <v>77.59</v>
      </c>
    </row>
    <row r="144" spans="1:15" ht="15" customHeight="1">
      <c r="A144" s="87" t="s">
        <v>115</v>
      </c>
      <c r="B144" s="115">
        <f t="shared" si="26"/>
        <v>0.13</v>
      </c>
      <c r="C144" s="116">
        <v>5</v>
      </c>
      <c r="D144" s="117" t="s">
        <v>25</v>
      </c>
      <c r="E144" s="41" t="s">
        <v>137</v>
      </c>
      <c r="F144" s="118" t="s">
        <v>117</v>
      </c>
      <c r="G144" s="122">
        <v>10.276999999999999</v>
      </c>
      <c r="H144" s="120">
        <f t="shared" si="19"/>
        <v>123.32</v>
      </c>
      <c r="I144" s="68">
        <f t="shared" si="20"/>
        <v>136.99</v>
      </c>
      <c r="J144" s="120">
        <f t="shared" si="21"/>
        <v>143.88</v>
      </c>
      <c r="K144" s="121">
        <v>9.9967890399229375E-2</v>
      </c>
      <c r="L144" s="63">
        <f t="shared" si="22"/>
        <v>118.2</v>
      </c>
      <c r="M144" s="63">
        <f t="shared" si="23"/>
        <v>82.21</v>
      </c>
      <c r="N144" s="63">
        <f t="shared" si="24"/>
        <v>91.33</v>
      </c>
      <c r="O144" s="63">
        <f t="shared" si="25"/>
        <v>95.92</v>
      </c>
    </row>
    <row r="145" spans="1:15" ht="15" customHeight="1">
      <c r="A145" s="87" t="s">
        <v>115</v>
      </c>
      <c r="B145" s="115">
        <f t="shared" si="26"/>
        <v>0.15</v>
      </c>
      <c r="C145" s="116">
        <v>6</v>
      </c>
      <c r="D145" s="117" t="s">
        <v>25</v>
      </c>
      <c r="E145" s="41" t="s">
        <v>137</v>
      </c>
      <c r="F145" s="118" t="s">
        <v>93</v>
      </c>
      <c r="G145" s="122">
        <v>8.2729999999999997</v>
      </c>
      <c r="H145" s="120">
        <f t="shared" si="19"/>
        <v>99.28</v>
      </c>
      <c r="I145" s="68">
        <f t="shared" si="20"/>
        <v>110.28</v>
      </c>
      <c r="J145" s="120">
        <f t="shared" si="21"/>
        <v>115.82</v>
      </c>
      <c r="K145" s="121">
        <v>9.9986703895758478E-2</v>
      </c>
      <c r="L145" s="63">
        <f t="shared" si="22"/>
        <v>95.17</v>
      </c>
      <c r="M145" s="63">
        <f t="shared" si="23"/>
        <v>66.19</v>
      </c>
      <c r="N145" s="63">
        <f t="shared" si="24"/>
        <v>73.52</v>
      </c>
      <c r="O145" s="63">
        <f t="shared" si="25"/>
        <v>77.209999999999994</v>
      </c>
    </row>
    <row r="146" spans="1:15" ht="15" customHeight="1">
      <c r="A146" s="87" t="s">
        <v>115</v>
      </c>
      <c r="B146" s="115">
        <f t="shared" si="26"/>
        <v>0.15</v>
      </c>
      <c r="C146" s="116">
        <v>6</v>
      </c>
      <c r="D146" s="117" t="s">
        <v>25</v>
      </c>
      <c r="E146" s="41" t="s">
        <v>137</v>
      </c>
      <c r="F146" s="118" t="s">
        <v>86</v>
      </c>
      <c r="G146" s="122">
        <v>9.8409999999999993</v>
      </c>
      <c r="H146" s="120">
        <f t="shared" si="19"/>
        <v>118.09</v>
      </c>
      <c r="I146" s="68">
        <f t="shared" si="20"/>
        <v>131.18</v>
      </c>
      <c r="J146" s="120">
        <f t="shared" si="21"/>
        <v>137.77000000000001</v>
      </c>
      <c r="K146" s="121">
        <v>0.10004471272076909</v>
      </c>
      <c r="L146" s="63">
        <f t="shared" si="22"/>
        <v>113.2</v>
      </c>
      <c r="M146" s="63">
        <f t="shared" si="23"/>
        <v>78.73</v>
      </c>
      <c r="N146" s="63">
        <f t="shared" si="24"/>
        <v>87.45</v>
      </c>
      <c r="O146" s="63">
        <f t="shared" si="25"/>
        <v>91.85</v>
      </c>
    </row>
    <row r="147" spans="1:15" ht="15" customHeight="1">
      <c r="A147" s="87" t="s">
        <v>115</v>
      </c>
      <c r="B147" s="115">
        <f t="shared" si="26"/>
        <v>0.15</v>
      </c>
      <c r="C147" s="116">
        <v>6</v>
      </c>
      <c r="D147" s="117" t="s">
        <v>25</v>
      </c>
      <c r="E147" s="41" t="s">
        <v>137</v>
      </c>
      <c r="F147" s="118" t="s">
        <v>125</v>
      </c>
      <c r="G147" s="122">
        <v>9.9260000000000002</v>
      </c>
      <c r="H147" s="120">
        <f t="shared" si="19"/>
        <v>119.11</v>
      </c>
      <c r="I147" s="68">
        <f t="shared" si="20"/>
        <v>132.31</v>
      </c>
      <c r="J147" s="120">
        <f t="shared" si="21"/>
        <v>138.96</v>
      </c>
      <c r="K147" s="121">
        <v>9.9955673758865382E-2</v>
      </c>
      <c r="L147" s="63">
        <f t="shared" si="22"/>
        <v>114.17</v>
      </c>
      <c r="M147" s="63">
        <f t="shared" si="23"/>
        <v>79.41</v>
      </c>
      <c r="N147" s="63">
        <f t="shared" si="24"/>
        <v>88.21</v>
      </c>
      <c r="O147" s="63">
        <f t="shared" si="25"/>
        <v>92.64</v>
      </c>
    </row>
    <row r="148" spans="1:15" ht="15" customHeight="1">
      <c r="A148" s="87" t="s">
        <v>115</v>
      </c>
      <c r="B148" s="115">
        <f t="shared" si="26"/>
        <v>0.15</v>
      </c>
      <c r="C148" s="116">
        <v>6</v>
      </c>
      <c r="D148" s="117" t="s">
        <v>25</v>
      </c>
      <c r="E148" s="41" t="s">
        <v>137</v>
      </c>
      <c r="F148" s="118" t="s">
        <v>117</v>
      </c>
      <c r="G148" s="122">
        <v>10.714</v>
      </c>
      <c r="H148" s="120">
        <f t="shared" si="19"/>
        <v>128.57</v>
      </c>
      <c r="I148" s="68">
        <f t="shared" si="20"/>
        <v>142.82</v>
      </c>
      <c r="J148" s="120">
        <f t="shared" si="21"/>
        <v>150</v>
      </c>
      <c r="K148" s="121">
        <v>0.10000000000000009</v>
      </c>
      <c r="L148" s="63">
        <f t="shared" si="22"/>
        <v>123.24</v>
      </c>
      <c r="M148" s="63">
        <f t="shared" si="23"/>
        <v>85.71</v>
      </c>
      <c r="N148" s="63">
        <f t="shared" si="24"/>
        <v>95.21</v>
      </c>
      <c r="O148" s="63">
        <f t="shared" si="25"/>
        <v>100</v>
      </c>
    </row>
    <row r="149" spans="1:15" ht="15" customHeight="1">
      <c r="A149" s="87" t="s">
        <v>115</v>
      </c>
      <c r="B149" s="115">
        <f t="shared" si="26"/>
        <v>0.18</v>
      </c>
      <c r="C149" s="116">
        <v>7</v>
      </c>
      <c r="D149" s="117" t="s">
        <v>25</v>
      </c>
      <c r="E149" s="41" t="s">
        <v>137</v>
      </c>
      <c r="F149" s="118" t="s">
        <v>126</v>
      </c>
      <c r="G149" s="122">
        <v>10.420999999999999</v>
      </c>
      <c r="H149" s="120">
        <f t="shared" si="19"/>
        <v>125.05</v>
      </c>
      <c r="I149" s="68">
        <f t="shared" si="20"/>
        <v>138.91</v>
      </c>
      <c r="J149" s="120">
        <f t="shared" si="21"/>
        <v>145.88999999999999</v>
      </c>
      <c r="K149" s="121">
        <v>9.9957779185138262E-2</v>
      </c>
      <c r="L149" s="63">
        <f t="shared" si="22"/>
        <v>119.86</v>
      </c>
      <c r="M149" s="63">
        <f t="shared" si="23"/>
        <v>83.37</v>
      </c>
      <c r="N149" s="63">
        <f t="shared" si="24"/>
        <v>92.61</v>
      </c>
      <c r="O149" s="63">
        <f t="shared" si="25"/>
        <v>97.26</v>
      </c>
    </row>
    <row r="150" spans="1:15" ht="15" customHeight="1">
      <c r="A150" s="87" t="s">
        <v>115</v>
      </c>
      <c r="B150" s="115">
        <f t="shared" si="26"/>
        <v>0.2</v>
      </c>
      <c r="C150" s="116">
        <v>8</v>
      </c>
      <c r="D150" s="117" t="s">
        <v>25</v>
      </c>
      <c r="E150" s="41" t="s">
        <v>137</v>
      </c>
      <c r="F150" s="118" t="s">
        <v>126</v>
      </c>
      <c r="G150" s="122">
        <v>10.869</v>
      </c>
      <c r="H150" s="120">
        <f t="shared" si="19"/>
        <v>130.43</v>
      </c>
      <c r="I150" s="68">
        <f t="shared" si="20"/>
        <v>144.88</v>
      </c>
      <c r="J150" s="120">
        <f t="shared" si="21"/>
        <v>152.16999999999999</v>
      </c>
      <c r="K150" s="121">
        <v>9.9989879566845463E-2</v>
      </c>
      <c r="L150" s="63">
        <f t="shared" si="22"/>
        <v>125.02</v>
      </c>
      <c r="M150" s="63">
        <f t="shared" si="23"/>
        <v>86.95</v>
      </c>
      <c r="N150" s="63">
        <f t="shared" si="24"/>
        <v>96.59</v>
      </c>
      <c r="O150" s="63">
        <f t="shared" si="25"/>
        <v>101.45</v>
      </c>
    </row>
    <row r="151" spans="1:15" ht="15" customHeight="1">
      <c r="A151" s="87" t="s">
        <v>115</v>
      </c>
      <c r="B151" s="115">
        <f t="shared" si="26"/>
        <v>0.2</v>
      </c>
      <c r="C151" s="116">
        <v>8</v>
      </c>
      <c r="D151" s="117" t="s">
        <v>25</v>
      </c>
      <c r="E151" s="41" t="s">
        <v>137</v>
      </c>
      <c r="F151" s="118" t="s">
        <v>89</v>
      </c>
      <c r="G151" s="122">
        <v>9.8480000000000008</v>
      </c>
      <c r="H151" s="120">
        <f t="shared" si="19"/>
        <v>118.18</v>
      </c>
      <c r="I151" s="68">
        <f t="shared" si="20"/>
        <v>131.27000000000001</v>
      </c>
      <c r="J151" s="120">
        <f t="shared" si="21"/>
        <v>137.87</v>
      </c>
      <c r="K151" s="121">
        <v>9.9966491678767033E-2</v>
      </c>
      <c r="L151" s="63">
        <f t="shared" si="22"/>
        <v>113.28</v>
      </c>
      <c r="M151" s="63">
        <f t="shared" si="23"/>
        <v>78.790000000000006</v>
      </c>
      <c r="N151" s="63">
        <f t="shared" si="24"/>
        <v>87.51</v>
      </c>
      <c r="O151" s="63">
        <f t="shared" si="25"/>
        <v>91.91</v>
      </c>
    </row>
    <row r="152" spans="1:15" ht="15" customHeight="1">
      <c r="A152" s="87" t="s">
        <v>115</v>
      </c>
      <c r="B152" s="115">
        <f t="shared" si="26"/>
        <v>0.23</v>
      </c>
      <c r="C152" s="116">
        <v>9</v>
      </c>
      <c r="D152" s="117" t="s">
        <v>25</v>
      </c>
      <c r="E152" s="41" t="s">
        <v>137</v>
      </c>
      <c r="F152" s="118" t="s">
        <v>89</v>
      </c>
      <c r="G152" s="122">
        <v>9.8659999999999997</v>
      </c>
      <c r="H152" s="120">
        <f t="shared" si="19"/>
        <v>118.39</v>
      </c>
      <c r="I152" s="68">
        <f t="shared" si="20"/>
        <v>131.51</v>
      </c>
      <c r="J152" s="120">
        <f t="shared" si="21"/>
        <v>138.12</v>
      </c>
      <c r="K152" s="121">
        <v>0.10001114951499623</v>
      </c>
      <c r="L152" s="63">
        <f t="shared" si="22"/>
        <v>113.48</v>
      </c>
      <c r="M152" s="63">
        <f t="shared" si="23"/>
        <v>78.930000000000007</v>
      </c>
      <c r="N152" s="63">
        <f t="shared" si="24"/>
        <v>87.67</v>
      </c>
      <c r="O152" s="63">
        <f t="shared" si="25"/>
        <v>92.08</v>
      </c>
    </row>
    <row r="153" spans="1:15" ht="15" customHeight="1">
      <c r="A153" s="87" t="s">
        <v>115</v>
      </c>
      <c r="B153" s="115">
        <f t="shared" si="26"/>
        <v>0.23</v>
      </c>
      <c r="C153" s="116">
        <v>9</v>
      </c>
      <c r="D153" s="117" t="s">
        <v>25</v>
      </c>
      <c r="E153" s="41" t="s">
        <v>137</v>
      </c>
      <c r="F153" s="118" t="s">
        <v>127</v>
      </c>
      <c r="G153" s="122">
        <v>12.109</v>
      </c>
      <c r="H153" s="120">
        <f t="shared" si="19"/>
        <v>145.31</v>
      </c>
      <c r="I153" s="68">
        <f t="shared" si="20"/>
        <v>161.41</v>
      </c>
      <c r="J153" s="120">
        <f t="shared" si="21"/>
        <v>169.53</v>
      </c>
      <c r="K153" s="121">
        <v>0.10001816860465129</v>
      </c>
      <c r="L153" s="63">
        <f t="shared" si="22"/>
        <v>139.28</v>
      </c>
      <c r="M153" s="63">
        <f t="shared" si="23"/>
        <v>96.87</v>
      </c>
      <c r="N153" s="63">
        <f t="shared" si="24"/>
        <v>107.61</v>
      </c>
      <c r="O153" s="63">
        <f t="shared" si="25"/>
        <v>113.02</v>
      </c>
    </row>
    <row r="154" spans="1:15" ht="15" customHeight="1">
      <c r="A154" s="87" t="s">
        <v>115</v>
      </c>
      <c r="B154" s="115">
        <f t="shared" si="26"/>
        <v>0.25</v>
      </c>
      <c r="C154" s="116">
        <v>10</v>
      </c>
      <c r="D154" s="117" t="s">
        <v>25</v>
      </c>
      <c r="E154" s="41" t="s">
        <v>137</v>
      </c>
      <c r="F154" s="118" t="s">
        <v>89</v>
      </c>
      <c r="G154" s="122">
        <v>9.9350000000000005</v>
      </c>
      <c r="H154" s="120">
        <f t="shared" si="19"/>
        <v>119.22</v>
      </c>
      <c r="I154" s="68">
        <f t="shared" si="20"/>
        <v>132.43</v>
      </c>
      <c r="J154" s="120">
        <f t="shared" si="21"/>
        <v>139.09</v>
      </c>
      <c r="K154" s="121">
        <v>9.9977856510186092E-2</v>
      </c>
      <c r="L154" s="63">
        <f t="shared" si="22"/>
        <v>114.28</v>
      </c>
      <c r="M154" s="63">
        <f t="shared" si="23"/>
        <v>79.48</v>
      </c>
      <c r="N154" s="63">
        <f t="shared" si="24"/>
        <v>88.29</v>
      </c>
      <c r="O154" s="63">
        <f t="shared" si="25"/>
        <v>92.73</v>
      </c>
    </row>
    <row r="155" spans="1:15" ht="15" customHeight="1">
      <c r="A155" s="87" t="s">
        <v>115</v>
      </c>
      <c r="B155" s="115">
        <f t="shared" si="26"/>
        <v>0.3</v>
      </c>
      <c r="C155" s="116">
        <v>12</v>
      </c>
      <c r="D155" s="117" t="s">
        <v>25</v>
      </c>
      <c r="E155" s="41" t="s">
        <v>137</v>
      </c>
      <c r="F155" s="118" t="s">
        <v>99</v>
      </c>
      <c r="G155" s="122">
        <v>10.46</v>
      </c>
      <c r="H155" s="120">
        <f t="shared" si="19"/>
        <v>125.52</v>
      </c>
      <c r="I155" s="68">
        <f t="shared" si="20"/>
        <v>139.43</v>
      </c>
      <c r="J155" s="120">
        <f t="shared" si="21"/>
        <v>146.44</v>
      </c>
      <c r="K155" s="121">
        <v>0.10001051635292879</v>
      </c>
      <c r="L155" s="63">
        <f t="shared" si="22"/>
        <v>120.32</v>
      </c>
      <c r="M155" s="63">
        <f t="shared" si="23"/>
        <v>83.68</v>
      </c>
      <c r="N155" s="63">
        <f t="shared" si="24"/>
        <v>92.95</v>
      </c>
      <c r="O155" s="63">
        <f t="shared" si="25"/>
        <v>97.63</v>
      </c>
    </row>
    <row r="156" spans="1:15" ht="15" customHeight="1">
      <c r="A156" s="87" t="s">
        <v>115</v>
      </c>
      <c r="B156" s="115">
        <f t="shared" si="26"/>
        <v>0.3</v>
      </c>
      <c r="C156" s="116">
        <v>12</v>
      </c>
      <c r="D156" s="117" t="s">
        <v>25</v>
      </c>
      <c r="E156" s="41" t="s">
        <v>137</v>
      </c>
      <c r="F156" s="118" t="s">
        <v>128</v>
      </c>
      <c r="G156" s="122">
        <v>13.201000000000001</v>
      </c>
      <c r="H156" s="120">
        <f t="shared" si="19"/>
        <v>158.41</v>
      </c>
      <c r="I156" s="68">
        <f t="shared" si="20"/>
        <v>175.97</v>
      </c>
      <c r="J156" s="120">
        <f t="shared" si="21"/>
        <v>184.81</v>
      </c>
      <c r="K156" s="121">
        <v>9.9991667361053249E-2</v>
      </c>
      <c r="L156" s="63">
        <f t="shared" si="22"/>
        <v>151.84</v>
      </c>
      <c r="M156" s="63">
        <f t="shared" si="23"/>
        <v>105.61</v>
      </c>
      <c r="N156" s="63">
        <f t="shared" si="24"/>
        <v>117.31</v>
      </c>
      <c r="O156" s="63">
        <f t="shared" si="25"/>
        <v>123.21</v>
      </c>
    </row>
    <row r="157" spans="1:15" ht="15" customHeight="1">
      <c r="A157" s="87" t="s">
        <v>115</v>
      </c>
      <c r="B157" s="115">
        <f t="shared" si="26"/>
        <v>0.3</v>
      </c>
      <c r="C157" s="116">
        <v>12</v>
      </c>
      <c r="D157" s="117" t="s">
        <v>25</v>
      </c>
      <c r="E157" s="41" t="s">
        <v>137</v>
      </c>
      <c r="F157" s="118" t="s">
        <v>90</v>
      </c>
      <c r="G157" s="122">
        <v>12.898999999999999</v>
      </c>
      <c r="H157" s="120">
        <f t="shared" si="19"/>
        <v>154.79</v>
      </c>
      <c r="I157" s="68">
        <f t="shared" si="20"/>
        <v>171.94</v>
      </c>
      <c r="J157" s="120">
        <f t="shared" si="21"/>
        <v>180.59</v>
      </c>
      <c r="K157" s="121">
        <v>0.10003411222923408</v>
      </c>
      <c r="L157" s="63">
        <f t="shared" si="22"/>
        <v>148.38</v>
      </c>
      <c r="M157" s="63">
        <f t="shared" si="23"/>
        <v>103.19</v>
      </c>
      <c r="N157" s="63">
        <f t="shared" si="24"/>
        <v>114.63</v>
      </c>
      <c r="O157" s="63">
        <f t="shared" si="25"/>
        <v>120.39</v>
      </c>
    </row>
    <row r="158" spans="1:15" ht="15" customHeight="1">
      <c r="A158" s="87" t="s">
        <v>115</v>
      </c>
      <c r="B158" s="115">
        <f t="shared" si="26"/>
        <v>0.33</v>
      </c>
      <c r="C158" s="116">
        <v>13</v>
      </c>
      <c r="D158" s="117" t="s">
        <v>25</v>
      </c>
      <c r="E158" s="41" t="s">
        <v>137</v>
      </c>
      <c r="F158" s="118" t="s">
        <v>90</v>
      </c>
      <c r="G158" s="122">
        <v>12.898999999999999</v>
      </c>
      <c r="H158" s="120">
        <f t="shared" si="19"/>
        <v>154.79</v>
      </c>
      <c r="I158" s="68">
        <f t="shared" si="20"/>
        <v>171.94</v>
      </c>
      <c r="J158" s="120">
        <f t="shared" si="21"/>
        <v>180.59</v>
      </c>
      <c r="K158" s="121">
        <v>0.10003411222923408</v>
      </c>
      <c r="L158" s="63">
        <f t="shared" si="22"/>
        <v>148.38</v>
      </c>
      <c r="M158" s="63">
        <f t="shared" si="23"/>
        <v>103.19</v>
      </c>
      <c r="N158" s="63">
        <f t="shared" si="24"/>
        <v>114.63</v>
      </c>
      <c r="O158" s="63">
        <f t="shared" si="25"/>
        <v>120.39</v>
      </c>
    </row>
    <row r="159" spans="1:15" ht="15" customHeight="1">
      <c r="A159" s="87" t="s">
        <v>115</v>
      </c>
      <c r="B159" s="115">
        <f t="shared" si="26"/>
        <v>0.36</v>
      </c>
      <c r="C159" s="116">
        <v>14</v>
      </c>
      <c r="D159" s="117" t="s">
        <v>25</v>
      </c>
      <c r="E159" s="41" t="s">
        <v>137</v>
      </c>
      <c r="F159" s="118" t="s">
        <v>100</v>
      </c>
      <c r="G159" s="122">
        <v>10.750999999999999</v>
      </c>
      <c r="H159" s="120">
        <f t="shared" si="19"/>
        <v>129.01</v>
      </c>
      <c r="I159" s="68">
        <f t="shared" si="20"/>
        <v>143.31</v>
      </c>
      <c r="J159" s="120">
        <f t="shared" si="21"/>
        <v>150.51</v>
      </c>
      <c r="K159" s="121">
        <v>9.9959075097196592E-2</v>
      </c>
      <c r="L159" s="63">
        <f t="shared" si="22"/>
        <v>123.66</v>
      </c>
      <c r="M159" s="63">
        <f t="shared" si="23"/>
        <v>86.01</v>
      </c>
      <c r="N159" s="63">
        <f t="shared" si="24"/>
        <v>95.54</v>
      </c>
      <c r="O159" s="63">
        <f t="shared" si="25"/>
        <v>100.34</v>
      </c>
    </row>
    <row r="160" spans="1:15" ht="15" customHeight="1">
      <c r="A160" s="87" t="s">
        <v>115</v>
      </c>
      <c r="B160" s="115">
        <f t="shared" si="26"/>
        <v>0.36</v>
      </c>
      <c r="C160" s="116">
        <v>14</v>
      </c>
      <c r="D160" s="117" t="s">
        <v>25</v>
      </c>
      <c r="E160" s="41" t="s">
        <v>137</v>
      </c>
      <c r="F160" s="118" t="s">
        <v>90</v>
      </c>
      <c r="G160" s="122">
        <v>12.898999999999999</v>
      </c>
      <c r="H160" s="120">
        <f t="shared" si="19"/>
        <v>154.79</v>
      </c>
      <c r="I160" s="68">
        <f t="shared" si="20"/>
        <v>171.94</v>
      </c>
      <c r="J160" s="120">
        <f t="shared" si="21"/>
        <v>180.59</v>
      </c>
      <c r="K160" s="121">
        <v>0.10003411222923408</v>
      </c>
      <c r="L160" s="63">
        <f t="shared" si="22"/>
        <v>148.38</v>
      </c>
      <c r="M160" s="63">
        <f t="shared" si="23"/>
        <v>103.19</v>
      </c>
      <c r="N160" s="63">
        <f t="shared" si="24"/>
        <v>114.63</v>
      </c>
      <c r="O160" s="63">
        <f t="shared" si="25"/>
        <v>120.39</v>
      </c>
    </row>
    <row r="161" spans="1:15" ht="15" customHeight="1">
      <c r="A161" s="87" t="s">
        <v>115</v>
      </c>
      <c r="B161" s="115">
        <f t="shared" si="26"/>
        <v>0.38</v>
      </c>
      <c r="C161" s="116">
        <v>15</v>
      </c>
      <c r="D161" s="117" t="s">
        <v>25</v>
      </c>
      <c r="E161" s="41" t="s">
        <v>137</v>
      </c>
      <c r="F161" s="118" t="s">
        <v>90</v>
      </c>
      <c r="G161" s="122">
        <v>12.898999999999999</v>
      </c>
      <c r="H161" s="120">
        <f t="shared" si="19"/>
        <v>154.79</v>
      </c>
      <c r="I161" s="68">
        <f t="shared" si="20"/>
        <v>171.94</v>
      </c>
      <c r="J161" s="120">
        <f t="shared" si="21"/>
        <v>180.59</v>
      </c>
      <c r="K161" s="121">
        <v>0.10003411222923408</v>
      </c>
      <c r="L161" s="63">
        <f t="shared" si="22"/>
        <v>148.38</v>
      </c>
      <c r="M161" s="63">
        <f t="shared" si="23"/>
        <v>103.19</v>
      </c>
      <c r="N161" s="63">
        <f t="shared" si="24"/>
        <v>114.63</v>
      </c>
      <c r="O161" s="63">
        <f t="shared" si="25"/>
        <v>120.39</v>
      </c>
    </row>
    <row r="162" spans="1:15" ht="15" customHeight="1">
      <c r="A162" s="87" t="s">
        <v>115</v>
      </c>
      <c r="B162" s="115">
        <f t="shared" si="26"/>
        <v>0.41</v>
      </c>
      <c r="C162" s="116">
        <v>16</v>
      </c>
      <c r="D162" s="117" t="s">
        <v>25</v>
      </c>
      <c r="E162" s="41" t="s">
        <v>137</v>
      </c>
      <c r="F162" s="118" t="s">
        <v>100</v>
      </c>
      <c r="G162" s="122">
        <v>11.204000000000001</v>
      </c>
      <c r="H162" s="120">
        <f t="shared" si="19"/>
        <v>134.44999999999999</v>
      </c>
      <c r="I162" s="68">
        <f t="shared" si="20"/>
        <v>149.35</v>
      </c>
      <c r="J162" s="120">
        <f t="shared" si="21"/>
        <v>156.86000000000001</v>
      </c>
      <c r="K162" s="121">
        <v>0.10004909180166921</v>
      </c>
      <c r="L162" s="63">
        <f t="shared" si="22"/>
        <v>128.87</v>
      </c>
      <c r="M162" s="63">
        <f t="shared" si="23"/>
        <v>89.63</v>
      </c>
      <c r="N162" s="63">
        <f t="shared" si="24"/>
        <v>99.57</v>
      </c>
      <c r="O162" s="63">
        <f t="shared" si="25"/>
        <v>104.57</v>
      </c>
    </row>
    <row r="163" spans="1:15" ht="15" customHeight="1">
      <c r="A163" s="87" t="s">
        <v>115</v>
      </c>
      <c r="B163" s="115">
        <f t="shared" si="26"/>
        <v>0.41</v>
      </c>
      <c r="C163" s="116">
        <v>16</v>
      </c>
      <c r="D163" s="117" t="s">
        <v>25</v>
      </c>
      <c r="E163" s="41" t="s">
        <v>137</v>
      </c>
      <c r="F163" s="118" t="s">
        <v>129</v>
      </c>
      <c r="G163" s="122">
        <v>14.89</v>
      </c>
      <c r="H163" s="120">
        <f t="shared" si="19"/>
        <v>178.68</v>
      </c>
      <c r="I163" s="68">
        <f t="shared" si="20"/>
        <v>198.48</v>
      </c>
      <c r="J163" s="120">
        <f t="shared" si="21"/>
        <v>208.46</v>
      </c>
      <c r="K163" s="121">
        <v>0.10002955082742315</v>
      </c>
      <c r="L163" s="63">
        <f t="shared" si="22"/>
        <v>171.27</v>
      </c>
      <c r="M163" s="63">
        <f t="shared" si="23"/>
        <v>119.12</v>
      </c>
      <c r="N163" s="63">
        <f t="shared" si="24"/>
        <v>132.32</v>
      </c>
      <c r="O163" s="63">
        <f t="shared" si="25"/>
        <v>138.97</v>
      </c>
    </row>
    <row r="164" spans="1:15" ht="15" customHeight="1">
      <c r="A164" s="87" t="s">
        <v>115</v>
      </c>
      <c r="B164" s="115">
        <f t="shared" si="26"/>
        <v>0.46</v>
      </c>
      <c r="C164" s="116">
        <v>18</v>
      </c>
      <c r="D164" s="117" t="s">
        <v>25</v>
      </c>
      <c r="E164" s="41" t="s">
        <v>137</v>
      </c>
      <c r="F164" s="118" t="s">
        <v>108</v>
      </c>
      <c r="G164" s="122">
        <v>13.196999999999999</v>
      </c>
      <c r="H164" s="120">
        <f t="shared" si="19"/>
        <v>158.36000000000001</v>
      </c>
      <c r="I164" s="68">
        <f t="shared" si="20"/>
        <v>175.92</v>
      </c>
      <c r="J164" s="120">
        <f t="shared" si="21"/>
        <v>184.76</v>
      </c>
      <c r="K164" s="121">
        <v>0.10002500625156285</v>
      </c>
      <c r="L164" s="63">
        <f t="shared" si="22"/>
        <v>151.79</v>
      </c>
      <c r="M164" s="63">
        <f t="shared" si="23"/>
        <v>105.57</v>
      </c>
      <c r="N164" s="63">
        <f t="shared" si="24"/>
        <v>117.28</v>
      </c>
      <c r="O164" s="63">
        <f t="shared" si="25"/>
        <v>123.17</v>
      </c>
    </row>
    <row r="165" spans="1:15" ht="15" customHeight="1">
      <c r="A165" s="87" t="s">
        <v>115</v>
      </c>
      <c r="B165" s="115">
        <f t="shared" si="26"/>
        <v>0.46</v>
      </c>
      <c r="C165" s="116">
        <v>18</v>
      </c>
      <c r="D165" s="117" t="s">
        <v>25</v>
      </c>
      <c r="E165" s="41" t="s">
        <v>137</v>
      </c>
      <c r="F165" s="118" t="s">
        <v>129</v>
      </c>
      <c r="G165" s="122">
        <v>15.025</v>
      </c>
      <c r="H165" s="120">
        <f t="shared" si="19"/>
        <v>180.3</v>
      </c>
      <c r="I165" s="68">
        <f t="shared" si="20"/>
        <v>200.28</v>
      </c>
      <c r="J165" s="120">
        <f t="shared" si="21"/>
        <v>210.35</v>
      </c>
      <c r="K165" s="121">
        <v>0.10000732118017419</v>
      </c>
      <c r="L165" s="63">
        <f t="shared" si="22"/>
        <v>172.83</v>
      </c>
      <c r="M165" s="63">
        <f t="shared" si="23"/>
        <v>120.2</v>
      </c>
      <c r="N165" s="63">
        <f t="shared" si="24"/>
        <v>133.52000000000001</v>
      </c>
      <c r="O165" s="63">
        <f t="shared" si="25"/>
        <v>140.22999999999999</v>
      </c>
    </row>
    <row r="166" spans="1:15" ht="15" customHeight="1">
      <c r="A166" s="87" t="s">
        <v>115</v>
      </c>
      <c r="B166" s="115">
        <f t="shared" si="26"/>
        <v>0.51</v>
      </c>
      <c r="C166" s="116">
        <v>20</v>
      </c>
      <c r="D166" s="117" t="s">
        <v>25</v>
      </c>
      <c r="E166" s="41" t="s">
        <v>137</v>
      </c>
      <c r="F166" s="118" t="s">
        <v>108</v>
      </c>
      <c r="G166" s="122">
        <v>13.46</v>
      </c>
      <c r="H166" s="120">
        <f t="shared" si="19"/>
        <v>161.52000000000001</v>
      </c>
      <c r="I166" s="68">
        <f t="shared" si="20"/>
        <v>179.42</v>
      </c>
      <c r="J166" s="120">
        <f t="shared" si="21"/>
        <v>188.44</v>
      </c>
      <c r="K166" s="121">
        <v>0.10003269042170637</v>
      </c>
      <c r="L166" s="63">
        <f t="shared" si="22"/>
        <v>154.83000000000001</v>
      </c>
      <c r="M166" s="63">
        <f t="shared" si="23"/>
        <v>107.68</v>
      </c>
      <c r="N166" s="63">
        <f t="shared" si="24"/>
        <v>119.61</v>
      </c>
      <c r="O166" s="63">
        <f t="shared" si="25"/>
        <v>125.63</v>
      </c>
    </row>
    <row r="167" spans="1:15" ht="15" customHeight="1">
      <c r="A167" s="87" t="s">
        <v>115</v>
      </c>
      <c r="B167" s="115">
        <f t="shared" si="26"/>
        <v>0.51</v>
      </c>
      <c r="C167" s="116">
        <v>20</v>
      </c>
      <c r="D167" s="117" t="s">
        <v>25</v>
      </c>
      <c r="E167" s="41" t="s">
        <v>137</v>
      </c>
      <c r="F167" s="118" t="s">
        <v>91</v>
      </c>
      <c r="G167" s="122">
        <v>15.381</v>
      </c>
      <c r="H167" s="120">
        <f t="shared" si="19"/>
        <v>184.57</v>
      </c>
      <c r="I167" s="68">
        <f t="shared" si="20"/>
        <v>205.03</v>
      </c>
      <c r="J167" s="120">
        <f t="shared" si="21"/>
        <v>215.33</v>
      </c>
      <c r="K167" s="121">
        <v>9.9978545376528505E-2</v>
      </c>
      <c r="L167" s="63">
        <f t="shared" si="22"/>
        <v>176.91</v>
      </c>
      <c r="M167" s="63">
        <f t="shared" si="23"/>
        <v>123.05</v>
      </c>
      <c r="N167" s="63">
        <f t="shared" si="24"/>
        <v>136.69</v>
      </c>
      <c r="O167" s="63">
        <f t="shared" si="25"/>
        <v>143.55000000000001</v>
      </c>
    </row>
    <row r="168" spans="1:15" ht="15" customHeight="1">
      <c r="A168" s="87" t="s">
        <v>115</v>
      </c>
      <c r="B168" s="115">
        <f t="shared" si="26"/>
        <v>0.53</v>
      </c>
      <c r="C168" s="116">
        <v>21</v>
      </c>
      <c r="D168" s="117" t="s">
        <v>25</v>
      </c>
      <c r="E168" s="41" t="s">
        <v>137</v>
      </c>
      <c r="F168" s="118" t="s">
        <v>91</v>
      </c>
      <c r="G168" s="122">
        <v>15.288</v>
      </c>
      <c r="H168" s="120">
        <f t="shared" si="19"/>
        <v>183.46</v>
      </c>
      <c r="I168" s="68">
        <f t="shared" si="20"/>
        <v>203.79</v>
      </c>
      <c r="J168" s="120">
        <f t="shared" si="21"/>
        <v>214.03</v>
      </c>
      <c r="K168" s="121">
        <v>0.10001439055979278</v>
      </c>
      <c r="L168" s="63">
        <f t="shared" si="22"/>
        <v>175.85</v>
      </c>
      <c r="M168" s="63">
        <f t="shared" si="23"/>
        <v>122.31</v>
      </c>
      <c r="N168" s="63">
        <f t="shared" si="24"/>
        <v>135.86000000000001</v>
      </c>
      <c r="O168" s="63">
        <f t="shared" si="25"/>
        <v>142.69</v>
      </c>
    </row>
    <row r="169" spans="1:15" ht="15" customHeight="1">
      <c r="A169" s="87" t="s">
        <v>115</v>
      </c>
      <c r="B169" s="115">
        <f t="shared" si="26"/>
        <v>0.61</v>
      </c>
      <c r="C169" s="116">
        <v>24</v>
      </c>
      <c r="D169" s="117" t="s">
        <v>25</v>
      </c>
      <c r="E169" s="41" t="s">
        <v>137</v>
      </c>
      <c r="F169" s="118" t="s">
        <v>94</v>
      </c>
      <c r="G169" s="122">
        <v>14.317</v>
      </c>
      <c r="H169" s="120">
        <f t="shared" si="19"/>
        <v>171.8</v>
      </c>
      <c r="I169" s="68">
        <f t="shared" si="20"/>
        <v>190.85</v>
      </c>
      <c r="J169" s="120">
        <f t="shared" si="21"/>
        <v>200.44</v>
      </c>
      <c r="K169" s="121">
        <v>0.10003841721091056</v>
      </c>
      <c r="L169" s="63">
        <f t="shared" si="22"/>
        <v>164.67</v>
      </c>
      <c r="M169" s="63">
        <f t="shared" si="23"/>
        <v>114.53</v>
      </c>
      <c r="N169" s="63">
        <f t="shared" si="24"/>
        <v>127.23</v>
      </c>
      <c r="O169" s="63">
        <f t="shared" si="25"/>
        <v>133.63</v>
      </c>
    </row>
    <row r="170" spans="1:15" ht="15" customHeight="1">
      <c r="A170" s="87" t="s">
        <v>115</v>
      </c>
      <c r="B170" s="115">
        <f t="shared" si="26"/>
        <v>0.61</v>
      </c>
      <c r="C170" s="116">
        <v>24</v>
      </c>
      <c r="D170" s="117" t="s">
        <v>25</v>
      </c>
      <c r="E170" s="41" t="s">
        <v>137</v>
      </c>
      <c r="F170" s="118" t="s">
        <v>88</v>
      </c>
      <c r="G170" s="122">
        <v>18.263000000000002</v>
      </c>
      <c r="H170" s="120">
        <f t="shared" si="19"/>
        <v>219.16</v>
      </c>
      <c r="I170" s="68">
        <f t="shared" si="20"/>
        <v>243.45</v>
      </c>
      <c r="J170" s="120">
        <f t="shared" si="21"/>
        <v>255.68</v>
      </c>
      <c r="K170" s="121">
        <v>9.998193097632968E-2</v>
      </c>
      <c r="L170" s="63">
        <f t="shared" si="22"/>
        <v>210.07</v>
      </c>
      <c r="M170" s="63">
        <f t="shared" si="23"/>
        <v>146.11000000000001</v>
      </c>
      <c r="N170" s="63">
        <f t="shared" si="24"/>
        <v>162.30000000000001</v>
      </c>
      <c r="O170" s="63">
        <f t="shared" si="25"/>
        <v>170.45</v>
      </c>
    </row>
    <row r="171" spans="1:15" ht="15" customHeight="1">
      <c r="A171" s="87" t="s">
        <v>115</v>
      </c>
      <c r="B171" s="115">
        <f t="shared" si="26"/>
        <v>0.61</v>
      </c>
      <c r="C171" s="116">
        <v>24</v>
      </c>
      <c r="D171" s="117" t="s">
        <v>25</v>
      </c>
      <c r="E171" s="41" t="s">
        <v>137</v>
      </c>
      <c r="F171" s="118" t="s">
        <v>130</v>
      </c>
      <c r="G171" s="122">
        <v>16.207000000000001</v>
      </c>
      <c r="H171" s="120">
        <f t="shared" si="19"/>
        <v>194.48</v>
      </c>
      <c r="I171" s="68">
        <f t="shared" si="20"/>
        <v>216.04</v>
      </c>
      <c r="J171" s="120">
        <f t="shared" si="21"/>
        <v>226.9</v>
      </c>
      <c r="K171" s="121">
        <v>9.9972851907153659E-2</v>
      </c>
      <c r="L171" s="63">
        <f t="shared" si="22"/>
        <v>186.42</v>
      </c>
      <c r="M171" s="63">
        <f t="shared" si="23"/>
        <v>129.65</v>
      </c>
      <c r="N171" s="63">
        <f t="shared" si="24"/>
        <v>144.03</v>
      </c>
      <c r="O171" s="63">
        <f t="shared" si="25"/>
        <v>151.27000000000001</v>
      </c>
    </row>
    <row r="172" spans="1:15" ht="15" customHeight="1">
      <c r="A172" s="87" t="s">
        <v>115</v>
      </c>
      <c r="B172" s="115">
        <f t="shared" si="26"/>
        <v>0.71</v>
      </c>
      <c r="C172" s="116">
        <v>28</v>
      </c>
      <c r="D172" s="117" t="s">
        <v>25</v>
      </c>
      <c r="E172" s="41" t="s">
        <v>137</v>
      </c>
      <c r="F172" s="118" t="s">
        <v>131</v>
      </c>
      <c r="G172" s="122">
        <v>20.919</v>
      </c>
      <c r="H172" s="120">
        <f t="shared" si="19"/>
        <v>251.03</v>
      </c>
      <c r="I172" s="68">
        <f t="shared" si="20"/>
        <v>278.85000000000002</v>
      </c>
      <c r="J172" s="120">
        <f t="shared" si="21"/>
        <v>292.87</v>
      </c>
      <c r="K172" s="121">
        <v>0.1000157753588895</v>
      </c>
      <c r="L172" s="63">
        <f t="shared" si="22"/>
        <v>240.62</v>
      </c>
      <c r="M172" s="63">
        <f t="shared" si="23"/>
        <v>167.35</v>
      </c>
      <c r="N172" s="63">
        <f t="shared" si="24"/>
        <v>185.9</v>
      </c>
      <c r="O172" s="63">
        <f t="shared" si="25"/>
        <v>195.25</v>
      </c>
    </row>
    <row r="173" spans="1:15" ht="15" customHeight="1">
      <c r="A173" s="87" t="s">
        <v>115</v>
      </c>
      <c r="B173" s="115">
        <f t="shared" si="26"/>
        <v>0.71</v>
      </c>
      <c r="C173" s="116">
        <v>28</v>
      </c>
      <c r="D173" s="117" t="s">
        <v>25</v>
      </c>
      <c r="E173" s="41" t="s">
        <v>137</v>
      </c>
      <c r="F173" s="118" t="s">
        <v>101</v>
      </c>
      <c r="G173" s="122">
        <v>16.553000000000001</v>
      </c>
      <c r="H173" s="120">
        <f t="shared" si="19"/>
        <v>198.64</v>
      </c>
      <c r="I173" s="68">
        <f t="shared" si="20"/>
        <v>220.65</v>
      </c>
      <c r="J173" s="120">
        <f t="shared" si="21"/>
        <v>231.74</v>
      </c>
      <c r="K173" s="121">
        <v>0.10001329080276444</v>
      </c>
      <c r="L173" s="63">
        <f t="shared" si="22"/>
        <v>190.41</v>
      </c>
      <c r="M173" s="63">
        <f t="shared" si="23"/>
        <v>132.43</v>
      </c>
      <c r="N173" s="63">
        <f t="shared" si="24"/>
        <v>147.1</v>
      </c>
      <c r="O173" s="63">
        <f t="shared" si="25"/>
        <v>154.49</v>
      </c>
    </row>
    <row r="174" spans="1:15" ht="15" customHeight="1">
      <c r="A174" s="87" t="s">
        <v>115</v>
      </c>
      <c r="B174" s="115">
        <f t="shared" si="26"/>
        <v>0.76</v>
      </c>
      <c r="C174" s="116">
        <v>30</v>
      </c>
      <c r="D174" s="117" t="s">
        <v>25</v>
      </c>
      <c r="E174" s="41" t="s">
        <v>137</v>
      </c>
      <c r="F174" s="118" t="s">
        <v>101</v>
      </c>
      <c r="G174" s="122">
        <v>16.553000000000001</v>
      </c>
      <c r="H174" s="120">
        <f t="shared" si="19"/>
        <v>198.64</v>
      </c>
      <c r="I174" s="68">
        <f t="shared" si="20"/>
        <v>220.65</v>
      </c>
      <c r="J174" s="120">
        <f t="shared" si="21"/>
        <v>231.74</v>
      </c>
      <c r="K174" s="121">
        <v>0.10001329080276444</v>
      </c>
      <c r="L174" s="63">
        <f t="shared" si="22"/>
        <v>190.41</v>
      </c>
      <c r="M174" s="63">
        <f t="shared" si="23"/>
        <v>132.43</v>
      </c>
      <c r="N174" s="63">
        <f t="shared" si="24"/>
        <v>147.1</v>
      </c>
      <c r="O174" s="63">
        <f t="shared" si="25"/>
        <v>154.49</v>
      </c>
    </row>
    <row r="175" spans="1:15" ht="15" customHeight="1">
      <c r="A175" s="87" t="s">
        <v>115</v>
      </c>
      <c r="B175" s="115">
        <f t="shared" si="26"/>
        <v>0.81</v>
      </c>
      <c r="C175" s="116">
        <v>31.9</v>
      </c>
      <c r="D175" s="117" t="s">
        <v>25</v>
      </c>
      <c r="E175" s="41" t="s">
        <v>137</v>
      </c>
      <c r="F175" s="118" t="s">
        <v>96</v>
      </c>
      <c r="G175" s="122">
        <v>19.324000000000002</v>
      </c>
      <c r="H175" s="120">
        <f t="shared" si="19"/>
        <v>231.89</v>
      </c>
      <c r="I175" s="68">
        <f t="shared" si="20"/>
        <v>257.58999999999997</v>
      </c>
      <c r="J175" s="120">
        <f t="shared" si="21"/>
        <v>270.54000000000002</v>
      </c>
      <c r="K175" s="121">
        <v>0.10001707747481081</v>
      </c>
      <c r="L175" s="63">
        <f t="shared" si="22"/>
        <v>222.27</v>
      </c>
      <c r="M175" s="63">
        <f t="shared" si="23"/>
        <v>154.59</v>
      </c>
      <c r="N175" s="63">
        <f t="shared" si="24"/>
        <v>171.73</v>
      </c>
      <c r="O175" s="63">
        <f t="shared" si="25"/>
        <v>180.36</v>
      </c>
    </row>
    <row r="176" spans="1:15" ht="15" customHeight="1">
      <c r="A176" s="87" t="s">
        <v>115</v>
      </c>
      <c r="B176" s="115">
        <f t="shared" si="26"/>
        <v>0.86</v>
      </c>
      <c r="C176" s="116">
        <v>34</v>
      </c>
      <c r="D176" s="117" t="s">
        <v>25</v>
      </c>
      <c r="E176" s="41" t="s">
        <v>137</v>
      </c>
      <c r="F176" s="118" t="s">
        <v>132</v>
      </c>
      <c r="G176" s="122">
        <v>20.027999999999999</v>
      </c>
      <c r="H176" s="120">
        <f t="shared" si="19"/>
        <v>240.34</v>
      </c>
      <c r="I176" s="68">
        <f t="shared" si="20"/>
        <v>266.97000000000003</v>
      </c>
      <c r="J176" s="120">
        <f t="shared" si="21"/>
        <v>280.39</v>
      </c>
      <c r="K176" s="121">
        <v>0.10001647717910678</v>
      </c>
      <c r="L176" s="63">
        <f t="shared" si="22"/>
        <v>230.37</v>
      </c>
      <c r="M176" s="63">
        <f t="shared" si="23"/>
        <v>160.22999999999999</v>
      </c>
      <c r="N176" s="63">
        <f t="shared" si="24"/>
        <v>177.98</v>
      </c>
      <c r="O176" s="63">
        <f t="shared" si="25"/>
        <v>186.93</v>
      </c>
    </row>
    <row r="177" spans="1:15" ht="15" customHeight="1">
      <c r="A177" s="87" t="s">
        <v>115</v>
      </c>
      <c r="B177" s="115">
        <f t="shared" si="26"/>
        <v>0.89</v>
      </c>
      <c r="C177" s="116">
        <v>35</v>
      </c>
      <c r="D177" s="117" t="s">
        <v>25</v>
      </c>
      <c r="E177" s="41" t="s">
        <v>137</v>
      </c>
      <c r="F177" s="118" t="s">
        <v>133</v>
      </c>
      <c r="G177" s="122">
        <v>22.867000000000001</v>
      </c>
      <c r="H177" s="120">
        <f t="shared" si="19"/>
        <v>274.39999999999998</v>
      </c>
      <c r="I177" s="68">
        <f t="shared" si="20"/>
        <v>304.82</v>
      </c>
      <c r="J177" s="120">
        <f t="shared" si="21"/>
        <v>320.14</v>
      </c>
      <c r="K177" s="121">
        <v>0.10000962093515486</v>
      </c>
      <c r="L177" s="63">
        <f t="shared" si="22"/>
        <v>263.02999999999997</v>
      </c>
      <c r="M177" s="63">
        <f t="shared" si="23"/>
        <v>182.93</v>
      </c>
      <c r="N177" s="63">
        <f t="shared" si="24"/>
        <v>203.21</v>
      </c>
      <c r="O177" s="63">
        <f t="shared" si="25"/>
        <v>213.43</v>
      </c>
    </row>
    <row r="178" spans="1:15" ht="15" customHeight="1">
      <c r="A178" s="87" t="s">
        <v>115</v>
      </c>
      <c r="B178" s="115">
        <f t="shared" si="26"/>
        <v>0.89</v>
      </c>
      <c r="C178" s="116">
        <v>35</v>
      </c>
      <c r="D178" s="117" t="s">
        <v>25</v>
      </c>
      <c r="E178" s="41" t="s">
        <v>137</v>
      </c>
      <c r="F178" s="118" t="s">
        <v>96</v>
      </c>
      <c r="G178" s="122">
        <v>19.324000000000002</v>
      </c>
      <c r="H178" s="120">
        <f t="shared" si="19"/>
        <v>231.89</v>
      </c>
      <c r="I178" s="68">
        <f t="shared" si="20"/>
        <v>257.58999999999997</v>
      </c>
      <c r="J178" s="120">
        <f t="shared" si="21"/>
        <v>270.54000000000002</v>
      </c>
      <c r="K178" s="121">
        <v>0.10001707747481081</v>
      </c>
      <c r="L178" s="63">
        <f t="shared" si="22"/>
        <v>222.27</v>
      </c>
      <c r="M178" s="63">
        <f t="shared" si="23"/>
        <v>154.59</v>
      </c>
      <c r="N178" s="63">
        <f t="shared" si="24"/>
        <v>171.73</v>
      </c>
      <c r="O178" s="63">
        <f t="shared" si="25"/>
        <v>180.36</v>
      </c>
    </row>
    <row r="179" spans="1:15" ht="15" customHeight="1">
      <c r="A179" s="87" t="s">
        <v>115</v>
      </c>
      <c r="B179" s="115">
        <f t="shared" si="26"/>
        <v>0.99</v>
      </c>
      <c r="C179" s="116">
        <v>39</v>
      </c>
      <c r="D179" s="117" t="s">
        <v>25</v>
      </c>
      <c r="E179" s="41" t="s">
        <v>137</v>
      </c>
      <c r="F179" s="118" t="s">
        <v>134</v>
      </c>
      <c r="G179" s="122">
        <v>27.347999999999999</v>
      </c>
      <c r="H179" s="120">
        <f t="shared" si="19"/>
        <v>328.18</v>
      </c>
      <c r="I179" s="68">
        <f t="shared" si="20"/>
        <v>364.55</v>
      </c>
      <c r="J179" s="120">
        <f t="shared" si="21"/>
        <v>382.87</v>
      </c>
      <c r="K179" s="121">
        <v>9.999195559488383E-2</v>
      </c>
      <c r="L179" s="63">
        <f t="shared" si="22"/>
        <v>314.57</v>
      </c>
      <c r="M179" s="63">
        <f t="shared" si="23"/>
        <v>218.79</v>
      </c>
      <c r="N179" s="63">
        <f t="shared" si="24"/>
        <v>243.03</v>
      </c>
      <c r="O179" s="63">
        <f t="shared" si="25"/>
        <v>255.25</v>
      </c>
    </row>
    <row r="180" spans="1:15" ht="15" customHeight="1">
      <c r="A180" s="87" t="s">
        <v>115</v>
      </c>
      <c r="B180" s="115">
        <f t="shared" si="26"/>
        <v>1.17</v>
      </c>
      <c r="C180" s="116">
        <v>46</v>
      </c>
      <c r="D180" s="117" t="s">
        <v>25</v>
      </c>
      <c r="E180" s="41" t="s">
        <v>137</v>
      </c>
      <c r="F180" s="118" t="s">
        <v>102</v>
      </c>
      <c r="G180" s="122">
        <v>22.594000000000001</v>
      </c>
      <c r="H180" s="120">
        <f t="shared" si="19"/>
        <v>271.13</v>
      </c>
      <c r="I180" s="68">
        <f t="shared" si="20"/>
        <v>301.18</v>
      </c>
      <c r="J180" s="120">
        <f t="shared" si="21"/>
        <v>316.32</v>
      </c>
      <c r="K180" s="121">
        <v>0.10000000000000009</v>
      </c>
      <c r="L180" s="63">
        <f t="shared" si="22"/>
        <v>259.89</v>
      </c>
      <c r="M180" s="63">
        <f t="shared" si="23"/>
        <v>180.75</v>
      </c>
      <c r="N180" s="63">
        <f t="shared" si="24"/>
        <v>200.79</v>
      </c>
      <c r="O180" s="63">
        <f t="shared" si="25"/>
        <v>210.88</v>
      </c>
    </row>
    <row r="181" spans="1:15" ht="15" customHeight="1">
      <c r="A181" s="87" t="s">
        <v>115</v>
      </c>
      <c r="B181" s="115">
        <f t="shared" si="26"/>
        <v>1.22</v>
      </c>
      <c r="C181" s="116">
        <v>48</v>
      </c>
      <c r="D181" s="117" t="s">
        <v>25</v>
      </c>
      <c r="E181" s="41" t="s">
        <v>137</v>
      </c>
      <c r="F181" s="118" t="s">
        <v>135</v>
      </c>
      <c r="G181" s="122">
        <v>30.446999999999999</v>
      </c>
      <c r="H181" s="120">
        <f t="shared" si="19"/>
        <v>365.36</v>
      </c>
      <c r="I181" s="68">
        <f t="shared" si="20"/>
        <v>405.86</v>
      </c>
      <c r="J181" s="120">
        <f t="shared" si="21"/>
        <v>426.26</v>
      </c>
      <c r="K181" s="121">
        <v>0.10000361284728498</v>
      </c>
      <c r="L181" s="63">
        <f t="shared" si="22"/>
        <v>350.21</v>
      </c>
      <c r="M181" s="63">
        <f t="shared" si="23"/>
        <v>243.57</v>
      </c>
      <c r="N181" s="63">
        <f t="shared" si="24"/>
        <v>270.57</v>
      </c>
      <c r="O181" s="63">
        <f t="shared" si="25"/>
        <v>284.17</v>
      </c>
    </row>
    <row r="182" spans="1:15" ht="15" customHeight="1">
      <c r="A182" s="123" t="s">
        <v>115</v>
      </c>
      <c r="B182" s="115">
        <f t="shared" si="26"/>
        <v>2.08</v>
      </c>
      <c r="C182" s="124">
        <v>82</v>
      </c>
      <c r="D182" s="125" t="s">
        <v>25</v>
      </c>
      <c r="E182" s="129" t="s">
        <v>137</v>
      </c>
      <c r="F182" s="126" t="s">
        <v>136</v>
      </c>
      <c r="G182" s="127">
        <v>30.704999999999998</v>
      </c>
      <c r="H182" s="128">
        <f t="shared" si="19"/>
        <v>368.46</v>
      </c>
      <c r="I182" s="68">
        <f t="shared" si="20"/>
        <v>409.3</v>
      </c>
      <c r="J182" s="128">
        <f t="shared" si="21"/>
        <v>429.87</v>
      </c>
      <c r="K182" s="121">
        <v>9.9985670272981109E-2</v>
      </c>
      <c r="L182" s="63">
        <f t="shared" si="22"/>
        <v>353.19</v>
      </c>
      <c r="M182" s="63">
        <f t="shared" si="23"/>
        <v>245.64</v>
      </c>
      <c r="N182" s="63">
        <f t="shared" si="24"/>
        <v>272.87</v>
      </c>
      <c r="O182" s="63">
        <f t="shared" si="25"/>
        <v>286.58</v>
      </c>
    </row>
    <row r="183" spans="1:15" ht="15" customHeight="1">
      <c r="A183" s="87" t="s">
        <v>115</v>
      </c>
      <c r="B183" s="115">
        <f>ROUND(C183*0.0254,3)</f>
        <v>5.0999999999999997E-2</v>
      </c>
      <c r="C183" s="116">
        <v>2</v>
      </c>
      <c r="D183" s="117" t="s">
        <v>28</v>
      </c>
      <c r="E183" s="41" t="s">
        <v>137</v>
      </c>
      <c r="F183" s="118" t="s">
        <v>120</v>
      </c>
      <c r="G183" s="119">
        <v>12.067</v>
      </c>
      <c r="H183" s="120">
        <f t="shared" si="19"/>
        <v>144.80000000000001</v>
      </c>
      <c r="I183" s="68">
        <f t="shared" si="20"/>
        <v>160.85</v>
      </c>
      <c r="J183" s="120">
        <f t="shared" si="21"/>
        <v>168.94</v>
      </c>
      <c r="K183" s="121">
        <v>9.9999999999999867E-2</v>
      </c>
      <c r="L183" s="63">
        <f t="shared" si="22"/>
        <v>138.80000000000001</v>
      </c>
      <c r="M183" s="63">
        <f t="shared" si="23"/>
        <v>96.53</v>
      </c>
      <c r="N183" s="63">
        <f t="shared" si="24"/>
        <v>107.23</v>
      </c>
      <c r="O183" s="63">
        <f t="shared" si="25"/>
        <v>112.63</v>
      </c>
    </row>
    <row r="184" spans="1:15" ht="15" customHeight="1">
      <c r="A184" s="87" t="s">
        <v>115</v>
      </c>
      <c r="B184" s="115">
        <f t="shared" ref="B184:B190" si="27">ROUND(C184*0.0254,3)</f>
        <v>5.8000000000000003E-2</v>
      </c>
      <c r="C184" s="116">
        <v>2.2999999999999998</v>
      </c>
      <c r="D184" s="117" t="s">
        <v>28</v>
      </c>
      <c r="E184" s="41" t="s">
        <v>137</v>
      </c>
      <c r="F184" s="118" t="s">
        <v>121</v>
      </c>
      <c r="G184" s="119">
        <v>11.991</v>
      </c>
      <c r="H184" s="120">
        <f t="shared" si="19"/>
        <v>143.88999999999999</v>
      </c>
      <c r="I184" s="68">
        <f t="shared" si="20"/>
        <v>159.84</v>
      </c>
      <c r="J184" s="120">
        <f t="shared" si="21"/>
        <v>167.87</v>
      </c>
      <c r="K184" s="121">
        <v>9.9990826529676058E-2</v>
      </c>
      <c r="L184" s="63">
        <f t="shared" si="22"/>
        <v>137.91999999999999</v>
      </c>
      <c r="M184" s="63">
        <f t="shared" si="23"/>
        <v>95.93</v>
      </c>
      <c r="N184" s="63">
        <f t="shared" si="24"/>
        <v>106.56</v>
      </c>
      <c r="O184" s="63">
        <f t="shared" si="25"/>
        <v>111.91</v>
      </c>
    </row>
    <row r="185" spans="1:15" ht="15" customHeight="1">
      <c r="A185" s="87" t="s">
        <v>115</v>
      </c>
      <c r="B185" s="115">
        <f t="shared" si="27"/>
        <v>6.4000000000000001E-2</v>
      </c>
      <c r="C185" s="116">
        <v>2.5</v>
      </c>
      <c r="D185" s="117" t="s">
        <v>28</v>
      </c>
      <c r="E185" s="41" t="s">
        <v>137</v>
      </c>
      <c r="F185" s="118" t="s">
        <v>121</v>
      </c>
      <c r="G185" s="119">
        <v>12.058999999999999</v>
      </c>
      <c r="H185" s="120">
        <f t="shared" si="19"/>
        <v>144.71</v>
      </c>
      <c r="I185" s="68">
        <f t="shared" si="20"/>
        <v>160.75</v>
      </c>
      <c r="J185" s="120">
        <f t="shared" si="21"/>
        <v>168.83</v>
      </c>
      <c r="K185" s="121">
        <v>9.9972635227583595E-2</v>
      </c>
      <c r="L185" s="63">
        <f t="shared" si="22"/>
        <v>138.71</v>
      </c>
      <c r="M185" s="63">
        <f t="shared" si="23"/>
        <v>96.47</v>
      </c>
      <c r="N185" s="63">
        <f t="shared" si="24"/>
        <v>107.17</v>
      </c>
      <c r="O185" s="63">
        <f t="shared" si="25"/>
        <v>112.55</v>
      </c>
    </row>
    <row r="186" spans="1:15" ht="15" customHeight="1">
      <c r="A186" s="87" t="s">
        <v>115</v>
      </c>
      <c r="B186" s="115">
        <f t="shared" si="27"/>
        <v>7.5999999999999998E-2</v>
      </c>
      <c r="C186" s="116">
        <v>3</v>
      </c>
      <c r="D186" s="117" t="s">
        <v>28</v>
      </c>
      <c r="E186" s="41" t="s">
        <v>137</v>
      </c>
      <c r="F186" s="118" t="s">
        <v>81</v>
      </c>
      <c r="G186" s="119">
        <v>11.952999999999999</v>
      </c>
      <c r="H186" s="120">
        <f t="shared" si="19"/>
        <v>143.44</v>
      </c>
      <c r="I186" s="68">
        <f t="shared" si="20"/>
        <v>159.33000000000001</v>
      </c>
      <c r="J186" s="120">
        <f t="shared" si="21"/>
        <v>167.34</v>
      </c>
      <c r="K186" s="121">
        <v>0.10003681207436044</v>
      </c>
      <c r="L186" s="63">
        <f t="shared" si="22"/>
        <v>137.5</v>
      </c>
      <c r="M186" s="63">
        <f t="shared" si="23"/>
        <v>95.63</v>
      </c>
      <c r="N186" s="63">
        <f t="shared" si="24"/>
        <v>106.22</v>
      </c>
      <c r="O186" s="63">
        <f t="shared" si="25"/>
        <v>111.56</v>
      </c>
    </row>
    <row r="187" spans="1:15" ht="15" customHeight="1">
      <c r="A187" s="87" t="s">
        <v>115</v>
      </c>
      <c r="B187" s="115">
        <f t="shared" si="27"/>
        <v>7.5999999999999998E-2</v>
      </c>
      <c r="C187" s="116">
        <v>3</v>
      </c>
      <c r="D187" s="117" t="s">
        <v>28</v>
      </c>
      <c r="E187" s="41" t="s">
        <v>137</v>
      </c>
      <c r="F187" s="118" t="s">
        <v>123</v>
      </c>
      <c r="G187" s="119">
        <v>11.955</v>
      </c>
      <c r="H187" s="120">
        <f t="shared" si="19"/>
        <v>143.46</v>
      </c>
      <c r="I187" s="68">
        <f>ROUND(G187*13.33,2)</f>
        <v>159.36000000000001</v>
      </c>
      <c r="J187" s="120">
        <f t="shared" si="21"/>
        <v>167.37</v>
      </c>
      <c r="K187" s="121">
        <v>0.10001840264998152</v>
      </c>
      <c r="L187" s="63">
        <f t="shared" si="22"/>
        <v>137.52000000000001</v>
      </c>
      <c r="M187" s="63">
        <f t="shared" si="23"/>
        <v>95.64</v>
      </c>
      <c r="N187" s="63">
        <f t="shared" si="24"/>
        <v>106.24</v>
      </c>
      <c r="O187" s="63">
        <f t="shared" si="25"/>
        <v>111.58</v>
      </c>
    </row>
    <row r="188" spans="1:15" ht="15" customHeight="1">
      <c r="A188" s="87" t="s">
        <v>118</v>
      </c>
      <c r="B188" s="115">
        <f t="shared" si="27"/>
        <v>7.5999999999999998E-2</v>
      </c>
      <c r="C188" s="116">
        <v>3</v>
      </c>
      <c r="D188" s="117" t="s">
        <v>28</v>
      </c>
      <c r="E188" s="41" t="s">
        <v>137</v>
      </c>
      <c r="F188" s="118" t="s">
        <v>122</v>
      </c>
      <c r="G188" s="119">
        <v>12.079000000000001</v>
      </c>
      <c r="H188" s="120">
        <f t="shared" si="19"/>
        <v>144.94999999999999</v>
      </c>
      <c r="I188" s="68">
        <f>ROUND(G188*13.33,2)</f>
        <v>161.01</v>
      </c>
      <c r="J188" s="120">
        <f t="shared" si="21"/>
        <v>169.11</v>
      </c>
      <c r="K188" s="121">
        <v>9.9990893361260325E-2</v>
      </c>
      <c r="L188" s="63">
        <f t="shared" si="22"/>
        <v>138.94</v>
      </c>
      <c r="M188" s="63">
        <f t="shared" si="23"/>
        <v>96.63</v>
      </c>
      <c r="N188" s="63">
        <f t="shared" si="24"/>
        <v>107.34</v>
      </c>
      <c r="O188" s="63">
        <f t="shared" si="25"/>
        <v>112.74</v>
      </c>
    </row>
    <row r="189" spans="1:15" ht="15" customHeight="1">
      <c r="A189" s="87" t="s">
        <v>115</v>
      </c>
      <c r="B189" s="115">
        <f t="shared" si="27"/>
        <v>8.8999999999999996E-2</v>
      </c>
      <c r="C189" s="116">
        <v>3.5</v>
      </c>
      <c r="D189" s="117" t="s">
        <v>28</v>
      </c>
      <c r="E189" s="41" t="s">
        <v>137</v>
      </c>
      <c r="F189" s="118" t="s">
        <v>122</v>
      </c>
      <c r="G189" s="119">
        <v>12.079000000000001</v>
      </c>
      <c r="H189" s="120">
        <f t="shared" si="19"/>
        <v>144.94999999999999</v>
      </c>
      <c r="I189" s="68">
        <f t="shared" ref="I189:I273" si="28">ROUND(G189*13.33,2)</f>
        <v>161.01</v>
      </c>
      <c r="J189" s="120">
        <f t="shared" si="21"/>
        <v>169.11</v>
      </c>
      <c r="K189" s="121">
        <v>9.9990893361260325E-2</v>
      </c>
      <c r="L189" s="63">
        <f t="shared" si="22"/>
        <v>138.94</v>
      </c>
      <c r="M189" s="63">
        <f t="shared" si="23"/>
        <v>96.63</v>
      </c>
      <c r="N189" s="63">
        <f t="shared" si="24"/>
        <v>107.34</v>
      </c>
      <c r="O189" s="63">
        <f t="shared" si="25"/>
        <v>112.74</v>
      </c>
    </row>
    <row r="190" spans="1:15" ht="15" customHeight="1">
      <c r="A190" s="87" t="s">
        <v>115</v>
      </c>
      <c r="B190" s="115">
        <f t="shared" si="27"/>
        <v>8.8999999999999996E-2</v>
      </c>
      <c r="C190" s="116">
        <v>3.5</v>
      </c>
      <c r="D190" s="117" t="s">
        <v>28</v>
      </c>
      <c r="E190" s="41" t="s">
        <v>137</v>
      </c>
      <c r="F190" s="118" t="s">
        <v>124</v>
      </c>
      <c r="G190" s="119">
        <v>11.922000000000001</v>
      </c>
      <c r="H190" s="120">
        <f t="shared" si="19"/>
        <v>143.06</v>
      </c>
      <c r="I190" s="68">
        <f t="shared" si="28"/>
        <v>158.91999999999999</v>
      </c>
      <c r="J190" s="120">
        <f t="shared" si="21"/>
        <v>166.91</v>
      </c>
      <c r="K190" s="121">
        <v>0.10001845358922323</v>
      </c>
      <c r="L190" s="63">
        <f t="shared" si="22"/>
        <v>137.13</v>
      </c>
      <c r="M190" s="63">
        <f t="shared" si="23"/>
        <v>95.37</v>
      </c>
      <c r="N190" s="63">
        <f t="shared" si="24"/>
        <v>105.95</v>
      </c>
      <c r="O190" s="63">
        <f t="shared" si="25"/>
        <v>111.27</v>
      </c>
    </row>
    <row r="191" spans="1:15" ht="15" customHeight="1">
      <c r="A191" s="87" t="s">
        <v>115</v>
      </c>
      <c r="B191" s="115">
        <f t="shared" ref="B191:B237" si="29">ROUND(C191*0.0254,2)</f>
        <v>0.1</v>
      </c>
      <c r="C191" s="116">
        <v>4</v>
      </c>
      <c r="D191" s="117" t="s">
        <v>28</v>
      </c>
      <c r="E191" s="41" t="s">
        <v>137</v>
      </c>
      <c r="F191" s="118" t="s">
        <v>124</v>
      </c>
      <c r="G191" s="119">
        <v>11.63</v>
      </c>
      <c r="H191" s="120">
        <f t="shared" ref="H191:H275" si="30">ROUND(G191*12,2)</f>
        <v>139.56</v>
      </c>
      <c r="I191" s="68">
        <f t="shared" si="28"/>
        <v>155.03</v>
      </c>
      <c r="J191" s="120">
        <f t="shared" ref="J191:J275" si="31">ROUND(G191*14,2)</f>
        <v>162.82</v>
      </c>
      <c r="K191" s="121">
        <v>9.9971625839402334E-2</v>
      </c>
      <c r="L191" s="63">
        <f t="shared" ref="L191:L275" si="32">ROUND(ROUND(ROUND(G191*12,2)*43/48,2)*1.07,2)</f>
        <v>133.77000000000001</v>
      </c>
      <c r="M191" s="63">
        <f t="shared" ref="M191:M275" si="33">ROUND(ROUND(G191*12,2)*2/3,2)</f>
        <v>93.04</v>
      </c>
      <c r="N191" s="63">
        <f t="shared" ref="N191:N275" si="34">ROUND(ROUND(G191*13.33,2)*2/3,2)</f>
        <v>103.35</v>
      </c>
      <c r="O191" s="63">
        <f t="shared" ref="O191:O275" si="35">ROUND(ROUND(G191*14,2)*2/3,2)</f>
        <v>108.55</v>
      </c>
    </row>
    <row r="192" spans="1:15" ht="15" customHeight="1">
      <c r="A192" s="87" t="s">
        <v>115</v>
      </c>
      <c r="B192" s="115">
        <f t="shared" si="29"/>
        <v>0.1</v>
      </c>
      <c r="C192" s="116">
        <v>4</v>
      </c>
      <c r="D192" s="117" t="s">
        <v>28</v>
      </c>
      <c r="E192" s="41" t="s">
        <v>137</v>
      </c>
      <c r="F192" s="118" t="s">
        <v>84</v>
      </c>
      <c r="G192" s="119">
        <v>11.609</v>
      </c>
      <c r="H192" s="120">
        <f t="shared" si="30"/>
        <v>139.31</v>
      </c>
      <c r="I192" s="68">
        <f t="shared" si="28"/>
        <v>154.75</v>
      </c>
      <c r="J192" s="120">
        <f t="shared" si="31"/>
        <v>162.53</v>
      </c>
      <c r="K192" s="121">
        <v>9.9962099677847194E-2</v>
      </c>
      <c r="L192" s="63">
        <f t="shared" si="32"/>
        <v>133.54</v>
      </c>
      <c r="M192" s="63">
        <f t="shared" si="33"/>
        <v>92.87</v>
      </c>
      <c r="N192" s="63">
        <f t="shared" si="34"/>
        <v>103.17</v>
      </c>
      <c r="O192" s="63">
        <f t="shared" si="35"/>
        <v>108.35</v>
      </c>
    </row>
    <row r="193" spans="1:15" ht="15" customHeight="1">
      <c r="A193" s="87" t="s">
        <v>115</v>
      </c>
      <c r="B193" s="115">
        <f t="shared" si="29"/>
        <v>0.1</v>
      </c>
      <c r="C193" s="116">
        <v>4</v>
      </c>
      <c r="D193" s="117" t="s">
        <v>28</v>
      </c>
      <c r="E193" s="41" t="s">
        <v>137</v>
      </c>
      <c r="F193" s="118" t="s">
        <v>97</v>
      </c>
      <c r="G193" s="119">
        <v>13.093999999999999</v>
      </c>
      <c r="H193" s="120">
        <f t="shared" si="30"/>
        <v>157.13</v>
      </c>
      <c r="I193" s="68">
        <f t="shared" si="28"/>
        <v>174.54</v>
      </c>
      <c r="J193" s="120">
        <f t="shared" si="31"/>
        <v>183.32</v>
      </c>
      <c r="K193" s="121">
        <v>9.9966397849462263E-2</v>
      </c>
      <c r="L193" s="63">
        <f t="shared" si="32"/>
        <v>150.61000000000001</v>
      </c>
      <c r="M193" s="63">
        <f t="shared" si="33"/>
        <v>104.75</v>
      </c>
      <c r="N193" s="63">
        <f t="shared" si="34"/>
        <v>116.36</v>
      </c>
      <c r="O193" s="63">
        <f t="shared" si="35"/>
        <v>122.21</v>
      </c>
    </row>
    <row r="194" spans="1:15" ht="15" customHeight="1">
      <c r="A194" s="87" t="s">
        <v>115</v>
      </c>
      <c r="B194" s="115">
        <f t="shared" si="29"/>
        <v>0.1</v>
      </c>
      <c r="C194" s="116">
        <v>4</v>
      </c>
      <c r="D194" s="117" t="s">
        <v>28</v>
      </c>
      <c r="E194" s="41" t="s">
        <v>137</v>
      </c>
      <c r="F194" s="118" t="s">
        <v>85</v>
      </c>
      <c r="G194" s="119">
        <v>13.114000000000001</v>
      </c>
      <c r="H194" s="120">
        <f t="shared" si="30"/>
        <v>157.37</v>
      </c>
      <c r="I194" s="68">
        <f t="shared" si="28"/>
        <v>174.81</v>
      </c>
      <c r="J194" s="120">
        <f t="shared" si="31"/>
        <v>183.6</v>
      </c>
      <c r="K194" s="121">
        <v>9.9983224291226414E-2</v>
      </c>
      <c r="L194" s="63">
        <f t="shared" si="32"/>
        <v>150.85</v>
      </c>
      <c r="M194" s="63">
        <f t="shared" si="33"/>
        <v>104.91</v>
      </c>
      <c r="N194" s="63">
        <f t="shared" si="34"/>
        <v>116.54</v>
      </c>
      <c r="O194" s="63">
        <f t="shared" si="35"/>
        <v>122.4</v>
      </c>
    </row>
    <row r="195" spans="1:15" ht="15" customHeight="1">
      <c r="A195" s="87" t="s">
        <v>115</v>
      </c>
      <c r="B195" s="115">
        <f t="shared" si="29"/>
        <v>0.11</v>
      </c>
      <c r="C195" s="116">
        <v>4.5</v>
      </c>
      <c r="D195" s="117" t="s">
        <v>28</v>
      </c>
      <c r="E195" s="41" t="s">
        <v>137</v>
      </c>
      <c r="F195" s="118" t="s">
        <v>84</v>
      </c>
      <c r="G195" s="119">
        <v>11.586</v>
      </c>
      <c r="H195" s="120">
        <f t="shared" si="30"/>
        <v>139.03</v>
      </c>
      <c r="I195" s="68">
        <f t="shared" si="28"/>
        <v>154.44</v>
      </c>
      <c r="J195" s="120">
        <f t="shared" si="31"/>
        <v>162.19999999999999</v>
      </c>
      <c r="K195" s="121">
        <v>9.9971518086015454E-2</v>
      </c>
      <c r="L195" s="63">
        <f t="shared" si="32"/>
        <v>133.27000000000001</v>
      </c>
      <c r="M195" s="63">
        <f t="shared" si="33"/>
        <v>92.69</v>
      </c>
      <c r="N195" s="63">
        <f t="shared" si="34"/>
        <v>102.96</v>
      </c>
      <c r="O195" s="63">
        <f t="shared" si="35"/>
        <v>108.13</v>
      </c>
    </row>
    <row r="196" spans="1:15" ht="15" customHeight="1">
      <c r="A196" s="87" t="s">
        <v>115</v>
      </c>
      <c r="B196" s="115">
        <f t="shared" si="29"/>
        <v>0.11</v>
      </c>
      <c r="C196" s="116">
        <v>4.5</v>
      </c>
      <c r="D196" s="117" t="s">
        <v>28</v>
      </c>
      <c r="E196" s="41" t="s">
        <v>137</v>
      </c>
      <c r="F196" s="118" t="s">
        <v>85</v>
      </c>
      <c r="G196" s="119">
        <v>13.265000000000001</v>
      </c>
      <c r="H196" s="120">
        <f t="shared" si="30"/>
        <v>159.18</v>
      </c>
      <c r="I196" s="68">
        <f t="shared" si="28"/>
        <v>176.82</v>
      </c>
      <c r="J196" s="120">
        <f t="shared" si="31"/>
        <v>185.71</v>
      </c>
      <c r="K196" s="121">
        <v>0.1000082925615724</v>
      </c>
      <c r="L196" s="63">
        <f t="shared" si="32"/>
        <v>152.58000000000001</v>
      </c>
      <c r="M196" s="63">
        <f t="shared" si="33"/>
        <v>106.12</v>
      </c>
      <c r="N196" s="63">
        <f t="shared" si="34"/>
        <v>117.88</v>
      </c>
      <c r="O196" s="63">
        <f t="shared" si="35"/>
        <v>123.81</v>
      </c>
    </row>
    <row r="197" spans="1:15" ht="15" customHeight="1">
      <c r="A197" s="87" t="s">
        <v>115</v>
      </c>
      <c r="B197" s="115">
        <f t="shared" si="29"/>
        <v>0.13</v>
      </c>
      <c r="C197" s="116">
        <v>5</v>
      </c>
      <c r="D197" s="117" t="s">
        <v>28</v>
      </c>
      <c r="E197" s="41" t="s">
        <v>137</v>
      </c>
      <c r="F197" s="118" t="s">
        <v>86</v>
      </c>
      <c r="G197" s="119">
        <v>13.13</v>
      </c>
      <c r="H197" s="120">
        <f t="shared" si="30"/>
        <v>157.56</v>
      </c>
      <c r="I197" s="68">
        <f t="shared" si="28"/>
        <v>175.02</v>
      </c>
      <c r="J197" s="120">
        <f t="shared" si="31"/>
        <v>183.82</v>
      </c>
      <c r="K197" s="121">
        <v>0.10003351206434319</v>
      </c>
      <c r="L197" s="63">
        <f t="shared" si="32"/>
        <v>151.03</v>
      </c>
      <c r="M197" s="63">
        <f t="shared" si="33"/>
        <v>105.04</v>
      </c>
      <c r="N197" s="63">
        <f t="shared" si="34"/>
        <v>116.68</v>
      </c>
      <c r="O197" s="63">
        <f t="shared" si="35"/>
        <v>122.55</v>
      </c>
    </row>
    <row r="198" spans="1:15" ht="15" customHeight="1">
      <c r="A198" s="87" t="s">
        <v>115</v>
      </c>
      <c r="B198" s="115">
        <f t="shared" si="29"/>
        <v>0.13</v>
      </c>
      <c r="C198" s="116">
        <v>5</v>
      </c>
      <c r="D198" s="117" t="s">
        <v>28</v>
      </c>
      <c r="E198" s="41" t="s">
        <v>137</v>
      </c>
      <c r="F198" s="118" t="s">
        <v>85</v>
      </c>
      <c r="G198" s="119">
        <v>13.606999999999999</v>
      </c>
      <c r="H198" s="120">
        <f t="shared" si="30"/>
        <v>163.28</v>
      </c>
      <c r="I198" s="68">
        <f t="shared" si="28"/>
        <v>181.38</v>
      </c>
      <c r="J198" s="120">
        <f t="shared" si="31"/>
        <v>190.5</v>
      </c>
      <c r="K198" s="121">
        <v>0.10000000000000009</v>
      </c>
      <c r="L198" s="63">
        <f t="shared" si="32"/>
        <v>156.51</v>
      </c>
      <c r="M198" s="63">
        <f t="shared" si="33"/>
        <v>108.85</v>
      </c>
      <c r="N198" s="63">
        <f t="shared" si="34"/>
        <v>120.92</v>
      </c>
      <c r="O198" s="63">
        <f t="shared" si="35"/>
        <v>127</v>
      </c>
    </row>
    <row r="199" spans="1:15" ht="15" customHeight="1">
      <c r="A199" s="87" t="s">
        <v>115</v>
      </c>
      <c r="B199" s="115">
        <f t="shared" si="29"/>
        <v>0.13</v>
      </c>
      <c r="C199" s="116">
        <v>5</v>
      </c>
      <c r="D199" s="117" t="s">
        <v>28</v>
      </c>
      <c r="E199" s="41" t="s">
        <v>137</v>
      </c>
      <c r="F199" s="118" t="s">
        <v>84</v>
      </c>
      <c r="G199" s="119">
        <v>11.611000000000001</v>
      </c>
      <c r="H199" s="120">
        <f t="shared" si="30"/>
        <v>139.33000000000001</v>
      </c>
      <c r="I199" s="68">
        <f t="shared" si="28"/>
        <v>154.77000000000001</v>
      </c>
      <c r="J199" s="120">
        <f t="shared" si="31"/>
        <v>162.55000000000001</v>
      </c>
      <c r="K199" s="121">
        <v>0.10004737091425864</v>
      </c>
      <c r="L199" s="63">
        <f t="shared" si="32"/>
        <v>133.56</v>
      </c>
      <c r="M199" s="63">
        <f t="shared" si="33"/>
        <v>92.89</v>
      </c>
      <c r="N199" s="63">
        <f t="shared" si="34"/>
        <v>103.18</v>
      </c>
      <c r="O199" s="63">
        <f t="shared" si="35"/>
        <v>108.37</v>
      </c>
    </row>
    <row r="200" spans="1:15" ht="15" customHeight="1">
      <c r="A200" s="87" t="s">
        <v>115</v>
      </c>
      <c r="B200" s="115">
        <f t="shared" si="29"/>
        <v>0.13</v>
      </c>
      <c r="C200" s="116">
        <v>5</v>
      </c>
      <c r="D200" s="117" t="s">
        <v>28</v>
      </c>
      <c r="E200" s="41" t="s">
        <v>137</v>
      </c>
      <c r="F200" s="118" t="s">
        <v>117</v>
      </c>
      <c r="G200" s="119">
        <v>13.672000000000001</v>
      </c>
      <c r="H200" s="120">
        <f t="shared" si="30"/>
        <v>164.06</v>
      </c>
      <c r="I200" s="68">
        <f t="shared" si="28"/>
        <v>182.25</v>
      </c>
      <c r="J200" s="120">
        <f t="shared" si="31"/>
        <v>191.41</v>
      </c>
      <c r="K200" s="121">
        <v>0.10000804569957356</v>
      </c>
      <c r="L200" s="63">
        <f t="shared" si="32"/>
        <v>157.26</v>
      </c>
      <c r="M200" s="63">
        <f t="shared" si="33"/>
        <v>109.37</v>
      </c>
      <c r="N200" s="63">
        <f t="shared" si="34"/>
        <v>121.5</v>
      </c>
      <c r="O200" s="63">
        <f t="shared" si="35"/>
        <v>127.61</v>
      </c>
    </row>
    <row r="201" spans="1:15" ht="15" customHeight="1">
      <c r="A201" s="87" t="s">
        <v>115</v>
      </c>
      <c r="B201" s="115">
        <f t="shared" si="29"/>
        <v>0.15</v>
      </c>
      <c r="C201" s="116">
        <v>6</v>
      </c>
      <c r="D201" s="117" t="s">
        <v>28</v>
      </c>
      <c r="E201" s="41" t="s">
        <v>137</v>
      </c>
      <c r="F201" s="118" t="s">
        <v>93</v>
      </c>
      <c r="G201" s="119">
        <v>11.922000000000001</v>
      </c>
      <c r="H201" s="120">
        <f t="shared" si="30"/>
        <v>143.06</v>
      </c>
      <c r="I201" s="68">
        <f t="shared" si="28"/>
        <v>158.91999999999999</v>
      </c>
      <c r="J201" s="120">
        <f t="shared" si="31"/>
        <v>166.91</v>
      </c>
      <c r="K201" s="121">
        <v>0.10001845358922323</v>
      </c>
      <c r="L201" s="63">
        <f t="shared" si="32"/>
        <v>137.13</v>
      </c>
      <c r="M201" s="63">
        <f t="shared" si="33"/>
        <v>95.37</v>
      </c>
      <c r="N201" s="63">
        <f t="shared" si="34"/>
        <v>105.95</v>
      </c>
      <c r="O201" s="63">
        <f t="shared" si="35"/>
        <v>111.27</v>
      </c>
    </row>
    <row r="202" spans="1:15" ht="15" customHeight="1">
      <c r="A202" s="87" t="s">
        <v>115</v>
      </c>
      <c r="B202" s="115">
        <f t="shared" si="29"/>
        <v>0.15</v>
      </c>
      <c r="C202" s="116">
        <v>6</v>
      </c>
      <c r="D202" s="117" t="s">
        <v>28</v>
      </c>
      <c r="E202" s="41" t="s">
        <v>137</v>
      </c>
      <c r="F202" s="118" t="s">
        <v>86</v>
      </c>
      <c r="G202" s="119">
        <v>13.129</v>
      </c>
      <c r="H202" s="120">
        <f t="shared" si="30"/>
        <v>157.55000000000001</v>
      </c>
      <c r="I202" s="68">
        <f t="shared" si="28"/>
        <v>175.01</v>
      </c>
      <c r="J202" s="120">
        <f t="shared" si="31"/>
        <v>183.81</v>
      </c>
      <c r="K202" s="121">
        <v>0.10004189359028071</v>
      </c>
      <c r="L202" s="63">
        <f t="shared" si="32"/>
        <v>151.02000000000001</v>
      </c>
      <c r="M202" s="63">
        <f t="shared" si="33"/>
        <v>105.03</v>
      </c>
      <c r="N202" s="63">
        <f t="shared" si="34"/>
        <v>116.67</v>
      </c>
      <c r="O202" s="63">
        <f t="shared" si="35"/>
        <v>122.54</v>
      </c>
    </row>
    <row r="203" spans="1:15" ht="15" customHeight="1">
      <c r="A203" s="87" t="s">
        <v>115</v>
      </c>
      <c r="B203" s="115">
        <f t="shared" si="29"/>
        <v>0.15</v>
      </c>
      <c r="C203" s="116">
        <v>6</v>
      </c>
      <c r="D203" s="117" t="s">
        <v>28</v>
      </c>
      <c r="E203" s="41" t="s">
        <v>137</v>
      </c>
      <c r="F203" s="118" t="s">
        <v>125</v>
      </c>
      <c r="G203" s="119">
        <v>13.288</v>
      </c>
      <c r="H203" s="120">
        <f t="shared" si="30"/>
        <v>159.46</v>
      </c>
      <c r="I203" s="68">
        <f t="shared" si="28"/>
        <v>177.13</v>
      </c>
      <c r="J203" s="120">
        <f t="shared" si="31"/>
        <v>186.03</v>
      </c>
      <c r="K203" s="121">
        <v>0.10000000000000009</v>
      </c>
      <c r="L203" s="63">
        <f t="shared" si="32"/>
        <v>152.85</v>
      </c>
      <c r="M203" s="63">
        <f t="shared" si="33"/>
        <v>106.31</v>
      </c>
      <c r="N203" s="63">
        <f t="shared" si="34"/>
        <v>118.09</v>
      </c>
      <c r="O203" s="63">
        <f t="shared" si="35"/>
        <v>124.02</v>
      </c>
    </row>
    <row r="204" spans="1:15" ht="15" customHeight="1">
      <c r="A204" s="87" t="s">
        <v>115</v>
      </c>
      <c r="B204" s="115">
        <f t="shared" si="29"/>
        <v>0.15</v>
      </c>
      <c r="C204" s="116">
        <v>6</v>
      </c>
      <c r="D204" s="117" t="s">
        <v>28</v>
      </c>
      <c r="E204" s="41" t="s">
        <v>137</v>
      </c>
      <c r="F204" s="118" t="s">
        <v>117</v>
      </c>
      <c r="G204" s="119">
        <v>13.747</v>
      </c>
      <c r="H204" s="120">
        <f t="shared" si="30"/>
        <v>164.96</v>
      </c>
      <c r="I204" s="68">
        <f t="shared" si="28"/>
        <v>183.25</v>
      </c>
      <c r="J204" s="120">
        <f t="shared" si="31"/>
        <v>192.46</v>
      </c>
      <c r="K204" s="121">
        <v>0.10002400576138282</v>
      </c>
      <c r="L204" s="63">
        <f t="shared" si="32"/>
        <v>158.12</v>
      </c>
      <c r="M204" s="63">
        <f t="shared" si="33"/>
        <v>109.97</v>
      </c>
      <c r="N204" s="63">
        <f t="shared" si="34"/>
        <v>122.17</v>
      </c>
      <c r="O204" s="63">
        <f t="shared" si="35"/>
        <v>128.31</v>
      </c>
    </row>
    <row r="205" spans="1:15" ht="15" customHeight="1">
      <c r="A205" s="87" t="s">
        <v>115</v>
      </c>
      <c r="B205" s="115">
        <f t="shared" si="29"/>
        <v>0.18</v>
      </c>
      <c r="C205" s="116">
        <v>7</v>
      </c>
      <c r="D205" s="117" t="s">
        <v>28</v>
      </c>
      <c r="E205" s="41" t="s">
        <v>137</v>
      </c>
      <c r="F205" s="118" t="s">
        <v>126</v>
      </c>
      <c r="G205" s="119">
        <v>14.115</v>
      </c>
      <c r="H205" s="120">
        <f t="shared" si="30"/>
        <v>169.38</v>
      </c>
      <c r="I205" s="68">
        <f t="shared" si="28"/>
        <v>188.15</v>
      </c>
      <c r="J205" s="120">
        <f t="shared" si="31"/>
        <v>197.61</v>
      </c>
      <c r="K205" s="121">
        <v>9.9984413965087171E-2</v>
      </c>
      <c r="L205" s="63">
        <f t="shared" si="32"/>
        <v>162.36000000000001</v>
      </c>
      <c r="M205" s="63">
        <f t="shared" si="33"/>
        <v>112.92</v>
      </c>
      <c r="N205" s="63">
        <f t="shared" si="34"/>
        <v>125.43</v>
      </c>
      <c r="O205" s="63">
        <f t="shared" si="35"/>
        <v>131.74</v>
      </c>
    </row>
    <row r="206" spans="1:15" ht="15" customHeight="1">
      <c r="A206" s="87" t="s">
        <v>115</v>
      </c>
      <c r="B206" s="115">
        <f t="shared" si="29"/>
        <v>0.2</v>
      </c>
      <c r="C206" s="116">
        <v>8</v>
      </c>
      <c r="D206" s="117" t="s">
        <v>28</v>
      </c>
      <c r="E206" s="41" t="s">
        <v>137</v>
      </c>
      <c r="F206" s="118" t="s">
        <v>126</v>
      </c>
      <c r="G206" s="119">
        <v>13.54</v>
      </c>
      <c r="H206" s="120">
        <f t="shared" si="30"/>
        <v>162.47999999999999</v>
      </c>
      <c r="I206" s="68">
        <f t="shared" si="28"/>
        <v>180.49</v>
      </c>
      <c r="J206" s="120">
        <f t="shared" si="31"/>
        <v>189.56</v>
      </c>
      <c r="K206" s="121">
        <v>0.10000812413681048</v>
      </c>
      <c r="L206" s="63">
        <f t="shared" si="32"/>
        <v>155.75</v>
      </c>
      <c r="M206" s="63">
        <f t="shared" si="33"/>
        <v>108.32</v>
      </c>
      <c r="N206" s="63">
        <f t="shared" si="34"/>
        <v>120.33</v>
      </c>
      <c r="O206" s="63">
        <f t="shared" si="35"/>
        <v>126.37</v>
      </c>
    </row>
    <row r="207" spans="1:15" ht="15" customHeight="1">
      <c r="A207" s="87" t="s">
        <v>115</v>
      </c>
      <c r="B207" s="115">
        <f t="shared" si="29"/>
        <v>0.2</v>
      </c>
      <c r="C207" s="116">
        <v>8</v>
      </c>
      <c r="D207" s="117" t="s">
        <v>28</v>
      </c>
      <c r="E207" s="41" t="s">
        <v>137</v>
      </c>
      <c r="F207" s="118" t="s">
        <v>89</v>
      </c>
      <c r="G207" s="119">
        <v>13.529</v>
      </c>
      <c r="H207" s="120">
        <f t="shared" si="30"/>
        <v>162.35</v>
      </c>
      <c r="I207" s="68">
        <f t="shared" si="28"/>
        <v>180.34</v>
      </c>
      <c r="J207" s="120">
        <f t="shared" si="31"/>
        <v>189.41</v>
      </c>
      <c r="K207" s="121">
        <v>0.10000813074233683</v>
      </c>
      <c r="L207" s="63">
        <f t="shared" si="32"/>
        <v>155.62</v>
      </c>
      <c r="M207" s="63">
        <f t="shared" si="33"/>
        <v>108.23</v>
      </c>
      <c r="N207" s="63">
        <f t="shared" si="34"/>
        <v>120.23</v>
      </c>
      <c r="O207" s="63">
        <f t="shared" si="35"/>
        <v>126.27</v>
      </c>
    </row>
    <row r="208" spans="1:15" ht="15" customHeight="1">
      <c r="A208" s="87" t="s">
        <v>115</v>
      </c>
      <c r="B208" s="115">
        <f t="shared" si="29"/>
        <v>0.23</v>
      </c>
      <c r="C208" s="116">
        <v>9</v>
      </c>
      <c r="D208" s="117" t="s">
        <v>28</v>
      </c>
      <c r="E208" s="41" t="s">
        <v>137</v>
      </c>
      <c r="F208" s="118" t="s">
        <v>89</v>
      </c>
      <c r="G208" s="119">
        <v>13.529</v>
      </c>
      <c r="H208" s="120">
        <f t="shared" si="30"/>
        <v>162.35</v>
      </c>
      <c r="I208" s="68">
        <f t="shared" si="28"/>
        <v>180.34</v>
      </c>
      <c r="J208" s="120">
        <f t="shared" si="31"/>
        <v>189.41</v>
      </c>
      <c r="K208" s="121">
        <v>0.10000813074233683</v>
      </c>
      <c r="L208" s="63">
        <f t="shared" si="32"/>
        <v>155.62</v>
      </c>
      <c r="M208" s="63">
        <f t="shared" si="33"/>
        <v>108.23</v>
      </c>
      <c r="N208" s="63">
        <f t="shared" si="34"/>
        <v>120.23</v>
      </c>
      <c r="O208" s="63">
        <f t="shared" si="35"/>
        <v>126.27</v>
      </c>
    </row>
    <row r="209" spans="1:15" ht="15" customHeight="1">
      <c r="A209" s="87" t="s">
        <v>118</v>
      </c>
      <c r="B209" s="115">
        <f t="shared" si="29"/>
        <v>0.23</v>
      </c>
      <c r="C209" s="116">
        <v>9</v>
      </c>
      <c r="D209" s="117" t="s">
        <v>28</v>
      </c>
      <c r="E209" s="41" t="s">
        <v>137</v>
      </c>
      <c r="F209" s="118" t="s">
        <v>127</v>
      </c>
      <c r="G209" s="119">
        <v>16.321000000000002</v>
      </c>
      <c r="H209" s="120">
        <f t="shared" si="30"/>
        <v>195.85</v>
      </c>
      <c r="I209" s="68">
        <f t="shared" si="28"/>
        <v>217.56</v>
      </c>
      <c r="J209" s="120">
        <f t="shared" si="31"/>
        <v>228.49</v>
      </c>
      <c r="K209" s="121">
        <v>0.10002021972096786</v>
      </c>
      <c r="L209" s="63">
        <f t="shared" si="32"/>
        <v>187.73</v>
      </c>
      <c r="M209" s="63">
        <f t="shared" si="33"/>
        <v>130.57</v>
      </c>
      <c r="N209" s="63">
        <f t="shared" si="34"/>
        <v>145.04</v>
      </c>
      <c r="O209" s="63">
        <f t="shared" si="35"/>
        <v>152.33000000000001</v>
      </c>
    </row>
    <row r="210" spans="1:15" ht="15" customHeight="1">
      <c r="A210" s="87" t="s">
        <v>115</v>
      </c>
      <c r="B210" s="115">
        <f t="shared" si="29"/>
        <v>0.25</v>
      </c>
      <c r="C210" s="116">
        <v>10</v>
      </c>
      <c r="D210" s="117" t="s">
        <v>28</v>
      </c>
      <c r="E210" s="41" t="s">
        <v>137</v>
      </c>
      <c r="F210" s="118" t="s">
        <v>89</v>
      </c>
      <c r="G210" s="119">
        <v>13.529</v>
      </c>
      <c r="H210" s="120">
        <f t="shared" si="30"/>
        <v>162.35</v>
      </c>
      <c r="I210" s="68">
        <f t="shared" si="28"/>
        <v>180.34</v>
      </c>
      <c r="J210" s="120">
        <f t="shared" si="31"/>
        <v>189.41</v>
      </c>
      <c r="K210" s="121">
        <v>0.10000813074233683</v>
      </c>
      <c r="L210" s="63">
        <f t="shared" si="32"/>
        <v>155.62</v>
      </c>
      <c r="M210" s="63">
        <f t="shared" si="33"/>
        <v>108.23</v>
      </c>
      <c r="N210" s="63">
        <f t="shared" si="34"/>
        <v>120.23</v>
      </c>
      <c r="O210" s="63">
        <f t="shared" si="35"/>
        <v>126.27</v>
      </c>
    </row>
    <row r="211" spans="1:15" ht="15" customHeight="1">
      <c r="A211" s="87" t="s">
        <v>115</v>
      </c>
      <c r="B211" s="115">
        <f t="shared" si="29"/>
        <v>0.3</v>
      </c>
      <c r="C211" s="116">
        <v>12</v>
      </c>
      <c r="D211" s="117" t="s">
        <v>28</v>
      </c>
      <c r="E211" s="41" t="s">
        <v>137</v>
      </c>
      <c r="F211" s="118" t="s">
        <v>99</v>
      </c>
      <c r="G211" s="119">
        <v>14.452</v>
      </c>
      <c r="H211" s="120">
        <f t="shared" si="30"/>
        <v>173.42</v>
      </c>
      <c r="I211" s="68">
        <f t="shared" si="28"/>
        <v>192.65</v>
      </c>
      <c r="J211" s="120">
        <f t="shared" si="31"/>
        <v>202.33</v>
      </c>
      <c r="K211" s="121">
        <v>0.100015223017202</v>
      </c>
      <c r="L211" s="63">
        <f t="shared" si="32"/>
        <v>166.24</v>
      </c>
      <c r="M211" s="63">
        <f t="shared" si="33"/>
        <v>115.61</v>
      </c>
      <c r="N211" s="63">
        <f t="shared" si="34"/>
        <v>128.43</v>
      </c>
      <c r="O211" s="63">
        <f t="shared" si="35"/>
        <v>134.88999999999999</v>
      </c>
    </row>
    <row r="212" spans="1:15" ht="15" customHeight="1">
      <c r="A212" s="87" t="s">
        <v>115</v>
      </c>
      <c r="B212" s="115">
        <f t="shared" si="29"/>
        <v>0.3</v>
      </c>
      <c r="C212" s="116">
        <v>12</v>
      </c>
      <c r="D212" s="117" t="s">
        <v>28</v>
      </c>
      <c r="E212" s="41" t="s">
        <v>137</v>
      </c>
      <c r="F212" s="118" t="s">
        <v>128</v>
      </c>
      <c r="G212" s="119">
        <v>16.143000000000001</v>
      </c>
      <c r="H212" s="120">
        <f t="shared" si="30"/>
        <v>193.72</v>
      </c>
      <c r="I212" s="68">
        <f t="shared" si="28"/>
        <v>215.19</v>
      </c>
      <c r="J212" s="120">
        <f t="shared" si="31"/>
        <v>226</v>
      </c>
      <c r="K212" s="121">
        <v>0.10003407155025545</v>
      </c>
      <c r="L212" s="63">
        <f t="shared" si="32"/>
        <v>185.69</v>
      </c>
      <c r="M212" s="63">
        <f t="shared" si="33"/>
        <v>129.15</v>
      </c>
      <c r="N212" s="63">
        <f t="shared" si="34"/>
        <v>143.46</v>
      </c>
      <c r="O212" s="63">
        <f t="shared" si="35"/>
        <v>150.66999999999999</v>
      </c>
    </row>
    <row r="213" spans="1:15" ht="15" customHeight="1">
      <c r="A213" s="87" t="s">
        <v>115</v>
      </c>
      <c r="B213" s="115">
        <f t="shared" si="29"/>
        <v>0.3</v>
      </c>
      <c r="C213" s="116">
        <v>12</v>
      </c>
      <c r="D213" s="117" t="s">
        <v>28</v>
      </c>
      <c r="E213" s="41" t="s">
        <v>137</v>
      </c>
      <c r="F213" s="118" t="s">
        <v>90</v>
      </c>
      <c r="G213" s="119">
        <v>15.69</v>
      </c>
      <c r="H213" s="120">
        <f t="shared" si="30"/>
        <v>188.28</v>
      </c>
      <c r="I213" s="68">
        <f t="shared" si="28"/>
        <v>209.15</v>
      </c>
      <c r="J213" s="120">
        <f t="shared" si="31"/>
        <v>219.66</v>
      </c>
      <c r="K213" s="121">
        <v>9.9971957375210252E-2</v>
      </c>
      <c r="L213" s="63">
        <f t="shared" si="32"/>
        <v>180.48</v>
      </c>
      <c r="M213" s="63">
        <f t="shared" si="33"/>
        <v>125.52</v>
      </c>
      <c r="N213" s="63">
        <f t="shared" si="34"/>
        <v>139.43</v>
      </c>
      <c r="O213" s="63">
        <f t="shared" si="35"/>
        <v>146.44</v>
      </c>
    </row>
    <row r="214" spans="1:15" ht="15" customHeight="1">
      <c r="A214" s="87" t="s">
        <v>115</v>
      </c>
      <c r="B214" s="115">
        <f t="shared" si="29"/>
        <v>0.33</v>
      </c>
      <c r="C214" s="116">
        <v>13</v>
      </c>
      <c r="D214" s="117" t="s">
        <v>28</v>
      </c>
      <c r="E214" s="41" t="s">
        <v>137</v>
      </c>
      <c r="F214" s="118" t="s">
        <v>90</v>
      </c>
      <c r="G214" s="119">
        <v>16.53</v>
      </c>
      <c r="H214" s="120">
        <f t="shared" si="30"/>
        <v>198.36</v>
      </c>
      <c r="I214" s="68">
        <f t="shared" si="28"/>
        <v>220.34</v>
      </c>
      <c r="J214" s="120">
        <f t="shared" si="31"/>
        <v>231.42</v>
      </c>
      <c r="K214" s="121">
        <v>0.10001996406468372</v>
      </c>
      <c r="L214" s="63">
        <f t="shared" si="32"/>
        <v>190.14</v>
      </c>
      <c r="M214" s="63">
        <f t="shared" si="33"/>
        <v>132.24</v>
      </c>
      <c r="N214" s="63">
        <f t="shared" si="34"/>
        <v>146.88999999999999</v>
      </c>
      <c r="O214" s="63">
        <f t="shared" si="35"/>
        <v>154.28</v>
      </c>
    </row>
    <row r="215" spans="1:15" ht="15" customHeight="1">
      <c r="A215" s="87" t="s">
        <v>115</v>
      </c>
      <c r="B215" s="115">
        <f t="shared" si="29"/>
        <v>0.36</v>
      </c>
      <c r="C215" s="116">
        <v>14</v>
      </c>
      <c r="D215" s="117" t="s">
        <v>28</v>
      </c>
      <c r="E215" s="41" t="s">
        <v>137</v>
      </c>
      <c r="F215" s="118" t="s">
        <v>100</v>
      </c>
      <c r="G215" s="119">
        <v>14.930999999999999</v>
      </c>
      <c r="H215" s="120">
        <f t="shared" si="30"/>
        <v>179.17</v>
      </c>
      <c r="I215" s="68">
        <f t="shared" si="28"/>
        <v>199.03</v>
      </c>
      <c r="J215" s="120">
        <f t="shared" si="31"/>
        <v>209.03</v>
      </c>
      <c r="K215" s="121">
        <v>9.9970531899219006E-2</v>
      </c>
      <c r="L215" s="63">
        <f t="shared" si="32"/>
        <v>171.75</v>
      </c>
      <c r="M215" s="63">
        <f t="shared" si="33"/>
        <v>119.45</v>
      </c>
      <c r="N215" s="63">
        <f t="shared" si="34"/>
        <v>132.69</v>
      </c>
      <c r="O215" s="63">
        <f t="shared" si="35"/>
        <v>139.35</v>
      </c>
    </row>
    <row r="216" spans="1:15" ht="15" customHeight="1">
      <c r="A216" s="87" t="s">
        <v>115</v>
      </c>
      <c r="B216" s="115">
        <f t="shared" si="29"/>
        <v>0.36</v>
      </c>
      <c r="C216" s="116">
        <v>14</v>
      </c>
      <c r="D216" s="117" t="s">
        <v>28</v>
      </c>
      <c r="E216" s="41" t="s">
        <v>137</v>
      </c>
      <c r="F216" s="118" t="s">
        <v>90</v>
      </c>
      <c r="G216" s="119">
        <v>16.53</v>
      </c>
      <c r="H216" s="120">
        <f t="shared" si="30"/>
        <v>198.36</v>
      </c>
      <c r="I216" s="68">
        <f t="shared" si="28"/>
        <v>220.34</v>
      </c>
      <c r="J216" s="120">
        <f t="shared" si="31"/>
        <v>231.42</v>
      </c>
      <c r="K216" s="121">
        <v>0.10001996406468372</v>
      </c>
      <c r="L216" s="63">
        <f t="shared" si="32"/>
        <v>190.14</v>
      </c>
      <c r="M216" s="63">
        <f t="shared" si="33"/>
        <v>132.24</v>
      </c>
      <c r="N216" s="63">
        <f t="shared" si="34"/>
        <v>146.88999999999999</v>
      </c>
      <c r="O216" s="63">
        <f t="shared" si="35"/>
        <v>154.28</v>
      </c>
    </row>
    <row r="217" spans="1:15" ht="15" customHeight="1">
      <c r="A217" s="87" t="s">
        <v>115</v>
      </c>
      <c r="B217" s="115">
        <f t="shared" si="29"/>
        <v>0.38</v>
      </c>
      <c r="C217" s="116">
        <v>15</v>
      </c>
      <c r="D217" s="117" t="s">
        <v>28</v>
      </c>
      <c r="E217" s="41" t="s">
        <v>137</v>
      </c>
      <c r="F217" s="118" t="s">
        <v>90</v>
      </c>
      <c r="G217" s="119">
        <v>16.169</v>
      </c>
      <c r="H217" s="120">
        <f t="shared" si="30"/>
        <v>194.03</v>
      </c>
      <c r="I217" s="68">
        <f t="shared" si="28"/>
        <v>215.53</v>
      </c>
      <c r="J217" s="120">
        <f t="shared" si="31"/>
        <v>226.37</v>
      </c>
      <c r="K217" s="121">
        <v>0.1000068031838901</v>
      </c>
      <c r="L217" s="63">
        <f t="shared" si="32"/>
        <v>185.99</v>
      </c>
      <c r="M217" s="63">
        <f t="shared" si="33"/>
        <v>129.35</v>
      </c>
      <c r="N217" s="63">
        <f t="shared" si="34"/>
        <v>143.69</v>
      </c>
      <c r="O217" s="63">
        <f t="shared" si="35"/>
        <v>150.91</v>
      </c>
    </row>
    <row r="218" spans="1:15" ht="15" customHeight="1">
      <c r="A218" s="87" t="s">
        <v>115</v>
      </c>
      <c r="B218" s="115">
        <f t="shared" si="29"/>
        <v>0.41</v>
      </c>
      <c r="C218" s="116">
        <v>16</v>
      </c>
      <c r="D218" s="117" t="s">
        <v>28</v>
      </c>
      <c r="E218" s="41" t="s">
        <v>137</v>
      </c>
      <c r="F218" s="118" t="s">
        <v>100</v>
      </c>
      <c r="G218" s="119">
        <v>14.794</v>
      </c>
      <c r="H218" s="120">
        <f t="shared" si="30"/>
        <v>177.53</v>
      </c>
      <c r="I218" s="68">
        <f t="shared" si="28"/>
        <v>197.2</v>
      </c>
      <c r="J218" s="120">
        <f t="shared" si="31"/>
        <v>207.12</v>
      </c>
      <c r="K218" s="121">
        <v>0.10000743549706304</v>
      </c>
      <c r="L218" s="63">
        <f t="shared" si="32"/>
        <v>170.17</v>
      </c>
      <c r="M218" s="63">
        <f t="shared" si="33"/>
        <v>118.35</v>
      </c>
      <c r="N218" s="63">
        <f t="shared" si="34"/>
        <v>131.47</v>
      </c>
      <c r="O218" s="63">
        <f t="shared" si="35"/>
        <v>138.08000000000001</v>
      </c>
    </row>
    <row r="219" spans="1:15" ht="15" customHeight="1">
      <c r="A219" s="87" t="s">
        <v>115</v>
      </c>
      <c r="B219" s="115">
        <f t="shared" si="29"/>
        <v>0.41</v>
      </c>
      <c r="C219" s="116">
        <v>16</v>
      </c>
      <c r="D219" s="117" t="s">
        <v>28</v>
      </c>
      <c r="E219" s="41" t="s">
        <v>137</v>
      </c>
      <c r="F219" s="118" t="s">
        <v>129</v>
      </c>
      <c r="G219" s="119">
        <v>18.202000000000002</v>
      </c>
      <c r="H219" s="120">
        <f t="shared" si="30"/>
        <v>218.42</v>
      </c>
      <c r="I219" s="68">
        <f t="shared" si="28"/>
        <v>242.63</v>
      </c>
      <c r="J219" s="120">
        <f t="shared" si="31"/>
        <v>254.83</v>
      </c>
      <c r="K219" s="121">
        <v>0.10001813017465411</v>
      </c>
      <c r="L219" s="63">
        <f t="shared" si="32"/>
        <v>209.37</v>
      </c>
      <c r="M219" s="63">
        <f t="shared" si="33"/>
        <v>145.61000000000001</v>
      </c>
      <c r="N219" s="63">
        <f t="shared" si="34"/>
        <v>161.75</v>
      </c>
      <c r="O219" s="63">
        <f t="shared" si="35"/>
        <v>169.89</v>
      </c>
    </row>
    <row r="220" spans="1:15" ht="15" customHeight="1">
      <c r="A220" s="87" t="s">
        <v>115</v>
      </c>
      <c r="B220" s="115">
        <f t="shared" si="29"/>
        <v>0.46</v>
      </c>
      <c r="C220" s="116">
        <v>18</v>
      </c>
      <c r="D220" s="117" t="s">
        <v>28</v>
      </c>
      <c r="E220" s="41" t="s">
        <v>137</v>
      </c>
      <c r="F220" s="118" t="s">
        <v>108</v>
      </c>
      <c r="G220" s="119">
        <v>17.303999999999998</v>
      </c>
      <c r="H220" s="120">
        <f t="shared" si="30"/>
        <v>207.65</v>
      </c>
      <c r="I220" s="68">
        <f t="shared" si="28"/>
        <v>230.66</v>
      </c>
      <c r="J220" s="120">
        <f t="shared" si="31"/>
        <v>242.26</v>
      </c>
      <c r="K220" s="121">
        <v>9.9993643125039666E-2</v>
      </c>
      <c r="L220" s="63">
        <f t="shared" si="32"/>
        <v>199.04</v>
      </c>
      <c r="M220" s="63">
        <f t="shared" si="33"/>
        <v>138.43</v>
      </c>
      <c r="N220" s="63">
        <f t="shared" si="34"/>
        <v>153.77000000000001</v>
      </c>
      <c r="O220" s="63">
        <f t="shared" si="35"/>
        <v>161.51</v>
      </c>
    </row>
    <row r="221" spans="1:15" ht="15" customHeight="1">
      <c r="A221" s="87" t="s">
        <v>115</v>
      </c>
      <c r="B221" s="115">
        <f t="shared" si="29"/>
        <v>0.46</v>
      </c>
      <c r="C221" s="116">
        <v>18</v>
      </c>
      <c r="D221" s="117" t="s">
        <v>28</v>
      </c>
      <c r="E221" s="41" t="s">
        <v>137</v>
      </c>
      <c r="F221" s="118" t="s">
        <v>129</v>
      </c>
      <c r="G221" s="119">
        <v>18.248999999999999</v>
      </c>
      <c r="H221" s="120">
        <f t="shared" si="30"/>
        <v>218.99</v>
      </c>
      <c r="I221" s="68">
        <f t="shared" si="28"/>
        <v>243.26</v>
      </c>
      <c r="J221" s="120">
        <f t="shared" si="31"/>
        <v>255.49</v>
      </c>
      <c r="K221" s="121">
        <v>9.9999999999999867E-2</v>
      </c>
      <c r="L221" s="63">
        <f t="shared" si="32"/>
        <v>209.91</v>
      </c>
      <c r="M221" s="63">
        <f t="shared" si="33"/>
        <v>145.99</v>
      </c>
      <c r="N221" s="63">
        <f t="shared" si="34"/>
        <v>162.16999999999999</v>
      </c>
      <c r="O221" s="63">
        <f t="shared" si="35"/>
        <v>170.33</v>
      </c>
    </row>
    <row r="222" spans="1:15" ht="15" customHeight="1">
      <c r="A222" s="87" t="s">
        <v>115</v>
      </c>
      <c r="B222" s="115">
        <f t="shared" si="29"/>
        <v>0.51</v>
      </c>
      <c r="C222" s="116">
        <v>20</v>
      </c>
      <c r="D222" s="117" t="s">
        <v>28</v>
      </c>
      <c r="E222" s="41" t="s">
        <v>137</v>
      </c>
      <c r="F222" s="118" t="s">
        <v>108</v>
      </c>
      <c r="G222" s="119">
        <v>17.042000000000002</v>
      </c>
      <c r="H222" s="120">
        <f t="shared" si="30"/>
        <v>204.5</v>
      </c>
      <c r="I222" s="68">
        <f t="shared" si="28"/>
        <v>227.17</v>
      </c>
      <c r="J222" s="120">
        <f t="shared" si="31"/>
        <v>238.59</v>
      </c>
      <c r="K222" s="121">
        <v>9.9980636416446167E-2</v>
      </c>
      <c r="L222" s="63">
        <f t="shared" si="32"/>
        <v>196.02</v>
      </c>
      <c r="M222" s="63">
        <f t="shared" si="33"/>
        <v>136.33000000000001</v>
      </c>
      <c r="N222" s="63">
        <f t="shared" si="34"/>
        <v>151.44999999999999</v>
      </c>
      <c r="O222" s="63">
        <f t="shared" si="35"/>
        <v>159.06</v>
      </c>
    </row>
    <row r="223" spans="1:15" ht="15" customHeight="1">
      <c r="A223" s="87" t="s">
        <v>115</v>
      </c>
      <c r="B223" s="115">
        <f t="shared" si="29"/>
        <v>0.51</v>
      </c>
      <c r="C223" s="116">
        <v>20</v>
      </c>
      <c r="D223" s="117" t="s">
        <v>28</v>
      </c>
      <c r="E223" s="41" t="s">
        <v>137</v>
      </c>
      <c r="F223" s="118" t="s">
        <v>91</v>
      </c>
      <c r="G223" s="119">
        <v>18.376999999999999</v>
      </c>
      <c r="H223" s="120">
        <f t="shared" si="30"/>
        <v>220.52</v>
      </c>
      <c r="I223" s="68">
        <f t="shared" si="28"/>
        <v>244.97</v>
      </c>
      <c r="J223" s="120">
        <f t="shared" si="31"/>
        <v>257.27999999999997</v>
      </c>
      <c r="K223" s="121">
        <v>0.10002394349335564</v>
      </c>
      <c r="L223" s="63">
        <f t="shared" si="32"/>
        <v>211.38</v>
      </c>
      <c r="M223" s="63">
        <f t="shared" si="33"/>
        <v>147.01</v>
      </c>
      <c r="N223" s="63">
        <f t="shared" si="34"/>
        <v>163.31</v>
      </c>
      <c r="O223" s="63">
        <f t="shared" si="35"/>
        <v>171.52</v>
      </c>
    </row>
    <row r="224" spans="1:15" ht="15" customHeight="1">
      <c r="A224" s="87" t="s">
        <v>115</v>
      </c>
      <c r="B224" s="115">
        <f t="shared" si="29"/>
        <v>0.53</v>
      </c>
      <c r="C224" s="116">
        <v>21</v>
      </c>
      <c r="D224" s="117" t="s">
        <v>28</v>
      </c>
      <c r="E224" s="41" t="s">
        <v>137</v>
      </c>
      <c r="F224" s="118" t="s">
        <v>91</v>
      </c>
      <c r="G224" s="119">
        <v>19.777000000000001</v>
      </c>
      <c r="H224" s="120">
        <f t="shared" si="30"/>
        <v>237.32</v>
      </c>
      <c r="I224" s="68">
        <f t="shared" si="28"/>
        <v>263.63</v>
      </c>
      <c r="J224" s="120">
        <f t="shared" si="31"/>
        <v>276.88</v>
      </c>
      <c r="K224" s="121">
        <v>0.10000556204460764</v>
      </c>
      <c r="L224" s="63">
        <f t="shared" si="32"/>
        <v>227.48</v>
      </c>
      <c r="M224" s="63">
        <f t="shared" si="33"/>
        <v>158.21</v>
      </c>
      <c r="N224" s="63">
        <f t="shared" si="34"/>
        <v>175.75</v>
      </c>
      <c r="O224" s="63">
        <f t="shared" si="35"/>
        <v>184.59</v>
      </c>
    </row>
    <row r="225" spans="1:15" ht="15" customHeight="1">
      <c r="A225" s="87" t="s">
        <v>115</v>
      </c>
      <c r="B225" s="115">
        <f t="shared" si="29"/>
        <v>0.61</v>
      </c>
      <c r="C225" s="116">
        <v>24</v>
      </c>
      <c r="D225" s="117" t="s">
        <v>28</v>
      </c>
      <c r="E225" s="41" t="s">
        <v>137</v>
      </c>
      <c r="F225" s="118" t="s">
        <v>94</v>
      </c>
      <c r="G225" s="119">
        <v>17.241</v>
      </c>
      <c r="H225" s="120">
        <f t="shared" si="30"/>
        <v>206.89</v>
      </c>
      <c r="I225" s="68">
        <f t="shared" si="28"/>
        <v>229.82</v>
      </c>
      <c r="J225" s="120">
        <f t="shared" si="31"/>
        <v>241.37</v>
      </c>
      <c r="K225" s="121">
        <v>9.9974480030623925E-2</v>
      </c>
      <c r="L225" s="63">
        <f t="shared" si="32"/>
        <v>198.31</v>
      </c>
      <c r="M225" s="63">
        <f t="shared" si="33"/>
        <v>137.93</v>
      </c>
      <c r="N225" s="63">
        <f t="shared" si="34"/>
        <v>153.21</v>
      </c>
      <c r="O225" s="63">
        <f t="shared" si="35"/>
        <v>160.91</v>
      </c>
    </row>
    <row r="226" spans="1:15" ht="15" customHeight="1">
      <c r="A226" s="87" t="s">
        <v>115</v>
      </c>
      <c r="B226" s="115">
        <f t="shared" si="29"/>
        <v>0.61</v>
      </c>
      <c r="C226" s="116">
        <v>24</v>
      </c>
      <c r="D226" s="117" t="s">
        <v>28</v>
      </c>
      <c r="E226" s="41" t="s">
        <v>137</v>
      </c>
      <c r="F226" s="118" t="s">
        <v>88</v>
      </c>
      <c r="G226" s="119">
        <v>21.486999999999998</v>
      </c>
      <c r="H226" s="120">
        <f t="shared" si="30"/>
        <v>257.83999999999997</v>
      </c>
      <c r="I226" s="68">
        <f t="shared" si="28"/>
        <v>286.42</v>
      </c>
      <c r="J226" s="120">
        <f t="shared" si="31"/>
        <v>300.82</v>
      </c>
      <c r="K226" s="121">
        <v>9.9979522883178129E-2</v>
      </c>
      <c r="L226" s="63">
        <f t="shared" si="32"/>
        <v>247.15</v>
      </c>
      <c r="M226" s="63">
        <f t="shared" si="33"/>
        <v>171.89</v>
      </c>
      <c r="N226" s="63">
        <f t="shared" si="34"/>
        <v>190.95</v>
      </c>
      <c r="O226" s="63">
        <f t="shared" si="35"/>
        <v>200.55</v>
      </c>
    </row>
    <row r="227" spans="1:15" ht="15" customHeight="1">
      <c r="A227" s="87" t="s">
        <v>115</v>
      </c>
      <c r="B227" s="115">
        <f t="shared" si="29"/>
        <v>0.61</v>
      </c>
      <c r="C227" s="116">
        <v>24</v>
      </c>
      <c r="D227" s="117" t="s">
        <v>28</v>
      </c>
      <c r="E227" s="41" t="s">
        <v>137</v>
      </c>
      <c r="F227" s="118" t="s">
        <v>108</v>
      </c>
      <c r="G227" s="119">
        <v>19.349</v>
      </c>
      <c r="H227" s="120">
        <f t="shared" si="30"/>
        <v>232.19</v>
      </c>
      <c r="I227" s="68">
        <f t="shared" si="28"/>
        <v>257.92</v>
      </c>
      <c r="J227" s="120">
        <f t="shared" si="31"/>
        <v>270.89</v>
      </c>
      <c r="K227" s="121">
        <v>0.10000000000000009</v>
      </c>
      <c r="L227" s="63">
        <f t="shared" si="32"/>
        <v>222.56</v>
      </c>
      <c r="M227" s="63">
        <f t="shared" si="33"/>
        <v>154.79</v>
      </c>
      <c r="N227" s="63">
        <f t="shared" si="34"/>
        <v>171.95</v>
      </c>
      <c r="O227" s="63">
        <f t="shared" si="35"/>
        <v>180.59</v>
      </c>
    </row>
    <row r="228" spans="1:15" ht="15" customHeight="1">
      <c r="A228" s="87" t="s">
        <v>115</v>
      </c>
      <c r="B228" s="115">
        <f t="shared" si="29"/>
        <v>0.71</v>
      </c>
      <c r="C228" s="116">
        <v>28</v>
      </c>
      <c r="D228" s="117" t="s">
        <v>28</v>
      </c>
      <c r="E228" s="41" t="s">
        <v>137</v>
      </c>
      <c r="F228" s="118" t="s">
        <v>131</v>
      </c>
      <c r="G228" s="119">
        <v>23.245000000000001</v>
      </c>
      <c r="H228" s="120">
        <f t="shared" si="30"/>
        <v>278.94</v>
      </c>
      <c r="I228" s="68">
        <f t="shared" si="28"/>
        <v>309.86</v>
      </c>
      <c r="J228" s="120">
        <f t="shared" si="31"/>
        <v>325.43</v>
      </c>
      <c r="K228" s="121">
        <v>9.9990535680484438E-2</v>
      </c>
      <c r="L228" s="63">
        <f t="shared" si="32"/>
        <v>267.37</v>
      </c>
      <c r="M228" s="63">
        <f t="shared" si="33"/>
        <v>185.96</v>
      </c>
      <c r="N228" s="63">
        <f t="shared" si="34"/>
        <v>206.57</v>
      </c>
      <c r="O228" s="63">
        <f t="shared" si="35"/>
        <v>216.95</v>
      </c>
    </row>
    <row r="229" spans="1:15" ht="15" customHeight="1">
      <c r="A229" s="87" t="s">
        <v>115</v>
      </c>
      <c r="B229" s="115">
        <f t="shared" si="29"/>
        <v>0.76</v>
      </c>
      <c r="C229" s="116">
        <v>30</v>
      </c>
      <c r="D229" s="117" t="s">
        <v>28</v>
      </c>
      <c r="E229" s="41" t="s">
        <v>137</v>
      </c>
      <c r="F229" s="118" t="s">
        <v>101</v>
      </c>
      <c r="G229" s="119">
        <v>20.071999999999999</v>
      </c>
      <c r="H229" s="120">
        <f t="shared" si="30"/>
        <v>240.86</v>
      </c>
      <c r="I229" s="68">
        <f t="shared" si="28"/>
        <v>267.56</v>
      </c>
      <c r="J229" s="120">
        <f t="shared" si="31"/>
        <v>281.01</v>
      </c>
      <c r="K229" s="121">
        <v>0.10001644105880425</v>
      </c>
      <c r="L229" s="63">
        <f t="shared" si="32"/>
        <v>230.87</v>
      </c>
      <c r="M229" s="63">
        <f t="shared" si="33"/>
        <v>160.57</v>
      </c>
      <c r="N229" s="63">
        <f t="shared" si="34"/>
        <v>178.37</v>
      </c>
      <c r="O229" s="63">
        <f t="shared" si="35"/>
        <v>187.34</v>
      </c>
    </row>
    <row r="230" spans="1:15" ht="15" customHeight="1">
      <c r="A230" s="87" t="s">
        <v>115</v>
      </c>
      <c r="B230" s="115">
        <f t="shared" si="29"/>
        <v>0.79</v>
      </c>
      <c r="C230" s="116">
        <v>31</v>
      </c>
      <c r="D230" s="117" t="s">
        <v>28</v>
      </c>
      <c r="E230" s="41" t="s">
        <v>137</v>
      </c>
      <c r="F230" s="118" t="s">
        <v>101</v>
      </c>
      <c r="G230" s="119">
        <v>21.062999999999999</v>
      </c>
      <c r="H230" s="120">
        <f t="shared" si="30"/>
        <v>252.76</v>
      </c>
      <c r="I230" s="68">
        <f t="shared" si="28"/>
        <v>280.77</v>
      </c>
      <c r="J230" s="120">
        <f t="shared" si="31"/>
        <v>294.88</v>
      </c>
      <c r="K230" s="121">
        <v>0.10001044495508671</v>
      </c>
      <c r="L230" s="63">
        <f t="shared" si="32"/>
        <v>242.28</v>
      </c>
      <c r="M230" s="63">
        <f t="shared" si="33"/>
        <v>168.51</v>
      </c>
      <c r="N230" s="63">
        <f t="shared" si="34"/>
        <v>187.18</v>
      </c>
      <c r="O230" s="63">
        <f t="shared" si="35"/>
        <v>196.59</v>
      </c>
    </row>
    <row r="231" spans="1:15" ht="15" customHeight="1">
      <c r="A231" s="87" t="s">
        <v>115</v>
      </c>
      <c r="B231" s="115">
        <f t="shared" si="29"/>
        <v>0.86</v>
      </c>
      <c r="C231" s="116">
        <v>34</v>
      </c>
      <c r="D231" s="117" t="s">
        <v>28</v>
      </c>
      <c r="E231" s="41" t="s">
        <v>137</v>
      </c>
      <c r="F231" s="118" t="s">
        <v>132</v>
      </c>
      <c r="G231" s="119">
        <v>27.873999999999999</v>
      </c>
      <c r="H231" s="120">
        <f t="shared" si="30"/>
        <v>334.49</v>
      </c>
      <c r="I231" s="68">
        <f t="shared" si="28"/>
        <v>371.56</v>
      </c>
      <c r="J231" s="120">
        <f t="shared" si="31"/>
        <v>390.24</v>
      </c>
      <c r="K231" s="121">
        <v>9.9999999999999867E-2</v>
      </c>
      <c r="L231" s="63">
        <f t="shared" si="32"/>
        <v>320.63</v>
      </c>
      <c r="M231" s="63">
        <f t="shared" si="33"/>
        <v>222.99</v>
      </c>
      <c r="N231" s="63">
        <f t="shared" si="34"/>
        <v>247.71</v>
      </c>
      <c r="O231" s="63">
        <f t="shared" si="35"/>
        <v>260.16000000000003</v>
      </c>
    </row>
    <row r="232" spans="1:15" ht="15" customHeight="1">
      <c r="A232" s="87" t="s">
        <v>115</v>
      </c>
      <c r="B232" s="115">
        <f t="shared" si="29"/>
        <v>0.89</v>
      </c>
      <c r="C232" s="116">
        <v>35</v>
      </c>
      <c r="D232" s="117" t="s">
        <v>28</v>
      </c>
      <c r="E232" s="41" t="s">
        <v>137</v>
      </c>
      <c r="F232" s="118" t="s">
        <v>133</v>
      </c>
      <c r="G232" s="119">
        <v>29.663</v>
      </c>
      <c r="H232" s="120">
        <f t="shared" si="30"/>
        <v>355.96</v>
      </c>
      <c r="I232" s="68">
        <f t="shared" si="28"/>
        <v>395.41</v>
      </c>
      <c r="J232" s="120">
        <f t="shared" si="31"/>
        <v>415.28</v>
      </c>
      <c r="K232" s="121">
        <v>0.1000148334940294</v>
      </c>
      <c r="L232" s="63">
        <f t="shared" si="32"/>
        <v>341.2</v>
      </c>
      <c r="M232" s="63">
        <f t="shared" si="33"/>
        <v>237.31</v>
      </c>
      <c r="N232" s="63">
        <f t="shared" si="34"/>
        <v>263.61</v>
      </c>
      <c r="O232" s="63">
        <f t="shared" si="35"/>
        <v>276.85000000000002</v>
      </c>
    </row>
    <row r="233" spans="1:15" ht="15" customHeight="1">
      <c r="A233" s="87" t="s">
        <v>115</v>
      </c>
      <c r="B233" s="115">
        <f t="shared" si="29"/>
        <v>0.89</v>
      </c>
      <c r="C233" s="116">
        <v>35</v>
      </c>
      <c r="D233" s="117" t="s">
        <v>28</v>
      </c>
      <c r="E233" s="41" t="s">
        <v>137</v>
      </c>
      <c r="F233" s="118" t="s">
        <v>96</v>
      </c>
      <c r="G233" s="119">
        <v>21.733000000000001</v>
      </c>
      <c r="H233" s="120">
        <f t="shared" si="30"/>
        <v>260.8</v>
      </c>
      <c r="I233" s="68">
        <f t="shared" si="28"/>
        <v>289.7</v>
      </c>
      <c r="J233" s="120">
        <f t="shared" si="31"/>
        <v>304.26</v>
      </c>
      <c r="K233" s="121">
        <v>0.10001518449157265</v>
      </c>
      <c r="L233" s="63">
        <f t="shared" si="32"/>
        <v>249.98</v>
      </c>
      <c r="M233" s="63">
        <f t="shared" si="33"/>
        <v>173.87</v>
      </c>
      <c r="N233" s="63">
        <f t="shared" si="34"/>
        <v>193.13</v>
      </c>
      <c r="O233" s="63">
        <f t="shared" si="35"/>
        <v>202.84</v>
      </c>
    </row>
    <row r="234" spans="1:15" ht="15" customHeight="1">
      <c r="A234" s="87" t="s">
        <v>115</v>
      </c>
      <c r="B234" s="115">
        <f t="shared" si="29"/>
        <v>0.99</v>
      </c>
      <c r="C234" s="116">
        <v>39</v>
      </c>
      <c r="D234" s="117" t="s">
        <v>28</v>
      </c>
      <c r="E234" s="41" t="s">
        <v>137</v>
      </c>
      <c r="F234" s="118" t="s">
        <v>134</v>
      </c>
      <c r="G234" s="119">
        <v>30.218</v>
      </c>
      <c r="H234" s="120">
        <f t="shared" si="30"/>
        <v>362.62</v>
      </c>
      <c r="I234" s="68">
        <f t="shared" si="28"/>
        <v>402.81</v>
      </c>
      <c r="J234" s="120">
        <f t="shared" si="31"/>
        <v>423.05</v>
      </c>
      <c r="K234" s="121">
        <v>9.9996359797604795E-2</v>
      </c>
      <c r="L234" s="63">
        <f t="shared" si="32"/>
        <v>347.59</v>
      </c>
      <c r="M234" s="63">
        <f t="shared" si="33"/>
        <v>241.75</v>
      </c>
      <c r="N234" s="63">
        <f t="shared" si="34"/>
        <v>268.54000000000002</v>
      </c>
      <c r="O234" s="63">
        <f t="shared" si="35"/>
        <v>282.02999999999997</v>
      </c>
    </row>
    <row r="235" spans="1:15" ht="15" customHeight="1">
      <c r="A235" s="87" t="s">
        <v>115</v>
      </c>
      <c r="B235" s="115">
        <f t="shared" si="29"/>
        <v>1.17</v>
      </c>
      <c r="C235" s="116">
        <v>46</v>
      </c>
      <c r="D235" s="117" t="s">
        <v>28</v>
      </c>
      <c r="E235" s="41" t="s">
        <v>137</v>
      </c>
      <c r="F235" s="118" t="s">
        <v>102</v>
      </c>
      <c r="G235" s="119">
        <v>24.568999999999999</v>
      </c>
      <c r="H235" s="120">
        <f t="shared" si="30"/>
        <v>294.83</v>
      </c>
      <c r="I235" s="68">
        <f t="shared" si="28"/>
        <v>327.5</v>
      </c>
      <c r="J235" s="120">
        <f t="shared" si="31"/>
        <v>343.97</v>
      </c>
      <c r="K235" s="121">
        <v>0.10002238638907546</v>
      </c>
      <c r="L235" s="63">
        <f t="shared" si="32"/>
        <v>282.61</v>
      </c>
      <c r="M235" s="63">
        <f t="shared" si="33"/>
        <v>196.55</v>
      </c>
      <c r="N235" s="63">
        <f t="shared" si="34"/>
        <v>218.33</v>
      </c>
      <c r="O235" s="63">
        <f t="shared" si="35"/>
        <v>229.31</v>
      </c>
    </row>
    <row r="236" spans="1:15" ht="15" customHeight="1">
      <c r="A236" s="87" t="s">
        <v>115</v>
      </c>
      <c r="B236" s="115">
        <f t="shared" si="29"/>
        <v>1.22</v>
      </c>
      <c r="C236" s="116">
        <v>48</v>
      </c>
      <c r="D236" s="117" t="s">
        <v>28</v>
      </c>
      <c r="E236" s="41" t="s">
        <v>137</v>
      </c>
      <c r="F236" s="118" t="s">
        <v>135</v>
      </c>
      <c r="G236" s="119">
        <v>34.043999999999997</v>
      </c>
      <c r="H236" s="120">
        <f t="shared" si="30"/>
        <v>408.53</v>
      </c>
      <c r="I236" s="68">
        <f t="shared" si="28"/>
        <v>453.81</v>
      </c>
      <c r="J236" s="120">
        <f t="shared" si="31"/>
        <v>476.62</v>
      </c>
      <c r="K236" s="121">
        <v>0.10000323112216858</v>
      </c>
      <c r="L236" s="63">
        <f t="shared" si="32"/>
        <v>391.59</v>
      </c>
      <c r="M236" s="63">
        <f t="shared" si="33"/>
        <v>272.35000000000002</v>
      </c>
      <c r="N236" s="63">
        <f t="shared" si="34"/>
        <v>302.54000000000002</v>
      </c>
      <c r="O236" s="63">
        <f t="shared" si="35"/>
        <v>317.75</v>
      </c>
    </row>
    <row r="237" spans="1:15" ht="15" customHeight="1">
      <c r="A237" s="87" t="s">
        <v>115</v>
      </c>
      <c r="B237" s="115">
        <f t="shared" si="29"/>
        <v>2.08</v>
      </c>
      <c r="C237" s="116">
        <v>82</v>
      </c>
      <c r="D237" s="125" t="s">
        <v>28</v>
      </c>
      <c r="E237" s="41" t="s">
        <v>137</v>
      </c>
      <c r="F237" s="118" t="s">
        <v>136</v>
      </c>
      <c r="G237" s="119">
        <v>38.982999999999997</v>
      </c>
      <c r="H237" s="120">
        <f t="shared" si="30"/>
        <v>467.8</v>
      </c>
      <c r="I237" s="68">
        <f t="shared" si="28"/>
        <v>519.64</v>
      </c>
      <c r="J237" s="120">
        <f t="shared" si="31"/>
        <v>545.76</v>
      </c>
      <c r="K237" s="121">
        <v>0.10000282175004926</v>
      </c>
      <c r="L237" s="63">
        <f t="shared" si="32"/>
        <v>448.4</v>
      </c>
      <c r="M237" s="63">
        <f t="shared" si="33"/>
        <v>311.87</v>
      </c>
      <c r="N237" s="63">
        <f t="shared" si="34"/>
        <v>346.43</v>
      </c>
      <c r="O237" s="63">
        <f t="shared" si="35"/>
        <v>363.84</v>
      </c>
    </row>
    <row r="238" spans="1:15" ht="15" customHeight="1">
      <c r="A238" s="87" t="s">
        <v>115</v>
      </c>
      <c r="B238" s="115">
        <f>ROUND(C238*0.0254,3)</f>
        <v>6.4000000000000001E-2</v>
      </c>
      <c r="C238" s="116">
        <v>2.5</v>
      </c>
      <c r="D238" s="117" t="s">
        <v>138</v>
      </c>
      <c r="E238" s="41" t="s">
        <v>139</v>
      </c>
      <c r="F238" s="130" t="s">
        <v>122</v>
      </c>
      <c r="G238" s="131">
        <v>17.661999999999999</v>
      </c>
      <c r="H238" s="120">
        <f t="shared" si="30"/>
        <v>211.94</v>
      </c>
      <c r="I238" s="68">
        <f t="shared" si="28"/>
        <v>235.43</v>
      </c>
      <c r="J238" s="120">
        <f t="shared" si="31"/>
        <v>247.27</v>
      </c>
      <c r="K238" s="121"/>
      <c r="L238" s="63">
        <f t="shared" si="32"/>
        <v>203.15</v>
      </c>
      <c r="M238" s="63">
        <f t="shared" si="33"/>
        <v>141.29</v>
      </c>
      <c r="N238" s="63">
        <f t="shared" si="34"/>
        <v>156.94999999999999</v>
      </c>
      <c r="O238" s="63">
        <f t="shared" si="35"/>
        <v>164.85</v>
      </c>
    </row>
    <row r="239" spans="1:15" ht="15" customHeight="1">
      <c r="A239" s="87" t="s">
        <v>115</v>
      </c>
      <c r="B239" s="115">
        <f t="shared" ref="B239:B242" si="36">ROUND(C239*0.0254,3)</f>
        <v>7.5999999999999998E-2</v>
      </c>
      <c r="C239" s="116">
        <v>3</v>
      </c>
      <c r="D239" s="117" t="s">
        <v>138</v>
      </c>
      <c r="E239" s="41" t="s">
        <v>139</v>
      </c>
      <c r="F239" s="130" t="s">
        <v>140</v>
      </c>
      <c r="G239" s="131">
        <v>21.841999999999999</v>
      </c>
      <c r="H239" s="120">
        <f t="shared" si="30"/>
        <v>262.10000000000002</v>
      </c>
      <c r="I239" s="68">
        <f t="shared" si="28"/>
        <v>291.14999999999998</v>
      </c>
      <c r="J239" s="120">
        <f t="shared" si="31"/>
        <v>305.79000000000002</v>
      </c>
      <c r="K239" s="121"/>
      <c r="L239" s="63">
        <f t="shared" si="32"/>
        <v>251.24</v>
      </c>
      <c r="M239" s="63">
        <f t="shared" si="33"/>
        <v>174.73</v>
      </c>
      <c r="N239" s="63">
        <f t="shared" si="34"/>
        <v>194.1</v>
      </c>
      <c r="O239" s="63">
        <f t="shared" si="35"/>
        <v>203.86</v>
      </c>
    </row>
    <row r="240" spans="1:15" ht="15" customHeight="1">
      <c r="A240" s="87" t="s">
        <v>115</v>
      </c>
      <c r="B240" s="115">
        <f t="shared" si="36"/>
        <v>7.5999999999999998E-2</v>
      </c>
      <c r="C240" s="116">
        <v>3</v>
      </c>
      <c r="D240" s="117" t="s">
        <v>138</v>
      </c>
      <c r="E240" s="41" t="s">
        <v>139</v>
      </c>
      <c r="F240" s="130" t="s">
        <v>122</v>
      </c>
      <c r="G240" s="131">
        <v>18.643999999999998</v>
      </c>
      <c r="H240" s="120">
        <f t="shared" si="30"/>
        <v>223.73</v>
      </c>
      <c r="I240" s="68">
        <f t="shared" si="28"/>
        <v>248.52</v>
      </c>
      <c r="J240" s="120">
        <f t="shared" si="31"/>
        <v>261.02</v>
      </c>
      <c r="K240" s="121"/>
      <c r="L240" s="63">
        <f t="shared" si="32"/>
        <v>214.45</v>
      </c>
      <c r="M240" s="63">
        <f t="shared" si="33"/>
        <v>149.15</v>
      </c>
      <c r="N240" s="63">
        <f t="shared" si="34"/>
        <v>165.68</v>
      </c>
      <c r="O240" s="63">
        <f t="shared" si="35"/>
        <v>174.01</v>
      </c>
    </row>
    <row r="241" spans="1:15" ht="15" customHeight="1">
      <c r="A241" s="87" t="s">
        <v>115</v>
      </c>
      <c r="B241" s="115">
        <f t="shared" si="36"/>
        <v>7.5999999999999998E-2</v>
      </c>
      <c r="C241" s="116">
        <v>3</v>
      </c>
      <c r="D241" s="117" t="s">
        <v>138</v>
      </c>
      <c r="E241" s="41" t="s">
        <v>139</v>
      </c>
      <c r="F241" s="130" t="s">
        <v>81</v>
      </c>
      <c r="G241" s="131">
        <v>17.974</v>
      </c>
      <c r="H241" s="120">
        <f t="shared" si="30"/>
        <v>215.69</v>
      </c>
      <c r="I241" s="68">
        <f t="shared" si="28"/>
        <v>239.59</v>
      </c>
      <c r="J241" s="120">
        <f t="shared" si="31"/>
        <v>251.64</v>
      </c>
      <c r="K241" s="121"/>
      <c r="L241" s="63">
        <f t="shared" si="32"/>
        <v>206.75</v>
      </c>
      <c r="M241" s="63">
        <f t="shared" si="33"/>
        <v>143.79</v>
      </c>
      <c r="N241" s="63">
        <f t="shared" si="34"/>
        <v>159.72999999999999</v>
      </c>
      <c r="O241" s="63">
        <f t="shared" si="35"/>
        <v>167.76</v>
      </c>
    </row>
    <row r="242" spans="1:15" ht="15" customHeight="1">
      <c r="A242" s="87" t="s">
        <v>115</v>
      </c>
      <c r="B242" s="115">
        <f t="shared" si="36"/>
        <v>8.8999999999999996E-2</v>
      </c>
      <c r="C242" s="116">
        <v>3.5</v>
      </c>
      <c r="D242" s="117" t="s">
        <v>138</v>
      </c>
      <c r="E242" s="41" t="s">
        <v>139</v>
      </c>
      <c r="F242" s="130" t="s">
        <v>83</v>
      </c>
      <c r="G242" s="131">
        <v>17.873999999999999</v>
      </c>
      <c r="H242" s="120">
        <f t="shared" si="30"/>
        <v>214.49</v>
      </c>
      <c r="I242" s="68">
        <f t="shared" si="28"/>
        <v>238.26</v>
      </c>
      <c r="J242" s="120">
        <f t="shared" si="31"/>
        <v>250.24</v>
      </c>
      <c r="K242" s="121"/>
      <c r="L242" s="63">
        <f t="shared" si="32"/>
        <v>205.6</v>
      </c>
      <c r="M242" s="63">
        <f t="shared" si="33"/>
        <v>142.99</v>
      </c>
      <c r="N242" s="63">
        <f t="shared" si="34"/>
        <v>158.84</v>
      </c>
      <c r="O242" s="63">
        <f t="shared" si="35"/>
        <v>166.83</v>
      </c>
    </row>
    <row r="243" spans="1:15" ht="15" customHeight="1">
      <c r="A243" s="87" t="s">
        <v>115</v>
      </c>
      <c r="B243" s="115">
        <f>ROUND(C243*0.0254,3)</f>
        <v>8.8999999999999996E-2</v>
      </c>
      <c r="C243" s="116">
        <v>3.5</v>
      </c>
      <c r="D243" s="117" t="s">
        <v>68</v>
      </c>
      <c r="E243" s="41" t="s">
        <v>139</v>
      </c>
      <c r="F243" s="130" t="s">
        <v>92</v>
      </c>
      <c r="G243" s="131">
        <v>18.512</v>
      </c>
      <c r="H243" s="120">
        <f t="shared" si="30"/>
        <v>222.14</v>
      </c>
      <c r="I243" s="68">
        <f t="shared" si="28"/>
        <v>246.76</v>
      </c>
      <c r="J243" s="120">
        <f t="shared" si="31"/>
        <v>259.17</v>
      </c>
      <c r="K243" s="121"/>
      <c r="L243" s="63">
        <f t="shared" si="32"/>
        <v>212.93</v>
      </c>
      <c r="M243" s="63">
        <f t="shared" si="33"/>
        <v>148.09</v>
      </c>
      <c r="N243" s="63">
        <f t="shared" si="34"/>
        <v>164.51</v>
      </c>
      <c r="O243" s="63">
        <f t="shared" si="35"/>
        <v>172.78</v>
      </c>
    </row>
    <row r="244" spans="1:15" ht="15" customHeight="1">
      <c r="A244" s="87" t="s">
        <v>115</v>
      </c>
      <c r="B244" s="115">
        <f t="shared" ref="B244:B258" si="37">ROUND(C244*0.0254,2)</f>
        <v>0.1</v>
      </c>
      <c r="C244" s="132">
        <v>4</v>
      </c>
      <c r="D244" s="117" t="s">
        <v>138</v>
      </c>
      <c r="E244" s="41" t="s">
        <v>139</v>
      </c>
      <c r="F244" s="130" t="s">
        <v>84</v>
      </c>
      <c r="G244" s="131">
        <v>17.873999999999999</v>
      </c>
      <c r="H244" s="120">
        <f t="shared" si="30"/>
        <v>214.49</v>
      </c>
      <c r="I244" s="68">
        <f t="shared" si="28"/>
        <v>238.26</v>
      </c>
      <c r="J244" s="120">
        <f t="shared" si="31"/>
        <v>250.24</v>
      </c>
      <c r="K244" s="121"/>
      <c r="L244" s="63">
        <f t="shared" si="32"/>
        <v>205.6</v>
      </c>
      <c r="M244" s="63">
        <f t="shared" si="33"/>
        <v>142.99</v>
      </c>
      <c r="N244" s="63">
        <f t="shared" si="34"/>
        <v>158.84</v>
      </c>
      <c r="O244" s="63">
        <f t="shared" si="35"/>
        <v>166.83</v>
      </c>
    </row>
    <row r="245" spans="1:15" ht="15" customHeight="1">
      <c r="A245" s="87" t="s">
        <v>115</v>
      </c>
      <c r="B245" s="115">
        <f t="shared" si="37"/>
        <v>0.1</v>
      </c>
      <c r="C245" s="132">
        <v>4</v>
      </c>
      <c r="D245" s="117" t="s">
        <v>138</v>
      </c>
      <c r="E245" s="41" t="s">
        <v>139</v>
      </c>
      <c r="F245" s="130" t="s">
        <v>97</v>
      </c>
      <c r="G245" s="131">
        <v>19.338999999999999</v>
      </c>
      <c r="H245" s="120">
        <f t="shared" si="30"/>
        <v>232.07</v>
      </c>
      <c r="I245" s="68">
        <f t="shared" si="28"/>
        <v>257.79000000000002</v>
      </c>
      <c r="J245" s="120">
        <f t="shared" si="31"/>
        <v>270.75</v>
      </c>
      <c r="K245" s="121"/>
      <c r="L245" s="63">
        <f t="shared" si="32"/>
        <v>222.45</v>
      </c>
      <c r="M245" s="63">
        <f t="shared" si="33"/>
        <v>154.71</v>
      </c>
      <c r="N245" s="63">
        <f t="shared" si="34"/>
        <v>171.86</v>
      </c>
      <c r="O245" s="63">
        <f t="shared" si="35"/>
        <v>180.5</v>
      </c>
    </row>
    <row r="246" spans="1:15" ht="15" customHeight="1">
      <c r="A246" s="87" t="s">
        <v>118</v>
      </c>
      <c r="B246" s="115">
        <f t="shared" si="37"/>
        <v>0.1</v>
      </c>
      <c r="C246" s="116">
        <v>4</v>
      </c>
      <c r="D246" s="117" t="s">
        <v>138</v>
      </c>
      <c r="E246" s="41" t="s">
        <v>139</v>
      </c>
      <c r="F246" s="133" t="s">
        <v>85</v>
      </c>
      <c r="G246" s="122">
        <v>20.741</v>
      </c>
      <c r="H246" s="120">
        <f t="shared" si="30"/>
        <v>248.89</v>
      </c>
      <c r="I246" s="68">
        <f t="shared" si="28"/>
        <v>276.48</v>
      </c>
      <c r="J246" s="120">
        <f t="shared" si="31"/>
        <v>290.37</v>
      </c>
      <c r="K246" s="121"/>
      <c r="L246" s="63">
        <f t="shared" si="32"/>
        <v>238.57</v>
      </c>
      <c r="M246" s="63">
        <f t="shared" si="33"/>
        <v>165.93</v>
      </c>
      <c r="N246" s="63">
        <f t="shared" si="34"/>
        <v>184.32</v>
      </c>
      <c r="O246" s="63">
        <f t="shared" si="35"/>
        <v>193.58</v>
      </c>
    </row>
    <row r="247" spans="1:15" ht="15" customHeight="1">
      <c r="A247" s="87" t="s">
        <v>115</v>
      </c>
      <c r="B247" s="115">
        <f t="shared" si="37"/>
        <v>0.11</v>
      </c>
      <c r="C247" s="116">
        <v>4.5</v>
      </c>
      <c r="D247" s="117" t="s">
        <v>138</v>
      </c>
      <c r="E247" s="41" t="s">
        <v>139</v>
      </c>
      <c r="F247" s="130" t="s">
        <v>84</v>
      </c>
      <c r="G247" s="131">
        <v>18.183</v>
      </c>
      <c r="H247" s="120">
        <f t="shared" si="30"/>
        <v>218.2</v>
      </c>
      <c r="I247" s="68">
        <f t="shared" si="28"/>
        <v>242.38</v>
      </c>
      <c r="J247" s="120">
        <f t="shared" si="31"/>
        <v>254.56</v>
      </c>
      <c r="K247" s="121"/>
      <c r="L247" s="63">
        <f t="shared" si="32"/>
        <v>209.15</v>
      </c>
      <c r="M247" s="63">
        <f t="shared" si="33"/>
        <v>145.47</v>
      </c>
      <c r="N247" s="63">
        <f t="shared" si="34"/>
        <v>161.59</v>
      </c>
      <c r="O247" s="63">
        <f t="shared" si="35"/>
        <v>169.71</v>
      </c>
    </row>
    <row r="248" spans="1:15" ht="15" customHeight="1">
      <c r="A248" s="87" t="s">
        <v>115</v>
      </c>
      <c r="B248" s="115">
        <f t="shared" si="37"/>
        <v>0.11</v>
      </c>
      <c r="C248" s="116">
        <v>4.5</v>
      </c>
      <c r="D248" s="117" t="s">
        <v>138</v>
      </c>
      <c r="E248" s="41" t="s">
        <v>139</v>
      </c>
      <c r="F248" s="130" t="s">
        <v>85</v>
      </c>
      <c r="G248" s="131">
        <v>19.454000000000001</v>
      </c>
      <c r="H248" s="120">
        <f t="shared" si="30"/>
        <v>233.45</v>
      </c>
      <c r="I248" s="68">
        <f t="shared" si="28"/>
        <v>259.32</v>
      </c>
      <c r="J248" s="120">
        <f t="shared" si="31"/>
        <v>272.36</v>
      </c>
      <c r="K248" s="121"/>
      <c r="L248" s="63">
        <f t="shared" si="32"/>
        <v>223.77</v>
      </c>
      <c r="M248" s="63">
        <f t="shared" si="33"/>
        <v>155.63</v>
      </c>
      <c r="N248" s="63">
        <f t="shared" si="34"/>
        <v>172.88</v>
      </c>
      <c r="O248" s="63">
        <f t="shared" si="35"/>
        <v>181.57</v>
      </c>
    </row>
    <row r="249" spans="1:15" ht="15" customHeight="1">
      <c r="A249" s="87" t="s">
        <v>115</v>
      </c>
      <c r="B249" s="115">
        <f t="shared" si="37"/>
        <v>0.13</v>
      </c>
      <c r="C249" s="116">
        <v>5</v>
      </c>
      <c r="D249" s="117" t="s">
        <v>138</v>
      </c>
      <c r="E249" s="41" t="s">
        <v>139</v>
      </c>
      <c r="F249" s="130" t="s">
        <v>84</v>
      </c>
      <c r="G249" s="131">
        <v>17.873999999999999</v>
      </c>
      <c r="H249" s="120">
        <f t="shared" si="30"/>
        <v>214.49</v>
      </c>
      <c r="I249" s="68">
        <f t="shared" si="28"/>
        <v>238.26</v>
      </c>
      <c r="J249" s="120">
        <f t="shared" si="31"/>
        <v>250.24</v>
      </c>
      <c r="K249" s="121"/>
      <c r="L249" s="63">
        <f t="shared" si="32"/>
        <v>205.6</v>
      </c>
      <c r="M249" s="63">
        <f t="shared" si="33"/>
        <v>142.99</v>
      </c>
      <c r="N249" s="63">
        <f t="shared" si="34"/>
        <v>158.84</v>
      </c>
      <c r="O249" s="63">
        <f t="shared" si="35"/>
        <v>166.83</v>
      </c>
    </row>
    <row r="250" spans="1:15" ht="15" customHeight="1">
      <c r="A250" s="87" t="s">
        <v>115</v>
      </c>
      <c r="B250" s="115">
        <f t="shared" si="37"/>
        <v>0.13</v>
      </c>
      <c r="C250" s="116">
        <v>5</v>
      </c>
      <c r="D250" s="117" t="s">
        <v>138</v>
      </c>
      <c r="E250" s="41" t="s">
        <v>139</v>
      </c>
      <c r="F250" s="130" t="s">
        <v>86</v>
      </c>
      <c r="G250" s="131">
        <v>19.565999999999999</v>
      </c>
      <c r="H250" s="120">
        <f t="shared" si="30"/>
        <v>234.79</v>
      </c>
      <c r="I250" s="68">
        <f t="shared" si="28"/>
        <v>260.81</v>
      </c>
      <c r="J250" s="120">
        <f t="shared" si="31"/>
        <v>273.92</v>
      </c>
      <c r="K250" s="121"/>
      <c r="L250" s="63">
        <f t="shared" si="32"/>
        <v>225.05</v>
      </c>
      <c r="M250" s="63">
        <f t="shared" si="33"/>
        <v>156.53</v>
      </c>
      <c r="N250" s="63">
        <f t="shared" si="34"/>
        <v>173.87</v>
      </c>
      <c r="O250" s="63">
        <f t="shared" si="35"/>
        <v>182.61</v>
      </c>
    </row>
    <row r="251" spans="1:15" ht="15" customHeight="1">
      <c r="A251" s="87" t="s">
        <v>115</v>
      </c>
      <c r="B251" s="115">
        <f t="shared" si="37"/>
        <v>0.13</v>
      </c>
      <c r="C251" s="116">
        <v>5</v>
      </c>
      <c r="D251" s="117" t="s">
        <v>138</v>
      </c>
      <c r="E251" s="41" t="s">
        <v>139</v>
      </c>
      <c r="F251" s="130" t="s">
        <v>117</v>
      </c>
      <c r="G251" s="131">
        <v>20.210999999999999</v>
      </c>
      <c r="H251" s="120">
        <f t="shared" si="30"/>
        <v>242.53</v>
      </c>
      <c r="I251" s="68">
        <f t="shared" si="28"/>
        <v>269.41000000000003</v>
      </c>
      <c r="J251" s="120">
        <f t="shared" si="31"/>
        <v>282.95</v>
      </c>
      <c r="K251" s="121"/>
      <c r="L251" s="63">
        <f t="shared" si="32"/>
        <v>232.48</v>
      </c>
      <c r="M251" s="63">
        <f t="shared" si="33"/>
        <v>161.69</v>
      </c>
      <c r="N251" s="63">
        <f t="shared" si="34"/>
        <v>179.61</v>
      </c>
      <c r="O251" s="63">
        <f t="shared" si="35"/>
        <v>188.63</v>
      </c>
    </row>
    <row r="252" spans="1:15" ht="15" customHeight="1">
      <c r="A252" s="87" t="s">
        <v>115</v>
      </c>
      <c r="B252" s="115">
        <f t="shared" si="37"/>
        <v>0.15</v>
      </c>
      <c r="C252" s="116">
        <v>6</v>
      </c>
      <c r="D252" s="117" t="s">
        <v>138</v>
      </c>
      <c r="E252" s="41" t="s">
        <v>139</v>
      </c>
      <c r="F252" s="130" t="s">
        <v>86</v>
      </c>
      <c r="G252" s="131">
        <v>19.530999999999999</v>
      </c>
      <c r="H252" s="120">
        <f t="shared" si="30"/>
        <v>234.37</v>
      </c>
      <c r="I252" s="68">
        <f t="shared" si="28"/>
        <v>260.35000000000002</v>
      </c>
      <c r="J252" s="120">
        <f t="shared" si="31"/>
        <v>273.43</v>
      </c>
      <c r="K252" s="121"/>
      <c r="L252" s="63">
        <f t="shared" si="32"/>
        <v>224.66</v>
      </c>
      <c r="M252" s="63">
        <f t="shared" si="33"/>
        <v>156.25</v>
      </c>
      <c r="N252" s="63">
        <f t="shared" si="34"/>
        <v>173.57</v>
      </c>
      <c r="O252" s="63">
        <f t="shared" si="35"/>
        <v>182.29</v>
      </c>
    </row>
    <row r="253" spans="1:15" ht="15" customHeight="1">
      <c r="A253" s="87" t="s">
        <v>115</v>
      </c>
      <c r="B253" s="115">
        <f t="shared" si="37"/>
        <v>0.15</v>
      </c>
      <c r="C253" s="116">
        <v>6</v>
      </c>
      <c r="D253" s="117" t="s">
        <v>138</v>
      </c>
      <c r="E253" s="41" t="s">
        <v>139</v>
      </c>
      <c r="F253" s="130" t="s">
        <v>117</v>
      </c>
      <c r="G253" s="131">
        <v>20.603000000000002</v>
      </c>
      <c r="H253" s="120">
        <f t="shared" si="30"/>
        <v>247.24</v>
      </c>
      <c r="I253" s="68">
        <f t="shared" si="28"/>
        <v>274.64</v>
      </c>
      <c r="J253" s="120">
        <f t="shared" si="31"/>
        <v>288.44</v>
      </c>
      <c r="K253" s="121"/>
      <c r="L253" s="63">
        <f t="shared" si="32"/>
        <v>236.99</v>
      </c>
      <c r="M253" s="63">
        <f t="shared" si="33"/>
        <v>164.83</v>
      </c>
      <c r="N253" s="63">
        <f t="shared" si="34"/>
        <v>183.09</v>
      </c>
      <c r="O253" s="63">
        <f t="shared" si="35"/>
        <v>192.29</v>
      </c>
    </row>
    <row r="254" spans="1:15" ht="15" customHeight="1">
      <c r="A254" s="87" t="s">
        <v>115</v>
      </c>
      <c r="B254" s="115">
        <f t="shared" si="37"/>
        <v>0.18</v>
      </c>
      <c r="C254" s="116">
        <v>7</v>
      </c>
      <c r="D254" s="117" t="s">
        <v>138</v>
      </c>
      <c r="E254" s="41" t="s">
        <v>139</v>
      </c>
      <c r="F254" s="130" t="s">
        <v>87</v>
      </c>
      <c r="G254" s="131">
        <v>19.975000000000001</v>
      </c>
      <c r="H254" s="120">
        <f t="shared" si="30"/>
        <v>239.7</v>
      </c>
      <c r="I254" s="68">
        <f t="shared" si="28"/>
        <v>266.27</v>
      </c>
      <c r="J254" s="120">
        <f t="shared" si="31"/>
        <v>279.64999999999998</v>
      </c>
      <c r="K254" s="121"/>
      <c r="L254" s="63">
        <f t="shared" si="32"/>
        <v>229.76</v>
      </c>
      <c r="M254" s="63">
        <f t="shared" si="33"/>
        <v>159.80000000000001</v>
      </c>
      <c r="N254" s="63">
        <f t="shared" si="34"/>
        <v>177.51</v>
      </c>
      <c r="O254" s="63">
        <f t="shared" si="35"/>
        <v>186.43</v>
      </c>
    </row>
    <row r="255" spans="1:15" ht="15" customHeight="1">
      <c r="A255" s="87" t="s">
        <v>115</v>
      </c>
      <c r="B255" s="115">
        <f t="shared" si="37"/>
        <v>0.2</v>
      </c>
      <c r="C255" s="116">
        <v>8</v>
      </c>
      <c r="D255" s="117" t="s">
        <v>138</v>
      </c>
      <c r="E255" s="41" t="s">
        <v>139</v>
      </c>
      <c r="F255" s="130" t="s">
        <v>89</v>
      </c>
      <c r="G255" s="131">
        <v>19.344999999999999</v>
      </c>
      <c r="H255" s="120">
        <f t="shared" si="30"/>
        <v>232.14</v>
      </c>
      <c r="I255" s="68">
        <f t="shared" si="28"/>
        <v>257.87</v>
      </c>
      <c r="J255" s="120">
        <f t="shared" si="31"/>
        <v>270.83</v>
      </c>
      <c r="K255" s="121"/>
      <c r="L255" s="63">
        <f t="shared" si="32"/>
        <v>222.52</v>
      </c>
      <c r="M255" s="63">
        <f t="shared" si="33"/>
        <v>154.76</v>
      </c>
      <c r="N255" s="63">
        <f t="shared" si="34"/>
        <v>171.91</v>
      </c>
      <c r="O255" s="63">
        <f t="shared" si="35"/>
        <v>180.55</v>
      </c>
    </row>
    <row r="256" spans="1:15" ht="15" customHeight="1">
      <c r="A256" s="87" t="s">
        <v>115</v>
      </c>
      <c r="B256" s="115">
        <f t="shared" si="37"/>
        <v>0.25</v>
      </c>
      <c r="C256" s="116">
        <v>10</v>
      </c>
      <c r="D256" s="117" t="s">
        <v>138</v>
      </c>
      <c r="E256" s="41" t="s">
        <v>139</v>
      </c>
      <c r="F256" s="130" t="s">
        <v>89</v>
      </c>
      <c r="G256" s="131">
        <v>19.344999999999999</v>
      </c>
      <c r="H256" s="120">
        <f t="shared" si="30"/>
        <v>232.14</v>
      </c>
      <c r="I256" s="68">
        <f t="shared" si="28"/>
        <v>257.87</v>
      </c>
      <c r="J256" s="120">
        <f t="shared" si="31"/>
        <v>270.83</v>
      </c>
      <c r="K256" s="121"/>
      <c r="L256" s="63">
        <f t="shared" si="32"/>
        <v>222.52</v>
      </c>
      <c r="M256" s="63">
        <f t="shared" si="33"/>
        <v>154.76</v>
      </c>
      <c r="N256" s="63">
        <f t="shared" si="34"/>
        <v>171.91</v>
      </c>
      <c r="O256" s="63">
        <f t="shared" si="35"/>
        <v>180.55</v>
      </c>
    </row>
    <row r="257" spans="1:15" ht="15" customHeight="1">
      <c r="A257" s="87" t="s">
        <v>115</v>
      </c>
      <c r="B257" s="115">
        <f t="shared" si="37"/>
        <v>0.3</v>
      </c>
      <c r="C257" s="116">
        <v>12</v>
      </c>
      <c r="D257" s="117" t="s">
        <v>138</v>
      </c>
      <c r="E257" s="41" t="s">
        <v>139</v>
      </c>
      <c r="F257" s="130" t="s">
        <v>99</v>
      </c>
      <c r="G257" s="131">
        <v>20.808</v>
      </c>
      <c r="H257" s="120">
        <f t="shared" si="30"/>
        <v>249.7</v>
      </c>
      <c r="I257" s="68">
        <f t="shared" si="28"/>
        <v>277.37</v>
      </c>
      <c r="J257" s="120">
        <f t="shared" si="31"/>
        <v>291.31</v>
      </c>
      <c r="K257" s="121"/>
      <c r="L257" s="63">
        <f t="shared" si="32"/>
        <v>239.35</v>
      </c>
      <c r="M257" s="63">
        <f t="shared" si="33"/>
        <v>166.47</v>
      </c>
      <c r="N257" s="63">
        <f t="shared" si="34"/>
        <v>184.91</v>
      </c>
      <c r="O257" s="63">
        <f t="shared" si="35"/>
        <v>194.21</v>
      </c>
    </row>
    <row r="258" spans="1:15" ht="15" customHeight="1">
      <c r="A258" s="87" t="s">
        <v>118</v>
      </c>
      <c r="B258" s="115">
        <f t="shared" si="37"/>
        <v>0.36</v>
      </c>
      <c r="C258" s="116">
        <v>14</v>
      </c>
      <c r="D258" s="117" t="s">
        <v>138</v>
      </c>
      <c r="E258" s="41" t="s">
        <v>139</v>
      </c>
      <c r="F258" s="130" t="s">
        <v>100</v>
      </c>
      <c r="G258" s="131">
        <v>20.332000000000001</v>
      </c>
      <c r="H258" s="120">
        <f t="shared" si="30"/>
        <v>243.98</v>
      </c>
      <c r="I258" s="68">
        <f t="shared" si="28"/>
        <v>271.02999999999997</v>
      </c>
      <c r="J258" s="120">
        <f t="shared" si="31"/>
        <v>284.64999999999998</v>
      </c>
      <c r="K258" s="121"/>
      <c r="L258" s="63">
        <f t="shared" si="32"/>
        <v>233.87</v>
      </c>
      <c r="M258" s="63">
        <f t="shared" si="33"/>
        <v>162.65</v>
      </c>
      <c r="N258" s="63">
        <f t="shared" si="34"/>
        <v>180.69</v>
      </c>
      <c r="O258" s="63">
        <f t="shared" si="35"/>
        <v>189.77</v>
      </c>
    </row>
    <row r="259" spans="1:15" ht="15" customHeight="1">
      <c r="A259" s="87" t="s">
        <v>115</v>
      </c>
      <c r="B259" s="115">
        <f>ROUND(C259*0.0254,3)</f>
        <v>6.4000000000000001E-2</v>
      </c>
      <c r="C259" s="116">
        <v>2.5</v>
      </c>
      <c r="D259" s="117" t="s">
        <v>138</v>
      </c>
      <c r="E259" s="41" t="s">
        <v>137</v>
      </c>
      <c r="F259" s="130" t="s">
        <v>122</v>
      </c>
      <c r="G259" s="131">
        <v>16.821999999999999</v>
      </c>
      <c r="H259" s="120">
        <f t="shared" si="30"/>
        <v>201.86</v>
      </c>
      <c r="I259" s="68">
        <f t="shared" si="28"/>
        <v>224.24</v>
      </c>
      <c r="J259" s="120">
        <f t="shared" si="31"/>
        <v>235.51</v>
      </c>
      <c r="K259" s="121">
        <v>9.9980383181847987E-2</v>
      </c>
      <c r="L259" s="63">
        <f t="shared" si="32"/>
        <v>193.49</v>
      </c>
      <c r="M259" s="63">
        <f t="shared" si="33"/>
        <v>134.57</v>
      </c>
      <c r="N259" s="63">
        <f t="shared" si="34"/>
        <v>149.49</v>
      </c>
      <c r="O259" s="63">
        <f t="shared" si="35"/>
        <v>157.01</v>
      </c>
    </row>
    <row r="260" spans="1:15" ht="15" customHeight="1">
      <c r="A260" s="87" t="s">
        <v>115</v>
      </c>
      <c r="B260" s="115">
        <f t="shared" ref="B260:B263" si="38">ROUND(C260*0.0254,3)</f>
        <v>7.5999999999999998E-2</v>
      </c>
      <c r="C260" s="116">
        <v>3</v>
      </c>
      <c r="D260" s="117" t="s">
        <v>138</v>
      </c>
      <c r="E260" s="41" t="s">
        <v>137</v>
      </c>
      <c r="F260" s="130" t="s">
        <v>140</v>
      </c>
      <c r="G260" s="131">
        <v>21.001999999999999</v>
      </c>
      <c r="H260" s="120">
        <f t="shared" si="30"/>
        <v>252.02</v>
      </c>
      <c r="I260" s="68">
        <f t="shared" si="28"/>
        <v>279.95999999999998</v>
      </c>
      <c r="J260" s="120">
        <f t="shared" si="31"/>
        <v>294.02999999999997</v>
      </c>
      <c r="K260" s="121">
        <v>9.9984287435185504E-2</v>
      </c>
      <c r="L260" s="63">
        <f t="shared" si="32"/>
        <v>241.57</v>
      </c>
      <c r="M260" s="63">
        <f t="shared" si="33"/>
        <v>168.01</v>
      </c>
      <c r="N260" s="63">
        <f t="shared" si="34"/>
        <v>186.64</v>
      </c>
      <c r="O260" s="63">
        <f t="shared" si="35"/>
        <v>196.02</v>
      </c>
    </row>
    <row r="261" spans="1:15" ht="15" customHeight="1">
      <c r="A261" s="87" t="s">
        <v>115</v>
      </c>
      <c r="B261" s="115">
        <f t="shared" si="38"/>
        <v>7.5999999999999998E-2</v>
      </c>
      <c r="C261" s="116">
        <v>3</v>
      </c>
      <c r="D261" s="117" t="s">
        <v>138</v>
      </c>
      <c r="E261" s="41" t="s">
        <v>137</v>
      </c>
      <c r="F261" s="130" t="s">
        <v>122</v>
      </c>
      <c r="G261" s="131">
        <v>17.803999999999998</v>
      </c>
      <c r="H261" s="120">
        <f t="shared" si="30"/>
        <v>213.65</v>
      </c>
      <c r="I261" s="68">
        <f t="shared" si="28"/>
        <v>237.33</v>
      </c>
      <c r="J261" s="120">
        <f t="shared" si="31"/>
        <v>249.26</v>
      </c>
      <c r="K261" s="121">
        <v>0.10003089280197708</v>
      </c>
      <c r="L261" s="63">
        <f t="shared" si="32"/>
        <v>204.79</v>
      </c>
      <c r="M261" s="63">
        <f t="shared" si="33"/>
        <v>142.43</v>
      </c>
      <c r="N261" s="63">
        <f t="shared" si="34"/>
        <v>158.22</v>
      </c>
      <c r="O261" s="63">
        <f t="shared" si="35"/>
        <v>166.17</v>
      </c>
    </row>
    <row r="262" spans="1:15" ht="15" customHeight="1">
      <c r="A262" s="87" t="s">
        <v>115</v>
      </c>
      <c r="B262" s="115">
        <f t="shared" si="38"/>
        <v>7.5999999999999998E-2</v>
      </c>
      <c r="C262" s="116">
        <v>3</v>
      </c>
      <c r="D262" s="117" t="s">
        <v>138</v>
      </c>
      <c r="E262" s="41" t="s">
        <v>137</v>
      </c>
      <c r="F262" s="130" t="s">
        <v>81</v>
      </c>
      <c r="G262" s="131">
        <v>17.134</v>
      </c>
      <c r="H262" s="120">
        <f t="shared" si="30"/>
        <v>205.61</v>
      </c>
      <c r="I262" s="68">
        <f t="shared" si="28"/>
        <v>228.4</v>
      </c>
      <c r="J262" s="120">
        <f t="shared" si="31"/>
        <v>239.88</v>
      </c>
      <c r="K262" s="121">
        <v>0.10002568053415506</v>
      </c>
      <c r="L262" s="63">
        <f t="shared" si="32"/>
        <v>197.08</v>
      </c>
      <c r="M262" s="63">
        <f t="shared" si="33"/>
        <v>137.07</v>
      </c>
      <c r="N262" s="63">
        <f t="shared" si="34"/>
        <v>152.27000000000001</v>
      </c>
      <c r="O262" s="63">
        <f t="shared" si="35"/>
        <v>159.91999999999999</v>
      </c>
    </row>
    <row r="263" spans="1:15" ht="15" customHeight="1">
      <c r="A263" s="87" t="s">
        <v>115</v>
      </c>
      <c r="B263" s="115">
        <f t="shared" si="38"/>
        <v>8.8999999999999996E-2</v>
      </c>
      <c r="C263" s="116">
        <v>3.5</v>
      </c>
      <c r="D263" s="117" t="s">
        <v>138</v>
      </c>
      <c r="E263" s="41" t="s">
        <v>137</v>
      </c>
      <c r="F263" s="130" t="s">
        <v>83</v>
      </c>
      <c r="G263" s="131">
        <v>17.033999999999999</v>
      </c>
      <c r="H263" s="120">
        <f t="shared" si="30"/>
        <v>204.41</v>
      </c>
      <c r="I263" s="68">
        <f t="shared" si="28"/>
        <v>227.06</v>
      </c>
      <c r="J263" s="120">
        <f t="shared" si="31"/>
        <v>238.48</v>
      </c>
      <c r="K263" s="121">
        <v>0.10003228931223762</v>
      </c>
      <c r="L263" s="63">
        <f t="shared" si="32"/>
        <v>195.94</v>
      </c>
      <c r="M263" s="63">
        <f t="shared" si="33"/>
        <v>136.27000000000001</v>
      </c>
      <c r="N263" s="63">
        <f t="shared" si="34"/>
        <v>151.37</v>
      </c>
      <c r="O263" s="63">
        <f t="shared" si="35"/>
        <v>158.99</v>
      </c>
    </row>
    <row r="264" spans="1:15" ht="15" customHeight="1">
      <c r="A264" s="87" t="s">
        <v>115</v>
      </c>
      <c r="B264" s="115">
        <f>ROUND(C264*0.0254,3)</f>
        <v>8.8999999999999996E-2</v>
      </c>
      <c r="C264" s="116">
        <v>3.5</v>
      </c>
      <c r="D264" s="117" t="s">
        <v>68</v>
      </c>
      <c r="E264" s="41" t="s">
        <v>137</v>
      </c>
      <c r="F264" s="130" t="s">
        <v>92</v>
      </c>
      <c r="G264" s="131">
        <v>17.672000000000001</v>
      </c>
      <c r="H264" s="120">
        <f t="shared" si="30"/>
        <v>212.06</v>
      </c>
      <c r="I264" s="68">
        <f t="shared" si="28"/>
        <v>235.57</v>
      </c>
      <c r="J264" s="120">
        <f t="shared" si="31"/>
        <v>247.41</v>
      </c>
      <c r="K264" s="121">
        <v>0.10003112356053534</v>
      </c>
      <c r="L264" s="63">
        <f t="shared" si="32"/>
        <v>203.27</v>
      </c>
      <c r="M264" s="63">
        <f t="shared" si="33"/>
        <v>141.37</v>
      </c>
      <c r="N264" s="63">
        <f t="shared" si="34"/>
        <v>157.05000000000001</v>
      </c>
      <c r="O264" s="63">
        <f t="shared" si="35"/>
        <v>164.94</v>
      </c>
    </row>
    <row r="265" spans="1:15" ht="15" customHeight="1">
      <c r="A265" s="87" t="s">
        <v>115</v>
      </c>
      <c r="B265" s="115">
        <f t="shared" ref="B265:B328" si="39">ROUND(C265*0.0254,2)</f>
        <v>0.1</v>
      </c>
      <c r="C265" s="132">
        <v>4</v>
      </c>
      <c r="D265" s="117" t="s">
        <v>138</v>
      </c>
      <c r="E265" s="41" t="s">
        <v>137</v>
      </c>
      <c r="F265" s="130" t="s">
        <v>84</v>
      </c>
      <c r="G265" s="131">
        <v>17.033999999999999</v>
      </c>
      <c r="H265" s="120">
        <f t="shared" si="30"/>
        <v>204.41</v>
      </c>
      <c r="I265" s="68">
        <f t="shared" si="28"/>
        <v>227.06</v>
      </c>
      <c r="J265" s="120">
        <f t="shared" si="31"/>
        <v>238.48</v>
      </c>
      <c r="K265" s="121">
        <v>0.10003228931223762</v>
      </c>
      <c r="L265" s="63">
        <f t="shared" si="32"/>
        <v>195.94</v>
      </c>
      <c r="M265" s="63">
        <f t="shared" si="33"/>
        <v>136.27000000000001</v>
      </c>
      <c r="N265" s="63">
        <f t="shared" si="34"/>
        <v>151.37</v>
      </c>
      <c r="O265" s="63">
        <f t="shared" si="35"/>
        <v>158.99</v>
      </c>
    </row>
    <row r="266" spans="1:15" ht="15" customHeight="1">
      <c r="A266" s="87" t="s">
        <v>115</v>
      </c>
      <c r="B266" s="115">
        <f t="shared" si="39"/>
        <v>0.1</v>
      </c>
      <c r="C266" s="132">
        <v>4</v>
      </c>
      <c r="D266" s="117" t="s">
        <v>138</v>
      </c>
      <c r="E266" s="41" t="s">
        <v>137</v>
      </c>
      <c r="F266" s="130" t="s">
        <v>97</v>
      </c>
      <c r="G266" s="131">
        <v>18.498999999999999</v>
      </c>
      <c r="H266" s="120">
        <f t="shared" si="30"/>
        <v>221.99</v>
      </c>
      <c r="I266" s="68">
        <f t="shared" si="28"/>
        <v>246.59</v>
      </c>
      <c r="J266" s="120">
        <f t="shared" si="31"/>
        <v>258.99</v>
      </c>
      <c r="K266" s="121">
        <v>0.1000178390913955</v>
      </c>
      <c r="L266" s="63">
        <f t="shared" si="32"/>
        <v>212.79</v>
      </c>
      <c r="M266" s="63">
        <f t="shared" si="33"/>
        <v>147.99</v>
      </c>
      <c r="N266" s="63">
        <f t="shared" si="34"/>
        <v>164.39</v>
      </c>
      <c r="O266" s="63">
        <f t="shared" si="35"/>
        <v>172.66</v>
      </c>
    </row>
    <row r="267" spans="1:15" ht="15" customHeight="1">
      <c r="A267" s="87" t="s">
        <v>118</v>
      </c>
      <c r="B267" s="115">
        <f t="shared" si="39"/>
        <v>0.1</v>
      </c>
      <c r="C267" s="116">
        <v>4</v>
      </c>
      <c r="D267" s="117" t="s">
        <v>138</v>
      </c>
      <c r="E267" s="133" t="s">
        <v>137</v>
      </c>
      <c r="F267" s="133" t="s">
        <v>85</v>
      </c>
      <c r="G267" s="122">
        <v>19.901</v>
      </c>
      <c r="H267" s="120">
        <f t="shared" si="30"/>
        <v>238.81</v>
      </c>
      <c r="I267" s="68">
        <f t="shared" si="28"/>
        <v>265.27999999999997</v>
      </c>
      <c r="J267" s="120">
        <f t="shared" si="31"/>
        <v>278.61</v>
      </c>
      <c r="K267" s="121">
        <v>9.9988945390227846E-2</v>
      </c>
      <c r="L267" s="63">
        <f t="shared" si="32"/>
        <v>228.91</v>
      </c>
      <c r="M267" s="63">
        <f t="shared" si="33"/>
        <v>159.21</v>
      </c>
      <c r="N267" s="63">
        <f t="shared" si="34"/>
        <v>176.85</v>
      </c>
      <c r="O267" s="63">
        <f t="shared" si="35"/>
        <v>185.74</v>
      </c>
    </row>
    <row r="268" spans="1:15" ht="15" customHeight="1">
      <c r="A268" s="87" t="s">
        <v>115</v>
      </c>
      <c r="B268" s="115">
        <f t="shared" si="39"/>
        <v>0.11</v>
      </c>
      <c r="C268" s="116">
        <v>4.5</v>
      </c>
      <c r="D268" s="117" t="s">
        <v>138</v>
      </c>
      <c r="E268" s="41" t="s">
        <v>137</v>
      </c>
      <c r="F268" s="130" t="s">
        <v>84</v>
      </c>
      <c r="G268" s="131">
        <v>17.343</v>
      </c>
      <c r="H268" s="120">
        <f t="shared" si="30"/>
        <v>208.12</v>
      </c>
      <c r="I268" s="68">
        <f t="shared" si="28"/>
        <v>231.18</v>
      </c>
      <c r="J268" s="120">
        <f t="shared" si="31"/>
        <v>242.8</v>
      </c>
      <c r="K268" s="121">
        <v>0.10002537105163012</v>
      </c>
      <c r="L268" s="63">
        <f t="shared" si="32"/>
        <v>199.49</v>
      </c>
      <c r="M268" s="63">
        <f t="shared" si="33"/>
        <v>138.75</v>
      </c>
      <c r="N268" s="63">
        <f t="shared" si="34"/>
        <v>154.12</v>
      </c>
      <c r="O268" s="63">
        <f t="shared" si="35"/>
        <v>161.87</v>
      </c>
    </row>
    <row r="269" spans="1:15" ht="15" customHeight="1">
      <c r="A269" s="87" t="s">
        <v>115</v>
      </c>
      <c r="B269" s="115">
        <f t="shared" si="39"/>
        <v>0.11</v>
      </c>
      <c r="C269" s="116">
        <v>4.5</v>
      </c>
      <c r="D269" s="117" t="s">
        <v>138</v>
      </c>
      <c r="E269" s="41" t="s">
        <v>137</v>
      </c>
      <c r="F269" s="130" t="s">
        <v>85</v>
      </c>
      <c r="G269" s="131">
        <v>18.614000000000001</v>
      </c>
      <c r="H269" s="120">
        <f t="shared" si="30"/>
        <v>223.37</v>
      </c>
      <c r="I269" s="68">
        <f t="shared" si="28"/>
        <v>248.12</v>
      </c>
      <c r="J269" s="120">
        <f t="shared" si="31"/>
        <v>260.60000000000002</v>
      </c>
      <c r="K269" s="121">
        <v>9.9988181066067883E-2</v>
      </c>
      <c r="L269" s="63">
        <f t="shared" si="32"/>
        <v>214.11</v>
      </c>
      <c r="M269" s="63">
        <f t="shared" si="33"/>
        <v>148.91</v>
      </c>
      <c r="N269" s="63">
        <f t="shared" si="34"/>
        <v>165.41</v>
      </c>
      <c r="O269" s="63">
        <f t="shared" si="35"/>
        <v>173.73</v>
      </c>
    </row>
    <row r="270" spans="1:15" ht="15" customHeight="1">
      <c r="A270" s="87" t="s">
        <v>115</v>
      </c>
      <c r="B270" s="115">
        <f t="shared" si="39"/>
        <v>0.13</v>
      </c>
      <c r="C270" s="116">
        <v>5</v>
      </c>
      <c r="D270" s="117" t="s">
        <v>138</v>
      </c>
      <c r="E270" s="41" t="s">
        <v>137</v>
      </c>
      <c r="F270" s="130" t="s">
        <v>84</v>
      </c>
      <c r="G270" s="131">
        <v>17.033999999999999</v>
      </c>
      <c r="H270" s="120">
        <f t="shared" si="30"/>
        <v>204.41</v>
      </c>
      <c r="I270" s="68">
        <f t="shared" si="28"/>
        <v>227.06</v>
      </c>
      <c r="J270" s="120">
        <f t="shared" si="31"/>
        <v>238.48</v>
      </c>
      <c r="K270" s="121">
        <v>0.10003228931223762</v>
      </c>
      <c r="L270" s="63">
        <f t="shared" si="32"/>
        <v>195.94</v>
      </c>
      <c r="M270" s="63">
        <f t="shared" si="33"/>
        <v>136.27000000000001</v>
      </c>
      <c r="N270" s="63">
        <f t="shared" si="34"/>
        <v>151.37</v>
      </c>
      <c r="O270" s="63">
        <f t="shared" si="35"/>
        <v>158.99</v>
      </c>
    </row>
    <row r="271" spans="1:15" ht="15" customHeight="1">
      <c r="A271" s="87" t="s">
        <v>115</v>
      </c>
      <c r="B271" s="115">
        <f t="shared" si="39"/>
        <v>0.13</v>
      </c>
      <c r="C271" s="116">
        <v>5</v>
      </c>
      <c r="D271" s="117" t="s">
        <v>138</v>
      </c>
      <c r="E271" s="41" t="s">
        <v>137</v>
      </c>
      <c r="F271" s="130" t="s">
        <v>86</v>
      </c>
      <c r="G271" s="131">
        <v>18.725999999999999</v>
      </c>
      <c r="H271" s="120">
        <f t="shared" si="30"/>
        <v>224.71</v>
      </c>
      <c r="I271" s="68">
        <f t="shared" si="28"/>
        <v>249.62</v>
      </c>
      <c r="J271" s="120">
        <f t="shared" si="31"/>
        <v>262.16000000000003</v>
      </c>
      <c r="K271" s="121">
        <v>9.9976503759398483E-2</v>
      </c>
      <c r="L271" s="63">
        <f t="shared" si="32"/>
        <v>215.39</v>
      </c>
      <c r="M271" s="63">
        <f t="shared" si="33"/>
        <v>149.81</v>
      </c>
      <c r="N271" s="63">
        <f t="shared" si="34"/>
        <v>166.41</v>
      </c>
      <c r="O271" s="63">
        <f t="shared" si="35"/>
        <v>174.77</v>
      </c>
    </row>
    <row r="272" spans="1:15" ht="15" customHeight="1">
      <c r="A272" s="87" t="s">
        <v>115</v>
      </c>
      <c r="B272" s="115">
        <f t="shared" si="39"/>
        <v>0.13</v>
      </c>
      <c r="C272" s="116">
        <v>5</v>
      </c>
      <c r="D272" s="117" t="s">
        <v>138</v>
      </c>
      <c r="E272" s="41" t="s">
        <v>137</v>
      </c>
      <c r="F272" s="130" t="s">
        <v>117</v>
      </c>
      <c r="G272" s="131">
        <v>19.370999999999999</v>
      </c>
      <c r="H272" s="120">
        <f t="shared" si="30"/>
        <v>232.45</v>
      </c>
      <c r="I272" s="68">
        <f t="shared" si="28"/>
        <v>258.22000000000003</v>
      </c>
      <c r="J272" s="120">
        <f t="shared" si="31"/>
        <v>271.19</v>
      </c>
      <c r="K272" s="121">
        <v>9.9999999999999867E-2</v>
      </c>
      <c r="L272" s="63">
        <f t="shared" si="32"/>
        <v>222.82</v>
      </c>
      <c r="M272" s="63">
        <f t="shared" si="33"/>
        <v>154.97</v>
      </c>
      <c r="N272" s="63">
        <f t="shared" si="34"/>
        <v>172.15</v>
      </c>
      <c r="O272" s="63">
        <f t="shared" si="35"/>
        <v>180.79</v>
      </c>
    </row>
    <row r="273" spans="1:15" ht="15" customHeight="1">
      <c r="A273" s="87" t="s">
        <v>115</v>
      </c>
      <c r="B273" s="115">
        <f t="shared" si="39"/>
        <v>0.15</v>
      </c>
      <c r="C273" s="116">
        <v>6</v>
      </c>
      <c r="D273" s="117" t="s">
        <v>138</v>
      </c>
      <c r="E273" s="41" t="s">
        <v>137</v>
      </c>
      <c r="F273" s="130" t="s">
        <v>86</v>
      </c>
      <c r="G273" s="131">
        <v>18.690999999999999</v>
      </c>
      <c r="H273" s="120">
        <f t="shared" si="30"/>
        <v>224.29</v>
      </c>
      <c r="I273" s="68">
        <f t="shared" si="28"/>
        <v>249.15</v>
      </c>
      <c r="J273" s="120">
        <f t="shared" si="31"/>
        <v>261.67</v>
      </c>
      <c r="K273" s="121">
        <v>9.9988229755178848E-2</v>
      </c>
      <c r="L273" s="63">
        <f t="shared" si="32"/>
        <v>215</v>
      </c>
      <c r="M273" s="63">
        <f t="shared" si="33"/>
        <v>149.53</v>
      </c>
      <c r="N273" s="63">
        <f t="shared" si="34"/>
        <v>166.1</v>
      </c>
      <c r="O273" s="63">
        <f t="shared" si="35"/>
        <v>174.45</v>
      </c>
    </row>
    <row r="274" spans="1:15" ht="15" customHeight="1">
      <c r="A274" s="87" t="s">
        <v>115</v>
      </c>
      <c r="B274" s="115">
        <f t="shared" si="39"/>
        <v>0.15</v>
      </c>
      <c r="C274" s="116">
        <v>6</v>
      </c>
      <c r="D274" s="117" t="s">
        <v>138</v>
      </c>
      <c r="E274" s="41" t="s">
        <v>137</v>
      </c>
      <c r="F274" s="130" t="s">
        <v>117</v>
      </c>
      <c r="G274" s="131">
        <v>19.763000000000002</v>
      </c>
      <c r="H274" s="120">
        <f t="shared" si="30"/>
        <v>237.16</v>
      </c>
      <c r="I274" s="68">
        <f t="shared" ref="I274:I333" si="40">ROUND(G274*13.33,2)</f>
        <v>263.44</v>
      </c>
      <c r="J274" s="120">
        <f t="shared" si="31"/>
        <v>276.68</v>
      </c>
      <c r="K274" s="121">
        <v>0.1000222642769677</v>
      </c>
      <c r="L274" s="63">
        <f t="shared" si="32"/>
        <v>227.33</v>
      </c>
      <c r="M274" s="63">
        <f t="shared" si="33"/>
        <v>158.11000000000001</v>
      </c>
      <c r="N274" s="63">
        <f t="shared" si="34"/>
        <v>175.63</v>
      </c>
      <c r="O274" s="63">
        <f t="shared" si="35"/>
        <v>184.45</v>
      </c>
    </row>
    <row r="275" spans="1:15" ht="15" customHeight="1">
      <c r="A275" s="87" t="s">
        <v>115</v>
      </c>
      <c r="B275" s="115">
        <f t="shared" si="39"/>
        <v>0.18</v>
      </c>
      <c r="C275" s="116">
        <v>7</v>
      </c>
      <c r="D275" s="117" t="s">
        <v>138</v>
      </c>
      <c r="E275" s="41" t="s">
        <v>137</v>
      </c>
      <c r="F275" s="130" t="s">
        <v>87</v>
      </c>
      <c r="G275" s="131">
        <v>19.135000000000002</v>
      </c>
      <c r="H275" s="120">
        <f t="shared" si="30"/>
        <v>229.62</v>
      </c>
      <c r="I275" s="68">
        <f t="shared" si="40"/>
        <v>255.07</v>
      </c>
      <c r="J275" s="120">
        <f t="shared" si="31"/>
        <v>267.89</v>
      </c>
      <c r="K275" s="121">
        <v>0.10002874389192318</v>
      </c>
      <c r="L275" s="63">
        <f t="shared" si="32"/>
        <v>220.1</v>
      </c>
      <c r="M275" s="63">
        <f t="shared" si="33"/>
        <v>153.08000000000001</v>
      </c>
      <c r="N275" s="63">
        <f t="shared" si="34"/>
        <v>170.05</v>
      </c>
      <c r="O275" s="63">
        <f t="shared" si="35"/>
        <v>178.59</v>
      </c>
    </row>
    <row r="276" spans="1:15" ht="15" customHeight="1">
      <c r="A276" s="87" t="s">
        <v>115</v>
      </c>
      <c r="B276" s="115">
        <f t="shared" si="39"/>
        <v>0.2</v>
      </c>
      <c r="C276" s="116">
        <v>8</v>
      </c>
      <c r="D276" s="117" t="s">
        <v>138</v>
      </c>
      <c r="E276" s="41" t="s">
        <v>137</v>
      </c>
      <c r="F276" s="130" t="s">
        <v>89</v>
      </c>
      <c r="G276" s="131">
        <v>18.504999999999999</v>
      </c>
      <c r="H276" s="120">
        <f t="shared" ref="H276:H337" si="41">ROUND(G276*12,2)</f>
        <v>222.06</v>
      </c>
      <c r="I276" s="68">
        <f t="shared" si="40"/>
        <v>246.67</v>
      </c>
      <c r="J276" s="120">
        <f t="shared" ref="J276:J337" si="42">ROUND(G276*14,2)</f>
        <v>259.07</v>
      </c>
      <c r="K276" s="121">
        <v>9.9982167270997957E-2</v>
      </c>
      <c r="L276" s="63">
        <f t="shared" ref="L276:L337" si="43">ROUND(ROUND(ROUND(G276*12,2)*43/48,2)*1.07,2)</f>
        <v>212.86</v>
      </c>
      <c r="M276" s="63">
        <f t="shared" ref="M276:M337" si="44">ROUND(ROUND(G276*12,2)*2/3,2)</f>
        <v>148.04</v>
      </c>
      <c r="N276" s="63">
        <f t="shared" ref="N276:N337" si="45">ROUND(ROUND(G276*13.33,2)*2/3,2)</f>
        <v>164.45</v>
      </c>
      <c r="O276" s="63">
        <f t="shared" ref="O276:O337" si="46">ROUND(ROUND(G276*14,2)*2/3,2)</f>
        <v>172.71</v>
      </c>
    </row>
    <row r="277" spans="1:15" ht="15" customHeight="1">
      <c r="A277" s="87" t="s">
        <v>115</v>
      </c>
      <c r="B277" s="115">
        <f t="shared" si="39"/>
        <v>0.25</v>
      </c>
      <c r="C277" s="116">
        <v>10</v>
      </c>
      <c r="D277" s="117" t="s">
        <v>138</v>
      </c>
      <c r="E277" s="41" t="s">
        <v>137</v>
      </c>
      <c r="F277" s="130" t="s">
        <v>89</v>
      </c>
      <c r="G277" s="131">
        <v>18.504999999999999</v>
      </c>
      <c r="H277" s="120">
        <f t="shared" si="41"/>
        <v>222.06</v>
      </c>
      <c r="I277" s="68">
        <f t="shared" si="40"/>
        <v>246.67</v>
      </c>
      <c r="J277" s="120">
        <f t="shared" si="42"/>
        <v>259.07</v>
      </c>
      <c r="K277" s="121">
        <v>9.9982167270997957E-2</v>
      </c>
      <c r="L277" s="63">
        <f t="shared" si="43"/>
        <v>212.86</v>
      </c>
      <c r="M277" s="63">
        <f t="shared" si="44"/>
        <v>148.04</v>
      </c>
      <c r="N277" s="63">
        <f t="shared" si="45"/>
        <v>164.45</v>
      </c>
      <c r="O277" s="63">
        <f t="shared" si="46"/>
        <v>172.71</v>
      </c>
    </row>
    <row r="278" spans="1:15" ht="15" customHeight="1">
      <c r="A278" s="87" t="s">
        <v>115</v>
      </c>
      <c r="B278" s="115">
        <f t="shared" si="39"/>
        <v>0.3</v>
      </c>
      <c r="C278" s="116">
        <v>12</v>
      </c>
      <c r="D278" s="117" t="s">
        <v>138</v>
      </c>
      <c r="E278" s="41" t="s">
        <v>137</v>
      </c>
      <c r="F278" s="130" t="s">
        <v>99</v>
      </c>
      <c r="G278" s="131">
        <v>19.968</v>
      </c>
      <c r="H278" s="120">
        <f t="shared" si="41"/>
        <v>239.62</v>
      </c>
      <c r="I278" s="68">
        <f t="shared" si="40"/>
        <v>266.17</v>
      </c>
      <c r="J278" s="120">
        <f t="shared" si="42"/>
        <v>279.55</v>
      </c>
      <c r="K278" s="121">
        <v>9.9983473805982603E-2</v>
      </c>
      <c r="L278" s="63">
        <f t="shared" si="43"/>
        <v>229.69</v>
      </c>
      <c r="M278" s="63">
        <f t="shared" si="44"/>
        <v>159.75</v>
      </c>
      <c r="N278" s="63">
        <f t="shared" si="45"/>
        <v>177.45</v>
      </c>
      <c r="O278" s="63">
        <f t="shared" si="46"/>
        <v>186.37</v>
      </c>
    </row>
    <row r="279" spans="1:15" ht="15" customHeight="1">
      <c r="A279" s="87" t="s">
        <v>118</v>
      </c>
      <c r="B279" s="115">
        <f t="shared" si="39"/>
        <v>0.36</v>
      </c>
      <c r="C279" s="116">
        <v>14</v>
      </c>
      <c r="D279" s="117" t="s">
        <v>138</v>
      </c>
      <c r="E279" s="41" t="s">
        <v>137</v>
      </c>
      <c r="F279" s="130" t="s">
        <v>100</v>
      </c>
      <c r="G279" s="131">
        <v>19.492000000000001</v>
      </c>
      <c r="H279" s="120">
        <f t="shared" si="41"/>
        <v>233.9</v>
      </c>
      <c r="I279" s="68">
        <f t="shared" si="40"/>
        <v>259.83</v>
      </c>
      <c r="J279" s="120">
        <f t="shared" si="42"/>
        <v>272.89</v>
      </c>
      <c r="K279" s="121">
        <v>0.10000000000000009</v>
      </c>
      <c r="L279" s="63">
        <f t="shared" si="43"/>
        <v>224.21</v>
      </c>
      <c r="M279" s="63">
        <f t="shared" si="44"/>
        <v>155.93</v>
      </c>
      <c r="N279" s="63">
        <f t="shared" si="45"/>
        <v>173.22</v>
      </c>
      <c r="O279" s="63">
        <f t="shared" si="46"/>
        <v>181.93</v>
      </c>
    </row>
    <row r="280" spans="1:15" ht="15" customHeight="1">
      <c r="A280" s="87" t="s">
        <v>115</v>
      </c>
      <c r="B280" s="115">
        <f>ROUND(C280*0.0254,3)</f>
        <v>5.0999999999999997E-2</v>
      </c>
      <c r="C280" s="116">
        <v>2</v>
      </c>
      <c r="D280" s="117" t="s">
        <v>29</v>
      </c>
      <c r="E280" s="41" t="s">
        <v>137</v>
      </c>
      <c r="F280" s="130" t="s">
        <v>120</v>
      </c>
      <c r="G280" s="131">
        <v>22.193000000000001</v>
      </c>
      <c r="H280" s="120">
        <f t="shared" si="41"/>
        <v>266.32</v>
      </c>
      <c r="I280" s="68">
        <f t="shared" si="40"/>
        <v>295.83</v>
      </c>
      <c r="J280" s="120">
        <f t="shared" si="42"/>
        <v>310.7</v>
      </c>
      <c r="K280" s="121">
        <v>0.10002478314745966</v>
      </c>
      <c r="L280" s="63">
        <f t="shared" si="43"/>
        <v>255.28</v>
      </c>
      <c r="M280" s="63">
        <f t="shared" si="44"/>
        <v>177.55</v>
      </c>
      <c r="N280" s="63">
        <f t="shared" si="45"/>
        <v>197.22</v>
      </c>
      <c r="O280" s="63">
        <f t="shared" si="46"/>
        <v>207.13</v>
      </c>
    </row>
    <row r="281" spans="1:15" ht="15" customHeight="1">
      <c r="A281" s="87" t="s">
        <v>115</v>
      </c>
      <c r="B281" s="115">
        <f t="shared" ref="B281:B287" si="47">ROUND(C281*0.0254,3)</f>
        <v>5.8000000000000003E-2</v>
      </c>
      <c r="C281" s="116">
        <v>2.2999999999999998</v>
      </c>
      <c r="D281" s="117" t="s">
        <v>29</v>
      </c>
      <c r="E281" s="41" t="s">
        <v>137</v>
      </c>
      <c r="F281" s="134" t="s">
        <v>121</v>
      </c>
      <c r="G281" s="135">
        <v>22.193000000000001</v>
      </c>
      <c r="H281" s="120">
        <f t="shared" si="41"/>
        <v>266.32</v>
      </c>
      <c r="I281" s="68">
        <f t="shared" si="40"/>
        <v>295.83</v>
      </c>
      <c r="J281" s="120">
        <f t="shared" si="42"/>
        <v>310.7</v>
      </c>
      <c r="K281" s="121">
        <v>0.10002478314745966</v>
      </c>
      <c r="L281" s="63">
        <f t="shared" si="43"/>
        <v>255.28</v>
      </c>
      <c r="M281" s="63">
        <f t="shared" si="44"/>
        <v>177.55</v>
      </c>
      <c r="N281" s="63">
        <f t="shared" si="45"/>
        <v>197.22</v>
      </c>
      <c r="O281" s="63">
        <f t="shared" si="46"/>
        <v>207.13</v>
      </c>
    </row>
    <row r="282" spans="1:15" ht="15" customHeight="1">
      <c r="A282" s="87" t="s">
        <v>118</v>
      </c>
      <c r="B282" s="115">
        <f t="shared" si="47"/>
        <v>6.4000000000000001E-2</v>
      </c>
      <c r="C282" s="116">
        <v>2.5</v>
      </c>
      <c r="D282" s="117" t="s">
        <v>29</v>
      </c>
      <c r="E282" s="41" t="s">
        <v>137</v>
      </c>
      <c r="F282" s="134" t="s">
        <v>121</v>
      </c>
      <c r="G282" s="135">
        <v>21.632000000000001</v>
      </c>
      <c r="H282" s="120">
        <f t="shared" si="41"/>
        <v>259.58</v>
      </c>
      <c r="I282" s="68">
        <f t="shared" si="40"/>
        <v>288.35000000000002</v>
      </c>
      <c r="J282" s="120">
        <f t="shared" si="42"/>
        <v>302.85000000000002</v>
      </c>
      <c r="K282" s="121">
        <v>0.10002542588354957</v>
      </c>
      <c r="L282" s="63">
        <f t="shared" si="43"/>
        <v>248.82</v>
      </c>
      <c r="M282" s="63">
        <f t="shared" si="44"/>
        <v>173.05</v>
      </c>
      <c r="N282" s="63">
        <f t="shared" si="45"/>
        <v>192.23</v>
      </c>
      <c r="O282" s="63">
        <f t="shared" si="46"/>
        <v>201.9</v>
      </c>
    </row>
    <row r="283" spans="1:15" ht="15" customHeight="1">
      <c r="A283" s="87" t="s">
        <v>115</v>
      </c>
      <c r="B283" s="115">
        <f t="shared" si="47"/>
        <v>7.5999999999999998E-2</v>
      </c>
      <c r="C283" s="116">
        <v>3</v>
      </c>
      <c r="D283" s="117" t="s">
        <v>29</v>
      </c>
      <c r="E283" s="41" t="s">
        <v>137</v>
      </c>
      <c r="F283" s="134" t="s">
        <v>81</v>
      </c>
      <c r="G283" s="135">
        <v>21.164999999999999</v>
      </c>
      <c r="H283" s="120">
        <f t="shared" si="41"/>
        <v>253.98</v>
      </c>
      <c r="I283" s="68">
        <f t="shared" si="40"/>
        <v>282.13</v>
      </c>
      <c r="J283" s="120">
        <f t="shared" si="42"/>
        <v>296.31</v>
      </c>
      <c r="K283" s="121">
        <v>9.9994802764929114E-2</v>
      </c>
      <c r="L283" s="63">
        <f t="shared" si="43"/>
        <v>243.45</v>
      </c>
      <c r="M283" s="63">
        <f t="shared" si="44"/>
        <v>169.32</v>
      </c>
      <c r="N283" s="63">
        <f t="shared" si="45"/>
        <v>188.09</v>
      </c>
      <c r="O283" s="63">
        <f t="shared" si="46"/>
        <v>197.54</v>
      </c>
    </row>
    <row r="284" spans="1:15" ht="15" customHeight="1">
      <c r="A284" s="87" t="s">
        <v>115</v>
      </c>
      <c r="B284" s="115">
        <f t="shared" si="47"/>
        <v>7.5999999999999998E-2</v>
      </c>
      <c r="C284" s="116">
        <v>3</v>
      </c>
      <c r="D284" s="117" t="s">
        <v>29</v>
      </c>
      <c r="E284" s="41" t="s">
        <v>137</v>
      </c>
      <c r="F284" s="134" t="s">
        <v>123</v>
      </c>
      <c r="G284" s="135">
        <v>21.164999999999999</v>
      </c>
      <c r="H284" s="120">
        <f t="shared" si="41"/>
        <v>253.98</v>
      </c>
      <c r="I284" s="68">
        <f t="shared" si="40"/>
        <v>282.13</v>
      </c>
      <c r="J284" s="120">
        <f t="shared" si="42"/>
        <v>296.31</v>
      </c>
      <c r="K284" s="121">
        <v>9.9994802764929114E-2</v>
      </c>
      <c r="L284" s="63">
        <f t="shared" si="43"/>
        <v>243.45</v>
      </c>
      <c r="M284" s="63">
        <f t="shared" si="44"/>
        <v>169.32</v>
      </c>
      <c r="N284" s="63">
        <f t="shared" si="45"/>
        <v>188.09</v>
      </c>
      <c r="O284" s="63">
        <f t="shared" si="46"/>
        <v>197.54</v>
      </c>
    </row>
    <row r="285" spans="1:15" ht="15" customHeight="1">
      <c r="A285" s="87" t="s">
        <v>115</v>
      </c>
      <c r="B285" s="115">
        <f t="shared" si="47"/>
        <v>7.5999999999999998E-2</v>
      </c>
      <c r="C285" s="116">
        <v>3</v>
      </c>
      <c r="D285" s="117" t="s">
        <v>29</v>
      </c>
      <c r="E285" s="41" t="s">
        <v>137</v>
      </c>
      <c r="F285" s="134" t="s">
        <v>122</v>
      </c>
      <c r="G285" s="135">
        <v>21.933</v>
      </c>
      <c r="H285" s="120">
        <f t="shared" si="41"/>
        <v>263.2</v>
      </c>
      <c r="I285" s="68">
        <f t="shared" si="40"/>
        <v>292.37</v>
      </c>
      <c r="J285" s="120">
        <f t="shared" si="42"/>
        <v>307.06</v>
      </c>
      <c r="K285" s="121">
        <v>0.10000501529665473</v>
      </c>
      <c r="L285" s="63">
        <f t="shared" si="43"/>
        <v>252.28</v>
      </c>
      <c r="M285" s="63">
        <f t="shared" si="44"/>
        <v>175.47</v>
      </c>
      <c r="N285" s="63">
        <f t="shared" si="45"/>
        <v>194.91</v>
      </c>
      <c r="O285" s="63">
        <f t="shared" si="46"/>
        <v>204.71</v>
      </c>
    </row>
    <row r="286" spans="1:15" ht="15" customHeight="1">
      <c r="A286" s="87" t="s">
        <v>115</v>
      </c>
      <c r="B286" s="115">
        <f t="shared" si="47"/>
        <v>8.8999999999999996E-2</v>
      </c>
      <c r="C286" s="116">
        <v>3.5</v>
      </c>
      <c r="D286" s="117" t="s">
        <v>29</v>
      </c>
      <c r="E286" s="41" t="s">
        <v>137</v>
      </c>
      <c r="F286" s="134" t="s">
        <v>122</v>
      </c>
      <c r="G286" s="135">
        <v>22.315000000000001</v>
      </c>
      <c r="H286" s="120">
        <f t="shared" si="41"/>
        <v>267.77999999999997</v>
      </c>
      <c r="I286" s="68">
        <f t="shared" si="40"/>
        <v>297.45999999999998</v>
      </c>
      <c r="J286" s="120">
        <f t="shared" si="42"/>
        <v>312.41000000000003</v>
      </c>
      <c r="K286" s="121">
        <v>0.10001971803214049</v>
      </c>
      <c r="L286" s="63">
        <f t="shared" si="43"/>
        <v>256.68</v>
      </c>
      <c r="M286" s="63">
        <f t="shared" si="44"/>
        <v>178.52</v>
      </c>
      <c r="N286" s="63">
        <f t="shared" si="45"/>
        <v>198.31</v>
      </c>
      <c r="O286" s="63">
        <f t="shared" si="46"/>
        <v>208.27</v>
      </c>
    </row>
    <row r="287" spans="1:15" ht="15" customHeight="1">
      <c r="A287" s="87" t="s">
        <v>115</v>
      </c>
      <c r="B287" s="115">
        <f t="shared" si="47"/>
        <v>8.8999999999999996E-2</v>
      </c>
      <c r="C287" s="116">
        <v>3.5</v>
      </c>
      <c r="D287" s="117" t="s">
        <v>29</v>
      </c>
      <c r="E287" s="41" t="s">
        <v>137</v>
      </c>
      <c r="F287" s="134" t="s">
        <v>124</v>
      </c>
      <c r="G287" s="135">
        <v>21.63</v>
      </c>
      <c r="H287" s="120">
        <f t="shared" si="41"/>
        <v>259.56</v>
      </c>
      <c r="I287" s="68">
        <f t="shared" si="40"/>
        <v>288.33</v>
      </c>
      <c r="J287" s="120">
        <f t="shared" si="42"/>
        <v>302.82</v>
      </c>
      <c r="K287" s="121">
        <v>9.9979658258746884E-2</v>
      </c>
      <c r="L287" s="63">
        <f t="shared" si="43"/>
        <v>248.8</v>
      </c>
      <c r="M287" s="63">
        <f t="shared" si="44"/>
        <v>173.04</v>
      </c>
      <c r="N287" s="63">
        <f t="shared" si="45"/>
        <v>192.22</v>
      </c>
      <c r="O287" s="63">
        <f t="shared" si="46"/>
        <v>201.88</v>
      </c>
    </row>
    <row r="288" spans="1:15" ht="15" customHeight="1">
      <c r="A288" s="87" t="s">
        <v>115</v>
      </c>
      <c r="B288" s="115">
        <f t="shared" si="39"/>
        <v>0.1</v>
      </c>
      <c r="C288" s="116">
        <v>4</v>
      </c>
      <c r="D288" s="117" t="s">
        <v>29</v>
      </c>
      <c r="E288" s="41" t="s">
        <v>137</v>
      </c>
      <c r="F288" s="134" t="s">
        <v>124</v>
      </c>
      <c r="G288" s="135">
        <v>21.571000000000002</v>
      </c>
      <c r="H288" s="120">
        <f t="shared" si="41"/>
        <v>258.85000000000002</v>
      </c>
      <c r="I288" s="68">
        <f t="shared" si="40"/>
        <v>287.54000000000002</v>
      </c>
      <c r="J288" s="120">
        <f t="shared" si="42"/>
        <v>301.99</v>
      </c>
      <c r="K288" s="121">
        <v>0.10000000000000009</v>
      </c>
      <c r="L288" s="63">
        <f t="shared" si="43"/>
        <v>248.12</v>
      </c>
      <c r="M288" s="63">
        <f t="shared" si="44"/>
        <v>172.57</v>
      </c>
      <c r="N288" s="63">
        <f t="shared" si="45"/>
        <v>191.69</v>
      </c>
      <c r="O288" s="63">
        <f t="shared" si="46"/>
        <v>201.33</v>
      </c>
    </row>
    <row r="289" spans="1:15" ht="15" customHeight="1">
      <c r="A289" s="87" t="s">
        <v>115</v>
      </c>
      <c r="B289" s="115">
        <f t="shared" si="39"/>
        <v>0.1</v>
      </c>
      <c r="C289" s="116">
        <v>4</v>
      </c>
      <c r="D289" s="117" t="s">
        <v>29</v>
      </c>
      <c r="E289" s="41" t="s">
        <v>137</v>
      </c>
      <c r="F289" s="134" t="s">
        <v>84</v>
      </c>
      <c r="G289" s="135">
        <v>21.437000000000001</v>
      </c>
      <c r="H289" s="120">
        <f t="shared" si="41"/>
        <v>257.24</v>
      </c>
      <c r="I289" s="68">
        <f t="shared" si="40"/>
        <v>285.76</v>
      </c>
      <c r="J289" s="120">
        <f t="shared" si="42"/>
        <v>300.12</v>
      </c>
      <c r="K289" s="121">
        <v>0.10001026272577995</v>
      </c>
      <c r="L289" s="63">
        <f t="shared" si="43"/>
        <v>246.57</v>
      </c>
      <c r="M289" s="63">
        <f t="shared" si="44"/>
        <v>171.49</v>
      </c>
      <c r="N289" s="63">
        <f t="shared" si="45"/>
        <v>190.51</v>
      </c>
      <c r="O289" s="63">
        <f t="shared" si="46"/>
        <v>200.08</v>
      </c>
    </row>
    <row r="290" spans="1:15" ht="15" customHeight="1">
      <c r="A290" s="87" t="s">
        <v>115</v>
      </c>
      <c r="B290" s="115">
        <f t="shared" si="39"/>
        <v>0.1</v>
      </c>
      <c r="C290" s="116">
        <v>4</v>
      </c>
      <c r="D290" s="117" t="s">
        <v>29</v>
      </c>
      <c r="E290" s="41" t="s">
        <v>137</v>
      </c>
      <c r="F290" s="134" t="s">
        <v>97</v>
      </c>
      <c r="G290" s="135">
        <v>23.042999999999999</v>
      </c>
      <c r="H290" s="120">
        <f t="shared" si="41"/>
        <v>276.52</v>
      </c>
      <c r="I290" s="68">
        <f t="shared" si="40"/>
        <v>307.16000000000003</v>
      </c>
      <c r="J290" s="120">
        <f t="shared" si="42"/>
        <v>322.60000000000002</v>
      </c>
      <c r="K290" s="121">
        <v>0.10000954745083068</v>
      </c>
      <c r="L290" s="63">
        <f t="shared" si="43"/>
        <v>265.06</v>
      </c>
      <c r="M290" s="63">
        <f t="shared" si="44"/>
        <v>184.35</v>
      </c>
      <c r="N290" s="63">
        <f t="shared" si="45"/>
        <v>204.77</v>
      </c>
      <c r="O290" s="63">
        <f t="shared" si="46"/>
        <v>215.07</v>
      </c>
    </row>
    <row r="291" spans="1:15" ht="15" customHeight="1">
      <c r="A291" s="87" t="s">
        <v>115</v>
      </c>
      <c r="B291" s="115">
        <f t="shared" si="39"/>
        <v>0.1</v>
      </c>
      <c r="C291" s="116">
        <v>4</v>
      </c>
      <c r="D291" s="117" t="s">
        <v>29</v>
      </c>
      <c r="E291" s="41" t="s">
        <v>137</v>
      </c>
      <c r="F291" s="134" t="s">
        <v>85</v>
      </c>
      <c r="G291" s="135">
        <v>23.172000000000001</v>
      </c>
      <c r="H291" s="120">
        <f t="shared" si="41"/>
        <v>278.06</v>
      </c>
      <c r="I291" s="68">
        <f t="shared" si="40"/>
        <v>308.88</v>
      </c>
      <c r="J291" s="120">
        <f t="shared" si="42"/>
        <v>324.41000000000003</v>
      </c>
      <c r="K291" s="121">
        <v>0.10002373605506754</v>
      </c>
      <c r="L291" s="63">
        <f t="shared" si="43"/>
        <v>266.54000000000002</v>
      </c>
      <c r="M291" s="63">
        <f t="shared" si="44"/>
        <v>185.37</v>
      </c>
      <c r="N291" s="63">
        <f t="shared" si="45"/>
        <v>205.92</v>
      </c>
      <c r="O291" s="63">
        <f t="shared" si="46"/>
        <v>216.27</v>
      </c>
    </row>
    <row r="292" spans="1:15" ht="15" customHeight="1">
      <c r="A292" s="87" t="s">
        <v>115</v>
      </c>
      <c r="B292" s="115">
        <f t="shared" si="39"/>
        <v>0.11</v>
      </c>
      <c r="C292" s="116">
        <v>4.5</v>
      </c>
      <c r="D292" s="117" t="s">
        <v>29</v>
      </c>
      <c r="E292" s="41" t="s">
        <v>137</v>
      </c>
      <c r="F292" s="134" t="s">
        <v>84</v>
      </c>
      <c r="G292" s="135">
        <v>22.056000000000001</v>
      </c>
      <c r="H292" s="120">
        <f t="shared" si="41"/>
        <v>264.67</v>
      </c>
      <c r="I292" s="68">
        <f t="shared" si="40"/>
        <v>294.01</v>
      </c>
      <c r="J292" s="120">
        <f t="shared" si="42"/>
        <v>308.77999999999997</v>
      </c>
      <c r="K292" s="121">
        <v>9.9995012717570386E-2</v>
      </c>
      <c r="L292" s="63">
        <f t="shared" si="43"/>
        <v>253.7</v>
      </c>
      <c r="M292" s="63">
        <f t="shared" si="44"/>
        <v>176.45</v>
      </c>
      <c r="N292" s="63">
        <f t="shared" si="45"/>
        <v>196.01</v>
      </c>
      <c r="O292" s="63">
        <f t="shared" si="46"/>
        <v>205.85</v>
      </c>
    </row>
    <row r="293" spans="1:15" ht="15" customHeight="1">
      <c r="A293" s="87" t="s">
        <v>115</v>
      </c>
      <c r="B293" s="115">
        <f t="shared" si="39"/>
        <v>0.11</v>
      </c>
      <c r="C293" s="116">
        <v>4.5</v>
      </c>
      <c r="D293" s="117" t="s">
        <v>29</v>
      </c>
      <c r="E293" s="41" t="s">
        <v>137</v>
      </c>
      <c r="F293" s="134" t="s">
        <v>85</v>
      </c>
      <c r="G293" s="135">
        <v>23.166</v>
      </c>
      <c r="H293" s="120">
        <f t="shared" si="41"/>
        <v>277.99</v>
      </c>
      <c r="I293" s="68">
        <f t="shared" si="40"/>
        <v>308.8</v>
      </c>
      <c r="J293" s="120">
        <f t="shared" si="42"/>
        <v>324.32</v>
      </c>
      <c r="K293" s="121">
        <v>0.10000000000000009</v>
      </c>
      <c r="L293" s="63">
        <f t="shared" si="43"/>
        <v>266.45999999999998</v>
      </c>
      <c r="M293" s="63">
        <f t="shared" si="44"/>
        <v>185.33</v>
      </c>
      <c r="N293" s="63">
        <f t="shared" si="45"/>
        <v>205.87</v>
      </c>
      <c r="O293" s="63">
        <f t="shared" si="46"/>
        <v>216.21</v>
      </c>
    </row>
    <row r="294" spans="1:15" ht="15" customHeight="1">
      <c r="A294" s="87" t="s">
        <v>115</v>
      </c>
      <c r="B294" s="115">
        <f t="shared" si="39"/>
        <v>0.13</v>
      </c>
      <c r="C294" s="116">
        <v>5</v>
      </c>
      <c r="D294" s="117" t="s">
        <v>29</v>
      </c>
      <c r="E294" s="41" t="s">
        <v>137</v>
      </c>
      <c r="F294" s="134" t="s">
        <v>86</v>
      </c>
      <c r="G294" s="135">
        <v>23.166</v>
      </c>
      <c r="H294" s="120">
        <f t="shared" si="41"/>
        <v>277.99</v>
      </c>
      <c r="I294" s="68">
        <f t="shared" si="40"/>
        <v>308.8</v>
      </c>
      <c r="J294" s="120">
        <f t="shared" si="42"/>
        <v>324.32</v>
      </c>
      <c r="K294" s="121">
        <v>0.10000000000000009</v>
      </c>
      <c r="L294" s="63">
        <f t="shared" si="43"/>
        <v>266.45999999999998</v>
      </c>
      <c r="M294" s="63">
        <f t="shared" si="44"/>
        <v>185.33</v>
      </c>
      <c r="N294" s="63">
        <f t="shared" si="45"/>
        <v>205.87</v>
      </c>
      <c r="O294" s="63">
        <f t="shared" si="46"/>
        <v>216.21</v>
      </c>
    </row>
    <row r="295" spans="1:15" ht="15" customHeight="1">
      <c r="A295" s="87" t="s">
        <v>115</v>
      </c>
      <c r="B295" s="115">
        <f t="shared" si="39"/>
        <v>0.13</v>
      </c>
      <c r="C295" s="116">
        <v>5</v>
      </c>
      <c r="D295" s="117" t="s">
        <v>29</v>
      </c>
      <c r="E295" s="41" t="s">
        <v>137</v>
      </c>
      <c r="F295" s="134" t="s">
        <v>85</v>
      </c>
      <c r="G295" s="135">
        <v>23.166</v>
      </c>
      <c r="H295" s="120">
        <f t="shared" si="41"/>
        <v>277.99</v>
      </c>
      <c r="I295" s="68">
        <f t="shared" si="40"/>
        <v>308.8</v>
      </c>
      <c r="J295" s="120">
        <f t="shared" si="42"/>
        <v>324.32</v>
      </c>
      <c r="K295" s="121">
        <v>0.10000000000000009</v>
      </c>
      <c r="L295" s="63">
        <f t="shared" si="43"/>
        <v>266.45999999999998</v>
      </c>
      <c r="M295" s="63">
        <f t="shared" si="44"/>
        <v>185.33</v>
      </c>
      <c r="N295" s="63">
        <f t="shared" si="45"/>
        <v>205.87</v>
      </c>
      <c r="O295" s="63">
        <f t="shared" si="46"/>
        <v>216.21</v>
      </c>
    </row>
    <row r="296" spans="1:15" ht="15" customHeight="1">
      <c r="A296" s="87" t="s">
        <v>115</v>
      </c>
      <c r="B296" s="115">
        <f t="shared" si="39"/>
        <v>0.13</v>
      </c>
      <c r="C296" s="116">
        <v>5</v>
      </c>
      <c r="D296" s="117" t="s">
        <v>29</v>
      </c>
      <c r="E296" s="41" t="s">
        <v>137</v>
      </c>
      <c r="F296" s="134" t="s">
        <v>84</v>
      </c>
      <c r="G296" s="135">
        <v>21.984999999999999</v>
      </c>
      <c r="H296" s="120">
        <f t="shared" si="41"/>
        <v>263.82</v>
      </c>
      <c r="I296" s="68">
        <f t="shared" si="40"/>
        <v>293.06</v>
      </c>
      <c r="J296" s="120">
        <f t="shared" si="42"/>
        <v>307.79000000000002</v>
      </c>
      <c r="K296" s="121">
        <v>0.10002001400980687</v>
      </c>
      <c r="L296" s="63">
        <f t="shared" si="43"/>
        <v>252.88</v>
      </c>
      <c r="M296" s="63">
        <f t="shared" si="44"/>
        <v>175.88</v>
      </c>
      <c r="N296" s="63">
        <f t="shared" si="45"/>
        <v>195.37</v>
      </c>
      <c r="O296" s="63">
        <f t="shared" si="46"/>
        <v>205.19</v>
      </c>
    </row>
    <row r="297" spans="1:15" ht="15" customHeight="1">
      <c r="A297" s="87" t="s">
        <v>115</v>
      </c>
      <c r="B297" s="115">
        <f t="shared" si="39"/>
        <v>0.13</v>
      </c>
      <c r="C297" s="116">
        <v>5</v>
      </c>
      <c r="D297" s="117" t="s">
        <v>29</v>
      </c>
      <c r="E297" s="41" t="s">
        <v>137</v>
      </c>
      <c r="F297" s="134" t="s">
        <v>117</v>
      </c>
      <c r="G297" s="135">
        <v>23.248999999999999</v>
      </c>
      <c r="H297" s="120">
        <f t="shared" si="41"/>
        <v>278.99</v>
      </c>
      <c r="I297" s="68">
        <f t="shared" si="40"/>
        <v>309.91000000000003</v>
      </c>
      <c r="J297" s="120">
        <f t="shared" si="42"/>
        <v>325.49</v>
      </c>
      <c r="K297" s="121">
        <v>0.10002365744026487</v>
      </c>
      <c r="L297" s="63">
        <f t="shared" si="43"/>
        <v>267.43</v>
      </c>
      <c r="M297" s="63">
        <f t="shared" si="44"/>
        <v>185.99</v>
      </c>
      <c r="N297" s="63">
        <f t="shared" si="45"/>
        <v>206.61</v>
      </c>
      <c r="O297" s="63">
        <f t="shared" si="46"/>
        <v>216.99</v>
      </c>
    </row>
    <row r="298" spans="1:15" ht="15" customHeight="1">
      <c r="A298" s="87" t="s">
        <v>115</v>
      </c>
      <c r="B298" s="115">
        <f t="shared" si="39"/>
        <v>0.15</v>
      </c>
      <c r="C298" s="116">
        <v>6</v>
      </c>
      <c r="D298" s="117" t="s">
        <v>29</v>
      </c>
      <c r="E298" s="41" t="s">
        <v>137</v>
      </c>
      <c r="F298" s="134" t="s">
        <v>93</v>
      </c>
      <c r="G298" s="135">
        <v>21.92</v>
      </c>
      <c r="H298" s="120">
        <f t="shared" si="41"/>
        <v>263.04000000000002</v>
      </c>
      <c r="I298" s="68">
        <f t="shared" si="40"/>
        <v>292.19</v>
      </c>
      <c r="J298" s="120">
        <f t="shared" si="42"/>
        <v>306.88</v>
      </c>
      <c r="K298" s="121">
        <v>0.10001505495056962</v>
      </c>
      <c r="L298" s="63">
        <f t="shared" si="43"/>
        <v>252.13</v>
      </c>
      <c r="M298" s="63">
        <f t="shared" si="44"/>
        <v>175.36</v>
      </c>
      <c r="N298" s="63">
        <f t="shared" si="45"/>
        <v>194.79</v>
      </c>
      <c r="O298" s="63">
        <f t="shared" si="46"/>
        <v>204.59</v>
      </c>
    </row>
    <row r="299" spans="1:15" ht="15" customHeight="1">
      <c r="A299" s="87" t="s">
        <v>115</v>
      </c>
      <c r="B299" s="115">
        <f t="shared" si="39"/>
        <v>0.15</v>
      </c>
      <c r="C299" s="116">
        <v>6</v>
      </c>
      <c r="D299" s="117" t="s">
        <v>29</v>
      </c>
      <c r="E299" s="41" t="s">
        <v>137</v>
      </c>
      <c r="F299" s="134" t="s">
        <v>86</v>
      </c>
      <c r="G299" s="135">
        <v>23.238</v>
      </c>
      <c r="H299" s="120">
        <f t="shared" si="41"/>
        <v>278.86</v>
      </c>
      <c r="I299" s="68">
        <f t="shared" si="40"/>
        <v>309.76</v>
      </c>
      <c r="J299" s="120">
        <f t="shared" si="42"/>
        <v>325.33</v>
      </c>
      <c r="K299" s="121">
        <v>0.10002366863905321</v>
      </c>
      <c r="L299" s="63">
        <f t="shared" si="43"/>
        <v>267.3</v>
      </c>
      <c r="M299" s="63">
        <f t="shared" si="44"/>
        <v>185.91</v>
      </c>
      <c r="N299" s="63">
        <f t="shared" si="45"/>
        <v>206.51</v>
      </c>
      <c r="O299" s="63">
        <f t="shared" si="46"/>
        <v>216.89</v>
      </c>
    </row>
    <row r="300" spans="1:15" ht="15" customHeight="1">
      <c r="A300" s="87" t="s">
        <v>115</v>
      </c>
      <c r="B300" s="115">
        <f t="shared" si="39"/>
        <v>0.15</v>
      </c>
      <c r="C300" s="116">
        <v>6</v>
      </c>
      <c r="D300" s="117" t="s">
        <v>29</v>
      </c>
      <c r="E300" s="41" t="s">
        <v>137</v>
      </c>
      <c r="F300" s="134" t="s">
        <v>125</v>
      </c>
      <c r="G300" s="135">
        <v>23.238</v>
      </c>
      <c r="H300" s="120">
        <f t="shared" si="41"/>
        <v>278.86</v>
      </c>
      <c r="I300" s="68">
        <f t="shared" si="40"/>
        <v>309.76</v>
      </c>
      <c r="J300" s="120">
        <f t="shared" si="42"/>
        <v>325.33</v>
      </c>
      <c r="K300" s="121">
        <v>0.10002366863905321</v>
      </c>
      <c r="L300" s="63">
        <f t="shared" si="43"/>
        <v>267.3</v>
      </c>
      <c r="M300" s="63">
        <f t="shared" si="44"/>
        <v>185.91</v>
      </c>
      <c r="N300" s="63">
        <f t="shared" si="45"/>
        <v>206.51</v>
      </c>
      <c r="O300" s="63">
        <f t="shared" si="46"/>
        <v>216.89</v>
      </c>
    </row>
    <row r="301" spans="1:15" ht="15" customHeight="1">
      <c r="A301" s="87" t="s">
        <v>115</v>
      </c>
      <c r="B301" s="115">
        <f t="shared" si="39"/>
        <v>0.15</v>
      </c>
      <c r="C301" s="116">
        <v>6</v>
      </c>
      <c r="D301" s="117" t="s">
        <v>29</v>
      </c>
      <c r="E301" s="41" t="s">
        <v>137</v>
      </c>
      <c r="F301" s="134" t="s">
        <v>117</v>
      </c>
      <c r="G301" s="135">
        <v>23.466000000000001</v>
      </c>
      <c r="H301" s="120">
        <f t="shared" si="41"/>
        <v>281.58999999999997</v>
      </c>
      <c r="I301" s="68">
        <f t="shared" si="40"/>
        <v>312.8</v>
      </c>
      <c r="J301" s="120">
        <f t="shared" si="42"/>
        <v>328.52</v>
      </c>
      <c r="K301" s="121">
        <v>9.9985937280270054E-2</v>
      </c>
      <c r="L301" s="63">
        <f t="shared" si="43"/>
        <v>269.92</v>
      </c>
      <c r="M301" s="63">
        <f t="shared" si="44"/>
        <v>187.73</v>
      </c>
      <c r="N301" s="63">
        <f t="shared" si="45"/>
        <v>208.53</v>
      </c>
      <c r="O301" s="63">
        <f t="shared" si="46"/>
        <v>219.01</v>
      </c>
    </row>
    <row r="302" spans="1:15" ht="15" customHeight="1">
      <c r="A302" s="87" t="s">
        <v>115</v>
      </c>
      <c r="B302" s="115">
        <f t="shared" si="39"/>
        <v>0.18</v>
      </c>
      <c r="C302" s="116">
        <v>7</v>
      </c>
      <c r="D302" s="117" t="s">
        <v>29</v>
      </c>
      <c r="E302" s="41" t="s">
        <v>137</v>
      </c>
      <c r="F302" s="134" t="s">
        <v>126</v>
      </c>
      <c r="G302" s="135">
        <v>23.238</v>
      </c>
      <c r="H302" s="120">
        <f t="shared" si="41"/>
        <v>278.86</v>
      </c>
      <c r="I302" s="68">
        <f t="shared" si="40"/>
        <v>309.76</v>
      </c>
      <c r="J302" s="120">
        <f t="shared" si="42"/>
        <v>325.33</v>
      </c>
      <c r="K302" s="121">
        <v>0.10002366863905321</v>
      </c>
      <c r="L302" s="63">
        <f t="shared" si="43"/>
        <v>267.3</v>
      </c>
      <c r="M302" s="63">
        <f t="shared" si="44"/>
        <v>185.91</v>
      </c>
      <c r="N302" s="63">
        <f t="shared" si="45"/>
        <v>206.51</v>
      </c>
      <c r="O302" s="63">
        <f t="shared" si="46"/>
        <v>216.89</v>
      </c>
    </row>
    <row r="303" spans="1:15" ht="15" customHeight="1">
      <c r="A303" s="87" t="s">
        <v>115</v>
      </c>
      <c r="B303" s="115">
        <f t="shared" si="39"/>
        <v>0.2</v>
      </c>
      <c r="C303" s="116">
        <v>8</v>
      </c>
      <c r="D303" s="117" t="s">
        <v>29</v>
      </c>
      <c r="E303" s="41" t="s">
        <v>137</v>
      </c>
      <c r="F303" s="134" t="s">
        <v>126</v>
      </c>
      <c r="G303" s="135">
        <v>23.238</v>
      </c>
      <c r="H303" s="120">
        <f t="shared" si="41"/>
        <v>278.86</v>
      </c>
      <c r="I303" s="68">
        <f t="shared" si="40"/>
        <v>309.76</v>
      </c>
      <c r="J303" s="120">
        <f t="shared" si="42"/>
        <v>325.33</v>
      </c>
      <c r="K303" s="121">
        <v>0.10002366863905321</v>
      </c>
      <c r="L303" s="63">
        <f t="shared" si="43"/>
        <v>267.3</v>
      </c>
      <c r="M303" s="63">
        <f t="shared" si="44"/>
        <v>185.91</v>
      </c>
      <c r="N303" s="63">
        <f t="shared" si="45"/>
        <v>206.51</v>
      </c>
      <c r="O303" s="63">
        <f t="shared" si="46"/>
        <v>216.89</v>
      </c>
    </row>
    <row r="304" spans="1:15" ht="15" customHeight="1">
      <c r="A304" s="87" t="s">
        <v>115</v>
      </c>
      <c r="B304" s="115">
        <f t="shared" si="39"/>
        <v>0.2</v>
      </c>
      <c r="C304" s="116">
        <v>8</v>
      </c>
      <c r="D304" s="117" t="s">
        <v>29</v>
      </c>
      <c r="E304" s="41" t="s">
        <v>137</v>
      </c>
      <c r="F304" s="134" t="s">
        <v>89</v>
      </c>
      <c r="G304" s="135">
        <v>23.062999999999999</v>
      </c>
      <c r="H304" s="120">
        <f t="shared" si="41"/>
        <v>276.76</v>
      </c>
      <c r="I304" s="68">
        <f t="shared" si="40"/>
        <v>307.43</v>
      </c>
      <c r="J304" s="120">
        <f t="shared" si="42"/>
        <v>322.88</v>
      </c>
      <c r="K304" s="121">
        <v>0.10001907850806058</v>
      </c>
      <c r="L304" s="63">
        <f t="shared" si="43"/>
        <v>265.29000000000002</v>
      </c>
      <c r="M304" s="63">
        <f t="shared" si="44"/>
        <v>184.51</v>
      </c>
      <c r="N304" s="63">
        <f t="shared" si="45"/>
        <v>204.95</v>
      </c>
      <c r="O304" s="63">
        <f t="shared" si="46"/>
        <v>215.25</v>
      </c>
    </row>
    <row r="305" spans="1:15" ht="15" customHeight="1">
      <c r="A305" s="87" t="s">
        <v>115</v>
      </c>
      <c r="B305" s="115">
        <f t="shared" si="39"/>
        <v>0.23</v>
      </c>
      <c r="C305" s="116">
        <v>9</v>
      </c>
      <c r="D305" s="117" t="s">
        <v>29</v>
      </c>
      <c r="E305" s="41" t="s">
        <v>137</v>
      </c>
      <c r="F305" s="134" t="s">
        <v>89</v>
      </c>
      <c r="G305" s="135">
        <v>23.062999999999999</v>
      </c>
      <c r="H305" s="120">
        <f t="shared" si="41"/>
        <v>276.76</v>
      </c>
      <c r="I305" s="68">
        <f t="shared" si="40"/>
        <v>307.43</v>
      </c>
      <c r="J305" s="120">
        <f t="shared" si="42"/>
        <v>322.88</v>
      </c>
      <c r="K305" s="121">
        <v>0.10001907850806058</v>
      </c>
      <c r="L305" s="63">
        <f t="shared" si="43"/>
        <v>265.29000000000002</v>
      </c>
      <c r="M305" s="63">
        <f t="shared" si="44"/>
        <v>184.51</v>
      </c>
      <c r="N305" s="63">
        <f t="shared" si="45"/>
        <v>204.95</v>
      </c>
      <c r="O305" s="63">
        <f t="shared" si="46"/>
        <v>215.25</v>
      </c>
    </row>
    <row r="306" spans="1:15" ht="15" customHeight="1">
      <c r="A306" s="87" t="s">
        <v>115</v>
      </c>
      <c r="B306" s="115">
        <f t="shared" si="39"/>
        <v>0.23</v>
      </c>
      <c r="C306" s="116">
        <v>9</v>
      </c>
      <c r="D306" s="117" t="s">
        <v>29</v>
      </c>
      <c r="E306" s="41" t="s">
        <v>137</v>
      </c>
      <c r="F306" s="134" t="s">
        <v>127</v>
      </c>
      <c r="G306" s="135">
        <v>25.884</v>
      </c>
      <c r="H306" s="120">
        <f t="shared" si="41"/>
        <v>310.61</v>
      </c>
      <c r="I306" s="68">
        <f t="shared" si="40"/>
        <v>345.03</v>
      </c>
      <c r="J306" s="120">
        <f t="shared" si="42"/>
        <v>362.38</v>
      </c>
      <c r="K306" s="121">
        <v>9.9995750286855811E-2</v>
      </c>
      <c r="L306" s="63">
        <f t="shared" si="43"/>
        <v>297.73</v>
      </c>
      <c r="M306" s="63">
        <f t="shared" si="44"/>
        <v>207.07</v>
      </c>
      <c r="N306" s="63">
        <f t="shared" si="45"/>
        <v>230.02</v>
      </c>
      <c r="O306" s="63">
        <f t="shared" si="46"/>
        <v>241.59</v>
      </c>
    </row>
    <row r="307" spans="1:15" ht="15" customHeight="1">
      <c r="A307" s="87" t="s">
        <v>115</v>
      </c>
      <c r="B307" s="115">
        <f t="shared" si="39"/>
        <v>0.25</v>
      </c>
      <c r="C307" s="116">
        <v>10</v>
      </c>
      <c r="D307" s="117" t="s">
        <v>29</v>
      </c>
      <c r="E307" s="41" t="s">
        <v>137</v>
      </c>
      <c r="F307" s="134" t="s">
        <v>89</v>
      </c>
      <c r="G307" s="135">
        <v>22.975999999999999</v>
      </c>
      <c r="H307" s="120">
        <f t="shared" si="41"/>
        <v>275.70999999999998</v>
      </c>
      <c r="I307" s="68">
        <f t="shared" si="40"/>
        <v>306.27</v>
      </c>
      <c r="J307" s="120">
        <f t="shared" si="42"/>
        <v>321.66000000000003</v>
      </c>
      <c r="K307" s="121">
        <v>0.1000143630009096</v>
      </c>
      <c r="L307" s="63">
        <f t="shared" si="43"/>
        <v>264.27999999999997</v>
      </c>
      <c r="M307" s="63">
        <f t="shared" si="44"/>
        <v>183.81</v>
      </c>
      <c r="N307" s="63">
        <f t="shared" si="45"/>
        <v>204.18</v>
      </c>
      <c r="O307" s="63">
        <f t="shared" si="46"/>
        <v>214.44</v>
      </c>
    </row>
    <row r="308" spans="1:15" ht="15" customHeight="1">
      <c r="A308" s="87" t="s">
        <v>115</v>
      </c>
      <c r="B308" s="115">
        <f t="shared" si="39"/>
        <v>0.3</v>
      </c>
      <c r="C308" s="116">
        <v>12</v>
      </c>
      <c r="D308" s="117" t="s">
        <v>29</v>
      </c>
      <c r="E308" s="41" t="s">
        <v>137</v>
      </c>
      <c r="F308" s="134" t="s">
        <v>99</v>
      </c>
      <c r="G308" s="135">
        <v>23.798999999999999</v>
      </c>
      <c r="H308" s="120">
        <f t="shared" si="41"/>
        <v>285.58999999999997</v>
      </c>
      <c r="I308" s="68">
        <f t="shared" si="40"/>
        <v>317.24</v>
      </c>
      <c r="J308" s="120">
        <f t="shared" si="42"/>
        <v>333.19</v>
      </c>
      <c r="K308" s="121">
        <v>0.10002311070025405</v>
      </c>
      <c r="L308" s="63">
        <f t="shared" si="43"/>
        <v>273.75</v>
      </c>
      <c r="M308" s="63">
        <f t="shared" si="44"/>
        <v>190.39</v>
      </c>
      <c r="N308" s="63">
        <f t="shared" si="45"/>
        <v>211.49</v>
      </c>
      <c r="O308" s="63">
        <f t="shared" si="46"/>
        <v>222.13</v>
      </c>
    </row>
    <row r="309" spans="1:15" ht="15" customHeight="1">
      <c r="A309" s="87" t="s">
        <v>115</v>
      </c>
      <c r="B309" s="115">
        <f t="shared" si="39"/>
        <v>0.3</v>
      </c>
      <c r="C309" s="116">
        <v>12</v>
      </c>
      <c r="D309" s="117" t="s">
        <v>29</v>
      </c>
      <c r="E309" s="41" t="s">
        <v>137</v>
      </c>
      <c r="F309" s="134" t="s">
        <v>128</v>
      </c>
      <c r="G309" s="135">
        <v>25.867999999999999</v>
      </c>
      <c r="H309" s="120">
        <f t="shared" si="41"/>
        <v>310.42</v>
      </c>
      <c r="I309" s="68">
        <f t="shared" si="40"/>
        <v>344.82</v>
      </c>
      <c r="J309" s="120">
        <f t="shared" si="42"/>
        <v>362.15</v>
      </c>
      <c r="K309" s="121">
        <v>0.1000170096955264</v>
      </c>
      <c r="L309" s="63">
        <f t="shared" si="43"/>
        <v>297.55</v>
      </c>
      <c r="M309" s="63">
        <f t="shared" si="44"/>
        <v>206.95</v>
      </c>
      <c r="N309" s="63">
        <f t="shared" si="45"/>
        <v>229.88</v>
      </c>
      <c r="O309" s="63">
        <f t="shared" si="46"/>
        <v>241.43</v>
      </c>
    </row>
    <row r="310" spans="1:15" ht="15" customHeight="1">
      <c r="A310" s="87" t="s">
        <v>115</v>
      </c>
      <c r="B310" s="115">
        <f t="shared" si="39"/>
        <v>0.3</v>
      </c>
      <c r="C310" s="116">
        <v>12</v>
      </c>
      <c r="D310" s="117" t="s">
        <v>29</v>
      </c>
      <c r="E310" s="41" t="s">
        <v>137</v>
      </c>
      <c r="F310" s="134" t="s">
        <v>90</v>
      </c>
      <c r="G310" s="135">
        <v>24.856999999999999</v>
      </c>
      <c r="H310" s="120">
        <f t="shared" si="41"/>
        <v>298.27999999999997</v>
      </c>
      <c r="I310" s="68">
        <f t="shared" si="40"/>
        <v>331.34</v>
      </c>
      <c r="J310" s="120">
        <f t="shared" si="42"/>
        <v>348</v>
      </c>
      <c r="K310" s="121">
        <v>0.100013276098597</v>
      </c>
      <c r="L310" s="63">
        <f t="shared" si="43"/>
        <v>285.91000000000003</v>
      </c>
      <c r="M310" s="63">
        <f t="shared" si="44"/>
        <v>198.85</v>
      </c>
      <c r="N310" s="63">
        <f t="shared" si="45"/>
        <v>220.89</v>
      </c>
      <c r="O310" s="63">
        <f t="shared" si="46"/>
        <v>232</v>
      </c>
    </row>
    <row r="311" spans="1:15" ht="15" customHeight="1">
      <c r="A311" s="87" t="s">
        <v>115</v>
      </c>
      <c r="B311" s="115">
        <f t="shared" si="39"/>
        <v>0.33</v>
      </c>
      <c r="C311" s="116">
        <v>13</v>
      </c>
      <c r="D311" s="117" t="s">
        <v>29</v>
      </c>
      <c r="E311" s="41" t="s">
        <v>137</v>
      </c>
      <c r="F311" s="134" t="s">
        <v>90</v>
      </c>
      <c r="G311" s="135">
        <v>26.109000000000002</v>
      </c>
      <c r="H311" s="120">
        <f t="shared" si="41"/>
        <v>313.31</v>
      </c>
      <c r="I311" s="68">
        <f t="shared" si="40"/>
        <v>348.03</v>
      </c>
      <c r="J311" s="120">
        <f t="shared" si="42"/>
        <v>365.53</v>
      </c>
      <c r="K311" s="121">
        <v>0.10002106593638094</v>
      </c>
      <c r="L311" s="63">
        <f t="shared" si="43"/>
        <v>300.32</v>
      </c>
      <c r="M311" s="63">
        <f t="shared" si="44"/>
        <v>208.87</v>
      </c>
      <c r="N311" s="63">
        <f t="shared" si="45"/>
        <v>232.02</v>
      </c>
      <c r="O311" s="63">
        <f t="shared" si="46"/>
        <v>243.69</v>
      </c>
    </row>
    <row r="312" spans="1:15" ht="15" customHeight="1">
      <c r="A312" s="87" t="s">
        <v>115</v>
      </c>
      <c r="B312" s="115">
        <f t="shared" si="39"/>
        <v>0.36</v>
      </c>
      <c r="C312" s="116">
        <v>14</v>
      </c>
      <c r="D312" s="117" t="s">
        <v>29</v>
      </c>
      <c r="E312" s="41" t="s">
        <v>137</v>
      </c>
      <c r="F312" s="134" t="s">
        <v>100</v>
      </c>
      <c r="G312" s="135">
        <v>24.262</v>
      </c>
      <c r="H312" s="120">
        <f t="shared" si="41"/>
        <v>291.14</v>
      </c>
      <c r="I312" s="68">
        <f t="shared" si="40"/>
        <v>323.41000000000003</v>
      </c>
      <c r="J312" s="120">
        <f t="shared" si="42"/>
        <v>339.67</v>
      </c>
      <c r="K312" s="121">
        <v>0.10001813565469719</v>
      </c>
      <c r="L312" s="63">
        <f t="shared" si="43"/>
        <v>279.07</v>
      </c>
      <c r="M312" s="63">
        <f t="shared" si="44"/>
        <v>194.09</v>
      </c>
      <c r="N312" s="63">
        <f t="shared" si="45"/>
        <v>215.61</v>
      </c>
      <c r="O312" s="63">
        <f t="shared" si="46"/>
        <v>226.45</v>
      </c>
    </row>
    <row r="313" spans="1:15" ht="15" customHeight="1">
      <c r="A313" s="87" t="s">
        <v>115</v>
      </c>
      <c r="B313" s="115">
        <f t="shared" si="39"/>
        <v>0.36</v>
      </c>
      <c r="C313" s="116">
        <v>14</v>
      </c>
      <c r="D313" s="117" t="s">
        <v>29</v>
      </c>
      <c r="E313" s="41" t="s">
        <v>137</v>
      </c>
      <c r="F313" s="134" t="s">
        <v>90</v>
      </c>
      <c r="G313" s="135">
        <v>26.109000000000002</v>
      </c>
      <c r="H313" s="120">
        <f t="shared" si="41"/>
        <v>313.31</v>
      </c>
      <c r="I313" s="68">
        <f t="shared" si="40"/>
        <v>348.03</v>
      </c>
      <c r="J313" s="120">
        <f t="shared" si="42"/>
        <v>365.53</v>
      </c>
      <c r="K313" s="121">
        <v>0.10002106593638094</v>
      </c>
      <c r="L313" s="63">
        <f t="shared" si="43"/>
        <v>300.32</v>
      </c>
      <c r="M313" s="63">
        <f t="shared" si="44"/>
        <v>208.87</v>
      </c>
      <c r="N313" s="63">
        <f t="shared" si="45"/>
        <v>232.02</v>
      </c>
      <c r="O313" s="63">
        <f t="shared" si="46"/>
        <v>243.69</v>
      </c>
    </row>
    <row r="314" spans="1:15" ht="15" customHeight="1">
      <c r="A314" s="87" t="s">
        <v>115</v>
      </c>
      <c r="B314" s="115">
        <f t="shared" si="39"/>
        <v>0.38</v>
      </c>
      <c r="C314" s="116">
        <v>15</v>
      </c>
      <c r="D314" s="117" t="s">
        <v>29</v>
      </c>
      <c r="E314" s="41" t="s">
        <v>137</v>
      </c>
      <c r="F314" s="134" t="s">
        <v>90</v>
      </c>
      <c r="G314" s="135">
        <v>26.006</v>
      </c>
      <c r="H314" s="120">
        <f t="shared" si="41"/>
        <v>312.07</v>
      </c>
      <c r="I314" s="68">
        <f t="shared" si="40"/>
        <v>346.66</v>
      </c>
      <c r="J314" s="120">
        <f t="shared" si="42"/>
        <v>364.08</v>
      </c>
      <c r="K314" s="121">
        <v>9.9991540478808982E-2</v>
      </c>
      <c r="L314" s="63">
        <f t="shared" si="43"/>
        <v>299.13</v>
      </c>
      <c r="M314" s="63">
        <f t="shared" si="44"/>
        <v>208.05</v>
      </c>
      <c r="N314" s="63">
        <f t="shared" si="45"/>
        <v>231.11</v>
      </c>
      <c r="O314" s="63">
        <f t="shared" si="46"/>
        <v>242.72</v>
      </c>
    </row>
    <row r="315" spans="1:15" ht="15" customHeight="1">
      <c r="A315" s="87" t="s">
        <v>115</v>
      </c>
      <c r="B315" s="115">
        <f t="shared" si="39"/>
        <v>0.41</v>
      </c>
      <c r="C315" s="116">
        <v>16</v>
      </c>
      <c r="D315" s="117" t="s">
        <v>29</v>
      </c>
      <c r="E315" s="41" t="s">
        <v>137</v>
      </c>
      <c r="F315" s="134" t="s">
        <v>100</v>
      </c>
      <c r="G315" s="135">
        <v>24.802</v>
      </c>
      <c r="H315" s="120">
        <f t="shared" si="41"/>
        <v>297.62</v>
      </c>
      <c r="I315" s="68">
        <f t="shared" si="40"/>
        <v>330.61</v>
      </c>
      <c r="J315" s="120">
        <f t="shared" si="42"/>
        <v>347.23</v>
      </c>
      <c r="K315" s="121">
        <v>0.10001330553953958</v>
      </c>
      <c r="L315" s="63">
        <f t="shared" si="43"/>
        <v>285.27999999999997</v>
      </c>
      <c r="M315" s="63">
        <f t="shared" si="44"/>
        <v>198.41</v>
      </c>
      <c r="N315" s="63">
        <f t="shared" si="45"/>
        <v>220.41</v>
      </c>
      <c r="O315" s="63">
        <f t="shared" si="46"/>
        <v>231.49</v>
      </c>
    </row>
    <row r="316" spans="1:15" ht="15" customHeight="1">
      <c r="A316" s="87" t="s">
        <v>115</v>
      </c>
      <c r="B316" s="115">
        <f t="shared" si="39"/>
        <v>0.41</v>
      </c>
      <c r="C316" s="116">
        <v>16</v>
      </c>
      <c r="D316" s="117" t="s">
        <v>29</v>
      </c>
      <c r="E316" s="41" t="s">
        <v>137</v>
      </c>
      <c r="F316" s="134" t="s">
        <v>129</v>
      </c>
      <c r="G316" s="135">
        <v>26.577000000000002</v>
      </c>
      <c r="H316" s="120">
        <f t="shared" si="41"/>
        <v>318.92</v>
      </c>
      <c r="I316" s="68">
        <f t="shared" si="40"/>
        <v>354.27</v>
      </c>
      <c r="J316" s="120">
        <f t="shared" si="42"/>
        <v>372.08</v>
      </c>
      <c r="K316" s="121">
        <v>9.9995861098464367E-2</v>
      </c>
      <c r="L316" s="63">
        <f t="shared" si="43"/>
        <v>305.7</v>
      </c>
      <c r="M316" s="63">
        <f t="shared" si="44"/>
        <v>212.61</v>
      </c>
      <c r="N316" s="63">
        <f t="shared" si="45"/>
        <v>236.18</v>
      </c>
      <c r="O316" s="63">
        <f t="shared" si="46"/>
        <v>248.05</v>
      </c>
    </row>
    <row r="317" spans="1:15" ht="15" customHeight="1">
      <c r="A317" s="87" t="s">
        <v>115</v>
      </c>
      <c r="B317" s="115">
        <f t="shared" si="39"/>
        <v>0.46</v>
      </c>
      <c r="C317" s="116">
        <v>18</v>
      </c>
      <c r="D317" s="117" t="s">
        <v>29</v>
      </c>
      <c r="E317" s="41" t="s">
        <v>137</v>
      </c>
      <c r="F317" s="134" t="s">
        <v>108</v>
      </c>
      <c r="G317" s="135">
        <v>27.029</v>
      </c>
      <c r="H317" s="120">
        <f t="shared" si="41"/>
        <v>324.35000000000002</v>
      </c>
      <c r="I317" s="68">
        <f t="shared" si="40"/>
        <v>360.3</v>
      </c>
      <c r="J317" s="120">
        <f t="shared" si="42"/>
        <v>378.41</v>
      </c>
      <c r="K317" s="121">
        <v>9.9991860654403464E-2</v>
      </c>
      <c r="L317" s="63">
        <f t="shared" si="43"/>
        <v>310.89999999999998</v>
      </c>
      <c r="M317" s="63">
        <f t="shared" si="44"/>
        <v>216.23</v>
      </c>
      <c r="N317" s="63">
        <f t="shared" si="45"/>
        <v>240.2</v>
      </c>
      <c r="O317" s="63">
        <f t="shared" si="46"/>
        <v>252.27</v>
      </c>
    </row>
    <row r="318" spans="1:15" ht="15" customHeight="1">
      <c r="A318" s="87" t="s">
        <v>115</v>
      </c>
      <c r="B318" s="115">
        <f t="shared" si="39"/>
        <v>0.46</v>
      </c>
      <c r="C318" s="116">
        <v>18</v>
      </c>
      <c r="D318" s="117" t="s">
        <v>29</v>
      </c>
      <c r="E318" s="41" t="s">
        <v>137</v>
      </c>
      <c r="F318" s="134" t="s">
        <v>129</v>
      </c>
      <c r="G318" s="135">
        <v>26.574000000000002</v>
      </c>
      <c r="H318" s="120">
        <f t="shared" si="41"/>
        <v>318.89</v>
      </c>
      <c r="I318" s="68">
        <f t="shared" si="40"/>
        <v>354.23</v>
      </c>
      <c r="J318" s="120">
        <f t="shared" si="42"/>
        <v>372.04</v>
      </c>
      <c r="K318" s="121">
        <v>0.10000827883102903</v>
      </c>
      <c r="L318" s="63">
        <f t="shared" si="43"/>
        <v>305.67</v>
      </c>
      <c r="M318" s="63">
        <f t="shared" si="44"/>
        <v>212.59</v>
      </c>
      <c r="N318" s="63">
        <f t="shared" si="45"/>
        <v>236.15</v>
      </c>
      <c r="O318" s="63">
        <f t="shared" si="46"/>
        <v>248.03</v>
      </c>
    </row>
    <row r="319" spans="1:15" ht="15" customHeight="1">
      <c r="A319" s="87" t="s">
        <v>115</v>
      </c>
      <c r="B319" s="115">
        <f t="shared" si="39"/>
        <v>0.51</v>
      </c>
      <c r="C319" s="116">
        <v>20</v>
      </c>
      <c r="D319" s="117" t="s">
        <v>29</v>
      </c>
      <c r="E319" s="41" t="s">
        <v>137</v>
      </c>
      <c r="F319" s="134" t="s">
        <v>108</v>
      </c>
      <c r="G319" s="135">
        <v>27.608000000000001</v>
      </c>
      <c r="H319" s="120">
        <f t="shared" si="41"/>
        <v>331.3</v>
      </c>
      <c r="I319" s="68">
        <f t="shared" si="40"/>
        <v>368.01</v>
      </c>
      <c r="J319" s="120">
        <f t="shared" si="42"/>
        <v>386.51</v>
      </c>
      <c r="K319" s="121">
        <v>0.10000796876245133</v>
      </c>
      <c r="L319" s="63">
        <f t="shared" si="43"/>
        <v>317.57</v>
      </c>
      <c r="M319" s="63">
        <f t="shared" si="44"/>
        <v>220.87</v>
      </c>
      <c r="N319" s="63">
        <f t="shared" si="45"/>
        <v>245.34</v>
      </c>
      <c r="O319" s="63">
        <f t="shared" si="46"/>
        <v>257.67</v>
      </c>
    </row>
    <row r="320" spans="1:15" ht="15" customHeight="1">
      <c r="A320" s="87" t="s">
        <v>115</v>
      </c>
      <c r="B320" s="115">
        <f t="shared" si="39"/>
        <v>0.51</v>
      </c>
      <c r="C320" s="116">
        <v>20</v>
      </c>
      <c r="D320" s="117" t="s">
        <v>29</v>
      </c>
      <c r="E320" s="41" t="s">
        <v>137</v>
      </c>
      <c r="F320" s="134" t="s">
        <v>91</v>
      </c>
      <c r="G320" s="135">
        <v>27.998999999999999</v>
      </c>
      <c r="H320" s="120">
        <f t="shared" si="41"/>
        <v>335.99</v>
      </c>
      <c r="I320" s="68">
        <f t="shared" si="40"/>
        <v>373.23</v>
      </c>
      <c r="J320" s="120">
        <f t="shared" si="42"/>
        <v>391.99</v>
      </c>
      <c r="K320" s="121">
        <v>9.9984285377543669E-2</v>
      </c>
      <c r="L320" s="63">
        <f t="shared" si="43"/>
        <v>322.06</v>
      </c>
      <c r="M320" s="63">
        <f t="shared" si="44"/>
        <v>223.99</v>
      </c>
      <c r="N320" s="63">
        <f t="shared" si="45"/>
        <v>248.82</v>
      </c>
      <c r="O320" s="63">
        <f t="shared" si="46"/>
        <v>261.33</v>
      </c>
    </row>
    <row r="321" spans="1:15" ht="15" customHeight="1">
      <c r="A321" s="87" t="s">
        <v>115</v>
      </c>
      <c r="B321" s="115">
        <f t="shared" si="39"/>
        <v>0.53</v>
      </c>
      <c r="C321" s="116">
        <v>21</v>
      </c>
      <c r="D321" s="117" t="s">
        <v>29</v>
      </c>
      <c r="E321" s="41" t="s">
        <v>137</v>
      </c>
      <c r="F321" s="134" t="s">
        <v>91</v>
      </c>
      <c r="G321" s="135">
        <v>27.998999999999999</v>
      </c>
      <c r="H321" s="120">
        <f t="shared" si="41"/>
        <v>335.99</v>
      </c>
      <c r="I321" s="68">
        <f t="shared" si="40"/>
        <v>373.23</v>
      </c>
      <c r="J321" s="120">
        <f t="shared" si="42"/>
        <v>391.99</v>
      </c>
      <c r="K321" s="121">
        <v>9.9984285377543669E-2</v>
      </c>
      <c r="L321" s="63">
        <f t="shared" si="43"/>
        <v>322.06</v>
      </c>
      <c r="M321" s="63">
        <f t="shared" si="44"/>
        <v>223.99</v>
      </c>
      <c r="N321" s="63">
        <f t="shared" si="45"/>
        <v>248.82</v>
      </c>
      <c r="O321" s="63">
        <f t="shared" si="46"/>
        <v>261.33</v>
      </c>
    </row>
    <row r="322" spans="1:15" ht="15" customHeight="1">
      <c r="A322" s="87" t="s">
        <v>115</v>
      </c>
      <c r="B322" s="115">
        <f t="shared" si="39"/>
        <v>0.61</v>
      </c>
      <c r="C322" s="116">
        <v>24</v>
      </c>
      <c r="D322" s="117" t="s">
        <v>29</v>
      </c>
      <c r="E322" s="41" t="s">
        <v>137</v>
      </c>
      <c r="F322" s="134" t="s">
        <v>94</v>
      </c>
      <c r="G322" s="135">
        <v>27.756</v>
      </c>
      <c r="H322" s="120">
        <f t="shared" si="41"/>
        <v>333.07</v>
      </c>
      <c r="I322" s="68">
        <f t="shared" si="40"/>
        <v>369.99</v>
      </c>
      <c r="J322" s="120">
        <f t="shared" si="42"/>
        <v>388.58</v>
      </c>
      <c r="K322" s="121">
        <v>9.9988110807276209E-2</v>
      </c>
      <c r="L322" s="63">
        <f t="shared" si="43"/>
        <v>319.27</v>
      </c>
      <c r="M322" s="63">
        <f t="shared" si="44"/>
        <v>222.05</v>
      </c>
      <c r="N322" s="63">
        <f t="shared" si="45"/>
        <v>246.66</v>
      </c>
      <c r="O322" s="63">
        <f t="shared" si="46"/>
        <v>259.05</v>
      </c>
    </row>
    <row r="323" spans="1:15" ht="15" customHeight="1">
      <c r="A323" s="87" t="s">
        <v>115</v>
      </c>
      <c r="B323" s="115">
        <f t="shared" si="39"/>
        <v>0.61</v>
      </c>
      <c r="C323" s="116">
        <v>24</v>
      </c>
      <c r="D323" s="117" t="s">
        <v>29</v>
      </c>
      <c r="E323" s="41" t="s">
        <v>137</v>
      </c>
      <c r="F323" s="134" t="s">
        <v>88</v>
      </c>
      <c r="G323" s="135">
        <v>29.885999999999999</v>
      </c>
      <c r="H323" s="120">
        <f t="shared" si="41"/>
        <v>358.63</v>
      </c>
      <c r="I323" s="68">
        <f t="shared" si="40"/>
        <v>398.38</v>
      </c>
      <c r="J323" s="120">
        <f t="shared" si="42"/>
        <v>418.4</v>
      </c>
      <c r="K323" s="121">
        <v>0.10000368066546428</v>
      </c>
      <c r="L323" s="63">
        <f t="shared" si="43"/>
        <v>343.76</v>
      </c>
      <c r="M323" s="63">
        <f t="shared" si="44"/>
        <v>239.09</v>
      </c>
      <c r="N323" s="63">
        <f t="shared" si="45"/>
        <v>265.58999999999997</v>
      </c>
      <c r="O323" s="63">
        <f t="shared" si="46"/>
        <v>278.93</v>
      </c>
    </row>
    <row r="324" spans="1:15" ht="15" customHeight="1">
      <c r="A324" s="87" t="s">
        <v>115</v>
      </c>
      <c r="B324" s="115">
        <f t="shared" si="39"/>
        <v>0.61</v>
      </c>
      <c r="C324" s="116">
        <v>24</v>
      </c>
      <c r="D324" s="117" t="s">
        <v>29</v>
      </c>
      <c r="E324" s="41" t="s">
        <v>137</v>
      </c>
      <c r="F324" s="134" t="s">
        <v>108</v>
      </c>
      <c r="G324" s="135">
        <v>29.056999999999999</v>
      </c>
      <c r="H324" s="120">
        <f t="shared" si="41"/>
        <v>348.68</v>
      </c>
      <c r="I324" s="68">
        <f t="shared" si="40"/>
        <v>387.33</v>
      </c>
      <c r="J324" s="120">
        <f t="shared" si="42"/>
        <v>406.8</v>
      </c>
      <c r="K324" s="121">
        <v>0.10001892863903095</v>
      </c>
      <c r="L324" s="63">
        <f t="shared" si="43"/>
        <v>334.23</v>
      </c>
      <c r="M324" s="63">
        <f t="shared" si="44"/>
        <v>232.45</v>
      </c>
      <c r="N324" s="63">
        <f t="shared" si="45"/>
        <v>258.22000000000003</v>
      </c>
      <c r="O324" s="63">
        <f t="shared" si="46"/>
        <v>271.2</v>
      </c>
    </row>
    <row r="325" spans="1:15" ht="15" customHeight="1">
      <c r="A325" s="87" t="s">
        <v>115</v>
      </c>
      <c r="B325" s="115">
        <f t="shared" si="39"/>
        <v>0.71</v>
      </c>
      <c r="C325" s="116">
        <v>28</v>
      </c>
      <c r="D325" s="117" t="s">
        <v>29</v>
      </c>
      <c r="E325" s="41" t="s">
        <v>137</v>
      </c>
      <c r="F325" s="134" t="s">
        <v>131</v>
      </c>
      <c r="G325" s="135">
        <v>32.831000000000003</v>
      </c>
      <c r="H325" s="120">
        <f t="shared" si="41"/>
        <v>393.97</v>
      </c>
      <c r="I325" s="68">
        <f t="shared" si="40"/>
        <v>437.64</v>
      </c>
      <c r="J325" s="120">
        <f t="shared" si="42"/>
        <v>459.63</v>
      </c>
      <c r="K325" s="121">
        <v>0.1000134021309389</v>
      </c>
      <c r="L325" s="63">
        <f t="shared" si="43"/>
        <v>377.64</v>
      </c>
      <c r="M325" s="63">
        <f t="shared" si="44"/>
        <v>262.64999999999998</v>
      </c>
      <c r="N325" s="63">
        <f t="shared" si="45"/>
        <v>291.76</v>
      </c>
      <c r="O325" s="63">
        <f t="shared" si="46"/>
        <v>306.42</v>
      </c>
    </row>
    <row r="326" spans="1:15" ht="15" customHeight="1">
      <c r="A326" s="87" t="s">
        <v>115</v>
      </c>
      <c r="B326" s="115">
        <f t="shared" si="39"/>
        <v>0.76</v>
      </c>
      <c r="C326" s="116">
        <v>30</v>
      </c>
      <c r="D326" s="117" t="s">
        <v>29</v>
      </c>
      <c r="E326" s="41" t="s">
        <v>137</v>
      </c>
      <c r="F326" s="134" t="s">
        <v>101</v>
      </c>
      <c r="G326" s="135">
        <v>30.492000000000001</v>
      </c>
      <c r="H326" s="120">
        <f t="shared" si="41"/>
        <v>365.9</v>
      </c>
      <c r="I326" s="68">
        <f t="shared" si="40"/>
        <v>406.46</v>
      </c>
      <c r="J326" s="120">
        <f t="shared" si="42"/>
        <v>426.89</v>
      </c>
      <c r="K326" s="121">
        <v>0.10000000000000009</v>
      </c>
      <c r="L326" s="63">
        <f t="shared" si="43"/>
        <v>350.74</v>
      </c>
      <c r="M326" s="63">
        <f t="shared" si="44"/>
        <v>243.93</v>
      </c>
      <c r="N326" s="63">
        <f t="shared" si="45"/>
        <v>270.97000000000003</v>
      </c>
      <c r="O326" s="63">
        <f t="shared" si="46"/>
        <v>284.58999999999997</v>
      </c>
    </row>
    <row r="327" spans="1:15" ht="15" customHeight="1">
      <c r="A327" s="87" t="s">
        <v>115</v>
      </c>
      <c r="B327" s="115">
        <f t="shared" si="39"/>
        <v>0.86</v>
      </c>
      <c r="C327" s="116">
        <v>34</v>
      </c>
      <c r="D327" s="117" t="s">
        <v>29</v>
      </c>
      <c r="E327" s="41" t="s">
        <v>137</v>
      </c>
      <c r="F327" s="134" t="s">
        <v>132</v>
      </c>
      <c r="G327" s="135">
        <v>34.761000000000003</v>
      </c>
      <c r="H327" s="120">
        <f t="shared" si="41"/>
        <v>417.13</v>
      </c>
      <c r="I327" s="68">
        <f t="shared" si="40"/>
        <v>463.36</v>
      </c>
      <c r="J327" s="120">
        <f t="shared" si="42"/>
        <v>486.65</v>
      </c>
      <c r="K327" s="121">
        <v>9.9996835543179063E-2</v>
      </c>
      <c r="L327" s="63">
        <f t="shared" si="43"/>
        <v>399.84</v>
      </c>
      <c r="M327" s="63">
        <f t="shared" si="44"/>
        <v>278.08999999999997</v>
      </c>
      <c r="N327" s="63">
        <f t="shared" si="45"/>
        <v>308.91000000000003</v>
      </c>
      <c r="O327" s="63">
        <f t="shared" si="46"/>
        <v>324.43</v>
      </c>
    </row>
    <row r="328" spans="1:15" ht="15" customHeight="1">
      <c r="A328" s="87" t="s">
        <v>115</v>
      </c>
      <c r="B328" s="115">
        <f t="shared" si="39"/>
        <v>0.89</v>
      </c>
      <c r="C328" s="116">
        <v>35</v>
      </c>
      <c r="D328" s="117" t="s">
        <v>29</v>
      </c>
      <c r="E328" s="41" t="s">
        <v>137</v>
      </c>
      <c r="F328" s="134" t="s">
        <v>133</v>
      </c>
      <c r="G328" s="135">
        <v>37.679000000000002</v>
      </c>
      <c r="H328" s="120">
        <f t="shared" si="41"/>
        <v>452.15</v>
      </c>
      <c r="I328" s="68">
        <f t="shared" si="40"/>
        <v>502.26</v>
      </c>
      <c r="J328" s="120">
        <f t="shared" si="42"/>
        <v>527.51</v>
      </c>
      <c r="K328" s="121">
        <v>9.9988322531675333E-2</v>
      </c>
      <c r="L328" s="63">
        <f t="shared" si="43"/>
        <v>433.4</v>
      </c>
      <c r="M328" s="63">
        <f t="shared" si="44"/>
        <v>301.43</v>
      </c>
      <c r="N328" s="63">
        <f t="shared" si="45"/>
        <v>334.84</v>
      </c>
      <c r="O328" s="63">
        <f t="shared" si="46"/>
        <v>351.67</v>
      </c>
    </row>
    <row r="329" spans="1:15" ht="15" customHeight="1">
      <c r="A329" s="87" t="s">
        <v>115</v>
      </c>
      <c r="B329" s="115">
        <f t="shared" ref="B329:B333" si="48">ROUND(C329*0.0254,2)</f>
        <v>0.89</v>
      </c>
      <c r="C329" s="116">
        <v>35</v>
      </c>
      <c r="D329" s="117" t="s">
        <v>29</v>
      </c>
      <c r="E329" s="41" t="s">
        <v>137</v>
      </c>
      <c r="F329" s="134" t="s">
        <v>96</v>
      </c>
      <c r="G329" s="135">
        <v>31.539000000000001</v>
      </c>
      <c r="H329" s="120">
        <f t="shared" si="41"/>
        <v>378.47</v>
      </c>
      <c r="I329" s="68">
        <f t="shared" si="40"/>
        <v>420.41</v>
      </c>
      <c r="J329" s="120">
        <f t="shared" si="42"/>
        <v>441.55</v>
      </c>
      <c r="K329" s="121">
        <v>9.9993024553571397E-2</v>
      </c>
      <c r="L329" s="63">
        <f t="shared" si="43"/>
        <v>362.78</v>
      </c>
      <c r="M329" s="63">
        <f t="shared" si="44"/>
        <v>252.31</v>
      </c>
      <c r="N329" s="63">
        <f t="shared" si="45"/>
        <v>280.27</v>
      </c>
      <c r="O329" s="63">
        <f t="shared" si="46"/>
        <v>294.37</v>
      </c>
    </row>
    <row r="330" spans="1:15" ht="15" customHeight="1">
      <c r="A330" s="87" t="s">
        <v>115</v>
      </c>
      <c r="B330" s="115">
        <f t="shared" si="48"/>
        <v>0.99</v>
      </c>
      <c r="C330" s="116">
        <v>39</v>
      </c>
      <c r="D330" s="117" t="s">
        <v>29</v>
      </c>
      <c r="E330" s="41" t="s">
        <v>137</v>
      </c>
      <c r="F330" s="134" t="s">
        <v>134</v>
      </c>
      <c r="G330" s="135">
        <v>38.145000000000003</v>
      </c>
      <c r="H330" s="120">
        <f t="shared" si="41"/>
        <v>457.74</v>
      </c>
      <c r="I330" s="68">
        <f t="shared" si="40"/>
        <v>508.47</v>
      </c>
      <c r="J330" s="120">
        <f t="shared" si="42"/>
        <v>534.03</v>
      </c>
      <c r="K330" s="121">
        <v>0.10000865126741076</v>
      </c>
      <c r="L330" s="63">
        <f t="shared" si="43"/>
        <v>438.76</v>
      </c>
      <c r="M330" s="63">
        <f t="shared" si="44"/>
        <v>305.16000000000003</v>
      </c>
      <c r="N330" s="63">
        <f t="shared" si="45"/>
        <v>338.98</v>
      </c>
      <c r="O330" s="63">
        <f t="shared" si="46"/>
        <v>356.02</v>
      </c>
    </row>
    <row r="331" spans="1:15" ht="15" customHeight="1">
      <c r="A331" s="87" t="s">
        <v>115</v>
      </c>
      <c r="B331" s="115">
        <f t="shared" si="48"/>
        <v>1.17</v>
      </c>
      <c r="C331" s="116">
        <v>46</v>
      </c>
      <c r="D331" s="117" t="s">
        <v>29</v>
      </c>
      <c r="E331" s="41" t="s">
        <v>137</v>
      </c>
      <c r="F331" s="134" t="s">
        <v>102</v>
      </c>
      <c r="G331" s="135">
        <v>32.326999999999998</v>
      </c>
      <c r="H331" s="120">
        <f t="shared" si="41"/>
        <v>387.92</v>
      </c>
      <c r="I331" s="68">
        <f t="shared" si="40"/>
        <v>430.92</v>
      </c>
      <c r="J331" s="120">
        <f t="shared" si="42"/>
        <v>452.58</v>
      </c>
      <c r="K331" s="121">
        <v>0.100006805498843</v>
      </c>
      <c r="L331" s="63">
        <f t="shared" si="43"/>
        <v>371.84</v>
      </c>
      <c r="M331" s="63">
        <f t="shared" si="44"/>
        <v>258.61</v>
      </c>
      <c r="N331" s="63">
        <f t="shared" si="45"/>
        <v>287.27999999999997</v>
      </c>
      <c r="O331" s="63">
        <f t="shared" si="46"/>
        <v>301.72000000000003</v>
      </c>
    </row>
    <row r="332" spans="1:15" ht="15" customHeight="1">
      <c r="A332" s="87" t="s">
        <v>115</v>
      </c>
      <c r="B332" s="115">
        <f t="shared" si="48"/>
        <v>1.22</v>
      </c>
      <c r="C332" s="116">
        <v>48</v>
      </c>
      <c r="D332" s="117" t="s">
        <v>29</v>
      </c>
      <c r="E332" s="41" t="s">
        <v>137</v>
      </c>
      <c r="F332" s="134" t="s">
        <v>135</v>
      </c>
      <c r="G332" s="135">
        <v>43.293999999999997</v>
      </c>
      <c r="H332" s="120">
        <f t="shared" si="41"/>
        <v>519.53</v>
      </c>
      <c r="I332" s="68">
        <f t="shared" si="40"/>
        <v>577.11</v>
      </c>
      <c r="J332" s="120">
        <f t="shared" si="42"/>
        <v>606.12</v>
      </c>
      <c r="K332" s="121">
        <v>0.10000508155902232</v>
      </c>
      <c r="L332" s="63">
        <f t="shared" si="43"/>
        <v>497.99</v>
      </c>
      <c r="M332" s="63">
        <f t="shared" si="44"/>
        <v>346.35</v>
      </c>
      <c r="N332" s="63">
        <f t="shared" si="45"/>
        <v>384.74</v>
      </c>
      <c r="O332" s="63">
        <f t="shared" si="46"/>
        <v>404.08</v>
      </c>
    </row>
    <row r="333" spans="1:15" ht="15" customHeight="1">
      <c r="A333" s="87" t="s">
        <v>115</v>
      </c>
      <c r="B333" s="115">
        <f t="shared" si="48"/>
        <v>2.08</v>
      </c>
      <c r="C333" s="116">
        <v>82</v>
      </c>
      <c r="D333" s="117" t="s">
        <v>29</v>
      </c>
      <c r="E333" s="41" t="s">
        <v>137</v>
      </c>
      <c r="F333" s="118" t="s">
        <v>136</v>
      </c>
      <c r="G333" s="119">
        <v>44.113999999999997</v>
      </c>
      <c r="H333" s="120">
        <f t="shared" si="41"/>
        <v>529.37</v>
      </c>
      <c r="I333" s="68">
        <f t="shared" si="40"/>
        <v>588.04</v>
      </c>
      <c r="J333" s="120">
        <f t="shared" si="42"/>
        <v>617.6</v>
      </c>
      <c r="K333" s="121">
        <v>9.9990025932575222E-2</v>
      </c>
      <c r="L333" s="63">
        <f t="shared" si="43"/>
        <v>507.43</v>
      </c>
      <c r="M333" s="63">
        <f t="shared" si="44"/>
        <v>352.91</v>
      </c>
      <c r="N333" s="63">
        <f t="shared" si="45"/>
        <v>392.03</v>
      </c>
      <c r="O333" s="63">
        <f t="shared" si="46"/>
        <v>411.73</v>
      </c>
    </row>
    <row r="335" spans="1:15" ht="20.399999999999999" customHeight="1">
      <c r="A335" s="136" t="s">
        <v>141</v>
      </c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</row>
    <row r="336" spans="1:15" s="143" customFormat="1" ht="21.6" customHeight="1">
      <c r="A336" s="137" t="s">
        <v>13</v>
      </c>
      <c r="B336" s="137" t="s">
        <v>31</v>
      </c>
      <c r="C336" s="137" t="s">
        <v>32</v>
      </c>
      <c r="D336" s="137" t="s">
        <v>33</v>
      </c>
      <c r="E336" s="137" t="s">
        <v>34</v>
      </c>
      <c r="F336" s="138" t="s">
        <v>35</v>
      </c>
      <c r="G336" s="137" t="s">
        <v>36</v>
      </c>
      <c r="H336" s="139" t="s">
        <v>37</v>
      </c>
      <c r="I336" s="140" t="s">
        <v>38</v>
      </c>
      <c r="J336" s="141"/>
      <c r="K336" s="142" t="s">
        <v>23</v>
      </c>
    </row>
    <row r="337" spans="1:15" s="143" customFormat="1" ht="16.2" customHeight="1">
      <c r="A337" s="41" t="s">
        <v>142</v>
      </c>
      <c r="B337" s="41">
        <v>1037</v>
      </c>
      <c r="C337" s="144">
        <v>73</v>
      </c>
      <c r="D337" s="41" t="s">
        <v>40</v>
      </c>
      <c r="E337" s="44" t="s">
        <v>41</v>
      </c>
      <c r="F337" s="41">
        <v>3937</v>
      </c>
      <c r="G337" s="74">
        <v>2.8290000000000002</v>
      </c>
      <c r="H337" s="46">
        <f>ROUND(G337*13.124,2)</f>
        <v>37.130000000000003</v>
      </c>
      <c r="I337" s="89">
        <f>ROUND(G337*F337,2)</f>
        <v>11137.77</v>
      </c>
      <c r="J337" s="89"/>
      <c r="K337" s="43">
        <v>9.9922239502332921E-2</v>
      </c>
      <c r="L337" s="33"/>
      <c r="M337" s="33"/>
      <c r="N337" s="77"/>
    </row>
    <row r="338" spans="1:15">
      <c r="A338" s="41" t="s">
        <v>142</v>
      </c>
      <c r="B338" s="41">
        <v>1037</v>
      </c>
      <c r="C338" s="144">
        <v>75</v>
      </c>
      <c r="D338" s="41" t="s">
        <v>40</v>
      </c>
      <c r="E338" s="44" t="s">
        <v>41</v>
      </c>
      <c r="F338" s="41">
        <v>3937</v>
      </c>
      <c r="G338" s="74">
        <v>2.8860000000000001</v>
      </c>
      <c r="H338" s="46">
        <f>ROUND(G338*13.124,2)</f>
        <v>37.880000000000003</v>
      </c>
      <c r="I338" s="89">
        <f>ROUND(G338*F338,2)</f>
        <v>11362.18</v>
      </c>
      <c r="J338" s="89"/>
      <c r="K338" s="43">
        <v>9.9847560975609762E-2</v>
      </c>
      <c r="N338" s="77"/>
      <c r="O338" s="143"/>
    </row>
    <row r="339" spans="1:15">
      <c r="A339" s="41" t="s">
        <v>142</v>
      </c>
      <c r="B339" s="41">
        <v>1035</v>
      </c>
      <c r="C339" s="144">
        <v>73</v>
      </c>
      <c r="D339" s="41" t="s">
        <v>40</v>
      </c>
      <c r="E339" s="44" t="s">
        <v>41</v>
      </c>
      <c r="F339" s="41">
        <v>3937</v>
      </c>
      <c r="G339" s="74">
        <v>2.907</v>
      </c>
      <c r="H339" s="46">
        <f t="shared" ref="H339:H382" si="49">ROUND(G339*13.124,2)</f>
        <v>38.15</v>
      </c>
      <c r="I339" s="89">
        <f t="shared" ref="I339:I382" si="50">ROUND(G339*F339,2)</f>
        <v>11444.86</v>
      </c>
      <c r="J339" s="89"/>
      <c r="K339" s="43">
        <v>9.9886492622020429E-2</v>
      </c>
      <c r="N339" s="77"/>
      <c r="O339" s="143"/>
    </row>
    <row r="340" spans="1:15">
      <c r="A340" s="41" t="s">
        <v>142</v>
      </c>
      <c r="B340" s="41">
        <v>106</v>
      </c>
      <c r="C340" s="144">
        <v>70</v>
      </c>
      <c r="D340" s="41" t="s">
        <v>40</v>
      </c>
      <c r="E340" s="44" t="s">
        <v>41</v>
      </c>
      <c r="F340" s="41">
        <v>3937</v>
      </c>
      <c r="G340" s="74">
        <v>2.1160000000000001</v>
      </c>
      <c r="H340" s="46">
        <f t="shared" si="49"/>
        <v>27.77</v>
      </c>
      <c r="I340" s="89">
        <f t="shared" si="50"/>
        <v>8330.69</v>
      </c>
      <c r="J340" s="89"/>
      <c r="K340" s="43">
        <v>0.14999999999999991</v>
      </c>
      <c r="N340" s="77"/>
      <c r="O340" s="143"/>
    </row>
    <row r="341" spans="1:15">
      <c r="A341" s="41" t="s">
        <v>142</v>
      </c>
      <c r="B341" s="41">
        <v>106</v>
      </c>
      <c r="C341" s="144">
        <v>72</v>
      </c>
      <c r="D341" s="41" t="s">
        <v>40</v>
      </c>
      <c r="E341" s="44" t="s">
        <v>41</v>
      </c>
      <c r="F341" s="41">
        <v>3937</v>
      </c>
      <c r="G341" s="74">
        <v>2.1160000000000001</v>
      </c>
      <c r="H341" s="46">
        <f t="shared" si="49"/>
        <v>27.77</v>
      </c>
      <c r="I341" s="89">
        <f t="shared" si="50"/>
        <v>8330.69</v>
      </c>
      <c r="J341" s="89"/>
      <c r="K341" s="43">
        <v>0.14999999999999991</v>
      </c>
      <c r="N341" s="77"/>
      <c r="O341" s="143"/>
    </row>
    <row r="342" spans="1:15">
      <c r="A342" s="41" t="s">
        <v>142</v>
      </c>
      <c r="B342" s="41">
        <v>106</v>
      </c>
      <c r="C342" s="144">
        <v>75</v>
      </c>
      <c r="D342" s="41" t="s">
        <v>40</v>
      </c>
      <c r="E342" s="44" t="s">
        <v>41</v>
      </c>
      <c r="F342" s="41">
        <v>3937</v>
      </c>
      <c r="G342" s="74">
        <v>2.2450000000000001</v>
      </c>
      <c r="H342" s="46">
        <f t="shared" si="49"/>
        <v>29.46</v>
      </c>
      <c r="I342" s="89">
        <f t="shared" si="50"/>
        <v>8838.57</v>
      </c>
      <c r="J342" s="89"/>
      <c r="K342" s="43">
        <v>9.995100440960325E-2</v>
      </c>
      <c r="N342" s="77"/>
      <c r="O342" s="143"/>
    </row>
    <row r="343" spans="1:15">
      <c r="A343" s="41" t="s">
        <v>142</v>
      </c>
      <c r="B343" s="41">
        <v>106</v>
      </c>
      <c r="C343" s="144">
        <v>77</v>
      </c>
      <c r="D343" s="41" t="s">
        <v>40</v>
      </c>
      <c r="E343" s="44" t="s">
        <v>41</v>
      </c>
      <c r="F343" s="41">
        <v>3937</v>
      </c>
      <c r="G343" s="74">
        <v>2.3860000000000001</v>
      </c>
      <c r="H343" s="46">
        <f t="shared" si="49"/>
        <v>31.31</v>
      </c>
      <c r="I343" s="89">
        <f t="shared" si="50"/>
        <v>9393.68</v>
      </c>
      <c r="J343" s="89"/>
      <c r="K343" s="43">
        <v>0.10004610419548188</v>
      </c>
      <c r="N343" s="77"/>
      <c r="O343" s="143"/>
    </row>
    <row r="344" spans="1:15">
      <c r="A344" s="41" t="s">
        <v>142</v>
      </c>
      <c r="B344" s="41">
        <v>1067</v>
      </c>
      <c r="C344" s="144">
        <v>71.5</v>
      </c>
      <c r="D344" s="41" t="s">
        <v>40</v>
      </c>
      <c r="E344" s="44" t="s">
        <v>41</v>
      </c>
      <c r="F344" s="41">
        <v>3937</v>
      </c>
      <c r="G344" s="74">
        <v>2.4009999999999998</v>
      </c>
      <c r="H344" s="46">
        <f t="shared" si="49"/>
        <v>31.51</v>
      </c>
      <c r="I344" s="89">
        <f t="shared" si="50"/>
        <v>9452.74</v>
      </c>
      <c r="J344" s="89"/>
      <c r="K344" s="43">
        <v>9.9862574438845719E-2</v>
      </c>
      <c r="N344" s="77"/>
      <c r="O344" s="143"/>
    </row>
    <row r="345" spans="1:15">
      <c r="A345" s="41" t="s">
        <v>142</v>
      </c>
      <c r="B345" s="41">
        <v>1067</v>
      </c>
      <c r="C345" s="144">
        <v>72</v>
      </c>
      <c r="D345" s="41" t="s">
        <v>40</v>
      </c>
      <c r="E345" s="44" t="s">
        <v>41</v>
      </c>
      <c r="F345" s="41">
        <v>3937</v>
      </c>
      <c r="G345" s="74">
        <v>2.44</v>
      </c>
      <c r="H345" s="46">
        <f t="shared" si="49"/>
        <v>32.020000000000003</v>
      </c>
      <c r="I345" s="89">
        <f t="shared" si="50"/>
        <v>9606.2800000000007</v>
      </c>
      <c r="J345" s="89"/>
      <c r="K345" s="43">
        <v>0.10009017132551845</v>
      </c>
      <c r="N345" s="77"/>
      <c r="O345" s="143"/>
    </row>
    <row r="346" spans="1:15">
      <c r="A346" s="41" t="s">
        <v>142</v>
      </c>
      <c r="B346" s="41">
        <v>1067</v>
      </c>
      <c r="C346" s="144">
        <v>75</v>
      </c>
      <c r="D346" s="41" t="s">
        <v>40</v>
      </c>
      <c r="E346" s="44" t="s">
        <v>41</v>
      </c>
      <c r="F346" s="41">
        <v>3937</v>
      </c>
      <c r="G346" s="74">
        <v>2.5230000000000001</v>
      </c>
      <c r="H346" s="46">
        <f t="shared" si="49"/>
        <v>33.11</v>
      </c>
      <c r="I346" s="89">
        <f t="shared" si="50"/>
        <v>9933.0499999999993</v>
      </c>
      <c r="J346" s="89"/>
      <c r="K346" s="43">
        <v>9.9825632083696547E-2</v>
      </c>
      <c r="N346" s="77"/>
      <c r="O346" s="143"/>
    </row>
    <row r="347" spans="1:15">
      <c r="A347" s="41" t="s">
        <v>142</v>
      </c>
      <c r="B347" s="41">
        <v>1067</v>
      </c>
      <c r="C347" s="144">
        <v>77</v>
      </c>
      <c r="D347" s="41" t="s">
        <v>40</v>
      </c>
      <c r="E347" s="44" t="s">
        <v>41</v>
      </c>
      <c r="F347" s="41">
        <v>3937</v>
      </c>
      <c r="G347" s="74">
        <v>2.7250000000000001</v>
      </c>
      <c r="H347" s="46">
        <f t="shared" si="49"/>
        <v>35.76</v>
      </c>
      <c r="I347" s="89">
        <f t="shared" si="50"/>
        <v>10728.33</v>
      </c>
      <c r="J347" s="89"/>
      <c r="K347" s="43">
        <v>0.10012111425111025</v>
      </c>
      <c r="N347" s="77"/>
      <c r="O347" s="143"/>
    </row>
    <row r="348" spans="1:15">
      <c r="A348" s="41" t="s">
        <v>142</v>
      </c>
      <c r="B348" s="41">
        <v>1080</v>
      </c>
      <c r="C348" s="144">
        <v>61</v>
      </c>
      <c r="D348" s="41" t="s">
        <v>40</v>
      </c>
      <c r="E348" s="44" t="s">
        <v>41</v>
      </c>
      <c r="F348" s="41">
        <v>3937</v>
      </c>
      <c r="G348" s="74">
        <v>1.9259999999999999</v>
      </c>
      <c r="H348" s="46">
        <f t="shared" si="49"/>
        <v>25.28</v>
      </c>
      <c r="I348" s="89">
        <f t="shared" si="50"/>
        <v>7582.66</v>
      </c>
      <c r="J348" s="89"/>
      <c r="K348" s="43">
        <v>0.14985074626865669</v>
      </c>
      <c r="N348" s="77"/>
      <c r="O348" s="143"/>
    </row>
    <row r="349" spans="1:15">
      <c r="A349" s="41" t="s">
        <v>142</v>
      </c>
      <c r="B349" s="41">
        <v>1080</v>
      </c>
      <c r="C349" s="144">
        <v>62</v>
      </c>
      <c r="D349" s="41" t="s">
        <v>40</v>
      </c>
      <c r="E349" s="44" t="s">
        <v>41</v>
      </c>
      <c r="F349" s="41">
        <v>3937</v>
      </c>
      <c r="G349" s="74">
        <v>1.9259999999999999</v>
      </c>
      <c r="H349" s="46">
        <f t="shared" si="49"/>
        <v>25.28</v>
      </c>
      <c r="I349" s="89">
        <f t="shared" si="50"/>
        <v>7582.66</v>
      </c>
      <c r="J349" s="89"/>
      <c r="K349" s="43">
        <v>0.14985074626865669</v>
      </c>
      <c r="N349" s="77"/>
      <c r="O349" s="143"/>
    </row>
    <row r="350" spans="1:15">
      <c r="A350" s="41" t="s">
        <v>142</v>
      </c>
      <c r="B350" s="41">
        <v>1080</v>
      </c>
      <c r="C350" s="144">
        <v>63</v>
      </c>
      <c r="D350" s="41" t="s">
        <v>40</v>
      </c>
      <c r="E350" s="44" t="s">
        <v>41</v>
      </c>
      <c r="F350" s="41">
        <v>3937</v>
      </c>
      <c r="G350" s="74">
        <v>1.9450000000000001</v>
      </c>
      <c r="H350" s="46">
        <f t="shared" si="49"/>
        <v>25.53</v>
      </c>
      <c r="I350" s="89">
        <f t="shared" si="50"/>
        <v>7657.47</v>
      </c>
      <c r="J350" s="89"/>
      <c r="K350" s="43">
        <v>0.15020697811945594</v>
      </c>
      <c r="N350" s="77"/>
      <c r="O350" s="143"/>
    </row>
    <row r="351" spans="1:15">
      <c r="A351" s="41" t="s">
        <v>142</v>
      </c>
      <c r="B351" s="41">
        <v>1080</v>
      </c>
      <c r="C351" s="144">
        <v>64</v>
      </c>
      <c r="D351" s="41" t="s">
        <v>40</v>
      </c>
      <c r="E351" s="44" t="s">
        <v>41</v>
      </c>
      <c r="F351" s="41">
        <v>3937</v>
      </c>
      <c r="G351" s="74">
        <v>1.9450000000000001</v>
      </c>
      <c r="H351" s="46">
        <f t="shared" si="49"/>
        <v>25.53</v>
      </c>
      <c r="I351" s="89">
        <f t="shared" si="50"/>
        <v>7657.47</v>
      </c>
      <c r="J351" s="89"/>
      <c r="K351" s="43">
        <v>0.15020697811945594</v>
      </c>
      <c r="N351" s="77"/>
      <c r="O351" s="143"/>
    </row>
    <row r="352" spans="1:15">
      <c r="A352" s="41" t="s">
        <v>142</v>
      </c>
      <c r="B352" s="41">
        <v>1080</v>
      </c>
      <c r="C352" s="144">
        <v>65</v>
      </c>
      <c r="D352" s="41" t="s">
        <v>40</v>
      </c>
      <c r="E352" s="44" t="s">
        <v>41</v>
      </c>
      <c r="F352" s="41">
        <v>3937</v>
      </c>
      <c r="G352" s="74">
        <v>1.9750000000000001</v>
      </c>
      <c r="H352" s="46">
        <f t="shared" si="49"/>
        <v>25.92</v>
      </c>
      <c r="I352" s="89">
        <f t="shared" si="50"/>
        <v>7775.58</v>
      </c>
      <c r="J352" s="89"/>
      <c r="K352" s="43">
        <v>0.10027855153203347</v>
      </c>
      <c r="N352" s="77"/>
      <c r="O352" s="143"/>
    </row>
    <row r="353" spans="1:15">
      <c r="A353" s="41" t="s">
        <v>142</v>
      </c>
      <c r="B353" s="41">
        <v>1080</v>
      </c>
      <c r="C353" s="144">
        <v>68</v>
      </c>
      <c r="D353" s="41" t="s">
        <v>40</v>
      </c>
      <c r="E353" s="44" t="s">
        <v>41</v>
      </c>
      <c r="F353" s="41">
        <v>3937</v>
      </c>
      <c r="G353" s="74">
        <v>1.994</v>
      </c>
      <c r="H353" s="46">
        <f t="shared" si="49"/>
        <v>26.17</v>
      </c>
      <c r="I353" s="89">
        <f t="shared" si="50"/>
        <v>7850.38</v>
      </c>
      <c r="J353" s="89"/>
      <c r="K353" s="43">
        <v>9.9834528405956968E-2</v>
      </c>
      <c r="N353" s="77"/>
      <c r="O353" s="143"/>
    </row>
    <row r="354" spans="1:15">
      <c r="A354" s="41" t="s">
        <v>142</v>
      </c>
      <c r="B354" s="41">
        <v>1080</v>
      </c>
      <c r="C354" s="144">
        <v>70</v>
      </c>
      <c r="D354" s="41" t="s">
        <v>40</v>
      </c>
      <c r="E354" s="44" t="s">
        <v>41</v>
      </c>
      <c r="F354" s="41">
        <v>3937</v>
      </c>
      <c r="G354" s="74">
        <v>2.081</v>
      </c>
      <c r="H354" s="46">
        <f t="shared" si="49"/>
        <v>27.31</v>
      </c>
      <c r="I354" s="89">
        <f t="shared" si="50"/>
        <v>8192.9</v>
      </c>
      <c r="J354" s="89"/>
      <c r="K354" s="43">
        <v>9.9894291754756948E-2</v>
      </c>
      <c r="N354" s="77"/>
      <c r="O354" s="143"/>
    </row>
    <row r="355" spans="1:15">
      <c r="A355" s="41" t="s">
        <v>142</v>
      </c>
      <c r="B355" s="41">
        <v>1080</v>
      </c>
      <c r="C355" s="144">
        <v>72</v>
      </c>
      <c r="D355" s="41" t="s">
        <v>40</v>
      </c>
      <c r="E355" s="44" t="s">
        <v>41</v>
      </c>
      <c r="F355" s="41">
        <v>3937</v>
      </c>
      <c r="G355" s="74">
        <v>2.14</v>
      </c>
      <c r="H355" s="46">
        <f t="shared" si="49"/>
        <v>28.09</v>
      </c>
      <c r="I355" s="89">
        <f t="shared" si="50"/>
        <v>8425.18</v>
      </c>
      <c r="J355" s="89"/>
      <c r="K355" s="43">
        <v>0.10025706940874035</v>
      </c>
      <c r="N355" s="77"/>
      <c r="O355" s="143"/>
    </row>
    <row r="356" spans="1:15">
      <c r="A356" s="41" t="s">
        <v>143</v>
      </c>
      <c r="B356" s="41">
        <v>1086</v>
      </c>
      <c r="C356" s="144">
        <v>61</v>
      </c>
      <c r="D356" s="41" t="s">
        <v>40</v>
      </c>
      <c r="E356" s="44" t="s">
        <v>41</v>
      </c>
      <c r="F356" s="41">
        <v>3937</v>
      </c>
      <c r="G356" s="74">
        <v>2.0659999999999998</v>
      </c>
      <c r="H356" s="46">
        <f t="shared" si="49"/>
        <v>27.11</v>
      </c>
      <c r="I356" s="89">
        <f t="shared" si="50"/>
        <v>8133.84</v>
      </c>
      <c r="J356" s="89"/>
      <c r="K356" s="43">
        <v>0.10010649627263035</v>
      </c>
      <c r="N356" s="77"/>
      <c r="O356" s="143"/>
    </row>
    <row r="357" spans="1:15">
      <c r="A357" s="41" t="s">
        <v>142</v>
      </c>
      <c r="B357" s="41">
        <v>1086</v>
      </c>
      <c r="C357" s="144">
        <v>65</v>
      </c>
      <c r="D357" s="41" t="s">
        <v>40</v>
      </c>
      <c r="E357" s="44" t="s">
        <v>41</v>
      </c>
      <c r="F357" s="41">
        <v>3937</v>
      </c>
      <c r="G357" s="74">
        <v>2.1789999999999998</v>
      </c>
      <c r="H357" s="46">
        <f t="shared" si="49"/>
        <v>28.6</v>
      </c>
      <c r="I357" s="89">
        <f t="shared" si="50"/>
        <v>8578.7199999999993</v>
      </c>
      <c r="J357" s="89"/>
      <c r="K357" s="43">
        <v>9.9949520444220008E-2</v>
      </c>
      <c r="N357" s="77"/>
      <c r="O357" s="143"/>
    </row>
    <row r="358" spans="1:15">
      <c r="A358" s="41" t="s">
        <v>142</v>
      </c>
      <c r="B358" s="41">
        <v>1086</v>
      </c>
      <c r="C358" s="144">
        <v>68</v>
      </c>
      <c r="D358" s="41" t="s">
        <v>40</v>
      </c>
      <c r="E358" s="44" t="s">
        <v>41</v>
      </c>
      <c r="F358" s="41">
        <v>3937</v>
      </c>
      <c r="G358" s="74">
        <v>2.3239999999999998</v>
      </c>
      <c r="H358" s="46">
        <f t="shared" si="49"/>
        <v>30.5</v>
      </c>
      <c r="I358" s="89">
        <f t="shared" si="50"/>
        <v>9149.59</v>
      </c>
      <c r="J358" s="89"/>
      <c r="K358" s="43">
        <v>9.9858021769995142E-2</v>
      </c>
      <c r="N358" s="77"/>
      <c r="O358" s="143"/>
    </row>
    <row r="359" spans="1:15">
      <c r="A359" s="41" t="s">
        <v>142</v>
      </c>
      <c r="B359" s="41">
        <v>1078</v>
      </c>
      <c r="C359" s="144">
        <v>62</v>
      </c>
      <c r="D359" s="41" t="s">
        <v>40</v>
      </c>
      <c r="E359" s="44" t="s">
        <v>41</v>
      </c>
      <c r="F359" s="41">
        <v>3937</v>
      </c>
      <c r="G359" s="74">
        <v>2.2389999999999999</v>
      </c>
      <c r="H359" s="46">
        <f t="shared" si="49"/>
        <v>29.38</v>
      </c>
      <c r="I359" s="89">
        <f t="shared" si="50"/>
        <v>8814.94</v>
      </c>
      <c r="J359" s="89"/>
      <c r="K359" s="43">
        <v>0.10024570024570001</v>
      </c>
      <c r="N359" s="77"/>
      <c r="O359" s="143"/>
    </row>
    <row r="360" spans="1:15">
      <c r="A360" s="41" t="s">
        <v>142</v>
      </c>
      <c r="B360" s="41">
        <v>1078</v>
      </c>
      <c r="C360" s="144">
        <v>65</v>
      </c>
      <c r="D360" s="41" t="s">
        <v>40</v>
      </c>
      <c r="E360" s="44" t="s">
        <v>41</v>
      </c>
      <c r="F360" s="41">
        <v>3937</v>
      </c>
      <c r="G360" s="74">
        <v>2.3159999999999998</v>
      </c>
      <c r="H360" s="46">
        <f t="shared" si="49"/>
        <v>30.4</v>
      </c>
      <c r="I360" s="89">
        <f t="shared" si="50"/>
        <v>9118.09</v>
      </c>
      <c r="J360" s="89"/>
      <c r="K360" s="43">
        <v>0.10023752969121125</v>
      </c>
      <c r="N360" s="77"/>
      <c r="O360" s="143"/>
    </row>
    <row r="361" spans="1:15">
      <c r="A361" s="41" t="s">
        <v>142</v>
      </c>
      <c r="B361" s="41">
        <v>1078</v>
      </c>
      <c r="C361" s="144">
        <v>66</v>
      </c>
      <c r="D361" s="41" t="s">
        <v>40</v>
      </c>
      <c r="E361" s="44" t="s">
        <v>41</v>
      </c>
      <c r="F361" s="41">
        <v>3937</v>
      </c>
      <c r="G361" s="74">
        <v>2.3839999999999999</v>
      </c>
      <c r="H361" s="46">
        <f t="shared" si="49"/>
        <v>31.29</v>
      </c>
      <c r="I361" s="89">
        <f t="shared" si="50"/>
        <v>9385.81</v>
      </c>
      <c r="J361" s="89"/>
      <c r="K361" s="43">
        <v>0.10013844023996321</v>
      </c>
      <c r="N361" s="77"/>
      <c r="O361" s="143"/>
    </row>
    <row r="362" spans="1:15">
      <c r="A362" s="41" t="s">
        <v>142</v>
      </c>
      <c r="B362" s="41">
        <v>1078</v>
      </c>
      <c r="C362" s="144">
        <v>68</v>
      </c>
      <c r="D362" s="41" t="s">
        <v>40</v>
      </c>
      <c r="E362" s="44" t="s">
        <v>41</v>
      </c>
      <c r="F362" s="41">
        <v>3937</v>
      </c>
      <c r="G362" s="74">
        <v>2.4300000000000002</v>
      </c>
      <c r="H362" s="46">
        <f t="shared" si="49"/>
        <v>31.89</v>
      </c>
      <c r="I362" s="89">
        <f t="shared" si="50"/>
        <v>9566.91</v>
      </c>
      <c r="J362" s="89"/>
      <c r="K362" s="43">
        <v>0.10004526935264835</v>
      </c>
      <c r="N362" s="77"/>
      <c r="O362" s="143"/>
    </row>
    <row r="363" spans="1:15">
      <c r="A363" s="41" t="s">
        <v>142</v>
      </c>
      <c r="B363" s="41">
        <v>1078</v>
      </c>
      <c r="C363" s="144">
        <v>70</v>
      </c>
      <c r="D363" s="41" t="s">
        <v>40</v>
      </c>
      <c r="E363" s="44" t="s">
        <v>41</v>
      </c>
      <c r="F363" s="41">
        <v>3937</v>
      </c>
      <c r="G363" s="74">
        <v>2.4809999999999999</v>
      </c>
      <c r="H363" s="46">
        <f t="shared" si="49"/>
        <v>32.56</v>
      </c>
      <c r="I363" s="89">
        <f t="shared" si="50"/>
        <v>9767.7000000000007</v>
      </c>
      <c r="J363" s="89"/>
      <c r="K363" s="43">
        <v>0.10022172949002206</v>
      </c>
      <c r="N363" s="77"/>
      <c r="O363" s="143"/>
    </row>
    <row r="364" spans="1:15" ht="13.2" customHeight="1">
      <c r="A364" s="41" t="s">
        <v>142</v>
      </c>
      <c r="B364" s="41">
        <v>1078</v>
      </c>
      <c r="C364" s="144">
        <v>72</v>
      </c>
      <c r="D364" s="41" t="s">
        <v>40</v>
      </c>
      <c r="E364" s="44" t="s">
        <v>41</v>
      </c>
      <c r="F364" s="41">
        <v>3937</v>
      </c>
      <c r="G364" s="74">
        <v>2.5750000000000002</v>
      </c>
      <c r="H364" s="46">
        <f t="shared" si="49"/>
        <v>33.79</v>
      </c>
      <c r="I364" s="89">
        <f t="shared" si="50"/>
        <v>10137.780000000001</v>
      </c>
      <c r="J364" s="89"/>
      <c r="K364" s="43">
        <v>9.995728321230235E-2</v>
      </c>
      <c r="N364" s="77"/>
      <c r="O364" s="143"/>
    </row>
    <row r="365" spans="1:15">
      <c r="A365" s="41" t="s">
        <v>142</v>
      </c>
      <c r="B365" s="41">
        <v>2113</v>
      </c>
      <c r="C365" s="144">
        <v>56.000000000000007</v>
      </c>
      <c r="D365" s="41" t="s">
        <v>40</v>
      </c>
      <c r="E365" s="44" t="s">
        <v>41</v>
      </c>
      <c r="F365" s="41">
        <v>3937</v>
      </c>
      <c r="G365" s="74">
        <v>2.2770000000000001</v>
      </c>
      <c r="H365" s="46">
        <f t="shared" si="49"/>
        <v>29.88</v>
      </c>
      <c r="I365" s="89">
        <f t="shared" si="50"/>
        <v>8964.5499999999993</v>
      </c>
      <c r="J365" s="89"/>
      <c r="K365" s="43">
        <v>0.10000000000000009</v>
      </c>
      <c r="N365" s="77"/>
      <c r="O365" s="143"/>
    </row>
    <row r="366" spans="1:15">
      <c r="A366" s="41" t="s">
        <v>142</v>
      </c>
      <c r="B366" s="41">
        <v>2113</v>
      </c>
      <c r="C366" s="144">
        <v>56.999999999999993</v>
      </c>
      <c r="D366" s="41" t="s">
        <v>40</v>
      </c>
      <c r="E366" s="44" t="s">
        <v>41</v>
      </c>
      <c r="F366" s="41">
        <v>3937</v>
      </c>
      <c r="G366" s="74">
        <v>2.3940000000000001</v>
      </c>
      <c r="H366" s="46">
        <f t="shared" si="49"/>
        <v>31.42</v>
      </c>
      <c r="I366" s="89">
        <f t="shared" si="50"/>
        <v>9425.18</v>
      </c>
      <c r="J366" s="89"/>
      <c r="K366" s="43">
        <v>0.10018382352941169</v>
      </c>
      <c r="N366" s="77"/>
      <c r="O366" s="143"/>
    </row>
    <row r="367" spans="1:15">
      <c r="A367" s="41" t="s">
        <v>142</v>
      </c>
      <c r="B367" s="41">
        <v>2113</v>
      </c>
      <c r="C367" s="144">
        <v>57.999999999999993</v>
      </c>
      <c r="D367" s="41" t="s">
        <v>40</v>
      </c>
      <c r="E367" s="44" t="s">
        <v>41</v>
      </c>
      <c r="F367" s="41">
        <v>3937</v>
      </c>
      <c r="G367" s="74">
        <v>2.3940000000000001</v>
      </c>
      <c r="H367" s="46">
        <f t="shared" si="49"/>
        <v>31.42</v>
      </c>
      <c r="I367" s="89">
        <f t="shared" si="50"/>
        <v>9425.18</v>
      </c>
      <c r="J367" s="89"/>
      <c r="K367" s="43">
        <v>0.10018382352941169</v>
      </c>
      <c r="N367" s="77"/>
      <c r="O367" s="143"/>
    </row>
    <row r="368" spans="1:15">
      <c r="A368" s="41" t="s">
        <v>142</v>
      </c>
      <c r="B368" s="118" t="s">
        <v>42</v>
      </c>
      <c r="C368" s="144">
        <v>56.000000000000007</v>
      </c>
      <c r="D368" s="41" t="s">
        <v>40</v>
      </c>
      <c r="E368" s="44" t="s">
        <v>41</v>
      </c>
      <c r="F368" s="41">
        <v>3937</v>
      </c>
      <c r="G368" s="74">
        <v>2.1680000000000001</v>
      </c>
      <c r="H368" s="46">
        <f t="shared" si="49"/>
        <v>28.45</v>
      </c>
      <c r="I368" s="89">
        <f t="shared" si="50"/>
        <v>8535.42</v>
      </c>
      <c r="J368" s="89"/>
      <c r="K368" s="43">
        <v>9.9949264332825916E-2</v>
      </c>
      <c r="N368" s="77"/>
      <c r="O368" s="143"/>
    </row>
    <row r="369" spans="1:15">
      <c r="A369" s="41" t="s">
        <v>142</v>
      </c>
      <c r="B369" s="118" t="s">
        <v>42</v>
      </c>
      <c r="C369" s="144">
        <v>57.999999999999993</v>
      </c>
      <c r="D369" s="41" t="s">
        <v>40</v>
      </c>
      <c r="E369" s="44" t="s">
        <v>41</v>
      </c>
      <c r="F369" s="41">
        <v>3937</v>
      </c>
      <c r="G369" s="74">
        <v>2.2440000000000002</v>
      </c>
      <c r="H369" s="46">
        <f t="shared" si="49"/>
        <v>29.45</v>
      </c>
      <c r="I369" s="89">
        <f t="shared" si="50"/>
        <v>8834.6299999999992</v>
      </c>
      <c r="J369" s="89"/>
      <c r="K369" s="43">
        <v>0.10000000000000009</v>
      </c>
      <c r="N369" s="77"/>
      <c r="O369" s="143"/>
    </row>
    <row r="370" spans="1:15">
      <c r="A370" s="41" t="s">
        <v>142</v>
      </c>
      <c r="B370" s="118" t="s">
        <v>42</v>
      </c>
      <c r="C370" s="144">
        <v>60</v>
      </c>
      <c r="D370" s="41" t="s">
        <v>40</v>
      </c>
      <c r="E370" s="44" t="s">
        <v>41</v>
      </c>
      <c r="F370" s="41">
        <v>3937</v>
      </c>
      <c r="G370" s="74">
        <v>2.2410000000000001</v>
      </c>
      <c r="H370" s="46">
        <f t="shared" si="49"/>
        <v>29.41</v>
      </c>
      <c r="I370" s="89">
        <f t="shared" si="50"/>
        <v>8822.82</v>
      </c>
      <c r="J370" s="89"/>
      <c r="K370" s="43">
        <v>0.10014727540500745</v>
      </c>
      <c r="N370" s="77"/>
      <c r="O370" s="143"/>
    </row>
    <row r="371" spans="1:15">
      <c r="A371" s="41" t="s">
        <v>142</v>
      </c>
      <c r="B371" s="118" t="s">
        <v>42</v>
      </c>
      <c r="C371" s="144">
        <v>61</v>
      </c>
      <c r="D371" s="41" t="s">
        <v>40</v>
      </c>
      <c r="E371" s="44" t="s">
        <v>41</v>
      </c>
      <c r="F371" s="41">
        <v>3937</v>
      </c>
      <c r="G371" s="74">
        <v>2.504</v>
      </c>
      <c r="H371" s="46">
        <f t="shared" si="49"/>
        <v>32.86</v>
      </c>
      <c r="I371" s="89">
        <f t="shared" si="50"/>
        <v>9858.25</v>
      </c>
      <c r="J371" s="89"/>
      <c r="K371" s="43">
        <v>0.10017574692442888</v>
      </c>
      <c r="N371" s="77"/>
      <c r="O371" s="143"/>
    </row>
    <row r="372" spans="1:15">
      <c r="A372" s="41" t="s">
        <v>142</v>
      </c>
      <c r="B372" s="41">
        <v>2116</v>
      </c>
      <c r="C372" s="144">
        <v>53</v>
      </c>
      <c r="D372" s="41" t="s">
        <v>43</v>
      </c>
      <c r="E372" s="44" t="s">
        <v>41</v>
      </c>
      <c r="F372" s="41">
        <v>2624.6</v>
      </c>
      <c r="G372" s="74">
        <v>2.161</v>
      </c>
      <c r="H372" s="46">
        <f t="shared" si="49"/>
        <v>28.36</v>
      </c>
      <c r="I372" s="89">
        <f t="shared" si="50"/>
        <v>5671.76</v>
      </c>
      <c r="J372" s="89"/>
      <c r="K372" s="43">
        <v>0.13023012552301272</v>
      </c>
      <c r="N372" s="77"/>
      <c r="O372" s="143"/>
    </row>
    <row r="373" spans="1:15">
      <c r="A373" s="41" t="s">
        <v>142</v>
      </c>
      <c r="B373" s="41">
        <v>2116</v>
      </c>
      <c r="C373" s="144">
        <v>55.000000000000007</v>
      </c>
      <c r="D373" s="41" t="s">
        <v>43</v>
      </c>
      <c r="E373" s="44" t="s">
        <v>41</v>
      </c>
      <c r="F373" s="41">
        <v>2624.6</v>
      </c>
      <c r="G373" s="74">
        <v>2.2149999999999999</v>
      </c>
      <c r="H373" s="46">
        <f t="shared" si="49"/>
        <v>29.07</v>
      </c>
      <c r="I373" s="89">
        <f t="shared" si="50"/>
        <v>5813.49</v>
      </c>
      <c r="J373" s="89"/>
      <c r="K373" s="43">
        <v>9.980139026812318E-2</v>
      </c>
      <c r="N373" s="77"/>
      <c r="O373" s="143"/>
    </row>
    <row r="374" spans="1:15">
      <c r="A374" s="41" t="s">
        <v>142</v>
      </c>
      <c r="B374" s="41">
        <v>2116</v>
      </c>
      <c r="C374" s="144">
        <v>56.999999999999993</v>
      </c>
      <c r="D374" s="41" t="s">
        <v>43</v>
      </c>
      <c r="E374" s="44" t="s">
        <v>41</v>
      </c>
      <c r="F374" s="41">
        <v>2624.6</v>
      </c>
      <c r="G374" s="74">
        <v>2.2290000000000001</v>
      </c>
      <c r="H374" s="46">
        <f t="shared" si="49"/>
        <v>29.25</v>
      </c>
      <c r="I374" s="89">
        <f t="shared" si="50"/>
        <v>5850.23</v>
      </c>
      <c r="J374" s="89"/>
      <c r="K374" s="43">
        <v>0.15015479876161009</v>
      </c>
      <c r="N374" s="77"/>
      <c r="O374" s="143"/>
    </row>
    <row r="375" spans="1:15">
      <c r="A375" s="41" t="s">
        <v>142</v>
      </c>
      <c r="B375" s="41">
        <v>2116</v>
      </c>
      <c r="C375" s="144">
        <v>59</v>
      </c>
      <c r="D375" s="41" t="s">
        <v>43</v>
      </c>
      <c r="E375" s="44" t="s">
        <v>41</v>
      </c>
      <c r="F375" s="41">
        <v>2624.6</v>
      </c>
      <c r="G375" s="74">
        <v>2.3959999999999999</v>
      </c>
      <c r="H375" s="46">
        <f t="shared" si="49"/>
        <v>31.45</v>
      </c>
      <c r="I375" s="89">
        <f t="shared" si="50"/>
        <v>6288.54</v>
      </c>
      <c r="J375" s="89"/>
      <c r="K375" s="43">
        <v>0.10009182736455458</v>
      </c>
      <c r="N375" s="77"/>
      <c r="O375" s="143"/>
    </row>
    <row r="376" spans="1:15">
      <c r="A376" s="41" t="s">
        <v>142</v>
      </c>
      <c r="B376" s="41">
        <v>2116</v>
      </c>
      <c r="C376" s="144">
        <v>60</v>
      </c>
      <c r="D376" s="41" t="s">
        <v>43</v>
      </c>
      <c r="E376" s="44" t="s">
        <v>41</v>
      </c>
      <c r="F376" s="41">
        <v>2624.6</v>
      </c>
      <c r="G376" s="74">
        <v>2.4460000000000002</v>
      </c>
      <c r="H376" s="46">
        <f t="shared" si="49"/>
        <v>32.1</v>
      </c>
      <c r="I376" s="89">
        <f t="shared" si="50"/>
        <v>6419.77</v>
      </c>
      <c r="J376" s="89"/>
      <c r="K376" s="43">
        <v>9.9820143884892021E-2</v>
      </c>
      <c r="N376" s="77"/>
      <c r="O376" s="143"/>
    </row>
    <row r="377" spans="1:15">
      <c r="A377" s="41" t="s">
        <v>142</v>
      </c>
      <c r="B377" s="41">
        <v>2116</v>
      </c>
      <c r="C377" s="144">
        <v>62</v>
      </c>
      <c r="D377" s="41" t="s">
        <v>43</v>
      </c>
      <c r="E377" s="44" t="s">
        <v>41</v>
      </c>
      <c r="F377" s="41">
        <v>2624.6</v>
      </c>
      <c r="G377" s="74">
        <v>2.5329999999999999</v>
      </c>
      <c r="H377" s="46">
        <f t="shared" si="49"/>
        <v>33.24</v>
      </c>
      <c r="I377" s="89">
        <f t="shared" si="50"/>
        <v>6648.11</v>
      </c>
      <c r="J377" s="89"/>
      <c r="K377" s="43">
        <v>9.9869735128093717E-2</v>
      </c>
      <c r="N377" s="77"/>
      <c r="O377" s="143"/>
    </row>
    <row r="378" spans="1:15">
      <c r="A378" s="41" t="s">
        <v>142</v>
      </c>
      <c r="B378" s="41">
        <v>1506</v>
      </c>
      <c r="C378" s="144">
        <v>48</v>
      </c>
      <c r="D378" s="41" t="s">
        <v>44</v>
      </c>
      <c r="E378" s="44" t="s">
        <v>41</v>
      </c>
      <c r="F378" s="41">
        <v>1968.5</v>
      </c>
      <c r="G378" s="74">
        <v>2.573</v>
      </c>
      <c r="H378" s="46">
        <f t="shared" si="49"/>
        <v>33.770000000000003</v>
      </c>
      <c r="I378" s="89">
        <f t="shared" si="50"/>
        <v>5064.95</v>
      </c>
      <c r="J378" s="89"/>
      <c r="K378" s="43">
        <v>0.10004275331338186</v>
      </c>
      <c r="N378" s="77"/>
      <c r="O378" s="143"/>
    </row>
    <row r="379" spans="1:15">
      <c r="A379" s="41" t="s">
        <v>142</v>
      </c>
      <c r="B379" s="41">
        <v>7628</v>
      </c>
      <c r="C379" s="144">
        <v>43</v>
      </c>
      <c r="D379" s="41" t="s">
        <v>44</v>
      </c>
      <c r="E379" s="44" t="s">
        <v>41</v>
      </c>
      <c r="F379" s="41">
        <v>1968.5</v>
      </c>
      <c r="G379" s="74">
        <v>2.42</v>
      </c>
      <c r="H379" s="46">
        <f t="shared" si="49"/>
        <v>31.76</v>
      </c>
      <c r="I379" s="89">
        <f t="shared" si="50"/>
        <v>4763.7700000000004</v>
      </c>
      <c r="J379" s="89"/>
      <c r="K379" s="43">
        <v>9.9999999999999867E-2</v>
      </c>
      <c r="N379" s="77"/>
      <c r="O379" s="143"/>
    </row>
    <row r="380" spans="1:15">
      <c r="A380" s="41" t="s">
        <v>142</v>
      </c>
      <c r="B380" s="41">
        <v>7628</v>
      </c>
      <c r="C380" s="144">
        <v>46</v>
      </c>
      <c r="D380" s="41" t="s">
        <v>44</v>
      </c>
      <c r="E380" s="44" t="s">
        <v>41</v>
      </c>
      <c r="F380" s="41">
        <v>1968.5</v>
      </c>
      <c r="G380" s="74">
        <v>2.4300000000000002</v>
      </c>
      <c r="H380" s="46">
        <f t="shared" si="49"/>
        <v>31.89</v>
      </c>
      <c r="I380" s="89">
        <f t="shared" si="50"/>
        <v>4783.46</v>
      </c>
      <c r="J380" s="89"/>
      <c r="K380" s="43">
        <v>0.10004526935264835</v>
      </c>
      <c r="N380" s="77"/>
      <c r="O380" s="143"/>
    </row>
    <row r="381" spans="1:15">
      <c r="A381" s="41" t="s">
        <v>142</v>
      </c>
      <c r="B381" s="41">
        <v>7628</v>
      </c>
      <c r="C381" s="145">
        <v>47.5</v>
      </c>
      <c r="D381" s="41" t="s">
        <v>44</v>
      </c>
      <c r="E381" s="44" t="s">
        <v>41</v>
      </c>
      <c r="F381" s="41">
        <v>1968.5</v>
      </c>
      <c r="G381" s="74">
        <v>2.4950000000000001</v>
      </c>
      <c r="H381" s="46">
        <f t="shared" si="49"/>
        <v>32.74</v>
      </c>
      <c r="I381" s="89">
        <f t="shared" si="50"/>
        <v>4911.41</v>
      </c>
      <c r="J381" s="89"/>
      <c r="K381" s="43">
        <v>0.10008818342151682</v>
      </c>
      <c r="N381" s="77"/>
      <c r="O381" s="143"/>
    </row>
    <row r="382" spans="1:15">
      <c r="A382" s="41" t="s">
        <v>142</v>
      </c>
      <c r="B382" s="41">
        <v>7628</v>
      </c>
      <c r="C382" s="145">
        <v>48</v>
      </c>
      <c r="D382" s="41" t="s">
        <v>44</v>
      </c>
      <c r="E382" s="44" t="s">
        <v>41</v>
      </c>
      <c r="F382" s="41">
        <v>1968.5</v>
      </c>
      <c r="G382" s="74">
        <v>2.4950000000000001</v>
      </c>
      <c r="H382" s="46">
        <f t="shared" si="49"/>
        <v>32.74</v>
      </c>
      <c r="I382" s="89">
        <f t="shared" si="50"/>
        <v>4911.41</v>
      </c>
      <c r="J382" s="89"/>
      <c r="K382" s="43">
        <v>0.10008818342151682</v>
      </c>
      <c r="N382" s="77"/>
      <c r="O382" s="143"/>
    </row>
    <row r="384" spans="1:15">
      <c r="A384" s="35" t="s">
        <v>45</v>
      </c>
      <c r="B384" s="35"/>
      <c r="C384" s="48"/>
      <c r="D384" s="48"/>
      <c r="E384" s="48"/>
      <c r="F384" s="48"/>
      <c r="G384" s="48"/>
      <c r="H384" s="48"/>
      <c r="I384" s="48"/>
      <c r="J384" s="48"/>
      <c r="K384" s="48"/>
    </row>
    <row r="385" spans="1:11">
      <c r="A385" s="48" t="s">
        <v>46</v>
      </c>
      <c r="B385" s="48"/>
      <c r="C385" s="48"/>
      <c r="D385" s="48"/>
      <c r="E385" s="48"/>
      <c r="F385" s="48"/>
      <c r="G385" s="48"/>
      <c r="H385" s="48"/>
      <c r="I385" s="48"/>
      <c r="J385" s="48"/>
      <c r="K385" s="48"/>
    </row>
    <row r="386" spans="1:11">
      <c r="A386" s="146" t="s">
        <v>144</v>
      </c>
      <c r="B386" s="146"/>
      <c r="C386" s="147"/>
      <c r="D386" s="147"/>
      <c r="E386" s="147"/>
      <c r="F386" s="147"/>
      <c r="G386" s="147"/>
      <c r="H386" s="147"/>
      <c r="I386" s="147"/>
      <c r="J386" s="147"/>
      <c r="K386" s="147"/>
    </row>
    <row r="387" spans="1:11">
      <c r="A387" s="146" t="s">
        <v>145</v>
      </c>
      <c r="B387" s="146"/>
      <c r="C387" s="147"/>
      <c r="D387" s="147"/>
      <c r="E387" s="147"/>
      <c r="F387" s="147"/>
      <c r="G387" s="147"/>
      <c r="H387" s="147"/>
      <c r="I387" s="147"/>
      <c r="J387" s="147"/>
      <c r="K387" s="147"/>
    </row>
    <row r="388" spans="1:11">
      <c r="A388" s="51" t="s">
        <v>48</v>
      </c>
      <c r="B388" s="51"/>
      <c r="C388" s="48"/>
      <c r="D388" s="48"/>
      <c r="E388" s="48"/>
      <c r="F388" s="48"/>
      <c r="G388" s="48"/>
      <c r="H388" s="48"/>
      <c r="I388" s="48"/>
      <c r="J388" s="48"/>
      <c r="K388" s="48"/>
    </row>
    <row r="389" spans="1:11">
      <c r="A389" s="51" t="s">
        <v>49</v>
      </c>
      <c r="B389" s="51"/>
      <c r="C389" s="48"/>
      <c r="D389" s="48"/>
      <c r="E389" s="48"/>
      <c r="F389" s="48"/>
      <c r="G389" s="48"/>
      <c r="H389" s="48"/>
      <c r="I389" s="48"/>
      <c r="J389" s="48"/>
      <c r="K389" s="48"/>
    </row>
    <row r="390" spans="1:11">
      <c r="A390" s="52" t="s">
        <v>146</v>
      </c>
      <c r="B390" s="52"/>
      <c r="C390" s="48"/>
      <c r="D390" s="48"/>
      <c r="E390" s="48"/>
      <c r="F390" s="48"/>
      <c r="G390" s="48"/>
      <c r="H390" s="48"/>
      <c r="I390" s="48"/>
      <c r="J390" s="48"/>
      <c r="K390" s="48"/>
    </row>
    <row r="391" spans="1:11" s="1" customFormat="1">
      <c r="A391" s="25" t="s">
        <v>78</v>
      </c>
      <c r="B391" s="25"/>
      <c r="C391" s="21"/>
      <c r="D391" s="21"/>
      <c r="E391" s="21"/>
      <c r="F391" s="21"/>
      <c r="G391" s="21"/>
      <c r="H391" s="21"/>
      <c r="I391" s="21"/>
      <c r="J391" s="21"/>
      <c r="K391" s="21"/>
    </row>
    <row r="392" spans="1:11">
      <c r="A392" s="52" t="s">
        <v>51</v>
      </c>
      <c r="B392" s="52"/>
      <c r="C392" s="148"/>
      <c r="D392" s="148"/>
      <c r="E392" s="148"/>
      <c r="F392" s="148"/>
      <c r="G392" s="148"/>
      <c r="H392" s="148"/>
      <c r="I392" s="148"/>
      <c r="J392" s="148"/>
      <c r="K392" s="148"/>
    </row>
    <row r="393" spans="1:11">
      <c r="A393" s="148"/>
      <c r="B393" s="148"/>
      <c r="C393" s="148"/>
      <c r="D393" s="148"/>
      <c r="E393" s="148"/>
      <c r="F393" s="148"/>
      <c r="G393" s="148"/>
      <c r="H393" s="148"/>
      <c r="I393" s="148"/>
      <c r="J393" s="148"/>
      <c r="K393" s="148"/>
    </row>
    <row r="394" spans="1:11" ht="15.6">
      <c r="A394" s="55" t="s">
        <v>147</v>
      </c>
      <c r="B394" s="55"/>
      <c r="C394" s="55"/>
      <c r="D394" s="56"/>
      <c r="E394" s="56"/>
      <c r="F394" s="56"/>
      <c r="G394" s="56"/>
      <c r="H394" s="55" t="s">
        <v>148</v>
      </c>
      <c r="I394" s="56"/>
      <c r="J394" s="56"/>
      <c r="K394" s="56"/>
    </row>
  </sheetData>
  <mergeCells count="54">
    <mergeCell ref="I377:J377"/>
    <mergeCell ref="I378:J378"/>
    <mergeCell ref="I379:J379"/>
    <mergeCell ref="I380:J380"/>
    <mergeCell ref="I381:J381"/>
    <mergeCell ref="I382:J382"/>
    <mergeCell ref="I371:J371"/>
    <mergeCell ref="I372:J372"/>
    <mergeCell ref="I373:J373"/>
    <mergeCell ref="I374:J374"/>
    <mergeCell ref="I375:J375"/>
    <mergeCell ref="I376:J376"/>
    <mergeCell ref="I365:J365"/>
    <mergeCell ref="I366:J366"/>
    <mergeCell ref="I367:J367"/>
    <mergeCell ref="I368:J368"/>
    <mergeCell ref="I369:J369"/>
    <mergeCell ref="I370:J370"/>
    <mergeCell ref="I359:J359"/>
    <mergeCell ref="I360:J360"/>
    <mergeCell ref="I361:J361"/>
    <mergeCell ref="I362:J362"/>
    <mergeCell ref="I363:J363"/>
    <mergeCell ref="I364:J364"/>
    <mergeCell ref="I353:J353"/>
    <mergeCell ref="I354:J354"/>
    <mergeCell ref="I355:J355"/>
    <mergeCell ref="I356:J356"/>
    <mergeCell ref="I357:J357"/>
    <mergeCell ref="I358:J358"/>
    <mergeCell ref="I347:J347"/>
    <mergeCell ref="I348:J348"/>
    <mergeCell ref="I349:J349"/>
    <mergeCell ref="I350:J350"/>
    <mergeCell ref="I351:J351"/>
    <mergeCell ref="I352:J352"/>
    <mergeCell ref="I341:J341"/>
    <mergeCell ref="I342:J342"/>
    <mergeCell ref="I343:J343"/>
    <mergeCell ref="I344:J344"/>
    <mergeCell ref="I345:J345"/>
    <mergeCell ref="I346:J346"/>
    <mergeCell ref="A335:K335"/>
    <mergeCell ref="I336:J336"/>
    <mergeCell ref="I337:J337"/>
    <mergeCell ref="I338:J338"/>
    <mergeCell ref="I339:J339"/>
    <mergeCell ref="I340:J340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7BD4-DE1B-465C-A1EA-FB500CC634F8}">
  <dimension ref="A1:O195"/>
  <sheetViews>
    <sheetView workbookViewId="0">
      <selection activeCell="Q9" sqref="Q9"/>
    </sheetView>
  </sheetViews>
  <sheetFormatPr defaultColWidth="9" defaultRowHeight="13.8"/>
  <cols>
    <col min="1" max="11" width="8.09765625" style="33" customWidth="1"/>
    <col min="12" max="12" width="12.09765625" style="33" hidden="1" customWidth="1"/>
    <col min="13" max="13" width="13.19921875" style="33" hidden="1" customWidth="1"/>
    <col min="14" max="15" width="0" style="33" hidden="1" customWidth="1"/>
    <col min="16" max="16384" width="9" style="33"/>
  </cols>
  <sheetData>
    <row r="1" spans="1:15" ht="16.350000000000001" customHeight="1">
      <c r="C1" s="96"/>
      <c r="D1" s="96"/>
      <c r="E1" s="96"/>
      <c r="F1" s="96"/>
      <c r="G1" s="96"/>
      <c r="H1" s="96"/>
      <c r="I1" s="96"/>
      <c r="J1" s="96"/>
      <c r="K1" s="96"/>
    </row>
    <row r="2" spans="1:15" ht="74.400000000000006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5" ht="16.2" customHeight="1">
      <c r="A3" s="98" t="s">
        <v>0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5" ht="15" customHeight="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 ht="15" customHeight="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5" ht="15" customHeight="1">
      <c r="A6" s="35" t="s">
        <v>3</v>
      </c>
      <c r="B6" s="35" t="s">
        <v>4</v>
      </c>
      <c r="D6" s="36"/>
      <c r="E6" s="36"/>
      <c r="F6" s="36"/>
      <c r="G6" s="36"/>
      <c r="H6" s="36"/>
      <c r="I6" s="35" t="s">
        <v>5</v>
      </c>
      <c r="J6" s="35"/>
      <c r="K6" s="35"/>
    </row>
    <row r="7" spans="1:15" ht="15" customHeight="1">
      <c r="A7" s="35"/>
      <c r="B7" s="35" t="s">
        <v>6</v>
      </c>
      <c r="D7" s="36"/>
      <c r="E7" s="36"/>
      <c r="F7" s="36"/>
      <c r="G7" s="36"/>
      <c r="H7" s="36"/>
      <c r="I7" s="38" t="s">
        <v>7</v>
      </c>
      <c r="J7" s="38"/>
      <c r="K7" s="38"/>
    </row>
    <row r="8" spans="1:15" ht="15" customHeight="1">
      <c r="A8" s="35" t="s">
        <v>8</v>
      </c>
      <c r="B8" s="35" t="s">
        <v>9</v>
      </c>
      <c r="D8" s="36"/>
      <c r="E8" s="36"/>
      <c r="F8" s="36"/>
      <c r="G8" s="36"/>
      <c r="H8" s="36"/>
      <c r="I8" s="38" t="s">
        <v>80</v>
      </c>
      <c r="J8" s="38"/>
      <c r="K8" s="38"/>
    </row>
    <row r="9" spans="1:15" ht="15" customHeight="1">
      <c r="A9" s="35"/>
      <c r="B9" s="35" t="s">
        <v>10</v>
      </c>
      <c r="D9" s="36"/>
      <c r="E9" s="36"/>
      <c r="F9" s="36"/>
      <c r="G9" s="36"/>
      <c r="H9" s="36"/>
      <c r="I9" s="40" t="s">
        <v>11</v>
      </c>
      <c r="J9" s="35"/>
      <c r="K9" s="35"/>
    </row>
    <row r="10" spans="1:15" ht="15" customHeight="1">
      <c r="A10" s="36"/>
      <c r="B10" s="36"/>
      <c r="C10" s="36"/>
      <c r="D10" s="36"/>
      <c r="E10" s="36"/>
      <c r="F10" s="36"/>
      <c r="G10" s="36"/>
      <c r="H10" s="36"/>
      <c r="I10" s="36"/>
    </row>
    <row r="11" spans="1:15" ht="28.2" customHeight="1">
      <c r="A11" s="149" t="s">
        <v>149</v>
      </c>
      <c r="B11" s="149"/>
      <c r="C11" s="149"/>
      <c r="D11" s="149"/>
      <c r="E11" s="149"/>
      <c r="F11" s="149"/>
      <c r="G11" s="149"/>
      <c r="H11" s="149"/>
      <c r="I11" s="149"/>
      <c r="J11" s="149"/>
      <c r="K11" s="149"/>
    </row>
    <row r="12" spans="1:15" ht="20.399999999999999" customHeight="1">
      <c r="A12" s="78" t="s">
        <v>13</v>
      </c>
      <c r="B12" s="78" t="s">
        <v>14</v>
      </c>
      <c r="C12" s="78" t="s">
        <v>15</v>
      </c>
      <c r="D12" s="78" t="s">
        <v>16</v>
      </c>
      <c r="E12" s="78" t="s">
        <v>17</v>
      </c>
      <c r="F12" s="78" t="s">
        <v>18</v>
      </c>
      <c r="G12" s="78" t="s">
        <v>19</v>
      </c>
      <c r="H12" s="78" t="s">
        <v>20</v>
      </c>
      <c r="I12" s="78" t="s">
        <v>21</v>
      </c>
      <c r="J12" s="78" t="s">
        <v>22</v>
      </c>
      <c r="K12" s="114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 ht="15" customHeight="1">
      <c r="A13" s="87" t="s">
        <v>150</v>
      </c>
      <c r="B13" s="150">
        <f t="shared" ref="B13" si="0">ROUND(C13*0.0254,3)</f>
        <v>7.5999999999999998E-2</v>
      </c>
      <c r="C13" s="151">
        <v>3</v>
      </c>
      <c r="D13" s="41" t="s">
        <v>25</v>
      </c>
      <c r="E13" s="41" t="s">
        <v>116</v>
      </c>
      <c r="F13" s="117" t="s">
        <v>122</v>
      </c>
      <c r="G13" s="152">
        <v>12.442</v>
      </c>
      <c r="H13" s="120">
        <f t="shared" ref="H13:H15" si="1">ROUND(G13*12,2)</f>
        <v>149.30000000000001</v>
      </c>
      <c r="I13" s="68">
        <f t="shared" ref="I13:I76" si="2">ROUND(G13*13.33,2)</f>
        <v>165.85</v>
      </c>
      <c r="J13" s="120">
        <f t="shared" ref="J13:J15" si="3">ROUND(G13*14,2)</f>
        <v>174.19</v>
      </c>
      <c r="K13" s="153">
        <v>9.9991159048713696E-2</v>
      </c>
      <c r="L13" s="63">
        <f>ROUND(ROUND(ROUND(G13*12,2)*43/48,2)*1.07,2)</f>
        <v>143.11000000000001</v>
      </c>
      <c r="M13" s="63">
        <f>ROUND(ROUND(G13*12,2)*2/3,2)</f>
        <v>99.53</v>
      </c>
      <c r="N13" s="63">
        <f>ROUND(ROUND(G13*13.33,2)*2/3,2)</f>
        <v>110.57</v>
      </c>
      <c r="O13" s="63">
        <f>ROUND(ROUND(G13*14,2)*2/3,2)</f>
        <v>116.13</v>
      </c>
    </row>
    <row r="14" spans="1:15" ht="15" customHeight="1">
      <c r="A14" s="87" t="s">
        <v>150</v>
      </c>
      <c r="B14" s="150">
        <f t="shared" ref="B14" si="4">ROUND(C14*0.0254,2)</f>
        <v>0.13</v>
      </c>
      <c r="C14" s="151">
        <v>5</v>
      </c>
      <c r="D14" s="41" t="s">
        <v>25</v>
      </c>
      <c r="E14" s="41" t="s">
        <v>116</v>
      </c>
      <c r="F14" s="117" t="s">
        <v>117</v>
      </c>
      <c r="G14" s="152">
        <v>13.821999999999999</v>
      </c>
      <c r="H14" s="120">
        <f t="shared" si="1"/>
        <v>165.86</v>
      </c>
      <c r="I14" s="68">
        <f t="shared" si="2"/>
        <v>184.25</v>
      </c>
      <c r="J14" s="120">
        <f t="shared" si="3"/>
        <v>193.51</v>
      </c>
      <c r="K14" s="153">
        <v>0.10003979307600486</v>
      </c>
      <c r="L14" s="63">
        <f t="shared" ref="L14:L77" si="5">ROUND(ROUND(ROUND(G14*12,2)*43/48,2)*1.07,2)</f>
        <v>158.97999999999999</v>
      </c>
      <c r="M14" s="63">
        <f t="shared" ref="M14:M77" si="6">ROUND(ROUND(G14*12,2)*2/3,2)</f>
        <v>110.57</v>
      </c>
      <c r="N14" s="63">
        <f t="shared" ref="N14:N77" si="7">ROUND(ROUND(G14*13.33,2)*2/3,2)</f>
        <v>122.83</v>
      </c>
      <c r="O14" s="63">
        <f t="shared" ref="O14:O77" si="8">ROUND(ROUND(G14*14,2)*2/3,2)</f>
        <v>129.01</v>
      </c>
    </row>
    <row r="15" spans="1:15" ht="15" customHeight="1">
      <c r="A15" s="87" t="s">
        <v>150</v>
      </c>
      <c r="B15" s="150">
        <f t="shared" ref="B15:B16" si="9">ROUND(C15*0.0254,3)</f>
        <v>7.5999999999999998E-2</v>
      </c>
      <c r="C15" s="151">
        <v>3</v>
      </c>
      <c r="D15" s="154" t="s">
        <v>138</v>
      </c>
      <c r="E15" s="41" t="s">
        <v>151</v>
      </c>
      <c r="F15" s="117" t="s">
        <v>122</v>
      </c>
      <c r="G15" s="152">
        <v>22.224</v>
      </c>
      <c r="H15" s="120">
        <f t="shared" si="1"/>
        <v>266.69</v>
      </c>
      <c r="I15" s="68">
        <f t="shared" si="2"/>
        <v>296.25</v>
      </c>
      <c r="J15" s="120">
        <f t="shared" si="3"/>
        <v>311.14</v>
      </c>
      <c r="K15" s="153">
        <v>9.9980201940209845E-2</v>
      </c>
      <c r="L15" s="63">
        <f t="shared" si="5"/>
        <v>255.63</v>
      </c>
      <c r="M15" s="63">
        <f t="shared" si="6"/>
        <v>177.79</v>
      </c>
      <c r="N15" s="63">
        <f t="shared" si="7"/>
        <v>197.5</v>
      </c>
      <c r="O15" s="63">
        <f t="shared" si="8"/>
        <v>207.43</v>
      </c>
    </row>
    <row r="16" spans="1:15" ht="15.6" customHeight="1">
      <c r="A16" s="87" t="s">
        <v>150</v>
      </c>
      <c r="B16" s="150">
        <f t="shared" si="9"/>
        <v>7.5999999999999998E-2</v>
      </c>
      <c r="C16" s="151">
        <v>3</v>
      </c>
      <c r="D16" s="41" t="s">
        <v>25</v>
      </c>
      <c r="E16" s="41" t="s">
        <v>152</v>
      </c>
      <c r="F16" s="117" t="s">
        <v>122</v>
      </c>
      <c r="G16" s="115">
        <v>8.4269999999999996</v>
      </c>
      <c r="H16" s="120">
        <f>ROUND(G16*12,2)</f>
        <v>101.12</v>
      </c>
      <c r="I16" s="68">
        <f t="shared" si="2"/>
        <v>112.33</v>
      </c>
      <c r="J16" s="120">
        <f>ROUND(G16*14,2)</f>
        <v>117.98</v>
      </c>
      <c r="K16" s="153">
        <v>9.9986946873776184E-2</v>
      </c>
      <c r="L16" s="63">
        <f t="shared" si="5"/>
        <v>96.93</v>
      </c>
      <c r="M16" s="63">
        <f t="shared" si="6"/>
        <v>67.41</v>
      </c>
      <c r="N16" s="63">
        <f t="shared" si="7"/>
        <v>74.89</v>
      </c>
      <c r="O16" s="63">
        <f t="shared" si="8"/>
        <v>78.650000000000006</v>
      </c>
    </row>
    <row r="17" spans="1:15" ht="15.6" customHeight="1">
      <c r="A17" s="87" t="s">
        <v>153</v>
      </c>
      <c r="B17" s="150">
        <f>ROUND(C17*0.0254,3)</f>
        <v>6.4000000000000001E-2</v>
      </c>
      <c r="C17" s="151">
        <v>2.5</v>
      </c>
      <c r="D17" s="41" t="s">
        <v>25</v>
      </c>
      <c r="E17" s="41" t="s">
        <v>154</v>
      </c>
      <c r="F17" s="117" t="s">
        <v>122</v>
      </c>
      <c r="G17" s="115">
        <v>8.2509999999999994</v>
      </c>
      <c r="H17" s="120">
        <f>ROUND(G17*12,2)</f>
        <v>99.01</v>
      </c>
      <c r="I17" s="68">
        <f t="shared" si="2"/>
        <v>109.99</v>
      </c>
      <c r="J17" s="120">
        <f>ROUND(G17*14,2)</f>
        <v>115.51</v>
      </c>
      <c r="K17" s="153">
        <v>9.9986668444207227E-2</v>
      </c>
      <c r="L17" s="63">
        <f t="shared" si="5"/>
        <v>94.91</v>
      </c>
      <c r="M17" s="63">
        <f t="shared" si="6"/>
        <v>66.010000000000005</v>
      </c>
      <c r="N17" s="63">
        <f t="shared" si="7"/>
        <v>73.33</v>
      </c>
      <c r="O17" s="63">
        <f t="shared" si="8"/>
        <v>77.010000000000005</v>
      </c>
    </row>
    <row r="18" spans="1:15">
      <c r="A18" s="87" t="s">
        <v>150</v>
      </c>
      <c r="B18" s="150">
        <f t="shared" ref="B18:B20" si="10">ROUND(C18*0.0254,3)</f>
        <v>7.5999999999999998E-2</v>
      </c>
      <c r="C18" s="151">
        <v>3</v>
      </c>
      <c r="D18" s="41" t="s">
        <v>25</v>
      </c>
      <c r="E18" s="41" t="s">
        <v>154</v>
      </c>
      <c r="F18" s="117" t="s">
        <v>81</v>
      </c>
      <c r="G18" s="115">
        <v>8.2509999999999994</v>
      </c>
      <c r="H18" s="120">
        <f>ROUND(G18*12,2)</f>
        <v>99.01</v>
      </c>
      <c r="I18" s="68">
        <f t="shared" si="2"/>
        <v>109.99</v>
      </c>
      <c r="J18" s="120">
        <f>ROUND(G18*14,2)</f>
        <v>115.51</v>
      </c>
      <c r="K18" s="153">
        <v>9.9986668444207227E-2</v>
      </c>
      <c r="L18" s="63">
        <f t="shared" si="5"/>
        <v>94.91</v>
      </c>
      <c r="M18" s="63">
        <f t="shared" si="6"/>
        <v>66.010000000000005</v>
      </c>
      <c r="N18" s="63">
        <f t="shared" si="7"/>
        <v>73.33</v>
      </c>
      <c r="O18" s="63">
        <f t="shared" si="8"/>
        <v>77.010000000000005</v>
      </c>
    </row>
    <row r="19" spans="1:15">
      <c r="A19" s="87" t="s">
        <v>150</v>
      </c>
      <c r="B19" s="150">
        <f t="shared" si="10"/>
        <v>7.5999999999999998E-2</v>
      </c>
      <c r="C19" s="151">
        <v>3</v>
      </c>
      <c r="D19" s="41" t="s">
        <v>25</v>
      </c>
      <c r="E19" s="41" t="s">
        <v>154</v>
      </c>
      <c r="F19" s="117" t="s">
        <v>122</v>
      </c>
      <c r="G19" s="115">
        <v>8.2509999999999994</v>
      </c>
      <c r="H19" s="120">
        <f>ROUND(G19*12,2)</f>
        <v>99.01</v>
      </c>
      <c r="I19" s="68">
        <f t="shared" si="2"/>
        <v>109.99</v>
      </c>
      <c r="J19" s="120">
        <f>ROUND(G19*14,2)</f>
        <v>115.51</v>
      </c>
      <c r="K19" s="153">
        <v>9.9986668444207227E-2</v>
      </c>
      <c r="L19" s="63">
        <f t="shared" si="5"/>
        <v>94.91</v>
      </c>
      <c r="M19" s="63">
        <f t="shared" si="6"/>
        <v>66.010000000000005</v>
      </c>
      <c r="N19" s="63">
        <f t="shared" si="7"/>
        <v>73.33</v>
      </c>
      <c r="O19" s="63">
        <f t="shared" si="8"/>
        <v>77.010000000000005</v>
      </c>
    </row>
    <row r="20" spans="1:15">
      <c r="A20" s="87" t="s">
        <v>150</v>
      </c>
      <c r="B20" s="150">
        <f t="shared" si="10"/>
        <v>8.8999999999999996E-2</v>
      </c>
      <c r="C20" s="151">
        <v>3.5</v>
      </c>
      <c r="D20" s="41" t="s">
        <v>25</v>
      </c>
      <c r="E20" s="41" t="s">
        <v>154</v>
      </c>
      <c r="F20" s="117" t="s">
        <v>124</v>
      </c>
      <c r="G20" s="115">
        <v>8.3889999999999993</v>
      </c>
      <c r="H20" s="120">
        <f t="shared" ref="H20:H83" si="11">ROUND(G20*12,2)</f>
        <v>100.67</v>
      </c>
      <c r="I20" s="68">
        <f t="shared" si="2"/>
        <v>111.83</v>
      </c>
      <c r="J20" s="120">
        <f t="shared" ref="J20:J83" si="12">ROUND(G20*14,2)</f>
        <v>117.45</v>
      </c>
      <c r="K20" s="153">
        <v>0.10005245213742442</v>
      </c>
      <c r="L20" s="63">
        <f t="shared" si="5"/>
        <v>96.49</v>
      </c>
      <c r="M20" s="63">
        <f t="shared" si="6"/>
        <v>67.11</v>
      </c>
      <c r="N20" s="63">
        <f t="shared" si="7"/>
        <v>74.55</v>
      </c>
      <c r="O20" s="63">
        <f t="shared" si="8"/>
        <v>78.3</v>
      </c>
    </row>
    <row r="21" spans="1:15">
      <c r="A21" s="87" t="s">
        <v>150</v>
      </c>
      <c r="B21" s="150">
        <f t="shared" ref="B21:B46" si="13">ROUND(C21*0.0254,2)</f>
        <v>0.1</v>
      </c>
      <c r="C21" s="151">
        <v>4</v>
      </c>
      <c r="D21" s="41" t="s">
        <v>25</v>
      </c>
      <c r="E21" s="41" t="s">
        <v>154</v>
      </c>
      <c r="F21" s="117" t="s">
        <v>124</v>
      </c>
      <c r="G21" s="115">
        <v>8.3829999999999991</v>
      </c>
      <c r="H21" s="120">
        <f t="shared" si="11"/>
        <v>100.6</v>
      </c>
      <c r="I21" s="68">
        <f t="shared" si="2"/>
        <v>111.75</v>
      </c>
      <c r="J21" s="120">
        <f t="shared" si="12"/>
        <v>117.36</v>
      </c>
      <c r="K21" s="153">
        <v>9.9986878362419374E-2</v>
      </c>
      <c r="L21" s="63">
        <f t="shared" si="5"/>
        <v>96.43</v>
      </c>
      <c r="M21" s="63">
        <f t="shared" si="6"/>
        <v>67.069999999999993</v>
      </c>
      <c r="N21" s="63">
        <f t="shared" si="7"/>
        <v>74.5</v>
      </c>
      <c r="O21" s="63">
        <f t="shared" si="8"/>
        <v>78.239999999999995</v>
      </c>
    </row>
    <row r="22" spans="1:15">
      <c r="A22" s="87" t="s">
        <v>150</v>
      </c>
      <c r="B22" s="150">
        <f t="shared" si="13"/>
        <v>0.1</v>
      </c>
      <c r="C22" s="151">
        <v>4</v>
      </c>
      <c r="D22" s="41" t="s">
        <v>25</v>
      </c>
      <c r="E22" s="41" t="s">
        <v>154</v>
      </c>
      <c r="F22" s="117" t="s">
        <v>84</v>
      </c>
      <c r="G22" s="115">
        <v>8.4290000000000003</v>
      </c>
      <c r="H22" s="120">
        <f t="shared" si="11"/>
        <v>101.15</v>
      </c>
      <c r="I22" s="68">
        <f t="shared" si="2"/>
        <v>112.36</v>
      </c>
      <c r="J22" s="120">
        <f t="shared" si="12"/>
        <v>118.01</v>
      </c>
      <c r="K22" s="153">
        <v>9.9960850841706916E-2</v>
      </c>
      <c r="L22" s="63">
        <f t="shared" si="5"/>
        <v>96.95</v>
      </c>
      <c r="M22" s="63">
        <f t="shared" si="6"/>
        <v>67.430000000000007</v>
      </c>
      <c r="N22" s="63">
        <f t="shared" si="7"/>
        <v>74.91</v>
      </c>
      <c r="O22" s="63">
        <f t="shared" si="8"/>
        <v>78.67</v>
      </c>
    </row>
    <row r="23" spans="1:15">
      <c r="A23" s="87" t="s">
        <v>150</v>
      </c>
      <c r="B23" s="150">
        <f t="shared" si="13"/>
        <v>0.1</v>
      </c>
      <c r="C23" s="151">
        <v>4</v>
      </c>
      <c r="D23" s="41" t="s">
        <v>25</v>
      </c>
      <c r="E23" s="41" t="s">
        <v>154</v>
      </c>
      <c r="F23" s="117" t="s">
        <v>97</v>
      </c>
      <c r="G23" s="115">
        <v>10.907</v>
      </c>
      <c r="H23" s="120">
        <f t="shared" si="11"/>
        <v>130.88</v>
      </c>
      <c r="I23" s="68">
        <f t="shared" si="2"/>
        <v>145.38999999999999</v>
      </c>
      <c r="J23" s="120">
        <f t="shared" si="12"/>
        <v>152.69999999999999</v>
      </c>
      <c r="K23" s="153">
        <v>0.10005042864346958</v>
      </c>
      <c r="L23" s="63">
        <f t="shared" si="5"/>
        <v>125.46</v>
      </c>
      <c r="M23" s="63">
        <f t="shared" si="6"/>
        <v>87.25</v>
      </c>
      <c r="N23" s="63">
        <f t="shared" si="7"/>
        <v>96.93</v>
      </c>
      <c r="O23" s="63">
        <f t="shared" si="8"/>
        <v>101.8</v>
      </c>
    </row>
    <row r="24" spans="1:15">
      <c r="A24" s="87" t="s">
        <v>150</v>
      </c>
      <c r="B24" s="150">
        <f t="shared" si="13"/>
        <v>0.1</v>
      </c>
      <c r="C24" s="151">
        <v>4</v>
      </c>
      <c r="D24" s="41" t="s">
        <v>25</v>
      </c>
      <c r="E24" s="41" t="s">
        <v>154</v>
      </c>
      <c r="F24" s="117" t="s">
        <v>85</v>
      </c>
      <c r="G24" s="115">
        <v>10.962999999999999</v>
      </c>
      <c r="H24" s="120">
        <f t="shared" si="11"/>
        <v>131.56</v>
      </c>
      <c r="I24" s="68">
        <f t="shared" si="2"/>
        <v>146.13999999999999</v>
      </c>
      <c r="J24" s="120">
        <f t="shared" si="12"/>
        <v>153.47999999999999</v>
      </c>
      <c r="K24" s="153">
        <v>0.10004013646397758</v>
      </c>
      <c r="L24" s="63">
        <f t="shared" si="5"/>
        <v>126.11</v>
      </c>
      <c r="M24" s="63">
        <f t="shared" si="6"/>
        <v>87.71</v>
      </c>
      <c r="N24" s="63">
        <f t="shared" si="7"/>
        <v>97.43</v>
      </c>
      <c r="O24" s="63">
        <f t="shared" si="8"/>
        <v>102.32</v>
      </c>
    </row>
    <row r="25" spans="1:15">
      <c r="A25" s="87" t="s">
        <v>150</v>
      </c>
      <c r="B25" s="150">
        <f t="shared" si="13"/>
        <v>0.11</v>
      </c>
      <c r="C25" s="151">
        <v>4.5</v>
      </c>
      <c r="D25" s="41" t="s">
        <v>25</v>
      </c>
      <c r="E25" s="41" t="s">
        <v>154</v>
      </c>
      <c r="F25" s="117" t="s">
        <v>84</v>
      </c>
      <c r="G25" s="115">
        <v>8.2520000000000007</v>
      </c>
      <c r="H25" s="120">
        <f t="shared" si="11"/>
        <v>99.02</v>
      </c>
      <c r="I25" s="68">
        <f t="shared" si="2"/>
        <v>110</v>
      </c>
      <c r="J25" s="120">
        <f t="shared" si="12"/>
        <v>115.53</v>
      </c>
      <c r="K25" s="153">
        <v>9.9973340442548686E-2</v>
      </c>
      <c r="L25" s="63">
        <f t="shared" si="5"/>
        <v>94.92</v>
      </c>
      <c r="M25" s="63">
        <f t="shared" si="6"/>
        <v>66.010000000000005</v>
      </c>
      <c r="N25" s="63">
        <f t="shared" si="7"/>
        <v>73.33</v>
      </c>
      <c r="O25" s="63">
        <f t="shared" si="8"/>
        <v>77.02</v>
      </c>
    </row>
    <row r="26" spans="1:15">
      <c r="A26" s="87" t="s">
        <v>150</v>
      </c>
      <c r="B26" s="150">
        <f t="shared" si="13"/>
        <v>0.11</v>
      </c>
      <c r="C26" s="151">
        <v>4.5</v>
      </c>
      <c r="D26" s="41" t="s">
        <v>25</v>
      </c>
      <c r="E26" s="41" t="s">
        <v>154</v>
      </c>
      <c r="F26" s="117" t="s">
        <v>85</v>
      </c>
      <c r="G26" s="115">
        <v>11.08</v>
      </c>
      <c r="H26" s="120">
        <f t="shared" si="11"/>
        <v>132.96</v>
      </c>
      <c r="I26" s="68">
        <f t="shared" si="2"/>
        <v>147.69999999999999</v>
      </c>
      <c r="J26" s="120">
        <f t="shared" si="12"/>
        <v>155.12</v>
      </c>
      <c r="K26" s="153">
        <v>9.9970217412885809E-2</v>
      </c>
      <c r="L26" s="63">
        <f t="shared" si="5"/>
        <v>127.45</v>
      </c>
      <c r="M26" s="63">
        <f t="shared" si="6"/>
        <v>88.64</v>
      </c>
      <c r="N26" s="63">
        <f t="shared" si="7"/>
        <v>98.47</v>
      </c>
      <c r="O26" s="63">
        <f t="shared" si="8"/>
        <v>103.41</v>
      </c>
    </row>
    <row r="27" spans="1:15">
      <c r="A27" s="87" t="s">
        <v>150</v>
      </c>
      <c r="B27" s="150">
        <f t="shared" si="13"/>
        <v>0.13</v>
      </c>
      <c r="C27" s="151">
        <v>5</v>
      </c>
      <c r="D27" s="41" t="s">
        <v>25</v>
      </c>
      <c r="E27" s="41" t="s">
        <v>154</v>
      </c>
      <c r="F27" s="117" t="s">
        <v>97</v>
      </c>
      <c r="G27" s="115">
        <v>11.08</v>
      </c>
      <c r="H27" s="120">
        <f t="shared" si="11"/>
        <v>132.96</v>
      </c>
      <c r="I27" s="68">
        <f t="shared" si="2"/>
        <v>147.69999999999999</v>
      </c>
      <c r="J27" s="120">
        <f t="shared" si="12"/>
        <v>155.12</v>
      </c>
      <c r="K27" s="153">
        <v>9.9970217412885809E-2</v>
      </c>
      <c r="L27" s="63">
        <f t="shared" si="5"/>
        <v>127.45</v>
      </c>
      <c r="M27" s="63">
        <f t="shared" si="6"/>
        <v>88.64</v>
      </c>
      <c r="N27" s="63">
        <f t="shared" si="7"/>
        <v>98.47</v>
      </c>
      <c r="O27" s="63">
        <f t="shared" si="8"/>
        <v>103.41</v>
      </c>
    </row>
    <row r="28" spans="1:15">
      <c r="A28" s="87" t="s">
        <v>150</v>
      </c>
      <c r="B28" s="150">
        <f t="shared" si="13"/>
        <v>0.13</v>
      </c>
      <c r="C28" s="151">
        <v>5</v>
      </c>
      <c r="D28" s="41" t="s">
        <v>25</v>
      </c>
      <c r="E28" s="41" t="s">
        <v>154</v>
      </c>
      <c r="F28" s="117" t="s">
        <v>86</v>
      </c>
      <c r="G28" s="115">
        <v>11.028</v>
      </c>
      <c r="H28" s="120">
        <f t="shared" si="11"/>
        <v>132.34</v>
      </c>
      <c r="I28" s="68">
        <f t="shared" si="2"/>
        <v>147</v>
      </c>
      <c r="J28" s="120">
        <f t="shared" si="12"/>
        <v>154.38999999999999</v>
      </c>
      <c r="K28" s="153">
        <v>0.10004987531172072</v>
      </c>
      <c r="L28" s="63">
        <f t="shared" si="5"/>
        <v>126.85</v>
      </c>
      <c r="M28" s="63">
        <f t="shared" si="6"/>
        <v>88.23</v>
      </c>
      <c r="N28" s="63">
        <f t="shared" si="7"/>
        <v>98</v>
      </c>
      <c r="O28" s="63">
        <f t="shared" si="8"/>
        <v>102.93</v>
      </c>
    </row>
    <row r="29" spans="1:15">
      <c r="A29" s="87" t="s">
        <v>150</v>
      </c>
      <c r="B29" s="150">
        <f t="shared" si="13"/>
        <v>0.13</v>
      </c>
      <c r="C29" s="151">
        <v>5</v>
      </c>
      <c r="D29" s="41" t="s">
        <v>25</v>
      </c>
      <c r="E29" s="41" t="s">
        <v>154</v>
      </c>
      <c r="F29" s="117" t="s">
        <v>117</v>
      </c>
      <c r="G29" s="115">
        <v>11.098000000000001</v>
      </c>
      <c r="H29" s="120">
        <f t="shared" si="11"/>
        <v>133.18</v>
      </c>
      <c r="I29" s="68">
        <f t="shared" si="2"/>
        <v>147.94</v>
      </c>
      <c r="J29" s="120">
        <f t="shared" si="12"/>
        <v>155.37</v>
      </c>
      <c r="K29" s="153">
        <v>0.10000991178511254</v>
      </c>
      <c r="L29" s="63">
        <f t="shared" si="5"/>
        <v>127.66</v>
      </c>
      <c r="M29" s="63">
        <f t="shared" si="6"/>
        <v>88.79</v>
      </c>
      <c r="N29" s="63">
        <f t="shared" si="7"/>
        <v>98.63</v>
      </c>
      <c r="O29" s="63">
        <f t="shared" si="8"/>
        <v>103.58</v>
      </c>
    </row>
    <row r="30" spans="1:15">
      <c r="A30" s="87" t="s">
        <v>150</v>
      </c>
      <c r="B30" s="150">
        <f t="shared" si="13"/>
        <v>0.13</v>
      </c>
      <c r="C30" s="151">
        <v>5</v>
      </c>
      <c r="D30" s="41" t="s">
        <v>25</v>
      </c>
      <c r="E30" s="41" t="s">
        <v>154</v>
      </c>
      <c r="F30" s="117" t="s">
        <v>84</v>
      </c>
      <c r="G30" s="115">
        <v>8.51</v>
      </c>
      <c r="H30" s="120">
        <f t="shared" si="11"/>
        <v>102.12</v>
      </c>
      <c r="I30" s="68">
        <f t="shared" si="2"/>
        <v>113.44</v>
      </c>
      <c r="J30" s="120">
        <f t="shared" si="12"/>
        <v>119.14</v>
      </c>
      <c r="K30" s="153">
        <v>0.10005170630816962</v>
      </c>
      <c r="L30" s="63">
        <f t="shared" si="5"/>
        <v>97.88</v>
      </c>
      <c r="M30" s="63">
        <f t="shared" si="6"/>
        <v>68.08</v>
      </c>
      <c r="N30" s="63">
        <f t="shared" si="7"/>
        <v>75.63</v>
      </c>
      <c r="O30" s="63">
        <f t="shared" si="8"/>
        <v>79.430000000000007</v>
      </c>
    </row>
    <row r="31" spans="1:15">
      <c r="A31" s="87" t="s">
        <v>150</v>
      </c>
      <c r="B31" s="150">
        <f t="shared" si="13"/>
        <v>0.15</v>
      </c>
      <c r="C31" s="151">
        <v>6</v>
      </c>
      <c r="D31" s="41" t="s">
        <v>25</v>
      </c>
      <c r="E31" s="41" t="s">
        <v>154</v>
      </c>
      <c r="F31" s="117" t="s">
        <v>86</v>
      </c>
      <c r="G31" s="115">
        <v>11.109</v>
      </c>
      <c r="H31" s="120">
        <f t="shared" si="11"/>
        <v>133.31</v>
      </c>
      <c r="I31" s="68">
        <f t="shared" si="2"/>
        <v>148.08000000000001</v>
      </c>
      <c r="J31" s="120">
        <f t="shared" si="12"/>
        <v>155.53</v>
      </c>
      <c r="K31" s="153">
        <v>0.10000990197049209</v>
      </c>
      <c r="L31" s="63">
        <f t="shared" si="5"/>
        <v>127.78</v>
      </c>
      <c r="M31" s="63">
        <f t="shared" si="6"/>
        <v>88.87</v>
      </c>
      <c r="N31" s="63">
        <f t="shared" si="7"/>
        <v>98.72</v>
      </c>
      <c r="O31" s="63">
        <f t="shared" si="8"/>
        <v>103.69</v>
      </c>
    </row>
    <row r="32" spans="1:15">
      <c r="A32" s="87" t="s">
        <v>150</v>
      </c>
      <c r="B32" s="150">
        <f t="shared" si="13"/>
        <v>0.15</v>
      </c>
      <c r="C32" s="151">
        <v>6</v>
      </c>
      <c r="D32" s="41" t="s">
        <v>25</v>
      </c>
      <c r="E32" s="41" t="s">
        <v>154</v>
      </c>
      <c r="F32" s="117" t="s">
        <v>117</v>
      </c>
      <c r="G32" s="115">
        <v>11.439</v>
      </c>
      <c r="H32" s="120">
        <f t="shared" si="11"/>
        <v>137.27000000000001</v>
      </c>
      <c r="I32" s="68">
        <f t="shared" si="2"/>
        <v>152.47999999999999</v>
      </c>
      <c r="J32" s="120">
        <f t="shared" si="12"/>
        <v>160.15</v>
      </c>
      <c r="K32" s="153">
        <v>0.10000961630926053</v>
      </c>
      <c r="L32" s="63">
        <f t="shared" si="5"/>
        <v>131.58000000000001</v>
      </c>
      <c r="M32" s="63">
        <f t="shared" si="6"/>
        <v>91.51</v>
      </c>
      <c r="N32" s="63">
        <f t="shared" si="7"/>
        <v>101.65</v>
      </c>
      <c r="O32" s="63">
        <f t="shared" si="8"/>
        <v>106.77</v>
      </c>
    </row>
    <row r="33" spans="1:15">
      <c r="A33" s="87" t="s">
        <v>150</v>
      </c>
      <c r="B33" s="150">
        <f t="shared" si="13"/>
        <v>0.2</v>
      </c>
      <c r="C33" s="151">
        <v>8</v>
      </c>
      <c r="D33" s="41" t="s">
        <v>25</v>
      </c>
      <c r="E33" s="41" t="s">
        <v>154</v>
      </c>
      <c r="F33" s="117" t="s">
        <v>89</v>
      </c>
      <c r="G33" s="115">
        <v>11.250999999999999</v>
      </c>
      <c r="H33" s="120">
        <f t="shared" si="11"/>
        <v>135.01</v>
      </c>
      <c r="I33" s="68">
        <f t="shared" si="2"/>
        <v>149.97999999999999</v>
      </c>
      <c r="J33" s="120">
        <f t="shared" si="12"/>
        <v>157.51</v>
      </c>
      <c r="K33" s="153">
        <v>0.10001955416503705</v>
      </c>
      <c r="L33" s="63">
        <f t="shared" si="5"/>
        <v>129.41999999999999</v>
      </c>
      <c r="M33" s="63">
        <f t="shared" si="6"/>
        <v>90.01</v>
      </c>
      <c r="N33" s="63">
        <f t="shared" si="7"/>
        <v>99.99</v>
      </c>
      <c r="O33" s="63">
        <f t="shared" si="8"/>
        <v>105.01</v>
      </c>
    </row>
    <row r="34" spans="1:15">
      <c r="A34" s="87" t="s">
        <v>150</v>
      </c>
      <c r="B34" s="150">
        <f t="shared" si="13"/>
        <v>0.2</v>
      </c>
      <c r="C34" s="151">
        <v>8</v>
      </c>
      <c r="D34" s="41" t="s">
        <v>25</v>
      </c>
      <c r="E34" s="41" t="s">
        <v>154</v>
      </c>
      <c r="F34" s="117" t="s">
        <v>95</v>
      </c>
      <c r="G34" s="115">
        <v>11.523999999999999</v>
      </c>
      <c r="H34" s="120">
        <f t="shared" si="11"/>
        <v>138.29</v>
      </c>
      <c r="I34" s="68">
        <f t="shared" si="2"/>
        <v>153.61000000000001</v>
      </c>
      <c r="J34" s="120">
        <f t="shared" si="12"/>
        <v>161.34</v>
      </c>
      <c r="K34" s="153">
        <v>0.10003818251240904</v>
      </c>
      <c r="L34" s="63">
        <f t="shared" si="5"/>
        <v>132.55000000000001</v>
      </c>
      <c r="M34" s="63">
        <f t="shared" si="6"/>
        <v>92.19</v>
      </c>
      <c r="N34" s="63">
        <f t="shared" si="7"/>
        <v>102.41</v>
      </c>
      <c r="O34" s="63">
        <f t="shared" si="8"/>
        <v>107.56</v>
      </c>
    </row>
    <row r="35" spans="1:15">
      <c r="A35" s="87" t="s">
        <v>150</v>
      </c>
      <c r="B35" s="150">
        <f t="shared" si="13"/>
        <v>0.25</v>
      </c>
      <c r="C35" s="151">
        <v>10</v>
      </c>
      <c r="D35" s="41" t="s">
        <v>25</v>
      </c>
      <c r="E35" s="41" t="s">
        <v>154</v>
      </c>
      <c r="F35" s="117" t="s">
        <v>89</v>
      </c>
      <c r="G35" s="115">
        <v>11.459</v>
      </c>
      <c r="H35" s="120">
        <f t="shared" si="11"/>
        <v>137.51</v>
      </c>
      <c r="I35" s="68">
        <f t="shared" si="2"/>
        <v>152.75</v>
      </c>
      <c r="J35" s="120">
        <f t="shared" si="12"/>
        <v>160.43</v>
      </c>
      <c r="K35" s="153">
        <v>0.10002879907842943</v>
      </c>
      <c r="L35" s="63">
        <f t="shared" si="5"/>
        <v>131.81</v>
      </c>
      <c r="M35" s="63">
        <f t="shared" si="6"/>
        <v>91.67</v>
      </c>
      <c r="N35" s="63">
        <f t="shared" si="7"/>
        <v>101.83</v>
      </c>
      <c r="O35" s="63">
        <f t="shared" si="8"/>
        <v>106.95</v>
      </c>
    </row>
    <row r="36" spans="1:15">
      <c r="A36" s="87" t="s">
        <v>150</v>
      </c>
      <c r="B36" s="150">
        <f t="shared" si="13"/>
        <v>0.3</v>
      </c>
      <c r="C36" s="151">
        <v>12</v>
      </c>
      <c r="D36" s="41" t="s">
        <v>25</v>
      </c>
      <c r="E36" s="41" t="s">
        <v>154</v>
      </c>
      <c r="F36" s="117" t="s">
        <v>90</v>
      </c>
      <c r="G36" s="115">
        <v>14.173999999999999</v>
      </c>
      <c r="H36" s="120">
        <f t="shared" si="11"/>
        <v>170.09</v>
      </c>
      <c r="I36" s="68">
        <f t="shared" si="2"/>
        <v>188.94</v>
      </c>
      <c r="J36" s="120">
        <f t="shared" si="12"/>
        <v>198.44</v>
      </c>
      <c r="K36" s="153">
        <v>0.10003880481179661</v>
      </c>
      <c r="L36" s="63">
        <f t="shared" si="5"/>
        <v>163.04</v>
      </c>
      <c r="M36" s="63">
        <f t="shared" si="6"/>
        <v>113.39</v>
      </c>
      <c r="N36" s="63">
        <f t="shared" si="7"/>
        <v>125.96</v>
      </c>
      <c r="O36" s="63">
        <f t="shared" si="8"/>
        <v>132.29</v>
      </c>
    </row>
    <row r="37" spans="1:15">
      <c r="A37" s="87" t="s">
        <v>150</v>
      </c>
      <c r="B37" s="150">
        <f t="shared" si="13"/>
        <v>0.36</v>
      </c>
      <c r="C37" s="151">
        <v>14</v>
      </c>
      <c r="D37" s="41" t="s">
        <v>25</v>
      </c>
      <c r="E37" s="41" t="s">
        <v>154</v>
      </c>
      <c r="F37" s="117" t="s">
        <v>100</v>
      </c>
      <c r="G37" s="115">
        <v>13.343999999999999</v>
      </c>
      <c r="H37" s="120">
        <f t="shared" si="11"/>
        <v>160.13</v>
      </c>
      <c r="I37" s="68">
        <f t="shared" si="2"/>
        <v>177.88</v>
      </c>
      <c r="J37" s="120">
        <f t="shared" si="12"/>
        <v>186.82</v>
      </c>
      <c r="K37" s="153">
        <v>9.9991756656499842E-2</v>
      </c>
      <c r="L37" s="63">
        <f t="shared" si="5"/>
        <v>153.49</v>
      </c>
      <c r="M37" s="63">
        <f t="shared" si="6"/>
        <v>106.75</v>
      </c>
      <c r="N37" s="63">
        <f t="shared" si="7"/>
        <v>118.59</v>
      </c>
      <c r="O37" s="63">
        <f t="shared" si="8"/>
        <v>124.55</v>
      </c>
    </row>
    <row r="38" spans="1:15">
      <c r="A38" s="87" t="s">
        <v>150</v>
      </c>
      <c r="B38" s="150">
        <f t="shared" si="13"/>
        <v>0.41</v>
      </c>
      <c r="C38" s="151">
        <v>16</v>
      </c>
      <c r="D38" s="41" t="s">
        <v>25</v>
      </c>
      <c r="E38" s="41" t="s">
        <v>154</v>
      </c>
      <c r="F38" s="117" t="s">
        <v>100</v>
      </c>
      <c r="G38" s="115">
        <v>13.252000000000001</v>
      </c>
      <c r="H38" s="120">
        <f t="shared" si="11"/>
        <v>159.02000000000001</v>
      </c>
      <c r="I38" s="68">
        <f t="shared" si="2"/>
        <v>176.65</v>
      </c>
      <c r="J38" s="120">
        <f t="shared" si="12"/>
        <v>185.53</v>
      </c>
      <c r="K38" s="153">
        <v>0.10002490246534412</v>
      </c>
      <c r="L38" s="63">
        <f t="shared" si="5"/>
        <v>152.43</v>
      </c>
      <c r="M38" s="63">
        <f t="shared" si="6"/>
        <v>106.01</v>
      </c>
      <c r="N38" s="63">
        <f t="shared" si="7"/>
        <v>117.77</v>
      </c>
      <c r="O38" s="63">
        <f t="shared" si="8"/>
        <v>123.69</v>
      </c>
    </row>
    <row r="39" spans="1:15">
      <c r="A39" s="87" t="s">
        <v>150</v>
      </c>
      <c r="B39" s="150">
        <f t="shared" si="13"/>
        <v>0.46</v>
      </c>
      <c r="C39" s="151">
        <v>18</v>
      </c>
      <c r="D39" s="41" t="s">
        <v>25</v>
      </c>
      <c r="E39" s="41" t="s">
        <v>154</v>
      </c>
      <c r="F39" s="117" t="s">
        <v>108</v>
      </c>
      <c r="G39" s="115">
        <v>14.006</v>
      </c>
      <c r="H39" s="120">
        <f t="shared" si="11"/>
        <v>168.07</v>
      </c>
      <c r="I39" s="68">
        <f t="shared" si="2"/>
        <v>186.7</v>
      </c>
      <c r="J39" s="120">
        <f t="shared" si="12"/>
        <v>196.08</v>
      </c>
      <c r="K39" s="153">
        <v>9.997643917380028E-2</v>
      </c>
      <c r="L39" s="63">
        <f t="shared" si="5"/>
        <v>161.1</v>
      </c>
      <c r="M39" s="63">
        <f t="shared" si="6"/>
        <v>112.05</v>
      </c>
      <c r="N39" s="63">
        <f t="shared" si="7"/>
        <v>124.47</v>
      </c>
      <c r="O39" s="63">
        <f t="shared" si="8"/>
        <v>130.72</v>
      </c>
    </row>
    <row r="40" spans="1:15">
      <c r="A40" s="87" t="s">
        <v>150</v>
      </c>
      <c r="B40" s="150">
        <f t="shared" si="13"/>
        <v>0.51</v>
      </c>
      <c r="C40" s="151">
        <v>20</v>
      </c>
      <c r="D40" s="41" t="s">
        <v>25</v>
      </c>
      <c r="E40" s="41" t="s">
        <v>154</v>
      </c>
      <c r="F40" s="117" t="s">
        <v>108</v>
      </c>
      <c r="G40" s="115">
        <v>14.006</v>
      </c>
      <c r="H40" s="120">
        <f t="shared" si="11"/>
        <v>168.07</v>
      </c>
      <c r="I40" s="68">
        <f t="shared" si="2"/>
        <v>186.7</v>
      </c>
      <c r="J40" s="120">
        <f t="shared" si="12"/>
        <v>196.08</v>
      </c>
      <c r="K40" s="153">
        <v>9.997643917380028E-2</v>
      </c>
      <c r="L40" s="63">
        <f t="shared" si="5"/>
        <v>161.1</v>
      </c>
      <c r="M40" s="63">
        <f t="shared" si="6"/>
        <v>112.05</v>
      </c>
      <c r="N40" s="63">
        <f t="shared" si="7"/>
        <v>124.47</v>
      </c>
      <c r="O40" s="63">
        <f t="shared" si="8"/>
        <v>130.72</v>
      </c>
    </row>
    <row r="41" spans="1:15">
      <c r="A41" s="87" t="s">
        <v>150</v>
      </c>
      <c r="B41" s="150">
        <f t="shared" si="13"/>
        <v>0.51</v>
      </c>
      <c r="C41" s="151">
        <v>20</v>
      </c>
      <c r="D41" s="41" t="s">
        <v>25</v>
      </c>
      <c r="E41" s="41" t="s">
        <v>154</v>
      </c>
      <c r="F41" s="117" t="s">
        <v>91</v>
      </c>
      <c r="G41" s="115">
        <v>15.875</v>
      </c>
      <c r="H41" s="120">
        <f t="shared" si="11"/>
        <v>190.5</v>
      </c>
      <c r="I41" s="68">
        <f t="shared" si="2"/>
        <v>211.61</v>
      </c>
      <c r="J41" s="120">
        <f t="shared" si="12"/>
        <v>222.25</v>
      </c>
      <c r="K41" s="153">
        <v>9.9986141906873494E-2</v>
      </c>
      <c r="L41" s="63">
        <f t="shared" si="5"/>
        <v>182.61</v>
      </c>
      <c r="M41" s="63">
        <f t="shared" si="6"/>
        <v>127</v>
      </c>
      <c r="N41" s="63">
        <f t="shared" si="7"/>
        <v>141.07</v>
      </c>
      <c r="O41" s="63">
        <f t="shared" si="8"/>
        <v>148.16999999999999</v>
      </c>
    </row>
    <row r="42" spans="1:15">
      <c r="A42" s="87" t="s">
        <v>150</v>
      </c>
      <c r="B42" s="150">
        <f t="shared" si="13"/>
        <v>0.61</v>
      </c>
      <c r="C42" s="151">
        <v>24</v>
      </c>
      <c r="D42" s="41" t="s">
        <v>25</v>
      </c>
      <c r="E42" s="41" t="s">
        <v>154</v>
      </c>
      <c r="F42" s="117" t="s">
        <v>94</v>
      </c>
      <c r="G42" s="115">
        <v>15.206</v>
      </c>
      <c r="H42" s="120">
        <f t="shared" si="11"/>
        <v>182.47</v>
      </c>
      <c r="I42" s="68">
        <f t="shared" si="2"/>
        <v>202.7</v>
      </c>
      <c r="J42" s="120">
        <f t="shared" si="12"/>
        <v>212.88</v>
      </c>
      <c r="K42" s="153">
        <v>9.9971064814814881E-2</v>
      </c>
      <c r="L42" s="63">
        <f t="shared" si="5"/>
        <v>174.9</v>
      </c>
      <c r="M42" s="63">
        <f t="shared" si="6"/>
        <v>121.65</v>
      </c>
      <c r="N42" s="63">
        <f t="shared" si="7"/>
        <v>135.13</v>
      </c>
      <c r="O42" s="63">
        <f t="shared" si="8"/>
        <v>141.91999999999999</v>
      </c>
    </row>
    <row r="43" spans="1:15">
      <c r="A43" s="87" t="s">
        <v>150</v>
      </c>
      <c r="B43" s="150">
        <f t="shared" si="13"/>
        <v>0.61</v>
      </c>
      <c r="C43" s="151">
        <v>24</v>
      </c>
      <c r="D43" s="41" t="s">
        <v>25</v>
      </c>
      <c r="E43" s="41" t="s">
        <v>154</v>
      </c>
      <c r="F43" s="117" t="s">
        <v>88</v>
      </c>
      <c r="G43" s="115">
        <v>21.221</v>
      </c>
      <c r="H43" s="120">
        <f t="shared" si="11"/>
        <v>254.65</v>
      </c>
      <c r="I43" s="68">
        <f t="shared" si="2"/>
        <v>282.88</v>
      </c>
      <c r="J43" s="120">
        <f t="shared" si="12"/>
        <v>297.08999999999997</v>
      </c>
      <c r="K43" s="153">
        <v>9.9989633008500833E-2</v>
      </c>
      <c r="L43" s="63">
        <f t="shared" si="5"/>
        <v>244.09</v>
      </c>
      <c r="M43" s="63">
        <f t="shared" si="6"/>
        <v>169.77</v>
      </c>
      <c r="N43" s="63">
        <f t="shared" si="7"/>
        <v>188.59</v>
      </c>
      <c r="O43" s="63">
        <f t="shared" si="8"/>
        <v>198.06</v>
      </c>
    </row>
    <row r="44" spans="1:15">
      <c r="A44" s="87" t="s">
        <v>150</v>
      </c>
      <c r="B44" s="150">
        <f t="shared" si="13"/>
        <v>0.71</v>
      </c>
      <c r="C44" s="151">
        <v>28</v>
      </c>
      <c r="D44" s="41" t="s">
        <v>25</v>
      </c>
      <c r="E44" s="41" t="s">
        <v>154</v>
      </c>
      <c r="F44" s="117" t="s">
        <v>101</v>
      </c>
      <c r="G44" s="115">
        <v>16.137</v>
      </c>
      <c r="H44" s="120">
        <f t="shared" si="11"/>
        <v>193.64</v>
      </c>
      <c r="I44" s="68">
        <f t="shared" si="2"/>
        <v>215.11</v>
      </c>
      <c r="J44" s="120">
        <f t="shared" si="12"/>
        <v>225.92</v>
      </c>
      <c r="K44" s="153">
        <v>0.10000000000000009</v>
      </c>
      <c r="L44" s="63">
        <f t="shared" si="5"/>
        <v>185.61</v>
      </c>
      <c r="M44" s="63">
        <f t="shared" si="6"/>
        <v>129.09</v>
      </c>
      <c r="N44" s="63">
        <f t="shared" si="7"/>
        <v>143.41</v>
      </c>
      <c r="O44" s="63">
        <f t="shared" si="8"/>
        <v>150.61000000000001</v>
      </c>
    </row>
    <row r="45" spans="1:15">
      <c r="A45" s="87" t="s">
        <v>150</v>
      </c>
      <c r="B45" s="150">
        <f t="shared" si="13"/>
        <v>0.76</v>
      </c>
      <c r="C45" s="151">
        <v>30</v>
      </c>
      <c r="D45" s="41" t="s">
        <v>25</v>
      </c>
      <c r="E45" s="41" t="s">
        <v>154</v>
      </c>
      <c r="F45" s="117" t="s">
        <v>131</v>
      </c>
      <c r="G45" s="115">
        <v>22.535</v>
      </c>
      <c r="H45" s="120">
        <f t="shared" si="11"/>
        <v>270.42</v>
      </c>
      <c r="I45" s="68">
        <f t="shared" si="2"/>
        <v>300.39</v>
      </c>
      <c r="J45" s="120">
        <f t="shared" si="12"/>
        <v>315.49</v>
      </c>
      <c r="K45" s="153">
        <v>0.10001952552962989</v>
      </c>
      <c r="L45" s="63">
        <f t="shared" si="5"/>
        <v>259.20999999999998</v>
      </c>
      <c r="M45" s="63">
        <f t="shared" si="6"/>
        <v>180.28</v>
      </c>
      <c r="N45" s="63">
        <f t="shared" si="7"/>
        <v>200.26</v>
      </c>
      <c r="O45" s="63">
        <f t="shared" si="8"/>
        <v>210.33</v>
      </c>
    </row>
    <row r="46" spans="1:15">
      <c r="A46" s="87" t="s">
        <v>150</v>
      </c>
      <c r="B46" s="150">
        <f t="shared" si="13"/>
        <v>0.76</v>
      </c>
      <c r="C46" s="151">
        <v>30</v>
      </c>
      <c r="D46" s="41" t="s">
        <v>25</v>
      </c>
      <c r="E46" s="41" t="s">
        <v>154</v>
      </c>
      <c r="F46" s="117" t="s">
        <v>101</v>
      </c>
      <c r="G46" s="115">
        <v>18.809000000000001</v>
      </c>
      <c r="H46" s="120">
        <f t="shared" si="11"/>
        <v>225.71</v>
      </c>
      <c r="I46" s="68">
        <f t="shared" si="2"/>
        <v>250.72</v>
      </c>
      <c r="J46" s="120">
        <f t="shared" si="12"/>
        <v>263.33</v>
      </c>
      <c r="K46" s="153">
        <v>0.10000584829522197</v>
      </c>
      <c r="L46" s="63">
        <f t="shared" si="5"/>
        <v>216.35</v>
      </c>
      <c r="M46" s="63">
        <f t="shared" si="6"/>
        <v>150.47</v>
      </c>
      <c r="N46" s="63">
        <f t="shared" si="7"/>
        <v>167.15</v>
      </c>
      <c r="O46" s="63">
        <f t="shared" si="8"/>
        <v>175.55</v>
      </c>
    </row>
    <row r="47" spans="1:15">
      <c r="A47" s="87" t="s">
        <v>150</v>
      </c>
      <c r="B47" s="150">
        <f>ROUND(C47*0.0254,3)</f>
        <v>0.78700000000000003</v>
      </c>
      <c r="C47" s="151">
        <v>31</v>
      </c>
      <c r="D47" s="41" t="s">
        <v>25</v>
      </c>
      <c r="E47" s="41" t="s">
        <v>154</v>
      </c>
      <c r="F47" s="117" t="s">
        <v>101</v>
      </c>
      <c r="G47" s="115">
        <v>18.997</v>
      </c>
      <c r="H47" s="120">
        <f t="shared" si="11"/>
        <v>227.96</v>
      </c>
      <c r="I47" s="68">
        <f t="shared" si="2"/>
        <v>253.23</v>
      </c>
      <c r="J47" s="120">
        <f t="shared" si="12"/>
        <v>265.95999999999998</v>
      </c>
      <c r="K47" s="153">
        <v>0.10000000000000009</v>
      </c>
      <c r="L47" s="63">
        <f t="shared" si="5"/>
        <v>218.5</v>
      </c>
      <c r="M47" s="63">
        <f t="shared" si="6"/>
        <v>151.97</v>
      </c>
      <c r="N47" s="63">
        <f t="shared" si="7"/>
        <v>168.82</v>
      </c>
      <c r="O47" s="63">
        <f t="shared" si="8"/>
        <v>177.31</v>
      </c>
    </row>
    <row r="48" spans="1:15">
      <c r="A48" s="87" t="s">
        <v>150</v>
      </c>
      <c r="B48" s="150">
        <f t="shared" ref="B48:B87" si="14">ROUND(C48*0.0254,2)</f>
        <v>0.89</v>
      </c>
      <c r="C48" s="151">
        <v>35</v>
      </c>
      <c r="D48" s="41" t="s">
        <v>25</v>
      </c>
      <c r="E48" s="41" t="s">
        <v>154</v>
      </c>
      <c r="F48" s="117" t="s">
        <v>96</v>
      </c>
      <c r="G48" s="115">
        <v>21.358000000000001</v>
      </c>
      <c r="H48" s="120">
        <f t="shared" si="11"/>
        <v>256.3</v>
      </c>
      <c r="I48" s="68">
        <f t="shared" si="2"/>
        <v>284.7</v>
      </c>
      <c r="J48" s="120">
        <f t="shared" si="12"/>
        <v>299.01</v>
      </c>
      <c r="K48" s="153">
        <v>0.10002060156571901</v>
      </c>
      <c r="L48" s="63">
        <f t="shared" si="5"/>
        <v>245.67</v>
      </c>
      <c r="M48" s="63">
        <f t="shared" si="6"/>
        <v>170.87</v>
      </c>
      <c r="N48" s="63">
        <f t="shared" si="7"/>
        <v>189.8</v>
      </c>
      <c r="O48" s="63">
        <f t="shared" si="8"/>
        <v>199.34</v>
      </c>
    </row>
    <row r="49" spans="1:15">
      <c r="A49" s="87" t="s">
        <v>150</v>
      </c>
      <c r="B49" s="150">
        <f t="shared" si="14"/>
        <v>0.99</v>
      </c>
      <c r="C49" s="151">
        <v>39</v>
      </c>
      <c r="D49" s="41" t="s">
        <v>25</v>
      </c>
      <c r="E49" s="41" t="s">
        <v>154</v>
      </c>
      <c r="F49" s="117" t="s">
        <v>96</v>
      </c>
      <c r="G49" s="115">
        <v>21.629000000000001</v>
      </c>
      <c r="H49" s="120">
        <f t="shared" si="11"/>
        <v>259.55</v>
      </c>
      <c r="I49" s="68">
        <f t="shared" si="2"/>
        <v>288.31</v>
      </c>
      <c r="J49" s="120">
        <f t="shared" si="12"/>
        <v>302.81</v>
      </c>
      <c r="K49" s="153">
        <v>9.9984742918171277E-2</v>
      </c>
      <c r="L49" s="63">
        <f t="shared" si="5"/>
        <v>248.79</v>
      </c>
      <c r="M49" s="63">
        <f t="shared" si="6"/>
        <v>173.03</v>
      </c>
      <c r="N49" s="63">
        <f t="shared" si="7"/>
        <v>192.21</v>
      </c>
      <c r="O49" s="63">
        <f t="shared" si="8"/>
        <v>201.87</v>
      </c>
    </row>
    <row r="50" spans="1:15">
      <c r="A50" s="87" t="s">
        <v>150</v>
      </c>
      <c r="B50" s="150">
        <f t="shared" si="14"/>
        <v>0.99</v>
      </c>
      <c r="C50" s="151">
        <v>39</v>
      </c>
      <c r="D50" s="41" t="s">
        <v>25</v>
      </c>
      <c r="E50" s="41" t="s">
        <v>154</v>
      </c>
      <c r="F50" s="117" t="s">
        <v>133</v>
      </c>
      <c r="G50" s="115">
        <v>32.36</v>
      </c>
      <c r="H50" s="120">
        <f t="shared" si="11"/>
        <v>388.32</v>
      </c>
      <c r="I50" s="68">
        <f t="shared" si="2"/>
        <v>431.36</v>
      </c>
      <c r="J50" s="120">
        <f t="shared" si="12"/>
        <v>453.04</v>
      </c>
      <c r="K50" s="153">
        <v>0.10000679855870565</v>
      </c>
      <c r="L50" s="63">
        <f t="shared" si="5"/>
        <v>372.22</v>
      </c>
      <c r="M50" s="63">
        <f t="shared" si="6"/>
        <v>258.88</v>
      </c>
      <c r="N50" s="63">
        <f t="shared" si="7"/>
        <v>287.57</v>
      </c>
      <c r="O50" s="63">
        <f t="shared" si="8"/>
        <v>302.02999999999997</v>
      </c>
    </row>
    <row r="51" spans="1:15">
      <c r="A51" s="87" t="s">
        <v>150</v>
      </c>
      <c r="B51" s="150">
        <f t="shared" si="14"/>
        <v>1.22</v>
      </c>
      <c r="C51" s="151">
        <v>48</v>
      </c>
      <c r="D51" s="41" t="s">
        <v>25</v>
      </c>
      <c r="E51" s="41" t="s">
        <v>154</v>
      </c>
      <c r="F51" s="117" t="s">
        <v>135</v>
      </c>
      <c r="G51" s="115">
        <v>40.223999999999997</v>
      </c>
      <c r="H51" s="120">
        <f t="shared" si="11"/>
        <v>482.69</v>
      </c>
      <c r="I51" s="68">
        <f t="shared" si="2"/>
        <v>536.19000000000005</v>
      </c>
      <c r="J51" s="120">
        <f t="shared" si="12"/>
        <v>563.14</v>
      </c>
      <c r="K51" s="153">
        <v>0.10000820411846734</v>
      </c>
      <c r="L51" s="63">
        <f t="shared" si="5"/>
        <v>462.68</v>
      </c>
      <c r="M51" s="63">
        <f t="shared" si="6"/>
        <v>321.79000000000002</v>
      </c>
      <c r="N51" s="63">
        <f t="shared" si="7"/>
        <v>357.46</v>
      </c>
      <c r="O51" s="63">
        <f t="shared" si="8"/>
        <v>375.43</v>
      </c>
    </row>
    <row r="52" spans="1:15">
      <c r="A52" s="87" t="s">
        <v>150</v>
      </c>
      <c r="B52" s="150">
        <f>ROUND(C52*0.0254,3)</f>
        <v>6.4000000000000001E-2</v>
      </c>
      <c r="C52" s="151">
        <v>2.5</v>
      </c>
      <c r="D52" s="155" t="s">
        <v>28</v>
      </c>
      <c r="E52" s="41" t="s">
        <v>154</v>
      </c>
      <c r="F52" s="117" t="s">
        <v>122</v>
      </c>
      <c r="G52" s="115">
        <v>11.702999999999999</v>
      </c>
      <c r="H52" s="120">
        <f t="shared" si="11"/>
        <v>140.44</v>
      </c>
      <c r="I52" s="68">
        <f t="shared" si="2"/>
        <v>156</v>
      </c>
      <c r="J52" s="120">
        <f t="shared" si="12"/>
        <v>163.84</v>
      </c>
      <c r="K52" s="153">
        <v>0.10000939937964093</v>
      </c>
      <c r="L52" s="63">
        <f t="shared" si="5"/>
        <v>134.62</v>
      </c>
      <c r="M52" s="63">
        <f t="shared" si="6"/>
        <v>93.63</v>
      </c>
      <c r="N52" s="63">
        <f t="shared" si="7"/>
        <v>104</v>
      </c>
      <c r="O52" s="63">
        <f t="shared" si="8"/>
        <v>109.23</v>
      </c>
    </row>
    <row r="53" spans="1:15">
      <c r="A53" s="87" t="s">
        <v>150</v>
      </c>
      <c r="B53" s="150">
        <f t="shared" ref="B53:B56" si="15">ROUND(C53*0.0254,3)</f>
        <v>7.5999999999999998E-2</v>
      </c>
      <c r="C53" s="151">
        <v>3</v>
      </c>
      <c r="D53" s="155" t="s">
        <v>28</v>
      </c>
      <c r="E53" s="41" t="s">
        <v>154</v>
      </c>
      <c r="F53" s="117" t="s">
        <v>81</v>
      </c>
      <c r="G53" s="115">
        <v>11.598000000000001</v>
      </c>
      <c r="H53" s="120">
        <f t="shared" si="11"/>
        <v>139.18</v>
      </c>
      <c r="I53" s="68">
        <f t="shared" si="2"/>
        <v>154.6</v>
      </c>
      <c r="J53" s="120">
        <f t="shared" si="12"/>
        <v>162.37</v>
      </c>
      <c r="K53" s="153">
        <v>9.9962063732928597E-2</v>
      </c>
      <c r="L53" s="63">
        <f t="shared" si="5"/>
        <v>133.41</v>
      </c>
      <c r="M53" s="63">
        <f t="shared" si="6"/>
        <v>92.79</v>
      </c>
      <c r="N53" s="63">
        <f t="shared" si="7"/>
        <v>103.07</v>
      </c>
      <c r="O53" s="63">
        <f t="shared" si="8"/>
        <v>108.25</v>
      </c>
    </row>
    <row r="54" spans="1:15">
      <c r="A54" s="87" t="s">
        <v>150</v>
      </c>
      <c r="B54" s="150">
        <f t="shared" si="15"/>
        <v>7.5999999999999998E-2</v>
      </c>
      <c r="C54" s="151">
        <v>3</v>
      </c>
      <c r="D54" s="155" t="s">
        <v>28</v>
      </c>
      <c r="E54" s="41" t="s">
        <v>154</v>
      </c>
      <c r="F54" s="117" t="s">
        <v>123</v>
      </c>
      <c r="G54" s="115">
        <v>11.805999999999999</v>
      </c>
      <c r="H54" s="120">
        <f t="shared" si="11"/>
        <v>141.66999999999999</v>
      </c>
      <c r="I54" s="68">
        <f t="shared" si="2"/>
        <v>157.37</v>
      </c>
      <c r="J54" s="120">
        <f t="shared" si="12"/>
        <v>165.28</v>
      </c>
      <c r="K54" s="153">
        <v>9.9972048821391768E-2</v>
      </c>
      <c r="L54" s="63">
        <f t="shared" si="5"/>
        <v>135.79</v>
      </c>
      <c r="M54" s="63">
        <f t="shared" si="6"/>
        <v>94.45</v>
      </c>
      <c r="N54" s="63">
        <f t="shared" si="7"/>
        <v>104.91</v>
      </c>
      <c r="O54" s="63">
        <f t="shared" si="8"/>
        <v>110.19</v>
      </c>
    </row>
    <row r="55" spans="1:15">
      <c r="A55" s="87" t="s">
        <v>150</v>
      </c>
      <c r="B55" s="150">
        <f t="shared" si="15"/>
        <v>7.5999999999999998E-2</v>
      </c>
      <c r="C55" s="151">
        <v>3</v>
      </c>
      <c r="D55" s="155" t="s">
        <v>28</v>
      </c>
      <c r="E55" s="41" t="s">
        <v>154</v>
      </c>
      <c r="F55" s="117" t="s">
        <v>122</v>
      </c>
      <c r="G55" s="115">
        <v>11.718</v>
      </c>
      <c r="H55" s="120">
        <f t="shared" si="11"/>
        <v>140.62</v>
      </c>
      <c r="I55" s="68">
        <f t="shared" si="2"/>
        <v>156.19999999999999</v>
      </c>
      <c r="J55" s="120">
        <f t="shared" si="12"/>
        <v>164.05</v>
      </c>
      <c r="K55" s="153">
        <v>9.9971838918614386E-2</v>
      </c>
      <c r="L55" s="63">
        <f t="shared" si="5"/>
        <v>134.79</v>
      </c>
      <c r="M55" s="63">
        <f t="shared" si="6"/>
        <v>93.75</v>
      </c>
      <c r="N55" s="63">
        <f t="shared" si="7"/>
        <v>104.13</v>
      </c>
      <c r="O55" s="63">
        <f t="shared" si="8"/>
        <v>109.37</v>
      </c>
    </row>
    <row r="56" spans="1:15">
      <c r="A56" s="87" t="s">
        <v>150</v>
      </c>
      <c r="B56" s="150">
        <f t="shared" si="15"/>
        <v>8.8999999999999996E-2</v>
      </c>
      <c r="C56" s="151">
        <v>3.5</v>
      </c>
      <c r="D56" s="155" t="s">
        <v>28</v>
      </c>
      <c r="E56" s="41" t="s">
        <v>154</v>
      </c>
      <c r="F56" s="117" t="s">
        <v>155</v>
      </c>
      <c r="G56" s="115">
        <v>11.631</v>
      </c>
      <c r="H56" s="120">
        <f t="shared" si="11"/>
        <v>139.57</v>
      </c>
      <c r="I56" s="68">
        <f t="shared" si="2"/>
        <v>155.04</v>
      </c>
      <c r="J56" s="120">
        <f t="shared" si="12"/>
        <v>162.83000000000001</v>
      </c>
      <c r="K56" s="153">
        <v>9.996217136372243E-2</v>
      </c>
      <c r="L56" s="63">
        <f t="shared" si="5"/>
        <v>133.78</v>
      </c>
      <c r="M56" s="63">
        <f t="shared" si="6"/>
        <v>93.05</v>
      </c>
      <c r="N56" s="63">
        <f t="shared" si="7"/>
        <v>103.36</v>
      </c>
      <c r="O56" s="63">
        <f t="shared" si="8"/>
        <v>108.55</v>
      </c>
    </row>
    <row r="57" spans="1:15">
      <c r="A57" s="87" t="s">
        <v>150</v>
      </c>
      <c r="B57" s="150">
        <f t="shared" si="14"/>
        <v>0.1</v>
      </c>
      <c r="C57" s="151">
        <v>4</v>
      </c>
      <c r="D57" s="155" t="s">
        <v>28</v>
      </c>
      <c r="E57" s="41" t="s">
        <v>154</v>
      </c>
      <c r="F57" s="117" t="s">
        <v>124</v>
      </c>
      <c r="G57" s="115">
        <v>11.579000000000001</v>
      </c>
      <c r="H57" s="120">
        <f t="shared" si="11"/>
        <v>138.94999999999999</v>
      </c>
      <c r="I57" s="68">
        <f t="shared" si="2"/>
        <v>154.35</v>
      </c>
      <c r="J57" s="120">
        <f t="shared" si="12"/>
        <v>162.11000000000001</v>
      </c>
      <c r="K57" s="153">
        <v>0.10003800114003436</v>
      </c>
      <c r="L57" s="63">
        <f t="shared" si="5"/>
        <v>133.19</v>
      </c>
      <c r="M57" s="63">
        <f t="shared" si="6"/>
        <v>92.63</v>
      </c>
      <c r="N57" s="63">
        <f t="shared" si="7"/>
        <v>102.9</v>
      </c>
      <c r="O57" s="63">
        <f t="shared" si="8"/>
        <v>108.07</v>
      </c>
    </row>
    <row r="58" spans="1:15">
      <c r="A58" s="87" t="s">
        <v>150</v>
      </c>
      <c r="B58" s="150">
        <f t="shared" si="14"/>
        <v>0.1</v>
      </c>
      <c r="C58" s="151">
        <v>4</v>
      </c>
      <c r="D58" s="155" t="s">
        <v>28</v>
      </c>
      <c r="E58" s="41" t="s">
        <v>154</v>
      </c>
      <c r="F58" s="117" t="s">
        <v>84</v>
      </c>
      <c r="G58" s="115">
        <v>11.648</v>
      </c>
      <c r="H58" s="120">
        <f t="shared" si="11"/>
        <v>139.78</v>
      </c>
      <c r="I58" s="68">
        <f t="shared" si="2"/>
        <v>155.27000000000001</v>
      </c>
      <c r="J58" s="120">
        <f t="shared" si="12"/>
        <v>163.07</v>
      </c>
      <c r="K58" s="153">
        <v>0.10000944376239485</v>
      </c>
      <c r="L58" s="63">
        <f t="shared" si="5"/>
        <v>133.99</v>
      </c>
      <c r="M58" s="63">
        <f t="shared" si="6"/>
        <v>93.19</v>
      </c>
      <c r="N58" s="63">
        <f t="shared" si="7"/>
        <v>103.51</v>
      </c>
      <c r="O58" s="63">
        <f t="shared" si="8"/>
        <v>108.71</v>
      </c>
    </row>
    <row r="59" spans="1:15">
      <c r="A59" s="87" t="s">
        <v>150</v>
      </c>
      <c r="B59" s="150">
        <f t="shared" si="14"/>
        <v>0.1</v>
      </c>
      <c r="C59" s="151">
        <v>4</v>
      </c>
      <c r="D59" s="155" t="s">
        <v>28</v>
      </c>
      <c r="E59" s="41" t="s">
        <v>154</v>
      </c>
      <c r="F59" s="117" t="s">
        <v>97</v>
      </c>
      <c r="G59" s="115">
        <v>13.337999999999999</v>
      </c>
      <c r="H59" s="120">
        <f t="shared" si="11"/>
        <v>160.06</v>
      </c>
      <c r="I59" s="68">
        <f t="shared" si="2"/>
        <v>177.8</v>
      </c>
      <c r="J59" s="120">
        <f t="shared" si="12"/>
        <v>186.73</v>
      </c>
      <c r="K59" s="153">
        <v>0.10004123711340207</v>
      </c>
      <c r="L59" s="63">
        <f t="shared" si="5"/>
        <v>153.43</v>
      </c>
      <c r="M59" s="63">
        <f t="shared" si="6"/>
        <v>106.71</v>
      </c>
      <c r="N59" s="63">
        <f t="shared" si="7"/>
        <v>118.53</v>
      </c>
      <c r="O59" s="63">
        <f t="shared" si="8"/>
        <v>124.49</v>
      </c>
    </row>
    <row r="60" spans="1:15">
      <c r="A60" s="87" t="s">
        <v>150</v>
      </c>
      <c r="B60" s="150">
        <f t="shared" si="14"/>
        <v>0.1</v>
      </c>
      <c r="C60" s="151">
        <v>4</v>
      </c>
      <c r="D60" s="155" t="s">
        <v>28</v>
      </c>
      <c r="E60" s="41" t="s">
        <v>154</v>
      </c>
      <c r="F60" s="117" t="s">
        <v>85</v>
      </c>
      <c r="G60" s="115">
        <v>13.364000000000001</v>
      </c>
      <c r="H60" s="120">
        <f t="shared" si="11"/>
        <v>160.37</v>
      </c>
      <c r="I60" s="68">
        <f t="shared" si="2"/>
        <v>178.14</v>
      </c>
      <c r="J60" s="120">
        <f t="shared" si="12"/>
        <v>187.1</v>
      </c>
      <c r="K60" s="153">
        <v>0.10000823113013424</v>
      </c>
      <c r="L60" s="63">
        <f t="shared" si="5"/>
        <v>153.72</v>
      </c>
      <c r="M60" s="63">
        <f t="shared" si="6"/>
        <v>106.91</v>
      </c>
      <c r="N60" s="63">
        <f t="shared" si="7"/>
        <v>118.76</v>
      </c>
      <c r="O60" s="63">
        <f t="shared" si="8"/>
        <v>124.73</v>
      </c>
    </row>
    <row r="61" spans="1:15">
      <c r="A61" s="87" t="s">
        <v>150</v>
      </c>
      <c r="B61" s="150">
        <f t="shared" si="14"/>
        <v>0.11</v>
      </c>
      <c r="C61" s="151">
        <v>4.5</v>
      </c>
      <c r="D61" s="155" t="s">
        <v>28</v>
      </c>
      <c r="E61" s="41" t="s">
        <v>154</v>
      </c>
      <c r="F61" s="117" t="s">
        <v>84</v>
      </c>
      <c r="G61" s="115">
        <v>11.704000000000001</v>
      </c>
      <c r="H61" s="120">
        <f t="shared" si="11"/>
        <v>140.44999999999999</v>
      </c>
      <c r="I61" s="68">
        <f t="shared" si="2"/>
        <v>156.01</v>
      </c>
      <c r="J61" s="120">
        <f t="shared" si="12"/>
        <v>163.86</v>
      </c>
      <c r="K61" s="153">
        <v>0.10000000000000009</v>
      </c>
      <c r="L61" s="63">
        <f t="shared" si="5"/>
        <v>134.63</v>
      </c>
      <c r="M61" s="63">
        <f t="shared" si="6"/>
        <v>93.63</v>
      </c>
      <c r="N61" s="63">
        <f t="shared" si="7"/>
        <v>104.01</v>
      </c>
      <c r="O61" s="63">
        <f t="shared" si="8"/>
        <v>109.24</v>
      </c>
    </row>
    <row r="62" spans="1:15">
      <c r="A62" s="87" t="s">
        <v>150</v>
      </c>
      <c r="B62" s="150">
        <f t="shared" si="14"/>
        <v>0.11</v>
      </c>
      <c r="C62" s="151">
        <v>4.5</v>
      </c>
      <c r="D62" s="155" t="s">
        <v>28</v>
      </c>
      <c r="E62" s="41" t="s">
        <v>154</v>
      </c>
      <c r="F62" s="117" t="s">
        <v>85</v>
      </c>
      <c r="G62" s="115">
        <v>13.5</v>
      </c>
      <c r="H62" s="120">
        <f t="shared" si="11"/>
        <v>162</v>
      </c>
      <c r="I62" s="68">
        <f t="shared" si="2"/>
        <v>179.96</v>
      </c>
      <c r="J62" s="120">
        <f t="shared" si="12"/>
        <v>189</v>
      </c>
      <c r="K62" s="153">
        <v>9.9975556098753415E-2</v>
      </c>
      <c r="L62" s="63">
        <f t="shared" si="5"/>
        <v>155.29</v>
      </c>
      <c r="M62" s="63">
        <f t="shared" si="6"/>
        <v>108</v>
      </c>
      <c r="N62" s="63">
        <f t="shared" si="7"/>
        <v>119.97</v>
      </c>
      <c r="O62" s="63">
        <f t="shared" si="8"/>
        <v>126</v>
      </c>
    </row>
    <row r="63" spans="1:15">
      <c r="A63" s="87" t="s">
        <v>150</v>
      </c>
      <c r="B63" s="150">
        <f t="shared" si="14"/>
        <v>0.13</v>
      </c>
      <c r="C63" s="151">
        <v>5</v>
      </c>
      <c r="D63" s="155" t="s">
        <v>28</v>
      </c>
      <c r="E63" s="41" t="s">
        <v>154</v>
      </c>
      <c r="F63" s="117" t="s">
        <v>97</v>
      </c>
      <c r="G63" s="115">
        <v>13.5</v>
      </c>
      <c r="H63" s="120">
        <f t="shared" si="11"/>
        <v>162</v>
      </c>
      <c r="I63" s="68">
        <f t="shared" si="2"/>
        <v>179.96</v>
      </c>
      <c r="J63" s="120">
        <f t="shared" si="12"/>
        <v>189</v>
      </c>
      <c r="K63" s="153">
        <v>9.9975556098753415E-2</v>
      </c>
      <c r="L63" s="63">
        <f t="shared" si="5"/>
        <v>155.29</v>
      </c>
      <c r="M63" s="63">
        <f t="shared" si="6"/>
        <v>108</v>
      </c>
      <c r="N63" s="63">
        <f t="shared" si="7"/>
        <v>119.97</v>
      </c>
      <c r="O63" s="63">
        <f t="shared" si="8"/>
        <v>126</v>
      </c>
    </row>
    <row r="64" spans="1:15">
      <c r="A64" s="87" t="s">
        <v>150</v>
      </c>
      <c r="B64" s="150">
        <f t="shared" si="14"/>
        <v>0.13</v>
      </c>
      <c r="C64" s="151">
        <v>5</v>
      </c>
      <c r="D64" s="155" t="s">
        <v>28</v>
      </c>
      <c r="E64" s="41" t="s">
        <v>154</v>
      </c>
      <c r="F64" s="117" t="s">
        <v>86</v>
      </c>
      <c r="G64" s="115">
        <v>13.589</v>
      </c>
      <c r="H64" s="120">
        <f t="shared" si="11"/>
        <v>163.07</v>
      </c>
      <c r="I64" s="68">
        <f t="shared" si="2"/>
        <v>181.14</v>
      </c>
      <c r="J64" s="120">
        <f t="shared" si="12"/>
        <v>190.25</v>
      </c>
      <c r="K64" s="153">
        <v>9.9967621822891539E-2</v>
      </c>
      <c r="L64" s="63">
        <f t="shared" si="5"/>
        <v>156.31</v>
      </c>
      <c r="M64" s="63">
        <f t="shared" si="6"/>
        <v>108.71</v>
      </c>
      <c r="N64" s="63">
        <f t="shared" si="7"/>
        <v>120.76</v>
      </c>
      <c r="O64" s="63">
        <f t="shared" si="8"/>
        <v>126.83</v>
      </c>
    </row>
    <row r="65" spans="1:15">
      <c r="A65" s="87" t="s">
        <v>150</v>
      </c>
      <c r="B65" s="150">
        <f t="shared" si="14"/>
        <v>0.13</v>
      </c>
      <c r="C65" s="151">
        <v>5</v>
      </c>
      <c r="D65" s="155" t="s">
        <v>28</v>
      </c>
      <c r="E65" s="41" t="s">
        <v>154</v>
      </c>
      <c r="F65" s="117" t="s">
        <v>117</v>
      </c>
      <c r="G65" s="115">
        <v>14.183</v>
      </c>
      <c r="H65" s="120">
        <f t="shared" si="11"/>
        <v>170.2</v>
      </c>
      <c r="I65" s="68">
        <f t="shared" si="2"/>
        <v>189.06</v>
      </c>
      <c r="J65" s="120">
        <f t="shared" si="12"/>
        <v>198.56</v>
      </c>
      <c r="K65" s="153">
        <v>9.9968977819140603E-2</v>
      </c>
      <c r="L65" s="63">
        <f t="shared" si="5"/>
        <v>163.13999999999999</v>
      </c>
      <c r="M65" s="63">
        <f t="shared" si="6"/>
        <v>113.47</v>
      </c>
      <c r="N65" s="63">
        <f t="shared" si="7"/>
        <v>126.04</v>
      </c>
      <c r="O65" s="63">
        <f t="shared" si="8"/>
        <v>132.37</v>
      </c>
    </row>
    <row r="66" spans="1:15">
      <c r="A66" s="87" t="s">
        <v>150</v>
      </c>
      <c r="B66" s="150">
        <f t="shared" si="14"/>
        <v>0.13</v>
      </c>
      <c r="C66" s="151">
        <v>5</v>
      </c>
      <c r="D66" s="155" t="s">
        <v>28</v>
      </c>
      <c r="E66" s="41" t="s">
        <v>154</v>
      </c>
      <c r="F66" s="117" t="s">
        <v>84</v>
      </c>
      <c r="G66" s="115">
        <v>11.704000000000001</v>
      </c>
      <c r="H66" s="120">
        <f t="shared" si="11"/>
        <v>140.44999999999999</v>
      </c>
      <c r="I66" s="68">
        <f t="shared" si="2"/>
        <v>156.01</v>
      </c>
      <c r="J66" s="120">
        <f t="shared" si="12"/>
        <v>163.86</v>
      </c>
      <c r="K66" s="153">
        <v>0.10000000000000009</v>
      </c>
      <c r="L66" s="63">
        <f t="shared" si="5"/>
        <v>134.63</v>
      </c>
      <c r="M66" s="63">
        <f t="shared" si="6"/>
        <v>93.63</v>
      </c>
      <c r="N66" s="63">
        <f t="shared" si="7"/>
        <v>104.01</v>
      </c>
      <c r="O66" s="63">
        <f t="shared" si="8"/>
        <v>109.24</v>
      </c>
    </row>
    <row r="67" spans="1:15">
      <c r="A67" s="87" t="s">
        <v>150</v>
      </c>
      <c r="B67" s="150">
        <f t="shared" si="14"/>
        <v>0.15</v>
      </c>
      <c r="C67" s="151">
        <v>6</v>
      </c>
      <c r="D67" s="155" t="s">
        <v>28</v>
      </c>
      <c r="E67" s="41" t="s">
        <v>154</v>
      </c>
      <c r="F67" s="117" t="s">
        <v>86</v>
      </c>
      <c r="G67" s="115">
        <v>14.346</v>
      </c>
      <c r="H67" s="120">
        <f t="shared" si="11"/>
        <v>172.15</v>
      </c>
      <c r="I67" s="68">
        <f t="shared" si="2"/>
        <v>191.23</v>
      </c>
      <c r="J67" s="120">
        <f t="shared" si="12"/>
        <v>200.84</v>
      </c>
      <c r="K67" s="153">
        <v>9.9984664928691958E-2</v>
      </c>
      <c r="L67" s="63">
        <f t="shared" si="5"/>
        <v>165.02</v>
      </c>
      <c r="M67" s="63">
        <f t="shared" si="6"/>
        <v>114.77</v>
      </c>
      <c r="N67" s="63">
        <f t="shared" si="7"/>
        <v>127.49</v>
      </c>
      <c r="O67" s="63">
        <f t="shared" si="8"/>
        <v>133.88999999999999</v>
      </c>
    </row>
    <row r="68" spans="1:15">
      <c r="A68" s="87" t="s">
        <v>150</v>
      </c>
      <c r="B68" s="150">
        <f t="shared" si="14"/>
        <v>0.15</v>
      </c>
      <c r="C68" s="151">
        <v>6</v>
      </c>
      <c r="D68" s="155" t="s">
        <v>28</v>
      </c>
      <c r="E68" s="41" t="s">
        <v>154</v>
      </c>
      <c r="F68" s="117" t="s">
        <v>117</v>
      </c>
      <c r="G68" s="115">
        <v>14.74</v>
      </c>
      <c r="H68" s="120">
        <f t="shared" si="11"/>
        <v>176.88</v>
      </c>
      <c r="I68" s="68">
        <f t="shared" si="2"/>
        <v>196.48</v>
      </c>
      <c r="J68" s="120">
        <f t="shared" si="12"/>
        <v>206.36</v>
      </c>
      <c r="K68" s="153">
        <v>0.10000000000000009</v>
      </c>
      <c r="L68" s="63">
        <f t="shared" si="5"/>
        <v>169.55</v>
      </c>
      <c r="M68" s="63">
        <f t="shared" si="6"/>
        <v>117.92</v>
      </c>
      <c r="N68" s="63">
        <f t="shared" si="7"/>
        <v>130.99</v>
      </c>
      <c r="O68" s="63">
        <f t="shared" si="8"/>
        <v>137.57</v>
      </c>
    </row>
    <row r="69" spans="1:15">
      <c r="A69" s="87" t="s">
        <v>150</v>
      </c>
      <c r="B69" s="150">
        <f t="shared" si="14"/>
        <v>0.2</v>
      </c>
      <c r="C69" s="151">
        <v>8</v>
      </c>
      <c r="D69" s="155" t="s">
        <v>28</v>
      </c>
      <c r="E69" s="41" t="s">
        <v>154</v>
      </c>
      <c r="F69" s="117" t="s">
        <v>89</v>
      </c>
      <c r="G69" s="115">
        <v>14.823</v>
      </c>
      <c r="H69" s="120">
        <f t="shared" si="11"/>
        <v>177.88</v>
      </c>
      <c r="I69" s="68">
        <f t="shared" si="2"/>
        <v>197.59</v>
      </c>
      <c r="J69" s="120">
        <f t="shared" si="12"/>
        <v>207.52</v>
      </c>
      <c r="K69" s="153">
        <v>0.10003710575139158</v>
      </c>
      <c r="L69" s="63">
        <f t="shared" si="5"/>
        <v>170.5</v>
      </c>
      <c r="M69" s="63">
        <f t="shared" si="6"/>
        <v>118.59</v>
      </c>
      <c r="N69" s="63">
        <f t="shared" si="7"/>
        <v>131.72999999999999</v>
      </c>
      <c r="O69" s="63">
        <f t="shared" si="8"/>
        <v>138.35</v>
      </c>
    </row>
    <row r="70" spans="1:15">
      <c r="A70" s="87" t="s">
        <v>150</v>
      </c>
      <c r="B70" s="150">
        <f t="shared" si="14"/>
        <v>0.2</v>
      </c>
      <c r="C70" s="151">
        <v>8</v>
      </c>
      <c r="D70" s="155" t="s">
        <v>28</v>
      </c>
      <c r="E70" s="41" t="s">
        <v>154</v>
      </c>
      <c r="F70" s="117" t="s">
        <v>95</v>
      </c>
      <c r="G70" s="115">
        <v>14.823</v>
      </c>
      <c r="H70" s="120">
        <f t="shared" si="11"/>
        <v>177.88</v>
      </c>
      <c r="I70" s="68">
        <f t="shared" si="2"/>
        <v>197.59</v>
      </c>
      <c r="J70" s="120">
        <f t="shared" si="12"/>
        <v>207.52</v>
      </c>
      <c r="K70" s="153">
        <v>0.10003710575139158</v>
      </c>
      <c r="L70" s="63">
        <f t="shared" si="5"/>
        <v>170.5</v>
      </c>
      <c r="M70" s="63">
        <f t="shared" si="6"/>
        <v>118.59</v>
      </c>
      <c r="N70" s="63">
        <f t="shared" si="7"/>
        <v>131.72999999999999</v>
      </c>
      <c r="O70" s="63">
        <f t="shared" si="8"/>
        <v>138.35</v>
      </c>
    </row>
    <row r="71" spans="1:15">
      <c r="A71" s="87" t="s">
        <v>150</v>
      </c>
      <c r="B71" s="150">
        <f t="shared" si="14"/>
        <v>0.25</v>
      </c>
      <c r="C71" s="151">
        <v>10</v>
      </c>
      <c r="D71" s="155" t="s">
        <v>28</v>
      </c>
      <c r="E71" s="41" t="s">
        <v>154</v>
      </c>
      <c r="F71" s="117" t="s">
        <v>89</v>
      </c>
      <c r="G71" s="115">
        <v>14.488</v>
      </c>
      <c r="H71" s="120">
        <f t="shared" si="11"/>
        <v>173.86</v>
      </c>
      <c r="I71" s="68">
        <f t="shared" si="2"/>
        <v>193.13</v>
      </c>
      <c r="J71" s="120">
        <f t="shared" si="12"/>
        <v>202.83</v>
      </c>
      <c r="K71" s="153">
        <v>9.9992407562068175E-2</v>
      </c>
      <c r="L71" s="63">
        <f t="shared" si="5"/>
        <v>166.65</v>
      </c>
      <c r="M71" s="63">
        <f t="shared" si="6"/>
        <v>115.91</v>
      </c>
      <c r="N71" s="63">
        <f t="shared" si="7"/>
        <v>128.75</v>
      </c>
      <c r="O71" s="63">
        <f t="shared" si="8"/>
        <v>135.22</v>
      </c>
    </row>
    <row r="72" spans="1:15">
      <c r="A72" s="87" t="s">
        <v>150</v>
      </c>
      <c r="B72" s="150">
        <f t="shared" si="14"/>
        <v>0.3</v>
      </c>
      <c r="C72" s="151">
        <v>12</v>
      </c>
      <c r="D72" s="155" t="s">
        <v>28</v>
      </c>
      <c r="E72" s="41" t="s">
        <v>154</v>
      </c>
      <c r="F72" s="117" t="s">
        <v>90</v>
      </c>
      <c r="G72" s="115">
        <v>17.105</v>
      </c>
      <c r="H72" s="120">
        <f t="shared" si="11"/>
        <v>205.26</v>
      </c>
      <c r="I72" s="68">
        <f t="shared" si="2"/>
        <v>228.01</v>
      </c>
      <c r="J72" s="120">
        <f t="shared" si="12"/>
        <v>239.47</v>
      </c>
      <c r="K72" s="153">
        <v>9.9999999999999867E-2</v>
      </c>
      <c r="L72" s="63">
        <f t="shared" si="5"/>
        <v>196.75</v>
      </c>
      <c r="M72" s="63">
        <f t="shared" si="6"/>
        <v>136.84</v>
      </c>
      <c r="N72" s="63">
        <f t="shared" si="7"/>
        <v>152.01</v>
      </c>
      <c r="O72" s="63">
        <f t="shared" si="8"/>
        <v>159.65</v>
      </c>
    </row>
    <row r="73" spans="1:15">
      <c r="A73" s="87" t="s">
        <v>150</v>
      </c>
      <c r="B73" s="150">
        <f t="shared" si="14"/>
        <v>0.36</v>
      </c>
      <c r="C73" s="151">
        <v>14</v>
      </c>
      <c r="D73" s="155" t="s">
        <v>28</v>
      </c>
      <c r="E73" s="41" t="s">
        <v>154</v>
      </c>
      <c r="F73" s="117" t="s">
        <v>90</v>
      </c>
      <c r="G73" s="115">
        <v>18.042000000000002</v>
      </c>
      <c r="H73" s="120">
        <f t="shared" si="11"/>
        <v>216.5</v>
      </c>
      <c r="I73" s="68">
        <f t="shared" si="2"/>
        <v>240.5</v>
      </c>
      <c r="J73" s="120">
        <f t="shared" si="12"/>
        <v>252.59</v>
      </c>
      <c r="K73" s="153">
        <v>9.9987806365077425E-2</v>
      </c>
      <c r="L73" s="63">
        <f t="shared" si="5"/>
        <v>207.53</v>
      </c>
      <c r="M73" s="63">
        <f t="shared" si="6"/>
        <v>144.33000000000001</v>
      </c>
      <c r="N73" s="63">
        <f t="shared" si="7"/>
        <v>160.33000000000001</v>
      </c>
      <c r="O73" s="63">
        <f t="shared" si="8"/>
        <v>168.39</v>
      </c>
    </row>
    <row r="74" spans="1:15">
      <c r="A74" s="87" t="s">
        <v>150</v>
      </c>
      <c r="B74" s="150">
        <f t="shared" si="14"/>
        <v>0.36</v>
      </c>
      <c r="C74" s="151">
        <v>14</v>
      </c>
      <c r="D74" s="155" t="s">
        <v>28</v>
      </c>
      <c r="E74" s="41" t="s">
        <v>154</v>
      </c>
      <c r="F74" s="117" t="s">
        <v>100</v>
      </c>
      <c r="G74" s="115">
        <v>16.213999999999999</v>
      </c>
      <c r="H74" s="120">
        <f t="shared" si="11"/>
        <v>194.57</v>
      </c>
      <c r="I74" s="68">
        <f t="shared" si="2"/>
        <v>216.13</v>
      </c>
      <c r="J74" s="120">
        <f t="shared" si="12"/>
        <v>227</v>
      </c>
      <c r="K74" s="153">
        <v>9.9999999999999867E-2</v>
      </c>
      <c r="L74" s="63">
        <f t="shared" si="5"/>
        <v>186.5</v>
      </c>
      <c r="M74" s="63">
        <f t="shared" si="6"/>
        <v>129.71</v>
      </c>
      <c r="N74" s="63">
        <f t="shared" si="7"/>
        <v>144.09</v>
      </c>
      <c r="O74" s="63">
        <f t="shared" si="8"/>
        <v>151.33000000000001</v>
      </c>
    </row>
    <row r="75" spans="1:15">
      <c r="A75" s="87" t="s">
        <v>150</v>
      </c>
      <c r="B75" s="150">
        <f t="shared" si="14"/>
        <v>0.41</v>
      </c>
      <c r="C75" s="151">
        <v>16</v>
      </c>
      <c r="D75" s="155" t="s">
        <v>28</v>
      </c>
      <c r="E75" s="41" t="s">
        <v>154</v>
      </c>
      <c r="F75" s="117" t="s">
        <v>100</v>
      </c>
      <c r="G75" s="115">
        <v>16.57</v>
      </c>
      <c r="H75" s="120">
        <f t="shared" si="11"/>
        <v>198.84</v>
      </c>
      <c r="I75" s="68">
        <f t="shared" si="2"/>
        <v>220.88</v>
      </c>
      <c r="J75" s="120">
        <f t="shared" si="12"/>
        <v>231.98</v>
      </c>
      <c r="K75" s="153">
        <v>9.9973446627721785E-2</v>
      </c>
      <c r="L75" s="63">
        <f t="shared" si="5"/>
        <v>190.6</v>
      </c>
      <c r="M75" s="63">
        <f t="shared" si="6"/>
        <v>132.56</v>
      </c>
      <c r="N75" s="63">
        <f t="shared" si="7"/>
        <v>147.25</v>
      </c>
      <c r="O75" s="63">
        <f t="shared" si="8"/>
        <v>154.65</v>
      </c>
    </row>
    <row r="76" spans="1:15">
      <c r="A76" s="87" t="s">
        <v>150</v>
      </c>
      <c r="B76" s="150">
        <f t="shared" si="14"/>
        <v>0.46</v>
      </c>
      <c r="C76" s="151">
        <v>18</v>
      </c>
      <c r="D76" s="155" t="s">
        <v>28</v>
      </c>
      <c r="E76" s="41" t="s">
        <v>154</v>
      </c>
      <c r="F76" s="117" t="s">
        <v>108</v>
      </c>
      <c r="G76" s="115">
        <v>17.34</v>
      </c>
      <c r="H76" s="120">
        <f t="shared" si="11"/>
        <v>208.08</v>
      </c>
      <c r="I76" s="68">
        <f t="shared" si="2"/>
        <v>231.14</v>
      </c>
      <c r="J76" s="120">
        <f t="shared" si="12"/>
        <v>242.76</v>
      </c>
      <c r="K76" s="153">
        <v>9.9974625729510214E-2</v>
      </c>
      <c r="L76" s="63">
        <f t="shared" si="5"/>
        <v>199.46</v>
      </c>
      <c r="M76" s="63">
        <f t="shared" si="6"/>
        <v>138.72</v>
      </c>
      <c r="N76" s="63">
        <f t="shared" si="7"/>
        <v>154.09</v>
      </c>
      <c r="O76" s="63">
        <f t="shared" si="8"/>
        <v>161.84</v>
      </c>
    </row>
    <row r="77" spans="1:15">
      <c r="A77" s="87" t="s">
        <v>150</v>
      </c>
      <c r="B77" s="150">
        <f t="shared" si="14"/>
        <v>0.51</v>
      </c>
      <c r="C77" s="151">
        <v>20</v>
      </c>
      <c r="D77" s="155" t="s">
        <v>28</v>
      </c>
      <c r="E77" s="41" t="s">
        <v>154</v>
      </c>
      <c r="F77" s="117" t="s">
        <v>108</v>
      </c>
      <c r="G77" s="115">
        <v>17.388999999999999</v>
      </c>
      <c r="H77" s="120">
        <f t="shared" si="11"/>
        <v>208.67</v>
      </c>
      <c r="I77" s="68">
        <f t="shared" ref="I77:I140" si="16">ROUND(G77*13.33,2)</f>
        <v>231.8</v>
      </c>
      <c r="J77" s="120">
        <f t="shared" si="12"/>
        <v>243.45</v>
      </c>
      <c r="K77" s="153">
        <v>0.10001265182186225</v>
      </c>
      <c r="L77" s="63">
        <f t="shared" si="5"/>
        <v>200.02</v>
      </c>
      <c r="M77" s="63">
        <f t="shared" si="6"/>
        <v>139.11000000000001</v>
      </c>
      <c r="N77" s="63">
        <f t="shared" si="7"/>
        <v>154.53</v>
      </c>
      <c r="O77" s="63">
        <f t="shared" si="8"/>
        <v>162.30000000000001</v>
      </c>
    </row>
    <row r="78" spans="1:15">
      <c r="A78" s="87" t="s">
        <v>150</v>
      </c>
      <c r="B78" s="150">
        <f t="shared" si="14"/>
        <v>0.51</v>
      </c>
      <c r="C78" s="151">
        <v>20</v>
      </c>
      <c r="D78" s="155" t="s">
        <v>28</v>
      </c>
      <c r="E78" s="41" t="s">
        <v>154</v>
      </c>
      <c r="F78" s="117" t="s">
        <v>91</v>
      </c>
      <c r="G78" s="115">
        <v>20.334</v>
      </c>
      <c r="H78" s="120">
        <f t="shared" si="11"/>
        <v>244.01</v>
      </c>
      <c r="I78" s="68">
        <f t="shared" si="16"/>
        <v>271.05</v>
      </c>
      <c r="J78" s="120">
        <f t="shared" si="12"/>
        <v>284.68</v>
      </c>
      <c r="K78" s="153">
        <v>0.10002704895861503</v>
      </c>
      <c r="L78" s="63">
        <f t="shared" ref="L78:L143" si="17">ROUND(ROUND(ROUND(G78*12,2)*43/48,2)*1.07,2)</f>
        <v>233.89</v>
      </c>
      <c r="M78" s="63">
        <f t="shared" ref="M78:M143" si="18">ROUND(ROUND(G78*12,2)*2/3,2)</f>
        <v>162.66999999999999</v>
      </c>
      <c r="N78" s="63">
        <f t="shared" ref="N78:N143" si="19">ROUND(ROUND(G78*13.33,2)*2/3,2)</f>
        <v>180.7</v>
      </c>
      <c r="O78" s="63">
        <f t="shared" ref="O78:O143" si="20">ROUND(ROUND(G78*14,2)*2/3,2)</f>
        <v>189.79</v>
      </c>
    </row>
    <row r="79" spans="1:15">
      <c r="A79" s="87" t="s">
        <v>150</v>
      </c>
      <c r="B79" s="150">
        <f t="shared" si="14"/>
        <v>0.56000000000000005</v>
      </c>
      <c r="C79" s="151">
        <v>22</v>
      </c>
      <c r="D79" s="155" t="s">
        <v>28</v>
      </c>
      <c r="E79" s="41" t="s">
        <v>154</v>
      </c>
      <c r="F79" s="117" t="s">
        <v>91</v>
      </c>
      <c r="G79" s="115">
        <v>24.745999999999999</v>
      </c>
      <c r="H79" s="120">
        <f t="shared" si="11"/>
        <v>296.95</v>
      </c>
      <c r="I79" s="68">
        <f t="shared" si="16"/>
        <v>329.86</v>
      </c>
      <c r="J79" s="120">
        <f t="shared" si="12"/>
        <v>346.44</v>
      </c>
      <c r="K79" s="153">
        <v>0.10001778093883362</v>
      </c>
      <c r="L79" s="63">
        <f t="shared" si="17"/>
        <v>284.64</v>
      </c>
      <c r="M79" s="63">
        <f t="shared" si="18"/>
        <v>197.97</v>
      </c>
      <c r="N79" s="63">
        <f t="shared" si="19"/>
        <v>219.91</v>
      </c>
      <c r="O79" s="63">
        <f t="shared" si="20"/>
        <v>230.96</v>
      </c>
    </row>
    <row r="80" spans="1:15">
      <c r="A80" s="87" t="s">
        <v>150</v>
      </c>
      <c r="B80" s="150">
        <f t="shared" si="14"/>
        <v>0.61</v>
      </c>
      <c r="C80" s="151">
        <v>24</v>
      </c>
      <c r="D80" s="155" t="s">
        <v>28</v>
      </c>
      <c r="E80" s="41" t="s">
        <v>154</v>
      </c>
      <c r="F80" s="117" t="s">
        <v>94</v>
      </c>
      <c r="G80" s="115">
        <v>17.812000000000001</v>
      </c>
      <c r="H80" s="120">
        <f t="shared" si="11"/>
        <v>213.74</v>
      </c>
      <c r="I80" s="68">
        <f t="shared" si="16"/>
        <v>237.43</v>
      </c>
      <c r="J80" s="120">
        <f t="shared" si="12"/>
        <v>249.37</v>
      </c>
      <c r="K80" s="153">
        <v>9.9981473476193461E-2</v>
      </c>
      <c r="L80" s="63">
        <f t="shared" si="17"/>
        <v>204.88</v>
      </c>
      <c r="M80" s="63">
        <f t="shared" si="18"/>
        <v>142.49</v>
      </c>
      <c r="N80" s="63">
        <f t="shared" si="19"/>
        <v>158.29</v>
      </c>
      <c r="O80" s="63">
        <f t="shared" si="20"/>
        <v>166.25</v>
      </c>
    </row>
    <row r="81" spans="1:15">
      <c r="A81" s="87" t="s">
        <v>150</v>
      </c>
      <c r="B81" s="150">
        <f t="shared" si="14"/>
        <v>0.61</v>
      </c>
      <c r="C81" s="151">
        <v>24</v>
      </c>
      <c r="D81" s="155" t="s">
        <v>28</v>
      </c>
      <c r="E81" s="41" t="s">
        <v>154</v>
      </c>
      <c r="F81" s="117" t="s">
        <v>88</v>
      </c>
      <c r="G81" s="115">
        <v>23.785</v>
      </c>
      <c r="H81" s="120">
        <f t="shared" si="11"/>
        <v>285.42</v>
      </c>
      <c r="I81" s="68">
        <f t="shared" si="16"/>
        <v>317.05</v>
      </c>
      <c r="J81" s="120">
        <f t="shared" si="12"/>
        <v>332.99</v>
      </c>
      <c r="K81" s="153">
        <v>9.9986125884474752E-2</v>
      </c>
      <c r="L81" s="63">
        <f t="shared" si="17"/>
        <v>273.58999999999997</v>
      </c>
      <c r="M81" s="63">
        <f t="shared" si="18"/>
        <v>190.28</v>
      </c>
      <c r="N81" s="63">
        <f t="shared" si="19"/>
        <v>211.37</v>
      </c>
      <c r="O81" s="63">
        <f t="shared" si="20"/>
        <v>221.99</v>
      </c>
    </row>
    <row r="82" spans="1:15">
      <c r="A82" s="87" t="s">
        <v>150</v>
      </c>
      <c r="B82" s="150">
        <f t="shared" si="14"/>
        <v>0.71</v>
      </c>
      <c r="C82" s="151">
        <v>28</v>
      </c>
      <c r="D82" s="155" t="s">
        <v>28</v>
      </c>
      <c r="E82" s="41" t="s">
        <v>154</v>
      </c>
      <c r="F82" s="117" t="s">
        <v>101</v>
      </c>
      <c r="G82" s="115">
        <v>19.513999999999999</v>
      </c>
      <c r="H82" s="120">
        <f t="shared" si="11"/>
        <v>234.17</v>
      </c>
      <c r="I82" s="68">
        <f t="shared" si="16"/>
        <v>260.12</v>
      </c>
      <c r="J82" s="120">
        <f t="shared" si="12"/>
        <v>273.2</v>
      </c>
      <c r="K82" s="153">
        <v>0.10000000000000009</v>
      </c>
      <c r="L82" s="63">
        <f t="shared" si="17"/>
        <v>224.46</v>
      </c>
      <c r="M82" s="63">
        <f t="shared" si="18"/>
        <v>156.11000000000001</v>
      </c>
      <c r="N82" s="63">
        <f t="shared" si="19"/>
        <v>173.41</v>
      </c>
      <c r="O82" s="63">
        <f t="shared" si="20"/>
        <v>182.13</v>
      </c>
    </row>
    <row r="83" spans="1:15">
      <c r="A83" s="87" t="s">
        <v>150</v>
      </c>
      <c r="B83" s="150">
        <f t="shared" si="14"/>
        <v>0.76</v>
      </c>
      <c r="C83" s="151">
        <v>30</v>
      </c>
      <c r="D83" s="155" t="s">
        <v>28</v>
      </c>
      <c r="E83" s="41" t="s">
        <v>154</v>
      </c>
      <c r="F83" s="117" t="s">
        <v>131</v>
      </c>
      <c r="G83" s="115">
        <v>25.021999999999998</v>
      </c>
      <c r="H83" s="120">
        <f t="shared" si="11"/>
        <v>300.26</v>
      </c>
      <c r="I83" s="68">
        <f t="shared" si="16"/>
        <v>333.54</v>
      </c>
      <c r="J83" s="120">
        <f t="shared" si="12"/>
        <v>350.31</v>
      </c>
      <c r="K83" s="153">
        <v>0.10001318855233654</v>
      </c>
      <c r="L83" s="63">
        <f t="shared" si="17"/>
        <v>287.81</v>
      </c>
      <c r="M83" s="63">
        <f t="shared" si="18"/>
        <v>200.17</v>
      </c>
      <c r="N83" s="63">
        <f t="shared" si="19"/>
        <v>222.36</v>
      </c>
      <c r="O83" s="63">
        <f t="shared" si="20"/>
        <v>233.54</v>
      </c>
    </row>
    <row r="84" spans="1:15">
      <c r="A84" s="87" t="s">
        <v>150</v>
      </c>
      <c r="B84" s="150">
        <f t="shared" si="14"/>
        <v>0.76</v>
      </c>
      <c r="C84" s="151">
        <v>30</v>
      </c>
      <c r="D84" s="155" t="s">
        <v>28</v>
      </c>
      <c r="E84" s="41" t="s">
        <v>154</v>
      </c>
      <c r="F84" s="117" t="s">
        <v>101</v>
      </c>
      <c r="G84" s="115">
        <v>19.329000000000001</v>
      </c>
      <c r="H84" s="120">
        <f t="shared" ref="H84:H145" si="21">ROUND(G84*12,2)</f>
        <v>231.95</v>
      </c>
      <c r="I84" s="68">
        <f t="shared" si="16"/>
        <v>257.66000000000003</v>
      </c>
      <c r="J84" s="120">
        <f t="shared" ref="J84:J145" si="22">ROUND(G84*14,2)</f>
        <v>270.61</v>
      </c>
      <c r="K84" s="153">
        <v>9.9988618256316997E-2</v>
      </c>
      <c r="L84" s="63">
        <f t="shared" si="17"/>
        <v>222.34</v>
      </c>
      <c r="M84" s="63">
        <f t="shared" si="18"/>
        <v>154.63</v>
      </c>
      <c r="N84" s="63">
        <f t="shared" si="19"/>
        <v>171.77</v>
      </c>
      <c r="O84" s="63">
        <f t="shared" si="20"/>
        <v>180.41</v>
      </c>
    </row>
    <row r="85" spans="1:15">
      <c r="A85" s="87" t="s">
        <v>150</v>
      </c>
      <c r="B85" s="150">
        <f t="shared" si="14"/>
        <v>0.89</v>
      </c>
      <c r="C85" s="151">
        <v>35</v>
      </c>
      <c r="D85" s="155" t="s">
        <v>28</v>
      </c>
      <c r="E85" s="41" t="s">
        <v>154</v>
      </c>
      <c r="F85" s="117" t="s">
        <v>96</v>
      </c>
      <c r="G85" s="115">
        <v>22.966000000000001</v>
      </c>
      <c r="H85" s="120">
        <f t="shared" si="21"/>
        <v>275.58999999999997</v>
      </c>
      <c r="I85" s="68">
        <f t="shared" si="16"/>
        <v>306.14</v>
      </c>
      <c r="J85" s="120">
        <f t="shared" si="22"/>
        <v>321.52</v>
      </c>
      <c r="K85" s="153">
        <v>0.10000957946163425</v>
      </c>
      <c r="L85" s="63">
        <f t="shared" si="17"/>
        <v>264.16000000000003</v>
      </c>
      <c r="M85" s="63">
        <f t="shared" si="18"/>
        <v>183.73</v>
      </c>
      <c r="N85" s="63">
        <f t="shared" si="19"/>
        <v>204.09</v>
      </c>
      <c r="O85" s="63">
        <f t="shared" si="20"/>
        <v>214.35</v>
      </c>
    </row>
    <row r="86" spans="1:15">
      <c r="A86" s="87" t="s">
        <v>150</v>
      </c>
      <c r="B86" s="150">
        <f t="shared" si="14"/>
        <v>0.99</v>
      </c>
      <c r="C86" s="151">
        <v>39</v>
      </c>
      <c r="D86" s="155" t="s">
        <v>28</v>
      </c>
      <c r="E86" s="41" t="s">
        <v>154</v>
      </c>
      <c r="F86" s="117" t="s">
        <v>96</v>
      </c>
      <c r="G86" s="115">
        <v>23.986000000000001</v>
      </c>
      <c r="H86" s="120">
        <f t="shared" si="21"/>
        <v>287.83</v>
      </c>
      <c r="I86" s="68">
        <f t="shared" si="16"/>
        <v>319.73</v>
      </c>
      <c r="J86" s="120">
        <f t="shared" si="22"/>
        <v>335.8</v>
      </c>
      <c r="K86" s="153">
        <v>0.10002293052052291</v>
      </c>
      <c r="L86" s="63">
        <f t="shared" si="17"/>
        <v>275.89999999999998</v>
      </c>
      <c r="M86" s="63">
        <f t="shared" si="18"/>
        <v>191.89</v>
      </c>
      <c r="N86" s="63">
        <f t="shared" si="19"/>
        <v>213.15</v>
      </c>
      <c r="O86" s="63">
        <f t="shared" si="20"/>
        <v>223.87</v>
      </c>
    </row>
    <row r="87" spans="1:15">
      <c r="A87" s="87" t="s">
        <v>150</v>
      </c>
      <c r="B87" s="150">
        <f t="shared" si="14"/>
        <v>0.99</v>
      </c>
      <c r="C87" s="151">
        <v>39</v>
      </c>
      <c r="D87" s="155" t="s">
        <v>28</v>
      </c>
      <c r="E87" s="41" t="s">
        <v>154</v>
      </c>
      <c r="F87" s="117" t="s">
        <v>133</v>
      </c>
      <c r="G87" s="115">
        <v>39.36</v>
      </c>
      <c r="H87" s="120">
        <f t="shared" si="21"/>
        <v>472.32</v>
      </c>
      <c r="I87" s="68">
        <f t="shared" si="16"/>
        <v>524.66999999999996</v>
      </c>
      <c r="J87" s="120">
        <f t="shared" si="22"/>
        <v>551.04</v>
      </c>
      <c r="K87" s="153">
        <v>9.9994410597507244E-2</v>
      </c>
      <c r="L87" s="63">
        <f t="shared" si="17"/>
        <v>452.74</v>
      </c>
      <c r="M87" s="63">
        <f t="shared" si="18"/>
        <v>314.88</v>
      </c>
      <c r="N87" s="63">
        <f t="shared" si="19"/>
        <v>349.78</v>
      </c>
      <c r="O87" s="63">
        <f t="shared" si="20"/>
        <v>367.36</v>
      </c>
    </row>
    <row r="88" spans="1:15">
      <c r="A88" s="87" t="s">
        <v>150</v>
      </c>
      <c r="B88" s="150">
        <v>1.2190000000000001</v>
      </c>
      <c r="C88" s="151">
        <v>48</v>
      </c>
      <c r="D88" s="155" t="s">
        <v>28</v>
      </c>
      <c r="E88" s="41" t="s">
        <v>154</v>
      </c>
      <c r="F88" s="117" t="s">
        <v>135</v>
      </c>
      <c r="G88" s="115">
        <v>43.591999999999999</v>
      </c>
      <c r="H88" s="120">
        <f t="shared" si="21"/>
        <v>523.1</v>
      </c>
      <c r="I88" s="68">
        <f t="shared" si="16"/>
        <v>581.08000000000004</v>
      </c>
      <c r="J88" s="120">
        <f t="shared" si="22"/>
        <v>610.29</v>
      </c>
      <c r="K88" s="153">
        <v>0.10000252340457738</v>
      </c>
      <c r="L88" s="63">
        <f t="shared" si="17"/>
        <v>501.41</v>
      </c>
      <c r="M88" s="63">
        <f t="shared" si="18"/>
        <v>348.73</v>
      </c>
      <c r="N88" s="63">
        <f t="shared" si="19"/>
        <v>387.39</v>
      </c>
      <c r="O88" s="63">
        <f t="shared" si="20"/>
        <v>406.86</v>
      </c>
    </row>
    <row r="89" spans="1:15">
      <c r="A89" s="87" t="s">
        <v>150</v>
      </c>
      <c r="B89" s="150">
        <f>ROUND(C89*0.0254,3)</f>
        <v>6.4000000000000001E-2</v>
      </c>
      <c r="C89" s="151">
        <v>2.5</v>
      </c>
      <c r="D89" s="154" t="s">
        <v>138</v>
      </c>
      <c r="E89" s="133" t="s">
        <v>156</v>
      </c>
      <c r="F89" s="117" t="s">
        <v>122</v>
      </c>
      <c r="G89" s="156">
        <v>16.343</v>
      </c>
      <c r="H89" s="120">
        <f t="shared" si="21"/>
        <v>196.12</v>
      </c>
      <c r="I89" s="68">
        <f t="shared" si="16"/>
        <v>217.85</v>
      </c>
      <c r="J89" s="120">
        <f t="shared" si="22"/>
        <v>228.8</v>
      </c>
      <c r="K89" s="153">
        <v>0.10002019250185112</v>
      </c>
      <c r="L89" s="63">
        <f t="shared" si="17"/>
        <v>187.99</v>
      </c>
      <c r="M89" s="63">
        <f t="shared" si="18"/>
        <v>130.75</v>
      </c>
      <c r="N89" s="63">
        <f t="shared" si="19"/>
        <v>145.22999999999999</v>
      </c>
      <c r="O89" s="63">
        <f t="shared" si="20"/>
        <v>152.53</v>
      </c>
    </row>
    <row r="90" spans="1:15">
      <c r="A90" s="87" t="s">
        <v>150</v>
      </c>
      <c r="B90" s="150">
        <f t="shared" ref="B90:B93" si="23">ROUND(C90*0.0254,3)</f>
        <v>7.5999999999999998E-2</v>
      </c>
      <c r="C90" s="151">
        <v>3</v>
      </c>
      <c r="D90" s="154" t="s">
        <v>138</v>
      </c>
      <c r="E90" s="133" t="s">
        <v>156</v>
      </c>
      <c r="F90" s="117" t="s">
        <v>122</v>
      </c>
      <c r="G90" s="115">
        <v>16.344000000000001</v>
      </c>
      <c r="H90" s="120">
        <f t="shared" si="21"/>
        <v>196.13</v>
      </c>
      <c r="I90" s="68">
        <f t="shared" si="16"/>
        <v>217.87</v>
      </c>
      <c r="J90" s="120">
        <f t="shared" si="22"/>
        <v>228.82</v>
      </c>
      <c r="K90" s="153">
        <v>0.10001346076187922</v>
      </c>
      <c r="L90" s="63">
        <f t="shared" si="17"/>
        <v>188</v>
      </c>
      <c r="M90" s="63">
        <f t="shared" si="18"/>
        <v>130.75</v>
      </c>
      <c r="N90" s="63">
        <f t="shared" si="19"/>
        <v>145.25</v>
      </c>
      <c r="O90" s="63">
        <f t="shared" si="20"/>
        <v>152.55000000000001</v>
      </c>
    </row>
    <row r="91" spans="1:15">
      <c r="A91" s="87" t="s">
        <v>150</v>
      </c>
      <c r="B91" s="150">
        <f t="shared" si="23"/>
        <v>7.5999999999999998E-2</v>
      </c>
      <c r="C91" s="151">
        <v>3</v>
      </c>
      <c r="D91" s="154" t="s">
        <v>138</v>
      </c>
      <c r="E91" s="133" t="s">
        <v>156</v>
      </c>
      <c r="F91" s="117" t="s">
        <v>81</v>
      </c>
      <c r="G91" s="115">
        <v>16.335000000000001</v>
      </c>
      <c r="H91" s="120">
        <f t="shared" si="21"/>
        <v>196.02</v>
      </c>
      <c r="I91" s="68">
        <f t="shared" si="16"/>
        <v>217.75</v>
      </c>
      <c r="J91" s="120">
        <f t="shared" si="22"/>
        <v>228.69</v>
      </c>
      <c r="K91" s="153">
        <v>0.10000000000000009</v>
      </c>
      <c r="L91" s="63">
        <f t="shared" si="17"/>
        <v>187.89</v>
      </c>
      <c r="M91" s="63">
        <f t="shared" si="18"/>
        <v>130.68</v>
      </c>
      <c r="N91" s="63">
        <f t="shared" si="19"/>
        <v>145.16999999999999</v>
      </c>
      <c r="O91" s="63">
        <f t="shared" si="20"/>
        <v>152.46</v>
      </c>
    </row>
    <row r="92" spans="1:15">
      <c r="A92" s="87" t="s">
        <v>150</v>
      </c>
      <c r="B92" s="150">
        <f t="shared" si="23"/>
        <v>8.8999999999999996E-2</v>
      </c>
      <c r="C92" s="151">
        <v>3.5</v>
      </c>
      <c r="D92" s="154" t="s">
        <v>138</v>
      </c>
      <c r="E92" s="133" t="s">
        <v>156</v>
      </c>
      <c r="F92" s="117" t="s">
        <v>83</v>
      </c>
      <c r="G92" s="115">
        <v>16.527999999999999</v>
      </c>
      <c r="H92" s="120">
        <f t="shared" si="21"/>
        <v>198.34</v>
      </c>
      <c r="I92" s="68">
        <f t="shared" si="16"/>
        <v>220.32</v>
      </c>
      <c r="J92" s="120">
        <f t="shared" si="22"/>
        <v>231.39</v>
      </c>
      <c r="K92" s="153">
        <v>0.10003327787021621</v>
      </c>
      <c r="L92" s="63">
        <f t="shared" si="17"/>
        <v>190.12</v>
      </c>
      <c r="M92" s="63">
        <f t="shared" si="18"/>
        <v>132.22999999999999</v>
      </c>
      <c r="N92" s="63">
        <f t="shared" si="19"/>
        <v>146.88</v>
      </c>
      <c r="O92" s="63">
        <f t="shared" si="20"/>
        <v>154.26</v>
      </c>
    </row>
    <row r="93" spans="1:15">
      <c r="A93" s="87" t="s">
        <v>150</v>
      </c>
      <c r="B93" s="150">
        <f t="shared" si="23"/>
        <v>8.8999999999999996E-2</v>
      </c>
      <c r="C93" s="151">
        <v>3.5</v>
      </c>
      <c r="D93" s="154" t="s">
        <v>138</v>
      </c>
      <c r="E93" s="133" t="s">
        <v>156</v>
      </c>
      <c r="F93" s="117" t="s">
        <v>155</v>
      </c>
      <c r="G93" s="115">
        <v>18.667000000000002</v>
      </c>
      <c r="H93" s="120">
        <f t="shared" si="21"/>
        <v>224</v>
      </c>
      <c r="I93" s="68">
        <f t="shared" si="16"/>
        <v>248.83</v>
      </c>
      <c r="J93" s="120">
        <f t="shared" si="22"/>
        <v>261.33999999999997</v>
      </c>
      <c r="K93" s="153">
        <v>0.10000000000000009</v>
      </c>
      <c r="L93" s="63">
        <f t="shared" si="17"/>
        <v>214.72</v>
      </c>
      <c r="M93" s="63">
        <f t="shared" si="18"/>
        <v>149.33000000000001</v>
      </c>
      <c r="N93" s="63">
        <f t="shared" si="19"/>
        <v>165.89</v>
      </c>
      <c r="O93" s="63">
        <f t="shared" si="20"/>
        <v>174.23</v>
      </c>
    </row>
    <row r="94" spans="1:15">
      <c r="A94" s="87" t="s">
        <v>150</v>
      </c>
      <c r="B94" s="150">
        <f>ROUND(C94*0.0254,2)</f>
        <v>0.1</v>
      </c>
      <c r="C94" s="151">
        <v>4</v>
      </c>
      <c r="D94" s="154" t="s">
        <v>138</v>
      </c>
      <c r="E94" s="133" t="s">
        <v>156</v>
      </c>
      <c r="F94" s="117" t="s">
        <v>83</v>
      </c>
      <c r="G94" s="115">
        <v>16.728999999999999</v>
      </c>
      <c r="H94" s="120">
        <f t="shared" si="21"/>
        <v>200.75</v>
      </c>
      <c r="I94" s="68">
        <f t="shared" si="16"/>
        <v>223</v>
      </c>
      <c r="J94" s="120">
        <f t="shared" si="22"/>
        <v>234.21</v>
      </c>
      <c r="K94" s="153">
        <v>0.10001315097317187</v>
      </c>
      <c r="L94" s="63">
        <f t="shared" si="17"/>
        <v>192.43</v>
      </c>
      <c r="M94" s="63">
        <f t="shared" si="18"/>
        <v>133.83000000000001</v>
      </c>
      <c r="N94" s="63">
        <f t="shared" si="19"/>
        <v>148.66999999999999</v>
      </c>
      <c r="O94" s="63">
        <f t="shared" si="20"/>
        <v>156.13999999999999</v>
      </c>
    </row>
    <row r="95" spans="1:15">
      <c r="A95" s="87" t="s">
        <v>150</v>
      </c>
      <c r="B95" s="150">
        <f>ROUND(C95*0.0254,2)</f>
        <v>0.1</v>
      </c>
      <c r="C95" s="151">
        <v>4</v>
      </c>
      <c r="D95" s="154" t="s">
        <v>138</v>
      </c>
      <c r="E95" s="133" t="s">
        <v>156</v>
      </c>
      <c r="F95" s="117" t="s">
        <v>84</v>
      </c>
      <c r="G95" s="115">
        <v>16.486999999999998</v>
      </c>
      <c r="H95" s="120">
        <f t="shared" si="21"/>
        <v>197.84</v>
      </c>
      <c r="I95" s="68">
        <f t="shared" si="16"/>
        <v>219.77</v>
      </c>
      <c r="J95" s="120">
        <f t="shared" si="22"/>
        <v>230.82</v>
      </c>
      <c r="K95" s="153">
        <v>0.10001334400854001</v>
      </c>
      <c r="L95" s="63">
        <f t="shared" si="17"/>
        <v>189.64</v>
      </c>
      <c r="M95" s="63">
        <f t="shared" si="18"/>
        <v>131.88999999999999</v>
      </c>
      <c r="N95" s="63">
        <f t="shared" si="19"/>
        <v>146.51</v>
      </c>
      <c r="O95" s="63">
        <f t="shared" si="20"/>
        <v>153.88</v>
      </c>
    </row>
    <row r="96" spans="1:15">
      <c r="A96" s="87" t="s">
        <v>150</v>
      </c>
      <c r="B96" s="150">
        <f>ROUND(C96*0.0254,2)</f>
        <v>0.1</v>
      </c>
      <c r="C96" s="151">
        <v>4</v>
      </c>
      <c r="D96" s="154" t="s">
        <v>138</v>
      </c>
      <c r="E96" s="133" t="s">
        <v>156</v>
      </c>
      <c r="F96" s="117" t="s">
        <v>97</v>
      </c>
      <c r="G96" s="115">
        <v>18.702000000000002</v>
      </c>
      <c r="H96" s="120">
        <f t="shared" si="21"/>
        <v>224.42</v>
      </c>
      <c r="I96" s="68">
        <f t="shared" si="16"/>
        <v>249.3</v>
      </c>
      <c r="J96" s="120">
        <f t="shared" si="22"/>
        <v>261.83</v>
      </c>
      <c r="K96" s="153">
        <v>9.9988236678038023E-2</v>
      </c>
      <c r="L96" s="63">
        <f t="shared" si="17"/>
        <v>215.11</v>
      </c>
      <c r="M96" s="63">
        <f t="shared" si="18"/>
        <v>149.61000000000001</v>
      </c>
      <c r="N96" s="63">
        <f t="shared" si="19"/>
        <v>166.2</v>
      </c>
      <c r="O96" s="63">
        <f t="shared" si="20"/>
        <v>174.55</v>
      </c>
    </row>
    <row r="97" spans="1:15">
      <c r="A97" s="87" t="s">
        <v>150</v>
      </c>
      <c r="B97" s="150">
        <f>ROUND(C97*0.0254,2)</f>
        <v>0.1</v>
      </c>
      <c r="C97" s="151">
        <v>4</v>
      </c>
      <c r="D97" s="154" t="s">
        <v>138</v>
      </c>
      <c r="E97" s="133" t="s">
        <v>156</v>
      </c>
      <c r="F97" s="117" t="s">
        <v>84</v>
      </c>
      <c r="G97" s="115">
        <v>16.486999999999998</v>
      </c>
      <c r="H97" s="120">
        <f t="shared" si="21"/>
        <v>197.84</v>
      </c>
      <c r="I97" s="68">
        <f t="shared" si="16"/>
        <v>219.77</v>
      </c>
      <c r="J97" s="120">
        <f t="shared" si="22"/>
        <v>230.82</v>
      </c>
      <c r="K97" s="153">
        <v>0.10001334400854001</v>
      </c>
      <c r="L97" s="63">
        <f t="shared" si="17"/>
        <v>189.64</v>
      </c>
      <c r="M97" s="63">
        <f t="shared" si="18"/>
        <v>131.88999999999999</v>
      </c>
      <c r="N97" s="63">
        <f t="shared" si="19"/>
        <v>146.51</v>
      </c>
      <c r="O97" s="63">
        <f t="shared" si="20"/>
        <v>153.88</v>
      </c>
    </row>
    <row r="98" spans="1:15">
      <c r="A98" s="87" t="s">
        <v>150</v>
      </c>
      <c r="B98" s="150">
        <f t="shared" ref="B98:B107" si="24">ROUND(C98*0.0254,2)</f>
        <v>0.1</v>
      </c>
      <c r="C98" s="151">
        <v>4</v>
      </c>
      <c r="D98" s="154" t="s">
        <v>138</v>
      </c>
      <c r="E98" s="133" t="s">
        <v>156</v>
      </c>
      <c r="F98" s="117" t="s">
        <v>85</v>
      </c>
      <c r="G98" s="115">
        <v>19.565999999999999</v>
      </c>
      <c r="H98" s="120">
        <f t="shared" si="21"/>
        <v>234.79</v>
      </c>
      <c r="I98" s="68">
        <f t="shared" si="16"/>
        <v>260.81</v>
      </c>
      <c r="J98" s="120">
        <f t="shared" si="22"/>
        <v>273.92</v>
      </c>
      <c r="K98" s="153">
        <v>0.10001686625063244</v>
      </c>
      <c r="L98" s="63">
        <f t="shared" si="17"/>
        <v>225.05</v>
      </c>
      <c r="M98" s="63">
        <f t="shared" si="18"/>
        <v>156.53</v>
      </c>
      <c r="N98" s="63">
        <f t="shared" si="19"/>
        <v>173.87</v>
      </c>
      <c r="O98" s="63">
        <f t="shared" si="20"/>
        <v>182.61</v>
      </c>
    </row>
    <row r="99" spans="1:15">
      <c r="A99" s="87" t="s">
        <v>150</v>
      </c>
      <c r="B99" s="150">
        <f t="shared" si="24"/>
        <v>0.11</v>
      </c>
      <c r="C99" s="151">
        <v>4.5</v>
      </c>
      <c r="D99" s="154" t="s">
        <v>138</v>
      </c>
      <c r="E99" s="133" t="s">
        <v>156</v>
      </c>
      <c r="F99" s="117" t="s">
        <v>84</v>
      </c>
      <c r="G99" s="115">
        <v>18.135999999999999</v>
      </c>
      <c r="H99" s="120">
        <f t="shared" si="21"/>
        <v>217.63</v>
      </c>
      <c r="I99" s="68">
        <f t="shared" si="16"/>
        <v>241.75</v>
      </c>
      <c r="J99" s="120">
        <f t="shared" si="22"/>
        <v>253.9</v>
      </c>
      <c r="K99" s="153">
        <v>0.1000181961545461</v>
      </c>
      <c r="L99" s="63">
        <f t="shared" si="17"/>
        <v>208.61</v>
      </c>
      <c r="M99" s="63">
        <f t="shared" si="18"/>
        <v>145.09</v>
      </c>
      <c r="N99" s="63">
        <f t="shared" si="19"/>
        <v>161.16999999999999</v>
      </c>
      <c r="O99" s="63">
        <f t="shared" si="20"/>
        <v>169.27</v>
      </c>
    </row>
    <row r="100" spans="1:15">
      <c r="A100" s="87" t="s">
        <v>150</v>
      </c>
      <c r="B100" s="150">
        <f t="shared" si="24"/>
        <v>0.11</v>
      </c>
      <c r="C100" s="151">
        <v>4.5</v>
      </c>
      <c r="D100" s="154" t="s">
        <v>138</v>
      </c>
      <c r="E100" s="133" t="s">
        <v>156</v>
      </c>
      <c r="F100" s="117" t="s">
        <v>85</v>
      </c>
      <c r="G100" s="115">
        <v>19.565999999999999</v>
      </c>
      <c r="H100" s="120">
        <f t="shared" si="21"/>
        <v>234.79</v>
      </c>
      <c r="I100" s="68">
        <f t="shared" si="16"/>
        <v>260.81</v>
      </c>
      <c r="J100" s="120">
        <f t="shared" si="22"/>
        <v>273.92</v>
      </c>
      <c r="K100" s="153">
        <v>0.10001686625063244</v>
      </c>
      <c r="L100" s="63">
        <f t="shared" si="17"/>
        <v>225.05</v>
      </c>
      <c r="M100" s="63">
        <f t="shared" si="18"/>
        <v>156.53</v>
      </c>
      <c r="N100" s="63">
        <f t="shared" si="19"/>
        <v>173.87</v>
      </c>
      <c r="O100" s="63">
        <f t="shared" si="20"/>
        <v>182.61</v>
      </c>
    </row>
    <row r="101" spans="1:15">
      <c r="A101" s="87" t="s">
        <v>150</v>
      </c>
      <c r="B101" s="150">
        <f t="shared" si="24"/>
        <v>0.13</v>
      </c>
      <c r="C101" s="151">
        <v>5</v>
      </c>
      <c r="D101" s="154" t="s">
        <v>138</v>
      </c>
      <c r="E101" s="133" t="s">
        <v>156</v>
      </c>
      <c r="F101" s="117" t="s">
        <v>84</v>
      </c>
      <c r="G101" s="115">
        <v>16.486999999999998</v>
      </c>
      <c r="H101" s="120">
        <f t="shared" si="21"/>
        <v>197.84</v>
      </c>
      <c r="I101" s="68">
        <f t="shared" si="16"/>
        <v>219.77</v>
      </c>
      <c r="J101" s="120">
        <f t="shared" si="22"/>
        <v>230.82</v>
      </c>
      <c r="K101" s="153">
        <v>0.10001334400854001</v>
      </c>
      <c r="L101" s="63">
        <f t="shared" si="17"/>
        <v>189.64</v>
      </c>
      <c r="M101" s="63">
        <f t="shared" si="18"/>
        <v>131.88999999999999</v>
      </c>
      <c r="N101" s="63">
        <f t="shared" si="19"/>
        <v>146.51</v>
      </c>
      <c r="O101" s="63">
        <f t="shared" si="20"/>
        <v>153.88</v>
      </c>
    </row>
    <row r="102" spans="1:15">
      <c r="A102" s="87" t="s">
        <v>150</v>
      </c>
      <c r="B102" s="150">
        <f t="shared" si="24"/>
        <v>0.13</v>
      </c>
      <c r="C102" s="151">
        <v>5</v>
      </c>
      <c r="D102" s="154" t="s">
        <v>138</v>
      </c>
      <c r="E102" s="133" t="s">
        <v>156</v>
      </c>
      <c r="F102" s="117" t="s">
        <v>86</v>
      </c>
      <c r="G102" s="115">
        <v>19.908000000000001</v>
      </c>
      <c r="H102" s="120">
        <f t="shared" si="21"/>
        <v>238.9</v>
      </c>
      <c r="I102" s="68">
        <f t="shared" si="16"/>
        <v>265.37</v>
      </c>
      <c r="J102" s="120">
        <f t="shared" si="22"/>
        <v>278.70999999999998</v>
      </c>
      <c r="K102" s="153">
        <v>0.10001105094485596</v>
      </c>
      <c r="L102" s="63">
        <f t="shared" si="17"/>
        <v>228.99</v>
      </c>
      <c r="M102" s="63">
        <f t="shared" si="18"/>
        <v>159.27000000000001</v>
      </c>
      <c r="N102" s="63">
        <f t="shared" si="19"/>
        <v>176.91</v>
      </c>
      <c r="O102" s="63">
        <f t="shared" si="20"/>
        <v>185.81</v>
      </c>
    </row>
    <row r="103" spans="1:15">
      <c r="A103" s="87" t="s">
        <v>150</v>
      </c>
      <c r="B103" s="150">
        <f t="shared" si="24"/>
        <v>0.15</v>
      </c>
      <c r="C103" s="151">
        <v>6</v>
      </c>
      <c r="D103" s="154" t="s">
        <v>138</v>
      </c>
      <c r="E103" s="133" t="s">
        <v>156</v>
      </c>
      <c r="F103" s="117" t="s">
        <v>86</v>
      </c>
      <c r="G103" s="115">
        <v>20.373999999999999</v>
      </c>
      <c r="H103" s="120">
        <f t="shared" si="21"/>
        <v>244.49</v>
      </c>
      <c r="I103" s="68">
        <f t="shared" si="16"/>
        <v>271.58999999999997</v>
      </c>
      <c r="J103" s="120">
        <f t="shared" si="22"/>
        <v>285.24</v>
      </c>
      <c r="K103" s="153">
        <v>9.9989202030018376E-2</v>
      </c>
      <c r="L103" s="63">
        <f t="shared" si="17"/>
        <v>234.35</v>
      </c>
      <c r="M103" s="63">
        <f t="shared" si="18"/>
        <v>162.99</v>
      </c>
      <c r="N103" s="63">
        <f t="shared" si="19"/>
        <v>181.06</v>
      </c>
      <c r="O103" s="63">
        <f t="shared" si="20"/>
        <v>190.16</v>
      </c>
    </row>
    <row r="104" spans="1:15">
      <c r="A104" s="87" t="s">
        <v>150</v>
      </c>
      <c r="B104" s="150">
        <f t="shared" si="24"/>
        <v>0.2</v>
      </c>
      <c r="C104" s="151">
        <v>8</v>
      </c>
      <c r="D104" s="154" t="s">
        <v>138</v>
      </c>
      <c r="E104" s="133" t="s">
        <v>156</v>
      </c>
      <c r="F104" s="117" t="s">
        <v>87</v>
      </c>
      <c r="G104" s="115">
        <v>20.035</v>
      </c>
      <c r="H104" s="120">
        <f t="shared" si="21"/>
        <v>240.42</v>
      </c>
      <c r="I104" s="68">
        <f t="shared" si="16"/>
        <v>267.07</v>
      </c>
      <c r="J104" s="120">
        <f t="shared" si="22"/>
        <v>280.49</v>
      </c>
      <c r="K104" s="153">
        <v>9.997803887119816E-2</v>
      </c>
      <c r="L104" s="63">
        <f t="shared" si="17"/>
        <v>230.46</v>
      </c>
      <c r="M104" s="63">
        <f t="shared" si="18"/>
        <v>160.28</v>
      </c>
      <c r="N104" s="63">
        <f t="shared" si="19"/>
        <v>178.05</v>
      </c>
      <c r="O104" s="63">
        <f t="shared" si="20"/>
        <v>186.99</v>
      </c>
    </row>
    <row r="105" spans="1:15">
      <c r="A105" s="87" t="s">
        <v>150</v>
      </c>
      <c r="B105" s="150">
        <f t="shared" si="24"/>
        <v>0.25</v>
      </c>
      <c r="C105" s="151">
        <v>10</v>
      </c>
      <c r="D105" s="154" t="s">
        <v>138</v>
      </c>
      <c r="E105" s="133" t="s">
        <v>156</v>
      </c>
      <c r="F105" s="117" t="s">
        <v>89</v>
      </c>
      <c r="G105" s="115">
        <v>20.247</v>
      </c>
      <c r="H105" s="120">
        <f t="shared" si="21"/>
        <v>242.96</v>
      </c>
      <c r="I105" s="68">
        <f t="shared" si="16"/>
        <v>269.89</v>
      </c>
      <c r="J105" s="120">
        <f t="shared" si="22"/>
        <v>283.45999999999998</v>
      </c>
      <c r="K105" s="153">
        <v>0.10002173204389875</v>
      </c>
      <c r="L105" s="63">
        <f t="shared" si="17"/>
        <v>232.89</v>
      </c>
      <c r="M105" s="63">
        <f t="shared" si="18"/>
        <v>161.97</v>
      </c>
      <c r="N105" s="63">
        <f t="shared" si="19"/>
        <v>179.93</v>
      </c>
      <c r="O105" s="63">
        <f t="shared" si="20"/>
        <v>188.97</v>
      </c>
    </row>
    <row r="106" spans="1:15">
      <c r="A106" s="87" t="s">
        <v>150</v>
      </c>
      <c r="B106" s="150">
        <f t="shared" si="24"/>
        <v>0.3</v>
      </c>
      <c r="C106" s="151">
        <v>12</v>
      </c>
      <c r="D106" s="154" t="s">
        <v>138</v>
      </c>
      <c r="E106" s="133" t="s">
        <v>156</v>
      </c>
      <c r="F106" s="117" t="s">
        <v>99</v>
      </c>
      <c r="G106" s="115">
        <v>20.137</v>
      </c>
      <c r="H106" s="120">
        <f t="shared" si="21"/>
        <v>241.64</v>
      </c>
      <c r="I106" s="68">
        <f t="shared" si="16"/>
        <v>268.43</v>
      </c>
      <c r="J106" s="120">
        <f t="shared" si="22"/>
        <v>281.92</v>
      </c>
      <c r="K106" s="153">
        <v>0.1000218507593138</v>
      </c>
      <c r="L106" s="63">
        <f t="shared" si="17"/>
        <v>231.62</v>
      </c>
      <c r="M106" s="63">
        <f t="shared" si="18"/>
        <v>161.09</v>
      </c>
      <c r="N106" s="63">
        <f t="shared" si="19"/>
        <v>178.95</v>
      </c>
      <c r="O106" s="63">
        <f t="shared" si="20"/>
        <v>187.95</v>
      </c>
    </row>
    <row r="107" spans="1:15">
      <c r="A107" s="87" t="s">
        <v>150</v>
      </c>
      <c r="B107" s="150">
        <f t="shared" si="24"/>
        <v>0.56000000000000005</v>
      </c>
      <c r="C107" s="151">
        <v>22</v>
      </c>
      <c r="D107" s="155" t="s">
        <v>138</v>
      </c>
      <c r="E107" s="133" t="s">
        <v>156</v>
      </c>
      <c r="F107" s="117" t="s">
        <v>91</v>
      </c>
      <c r="G107" s="115">
        <v>27.84</v>
      </c>
      <c r="H107" s="120">
        <f t="shared" si="21"/>
        <v>334.08</v>
      </c>
      <c r="I107" s="68">
        <f t="shared" si="16"/>
        <v>371.11</v>
      </c>
      <c r="J107" s="120">
        <f t="shared" si="22"/>
        <v>389.76</v>
      </c>
      <c r="K107" s="153">
        <v>0.10000395116361771</v>
      </c>
      <c r="L107" s="63">
        <f t="shared" si="17"/>
        <v>320.23</v>
      </c>
      <c r="M107" s="63">
        <f t="shared" si="18"/>
        <v>222.72</v>
      </c>
      <c r="N107" s="63">
        <f t="shared" si="19"/>
        <v>247.41</v>
      </c>
      <c r="O107" s="63">
        <f t="shared" si="20"/>
        <v>259.83999999999997</v>
      </c>
    </row>
    <row r="108" spans="1:15">
      <c r="A108" s="87" t="s">
        <v>150</v>
      </c>
      <c r="B108" s="150">
        <f>ROUND(C108*0.0254,3)</f>
        <v>6.4000000000000001E-2</v>
      </c>
      <c r="C108" s="151">
        <v>2.5</v>
      </c>
      <c r="D108" s="155" t="s">
        <v>29</v>
      </c>
      <c r="E108" s="41" t="s">
        <v>137</v>
      </c>
      <c r="F108" s="117" t="s">
        <v>122</v>
      </c>
      <c r="G108" s="115">
        <v>21.824999999999999</v>
      </c>
      <c r="H108" s="120">
        <f t="shared" si="21"/>
        <v>261.89999999999998</v>
      </c>
      <c r="I108" s="68">
        <f t="shared" si="16"/>
        <v>290.93</v>
      </c>
      <c r="J108" s="120">
        <f t="shared" si="22"/>
        <v>305.55</v>
      </c>
      <c r="K108" s="153">
        <v>9.9994959931454908E-2</v>
      </c>
      <c r="L108" s="63">
        <f t="shared" si="17"/>
        <v>251.04</v>
      </c>
      <c r="M108" s="63">
        <f t="shared" si="18"/>
        <v>174.6</v>
      </c>
      <c r="N108" s="63">
        <f t="shared" si="19"/>
        <v>193.95</v>
      </c>
      <c r="O108" s="63">
        <f t="shared" si="20"/>
        <v>203.7</v>
      </c>
    </row>
    <row r="109" spans="1:15">
      <c r="A109" s="87" t="s">
        <v>150</v>
      </c>
      <c r="B109" s="150">
        <f t="shared" ref="B109:B111" si="25">ROUND(C109*0.0254,3)</f>
        <v>7.5999999999999998E-2</v>
      </c>
      <c r="C109" s="151">
        <v>3</v>
      </c>
      <c r="D109" s="155" t="s">
        <v>29</v>
      </c>
      <c r="E109" s="41" t="s">
        <v>137</v>
      </c>
      <c r="F109" s="117" t="s">
        <v>81</v>
      </c>
      <c r="G109" s="115">
        <v>20.779</v>
      </c>
      <c r="H109" s="120">
        <f t="shared" si="21"/>
        <v>249.35</v>
      </c>
      <c r="I109" s="68">
        <f t="shared" si="16"/>
        <v>276.98</v>
      </c>
      <c r="J109" s="120">
        <f t="shared" si="22"/>
        <v>290.91000000000003</v>
      </c>
      <c r="K109" s="153">
        <v>9.9999999999999867E-2</v>
      </c>
      <c r="L109" s="63">
        <f t="shared" si="17"/>
        <v>239.02</v>
      </c>
      <c r="M109" s="63">
        <f t="shared" si="18"/>
        <v>166.23</v>
      </c>
      <c r="N109" s="63">
        <f t="shared" si="19"/>
        <v>184.65</v>
      </c>
      <c r="O109" s="63">
        <f t="shared" si="20"/>
        <v>193.94</v>
      </c>
    </row>
    <row r="110" spans="1:15">
      <c r="A110" s="87" t="s">
        <v>150</v>
      </c>
      <c r="B110" s="150">
        <f t="shared" si="25"/>
        <v>7.5999999999999998E-2</v>
      </c>
      <c r="C110" s="151">
        <v>3</v>
      </c>
      <c r="D110" s="155" t="s">
        <v>29</v>
      </c>
      <c r="E110" s="41" t="s">
        <v>137</v>
      </c>
      <c r="F110" s="117" t="s">
        <v>122</v>
      </c>
      <c r="G110" s="115">
        <v>20.850999999999999</v>
      </c>
      <c r="H110" s="120">
        <f t="shared" si="21"/>
        <v>250.21</v>
      </c>
      <c r="I110" s="68">
        <f t="shared" si="16"/>
        <v>277.94</v>
      </c>
      <c r="J110" s="120">
        <f t="shared" si="22"/>
        <v>291.91000000000003</v>
      </c>
      <c r="K110" s="153">
        <v>0.10002637826431027</v>
      </c>
      <c r="L110" s="63">
        <f t="shared" si="17"/>
        <v>239.84</v>
      </c>
      <c r="M110" s="63">
        <f t="shared" si="18"/>
        <v>166.81</v>
      </c>
      <c r="N110" s="63">
        <f t="shared" si="19"/>
        <v>185.29</v>
      </c>
      <c r="O110" s="63">
        <f t="shared" si="20"/>
        <v>194.61</v>
      </c>
    </row>
    <row r="111" spans="1:15">
      <c r="A111" s="87" t="s">
        <v>150</v>
      </c>
      <c r="B111" s="150">
        <f t="shared" si="25"/>
        <v>8.8999999999999996E-2</v>
      </c>
      <c r="C111" s="151">
        <v>3.5</v>
      </c>
      <c r="D111" s="155" t="s">
        <v>29</v>
      </c>
      <c r="E111" s="41" t="s">
        <v>137</v>
      </c>
      <c r="F111" s="117" t="s">
        <v>124</v>
      </c>
      <c r="G111" s="115">
        <v>20.771000000000001</v>
      </c>
      <c r="H111" s="120">
        <f t="shared" si="21"/>
        <v>249.25</v>
      </c>
      <c r="I111" s="68">
        <f t="shared" si="16"/>
        <v>276.88</v>
      </c>
      <c r="J111" s="120">
        <f t="shared" si="22"/>
        <v>290.79000000000002</v>
      </c>
      <c r="K111" s="153">
        <v>9.9984112693957572E-2</v>
      </c>
      <c r="L111" s="63">
        <f t="shared" si="17"/>
        <v>238.92</v>
      </c>
      <c r="M111" s="63">
        <f t="shared" si="18"/>
        <v>166.17</v>
      </c>
      <c r="N111" s="63">
        <f t="shared" si="19"/>
        <v>184.59</v>
      </c>
      <c r="O111" s="63">
        <f t="shared" si="20"/>
        <v>193.86</v>
      </c>
    </row>
    <row r="112" spans="1:15">
      <c r="A112" s="87" t="s">
        <v>150</v>
      </c>
      <c r="B112" s="150">
        <f t="shared" ref="B112:B145" si="26">ROUND(C112*0.0254,2)</f>
        <v>0.1</v>
      </c>
      <c r="C112" s="151">
        <v>4</v>
      </c>
      <c r="D112" s="155" t="s">
        <v>29</v>
      </c>
      <c r="E112" s="41" t="s">
        <v>137</v>
      </c>
      <c r="F112" s="117" t="s">
        <v>124</v>
      </c>
      <c r="G112" s="115">
        <v>20.86</v>
      </c>
      <c r="H112" s="120">
        <f t="shared" si="21"/>
        <v>250.32</v>
      </c>
      <c r="I112" s="68">
        <f t="shared" si="16"/>
        <v>278.06</v>
      </c>
      <c r="J112" s="120">
        <f t="shared" si="22"/>
        <v>292.04000000000002</v>
      </c>
      <c r="K112" s="153">
        <v>9.9978907403501349E-2</v>
      </c>
      <c r="L112" s="63">
        <f t="shared" si="17"/>
        <v>239.95</v>
      </c>
      <c r="M112" s="63">
        <f t="shared" si="18"/>
        <v>166.88</v>
      </c>
      <c r="N112" s="63">
        <f t="shared" si="19"/>
        <v>185.37</v>
      </c>
      <c r="O112" s="63">
        <f t="shared" si="20"/>
        <v>194.69</v>
      </c>
    </row>
    <row r="113" spans="1:15">
      <c r="A113" s="87" t="s">
        <v>150</v>
      </c>
      <c r="B113" s="150">
        <f t="shared" si="26"/>
        <v>0.1</v>
      </c>
      <c r="C113" s="151">
        <v>4</v>
      </c>
      <c r="D113" s="155" t="s">
        <v>29</v>
      </c>
      <c r="E113" s="41" t="s">
        <v>137</v>
      </c>
      <c r="F113" s="117" t="s">
        <v>84</v>
      </c>
      <c r="G113" s="115">
        <v>20.768000000000001</v>
      </c>
      <c r="H113" s="120">
        <f t="shared" si="21"/>
        <v>249.22</v>
      </c>
      <c r="I113" s="68">
        <f t="shared" si="16"/>
        <v>276.83999999999997</v>
      </c>
      <c r="J113" s="120">
        <f t="shared" si="22"/>
        <v>290.75</v>
      </c>
      <c r="K113" s="153">
        <v>0.10000000000000009</v>
      </c>
      <c r="L113" s="63">
        <f t="shared" si="17"/>
        <v>238.89</v>
      </c>
      <c r="M113" s="63">
        <f t="shared" si="18"/>
        <v>166.15</v>
      </c>
      <c r="N113" s="63">
        <f t="shared" si="19"/>
        <v>184.56</v>
      </c>
      <c r="O113" s="63">
        <f t="shared" si="20"/>
        <v>193.83</v>
      </c>
    </row>
    <row r="114" spans="1:15">
      <c r="A114" s="87" t="s">
        <v>150</v>
      </c>
      <c r="B114" s="150">
        <f t="shared" si="26"/>
        <v>0.1</v>
      </c>
      <c r="C114" s="151">
        <v>4</v>
      </c>
      <c r="D114" s="155" t="s">
        <v>29</v>
      </c>
      <c r="E114" s="41" t="s">
        <v>137</v>
      </c>
      <c r="F114" s="117" t="s">
        <v>97</v>
      </c>
      <c r="G114" s="115">
        <v>22.154</v>
      </c>
      <c r="H114" s="120">
        <f t="shared" si="21"/>
        <v>265.85000000000002</v>
      </c>
      <c r="I114" s="68">
        <f t="shared" si="16"/>
        <v>295.31</v>
      </c>
      <c r="J114" s="120">
        <f t="shared" si="22"/>
        <v>310.16000000000003</v>
      </c>
      <c r="K114" s="153">
        <v>9.9999999999999867E-2</v>
      </c>
      <c r="L114" s="63">
        <f t="shared" si="17"/>
        <v>254.83</v>
      </c>
      <c r="M114" s="63">
        <f t="shared" si="18"/>
        <v>177.23</v>
      </c>
      <c r="N114" s="63">
        <f t="shared" si="19"/>
        <v>196.87</v>
      </c>
      <c r="O114" s="63">
        <f t="shared" si="20"/>
        <v>206.77</v>
      </c>
    </row>
    <row r="115" spans="1:15">
      <c r="A115" s="87" t="s">
        <v>150</v>
      </c>
      <c r="B115" s="150">
        <f t="shared" si="26"/>
        <v>0.1</v>
      </c>
      <c r="C115" s="151">
        <v>4</v>
      </c>
      <c r="D115" s="155" t="s">
        <v>29</v>
      </c>
      <c r="E115" s="41" t="s">
        <v>137</v>
      </c>
      <c r="F115" s="117" t="s">
        <v>85</v>
      </c>
      <c r="G115" s="115">
        <v>23.231999999999999</v>
      </c>
      <c r="H115" s="120">
        <f t="shared" si="21"/>
        <v>278.77999999999997</v>
      </c>
      <c r="I115" s="68">
        <f t="shared" si="16"/>
        <v>309.68</v>
      </c>
      <c r="J115" s="120">
        <f t="shared" si="22"/>
        <v>325.25</v>
      </c>
      <c r="K115" s="153">
        <v>9.9999999999999867E-2</v>
      </c>
      <c r="L115" s="63">
        <f t="shared" si="17"/>
        <v>267.22000000000003</v>
      </c>
      <c r="M115" s="63">
        <f t="shared" si="18"/>
        <v>185.85</v>
      </c>
      <c r="N115" s="63">
        <f t="shared" si="19"/>
        <v>206.45</v>
      </c>
      <c r="O115" s="63">
        <f t="shared" si="20"/>
        <v>216.83</v>
      </c>
    </row>
    <row r="116" spans="1:15">
      <c r="A116" s="87" t="s">
        <v>150</v>
      </c>
      <c r="B116" s="150">
        <f t="shared" si="26"/>
        <v>0.11</v>
      </c>
      <c r="C116" s="151">
        <v>4.5</v>
      </c>
      <c r="D116" s="155" t="s">
        <v>29</v>
      </c>
      <c r="E116" s="41" t="s">
        <v>137</v>
      </c>
      <c r="F116" s="117" t="s">
        <v>84</v>
      </c>
      <c r="G116" s="115">
        <v>21.178999999999998</v>
      </c>
      <c r="H116" s="120">
        <f t="shared" si="21"/>
        <v>254.15</v>
      </c>
      <c r="I116" s="68">
        <f t="shared" si="16"/>
        <v>282.32</v>
      </c>
      <c r="J116" s="120">
        <f t="shared" si="22"/>
        <v>296.51</v>
      </c>
      <c r="K116" s="153">
        <v>9.9979225096083812E-2</v>
      </c>
      <c r="L116" s="63">
        <f t="shared" si="17"/>
        <v>243.62</v>
      </c>
      <c r="M116" s="63">
        <f t="shared" si="18"/>
        <v>169.43</v>
      </c>
      <c r="N116" s="63">
        <f t="shared" si="19"/>
        <v>188.21</v>
      </c>
      <c r="O116" s="63">
        <f t="shared" si="20"/>
        <v>197.67</v>
      </c>
    </row>
    <row r="117" spans="1:15">
      <c r="A117" s="87" t="s">
        <v>150</v>
      </c>
      <c r="B117" s="150">
        <f t="shared" si="26"/>
        <v>0.11</v>
      </c>
      <c r="C117" s="151">
        <v>4.5</v>
      </c>
      <c r="D117" s="155" t="s">
        <v>29</v>
      </c>
      <c r="E117" s="41" t="s">
        <v>137</v>
      </c>
      <c r="F117" s="117" t="s">
        <v>85</v>
      </c>
      <c r="G117" s="115">
        <v>23.265000000000001</v>
      </c>
      <c r="H117" s="120">
        <f t="shared" si="21"/>
        <v>279.18</v>
      </c>
      <c r="I117" s="68">
        <f t="shared" si="16"/>
        <v>310.12</v>
      </c>
      <c r="J117" s="120">
        <f t="shared" si="22"/>
        <v>325.70999999999998</v>
      </c>
      <c r="K117" s="153">
        <v>0.10000000000000009</v>
      </c>
      <c r="L117" s="63">
        <f t="shared" si="17"/>
        <v>267.61</v>
      </c>
      <c r="M117" s="63">
        <f t="shared" si="18"/>
        <v>186.12</v>
      </c>
      <c r="N117" s="63">
        <f t="shared" si="19"/>
        <v>206.75</v>
      </c>
      <c r="O117" s="63">
        <f t="shared" si="20"/>
        <v>217.14</v>
      </c>
    </row>
    <row r="118" spans="1:15">
      <c r="A118" s="87" t="s">
        <v>150</v>
      </c>
      <c r="B118" s="150">
        <f t="shared" si="26"/>
        <v>0.13</v>
      </c>
      <c r="C118" s="151">
        <v>5</v>
      </c>
      <c r="D118" s="155" t="s">
        <v>29</v>
      </c>
      <c r="E118" s="41" t="s">
        <v>137</v>
      </c>
      <c r="F118" s="117" t="s">
        <v>97</v>
      </c>
      <c r="G118" s="115">
        <v>23.265000000000001</v>
      </c>
      <c r="H118" s="120">
        <f t="shared" si="21"/>
        <v>279.18</v>
      </c>
      <c r="I118" s="68">
        <f t="shared" si="16"/>
        <v>310.12</v>
      </c>
      <c r="J118" s="120">
        <f t="shared" si="22"/>
        <v>325.70999999999998</v>
      </c>
      <c r="K118" s="153">
        <v>0.10000000000000009</v>
      </c>
      <c r="L118" s="63">
        <f t="shared" si="17"/>
        <v>267.61</v>
      </c>
      <c r="M118" s="63">
        <f t="shared" si="18"/>
        <v>186.12</v>
      </c>
      <c r="N118" s="63">
        <f t="shared" si="19"/>
        <v>206.75</v>
      </c>
      <c r="O118" s="63">
        <f t="shared" si="20"/>
        <v>217.14</v>
      </c>
    </row>
    <row r="119" spans="1:15">
      <c r="A119" s="87" t="s">
        <v>150</v>
      </c>
      <c r="B119" s="150">
        <f t="shared" si="26"/>
        <v>0.13</v>
      </c>
      <c r="C119" s="151">
        <v>5</v>
      </c>
      <c r="D119" s="155" t="s">
        <v>29</v>
      </c>
      <c r="E119" s="41" t="s">
        <v>137</v>
      </c>
      <c r="F119" s="117" t="s">
        <v>86</v>
      </c>
      <c r="G119" s="115">
        <v>23.227</v>
      </c>
      <c r="H119" s="120">
        <f t="shared" si="21"/>
        <v>278.72000000000003</v>
      </c>
      <c r="I119" s="68">
        <f t="shared" si="16"/>
        <v>309.62</v>
      </c>
      <c r="J119" s="120">
        <f t="shared" si="22"/>
        <v>325.18</v>
      </c>
      <c r="K119" s="153">
        <v>0.10002367984844907</v>
      </c>
      <c r="L119" s="63">
        <f t="shared" si="17"/>
        <v>267.17</v>
      </c>
      <c r="M119" s="63">
        <f t="shared" si="18"/>
        <v>185.81</v>
      </c>
      <c r="N119" s="63">
        <f t="shared" si="19"/>
        <v>206.41</v>
      </c>
      <c r="O119" s="63">
        <f t="shared" si="20"/>
        <v>216.79</v>
      </c>
    </row>
    <row r="120" spans="1:15">
      <c r="A120" s="87" t="s">
        <v>150</v>
      </c>
      <c r="B120" s="150">
        <f t="shared" si="26"/>
        <v>0.13</v>
      </c>
      <c r="C120" s="151">
        <v>5</v>
      </c>
      <c r="D120" s="155" t="s">
        <v>29</v>
      </c>
      <c r="E120" s="41" t="s">
        <v>137</v>
      </c>
      <c r="F120" s="117" t="s">
        <v>117</v>
      </c>
      <c r="G120" s="115">
        <v>24.081</v>
      </c>
      <c r="H120" s="120">
        <f t="shared" si="21"/>
        <v>288.97000000000003</v>
      </c>
      <c r="I120" s="68">
        <f t="shared" si="16"/>
        <v>321</v>
      </c>
      <c r="J120" s="120">
        <f t="shared" si="22"/>
        <v>337.13</v>
      </c>
      <c r="K120" s="153">
        <v>9.9990864242645694E-2</v>
      </c>
      <c r="L120" s="63">
        <f t="shared" si="17"/>
        <v>276.99</v>
      </c>
      <c r="M120" s="63">
        <f t="shared" si="18"/>
        <v>192.65</v>
      </c>
      <c r="N120" s="63">
        <f t="shared" si="19"/>
        <v>214</v>
      </c>
      <c r="O120" s="63">
        <f t="shared" si="20"/>
        <v>224.75</v>
      </c>
    </row>
    <row r="121" spans="1:15">
      <c r="A121" s="87" t="s">
        <v>150</v>
      </c>
      <c r="B121" s="150">
        <f t="shared" si="26"/>
        <v>0.13</v>
      </c>
      <c r="C121" s="151">
        <v>5</v>
      </c>
      <c r="D121" s="155" t="s">
        <v>29</v>
      </c>
      <c r="E121" s="41" t="s">
        <v>137</v>
      </c>
      <c r="F121" s="117" t="s">
        <v>84</v>
      </c>
      <c r="G121" s="115">
        <v>21.574999999999999</v>
      </c>
      <c r="H121" s="120">
        <f t="shared" si="21"/>
        <v>258.89999999999998</v>
      </c>
      <c r="I121" s="68">
        <f t="shared" si="16"/>
        <v>287.58999999999997</v>
      </c>
      <c r="J121" s="120">
        <f t="shared" si="22"/>
        <v>302.05</v>
      </c>
      <c r="K121" s="153">
        <v>9.9979606403589161E-2</v>
      </c>
      <c r="L121" s="63">
        <f t="shared" si="17"/>
        <v>248.17</v>
      </c>
      <c r="M121" s="63">
        <f t="shared" si="18"/>
        <v>172.6</v>
      </c>
      <c r="N121" s="63">
        <f t="shared" si="19"/>
        <v>191.73</v>
      </c>
      <c r="O121" s="63">
        <f t="shared" si="20"/>
        <v>201.37</v>
      </c>
    </row>
    <row r="122" spans="1:15">
      <c r="A122" s="87" t="s">
        <v>150</v>
      </c>
      <c r="B122" s="150">
        <f t="shared" si="26"/>
        <v>0.15</v>
      </c>
      <c r="C122" s="151">
        <v>6</v>
      </c>
      <c r="D122" s="155" t="s">
        <v>29</v>
      </c>
      <c r="E122" s="41" t="s">
        <v>137</v>
      </c>
      <c r="F122" s="117" t="s">
        <v>86</v>
      </c>
      <c r="G122" s="115">
        <v>24.225999999999999</v>
      </c>
      <c r="H122" s="120">
        <f t="shared" si="21"/>
        <v>290.70999999999998</v>
      </c>
      <c r="I122" s="68">
        <f t="shared" si="16"/>
        <v>322.93</v>
      </c>
      <c r="J122" s="120">
        <f t="shared" si="22"/>
        <v>339.16</v>
      </c>
      <c r="K122" s="153">
        <v>9.9981837994914446E-2</v>
      </c>
      <c r="L122" s="63">
        <f t="shared" si="17"/>
        <v>278.66000000000003</v>
      </c>
      <c r="M122" s="63">
        <f t="shared" si="18"/>
        <v>193.81</v>
      </c>
      <c r="N122" s="63">
        <f t="shared" si="19"/>
        <v>215.29</v>
      </c>
      <c r="O122" s="63">
        <f t="shared" si="20"/>
        <v>226.11</v>
      </c>
    </row>
    <row r="123" spans="1:15">
      <c r="A123" s="87" t="s">
        <v>150</v>
      </c>
      <c r="B123" s="150">
        <f t="shared" si="26"/>
        <v>0.15</v>
      </c>
      <c r="C123" s="151">
        <v>6</v>
      </c>
      <c r="D123" s="155" t="s">
        <v>29</v>
      </c>
      <c r="E123" s="41" t="s">
        <v>137</v>
      </c>
      <c r="F123" s="117" t="s">
        <v>117</v>
      </c>
      <c r="G123" s="115">
        <v>24.286000000000001</v>
      </c>
      <c r="H123" s="120">
        <f t="shared" si="21"/>
        <v>291.43</v>
      </c>
      <c r="I123" s="68">
        <f t="shared" si="16"/>
        <v>323.73</v>
      </c>
      <c r="J123" s="120">
        <f t="shared" si="22"/>
        <v>340</v>
      </c>
      <c r="K123" s="153">
        <v>0.10000905879155719</v>
      </c>
      <c r="L123" s="63">
        <f t="shared" si="17"/>
        <v>279.33999999999997</v>
      </c>
      <c r="M123" s="63">
        <f t="shared" si="18"/>
        <v>194.29</v>
      </c>
      <c r="N123" s="63">
        <f t="shared" si="19"/>
        <v>215.82</v>
      </c>
      <c r="O123" s="63">
        <f t="shared" si="20"/>
        <v>226.67</v>
      </c>
    </row>
    <row r="124" spans="1:15">
      <c r="A124" s="87" t="s">
        <v>150</v>
      </c>
      <c r="B124" s="150">
        <f t="shared" si="26"/>
        <v>0.2</v>
      </c>
      <c r="C124" s="151">
        <v>8</v>
      </c>
      <c r="D124" s="155" t="s">
        <v>29</v>
      </c>
      <c r="E124" s="41" t="s">
        <v>137</v>
      </c>
      <c r="F124" s="117" t="s">
        <v>89</v>
      </c>
      <c r="G124" s="115">
        <v>24.300999999999998</v>
      </c>
      <c r="H124" s="120">
        <f t="shared" si="21"/>
        <v>291.61</v>
      </c>
      <c r="I124" s="68">
        <f t="shared" si="16"/>
        <v>323.93</v>
      </c>
      <c r="J124" s="120">
        <f t="shared" si="22"/>
        <v>340.21</v>
      </c>
      <c r="K124" s="153">
        <v>9.9990946949121806E-2</v>
      </c>
      <c r="L124" s="63">
        <f t="shared" si="17"/>
        <v>279.52</v>
      </c>
      <c r="M124" s="63">
        <f t="shared" si="18"/>
        <v>194.41</v>
      </c>
      <c r="N124" s="63">
        <f t="shared" si="19"/>
        <v>215.95</v>
      </c>
      <c r="O124" s="63">
        <f t="shared" si="20"/>
        <v>226.81</v>
      </c>
    </row>
    <row r="125" spans="1:15">
      <c r="A125" s="87" t="s">
        <v>150</v>
      </c>
      <c r="B125" s="150">
        <f t="shared" si="26"/>
        <v>0.2</v>
      </c>
      <c r="C125" s="151">
        <v>8</v>
      </c>
      <c r="D125" s="155" t="s">
        <v>29</v>
      </c>
      <c r="E125" s="41" t="s">
        <v>137</v>
      </c>
      <c r="F125" s="117" t="s">
        <v>95</v>
      </c>
      <c r="G125" s="115">
        <v>24.300999999999998</v>
      </c>
      <c r="H125" s="120">
        <f t="shared" si="21"/>
        <v>291.61</v>
      </c>
      <c r="I125" s="68">
        <f t="shared" si="16"/>
        <v>323.93</v>
      </c>
      <c r="J125" s="120">
        <f t="shared" si="22"/>
        <v>340.21</v>
      </c>
      <c r="K125" s="153">
        <v>9.9990946949121806E-2</v>
      </c>
      <c r="L125" s="63">
        <f t="shared" si="17"/>
        <v>279.52</v>
      </c>
      <c r="M125" s="63">
        <f t="shared" si="18"/>
        <v>194.41</v>
      </c>
      <c r="N125" s="63">
        <f t="shared" si="19"/>
        <v>215.95</v>
      </c>
      <c r="O125" s="63">
        <f t="shared" si="20"/>
        <v>226.81</v>
      </c>
    </row>
    <row r="126" spans="1:15">
      <c r="A126" s="87" t="s">
        <v>150</v>
      </c>
      <c r="B126" s="150">
        <f t="shared" si="26"/>
        <v>0.2</v>
      </c>
      <c r="C126" s="151">
        <v>8</v>
      </c>
      <c r="D126" s="155" t="s">
        <v>29</v>
      </c>
      <c r="E126" s="41" t="s">
        <v>137</v>
      </c>
      <c r="F126" s="117" t="s">
        <v>87</v>
      </c>
      <c r="G126" s="115">
        <v>25.527000000000001</v>
      </c>
      <c r="H126" s="120">
        <f t="shared" si="21"/>
        <v>306.32</v>
      </c>
      <c r="I126" s="68">
        <f t="shared" si="16"/>
        <v>340.27</v>
      </c>
      <c r="J126" s="120">
        <f t="shared" si="22"/>
        <v>357.38</v>
      </c>
      <c r="K126" s="153">
        <v>0.10001723692148579</v>
      </c>
      <c r="L126" s="63">
        <f t="shared" si="17"/>
        <v>293.62</v>
      </c>
      <c r="M126" s="63">
        <f t="shared" si="18"/>
        <v>204.21</v>
      </c>
      <c r="N126" s="63">
        <f t="shared" si="19"/>
        <v>226.85</v>
      </c>
      <c r="O126" s="63">
        <f t="shared" si="20"/>
        <v>238.25</v>
      </c>
    </row>
    <row r="127" spans="1:15">
      <c r="A127" s="87" t="s">
        <v>150</v>
      </c>
      <c r="B127" s="150">
        <f t="shared" si="26"/>
        <v>0.25</v>
      </c>
      <c r="C127" s="151">
        <v>10</v>
      </c>
      <c r="D127" s="155" t="s">
        <v>29</v>
      </c>
      <c r="E127" s="41" t="s">
        <v>137</v>
      </c>
      <c r="F127" s="117" t="s">
        <v>89</v>
      </c>
      <c r="G127" s="115">
        <v>24.100999999999999</v>
      </c>
      <c r="H127" s="120">
        <f t="shared" si="21"/>
        <v>289.20999999999998</v>
      </c>
      <c r="I127" s="68">
        <f t="shared" si="16"/>
        <v>321.27</v>
      </c>
      <c r="J127" s="120">
        <f t="shared" si="22"/>
        <v>337.41</v>
      </c>
      <c r="K127" s="153">
        <v>9.9999999999999867E-2</v>
      </c>
      <c r="L127" s="63">
        <f t="shared" si="17"/>
        <v>277.22000000000003</v>
      </c>
      <c r="M127" s="63">
        <f t="shared" si="18"/>
        <v>192.81</v>
      </c>
      <c r="N127" s="63">
        <f t="shared" si="19"/>
        <v>214.18</v>
      </c>
      <c r="O127" s="63">
        <f t="shared" si="20"/>
        <v>224.94</v>
      </c>
    </row>
    <row r="128" spans="1:15">
      <c r="A128" s="87" t="s">
        <v>150</v>
      </c>
      <c r="B128" s="150">
        <f t="shared" si="26"/>
        <v>0.3</v>
      </c>
      <c r="C128" s="151">
        <v>12</v>
      </c>
      <c r="D128" s="155" t="s">
        <v>29</v>
      </c>
      <c r="E128" s="41" t="s">
        <v>137</v>
      </c>
      <c r="F128" s="117" t="s">
        <v>90</v>
      </c>
      <c r="G128" s="115">
        <v>25.545000000000002</v>
      </c>
      <c r="H128" s="120">
        <f t="shared" si="21"/>
        <v>306.54000000000002</v>
      </c>
      <c r="I128" s="68">
        <f t="shared" si="16"/>
        <v>340.51</v>
      </c>
      <c r="J128" s="120">
        <f t="shared" si="22"/>
        <v>357.63</v>
      </c>
      <c r="K128" s="153">
        <v>9.9987081772380915E-2</v>
      </c>
      <c r="L128" s="63">
        <f t="shared" si="17"/>
        <v>293.83</v>
      </c>
      <c r="M128" s="63">
        <f t="shared" si="18"/>
        <v>204.36</v>
      </c>
      <c r="N128" s="63">
        <f t="shared" si="19"/>
        <v>227.01</v>
      </c>
      <c r="O128" s="63">
        <f t="shared" si="20"/>
        <v>238.42</v>
      </c>
    </row>
    <row r="129" spans="1:15">
      <c r="A129" s="87" t="s">
        <v>150</v>
      </c>
      <c r="B129" s="150">
        <f t="shared" si="26"/>
        <v>0.36</v>
      </c>
      <c r="C129" s="151">
        <v>14</v>
      </c>
      <c r="D129" s="155" t="s">
        <v>29</v>
      </c>
      <c r="E129" s="41" t="s">
        <v>137</v>
      </c>
      <c r="F129" s="117" t="s">
        <v>100</v>
      </c>
      <c r="G129" s="115">
        <v>25.538</v>
      </c>
      <c r="H129" s="120">
        <f t="shared" si="21"/>
        <v>306.45999999999998</v>
      </c>
      <c r="I129" s="68">
        <f t="shared" si="16"/>
        <v>340.42</v>
      </c>
      <c r="J129" s="120">
        <f t="shared" si="22"/>
        <v>357.53</v>
      </c>
      <c r="K129" s="153">
        <v>0.10001722949689862</v>
      </c>
      <c r="L129" s="63">
        <f t="shared" si="17"/>
        <v>293.76</v>
      </c>
      <c r="M129" s="63">
        <f t="shared" si="18"/>
        <v>204.31</v>
      </c>
      <c r="N129" s="63">
        <f t="shared" si="19"/>
        <v>226.95</v>
      </c>
      <c r="O129" s="63">
        <f t="shared" si="20"/>
        <v>238.35</v>
      </c>
    </row>
    <row r="130" spans="1:15">
      <c r="A130" s="87" t="s">
        <v>150</v>
      </c>
      <c r="B130" s="150">
        <f t="shared" si="26"/>
        <v>0.41</v>
      </c>
      <c r="C130" s="151">
        <v>16</v>
      </c>
      <c r="D130" s="155" t="s">
        <v>29</v>
      </c>
      <c r="E130" s="41" t="s">
        <v>137</v>
      </c>
      <c r="F130" s="117" t="s">
        <v>100</v>
      </c>
      <c r="G130" s="115">
        <v>25.538</v>
      </c>
      <c r="H130" s="120">
        <f t="shared" si="21"/>
        <v>306.45999999999998</v>
      </c>
      <c r="I130" s="68">
        <f t="shared" si="16"/>
        <v>340.42</v>
      </c>
      <c r="J130" s="120">
        <f t="shared" si="22"/>
        <v>357.53</v>
      </c>
      <c r="K130" s="153">
        <v>0.10001722949689862</v>
      </c>
      <c r="L130" s="63">
        <f t="shared" si="17"/>
        <v>293.76</v>
      </c>
      <c r="M130" s="63">
        <f t="shared" si="18"/>
        <v>204.31</v>
      </c>
      <c r="N130" s="63">
        <f t="shared" si="19"/>
        <v>226.95</v>
      </c>
      <c r="O130" s="63">
        <f t="shared" si="20"/>
        <v>238.35</v>
      </c>
    </row>
    <row r="131" spans="1:15">
      <c r="A131" s="87" t="s">
        <v>150</v>
      </c>
      <c r="B131" s="150">
        <f t="shared" si="26"/>
        <v>0.46</v>
      </c>
      <c r="C131" s="151">
        <v>18</v>
      </c>
      <c r="D131" s="155" t="s">
        <v>29</v>
      </c>
      <c r="E131" s="41" t="s">
        <v>137</v>
      </c>
      <c r="F131" s="117" t="s">
        <v>108</v>
      </c>
      <c r="G131" s="115">
        <v>28.565999999999999</v>
      </c>
      <c r="H131" s="120">
        <f t="shared" si="21"/>
        <v>342.79</v>
      </c>
      <c r="I131" s="68">
        <f t="shared" si="16"/>
        <v>380.78</v>
      </c>
      <c r="J131" s="120">
        <f t="shared" si="22"/>
        <v>399.92</v>
      </c>
      <c r="K131" s="153">
        <v>0.10000385074511908</v>
      </c>
      <c r="L131" s="63">
        <f t="shared" si="17"/>
        <v>328.58</v>
      </c>
      <c r="M131" s="63">
        <f t="shared" si="18"/>
        <v>228.53</v>
      </c>
      <c r="N131" s="63">
        <f t="shared" si="19"/>
        <v>253.85</v>
      </c>
      <c r="O131" s="63">
        <f t="shared" si="20"/>
        <v>266.61</v>
      </c>
    </row>
    <row r="132" spans="1:15">
      <c r="A132" s="87" t="s">
        <v>150</v>
      </c>
      <c r="B132" s="150">
        <f t="shared" si="26"/>
        <v>0.51</v>
      </c>
      <c r="C132" s="151">
        <v>20</v>
      </c>
      <c r="D132" s="155" t="s">
        <v>29</v>
      </c>
      <c r="E132" s="41" t="s">
        <v>137</v>
      </c>
      <c r="F132" s="117" t="s">
        <v>108</v>
      </c>
      <c r="G132" s="115">
        <v>28.565999999999999</v>
      </c>
      <c r="H132" s="120">
        <f t="shared" si="21"/>
        <v>342.79</v>
      </c>
      <c r="I132" s="68">
        <f t="shared" si="16"/>
        <v>380.78</v>
      </c>
      <c r="J132" s="120">
        <f t="shared" si="22"/>
        <v>399.92</v>
      </c>
      <c r="K132" s="153">
        <v>0.10000385074511908</v>
      </c>
      <c r="L132" s="63">
        <f t="shared" si="17"/>
        <v>328.58</v>
      </c>
      <c r="M132" s="63">
        <f t="shared" si="18"/>
        <v>228.53</v>
      </c>
      <c r="N132" s="63">
        <f t="shared" si="19"/>
        <v>253.85</v>
      </c>
      <c r="O132" s="63">
        <f t="shared" si="20"/>
        <v>266.61</v>
      </c>
    </row>
    <row r="133" spans="1:15">
      <c r="A133" s="87" t="s">
        <v>150</v>
      </c>
      <c r="B133" s="150">
        <f t="shared" si="26"/>
        <v>0.51</v>
      </c>
      <c r="C133" s="151">
        <v>20</v>
      </c>
      <c r="D133" s="155" t="s">
        <v>29</v>
      </c>
      <c r="E133" s="41" t="s">
        <v>137</v>
      </c>
      <c r="F133" s="117" t="s">
        <v>91</v>
      </c>
      <c r="G133" s="115">
        <v>28.806000000000001</v>
      </c>
      <c r="H133" s="120">
        <f t="shared" si="21"/>
        <v>345.67</v>
      </c>
      <c r="I133" s="68">
        <f t="shared" si="16"/>
        <v>383.98</v>
      </c>
      <c r="J133" s="120">
        <f t="shared" si="22"/>
        <v>403.28</v>
      </c>
      <c r="K133" s="153">
        <v>0.10001145606598683</v>
      </c>
      <c r="L133" s="63">
        <f t="shared" si="17"/>
        <v>331.34</v>
      </c>
      <c r="M133" s="63">
        <f t="shared" si="18"/>
        <v>230.45</v>
      </c>
      <c r="N133" s="63">
        <f t="shared" si="19"/>
        <v>255.99</v>
      </c>
      <c r="O133" s="63">
        <f t="shared" si="20"/>
        <v>268.85000000000002</v>
      </c>
    </row>
    <row r="134" spans="1:15">
      <c r="A134" s="87" t="s">
        <v>150</v>
      </c>
      <c r="B134" s="150">
        <f t="shared" si="26"/>
        <v>0.56000000000000005</v>
      </c>
      <c r="C134" s="151">
        <v>22</v>
      </c>
      <c r="D134" s="155" t="s">
        <v>29</v>
      </c>
      <c r="E134" s="41" t="s">
        <v>137</v>
      </c>
      <c r="F134" s="117" t="s">
        <v>91</v>
      </c>
      <c r="G134" s="115">
        <v>29.684999999999999</v>
      </c>
      <c r="H134" s="120">
        <f t="shared" si="21"/>
        <v>356.22</v>
      </c>
      <c r="I134" s="68">
        <f t="shared" si="16"/>
        <v>395.7</v>
      </c>
      <c r="J134" s="120">
        <f t="shared" si="22"/>
        <v>415.59</v>
      </c>
      <c r="K134" s="153">
        <v>0.10001482250055571</v>
      </c>
      <c r="L134" s="63">
        <f t="shared" si="17"/>
        <v>341.45</v>
      </c>
      <c r="M134" s="63">
        <f t="shared" si="18"/>
        <v>237.48</v>
      </c>
      <c r="N134" s="63">
        <f t="shared" si="19"/>
        <v>263.8</v>
      </c>
      <c r="O134" s="63">
        <f t="shared" si="20"/>
        <v>277.06</v>
      </c>
    </row>
    <row r="135" spans="1:15">
      <c r="A135" s="87" t="s">
        <v>150</v>
      </c>
      <c r="B135" s="150">
        <f t="shared" si="26"/>
        <v>0.61</v>
      </c>
      <c r="C135" s="151">
        <v>24</v>
      </c>
      <c r="D135" s="155" t="s">
        <v>29</v>
      </c>
      <c r="E135" s="41" t="s">
        <v>137</v>
      </c>
      <c r="F135" s="117" t="s">
        <v>94</v>
      </c>
      <c r="G135" s="115">
        <v>27.507999999999999</v>
      </c>
      <c r="H135" s="120">
        <f t="shared" si="21"/>
        <v>330.1</v>
      </c>
      <c r="I135" s="68">
        <f t="shared" si="16"/>
        <v>366.68</v>
      </c>
      <c r="J135" s="120">
        <f t="shared" si="22"/>
        <v>385.11</v>
      </c>
      <c r="K135" s="153">
        <v>0.10001199664094051</v>
      </c>
      <c r="L135" s="63">
        <f t="shared" si="17"/>
        <v>316.41000000000003</v>
      </c>
      <c r="M135" s="63">
        <f t="shared" si="18"/>
        <v>220.07</v>
      </c>
      <c r="N135" s="63">
        <f t="shared" si="19"/>
        <v>244.45</v>
      </c>
      <c r="O135" s="63">
        <f t="shared" si="20"/>
        <v>256.74</v>
      </c>
    </row>
    <row r="136" spans="1:15">
      <c r="A136" s="87" t="s">
        <v>150</v>
      </c>
      <c r="B136" s="150">
        <f t="shared" si="26"/>
        <v>0.61</v>
      </c>
      <c r="C136" s="151">
        <v>24</v>
      </c>
      <c r="D136" s="155" t="s">
        <v>29</v>
      </c>
      <c r="E136" s="41" t="s">
        <v>137</v>
      </c>
      <c r="F136" s="117" t="s">
        <v>88</v>
      </c>
      <c r="G136" s="115">
        <v>31.885000000000002</v>
      </c>
      <c r="H136" s="120">
        <f t="shared" si="21"/>
        <v>382.62</v>
      </c>
      <c r="I136" s="68">
        <f t="shared" si="16"/>
        <v>425.03</v>
      </c>
      <c r="J136" s="120">
        <f t="shared" si="22"/>
        <v>446.39</v>
      </c>
      <c r="K136" s="153">
        <v>0.10001379976540403</v>
      </c>
      <c r="L136" s="63">
        <f t="shared" si="17"/>
        <v>366.75</v>
      </c>
      <c r="M136" s="63">
        <f t="shared" si="18"/>
        <v>255.08</v>
      </c>
      <c r="N136" s="63">
        <f t="shared" si="19"/>
        <v>283.35000000000002</v>
      </c>
      <c r="O136" s="63">
        <f t="shared" si="20"/>
        <v>297.58999999999997</v>
      </c>
    </row>
    <row r="137" spans="1:15">
      <c r="A137" s="87" t="s">
        <v>150</v>
      </c>
      <c r="B137" s="150">
        <f t="shared" si="26"/>
        <v>0.71</v>
      </c>
      <c r="C137" s="151">
        <v>28</v>
      </c>
      <c r="D137" s="155" t="s">
        <v>29</v>
      </c>
      <c r="E137" s="41" t="s">
        <v>137</v>
      </c>
      <c r="F137" s="117" t="s">
        <v>101</v>
      </c>
      <c r="G137" s="115">
        <v>31.052</v>
      </c>
      <c r="H137" s="120">
        <f t="shared" si="21"/>
        <v>372.62</v>
      </c>
      <c r="I137" s="68">
        <f t="shared" si="16"/>
        <v>413.92</v>
      </c>
      <c r="J137" s="120">
        <f t="shared" si="22"/>
        <v>434.73</v>
      </c>
      <c r="K137" s="153">
        <v>0.10000354245633924</v>
      </c>
      <c r="L137" s="63">
        <f t="shared" si="17"/>
        <v>357.18</v>
      </c>
      <c r="M137" s="63">
        <f t="shared" si="18"/>
        <v>248.41</v>
      </c>
      <c r="N137" s="63">
        <f t="shared" si="19"/>
        <v>275.95</v>
      </c>
      <c r="O137" s="63">
        <f t="shared" si="20"/>
        <v>289.82</v>
      </c>
    </row>
    <row r="138" spans="1:15">
      <c r="A138" s="87" t="s">
        <v>150</v>
      </c>
      <c r="B138" s="150">
        <f t="shared" si="26"/>
        <v>0.76</v>
      </c>
      <c r="C138" s="151">
        <v>30</v>
      </c>
      <c r="D138" s="155" t="s">
        <v>29</v>
      </c>
      <c r="E138" s="41" t="s">
        <v>137</v>
      </c>
      <c r="F138" s="117" t="s">
        <v>131</v>
      </c>
      <c r="G138" s="115">
        <v>33.694000000000003</v>
      </c>
      <c r="H138" s="120">
        <f t="shared" si="21"/>
        <v>404.33</v>
      </c>
      <c r="I138" s="68">
        <f t="shared" si="16"/>
        <v>449.14</v>
      </c>
      <c r="J138" s="120">
        <f t="shared" si="22"/>
        <v>471.72</v>
      </c>
      <c r="K138" s="153">
        <v>9.9996735333485853E-2</v>
      </c>
      <c r="L138" s="63">
        <f t="shared" si="17"/>
        <v>387.56</v>
      </c>
      <c r="M138" s="63">
        <f t="shared" si="18"/>
        <v>269.55</v>
      </c>
      <c r="N138" s="63">
        <f t="shared" si="19"/>
        <v>299.43</v>
      </c>
      <c r="O138" s="63">
        <f t="shared" si="20"/>
        <v>314.48</v>
      </c>
    </row>
    <row r="139" spans="1:15">
      <c r="A139" s="87" t="s">
        <v>150</v>
      </c>
      <c r="B139" s="150">
        <f t="shared" si="26"/>
        <v>0.76</v>
      </c>
      <c r="C139" s="151">
        <v>30</v>
      </c>
      <c r="D139" s="155" t="s">
        <v>29</v>
      </c>
      <c r="E139" s="41" t="s">
        <v>137</v>
      </c>
      <c r="F139" s="117" t="s">
        <v>101</v>
      </c>
      <c r="G139" s="115">
        <v>31.984000000000002</v>
      </c>
      <c r="H139" s="120">
        <f t="shared" si="21"/>
        <v>383.81</v>
      </c>
      <c r="I139" s="68">
        <f t="shared" si="16"/>
        <v>426.35</v>
      </c>
      <c r="J139" s="120">
        <f t="shared" si="22"/>
        <v>447.78</v>
      </c>
      <c r="K139" s="153">
        <v>0.10001375705048843</v>
      </c>
      <c r="L139" s="63">
        <f t="shared" si="17"/>
        <v>367.9</v>
      </c>
      <c r="M139" s="63">
        <f t="shared" si="18"/>
        <v>255.87</v>
      </c>
      <c r="N139" s="63">
        <f t="shared" si="19"/>
        <v>284.23</v>
      </c>
      <c r="O139" s="63">
        <f t="shared" si="20"/>
        <v>298.52</v>
      </c>
    </row>
    <row r="140" spans="1:15">
      <c r="A140" s="87" t="s">
        <v>153</v>
      </c>
      <c r="B140" s="150">
        <f t="shared" si="26"/>
        <v>0.84</v>
      </c>
      <c r="C140" s="151">
        <v>33</v>
      </c>
      <c r="D140" s="155" t="s">
        <v>29</v>
      </c>
      <c r="E140" s="41" t="s">
        <v>137</v>
      </c>
      <c r="F140" s="117" t="s">
        <v>132</v>
      </c>
      <c r="G140" s="115">
        <v>39.963000000000001</v>
      </c>
      <c r="H140" s="120">
        <f t="shared" si="21"/>
        <v>479.56</v>
      </c>
      <c r="I140" s="68">
        <f t="shared" si="16"/>
        <v>532.71</v>
      </c>
      <c r="J140" s="120">
        <f t="shared" si="22"/>
        <v>559.48</v>
      </c>
      <c r="K140" s="153">
        <v>0.10000000000000009</v>
      </c>
      <c r="L140" s="63">
        <f t="shared" si="17"/>
        <v>459.68</v>
      </c>
      <c r="M140" s="63">
        <f t="shared" si="18"/>
        <v>319.70999999999998</v>
      </c>
      <c r="N140" s="63">
        <f t="shared" si="19"/>
        <v>355.14</v>
      </c>
      <c r="O140" s="63">
        <f t="shared" si="20"/>
        <v>372.99</v>
      </c>
    </row>
    <row r="141" spans="1:15">
      <c r="A141" s="87" t="s">
        <v>150</v>
      </c>
      <c r="B141" s="150">
        <f t="shared" si="26"/>
        <v>0.89</v>
      </c>
      <c r="C141" s="151">
        <v>35</v>
      </c>
      <c r="D141" s="155" t="s">
        <v>29</v>
      </c>
      <c r="E141" s="41" t="s">
        <v>137</v>
      </c>
      <c r="F141" s="117" t="s">
        <v>96</v>
      </c>
      <c r="G141" s="115">
        <v>34.780999999999999</v>
      </c>
      <c r="H141" s="120">
        <f t="shared" si="21"/>
        <v>417.37</v>
      </c>
      <c r="I141" s="68">
        <f t="shared" ref="I141:I205" si="27">ROUND(G141*13.33,2)</f>
        <v>463.63</v>
      </c>
      <c r="J141" s="120">
        <f t="shared" si="22"/>
        <v>486.93</v>
      </c>
      <c r="K141" s="153">
        <v>0.10000316265536546</v>
      </c>
      <c r="L141" s="63">
        <f t="shared" si="17"/>
        <v>400.06</v>
      </c>
      <c r="M141" s="63">
        <f t="shared" si="18"/>
        <v>278.25</v>
      </c>
      <c r="N141" s="63">
        <f t="shared" si="19"/>
        <v>309.08999999999997</v>
      </c>
      <c r="O141" s="63">
        <f t="shared" si="20"/>
        <v>324.62</v>
      </c>
    </row>
    <row r="142" spans="1:15">
      <c r="A142" s="87" t="s">
        <v>153</v>
      </c>
      <c r="B142" s="150">
        <f t="shared" si="26"/>
        <v>0.89</v>
      </c>
      <c r="C142" s="151">
        <v>35</v>
      </c>
      <c r="D142" s="155" t="s">
        <v>29</v>
      </c>
      <c r="E142" s="41" t="s">
        <v>137</v>
      </c>
      <c r="F142" s="117" t="s">
        <v>133</v>
      </c>
      <c r="G142" s="115">
        <v>44.494999999999997</v>
      </c>
      <c r="H142" s="120">
        <f t="shared" si="21"/>
        <v>533.94000000000005</v>
      </c>
      <c r="I142" s="68">
        <f t="shared" si="27"/>
        <v>593.12</v>
      </c>
      <c r="J142" s="120">
        <f t="shared" si="22"/>
        <v>622.92999999999995</v>
      </c>
      <c r="K142" s="153">
        <v>9.9999999999999867E-2</v>
      </c>
      <c r="L142" s="63">
        <f t="shared" si="17"/>
        <v>511.8</v>
      </c>
      <c r="M142" s="63">
        <f t="shared" si="18"/>
        <v>355.96</v>
      </c>
      <c r="N142" s="63">
        <f t="shared" si="19"/>
        <v>395.41</v>
      </c>
      <c r="O142" s="63">
        <f t="shared" si="20"/>
        <v>415.29</v>
      </c>
    </row>
    <row r="143" spans="1:15">
      <c r="A143" s="87" t="s">
        <v>150</v>
      </c>
      <c r="B143" s="150">
        <f t="shared" si="26"/>
        <v>0.99</v>
      </c>
      <c r="C143" s="151">
        <v>39</v>
      </c>
      <c r="D143" s="155" t="s">
        <v>29</v>
      </c>
      <c r="E143" s="41" t="s">
        <v>137</v>
      </c>
      <c r="F143" s="117" t="s">
        <v>96</v>
      </c>
      <c r="G143" s="115">
        <v>36.171999999999997</v>
      </c>
      <c r="H143" s="120">
        <f t="shared" si="21"/>
        <v>434.06</v>
      </c>
      <c r="I143" s="68">
        <f t="shared" si="27"/>
        <v>482.17</v>
      </c>
      <c r="J143" s="120">
        <f t="shared" si="22"/>
        <v>506.41</v>
      </c>
      <c r="K143" s="153">
        <v>9.9987836029679977E-2</v>
      </c>
      <c r="L143" s="63">
        <f t="shared" si="17"/>
        <v>416.07</v>
      </c>
      <c r="M143" s="63">
        <f t="shared" si="18"/>
        <v>289.37</v>
      </c>
      <c r="N143" s="63">
        <f t="shared" si="19"/>
        <v>321.45</v>
      </c>
      <c r="O143" s="63">
        <f t="shared" si="20"/>
        <v>337.61</v>
      </c>
    </row>
    <row r="144" spans="1:15">
      <c r="A144" s="87" t="s">
        <v>150</v>
      </c>
      <c r="B144" s="150">
        <f t="shared" si="26"/>
        <v>0.99</v>
      </c>
      <c r="C144" s="151">
        <v>39</v>
      </c>
      <c r="D144" s="155" t="s">
        <v>29</v>
      </c>
      <c r="E144" s="41" t="s">
        <v>137</v>
      </c>
      <c r="F144" s="117" t="s">
        <v>133</v>
      </c>
      <c r="G144" s="115">
        <v>45.853999999999999</v>
      </c>
      <c r="H144" s="120">
        <f t="shared" si="21"/>
        <v>550.25</v>
      </c>
      <c r="I144" s="68">
        <f t="shared" si="27"/>
        <v>611.23</v>
      </c>
      <c r="J144" s="120">
        <f t="shared" si="22"/>
        <v>641.96</v>
      </c>
      <c r="K144" s="153">
        <v>0.10001199472232214</v>
      </c>
      <c r="L144" s="63">
        <f t="shared" ref="L144:L145" si="28">ROUND(ROUND(ROUND(G144*12,2)*43/48,2)*1.07,2)</f>
        <v>527.44000000000005</v>
      </c>
      <c r="M144" s="63">
        <f t="shared" ref="M144:M145" si="29">ROUND(ROUND(G144*12,2)*2/3,2)</f>
        <v>366.83</v>
      </c>
      <c r="N144" s="63">
        <f t="shared" ref="N144:N145" si="30">ROUND(ROUND(G144*13.33,2)*2/3,2)</f>
        <v>407.49</v>
      </c>
      <c r="O144" s="63">
        <f t="shared" ref="O144:O145" si="31">ROUND(ROUND(G144*14,2)*2/3,2)</f>
        <v>427.97</v>
      </c>
    </row>
    <row r="145" spans="1:15">
      <c r="A145" s="87" t="s">
        <v>150</v>
      </c>
      <c r="B145" s="150">
        <f t="shared" si="26"/>
        <v>1.22</v>
      </c>
      <c r="C145" s="151">
        <v>48</v>
      </c>
      <c r="D145" s="155" t="s">
        <v>29</v>
      </c>
      <c r="E145" s="41" t="s">
        <v>137</v>
      </c>
      <c r="F145" s="117" t="s">
        <v>135</v>
      </c>
      <c r="G145" s="115">
        <v>48.694000000000003</v>
      </c>
      <c r="H145" s="120">
        <f t="shared" si="21"/>
        <v>584.33000000000004</v>
      </c>
      <c r="I145" s="68">
        <f t="shared" si="27"/>
        <v>649.09</v>
      </c>
      <c r="J145" s="120">
        <f t="shared" si="22"/>
        <v>681.72</v>
      </c>
      <c r="K145" s="153">
        <v>0.10000677705740157</v>
      </c>
      <c r="L145" s="63">
        <f t="shared" si="28"/>
        <v>560.1</v>
      </c>
      <c r="M145" s="63">
        <f t="shared" si="29"/>
        <v>389.55</v>
      </c>
      <c r="N145" s="63">
        <f t="shared" si="30"/>
        <v>432.73</v>
      </c>
      <c r="O145" s="63">
        <f t="shared" si="31"/>
        <v>454.48</v>
      </c>
    </row>
    <row r="147" spans="1:15" ht="20.399999999999999" customHeight="1">
      <c r="A147" s="136" t="s">
        <v>157</v>
      </c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</row>
    <row r="148" spans="1:15" ht="24" customHeight="1">
      <c r="A148" s="137" t="s">
        <v>13</v>
      </c>
      <c r="B148" s="137" t="s">
        <v>31</v>
      </c>
      <c r="C148" s="137" t="s">
        <v>32</v>
      </c>
      <c r="D148" s="137" t="s">
        <v>33</v>
      </c>
      <c r="E148" s="137" t="s">
        <v>34</v>
      </c>
      <c r="F148" s="138" t="s">
        <v>35</v>
      </c>
      <c r="G148" s="137" t="s">
        <v>36</v>
      </c>
      <c r="H148" s="139" t="s">
        <v>37</v>
      </c>
      <c r="I148" s="157" t="s">
        <v>38</v>
      </c>
      <c r="J148" s="158"/>
      <c r="K148" s="159" t="s">
        <v>23</v>
      </c>
    </row>
    <row r="149" spans="1:15">
      <c r="A149" s="41" t="s">
        <v>158</v>
      </c>
      <c r="B149" s="41">
        <v>106</v>
      </c>
      <c r="C149" s="144">
        <v>71.5</v>
      </c>
      <c r="D149" s="41" t="s">
        <v>40</v>
      </c>
      <c r="E149" s="44" t="s">
        <v>41</v>
      </c>
      <c r="F149" s="41">
        <v>3937</v>
      </c>
      <c r="G149" s="74">
        <v>2.3450000000000002</v>
      </c>
      <c r="H149" s="46">
        <f>ROUND(G149*13.124,2)</f>
        <v>30.78</v>
      </c>
      <c r="I149" s="89">
        <f t="shared" ref="I149:I184" si="32">ROUND(G149*F149,2)</f>
        <v>9232.27</v>
      </c>
      <c r="J149" s="89"/>
      <c r="K149" s="43">
        <v>9.990619136960599E-2</v>
      </c>
      <c r="N149" s="77"/>
    </row>
    <row r="150" spans="1:15">
      <c r="A150" s="41" t="s">
        <v>158</v>
      </c>
      <c r="B150" s="41">
        <v>106</v>
      </c>
      <c r="C150" s="144">
        <v>72</v>
      </c>
      <c r="D150" s="41" t="s">
        <v>40</v>
      </c>
      <c r="E150" s="44" t="s">
        <v>41</v>
      </c>
      <c r="F150" s="41">
        <v>3937</v>
      </c>
      <c r="G150" s="74">
        <v>2.3450000000000002</v>
      </c>
      <c r="H150" s="46">
        <f>ROUND(G150*13.124,2)</f>
        <v>30.78</v>
      </c>
      <c r="I150" s="89">
        <f t="shared" si="32"/>
        <v>9232.27</v>
      </c>
      <c r="J150" s="89"/>
      <c r="K150" s="43">
        <v>9.990619136960599E-2</v>
      </c>
      <c r="N150" s="77"/>
    </row>
    <row r="151" spans="1:15">
      <c r="A151" s="41" t="s">
        <v>158</v>
      </c>
      <c r="B151" s="41">
        <v>106</v>
      </c>
      <c r="C151" s="144">
        <v>75</v>
      </c>
      <c r="D151" s="41" t="s">
        <v>40</v>
      </c>
      <c r="E151" s="44" t="s">
        <v>41</v>
      </c>
      <c r="F151" s="41">
        <v>3937</v>
      </c>
      <c r="G151" s="74">
        <v>2.4060000000000001</v>
      </c>
      <c r="H151" s="46">
        <f>ROUND(G151*13.124,2)</f>
        <v>31.58</v>
      </c>
      <c r="I151" s="89">
        <f t="shared" si="32"/>
        <v>9472.42</v>
      </c>
      <c r="J151" s="89"/>
      <c r="K151" s="43">
        <v>0.10013717421124846</v>
      </c>
      <c r="N151" s="77"/>
    </row>
    <row r="152" spans="1:15">
      <c r="A152" s="41" t="s">
        <v>159</v>
      </c>
      <c r="B152" s="41">
        <v>1067</v>
      </c>
      <c r="C152" s="144">
        <v>70</v>
      </c>
      <c r="D152" s="41" t="s">
        <v>40</v>
      </c>
      <c r="E152" s="44" t="s">
        <v>41</v>
      </c>
      <c r="F152" s="41">
        <v>3937</v>
      </c>
      <c r="G152" s="74">
        <v>2.6509999999999998</v>
      </c>
      <c r="H152" s="46">
        <f t="shared" ref="H152:H184" si="33">ROUND(G152*13.124,2)</f>
        <v>34.79</v>
      </c>
      <c r="I152" s="89">
        <f t="shared" si="32"/>
        <v>10436.99</v>
      </c>
      <c r="J152" s="89"/>
      <c r="K152" s="43">
        <v>9.9999999999999867E-2</v>
      </c>
      <c r="N152" s="77"/>
    </row>
    <row r="153" spans="1:15">
      <c r="A153" s="41" t="s">
        <v>158</v>
      </c>
      <c r="B153" s="41">
        <v>1067</v>
      </c>
      <c r="C153" s="144">
        <v>71.5</v>
      </c>
      <c r="D153" s="41" t="s">
        <v>40</v>
      </c>
      <c r="E153" s="44" t="s">
        <v>41</v>
      </c>
      <c r="F153" s="41">
        <v>3937</v>
      </c>
      <c r="G153" s="74">
        <v>2.7839999999999998</v>
      </c>
      <c r="H153" s="46">
        <f t="shared" si="33"/>
        <v>36.54</v>
      </c>
      <c r="I153" s="89">
        <f t="shared" si="32"/>
        <v>10960.61</v>
      </c>
      <c r="J153" s="89"/>
      <c r="K153" s="43">
        <v>9.9960489924930673E-2</v>
      </c>
      <c r="N153" s="77"/>
    </row>
    <row r="154" spans="1:15">
      <c r="A154" s="41" t="s">
        <v>158</v>
      </c>
      <c r="B154" s="41">
        <v>1067</v>
      </c>
      <c r="C154" s="144">
        <v>73</v>
      </c>
      <c r="D154" s="41" t="s">
        <v>40</v>
      </c>
      <c r="E154" s="44" t="s">
        <v>41</v>
      </c>
      <c r="F154" s="41">
        <v>3937</v>
      </c>
      <c r="G154" s="74">
        <v>2.82</v>
      </c>
      <c r="H154" s="46">
        <f t="shared" si="33"/>
        <v>37.01</v>
      </c>
      <c r="I154" s="89">
        <f t="shared" si="32"/>
        <v>11102.34</v>
      </c>
      <c r="J154" s="89"/>
      <c r="K154" s="43">
        <v>9.9843993759750393E-2</v>
      </c>
      <c r="N154" s="77"/>
    </row>
    <row r="155" spans="1:15">
      <c r="A155" s="41" t="s">
        <v>158</v>
      </c>
      <c r="B155" s="41">
        <v>1067</v>
      </c>
      <c r="C155" s="144">
        <v>76</v>
      </c>
      <c r="D155" s="41" t="s">
        <v>40</v>
      </c>
      <c r="E155" s="44" t="s">
        <v>41</v>
      </c>
      <c r="F155" s="41">
        <v>3937</v>
      </c>
      <c r="G155" s="74">
        <v>2.8220000000000001</v>
      </c>
      <c r="H155" s="46">
        <f t="shared" si="33"/>
        <v>37.04</v>
      </c>
      <c r="I155" s="89">
        <f t="shared" si="32"/>
        <v>11110.21</v>
      </c>
      <c r="J155" s="89"/>
      <c r="K155" s="43">
        <v>0.10019493177387928</v>
      </c>
      <c r="N155" s="77"/>
    </row>
    <row r="156" spans="1:15">
      <c r="A156" s="41" t="s">
        <v>158</v>
      </c>
      <c r="B156" s="41">
        <v>1080</v>
      </c>
      <c r="C156" s="144">
        <v>62</v>
      </c>
      <c r="D156" s="41" t="s">
        <v>40</v>
      </c>
      <c r="E156" s="44" t="s">
        <v>41</v>
      </c>
      <c r="F156" s="41">
        <v>3937</v>
      </c>
      <c r="G156" s="74">
        <v>2.0619999999999998</v>
      </c>
      <c r="H156" s="46">
        <f t="shared" si="33"/>
        <v>27.06</v>
      </c>
      <c r="I156" s="89">
        <f t="shared" si="32"/>
        <v>8118.09</v>
      </c>
      <c r="J156" s="89"/>
      <c r="K156" s="43">
        <v>0.15002788622420526</v>
      </c>
      <c r="N156" s="77"/>
    </row>
    <row r="157" spans="1:15">
      <c r="A157" s="41" t="s">
        <v>158</v>
      </c>
      <c r="B157" s="41">
        <v>1080</v>
      </c>
      <c r="C157" s="144">
        <v>63</v>
      </c>
      <c r="D157" s="41" t="s">
        <v>40</v>
      </c>
      <c r="E157" s="44" t="s">
        <v>41</v>
      </c>
      <c r="F157" s="41">
        <v>3937</v>
      </c>
      <c r="G157" s="74">
        <v>2.0979999999999999</v>
      </c>
      <c r="H157" s="46">
        <f t="shared" si="33"/>
        <v>27.53</v>
      </c>
      <c r="I157" s="89">
        <f t="shared" si="32"/>
        <v>8259.83</v>
      </c>
      <c r="J157" s="89"/>
      <c r="K157" s="43">
        <v>0.12012813667912425</v>
      </c>
      <c r="N157" s="77"/>
    </row>
    <row r="158" spans="1:15">
      <c r="A158" s="41" t="s">
        <v>158</v>
      </c>
      <c r="B158" s="41">
        <v>1080</v>
      </c>
      <c r="C158" s="144">
        <v>64</v>
      </c>
      <c r="D158" s="41" t="s">
        <v>40</v>
      </c>
      <c r="E158" s="44" t="s">
        <v>41</v>
      </c>
      <c r="F158" s="41">
        <v>3937</v>
      </c>
      <c r="G158" s="74">
        <v>2.2149999999999999</v>
      </c>
      <c r="H158" s="46">
        <f t="shared" si="33"/>
        <v>29.07</v>
      </c>
      <c r="I158" s="89">
        <f t="shared" si="32"/>
        <v>8720.4599999999991</v>
      </c>
      <c r="J158" s="89"/>
      <c r="K158" s="43">
        <v>9.980139026812318E-2</v>
      </c>
      <c r="N158" s="77"/>
    </row>
    <row r="159" spans="1:15">
      <c r="A159" s="41" t="s">
        <v>158</v>
      </c>
      <c r="B159" s="41">
        <v>1080</v>
      </c>
      <c r="C159" s="144">
        <v>65</v>
      </c>
      <c r="D159" s="41" t="s">
        <v>40</v>
      </c>
      <c r="E159" s="44" t="s">
        <v>41</v>
      </c>
      <c r="F159" s="41">
        <v>3937</v>
      </c>
      <c r="G159" s="74">
        <v>2.2290000000000001</v>
      </c>
      <c r="H159" s="46">
        <f t="shared" si="33"/>
        <v>29.25</v>
      </c>
      <c r="I159" s="89">
        <f t="shared" si="32"/>
        <v>8775.57</v>
      </c>
      <c r="J159" s="89"/>
      <c r="K159" s="43">
        <v>0.12975164723770916</v>
      </c>
      <c r="N159" s="77"/>
    </row>
    <row r="160" spans="1:15">
      <c r="A160" s="41" t="s">
        <v>158</v>
      </c>
      <c r="B160" s="41">
        <v>1080</v>
      </c>
      <c r="C160" s="144">
        <v>66</v>
      </c>
      <c r="D160" s="41" t="s">
        <v>40</v>
      </c>
      <c r="E160" s="44" t="s">
        <v>41</v>
      </c>
      <c r="F160" s="41">
        <v>3937</v>
      </c>
      <c r="G160" s="74">
        <v>2.2090000000000001</v>
      </c>
      <c r="H160" s="46">
        <f t="shared" si="33"/>
        <v>28.99</v>
      </c>
      <c r="I160" s="89">
        <f t="shared" si="32"/>
        <v>8696.83</v>
      </c>
      <c r="J160" s="89"/>
      <c r="K160" s="43">
        <v>0.10009960159362552</v>
      </c>
      <c r="N160" s="77"/>
    </row>
    <row r="161" spans="1:14">
      <c r="A161" s="41" t="s">
        <v>158</v>
      </c>
      <c r="B161" s="41">
        <v>1080</v>
      </c>
      <c r="C161" s="144">
        <v>68</v>
      </c>
      <c r="D161" s="41" t="s">
        <v>40</v>
      </c>
      <c r="E161" s="44" t="s">
        <v>41</v>
      </c>
      <c r="F161" s="41">
        <v>3937</v>
      </c>
      <c r="G161" s="74">
        <v>2.2120000000000002</v>
      </c>
      <c r="H161" s="46">
        <f t="shared" si="33"/>
        <v>29.03</v>
      </c>
      <c r="I161" s="89">
        <f t="shared" si="32"/>
        <v>8708.64</v>
      </c>
      <c r="J161" s="89"/>
      <c r="K161" s="43">
        <v>9.9950273495773345E-2</v>
      </c>
      <c r="N161" s="77"/>
    </row>
    <row r="162" spans="1:14">
      <c r="A162" s="41" t="s">
        <v>158</v>
      </c>
      <c r="B162" s="41">
        <v>1080</v>
      </c>
      <c r="C162" s="144">
        <v>69</v>
      </c>
      <c r="D162" s="41" t="s">
        <v>40</v>
      </c>
      <c r="E162" s="44" t="s">
        <v>41</v>
      </c>
      <c r="F162" s="41">
        <v>3937</v>
      </c>
      <c r="G162" s="74">
        <v>2.2370000000000001</v>
      </c>
      <c r="H162" s="46">
        <f t="shared" si="33"/>
        <v>29.36</v>
      </c>
      <c r="I162" s="89">
        <f t="shared" si="32"/>
        <v>8807.07</v>
      </c>
      <c r="J162" s="89"/>
      <c r="K162" s="43">
        <v>9.9803343166175118E-2</v>
      </c>
      <c r="N162" s="77"/>
    </row>
    <row r="163" spans="1:14">
      <c r="A163" s="41" t="s">
        <v>158</v>
      </c>
      <c r="B163" s="41">
        <v>1080</v>
      </c>
      <c r="C163" s="144">
        <v>72</v>
      </c>
      <c r="D163" s="41" t="s">
        <v>40</v>
      </c>
      <c r="E163" s="44" t="s">
        <v>41</v>
      </c>
      <c r="F163" s="41">
        <v>3937</v>
      </c>
      <c r="G163" s="74">
        <v>2.7080000000000002</v>
      </c>
      <c r="H163" s="46">
        <f t="shared" si="33"/>
        <v>35.54</v>
      </c>
      <c r="I163" s="89">
        <f t="shared" si="32"/>
        <v>10661.4</v>
      </c>
      <c r="J163" s="89"/>
      <c r="K163" s="43">
        <v>9.9918765231518991E-2</v>
      </c>
      <c r="N163" s="77"/>
    </row>
    <row r="164" spans="1:14">
      <c r="A164" s="41" t="s">
        <v>158</v>
      </c>
      <c r="B164" s="41">
        <v>1086</v>
      </c>
      <c r="C164" s="144">
        <v>69</v>
      </c>
      <c r="D164" s="41" t="s">
        <v>40</v>
      </c>
      <c r="E164" s="44" t="s">
        <v>41</v>
      </c>
      <c r="F164" s="41">
        <v>3937</v>
      </c>
      <c r="G164" s="74">
        <v>2.956</v>
      </c>
      <c r="H164" s="46">
        <f t="shared" si="33"/>
        <v>38.79</v>
      </c>
      <c r="I164" s="89">
        <f t="shared" si="32"/>
        <v>11637.77</v>
      </c>
      <c r="J164" s="89"/>
      <c r="K164" s="43">
        <v>0.10011164867882405</v>
      </c>
      <c r="N164" s="77"/>
    </row>
    <row r="165" spans="1:14">
      <c r="A165" s="41" t="s">
        <v>158</v>
      </c>
      <c r="B165" s="41">
        <v>1078</v>
      </c>
      <c r="C165" s="144">
        <v>62</v>
      </c>
      <c r="D165" s="41" t="s">
        <v>40</v>
      </c>
      <c r="E165" s="44" t="s">
        <v>41</v>
      </c>
      <c r="F165" s="41">
        <v>3937</v>
      </c>
      <c r="G165" s="74">
        <v>2.6789999999999998</v>
      </c>
      <c r="H165" s="46">
        <f t="shared" si="33"/>
        <v>35.159999999999997</v>
      </c>
      <c r="I165" s="89">
        <f t="shared" si="32"/>
        <v>10547.22</v>
      </c>
      <c r="J165" s="89"/>
      <c r="K165" s="43">
        <v>0.10020533880903471</v>
      </c>
      <c r="N165" s="77"/>
    </row>
    <row r="166" spans="1:14">
      <c r="A166" s="41" t="s">
        <v>158</v>
      </c>
      <c r="B166" s="41">
        <v>1078</v>
      </c>
      <c r="C166" s="144">
        <v>65</v>
      </c>
      <c r="D166" s="41" t="s">
        <v>40</v>
      </c>
      <c r="E166" s="44" t="s">
        <v>41</v>
      </c>
      <c r="F166" s="41">
        <v>3937</v>
      </c>
      <c r="G166" s="74">
        <v>2.7650000000000001</v>
      </c>
      <c r="H166" s="46">
        <f t="shared" si="33"/>
        <v>36.29</v>
      </c>
      <c r="I166" s="89">
        <f t="shared" si="32"/>
        <v>10885.81</v>
      </c>
      <c r="J166" s="89"/>
      <c r="K166" s="43">
        <v>9.9840891010342325E-2</v>
      </c>
      <c r="N166" s="77"/>
    </row>
    <row r="167" spans="1:14">
      <c r="A167" s="41" t="s">
        <v>158</v>
      </c>
      <c r="B167" s="41">
        <v>1078</v>
      </c>
      <c r="C167" s="144">
        <v>68</v>
      </c>
      <c r="D167" s="41" t="s">
        <v>40</v>
      </c>
      <c r="E167" s="44" t="s">
        <v>41</v>
      </c>
      <c r="F167" s="41">
        <v>3937</v>
      </c>
      <c r="G167" s="74">
        <v>2.8530000000000002</v>
      </c>
      <c r="H167" s="46">
        <f t="shared" si="33"/>
        <v>37.44</v>
      </c>
      <c r="I167" s="89">
        <f t="shared" si="32"/>
        <v>11232.26</v>
      </c>
      <c r="J167" s="89"/>
      <c r="K167" s="43">
        <v>9.9845797995374186E-2</v>
      </c>
      <c r="N167" s="77"/>
    </row>
    <row r="168" spans="1:14">
      <c r="A168" s="41" t="s">
        <v>158</v>
      </c>
      <c r="B168" s="41">
        <v>1078</v>
      </c>
      <c r="C168" s="144">
        <v>69</v>
      </c>
      <c r="D168" s="41" t="s">
        <v>40</v>
      </c>
      <c r="E168" s="44" t="s">
        <v>160</v>
      </c>
      <c r="F168" s="41">
        <v>3937</v>
      </c>
      <c r="G168" s="74">
        <v>2.88</v>
      </c>
      <c r="H168" s="46">
        <f t="shared" si="33"/>
        <v>37.799999999999997</v>
      </c>
      <c r="I168" s="89">
        <f t="shared" si="32"/>
        <v>11338.56</v>
      </c>
      <c r="J168" s="89"/>
      <c r="K168" s="43">
        <v>0.10007639419404124</v>
      </c>
      <c r="N168" s="77"/>
    </row>
    <row r="169" spans="1:14">
      <c r="A169" s="41" t="s">
        <v>159</v>
      </c>
      <c r="B169" s="41" t="s">
        <v>42</v>
      </c>
      <c r="C169" s="144">
        <v>55.000000000000007</v>
      </c>
      <c r="D169" s="41" t="s">
        <v>40</v>
      </c>
      <c r="E169" s="44" t="s">
        <v>41</v>
      </c>
      <c r="F169" s="41">
        <v>3937</v>
      </c>
      <c r="G169" s="74">
        <v>2.6749999999999998</v>
      </c>
      <c r="H169" s="46">
        <f t="shared" si="33"/>
        <v>35.11</v>
      </c>
      <c r="I169" s="89">
        <f t="shared" si="32"/>
        <v>10531.48</v>
      </c>
      <c r="J169" s="89"/>
      <c r="K169" s="43">
        <v>9.991776315789469E-2</v>
      </c>
      <c r="N169" s="77"/>
    </row>
    <row r="170" spans="1:14">
      <c r="A170" s="41" t="s">
        <v>158</v>
      </c>
      <c r="B170" s="41" t="s">
        <v>42</v>
      </c>
      <c r="C170" s="144">
        <v>56.999999999999993</v>
      </c>
      <c r="D170" s="41" t="s">
        <v>40</v>
      </c>
      <c r="E170" s="44" t="s">
        <v>41</v>
      </c>
      <c r="F170" s="41">
        <v>3937</v>
      </c>
      <c r="G170" s="74">
        <v>2.7210000000000001</v>
      </c>
      <c r="H170" s="46">
        <f t="shared" si="33"/>
        <v>35.71</v>
      </c>
      <c r="I170" s="89">
        <f t="shared" si="32"/>
        <v>10712.58</v>
      </c>
      <c r="J170" s="89"/>
      <c r="K170" s="43">
        <v>9.9838318512530222E-2</v>
      </c>
      <c r="N170" s="77"/>
    </row>
    <row r="171" spans="1:14">
      <c r="A171" s="41" t="s">
        <v>158</v>
      </c>
      <c r="B171" s="41" t="s">
        <v>42</v>
      </c>
      <c r="C171" s="144">
        <v>57.999999999999993</v>
      </c>
      <c r="D171" s="41" t="s">
        <v>40</v>
      </c>
      <c r="E171" s="44" t="s">
        <v>41</v>
      </c>
      <c r="F171" s="41">
        <v>3937</v>
      </c>
      <c r="G171" s="74">
        <v>2.7210000000000001</v>
      </c>
      <c r="H171" s="46">
        <f t="shared" si="33"/>
        <v>35.71</v>
      </c>
      <c r="I171" s="89">
        <f t="shared" si="32"/>
        <v>10712.58</v>
      </c>
      <c r="J171" s="89"/>
      <c r="K171" s="43">
        <v>9.9838318512530222E-2</v>
      </c>
      <c r="N171" s="77"/>
    </row>
    <row r="172" spans="1:14">
      <c r="A172" s="41" t="s">
        <v>158</v>
      </c>
      <c r="B172" s="41" t="s">
        <v>42</v>
      </c>
      <c r="C172" s="144">
        <v>59.5</v>
      </c>
      <c r="D172" s="41" t="s">
        <v>40</v>
      </c>
      <c r="E172" s="44" t="s">
        <v>41</v>
      </c>
      <c r="F172" s="41">
        <v>3937</v>
      </c>
      <c r="G172" s="74">
        <v>2.8439999999999999</v>
      </c>
      <c r="H172" s="46">
        <f t="shared" si="33"/>
        <v>37.32</v>
      </c>
      <c r="I172" s="89">
        <f t="shared" si="32"/>
        <v>11196.83</v>
      </c>
      <c r="J172" s="89"/>
      <c r="K172" s="43">
        <v>0.10019342359767891</v>
      </c>
      <c r="N172" s="77"/>
    </row>
    <row r="173" spans="1:14">
      <c r="A173" s="41" t="s">
        <v>158</v>
      </c>
      <c r="B173" s="41" t="s">
        <v>42</v>
      </c>
      <c r="C173" s="144">
        <v>61</v>
      </c>
      <c r="D173" s="41" t="s">
        <v>40</v>
      </c>
      <c r="E173" s="44" t="s">
        <v>41</v>
      </c>
      <c r="F173" s="41">
        <v>3937</v>
      </c>
      <c r="G173" s="74">
        <v>2.9249999999999998</v>
      </c>
      <c r="H173" s="46">
        <f t="shared" si="33"/>
        <v>38.39</v>
      </c>
      <c r="I173" s="89">
        <f t="shared" si="32"/>
        <v>11515.73</v>
      </c>
      <c r="J173" s="89"/>
      <c r="K173" s="43">
        <v>0.10003760812335472</v>
      </c>
      <c r="N173" s="77"/>
    </row>
    <row r="174" spans="1:14">
      <c r="A174" s="41" t="s">
        <v>158</v>
      </c>
      <c r="B174" s="41">
        <v>2116</v>
      </c>
      <c r="C174" s="144">
        <v>53</v>
      </c>
      <c r="D174" s="41" t="s">
        <v>43</v>
      </c>
      <c r="E174" s="44" t="s">
        <v>41</v>
      </c>
      <c r="F174" s="41">
        <v>2624.6</v>
      </c>
      <c r="G174" s="74">
        <v>2.5950000000000002</v>
      </c>
      <c r="H174" s="46">
        <f t="shared" si="33"/>
        <v>34.06</v>
      </c>
      <c r="I174" s="89">
        <f t="shared" si="32"/>
        <v>6810.84</v>
      </c>
      <c r="J174" s="89"/>
      <c r="K174" s="43">
        <v>0.10004239084357791</v>
      </c>
      <c r="N174" s="77"/>
    </row>
    <row r="175" spans="1:14">
      <c r="A175" s="41" t="s">
        <v>158</v>
      </c>
      <c r="B175" s="41">
        <v>2116</v>
      </c>
      <c r="C175" s="144">
        <v>55.000000000000007</v>
      </c>
      <c r="D175" s="41" t="s">
        <v>43</v>
      </c>
      <c r="E175" s="44" t="s">
        <v>41</v>
      </c>
      <c r="F175" s="41">
        <v>2624.6</v>
      </c>
      <c r="G175" s="74">
        <v>2.6190000000000002</v>
      </c>
      <c r="H175" s="46">
        <f t="shared" si="33"/>
        <v>34.369999999999997</v>
      </c>
      <c r="I175" s="89">
        <f t="shared" si="32"/>
        <v>6873.83</v>
      </c>
      <c r="J175" s="89"/>
      <c r="K175" s="43">
        <v>0.12018819503849443</v>
      </c>
      <c r="N175" s="77"/>
    </row>
    <row r="176" spans="1:14">
      <c r="A176" s="41" t="s">
        <v>158</v>
      </c>
      <c r="B176" s="41">
        <v>2116</v>
      </c>
      <c r="C176" s="144">
        <v>56.000000000000007</v>
      </c>
      <c r="D176" s="41" t="s">
        <v>43</v>
      </c>
      <c r="E176" s="44" t="s">
        <v>41</v>
      </c>
      <c r="F176" s="41">
        <v>2624.6</v>
      </c>
      <c r="G176" s="74">
        <v>2.7320000000000002</v>
      </c>
      <c r="H176" s="46">
        <f t="shared" si="33"/>
        <v>35.85</v>
      </c>
      <c r="I176" s="89">
        <f t="shared" si="32"/>
        <v>7170.41</v>
      </c>
      <c r="J176" s="89"/>
      <c r="K176" s="43">
        <v>9.9838969404186795E-2</v>
      </c>
      <c r="N176" s="77"/>
    </row>
    <row r="177" spans="1:14">
      <c r="A177" s="41" t="s">
        <v>158</v>
      </c>
      <c r="B177" s="41">
        <v>2116</v>
      </c>
      <c r="C177" s="144">
        <v>56.999999999999993</v>
      </c>
      <c r="D177" s="41" t="s">
        <v>43</v>
      </c>
      <c r="E177" s="44" t="s">
        <v>41</v>
      </c>
      <c r="F177" s="41">
        <v>2624.6</v>
      </c>
      <c r="G177" s="74">
        <v>2.8330000000000002</v>
      </c>
      <c r="H177" s="46">
        <f t="shared" si="33"/>
        <v>37.18</v>
      </c>
      <c r="I177" s="89">
        <f t="shared" si="32"/>
        <v>7435.49</v>
      </c>
      <c r="J177" s="89"/>
      <c r="K177" s="43">
        <v>0.10019417475728165</v>
      </c>
      <c r="N177" s="77"/>
    </row>
    <row r="178" spans="1:14">
      <c r="A178" s="41" t="s">
        <v>158</v>
      </c>
      <c r="B178" s="41">
        <v>2116</v>
      </c>
      <c r="C178" s="144">
        <v>57.999999999999993</v>
      </c>
      <c r="D178" s="41" t="s">
        <v>43</v>
      </c>
      <c r="E178" s="44" t="s">
        <v>41</v>
      </c>
      <c r="F178" s="41">
        <v>2624.6</v>
      </c>
      <c r="G178" s="74">
        <v>2.8359999999999999</v>
      </c>
      <c r="H178" s="46">
        <f t="shared" si="33"/>
        <v>37.22</v>
      </c>
      <c r="I178" s="89">
        <f t="shared" si="32"/>
        <v>7443.37</v>
      </c>
      <c r="J178" s="89"/>
      <c r="K178" s="43">
        <v>0.10007757951900698</v>
      </c>
      <c r="N178" s="77"/>
    </row>
    <row r="179" spans="1:14">
      <c r="A179" s="41" t="s">
        <v>158</v>
      </c>
      <c r="B179" s="41">
        <v>2116</v>
      </c>
      <c r="C179" s="144">
        <v>59</v>
      </c>
      <c r="D179" s="41" t="s">
        <v>43</v>
      </c>
      <c r="E179" s="44" t="s">
        <v>41</v>
      </c>
      <c r="F179" s="41">
        <v>2624.6</v>
      </c>
      <c r="G179" s="74">
        <v>2.847</v>
      </c>
      <c r="H179" s="46">
        <f t="shared" si="33"/>
        <v>37.36</v>
      </c>
      <c r="I179" s="89">
        <f t="shared" si="32"/>
        <v>7472.24</v>
      </c>
      <c r="J179" s="89"/>
      <c r="K179" s="43">
        <v>0.10007727975270475</v>
      </c>
      <c r="N179" s="77"/>
    </row>
    <row r="180" spans="1:14">
      <c r="A180" s="41" t="s">
        <v>158</v>
      </c>
      <c r="B180" s="41">
        <v>2116</v>
      </c>
      <c r="C180" s="144">
        <v>60</v>
      </c>
      <c r="D180" s="41" t="s">
        <v>43</v>
      </c>
      <c r="E180" s="44" t="s">
        <v>41</v>
      </c>
      <c r="F180" s="41">
        <v>2624.6</v>
      </c>
      <c r="G180" s="74">
        <v>2.847</v>
      </c>
      <c r="H180" s="46">
        <f t="shared" si="33"/>
        <v>37.36</v>
      </c>
      <c r="I180" s="89">
        <f t="shared" si="32"/>
        <v>7472.24</v>
      </c>
      <c r="J180" s="89"/>
      <c r="K180" s="43">
        <v>0.10007727975270475</v>
      </c>
      <c r="N180" s="77"/>
    </row>
    <row r="181" spans="1:14">
      <c r="A181" s="41" t="s">
        <v>158</v>
      </c>
      <c r="B181" s="41">
        <v>2116</v>
      </c>
      <c r="C181" s="144">
        <v>62</v>
      </c>
      <c r="D181" s="41" t="s">
        <v>43</v>
      </c>
      <c r="E181" s="44" t="s">
        <v>41</v>
      </c>
      <c r="F181" s="41">
        <v>2624.6</v>
      </c>
      <c r="G181" s="74">
        <v>2.9689999999999999</v>
      </c>
      <c r="H181" s="46">
        <f t="shared" si="33"/>
        <v>38.97</v>
      </c>
      <c r="I181" s="89">
        <f t="shared" si="32"/>
        <v>7792.44</v>
      </c>
      <c r="J181" s="89"/>
      <c r="K181" s="43">
        <v>0.1000370507595405</v>
      </c>
      <c r="N181" s="77"/>
    </row>
    <row r="182" spans="1:14">
      <c r="A182" s="41" t="s">
        <v>158</v>
      </c>
      <c r="B182" s="41">
        <v>1506</v>
      </c>
      <c r="C182" s="144">
        <v>52</v>
      </c>
      <c r="D182" s="41" t="s">
        <v>44</v>
      </c>
      <c r="E182" s="44" t="s">
        <v>41</v>
      </c>
      <c r="F182" s="41">
        <v>1968.5</v>
      </c>
      <c r="G182" s="74">
        <v>3.6219999999999999</v>
      </c>
      <c r="H182" s="46">
        <f t="shared" si="33"/>
        <v>47.54</v>
      </c>
      <c r="I182" s="89">
        <f t="shared" si="32"/>
        <v>7129.91</v>
      </c>
      <c r="J182" s="89"/>
      <c r="K182" s="43">
        <v>9.990889766170663E-2</v>
      </c>
      <c r="N182" s="77"/>
    </row>
    <row r="183" spans="1:14">
      <c r="A183" s="41" t="s">
        <v>158</v>
      </c>
      <c r="B183" s="41">
        <v>7628</v>
      </c>
      <c r="C183" s="144">
        <v>48</v>
      </c>
      <c r="D183" s="41" t="s">
        <v>44</v>
      </c>
      <c r="E183" s="44" t="s">
        <v>41</v>
      </c>
      <c r="F183" s="41">
        <v>1968.5</v>
      </c>
      <c r="G183" s="74">
        <v>3.55</v>
      </c>
      <c r="H183" s="46">
        <f t="shared" si="33"/>
        <v>46.59</v>
      </c>
      <c r="I183" s="89">
        <f t="shared" si="32"/>
        <v>6988.18</v>
      </c>
      <c r="J183" s="89"/>
      <c r="K183" s="43">
        <v>0.10009296560272696</v>
      </c>
      <c r="N183" s="77"/>
    </row>
    <row r="184" spans="1:14">
      <c r="A184" s="41" t="s">
        <v>158</v>
      </c>
      <c r="B184" s="41">
        <v>7628</v>
      </c>
      <c r="C184" s="144">
        <v>49.5</v>
      </c>
      <c r="D184" s="41" t="s">
        <v>44</v>
      </c>
      <c r="E184" s="44" t="s">
        <v>41</v>
      </c>
      <c r="F184" s="41">
        <v>1968.5</v>
      </c>
      <c r="G184" s="74">
        <v>3.637</v>
      </c>
      <c r="H184" s="46">
        <f t="shared" si="33"/>
        <v>47.73</v>
      </c>
      <c r="I184" s="89">
        <f t="shared" si="32"/>
        <v>7159.43</v>
      </c>
      <c r="J184" s="89"/>
      <c r="K184" s="43">
        <v>0.10012099213551129</v>
      </c>
      <c r="N184" s="77"/>
    </row>
    <row r="186" spans="1:14">
      <c r="A186" s="35" t="s">
        <v>45</v>
      </c>
      <c r="B186" s="48"/>
      <c r="C186" s="48"/>
      <c r="D186" s="48"/>
      <c r="E186" s="48"/>
      <c r="F186" s="48"/>
      <c r="G186" s="48"/>
      <c r="H186" s="48"/>
      <c r="I186" s="48"/>
      <c r="J186" s="48"/>
      <c r="K186" s="48"/>
    </row>
    <row r="187" spans="1:14">
      <c r="A187" s="48" t="s">
        <v>46</v>
      </c>
      <c r="B187" s="48"/>
      <c r="C187" s="48"/>
      <c r="D187" s="48"/>
      <c r="E187" s="48"/>
      <c r="F187" s="48"/>
      <c r="G187" s="48"/>
      <c r="H187" s="48"/>
      <c r="I187" s="48"/>
      <c r="J187" s="48"/>
      <c r="K187" s="48"/>
    </row>
    <row r="188" spans="1:14">
      <c r="A188" s="51" t="s">
        <v>161</v>
      </c>
      <c r="B188" s="48"/>
      <c r="C188" s="48"/>
      <c r="D188" s="48"/>
      <c r="E188" s="48"/>
      <c r="F188" s="48"/>
      <c r="G188" s="48"/>
      <c r="H188" s="48"/>
      <c r="I188" s="48"/>
      <c r="J188" s="48"/>
      <c r="K188" s="48"/>
    </row>
    <row r="189" spans="1:14">
      <c r="A189" s="51" t="s">
        <v>48</v>
      </c>
      <c r="B189" s="48"/>
      <c r="C189" s="48"/>
      <c r="D189" s="48"/>
      <c r="E189" s="48"/>
      <c r="F189" s="48"/>
      <c r="G189" s="48"/>
      <c r="H189" s="48"/>
      <c r="I189" s="48"/>
      <c r="J189" s="48"/>
      <c r="K189" s="48"/>
    </row>
    <row r="190" spans="1:14">
      <c r="A190" s="51" t="s">
        <v>49</v>
      </c>
      <c r="B190" s="48"/>
      <c r="C190" s="48"/>
      <c r="D190" s="48"/>
      <c r="E190" s="48"/>
      <c r="F190" s="48"/>
      <c r="G190" s="48"/>
      <c r="H190" s="48"/>
      <c r="I190" s="48"/>
      <c r="J190" s="48"/>
      <c r="K190" s="48"/>
    </row>
    <row r="191" spans="1:14">
      <c r="A191" s="52" t="s">
        <v>146</v>
      </c>
      <c r="B191" s="48"/>
      <c r="C191" s="48"/>
      <c r="D191" s="48"/>
      <c r="E191" s="48"/>
      <c r="F191" s="48"/>
      <c r="G191" s="48"/>
      <c r="H191" s="48"/>
      <c r="I191" s="48"/>
      <c r="J191" s="48"/>
      <c r="K191" s="48"/>
    </row>
    <row r="192" spans="1:14">
      <c r="A192" s="52" t="s">
        <v>78</v>
      </c>
      <c r="B192" s="48"/>
      <c r="C192" s="48"/>
      <c r="D192" s="48"/>
      <c r="E192" s="48"/>
      <c r="F192" s="48"/>
      <c r="G192" s="48"/>
      <c r="H192" s="48"/>
      <c r="I192" s="48"/>
      <c r="J192" s="48"/>
      <c r="K192" s="48"/>
    </row>
    <row r="193" spans="1:11">
      <c r="A193" s="52" t="s">
        <v>51</v>
      </c>
      <c r="B193" s="148"/>
      <c r="C193" s="148"/>
      <c r="D193" s="148"/>
      <c r="E193" s="148"/>
      <c r="F193" s="148"/>
      <c r="G193" s="148"/>
      <c r="H193" s="148"/>
      <c r="I193" s="148"/>
      <c r="J193" s="148"/>
      <c r="K193" s="148"/>
    </row>
    <row r="195" spans="1:11" ht="15.6">
      <c r="A195" s="55" t="s">
        <v>162</v>
      </c>
      <c r="B195" s="55"/>
      <c r="C195" s="56"/>
      <c r="D195" s="56"/>
      <c r="E195" s="56"/>
      <c r="F195" s="56"/>
      <c r="G195" s="56"/>
      <c r="H195" s="56"/>
      <c r="I195" s="56"/>
      <c r="J195" s="56"/>
      <c r="K195" s="56"/>
    </row>
  </sheetData>
  <mergeCells count="43">
    <mergeCell ref="I184:J184"/>
    <mergeCell ref="I178:J178"/>
    <mergeCell ref="I179:J179"/>
    <mergeCell ref="I180:J180"/>
    <mergeCell ref="I181:J181"/>
    <mergeCell ref="I182:J182"/>
    <mergeCell ref="I183:J183"/>
    <mergeCell ref="I172:J172"/>
    <mergeCell ref="I173:J173"/>
    <mergeCell ref="I174:J174"/>
    <mergeCell ref="I175:J175"/>
    <mergeCell ref="I176:J176"/>
    <mergeCell ref="I177:J177"/>
    <mergeCell ref="I166:J166"/>
    <mergeCell ref="I167:J167"/>
    <mergeCell ref="I168:J168"/>
    <mergeCell ref="I169:J169"/>
    <mergeCell ref="I170:J170"/>
    <mergeCell ref="I171:J171"/>
    <mergeCell ref="I160:J160"/>
    <mergeCell ref="I161:J161"/>
    <mergeCell ref="I162:J162"/>
    <mergeCell ref="I163:J163"/>
    <mergeCell ref="I164:J164"/>
    <mergeCell ref="I165:J165"/>
    <mergeCell ref="I154:J154"/>
    <mergeCell ref="I155:J155"/>
    <mergeCell ref="I156:J156"/>
    <mergeCell ref="I157:J157"/>
    <mergeCell ref="I158:J158"/>
    <mergeCell ref="I159:J159"/>
    <mergeCell ref="A147:K147"/>
    <mergeCell ref="I149:J149"/>
    <mergeCell ref="I150:J150"/>
    <mergeCell ref="I151:J151"/>
    <mergeCell ref="I152:J152"/>
    <mergeCell ref="I153:J153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28C-7884-4437-B03B-C998D96B099A}">
  <dimension ref="A1:O182"/>
  <sheetViews>
    <sheetView workbookViewId="0">
      <selection activeCell="S12" sqref="S12"/>
    </sheetView>
  </sheetViews>
  <sheetFormatPr defaultColWidth="9" defaultRowHeight="13.8"/>
  <cols>
    <col min="1" max="11" width="8.09765625" style="160" customWidth="1"/>
    <col min="12" max="12" width="0" style="160" hidden="1" customWidth="1"/>
    <col min="13" max="13" width="12.09765625" style="160" hidden="1" customWidth="1"/>
    <col min="14" max="15" width="0" style="160" hidden="1" customWidth="1"/>
    <col min="16" max="16384" width="9" style="160"/>
  </cols>
  <sheetData>
    <row r="1" spans="1:15" ht="16.350000000000001" customHeight="1">
      <c r="C1" s="161"/>
      <c r="D1" s="161"/>
      <c r="E1" s="161"/>
      <c r="F1" s="161"/>
      <c r="G1" s="161"/>
      <c r="H1" s="161"/>
      <c r="I1" s="161"/>
      <c r="J1" s="161"/>
      <c r="K1" s="161"/>
    </row>
    <row r="2" spans="1:15" ht="74.400000000000006" customHeight="1">
      <c r="A2" s="161"/>
      <c r="B2" s="161"/>
      <c r="C2" s="161"/>
      <c r="D2" s="161"/>
      <c r="E2" s="161"/>
      <c r="F2" s="161"/>
      <c r="G2" s="161"/>
      <c r="H2" s="161"/>
      <c r="I2" s="161"/>
      <c r="J2" s="161"/>
      <c r="K2" s="161"/>
    </row>
    <row r="3" spans="1:15" ht="19.8" customHeight="1">
      <c r="A3" s="162" t="s">
        <v>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5" ht="15" customHeight="1">
      <c r="A4" s="109" t="s">
        <v>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5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5" ht="15" customHeight="1">
      <c r="A6" s="163" t="s">
        <v>3</v>
      </c>
      <c r="B6" s="163" t="s">
        <v>4</v>
      </c>
      <c r="C6" s="164"/>
      <c r="D6" s="165"/>
      <c r="E6" s="165"/>
      <c r="F6" s="165"/>
      <c r="G6" s="166"/>
      <c r="H6" s="165"/>
      <c r="I6" s="163" t="s">
        <v>5</v>
      </c>
      <c r="J6" s="163"/>
      <c r="K6" s="163"/>
    </row>
    <row r="7" spans="1:15" ht="15" customHeight="1">
      <c r="A7" s="163"/>
      <c r="B7" s="163" t="s">
        <v>6</v>
      </c>
      <c r="C7" s="164"/>
      <c r="D7" s="165"/>
      <c r="E7" s="165"/>
      <c r="F7" s="165"/>
      <c r="G7" s="165"/>
      <c r="H7" s="165"/>
      <c r="I7" s="167" t="s">
        <v>7</v>
      </c>
      <c r="J7" s="167"/>
      <c r="K7" s="167"/>
    </row>
    <row r="8" spans="1:15" ht="15" customHeight="1">
      <c r="A8" s="163" t="s">
        <v>8</v>
      </c>
      <c r="B8" s="163" t="s">
        <v>9</v>
      </c>
      <c r="C8" s="164"/>
      <c r="D8" s="165"/>
      <c r="E8" s="165"/>
      <c r="F8" s="165"/>
      <c r="G8" s="165"/>
      <c r="H8" s="165"/>
      <c r="I8" s="167" t="s">
        <v>80</v>
      </c>
      <c r="J8" s="167"/>
      <c r="K8" s="167"/>
    </row>
    <row r="9" spans="1:15" ht="15" customHeight="1">
      <c r="A9" s="163"/>
      <c r="B9" s="163" t="s">
        <v>10</v>
      </c>
      <c r="C9" s="164"/>
      <c r="D9" s="165"/>
      <c r="E9" s="165"/>
      <c r="F9" s="165"/>
      <c r="G9" s="165"/>
      <c r="H9" s="165"/>
      <c r="I9" s="8" t="s">
        <v>11</v>
      </c>
      <c r="J9" s="163"/>
      <c r="K9" s="163"/>
    </row>
    <row r="10" spans="1:15" ht="15" customHeight="1">
      <c r="A10" s="168"/>
      <c r="B10" s="168"/>
      <c r="C10" s="5"/>
      <c r="D10" s="5"/>
      <c r="E10" s="5"/>
      <c r="F10" s="5"/>
      <c r="G10" s="5"/>
      <c r="H10" s="5"/>
      <c r="I10" s="5"/>
      <c r="J10" s="5"/>
      <c r="K10" s="5"/>
    </row>
    <row r="11" spans="1:15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5" ht="28.2" customHeight="1">
      <c r="A12" s="162" t="s">
        <v>163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</row>
    <row r="13" spans="1:15" ht="25.8" customHeight="1">
      <c r="A13" s="159" t="s">
        <v>13</v>
      </c>
      <c r="B13" s="159" t="s">
        <v>14</v>
      </c>
      <c r="C13" s="159" t="s">
        <v>15</v>
      </c>
      <c r="D13" s="159" t="s">
        <v>16</v>
      </c>
      <c r="E13" s="159" t="s">
        <v>17</v>
      </c>
      <c r="F13" s="169" t="s">
        <v>18</v>
      </c>
      <c r="G13" s="114" t="s">
        <v>19</v>
      </c>
      <c r="H13" s="114" t="s">
        <v>20</v>
      </c>
      <c r="I13" s="114" t="s">
        <v>21</v>
      </c>
      <c r="J13" s="114" t="s">
        <v>22</v>
      </c>
      <c r="K13" s="114" t="s">
        <v>23</v>
      </c>
      <c r="L13" s="78" t="s">
        <v>72</v>
      </c>
      <c r="M13" s="79" t="s">
        <v>73</v>
      </c>
      <c r="N13" s="79" t="s">
        <v>74</v>
      </c>
      <c r="O13" s="79" t="s">
        <v>75</v>
      </c>
    </row>
    <row r="14" spans="1:15" ht="15" customHeight="1">
      <c r="A14" s="9" t="s">
        <v>164</v>
      </c>
      <c r="B14" s="10">
        <f>ROUND(C14*0.0254,3)</f>
        <v>7.5999999999999998E-2</v>
      </c>
      <c r="C14" s="10">
        <v>3</v>
      </c>
      <c r="D14" s="10" t="s">
        <v>25</v>
      </c>
      <c r="E14" s="13" t="s">
        <v>137</v>
      </c>
      <c r="F14" s="60" t="s">
        <v>81</v>
      </c>
      <c r="G14" s="82">
        <v>9.4990000000000006</v>
      </c>
      <c r="H14" s="15">
        <f t="shared" ref="H14:H77" si="0">ROUND(G14*12,2)</f>
        <v>113.99</v>
      </c>
      <c r="I14" s="68">
        <f t="shared" ref="I14:I77" si="1">ROUND(G14*13.33,2)</f>
        <v>126.62</v>
      </c>
      <c r="J14" s="15">
        <f t="shared" ref="J14:J77" si="2">ROUND(G14*14,2)</f>
        <v>132.99</v>
      </c>
      <c r="K14" s="170">
        <v>0.10005790387955993</v>
      </c>
      <c r="L14" s="63">
        <f>ROUND(ROUND(ROUND(G14*12,2)*43/48,2)*1.07,2)</f>
        <v>109.27</v>
      </c>
      <c r="M14" s="63">
        <f>ROUND(ROUND(G14*12,2)*2/3,2)</f>
        <v>75.989999999999995</v>
      </c>
      <c r="N14" s="63">
        <f>ROUND(ROUND(G14*13.33,2)*2/3,2)</f>
        <v>84.41</v>
      </c>
      <c r="O14" s="63">
        <f>ROUND(ROUND(G14*14,2)*2/3,2)</f>
        <v>88.66</v>
      </c>
    </row>
    <row r="15" spans="1:15" ht="15" customHeight="1">
      <c r="A15" s="9" t="s">
        <v>165</v>
      </c>
      <c r="B15" s="10">
        <f t="shared" ref="B15:B18" si="3">ROUND(C15*0.0254,3)</f>
        <v>7.5999999999999998E-2</v>
      </c>
      <c r="C15" s="10">
        <v>3</v>
      </c>
      <c r="D15" s="10" t="s">
        <v>25</v>
      </c>
      <c r="E15" s="13" t="s">
        <v>137</v>
      </c>
      <c r="F15" s="60" t="s">
        <v>122</v>
      </c>
      <c r="G15" s="82">
        <v>10.215999999999999</v>
      </c>
      <c r="H15" s="15">
        <f t="shared" si="0"/>
        <v>122.59</v>
      </c>
      <c r="I15" s="68">
        <f t="shared" si="1"/>
        <v>136.18</v>
      </c>
      <c r="J15" s="15">
        <f t="shared" si="2"/>
        <v>143.02000000000001</v>
      </c>
      <c r="K15" s="170">
        <v>0.10003230321955403</v>
      </c>
      <c r="L15" s="63">
        <f t="shared" ref="L15:L78" si="4">ROUND(ROUND(ROUND(G15*12,2)*43/48,2)*1.07,2)</f>
        <v>117.51</v>
      </c>
      <c r="M15" s="63">
        <f t="shared" ref="M15:M78" si="5">ROUND(ROUND(G15*12,2)*2/3,2)</f>
        <v>81.73</v>
      </c>
      <c r="N15" s="63">
        <f t="shared" ref="N15:N78" si="6">ROUND(ROUND(G15*13.33,2)*2/3,2)</f>
        <v>90.79</v>
      </c>
      <c r="O15" s="63">
        <f t="shared" ref="O15:O78" si="7">ROUND(ROUND(G15*14,2)*2/3,2)</f>
        <v>95.35</v>
      </c>
    </row>
    <row r="16" spans="1:15" ht="15" customHeight="1">
      <c r="A16" s="9" t="s">
        <v>165</v>
      </c>
      <c r="B16" s="10">
        <f t="shared" si="3"/>
        <v>8.8999999999999996E-2</v>
      </c>
      <c r="C16" s="10">
        <v>3.5</v>
      </c>
      <c r="D16" s="10" t="s">
        <v>25</v>
      </c>
      <c r="E16" s="13" t="s">
        <v>137</v>
      </c>
      <c r="F16" s="60" t="s">
        <v>122</v>
      </c>
      <c r="G16" s="82">
        <v>10.215999999999999</v>
      </c>
      <c r="H16" s="15">
        <f t="shared" si="0"/>
        <v>122.59</v>
      </c>
      <c r="I16" s="68">
        <f t="shared" si="1"/>
        <v>136.18</v>
      </c>
      <c r="J16" s="15">
        <f t="shared" si="2"/>
        <v>143.02000000000001</v>
      </c>
      <c r="K16" s="170">
        <v>0.10003230321955403</v>
      </c>
      <c r="L16" s="63">
        <f t="shared" si="4"/>
        <v>117.51</v>
      </c>
      <c r="M16" s="63">
        <f t="shared" si="5"/>
        <v>81.73</v>
      </c>
      <c r="N16" s="63">
        <f t="shared" si="6"/>
        <v>90.79</v>
      </c>
      <c r="O16" s="63">
        <f t="shared" si="7"/>
        <v>95.35</v>
      </c>
    </row>
    <row r="17" spans="1:15" ht="15" customHeight="1">
      <c r="A17" s="9" t="s">
        <v>165</v>
      </c>
      <c r="B17" s="10">
        <f t="shared" si="3"/>
        <v>8.8999999999999996E-2</v>
      </c>
      <c r="C17" s="10">
        <v>3.5</v>
      </c>
      <c r="D17" s="10" t="s">
        <v>25</v>
      </c>
      <c r="E17" s="13" t="s">
        <v>137</v>
      </c>
      <c r="F17" s="60" t="s">
        <v>92</v>
      </c>
      <c r="G17" s="82">
        <v>10.215999999999999</v>
      </c>
      <c r="H17" s="15">
        <f t="shared" si="0"/>
        <v>122.59</v>
      </c>
      <c r="I17" s="68">
        <f t="shared" si="1"/>
        <v>136.18</v>
      </c>
      <c r="J17" s="15">
        <f t="shared" si="2"/>
        <v>143.02000000000001</v>
      </c>
      <c r="K17" s="170">
        <v>0.10003230321955403</v>
      </c>
      <c r="L17" s="63">
        <f t="shared" si="4"/>
        <v>117.51</v>
      </c>
      <c r="M17" s="63">
        <f t="shared" si="5"/>
        <v>81.73</v>
      </c>
      <c r="N17" s="63">
        <f t="shared" si="6"/>
        <v>90.79</v>
      </c>
      <c r="O17" s="63">
        <f t="shared" si="7"/>
        <v>95.35</v>
      </c>
    </row>
    <row r="18" spans="1:15" ht="15" customHeight="1">
      <c r="A18" s="9" t="s">
        <v>165</v>
      </c>
      <c r="B18" s="10">
        <f t="shared" si="3"/>
        <v>8.8999999999999996E-2</v>
      </c>
      <c r="C18" s="10">
        <v>3.5</v>
      </c>
      <c r="D18" s="10" t="s">
        <v>25</v>
      </c>
      <c r="E18" s="13" t="s">
        <v>137</v>
      </c>
      <c r="F18" s="60" t="s">
        <v>83</v>
      </c>
      <c r="G18" s="82">
        <v>10.215999999999999</v>
      </c>
      <c r="H18" s="15">
        <f t="shared" si="0"/>
        <v>122.59</v>
      </c>
      <c r="I18" s="68">
        <f t="shared" si="1"/>
        <v>136.18</v>
      </c>
      <c r="J18" s="15">
        <f t="shared" si="2"/>
        <v>143.02000000000001</v>
      </c>
      <c r="K18" s="170">
        <v>0.10003230321955403</v>
      </c>
      <c r="L18" s="63">
        <f t="shared" si="4"/>
        <v>117.51</v>
      </c>
      <c r="M18" s="63">
        <f t="shared" si="5"/>
        <v>81.73</v>
      </c>
      <c r="N18" s="63">
        <f t="shared" si="6"/>
        <v>90.79</v>
      </c>
      <c r="O18" s="63">
        <f t="shared" si="7"/>
        <v>95.35</v>
      </c>
    </row>
    <row r="19" spans="1:15" ht="15" customHeight="1">
      <c r="A19" s="9" t="s">
        <v>165</v>
      </c>
      <c r="B19" s="10">
        <f t="shared" ref="B19:B82" si="8">ROUND(C19*0.0254,2)</f>
        <v>0.1</v>
      </c>
      <c r="C19" s="10">
        <v>4</v>
      </c>
      <c r="D19" s="10" t="s">
        <v>25</v>
      </c>
      <c r="E19" s="13" t="s">
        <v>137</v>
      </c>
      <c r="F19" s="60" t="s">
        <v>92</v>
      </c>
      <c r="G19" s="82">
        <v>9.7040000000000006</v>
      </c>
      <c r="H19" s="15">
        <f t="shared" si="0"/>
        <v>116.45</v>
      </c>
      <c r="I19" s="68">
        <f t="shared" si="1"/>
        <v>129.35</v>
      </c>
      <c r="J19" s="15">
        <f t="shared" si="2"/>
        <v>135.86000000000001</v>
      </c>
      <c r="K19" s="170">
        <v>9.9977329403763582E-2</v>
      </c>
      <c r="L19" s="63">
        <f t="shared" si="4"/>
        <v>111.62</v>
      </c>
      <c r="M19" s="63">
        <f t="shared" si="5"/>
        <v>77.63</v>
      </c>
      <c r="N19" s="63">
        <f t="shared" si="6"/>
        <v>86.23</v>
      </c>
      <c r="O19" s="63">
        <f t="shared" si="7"/>
        <v>90.57</v>
      </c>
    </row>
    <row r="20" spans="1:15" ht="15" customHeight="1">
      <c r="A20" s="9" t="s">
        <v>165</v>
      </c>
      <c r="B20" s="10">
        <f t="shared" si="8"/>
        <v>0.1</v>
      </c>
      <c r="C20" s="10">
        <v>4</v>
      </c>
      <c r="D20" s="10" t="s">
        <v>25</v>
      </c>
      <c r="E20" s="13" t="s">
        <v>137</v>
      </c>
      <c r="F20" s="60" t="s">
        <v>83</v>
      </c>
      <c r="G20" s="82">
        <v>9.7040000000000006</v>
      </c>
      <c r="H20" s="15">
        <f t="shared" si="0"/>
        <v>116.45</v>
      </c>
      <c r="I20" s="68">
        <f t="shared" si="1"/>
        <v>129.35</v>
      </c>
      <c r="J20" s="15">
        <f t="shared" si="2"/>
        <v>135.86000000000001</v>
      </c>
      <c r="K20" s="170">
        <v>9.9977329403763582E-2</v>
      </c>
      <c r="L20" s="63">
        <f t="shared" si="4"/>
        <v>111.62</v>
      </c>
      <c r="M20" s="63">
        <f t="shared" si="5"/>
        <v>77.63</v>
      </c>
      <c r="N20" s="63">
        <f t="shared" si="6"/>
        <v>86.23</v>
      </c>
      <c r="O20" s="63">
        <f t="shared" si="7"/>
        <v>90.57</v>
      </c>
    </row>
    <row r="21" spans="1:15" ht="15" customHeight="1">
      <c r="A21" s="9" t="s">
        <v>165</v>
      </c>
      <c r="B21" s="10">
        <f t="shared" si="8"/>
        <v>0.1</v>
      </c>
      <c r="C21" s="10">
        <v>4</v>
      </c>
      <c r="D21" s="10" t="s">
        <v>25</v>
      </c>
      <c r="E21" s="13" t="s">
        <v>137</v>
      </c>
      <c r="F21" s="60" t="s">
        <v>166</v>
      </c>
      <c r="G21" s="82">
        <v>13.651999999999999</v>
      </c>
      <c r="H21" s="15">
        <f t="shared" si="0"/>
        <v>163.82</v>
      </c>
      <c r="I21" s="68">
        <f t="shared" si="1"/>
        <v>181.98</v>
      </c>
      <c r="J21" s="15">
        <f t="shared" si="2"/>
        <v>191.13</v>
      </c>
      <c r="K21" s="170">
        <v>9.9991942631536546E-2</v>
      </c>
      <c r="L21" s="63">
        <f t="shared" si="4"/>
        <v>157.03</v>
      </c>
      <c r="M21" s="63">
        <f t="shared" si="5"/>
        <v>109.21</v>
      </c>
      <c r="N21" s="63">
        <f t="shared" si="6"/>
        <v>121.32</v>
      </c>
      <c r="O21" s="63">
        <f t="shared" si="7"/>
        <v>127.42</v>
      </c>
    </row>
    <row r="22" spans="1:15" ht="15" customHeight="1">
      <c r="A22" s="9" t="s">
        <v>165</v>
      </c>
      <c r="B22" s="10">
        <f t="shared" si="8"/>
        <v>0.1</v>
      </c>
      <c r="C22" s="10">
        <v>4</v>
      </c>
      <c r="D22" s="10" t="s">
        <v>25</v>
      </c>
      <c r="E22" s="13" t="s">
        <v>137</v>
      </c>
      <c r="F22" s="60" t="s">
        <v>85</v>
      </c>
      <c r="G22" s="82">
        <v>12.648</v>
      </c>
      <c r="H22" s="15">
        <f t="shared" si="0"/>
        <v>151.78</v>
      </c>
      <c r="I22" s="68">
        <f t="shared" si="1"/>
        <v>168.6</v>
      </c>
      <c r="J22" s="15">
        <f t="shared" si="2"/>
        <v>177.07</v>
      </c>
      <c r="K22" s="170">
        <v>0.10001739432944867</v>
      </c>
      <c r="L22" s="63">
        <f t="shared" si="4"/>
        <v>145.49</v>
      </c>
      <c r="M22" s="63">
        <f t="shared" si="5"/>
        <v>101.19</v>
      </c>
      <c r="N22" s="63">
        <f t="shared" si="6"/>
        <v>112.4</v>
      </c>
      <c r="O22" s="63">
        <f t="shared" si="7"/>
        <v>118.05</v>
      </c>
    </row>
    <row r="23" spans="1:15" ht="15" customHeight="1">
      <c r="A23" s="9" t="s">
        <v>165</v>
      </c>
      <c r="B23" s="10">
        <f t="shared" si="8"/>
        <v>0.11</v>
      </c>
      <c r="C23" s="10">
        <v>4.5</v>
      </c>
      <c r="D23" s="10" t="s">
        <v>25</v>
      </c>
      <c r="E23" s="13" t="s">
        <v>137</v>
      </c>
      <c r="F23" s="60" t="s">
        <v>85</v>
      </c>
      <c r="G23" s="82">
        <v>13.182</v>
      </c>
      <c r="H23" s="15">
        <f t="shared" si="0"/>
        <v>158.18</v>
      </c>
      <c r="I23" s="68">
        <f t="shared" si="1"/>
        <v>175.72</v>
      </c>
      <c r="J23" s="15">
        <f t="shared" si="2"/>
        <v>184.55</v>
      </c>
      <c r="K23" s="170">
        <v>9.9966622162883878E-2</v>
      </c>
      <c r="L23" s="63">
        <f t="shared" si="4"/>
        <v>151.62</v>
      </c>
      <c r="M23" s="63">
        <f t="shared" si="5"/>
        <v>105.45</v>
      </c>
      <c r="N23" s="63">
        <f t="shared" si="6"/>
        <v>117.15</v>
      </c>
      <c r="O23" s="63">
        <f t="shared" si="7"/>
        <v>123.03</v>
      </c>
    </row>
    <row r="24" spans="1:15" ht="15" customHeight="1">
      <c r="A24" s="9" t="s">
        <v>165</v>
      </c>
      <c r="B24" s="10">
        <f t="shared" si="8"/>
        <v>0.11</v>
      </c>
      <c r="C24" s="10">
        <v>4.5</v>
      </c>
      <c r="D24" s="10" t="s">
        <v>25</v>
      </c>
      <c r="E24" s="13" t="s">
        <v>137</v>
      </c>
      <c r="F24" s="60" t="s">
        <v>84</v>
      </c>
      <c r="G24" s="82">
        <v>9.7010000000000005</v>
      </c>
      <c r="H24" s="15">
        <f t="shared" si="0"/>
        <v>116.41</v>
      </c>
      <c r="I24" s="68">
        <f t="shared" si="1"/>
        <v>129.31</v>
      </c>
      <c r="J24" s="15">
        <f t="shared" si="2"/>
        <v>135.81</v>
      </c>
      <c r="K24" s="170">
        <v>0.1000113391540991</v>
      </c>
      <c r="L24" s="63">
        <f t="shared" si="4"/>
        <v>111.58</v>
      </c>
      <c r="M24" s="63">
        <f t="shared" si="5"/>
        <v>77.61</v>
      </c>
      <c r="N24" s="63">
        <f t="shared" si="6"/>
        <v>86.21</v>
      </c>
      <c r="O24" s="63">
        <f t="shared" si="7"/>
        <v>90.54</v>
      </c>
    </row>
    <row r="25" spans="1:15" ht="15" customHeight="1">
      <c r="A25" s="9" t="s">
        <v>165</v>
      </c>
      <c r="B25" s="10">
        <f t="shared" si="8"/>
        <v>0.13</v>
      </c>
      <c r="C25" s="10">
        <v>5</v>
      </c>
      <c r="D25" s="10" t="s">
        <v>25</v>
      </c>
      <c r="E25" s="13" t="s">
        <v>137</v>
      </c>
      <c r="F25" s="60" t="s">
        <v>86</v>
      </c>
      <c r="G25" s="82">
        <v>12.37</v>
      </c>
      <c r="H25" s="15">
        <f t="shared" si="0"/>
        <v>148.44</v>
      </c>
      <c r="I25" s="68">
        <f t="shared" si="1"/>
        <v>164.89</v>
      </c>
      <c r="J25" s="15">
        <f t="shared" si="2"/>
        <v>173.18</v>
      </c>
      <c r="K25" s="170">
        <v>0.10004446420631385</v>
      </c>
      <c r="L25" s="63">
        <f t="shared" si="4"/>
        <v>142.29</v>
      </c>
      <c r="M25" s="63">
        <f t="shared" si="5"/>
        <v>98.96</v>
      </c>
      <c r="N25" s="63">
        <f t="shared" si="6"/>
        <v>109.93</v>
      </c>
      <c r="O25" s="63">
        <f t="shared" si="7"/>
        <v>115.45</v>
      </c>
    </row>
    <row r="26" spans="1:15" ht="15" customHeight="1">
      <c r="A26" s="9" t="s">
        <v>165</v>
      </c>
      <c r="B26" s="10">
        <f t="shared" si="8"/>
        <v>0.13</v>
      </c>
      <c r="C26" s="10">
        <v>5</v>
      </c>
      <c r="D26" s="10" t="s">
        <v>25</v>
      </c>
      <c r="E26" s="13" t="s">
        <v>137</v>
      </c>
      <c r="F26" s="60" t="s">
        <v>84</v>
      </c>
      <c r="G26" s="82">
        <v>9.7010000000000005</v>
      </c>
      <c r="H26" s="15">
        <f t="shared" si="0"/>
        <v>116.41</v>
      </c>
      <c r="I26" s="68">
        <f t="shared" si="1"/>
        <v>129.31</v>
      </c>
      <c r="J26" s="15">
        <f t="shared" si="2"/>
        <v>135.81</v>
      </c>
      <c r="K26" s="170">
        <v>0.1000113391540991</v>
      </c>
      <c r="L26" s="63">
        <f t="shared" si="4"/>
        <v>111.58</v>
      </c>
      <c r="M26" s="63">
        <f t="shared" si="5"/>
        <v>77.61</v>
      </c>
      <c r="N26" s="63">
        <f t="shared" si="6"/>
        <v>86.21</v>
      </c>
      <c r="O26" s="63">
        <f t="shared" si="7"/>
        <v>90.54</v>
      </c>
    </row>
    <row r="27" spans="1:15" ht="15" customHeight="1">
      <c r="A27" s="9" t="s">
        <v>165</v>
      </c>
      <c r="B27" s="10">
        <f t="shared" si="8"/>
        <v>0.13</v>
      </c>
      <c r="C27" s="10">
        <v>5</v>
      </c>
      <c r="D27" s="10" t="s">
        <v>25</v>
      </c>
      <c r="E27" s="13" t="s">
        <v>137</v>
      </c>
      <c r="F27" s="60" t="s">
        <v>117</v>
      </c>
      <c r="G27" s="82">
        <v>12.771000000000001</v>
      </c>
      <c r="H27" s="15">
        <f t="shared" si="0"/>
        <v>153.25</v>
      </c>
      <c r="I27" s="68">
        <f t="shared" si="1"/>
        <v>170.24</v>
      </c>
      <c r="J27" s="15">
        <f t="shared" si="2"/>
        <v>178.79</v>
      </c>
      <c r="K27" s="170">
        <v>0.10000000000000009</v>
      </c>
      <c r="L27" s="63">
        <f t="shared" si="4"/>
        <v>146.9</v>
      </c>
      <c r="M27" s="63">
        <f t="shared" si="5"/>
        <v>102.17</v>
      </c>
      <c r="N27" s="63">
        <f t="shared" si="6"/>
        <v>113.49</v>
      </c>
      <c r="O27" s="63">
        <f t="shared" si="7"/>
        <v>119.19</v>
      </c>
    </row>
    <row r="28" spans="1:15" ht="15" customHeight="1">
      <c r="A28" s="9" t="s">
        <v>165</v>
      </c>
      <c r="B28" s="10">
        <f t="shared" si="8"/>
        <v>0.15</v>
      </c>
      <c r="C28" s="10">
        <v>6</v>
      </c>
      <c r="D28" s="10" t="s">
        <v>25</v>
      </c>
      <c r="E28" s="13" t="s">
        <v>137</v>
      </c>
      <c r="F28" s="60" t="s">
        <v>86</v>
      </c>
      <c r="G28" s="82">
        <v>12.849</v>
      </c>
      <c r="H28" s="15">
        <f t="shared" si="0"/>
        <v>154.19</v>
      </c>
      <c r="I28" s="68">
        <f t="shared" si="1"/>
        <v>171.28</v>
      </c>
      <c r="J28" s="15">
        <f t="shared" si="2"/>
        <v>179.89</v>
      </c>
      <c r="K28" s="170">
        <v>9.9991439089119227E-2</v>
      </c>
      <c r="L28" s="63">
        <f t="shared" si="4"/>
        <v>147.80000000000001</v>
      </c>
      <c r="M28" s="63">
        <f t="shared" si="5"/>
        <v>102.79</v>
      </c>
      <c r="N28" s="63">
        <f t="shared" si="6"/>
        <v>114.19</v>
      </c>
      <c r="O28" s="63">
        <f t="shared" si="7"/>
        <v>119.93</v>
      </c>
    </row>
    <row r="29" spans="1:15" ht="15" customHeight="1">
      <c r="A29" s="9" t="s">
        <v>165</v>
      </c>
      <c r="B29" s="10">
        <f t="shared" si="8"/>
        <v>0.15</v>
      </c>
      <c r="C29" s="10">
        <v>6</v>
      </c>
      <c r="D29" s="10" t="s">
        <v>25</v>
      </c>
      <c r="E29" s="13" t="s">
        <v>137</v>
      </c>
      <c r="F29" s="60" t="s">
        <v>117</v>
      </c>
      <c r="G29" s="82">
        <v>13.206</v>
      </c>
      <c r="H29" s="15">
        <f t="shared" si="0"/>
        <v>158.47</v>
      </c>
      <c r="I29" s="68">
        <f t="shared" si="1"/>
        <v>176.04</v>
      </c>
      <c r="J29" s="15">
        <f t="shared" si="2"/>
        <v>184.88</v>
      </c>
      <c r="K29" s="170">
        <v>0.10004164931278625</v>
      </c>
      <c r="L29" s="63">
        <f t="shared" si="4"/>
        <v>151.9</v>
      </c>
      <c r="M29" s="63">
        <f t="shared" si="5"/>
        <v>105.65</v>
      </c>
      <c r="N29" s="63">
        <f t="shared" si="6"/>
        <v>117.36</v>
      </c>
      <c r="O29" s="63">
        <f t="shared" si="7"/>
        <v>123.25</v>
      </c>
    </row>
    <row r="30" spans="1:15" ht="15" customHeight="1">
      <c r="A30" s="9" t="s">
        <v>165</v>
      </c>
      <c r="B30" s="10">
        <f t="shared" si="8"/>
        <v>0.18</v>
      </c>
      <c r="C30" s="10">
        <v>7</v>
      </c>
      <c r="D30" s="10" t="s">
        <v>25</v>
      </c>
      <c r="E30" s="13" t="s">
        <v>137</v>
      </c>
      <c r="F30" s="60" t="s">
        <v>93</v>
      </c>
      <c r="G30" s="82">
        <v>10.215999999999999</v>
      </c>
      <c r="H30" s="15">
        <f t="shared" si="0"/>
        <v>122.59</v>
      </c>
      <c r="I30" s="68">
        <f t="shared" si="1"/>
        <v>136.18</v>
      </c>
      <c r="J30" s="15">
        <f t="shared" si="2"/>
        <v>143.02000000000001</v>
      </c>
      <c r="K30" s="170">
        <v>0.10003230321955403</v>
      </c>
      <c r="L30" s="63">
        <f t="shared" si="4"/>
        <v>117.51</v>
      </c>
      <c r="M30" s="63">
        <f t="shared" si="5"/>
        <v>81.73</v>
      </c>
      <c r="N30" s="63">
        <f t="shared" si="6"/>
        <v>90.79</v>
      </c>
      <c r="O30" s="63">
        <f t="shared" si="7"/>
        <v>95.35</v>
      </c>
    </row>
    <row r="31" spans="1:15" ht="15" customHeight="1">
      <c r="A31" s="9" t="s">
        <v>165</v>
      </c>
      <c r="B31" s="10">
        <f t="shared" si="8"/>
        <v>0.18</v>
      </c>
      <c r="C31" s="10">
        <v>7</v>
      </c>
      <c r="D31" s="10" t="s">
        <v>25</v>
      </c>
      <c r="E31" s="13" t="s">
        <v>137</v>
      </c>
      <c r="F31" s="60" t="s">
        <v>87</v>
      </c>
      <c r="G31" s="82">
        <v>13.590999999999999</v>
      </c>
      <c r="H31" s="15">
        <f t="shared" si="0"/>
        <v>163.09</v>
      </c>
      <c r="I31" s="68">
        <f t="shared" si="1"/>
        <v>181.17</v>
      </c>
      <c r="J31" s="15">
        <f t="shared" si="2"/>
        <v>190.27</v>
      </c>
      <c r="K31" s="170">
        <v>0.10004046944556855</v>
      </c>
      <c r="L31" s="63">
        <f t="shared" si="4"/>
        <v>156.33000000000001</v>
      </c>
      <c r="M31" s="63">
        <f t="shared" si="5"/>
        <v>108.73</v>
      </c>
      <c r="N31" s="63">
        <f t="shared" si="6"/>
        <v>120.78</v>
      </c>
      <c r="O31" s="63">
        <f t="shared" si="7"/>
        <v>126.85</v>
      </c>
    </row>
    <row r="32" spans="1:15" ht="15" customHeight="1">
      <c r="A32" s="9" t="s">
        <v>165</v>
      </c>
      <c r="B32" s="10">
        <f t="shared" si="8"/>
        <v>0.18</v>
      </c>
      <c r="C32" s="10">
        <v>7</v>
      </c>
      <c r="D32" s="10" t="s">
        <v>25</v>
      </c>
      <c r="E32" s="13" t="s">
        <v>137</v>
      </c>
      <c r="F32" s="60" t="s">
        <v>95</v>
      </c>
      <c r="G32" s="82">
        <v>13.590999999999999</v>
      </c>
      <c r="H32" s="15">
        <f t="shared" si="0"/>
        <v>163.09</v>
      </c>
      <c r="I32" s="68">
        <f t="shared" si="1"/>
        <v>181.17</v>
      </c>
      <c r="J32" s="15">
        <f t="shared" si="2"/>
        <v>190.27</v>
      </c>
      <c r="K32" s="170">
        <v>0.10004046944556855</v>
      </c>
      <c r="L32" s="63">
        <f t="shared" si="4"/>
        <v>156.33000000000001</v>
      </c>
      <c r="M32" s="63">
        <f t="shared" si="5"/>
        <v>108.73</v>
      </c>
      <c r="N32" s="63">
        <f t="shared" si="6"/>
        <v>120.78</v>
      </c>
      <c r="O32" s="63">
        <f t="shared" si="7"/>
        <v>126.85</v>
      </c>
    </row>
    <row r="33" spans="1:15" ht="15" customHeight="1">
      <c r="A33" s="9" t="s">
        <v>165</v>
      </c>
      <c r="B33" s="10">
        <f t="shared" si="8"/>
        <v>0.2</v>
      </c>
      <c r="C33" s="10">
        <v>8</v>
      </c>
      <c r="D33" s="10" t="s">
        <v>25</v>
      </c>
      <c r="E33" s="13" t="s">
        <v>137</v>
      </c>
      <c r="F33" s="60" t="s">
        <v>95</v>
      </c>
      <c r="G33" s="82">
        <v>13.590999999999999</v>
      </c>
      <c r="H33" s="15">
        <f t="shared" si="0"/>
        <v>163.09</v>
      </c>
      <c r="I33" s="68">
        <f t="shared" si="1"/>
        <v>181.17</v>
      </c>
      <c r="J33" s="15">
        <f t="shared" si="2"/>
        <v>190.27</v>
      </c>
      <c r="K33" s="170">
        <v>0.10004046944556855</v>
      </c>
      <c r="L33" s="63">
        <f t="shared" si="4"/>
        <v>156.33000000000001</v>
      </c>
      <c r="M33" s="63">
        <f t="shared" si="5"/>
        <v>108.73</v>
      </c>
      <c r="N33" s="63">
        <f t="shared" si="6"/>
        <v>120.78</v>
      </c>
      <c r="O33" s="63">
        <f t="shared" si="7"/>
        <v>126.85</v>
      </c>
    </row>
    <row r="34" spans="1:15" ht="15" customHeight="1">
      <c r="A34" s="9" t="s">
        <v>165</v>
      </c>
      <c r="B34" s="10">
        <f t="shared" si="8"/>
        <v>0.2</v>
      </c>
      <c r="C34" s="10">
        <v>8</v>
      </c>
      <c r="D34" s="10" t="s">
        <v>25</v>
      </c>
      <c r="E34" s="13" t="s">
        <v>137</v>
      </c>
      <c r="F34" s="60" t="s">
        <v>87</v>
      </c>
      <c r="G34" s="82">
        <v>13.590999999999999</v>
      </c>
      <c r="H34" s="15">
        <f t="shared" si="0"/>
        <v>163.09</v>
      </c>
      <c r="I34" s="68">
        <f t="shared" si="1"/>
        <v>181.17</v>
      </c>
      <c r="J34" s="15">
        <f t="shared" si="2"/>
        <v>190.27</v>
      </c>
      <c r="K34" s="170">
        <v>0.10004046944556855</v>
      </c>
      <c r="L34" s="63">
        <f t="shared" si="4"/>
        <v>156.33000000000001</v>
      </c>
      <c r="M34" s="63">
        <f t="shared" si="5"/>
        <v>108.73</v>
      </c>
      <c r="N34" s="63">
        <f t="shared" si="6"/>
        <v>120.78</v>
      </c>
      <c r="O34" s="63">
        <f t="shared" si="7"/>
        <v>126.85</v>
      </c>
    </row>
    <row r="35" spans="1:15" ht="15" customHeight="1">
      <c r="A35" s="9" t="s">
        <v>165</v>
      </c>
      <c r="B35" s="10">
        <f t="shared" si="8"/>
        <v>0.2</v>
      </c>
      <c r="C35" s="10">
        <v>8</v>
      </c>
      <c r="D35" s="10" t="s">
        <v>25</v>
      </c>
      <c r="E35" s="13" t="s">
        <v>137</v>
      </c>
      <c r="F35" s="60" t="s">
        <v>89</v>
      </c>
      <c r="G35" s="82">
        <v>12.552</v>
      </c>
      <c r="H35" s="15">
        <f t="shared" si="0"/>
        <v>150.62</v>
      </c>
      <c r="I35" s="68">
        <f t="shared" si="1"/>
        <v>167.32</v>
      </c>
      <c r="J35" s="15">
        <f t="shared" si="2"/>
        <v>175.73</v>
      </c>
      <c r="K35" s="170">
        <v>9.9991236526159044E-2</v>
      </c>
      <c r="L35" s="63">
        <f t="shared" si="4"/>
        <v>144.38</v>
      </c>
      <c r="M35" s="63">
        <f t="shared" si="5"/>
        <v>100.41</v>
      </c>
      <c r="N35" s="63">
        <f t="shared" si="6"/>
        <v>111.55</v>
      </c>
      <c r="O35" s="63">
        <f t="shared" si="7"/>
        <v>117.15</v>
      </c>
    </row>
    <row r="36" spans="1:15" ht="15" customHeight="1">
      <c r="A36" s="9" t="s">
        <v>165</v>
      </c>
      <c r="B36" s="10">
        <f t="shared" si="8"/>
        <v>0.23</v>
      </c>
      <c r="C36" s="10">
        <v>9</v>
      </c>
      <c r="D36" s="10" t="s">
        <v>25</v>
      </c>
      <c r="E36" s="13" t="s">
        <v>137</v>
      </c>
      <c r="F36" s="60" t="s">
        <v>89</v>
      </c>
      <c r="G36" s="82">
        <v>13.231999999999999</v>
      </c>
      <c r="H36" s="15">
        <f t="shared" si="0"/>
        <v>158.78</v>
      </c>
      <c r="I36" s="68">
        <f t="shared" si="1"/>
        <v>176.38</v>
      </c>
      <c r="J36" s="15">
        <f t="shared" si="2"/>
        <v>185.25</v>
      </c>
      <c r="K36" s="170">
        <v>0.10000831324299608</v>
      </c>
      <c r="L36" s="63">
        <f t="shared" si="4"/>
        <v>152.19999999999999</v>
      </c>
      <c r="M36" s="63">
        <f t="shared" si="5"/>
        <v>105.85</v>
      </c>
      <c r="N36" s="63">
        <f t="shared" si="6"/>
        <v>117.59</v>
      </c>
      <c r="O36" s="63">
        <f t="shared" si="7"/>
        <v>123.5</v>
      </c>
    </row>
    <row r="37" spans="1:15" ht="15" customHeight="1">
      <c r="A37" s="9" t="s">
        <v>165</v>
      </c>
      <c r="B37" s="10">
        <f t="shared" si="8"/>
        <v>0.25</v>
      </c>
      <c r="C37" s="10">
        <v>10</v>
      </c>
      <c r="D37" s="10" t="s">
        <v>25</v>
      </c>
      <c r="E37" s="13" t="s">
        <v>137</v>
      </c>
      <c r="F37" s="60" t="s">
        <v>89</v>
      </c>
      <c r="G37" s="82">
        <v>13.231999999999999</v>
      </c>
      <c r="H37" s="15">
        <f t="shared" si="0"/>
        <v>158.78</v>
      </c>
      <c r="I37" s="68">
        <f t="shared" si="1"/>
        <v>176.38</v>
      </c>
      <c r="J37" s="15">
        <f t="shared" si="2"/>
        <v>185.25</v>
      </c>
      <c r="K37" s="170">
        <v>0.10000831324299608</v>
      </c>
      <c r="L37" s="63">
        <f t="shared" si="4"/>
        <v>152.19999999999999</v>
      </c>
      <c r="M37" s="63">
        <f t="shared" si="5"/>
        <v>105.85</v>
      </c>
      <c r="N37" s="63">
        <f t="shared" si="6"/>
        <v>117.59</v>
      </c>
      <c r="O37" s="63">
        <f t="shared" si="7"/>
        <v>123.5</v>
      </c>
    </row>
    <row r="38" spans="1:15" ht="15" customHeight="1">
      <c r="A38" s="9" t="s">
        <v>165</v>
      </c>
      <c r="B38" s="10">
        <f t="shared" si="8"/>
        <v>0.3</v>
      </c>
      <c r="C38" s="10">
        <v>12</v>
      </c>
      <c r="D38" s="10" t="s">
        <v>25</v>
      </c>
      <c r="E38" s="13" t="s">
        <v>137</v>
      </c>
      <c r="F38" s="60" t="s">
        <v>167</v>
      </c>
      <c r="G38" s="82">
        <v>15.813000000000001</v>
      </c>
      <c r="H38" s="15">
        <f t="shared" si="0"/>
        <v>189.76</v>
      </c>
      <c r="I38" s="68">
        <f t="shared" si="1"/>
        <v>210.79</v>
      </c>
      <c r="J38" s="15">
        <f t="shared" si="2"/>
        <v>221.38</v>
      </c>
      <c r="K38" s="170">
        <v>0.1000347826086958</v>
      </c>
      <c r="L38" s="63">
        <f t="shared" si="4"/>
        <v>181.89</v>
      </c>
      <c r="M38" s="63">
        <f t="shared" si="5"/>
        <v>126.51</v>
      </c>
      <c r="N38" s="63">
        <f t="shared" si="6"/>
        <v>140.53</v>
      </c>
      <c r="O38" s="63">
        <f t="shared" si="7"/>
        <v>147.59</v>
      </c>
    </row>
    <row r="39" spans="1:15" ht="15" customHeight="1">
      <c r="A39" s="9" t="s">
        <v>165</v>
      </c>
      <c r="B39" s="10">
        <f t="shared" si="8"/>
        <v>0.3</v>
      </c>
      <c r="C39" s="10">
        <v>12</v>
      </c>
      <c r="D39" s="10" t="s">
        <v>25</v>
      </c>
      <c r="E39" s="13" t="s">
        <v>137</v>
      </c>
      <c r="F39" s="60" t="s">
        <v>90</v>
      </c>
      <c r="G39" s="82">
        <v>15.497</v>
      </c>
      <c r="H39" s="15">
        <f t="shared" si="0"/>
        <v>185.96</v>
      </c>
      <c r="I39" s="68">
        <f t="shared" si="1"/>
        <v>206.58</v>
      </c>
      <c r="J39" s="15">
        <f t="shared" si="2"/>
        <v>216.96</v>
      </c>
      <c r="K39" s="170">
        <v>0.10001419647927312</v>
      </c>
      <c r="L39" s="63">
        <f t="shared" si="4"/>
        <v>178.25</v>
      </c>
      <c r="M39" s="63">
        <f t="shared" si="5"/>
        <v>123.97</v>
      </c>
      <c r="N39" s="63">
        <f t="shared" si="6"/>
        <v>137.72</v>
      </c>
      <c r="O39" s="63">
        <f t="shared" si="7"/>
        <v>144.63999999999999</v>
      </c>
    </row>
    <row r="40" spans="1:15" ht="15" customHeight="1">
      <c r="A40" s="9" t="s">
        <v>165</v>
      </c>
      <c r="B40" s="10">
        <f t="shared" si="8"/>
        <v>0.38</v>
      </c>
      <c r="C40" s="10">
        <v>15</v>
      </c>
      <c r="D40" s="10" t="s">
        <v>25</v>
      </c>
      <c r="E40" s="13" t="s">
        <v>137</v>
      </c>
      <c r="F40" s="60" t="s">
        <v>90</v>
      </c>
      <c r="G40" s="82">
        <v>16.323</v>
      </c>
      <c r="H40" s="15">
        <f t="shared" si="0"/>
        <v>195.88</v>
      </c>
      <c r="I40" s="68">
        <f t="shared" si="1"/>
        <v>217.59</v>
      </c>
      <c r="J40" s="15">
        <f t="shared" si="2"/>
        <v>228.52</v>
      </c>
      <c r="K40" s="170">
        <v>0.10000673899858481</v>
      </c>
      <c r="L40" s="63">
        <f t="shared" si="4"/>
        <v>187.76</v>
      </c>
      <c r="M40" s="63">
        <f t="shared" si="5"/>
        <v>130.59</v>
      </c>
      <c r="N40" s="63">
        <f t="shared" si="6"/>
        <v>145.06</v>
      </c>
      <c r="O40" s="63">
        <f t="shared" si="7"/>
        <v>152.35</v>
      </c>
    </row>
    <row r="41" spans="1:15" ht="15" customHeight="1">
      <c r="A41" s="9" t="s">
        <v>165</v>
      </c>
      <c r="B41" s="10">
        <f t="shared" si="8"/>
        <v>0.51</v>
      </c>
      <c r="C41" s="10">
        <v>20</v>
      </c>
      <c r="D41" s="10" t="s">
        <v>25</v>
      </c>
      <c r="E41" s="13" t="s">
        <v>137</v>
      </c>
      <c r="F41" s="60" t="s">
        <v>168</v>
      </c>
      <c r="G41" s="82">
        <v>22.684999999999999</v>
      </c>
      <c r="H41" s="15">
        <f t="shared" si="0"/>
        <v>272.22000000000003</v>
      </c>
      <c r="I41" s="68">
        <f t="shared" si="1"/>
        <v>302.39</v>
      </c>
      <c r="J41" s="15">
        <f t="shared" si="2"/>
        <v>317.58999999999997</v>
      </c>
      <c r="K41" s="170">
        <v>9.9985453134849411E-2</v>
      </c>
      <c r="L41" s="63">
        <f t="shared" si="4"/>
        <v>260.93</v>
      </c>
      <c r="M41" s="63">
        <f t="shared" si="5"/>
        <v>181.48</v>
      </c>
      <c r="N41" s="63">
        <f t="shared" si="6"/>
        <v>201.59</v>
      </c>
      <c r="O41" s="63">
        <f t="shared" si="7"/>
        <v>211.73</v>
      </c>
    </row>
    <row r="42" spans="1:15" ht="15" customHeight="1">
      <c r="A42" s="9" t="s">
        <v>165</v>
      </c>
      <c r="B42" s="10">
        <f t="shared" si="8"/>
        <v>0.51</v>
      </c>
      <c r="C42" s="10">
        <v>20</v>
      </c>
      <c r="D42" s="10" t="s">
        <v>25</v>
      </c>
      <c r="E42" s="13" t="s">
        <v>137</v>
      </c>
      <c r="F42" s="60" t="s">
        <v>169</v>
      </c>
      <c r="G42" s="82">
        <v>22.684999999999999</v>
      </c>
      <c r="H42" s="15">
        <f t="shared" si="0"/>
        <v>272.22000000000003</v>
      </c>
      <c r="I42" s="68">
        <f t="shared" si="1"/>
        <v>302.39</v>
      </c>
      <c r="J42" s="15">
        <f t="shared" si="2"/>
        <v>317.58999999999997</v>
      </c>
      <c r="K42" s="170">
        <v>9.9985453134849411E-2</v>
      </c>
      <c r="L42" s="63">
        <f t="shared" si="4"/>
        <v>260.93</v>
      </c>
      <c r="M42" s="63">
        <f t="shared" si="5"/>
        <v>181.48</v>
      </c>
      <c r="N42" s="63">
        <f t="shared" si="6"/>
        <v>201.59</v>
      </c>
      <c r="O42" s="63">
        <f t="shared" si="7"/>
        <v>211.73</v>
      </c>
    </row>
    <row r="43" spans="1:15" ht="15" customHeight="1">
      <c r="A43" s="9" t="s">
        <v>165</v>
      </c>
      <c r="B43" s="10">
        <f t="shared" si="8"/>
        <v>0.51</v>
      </c>
      <c r="C43" s="10">
        <v>20</v>
      </c>
      <c r="D43" s="10" t="s">
        <v>25</v>
      </c>
      <c r="E43" s="13" t="s">
        <v>137</v>
      </c>
      <c r="F43" s="60" t="s">
        <v>91</v>
      </c>
      <c r="G43" s="82">
        <v>21.826000000000001</v>
      </c>
      <c r="H43" s="15">
        <f t="shared" si="0"/>
        <v>261.91000000000003</v>
      </c>
      <c r="I43" s="68">
        <f t="shared" si="1"/>
        <v>290.94</v>
      </c>
      <c r="J43" s="15">
        <f t="shared" si="2"/>
        <v>305.56</v>
      </c>
      <c r="K43" s="170">
        <v>9.9989920370930463E-2</v>
      </c>
      <c r="L43" s="63">
        <f t="shared" si="4"/>
        <v>251.05</v>
      </c>
      <c r="M43" s="63">
        <f t="shared" si="5"/>
        <v>174.61</v>
      </c>
      <c r="N43" s="63">
        <f t="shared" si="6"/>
        <v>193.96</v>
      </c>
      <c r="O43" s="63">
        <f t="shared" si="7"/>
        <v>203.71</v>
      </c>
    </row>
    <row r="44" spans="1:15" ht="15" customHeight="1">
      <c r="A44" s="9" t="s">
        <v>165</v>
      </c>
      <c r="B44" s="10">
        <f t="shared" si="8"/>
        <v>0.64</v>
      </c>
      <c r="C44" s="10">
        <v>25</v>
      </c>
      <c r="D44" s="10" t="s">
        <v>25</v>
      </c>
      <c r="E44" s="13" t="s">
        <v>137</v>
      </c>
      <c r="F44" s="60" t="s">
        <v>88</v>
      </c>
      <c r="G44" s="82">
        <v>24.172999999999998</v>
      </c>
      <c r="H44" s="15">
        <f t="shared" si="0"/>
        <v>290.08</v>
      </c>
      <c r="I44" s="68">
        <f t="shared" si="1"/>
        <v>322.23</v>
      </c>
      <c r="J44" s="15">
        <f t="shared" si="2"/>
        <v>338.42</v>
      </c>
      <c r="K44" s="170">
        <v>0.10002275312855513</v>
      </c>
      <c r="L44" s="63">
        <f t="shared" si="4"/>
        <v>278.05</v>
      </c>
      <c r="M44" s="63">
        <f t="shared" si="5"/>
        <v>193.39</v>
      </c>
      <c r="N44" s="63">
        <f t="shared" si="6"/>
        <v>214.82</v>
      </c>
      <c r="O44" s="63">
        <f t="shared" si="7"/>
        <v>225.61</v>
      </c>
    </row>
    <row r="45" spans="1:15" ht="15" customHeight="1">
      <c r="A45" s="9" t="s">
        <v>165</v>
      </c>
      <c r="B45" s="10">
        <f t="shared" si="8"/>
        <v>0.71</v>
      </c>
      <c r="C45" s="10">
        <v>28</v>
      </c>
      <c r="D45" s="10" t="s">
        <v>25</v>
      </c>
      <c r="E45" s="13" t="s">
        <v>137</v>
      </c>
      <c r="F45" s="60" t="s">
        <v>131</v>
      </c>
      <c r="G45" s="82">
        <v>27.756</v>
      </c>
      <c r="H45" s="15">
        <f t="shared" si="0"/>
        <v>333.07</v>
      </c>
      <c r="I45" s="68">
        <f t="shared" si="1"/>
        <v>369.99</v>
      </c>
      <c r="J45" s="15">
        <f t="shared" si="2"/>
        <v>388.58</v>
      </c>
      <c r="K45" s="170">
        <v>9.9988110807276209E-2</v>
      </c>
      <c r="L45" s="63">
        <f t="shared" si="4"/>
        <v>319.27</v>
      </c>
      <c r="M45" s="63">
        <f t="shared" si="5"/>
        <v>222.05</v>
      </c>
      <c r="N45" s="63">
        <f t="shared" si="6"/>
        <v>246.66</v>
      </c>
      <c r="O45" s="63">
        <f t="shared" si="7"/>
        <v>259.05</v>
      </c>
    </row>
    <row r="46" spans="1:15" ht="15" customHeight="1">
      <c r="A46" s="9" t="s">
        <v>165</v>
      </c>
      <c r="B46" s="10">
        <f t="shared" si="8"/>
        <v>0.91</v>
      </c>
      <c r="C46" s="10">
        <v>36</v>
      </c>
      <c r="D46" s="10" t="s">
        <v>25</v>
      </c>
      <c r="E46" s="13" t="s">
        <v>137</v>
      </c>
      <c r="F46" s="60" t="s">
        <v>133</v>
      </c>
      <c r="G46" s="82">
        <v>33.226999999999997</v>
      </c>
      <c r="H46" s="15">
        <f t="shared" si="0"/>
        <v>398.72</v>
      </c>
      <c r="I46" s="68">
        <f t="shared" si="1"/>
        <v>442.92</v>
      </c>
      <c r="J46" s="15">
        <f t="shared" si="2"/>
        <v>465.18</v>
      </c>
      <c r="K46" s="170">
        <v>0.10001324240217158</v>
      </c>
      <c r="L46" s="63">
        <f t="shared" si="4"/>
        <v>382.19</v>
      </c>
      <c r="M46" s="63">
        <f t="shared" si="5"/>
        <v>265.81</v>
      </c>
      <c r="N46" s="63">
        <f t="shared" si="6"/>
        <v>295.27999999999997</v>
      </c>
      <c r="O46" s="63">
        <f t="shared" si="7"/>
        <v>310.12</v>
      </c>
    </row>
    <row r="47" spans="1:15" ht="15" customHeight="1">
      <c r="A47" s="9" t="s">
        <v>165</v>
      </c>
      <c r="B47" s="10">
        <f t="shared" si="8"/>
        <v>0.99</v>
      </c>
      <c r="C47" s="10">
        <v>39</v>
      </c>
      <c r="D47" s="10" t="s">
        <v>25</v>
      </c>
      <c r="E47" s="13" t="s">
        <v>137</v>
      </c>
      <c r="F47" s="60" t="s">
        <v>84</v>
      </c>
      <c r="G47" s="82">
        <v>36.134</v>
      </c>
      <c r="H47" s="15">
        <f t="shared" si="0"/>
        <v>433.61</v>
      </c>
      <c r="I47" s="68">
        <f t="shared" si="1"/>
        <v>481.67</v>
      </c>
      <c r="J47" s="15">
        <f t="shared" si="2"/>
        <v>505.88</v>
      </c>
      <c r="K47" s="170">
        <v>0.10000304423270134</v>
      </c>
      <c r="L47" s="63">
        <f t="shared" si="4"/>
        <v>415.63</v>
      </c>
      <c r="M47" s="63">
        <f t="shared" si="5"/>
        <v>289.07</v>
      </c>
      <c r="N47" s="63">
        <f t="shared" si="6"/>
        <v>321.11</v>
      </c>
      <c r="O47" s="63">
        <f t="shared" si="7"/>
        <v>337.25</v>
      </c>
    </row>
    <row r="48" spans="1:15" ht="15" customHeight="1">
      <c r="A48" s="9" t="s">
        <v>165</v>
      </c>
      <c r="B48" s="10">
        <f t="shared" si="8"/>
        <v>1.19</v>
      </c>
      <c r="C48" s="10">
        <v>47</v>
      </c>
      <c r="D48" s="10" t="s">
        <v>25</v>
      </c>
      <c r="E48" s="13" t="s">
        <v>137</v>
      </c>
      <c r="F48" s="60" t="s">
        <v>84</v>
      </c>
      <c r="G48" s="82">
        <v>42.363999999999997</v>
      </c>
      <c r="H48" s="15">
        <f t="shared" si="0"/>
        <v>508.37</v>
      </c>
      <c r="I48" s="68">
        <f t="shared" si="1"/>
        <v>564.71</v>
      </c>
      <c r="J48" s="15">
        <f t="shared" si="2"/>
        <v>593.1</v>
      </c>
      <c r="K48" s="170">
        <v>9.9992210422454653E-2</v>
      </c>
      <c r="L48" s="63">
        <f t="shared" si="4"/>
        <v>487.29</v>
      </c>
      <c r="M48" s="63">
        <f t="shared" si="5"/>
        <v>338.91</v>
      </c>
      <c r="N48" s="63">
        <f t="shared" si="6"/>
        <v>376.47</v>
      </c>
      <c r="O48" s="63">
        <f t="shared" si="7"/>
        <v>395.4</v>
      </c>
    </row>
    <row r="49" spans="1:15" ht="15" customHeight="1">
      <c r="A49" s="9" t="s">
        <v>165</v>
      </c>
      <c r="B49" s="10">
        <f>ROUND(C49*0.0254,3)</f>
        <v>7.5999999999999998E-2</v>
      </c>
      <c r="C49" s="10">
        <v>3</v>
      </c>
      <c r="D49" s="10" t="s">
        <v>28</v>
      </c>
      <c r="E49" s="13" t="s">
        <v>137</v>
      </c>
      <c r="F49" s="32" t="s">
        <v>81</v>
      </c>
      <c r="G49" s="82">
        <v>12.769</v>
      </c>
      <c r="H49" s="15">
        <f t="shared" si="0"/>
        <v>153.22999999999999</v>
      </c>
      <c r="I49" s="68">
        <f t="shared" si="1"/>
        <v>170.21</v>
      </c>
      <c r="J49" s="15">
        <f t="shared" si="2"/>
        <v>178.77</v>
      </c>
      <c r="K49" s="170">
        <v>0.10001722949689862</v>
      </c>
      <c r="L49" s="63">
        <f t="shared" si="4"/>
        <v>146.88</v>
      </c>
      <c r="M49" s="63">
        <f t="shared" si="5"/>
        <v>102.15</v>
      </c>
      <c r="N49" s="63">
        <f t="shared" si="6"/>
        <v>113.47</v>
      </c>
      <c r="O49" s="63">
        <f t="shared" si="7"/>
        <v>119.18</v>
      </c>
    </row>
    <row r="50" spans="1:15" ht="15" customHeight="1">
      <c r="A50" s="9" t="s">
        <v>165</v>
      </c>
      <c r="B50" s="10">
        <f t="shared" ref="B50:B53" si="9">ROUND(C50*0.0254,3)</f>
        <v>7.5999999999999998E-2</v>
      </c>
      <c r="C50" s="10">
        <v>3</v>
      </c>
      <c r="D50" s="10" t="s">
        <v>28</v>
      </c>
      <c r="E50" s="13" t="s">
        <v>137</v>
      </c>
      <c r="F50" s="32" t="s">
        <v>122</v>
      </c>
      <c r="G50" s="82">
        <v>13.260999999999999</v>
      </c>
      <c r="H50" s="15">
        <f t="shared" si="0"/>
        <v>159.13</v>
      </c>
      <c r="I50" s="68">
        <f t="shared" si="1"/>
        <v>176.77</v>
      </c>
      <c r="J50" s="15">
        <f t="shared" si="2"/>
        <v>185.65</v>
      </c>
      <c r="K50" s="170">
        <v>0.10004147656574025</v>
      </c>
      <c r="L50" s="63">
        <f t="shared" si="4"/>
        <v>152.53</v>
      </c>
      <c r="M50" s="63">
        <f t="shared" si="5"/>
        <v>106.09</v>
      </c>
      <c r="N50" s="63">
        <f t="shared" si="6"/>
        <v>117.85</v>
      </c>
      <c r="O50" s="63">
        <f t="shared" si="7"/>
        <v>123.77</v>
      </c>
    </row>
    <row r="51" spans="1:15" ht="15" customHeight="1">
      <c r="A51" s="9" t="s">
        <v>165</v>
      </c>
      <c r="B51" s="10">
        <f t="shared" si="9"/>
        <v>8.8999999999999996E-2</v>
      </c>
      <c r="C51" s="10">
        <v>3.5</v>
      </c>
      <c r="D51" s="10" t="s">
        <v>28</v>
      </c>
      <c r="E51" s="13" t="s">
        <v>137</v>
      </c>
      <c r="F51" s="32" t="s">
        <v>122</v>
      </c>
      <c r="G51" s="82">
        <v>13.260999999999999</v>
      </c>
      <c r="H51" s="15">
        <f t="shared" si="0"/>
        <v>159.13</v>
      </c>
      <c r="I51" s="68">
        <f t="shared" si="1"/>
        <v>176.77</v>
      </c>
      <c r="J51" s="15">
        <f t="shared" si="2"/>
        <v>185.65</v>
      </c>
      <c r="K51" s="170">
        <v>0.10004147656574025</v>
      </c>
      <c r="L51" s="63">
        <f t="shared" si="4"/>
        <v>152.53</v>
      </c>
      <c r="M51" s="63">
        <f t="shared" si="5"/>
        <v>106.09</v>
      </c>
      <c r="N51" s="63">
        <f t="shared" si="6"/>
        <v>117.85</v>
      </c>
      <c r="O51" s="63">
        <f t="shared" si="7"/>
        <v>123.77</v>
      </c>
    </row>
    <row r="52" spans="1:15" ht="15" customHeight="1">
      <c r="A52" s="9" t="s">
        <v>165</v>
      </c>
      <c r="B52" s="10">
        <f t="shared" si="9"/>
        <v>8.8999999999999996E-2</v>
      </c>
      <c r="C52" s="10">
        <v>3.5</v>
      </c>
      <c r="D52" s="10" t="s">
        <v>28</v>
      </c>
      <c r="E52" s="13" t="s">
        <v>137</v>
      </c>
      <c r="F52" s="32" t="s">
        <v>83</v>
      </c>
      <c r="G52" s="82">
        <v>13.260999999999999</v>
      </c>
      <c r="H52" s="15">
        <f t="shared" si="0"/>
        <v>159.13</v>
      </c>
      <c r="I52" s="68">
        <f t="shared" si="1"/>
        <v>176.77</v>
      </c>
      <c r="J52" s="15">
        <f t="shared" si="2"/>
        <v>185.65</v>
      </c>
      <c r="K52" s="170">
        <v>0.10004147656574025</v>
      </c>
      <c r="L52" s="63">
        <f t="shared" si="4"/>
        <v>152.53</v>
      </c>
      <c r="M52" s="63">
        <f t="shared" si="5"/>
        <v>106.09</v>
      </c>
      <c r="N52" s="63">
        <f t="shared" si="6"/>
        <v>117.85</v>
      </c>
      <c r="O52" s="63">
        <f t="shared" si="7"/>
        <v>123.77</v>
      </c>
    </row>
    <row r="53" spans="1:15" ht="15" customHeight="1">
      <c r="A53" s="9" t="s">
        <v>165</v>
      </c>
      <c r="B53" s="10">
        <f t="shared" si="9"/>
        <v>8.8999999999999996E-2</v>
      </c>
      <c r="C53" s="10">
        <v>3.5</v>
      </c>
      <c r="D53" s="10" t="s">
        <v>28</v>
      </c>
      <c r="E53" s="13" t="s">
        <v>137</v>
      </c>
      <c r="F53" s="32" t="s">
        <v>92</v>
      </c>
      <c r="G53" s="82">
        <v>13.260999999999999</v>
      </c>
      <c r="H53" s="15">
        <f t="shared" si="0"/>
        <v>159.13</v>
      </c>
      <c r="I53" s="68">
        <f t="shared" si="1"/>
        <v>176.77</v>
      </c>
      <c r="J53" s="15">
        <f t="shared" si="2"/>
        <v>185.65</v>
      </c>
      <c r="K53" s="170">
        <v>0.10004147656574025</v>
      </c>
      <c r="L53" s="63">
        <f t="shared" si="4"/>
        <v>152.53</v>
      </c>
      <c r="M53" s="63">
        <f t="shared" si="5"/>
        <v>106.09</v>
      </c>
      <c r="N53" s="63">
        <f t="shared" si="6"/>
        <v>117.85</v>
      </c>
      <c r="O53" s="63">
        <f t="shared" si="7"/>
        <v>123.77</v>
      </c>
    </row>
    <row r="54" spans="1:15" ht="15" customHeight="1">
      <c r="A54" s="9" t="s">
        <v>165</v>
      </c>
      <c r="B54" s="10">
        <f t="shared" ref="B54" si="10">ROUND(C54*0.0254,2)</f>
        <v>0.1</v>
      </c>
      <c r="C54" s="10">
        <v>4</v>
      </c>
      <c r="D54" s="10" t="s">
        <v>28</v>
      </c>
      <c r="E54" s="13" t="s">
        <v>137</v>
      </c>
      <c r="F54" s="32" t="s">
        <v>92</v>
      </c>
      <c r="G54" s="82">
        <v>12.827</v>
      </c>
      <c r="H54" s="15">
        <f t="shared" si="0"/>
        <v>153.91999999999999</v>
      </c>
      <c r="I54" s="68">
        <f t="shared" si="1"/>
        <v>170.98</v>
      </c>
      <c r="J54" s="15">
        <f t="shared" si="2"/>
        <v>179.58</v>
      </c>
      <c r="K54" s="170">
        <v>9.9991424406140172E-2</v>
      </c>
      <c r="L54" s="63">
        <f t="shared" si="4"/>
        <v>147.54</v>
      </c>
      <c r="M54" s="63">
        <f t="shared" si="5"/>
        <v>102.61</v>
      </c>
      <c r="N54" s="63">
        <f t="shared" si="6"/>
        <v>113.99</v>
      </c>
      <c r="O54" s="63">
        <f t="shared" si="7"/>
        <v>119.72</v>
      </c>
    </row>
    <row r="55" spans="1:15" ht="15" customHeight="1">
      <c r="A55" s="9" t="s">
        <v>165</v>
      </c>
      <c r="B55" s="10">
        <f t="shared" si="8"/>
        <v>0.1</v>
      </c>
      <c r="C55" s="10">
        <v>4</v>
      </c>
      <c r="D55" s="10" t="s">
        <v>28</v>
      </c>
      <c r="E55" s="13" t="s">
        <v>137</v>
      </c>
      <c r="F55" s="32" t="s">
        <v>83</v>
      </c>
      <c r="G55" s="82">
        <v>12.827</v>
      </c>
      <c r="H55" s="15">
        <f t="shared" si="0"/>
        <v>153.91999999999999</v>
      </c>
      <c r="I55" s="68">
        <f t="shared" si="1"/>
        <v>170.98</v>
      </c>
      <c r="J55" s="15">
        <f t="shared" si="2"/>
        <v>179.58</v>
      </c>
      <c r="K55" s="170">
        <v>9.9991424406140172E-2</v>
      </c>
      <c r="L55" s="63">
        <f t="shared" si="4"/>
        <v>147.54</v>
      </c>
      <c r="M55" s="63">
        <f t="shared" si="5"/>
        <v>102.61</v>
      </c>
      <c r="N55" s="63">
        <f t="shared" si="6"/>
        <v>113.99</v>
      </c>
      <c r="O55" s="63">
        <f t="shared" si="7"/>
        <v>119.72</v>
      </c>
    </row>
    <row r="56" spans="1:15" ht="15" customHeight="1">
      <c r="A56" s="9" t="s">
        <v>165</v>
      </c>
      <c r="B56" s="10">
        <f t="shared" si="8"/>
        <v>0.1</v>
      </c>
      <c r="C56" s="10">
        <v>4</v>
      </c>
      <c r="D56" s="10" t="s">
        <v>28</v>
      </c>
      <c r="E56" s="13" t="s">
        <v>137</v>
      </c>
      <c r="F56" s="32" t="s">
        <v>166</v>
      </c>
      <c r="G56" s="82">
        <v>15.831</v>
      </c>
      <c r="H56" s="15">
        <f t="shared" si="0"/>
        <v>189.97</v>
      </c>
      <c r="I56" s="68">
        <f t="shared" si="1"/>
        <v>211.03</v>
      </c>
      <c r="J56" s="15">
        <f t="shared" si="2"/>
        <v>221.63</v>
      </c>
      <c r="K56" s="170">
        <v>9.998610339077274E-2</v>
      </c>
      <c r="L56" s="63">
        <f t="shared" si="4"/>
        <v>182.09</v>
      </c>
      <c r="M56" s="63">
        <f t="shared" si="5"/>
        <v>126.65</v>
      </c>
      <c r="N56" s="63">
        <f t="shared" si="6"/>
        <v>140.69</v>
      </c>
      <c r="O56" s="63">
        <f t="shared" si="7"/>
        <v>147.75</v>
      </c>
    </row>
    <row r="57" spans="1:15" ht="15" customHeight="1">
      <c r="A57" s="9" t="s">
        <v>165</v>
      </c>
      <c r="B57" s="10">
        <f t="shared" si="8"/>
        <v>0.1</v>
      </c>
      <c r="C57" s="10">
        <v>4</v>
      </c>
      <c r="D57" s="10" t="s">
        <v>28</v>
      </c>
      <c r="E57" s="13" t="s">
        <v>137</v>
      </c>
      <c r="F57" s="32" t="s">
        <v>85</v>
      </c>
      <c r="G57" s="82">
        <v>15.265000000000001</v>
      </c>
      <c r="H57" s="15">
        <f t="shared" si="0"/>
        <v>183.18</v>
      </c>
      <c r="I57" s="68">
        <f t="shared" si="1"/>
        <v>203.48</v>
      </c>
      <c r="J57" s="15">
        <f t="shared" si="2"/>
        <v>213.71</v>
      </c>
      <c r="K57" s="170">
        <v>0.10002161850544056</v>
      </c>
      <c r="L57" s="63">
        <f t="shared" si="4"/>
        <v>175.59</v>
      </c>
      <c r="M57" s="63">
        <f t="shared" si="5"/>
        <v>122.12</v>
      </c>
      <c r="N57" s="63">
        <f t="shared" si="6"/>
        <v>135.65</v>
      </c>
      <c r="O57" s="63">
        <f t="shared" si="7"/>
        <v>142.47</v>
      </c>
    </row>
    <row r="58" spans="1:15" ht="15" customHeight="1">
      <c r="A58" s="9" t="s">
        <v>165</v>
      </c>
      <c r="B58" s="10">
        <f t="shared" si="8"/>
        <v>0.11</v>
      </c>
      <c r="C58" s="10">
        <v>4.5</v>
      </c>
      <c r="D58" s="10" t="s">
        <v>28</v>
      </c>
      <c r="E58" s="13" t="s">
        <v>137</v>
      </c>
      <c r="F58" s="32" t="s">
        <v>85</v>
      </c>
      <c r="G58" s="82">
        <v>16.007000000000001</v>
      </c>
      <c r="H58" s="15">
        <f t="shared" si="0"/>
        <v>192.08</v>
      </c>
      <c r="I58" s="68">
        <f t="shared" si="1"/>
        <v>213.37</v>
      </c>
      <c r="J58" s="15">
        <f t="shared" si="2"/>
        <v>224.1</v>
      </c>
      <c r="K58" s="170">
        <v>9.9986256184716904E-2</v>
      </c>
      <c r="L58" s="63">
        <f t="shared" si="4"/>
        <v>184.11</v>
      </c>
      <c r="M58" s="63">
        <f t="shared" si="5"/>
        <v>128.05000000000001</v>
      </c>
      <c r="N58" s="63">
        <f t="shared" si="6"/>
        <v>142.25</v>
      </c>
      <c r="O58" s="63">
        <f t="shared" si="7"/>
        <v>149.4</v>
      </c>
    </row>
    <row r="59" spans="1:15" ht="15" customHeight="1">
      <c r="A59" s="9" t="s">
        <v>165</v>
      </c>
      <c r="B59" s="10">
        <f t="shared" si="8"/>
        <v>0.11</v>
      </c>
      <c r="C59" s="10">
        <v>4.5</v>
      </c>
      <c r="D59" s="10" t="s">
        <v>28</v>
      </c>
      <c r="E59" s="13" t="s">
        <v>137</v>
      </c>
      <c r="F59" s="32" t="s">
        <v>84</v>
      </c>
      <c r="G59" s="82">
        <v>12.747999999999999</v>
      </c>
      <c r="H59" s="15">
        <f t="shared" si="0"/>
        <v>152.97999999999999</v>
      </c>
      <c r="I59" s="68">
        <f t="shared" si="1"/>
        <v>169.93</v>
      </c>
      <c r="J59" s="15">
        <f t="shared" si="2"/>
        <v>178.47</v>
      </c>
      <c r="K59" s="170">
        <v>0.10000862887220641</v>
      </c>
      <c r="L59" s="63">
        <f t="shared" si="4"/>
        <v>146.63</v>
      </c>
      <c r="M59" s="63">
        <f t="shared" si="5"/>
        <v>101.99</v>
      </c>
      <c r="N59" s="63">
        <f t="shared" si="6"/>
        <v>113.29</v>
      </c>
      <c r="O59" s="63">
        <f t="shared" si="7"/>
        <v>118.98</v>
      </c>
    </row>
    <row r="60" spans="1:15" ht="15" customHeight="1">
      <c r="A60" s="9" t="s">
        <v>165</v>
      </c>
      <c r="B60" s="10">
        <f t="shared" si="8"/>
        <v>0.13</v>
      </c>
      <c r="C60" s="10">
        <v>5</v>
      </c>
      <c r="D60" s="10" t="s">
        <v>28</v>
      </c>
      <c r="E60" s="13" t="s">
        <v>137</v>
      </c>
      <c r="F60" s="32" t="s">
        <v>86</v>
      </c>
      <c r="G60" s="82">
        <v>15.025</v>
      </c>
      <c r="H60" s="15">
        <f t="shared" si="0"/>
        <v>180.3</v>
      </c>
      <c r="I60" s="68">
        <f t="shared" si="1"/>
        <v>200.28</v>
      </c>
      <c r="J60" s="15">
        <f t="shared" si="2"/>
        <v>210.35</v>
      </c>
      <c r="K60" s="170">
        <v>0.10000732118017419</v>
      </c>
      <c r="L60" s="63">
        <f t="shared" si="4"/>
        <v>172.83</v>
      </c>
      <c r="M60" s="63">
        <f t="shared" si="5"/>
        <v>120.2</v>
      </c>
      <c r="N60" s="63">
        <f t="shared" si="6"/>
        <v>133.52000000000001</v>
      </c>
      <c r="O60" s="63">
        <f t="shared" si="7"/>
        <v>140.22999999999999</v>
      </c>
    </row>
    <row r="61" spans="1:15" ht="15" customHeight="1">
      <c r="A61" s="9" t="s">
        <v>165</v>
      </c>
      <c r="B61" s="10">
        <f t="shared" si="8"/>
        <v>0.13</v>
      </c>
      <c r="C61" s="10">
        <v>5</v>
      </c>
      <c r="D61" s="10" t="s">
        <v>28</v>
      </c>
      <c r="E61" s="13" t="s">
        <v>137</v>
      </c>
      <c r="F61" s="32" t="s">
        <v>84</v>
      </c>
      <c r="G61" s="82">
        <v>12.747999999999999</v>
      </c>
      <c r="H61" s="15">
        <f t="shared" si="0"/>
        <v>152.97999999999999</v>
      </c>
      <c r="I61" s="68">
        <f t="shared" si="1"/>
        <v>169.93</v>
      </c>
      <c r="J61" s="15">
        <f t="shared" si="2"/>
        <v>178.47</v>
      </c>
      <c r="K61" s="170">
        <v>0.10000862887220641</v>
      </c>
      <c r="L61" s="63">
        <f t="shared" si="4"/>
        <v>146.63</v>
      </c>
      <c r="M61" s="63">
        <f t="shared" si="5"/>
        <v>101.99</v>
      </c>
      <c r="N61" s="63">
        <f t="shared" si="6"/>
        <v>113.29</v>
      </c>
      <c r="O61" s="63">
        <f t="shared" si="7"/>
        <v>118.98</v>
      </c>
    </row>
    <row r="62" spans="1:15" ht="15" customHeight="1">
      <c r="A62" s="9" t="s">
        <v>165</v>
      </c>
      <c r="B62" s="10">
        <f t="shared" si="8"/>
        <v>0.13</v>
      </c>
      <c r="C62" s="10">
        <v>5</v>
      </c>
      <c r="D62" s="10" t="s">
        <v>28</v>
      </c>
      <c r="E62" s="13" t="s">
        <v>137</v>
      </c>
      <c r="F62" s="32" t="s">
        <v>117</v>
      </c>
      <c r="G62" s="82">
        <v>15.186999999999999</v>
      </c>
      <c r="H62" s="15">
        <f t="shared" si="0"/>
        <v>182.24</v>
      </c>
      <c r="I62" s="68">
        <f t="shared" si="1"/>
        <v>202.44</v>
      </c>
      <c r="J62" s="15">
        <f t="shared" si="2"/>
        <v>212.62</v>
      </c>
      <c r="K62" s="170">
        <v>0.10002897291032897</v>
      </c>
      <c r="L62" s="63">
        <f t="shared" si="4"/>
        <v>174.69</v>
      </c>
      <c r="M62" s="63">
        <f t="shared" si="5"/>
        <v>121.49</v>
      </c>
      <c r="N62" s="63">
        <f t="shared" si="6"/>
        <v>134.96</v>
      </c>
      <c r="O62" s="63">
        <f t="shared" si="7"/>
        <v>141.75</v>
      </c>
    </row>
    <row r="63" spans="1:15" ht="15" customHeight="1">
      <c r="A63" s="9" t="s">
        <v>165</v>
      </c>
      <c r="B63" s="10">
        <f t="shared" si="8"/>
        <v>0.15</v>
      </c>
      <c r="C63" s="10">
        <v>6</v>
      </c>
      <c r="D63" s="10" t="s">
        <v>28</v>
      </c>
      <c r="E63" s="13" t="s">
        <v>137</v>
      </c>
      <c r="F63" s="32" t="s">
        <v>86</v>
      </c>
      <c r="G63" s="82">
        <v>16.361000000000001</v>
      </c>
      <c r="H63" s="15">
        <f t="shared" si="0"/>
        <v>196.33</v>
      </c>
      <c r="I63" s="68">
        <f t="shared" si="1"/>
        <v>218.09</v>
      </c>
      <c r="J63" s="15">
        <f t="shared" si="2"/>
        <v>229.05</v>
      </c>
      <c r="K63" s="170">
        <v>9.9973107435793906E-2</v>
      </c>
      <c r="L63" s="63">
        <f t="shared" si="4"/>
        <v>188.19</v>
      </c>
      <c r="M63" s="63">
        <f t="shared" si="5"/>
        <v>130.88999999999999</v>
      </c>
      <c r="N63" s="63">
        <f t="shared" si="6"/>
        <v>145.38999999999999</v>
      </c>
      <c r="O63" s="63">
        <f t="shared" si="7"/>
        <v>152.69999999999999</v>
      </c>
    </row>
    <row r="64" spans="1:15" ht="15" customHeight="1">
      <c r="A64" s="9" t="s">
        <v>165</v>
      </c>
      <c r="B64" s="10">
        <f t="shared" si="8"/>
        <v>0.15</v>
      </c>
      <c r="C64" s="10">
        <v>6</v>
      </c>
      <c r="D64" s="10" t="s">
        <v>28</v>
      </c>
      <c r="E64" s="13" t="s">
        <v>137</v>
      </c>
      <c r="F64" s="32" t="s">
        <v>117</v>
      </c>
      <c r="G64" s="82">
        <v>16.344999999999999</v>
      </c>
      <c r="H64" s="15">
        <f t="shared" si="0"/>
        <v>196.14</v>
      </c>
      <c r="I64" s="68">
        <f t="shared" si="1"/>
        <v>217.88</v>
      </c>
      <c r="J64" s="15">
        <f t="shared" si="2"/>
        <v>228.83</v>
      </c>
      <c r="K64" s="170">
        <v>0.10000672992798965</v>
      </c>
      <c r="L64" s="63">
        <f t="shared" si="4"/>
        <v>188.01</v>
      </c>
      <c r="M64" s="63">
        <f t="shared" si="5"/>
        <v>130.76</v>
      </c>
      <c r="N64" s="63">
        <f t="shared" si="6"/>
        <v>145.25</v>
      </c>
      <c r="O64" s="63">
        <f t="shared" si="7"/>
        <v>152.55000000000001</v>
      </c>
    </row>
    <row r="65" spans="1:15" ht="15" customHeight="1">
      <c r="A65" s="9" t="s">
        <v>165</v>
      </c>
      <c r="B65" s="10">
        <f t="shared" si="8"/>
        <v>0.18</v>
      </c>
      <c r="C65" s="10">
        <v>7</v>
      </c>
      <c r="D65" s="10" t="s">
        <v>28</v>
      </c>
      <c r="E65" s="13" t="s">
        <v>137</v>
      </c>
      <c r="F65" s="32" t="s">
        <v>93</v>
      </c>
      <c r="G65" s="82">
        <v>13.260999999999999</v>
      </c>
      <c r="H65" s="15">
        <f t="shared" si="0"/>
        <v>159.13</v>
      </c>
      <c r="I65" s="68">
        <f t="shared" si="1"/>
        <v>176.77</v>
      </c>
      <c r="J65" s="15">
        <f t="shared" si="2"/>
        <v>185.65</v>
      </c>
      <c r="K65" s="170">
        <v>0.10004147656574025</v>
      </c>
      <c r="L65" s="63">
        <f t="shared" si="4"/>
        <v>152.53</v>
      </c>
      <c r="M65" s="63">
        <f t="shared" si="5"/>
        <v>106.09</v>
      </c>
      <c r="N65" s="63">
        <f t="shared" si="6"/>
        <v>117.85</v>
      </c>
      <c r="O65" s="63">
        <f t="shared" si="7"/>
        <v>123.77</v>
      </c>
    </row>
    <row r="66" spans="1:15" ht="15" customHeight="1">
      <c r="A66" s="9" t="s">
        <v>165</v>
      </c>
      <c r="B66" s="10">
        <f t="shared" si="8"/>
        <v>0.18</v>
      </c>
      <c r="C66" s="10">
        <v>7</v>
      </c>
      <c r="D66" s="10" t="s">
        <v>28</v>
      </c>
      <c r="E66" s="13" t="s">
        <v>137</v>
      </c>
      <c r="F66" s="32" t="s">
        <v>95</v>
      </c>
      <c r="G66" s="82">
        <v>16.943000000000001</v>
      </c>
      <c r="H66" s="15">
        <f t="shared" si="0"/>
        <v>203.32</v>
      </c>
      <c r="I66" s="68">
        <f t="shared" si="1"/>
        <v>225.85</v>
      </c>
      <c r="J66" s="15">
        <f t="shared" si="2"/>
        <v>237.2</v>
      </c>
      <c r="K66" s="170">
        <v>9.9980523274686872E-2</v>
      </c>
      <c r="L66" s="63">
        <f t="shared" si="4"/>
        <v>194.89</v>
      </c>
      <c r="M66" s="63">
        <f t="shared" si="5"/>
        <v>135.55000000000001</v>
      </c>
      <c r="N66" s="63">
        <f t="shared" si="6"/>
        <v>150.57</v>
      </c>
      <c r="O66" s="63">
        <f t="shared" si="7"/>
        <v>158.13</v>
      </c>
    </row>
    <row r="67" spans="1:15" ht="15" customHeight="1">
      <c r="A67" s="9" t="s">
        <v>165</v>
      </c>
      <c r="B67" s="10">
        <f t="shared" si="8"/>
        <v>0.18</v>
      </c>
      <c r="C67" s="10">
        <v>7</v>
      </c>
      <c r="D67" s="10" t="s">
        <v>28</v>
      </c>
      <c r="E67" s="13" t="s">
        <v>137</v>
      </c>
      <c r="F67" s="32" t="s">
        <v>87</v>
      </c>
      <c r="G67" s="82">
        <v>16.943000000000001</v>
      </c>
      <c r="H67" s="15">
        <f t="shared" si="0"/>
        <v>203.32</v>
      </c>
      <c r="I67" s="68">
        <f t="shared" si="1"/>
        <v>225.85</v>
      </c>
      <c r="J67" s="15">
        <f t="shared" si="2"/>
        <v>237.2</v>
      </c>
      <c r="K67" s="170">
        <v>9.9980523274686872E-2</v>
      </c>
      <c r="L67" s="63">
        <f t="shared" si="4"/>
        <v>194.89</v>
      </c>
      <c r="M67" s="63">
        <f t="shared" si="5"/>
        <v>135.55000000000001</v>
      </c>
      <c r="N67" s="63">
        <f t="shared" si="6"/>
        <v>150.57</v>
      </c>
      <c r="O67" s="63">
        <f t="shared" si="7"/>
        <v>158.13</v>
      </c>
    </row>
    <row r="68" spans="1:15" ht="15" customHeight="1">
      <c r="A68" s="9" t="s">
        <v>165</v>
      </c>
      <c r="B68" s="10">
        <f t="shared" si="8"/>
        <v>0.2</v>
      </c>
      <c r="C68" s="10">
        <v>8</v>
      </c>
      <c r="D68" s="10" t="s">
        <v>28</v>
      </c>
      <c r="E68" s="13" t="s">
        <v>137</v>
      </c>
      <c r="F68" s="32" t="s">
        <v>87</v>
      </c>
      <c r="G68" s="82">
        <v>16.943000000000001</v>
      </c>
      <c r="H68" s="15">
        <f t="shared" si="0"/>
        <v>203.32</v>
      </c>
      <c r="I68" s="68">
        <f t="shared" si="1"/>
        <v>225.85</v>
      </c>
      <c r="J68" s="15">
        <f t="shared" si="2"/>
        <v>237.2</v>
      </c>
      <c r="K68" s="170">
        <v>9.9980523274686872E-2</v>
      </c>
      <c r="L68" s="63">
        <f t="shared" si="4"/>
        <v>194.89</v>
      </c>
      <c r="M68" s="63">
        <f t="shared" si="5"/>
        <v>135.55000000000001</v>
      </c>
      <c r="N68" s="63">
        <f t="shared" si="6"/>
        <v>150.57</v>
      </c>
      <c r="O68" s="63">
        <f t="shared" si="7"/>
        <v>158.13</v>
      </c>
    </row>
    <row r="69" spans="1:15" ht="15" customHeight="1">
      <c r="A69" s="9" t="s">
        <v>165</v>
      </c>
      <c r="B69" s="10">
        <f t="shared" si="8"/>
        <v>0.2</v>
      </c>
      <c r="C69" s="10">
        <v>8</v>
      </c>
      <c r="D69" s="10" t="s">
        <v>28</v>
      </c>
      <c r="E69" s="13" t="s">
        <v>137</v>
      </c>
      <c r="F69" s="32" t="s">
        <v>95</v>
      </c>
      <c r="G69" s="82">
        <v>16.943000000000001</v>
      </c>
      <c r="H69" s="15">
        <f t="shared" si="0"/>
        <v>203.32</v>
      </c>
      <c r="I69" s="68">
        <f t="shared" si="1"/>
        <v>225.85</v>
      </c>
      <c r="J69" s="15">
        <f t="shared" si="2"/>
        <v>237.2</v>
      </c>
      <c r="K69" s="170">
        <v>9.9980523274686872E-2</v>
      </c>
      <c r="L69" s="63">
        <f t="shared" si="4"/>
        <v>194.89</v>
      </c>
      <c r="M69" s="63">
        <f t="shared" si="5"/>
        <v>135.55000000000001</v>
      </c>
      <c r="N69" s="63">
        <f t="shared" si="6"/>
        <v>150.57</v>
      </c>
      <c r="O69" s="63">
        <f t="shared" si="7"/>
        <v>158.13</v>
      </c>
    </row>
    <row r="70" spans="1:15" ht="15" customHeight="1">
      <c r="A70" s="9" t="s">
        <v>165</v>
      </c>
      <c r="B70" s="10">
        <f t="shared" si="8"/>
        <v>0.2</v>
      </c>
      <c r="C70" s="10">
        <v>8</v>
      </c>
      <c r="D70" s="10" t="s">
        <v>28</v>
      </c>
      <c r="E70" s="13" t="s">
        <v>137</v>
      </c>
      <c r="F70" s="32" t="s">
        <v>89</v>
      </c>
      <c r="G70" s="82">
        <v>15.904999999999999</v>
      </c>
      <c r="H70" s="15">
        <f t="shared" si="0"/>
        <v>190.86</v>
      </c>
      <c r="I70" s="68">
        <f t="shared" si="1"/>
        <v>212.01</v>
      </c>
      <c r="J70" s="15">
        <f t="shared" si="2"/>
        <v>222.67</v>
      </c>
      <c r="K70" s="170">
        <v>0.1000069161076147</v>
      </c>
      <c r="L70" s="63">
        <f t="shared" si="4"/>
        <v>182.95</v>
      </c>
      <c r="M70" s="63">
        <f t="shared" si="5"/>
        <v>127.24</v>
      </c>
      <c r="N70" s="63">
        <f t="shared" si="6"/>
        <v>141.34</v>
      </c>
      <c r="O70" s="63">
        <f t="shared" si="7"/>
        <v>148.44999999999999</v>
      </c>
    </row>
    <row r="71" spans="1:15" ht="15" customHeight="1">
      <c r="A71" s="9" t="s">
        <v>165</v>
      </c>
      <c r="B71" s="10">
        <f t="shared" si="8"/>
        <v>0.23</v>
      </c>
      <c r="C71" s="10">
        <v>9</v>
      </c>
      <c r="D71" s="10" t="s">
        <v>28</v>
      </c>
      <c r="E71" s="13" t="s">
        <v>137</v>
      </c>
      <c r="F71" s="32" t="s">
        <v>89</v>
      </c>
      <c r="G71" s="82">
        <v>16.094999999999999</v>
      </c>
      <c r="H71" s="15">
        <f t="shared" si="0"/>
        <v>193.14</v>
      </c>
      <c r="I71" s="68">
        <f t="shared" si="1"/>
        <v>214.55</v>
      </c>
      <c r="J71" s="15">
        <f t="shared" si="2"/>
        <v>225.33</v>
      </c>
      <c r="K71" s="170">
        <v>9.9986331328594913E-2</v>
      </c>
      <c r="L71" s="63">
        <f t="shared" si="4"/>
        <v>185.13</v>
      </c>
      <c r="M71" s="63">
        <f t="shared" si="5"/>
        <v>128.76</v>
      </c>
      <c r="N71" s="63">
        <f t="shared" si="6"/>
        <v>143.03</v>
      </c>
      <c r="O71" s="63">
        <f t="shared" si="7"/>
        <v>150.22</v>
      </c>
    </row>
    <row r="72" spans="1:15" ht="15" customHeight="1">
      <c r="A72" s="9" t="s">
        <v>165</v>
      </c>
      <c r="B72" s="10">
        <f t="shared" si="8"/>
        <v>0.25</v>
      </c>
      <c r="C72" s="10">
        <v>10</v>
      </c>
      <c r="D72" s="10" t="s">
        <v>28</v>
      </c>
      <c r="E72" s="13" t="s">
        <v>137</v>
      </c>
      <c r="F72" s="32" t="s">
        <v>89</v>
      </c>
      <c r="G72" s="82">
        <v>16.155999999999999</v>
      </c>
      <c r="H72" s="15">
        <f t="shared" si="0"/>
        <v>193.87</v>
      </c>
      <c r="I72" s="68">
        <f t="shared" si="1"/>
        <v>215.36</v>
      </c>
      <c r="J72" s="15">
        <f t="shared" si="2"/>
        <v>226.18</v>
      </c>
      <c r="K72" s="170">
        <v>0.10002042622727569</v>
      </c>
      <c r="L72" s="63">
        <f t="shared" si="4"/>
        <v>185.84</v>
      </c>
      <c r="M72" s="63">
        <f t="shared" si="5"/>
        <v>129.25</v>
      </c>
      <c r="N72" s="63">
        <f t="shared" si="6"/>
        <v>143.57</v>
      </c>
      <c r="O72" s="63">
        <f t="shared" si="7"/>
        <v>150.79</v>
      </c>
    </row>
    <row r="73" spans="1:15" ht="15" customHeight="1">
      <c r="A73" s="9" t="s">
        <v>165</v>
      </c>
      <c r="B73" s="10">
        <f t="shared" si="8"/>
        <v>0.3</v>
      </c>
      <c r="C73" s="10">
        <v>12</v>
      </c>
      <c r="D73" s="10" t="s">
        <v>28</v>
      </c>
      <c r="E73" s="13" t="s">
        <v>137</v>
      </c>
      <c r="F73" s="32" t="s">
        <v>167</v>
      </c>
      <c r="G73" s="82">
        <v>19.048999999999999</v>
      </c>
      <c r="H73" s="15">
        <f t="shared" si="0"/>
        <v>228.59</v>
      </c>
      <c r="I73" s="68">
        <f t="shared" si="1"/>
        <v>253.92</v>
      </c>
      <c r="J73" s="15">
        <f t="shared" si="2"/>
        <v>266.69</v>
      </c>
      <c r="K73" s="170">
        <v>0.10001732401686203</v>
      </c>
      <c r="L73" s="63">
        <f t="shared" si="4"/>
        <v>219.11</v>
      </c>
      <c r="M73" s="63">
        <f t="shared" si="5"/>
        <v>152.38999999999999</v>
      </c>
      <c r="N73" s="63">
        <f t="shared" si="6"/>
        <v>169.28</v>
      </c>
      <c r="O73" s="63">
        <f t="shared" si="7"/>
        <v>177.79</v>
      </c>
    </row>
    <row r="74" spans="1:15" ht="15" customHeight="1">
      <c r="A74" s="9" t="s">
        <v>165</v>
      </c>
      <c r="B74" s="10">
        <f t="shared" si="8"/>
        <v>0.3</v>
      </c>
      <c r="C74" s="10">
        <v>12</v>
      </c>
      <c r="D74" s="10" t="s">
        <v>28</v>
      </c>
      <c r="E74" s="13" t="s">
        <v>137</v>
      </c>
      <c r="F74" s="32" t="s">
        <v>90</v>
      </c>
      <c r="G74" s="82">
        <v>18.827000000000002</v>
      </c>
      <c r="H74" s="15">
        <f t="shared" si="0"/>
        <v>225.92</v>
      </c>
      <c r="I74" s="68">
        <f t="shared" si="1"/>
        <v>250.96</v>
      </c>
      <c r="J74" s="15">
        <f t="shared" si="2"/>
        <v>263.58</v>
      </c>
      <c r="K74" s="170">
        <v>0.10002921413964372</v>
      </c>
      <c r="L74" s="63">
        <f t="shared" si="4"/>
        <v>216.56</v>
      </c>
      <c r="M74" s="63">
        <f t="shared" si="5"/>
        <v>150.61000000000001</v>
      </c>
      <c r="N74" s="63">
        <f t="shared" si="6"/>
        <v>167.31</v>
      </c>
      <c r="O74" s="63">
        <f t="shared" si="7"/>
        <v>175.72</v>
      </c>
    </row>
    <row r="75" spans="1:15" ht="15" customHeight="1">
      <c r="A75" s="9" t="s">
        <v>165</v>
      </c>
      <c r="B75" s="10">
        <f t="shared" si="8"/>
        <v>0.38</v>
      </c>
      <c r="C75" s="10">
        <v>15</v>
      </c>
      <c r="D75" s="10" t="s">
        <v>28</v>
      </c>
      <c r="E75" s="13" t="s">
        <v>137</v>
      </c>
      <c r="F75" s="32" t="s">
        <v>90</v>
      </c>
      <c r="G75" s="82">
        <v>19.859000000000002</v>
      </c>
      <c r="H75" s="15">
        <f t="shared" si="0"/>
        <v>238.31</v>
      </c>
      <c r="I75" s="68">
        <f t="shared" si="1"/>
        <v>264.72000000000003</v>
      </c>
      <c r="J75" s="15">
        <f t="shared" si="2"/>
        <v>278.02999999999997</v>
      </c>
      <c r="K75" s="170">
        <v>9.9977844245042746E-2</v>
      </c>
      <c r="L75" s="63">
        <f t="shared" si="4"/>
        <v>228.43</v>
      </c>
      <c r="M75" s="63">
        <f t="shared" si="5"/>
        <v>158.87</v>
      </c>
      <c r="N75" s="63">
        <f t="shared" si="6"/>
        <v>176.48</v>
      </c>
      <c r="O75" s="63">
        <f t="shared" si="7"/>
        <v>185.35</v>
      </c>
    </row>
    <row r="76" spans="1:15" ht="15" customHeight="1">
      <c r="A76" s="9" t="s">
        <v>165</v>
      </c>
      <c r="B76" s="10">
        <f t="shared" si="8"/>
        <v>0.51</v>
      </c>
      <c r="C76" s="10">
        <v>20</v>
      </c>
      <c r="D76" s="10" t="s">
        <v>28</v>
      </c>
      <c r="E76" s="13" t="s">
        <v>137</v>
      </c>
      <c r="F76" s="32" t="s">
        <v>169</v>
      </c>
      <c r="G76" s="82">
        <v>25.760999999999999</v>
      </c>
      <c r="H76" s="15">
        <f t="shared" si="0"/>
        <v>309.13</v>
      </c>
      <c r="I76" s="68">
        <f t="shared" si="1"/>
        <v>343.39</v>
      </c>
      <c r="J76" s="15">
        <f t="shared" si="2"/>
        <v>360.65</v>
      </c>
      <c r="K76" s="170">
        <v>0.10000427003714929</v>
      </c>
      <c r="L76" s="63">
        <f t="shared" si="4"/>
        <v>296.32</v>
      </c>
      <c r="M76" s="63">
        <f t="shared" si="5"/>
        <v>206.09</v>
      </c>
      <c r="N76" s="63">
        <f t="shared" si="6"/>
        <v>228.93</v>
      </c>
      <c r="O76" s="63">
        <f t="shared" si="7"/>
        <v>240.43</v>
      </c>
    </row>
    <row r="77" spans="1:15" ht="15" customHeight="1">
      <c r="A77" s="9" t="s">
        <v>165</v>
      </c>
      <c r="B77" s="10">
        <f t="shared" si="8"/>
        <v>0.51</v>
      </c>
      <c r="C77" s="10">
        <v>20</v>
      </c>
      <c r="D77" s="10" t="s">
        <v>28</v>
      </c>
      <c r="E77" s="13" t="s">
        <v>137</v>
      </c>
      <c r="F77" s="32" t="s">
        <v>168</v>
      </c>
      <c r="G77" s="82">
        <v>25.760999999999999</v>
      </c>
      <c r="H77" s="15">
        <f t="shared" si="0"/>
        <v>309.13</v>
      </c>
      <c r="I77" s="68">
        <f t="shared" si="1"/>
        <v>343.39</v>
      </c>
      <c r="J77" s="15">
        <f t="shared" si="2"/>
        <v>360.65</v>
      </c>
      <c r="K77" s="170">
        <v>0.10000427003714929</v>
      </c>
      <c r="L77" s="63">
        <f t="shared" si="4"/>
        <v>296.32</v>
      </c>
      <c r="M77" s="63">
        <f t="shared" si="5"/>
        <v>206.09</v>
      </c>
      <c r="N77" s="63">
        <f t="shared" si="6"/>
        <v>228.93</v>
      </c>
      <c r="O77" s="63">
        <f t="shared" si="7"/>
        <v>240.43</v>
      </c>
    </row>
    <row r="78" spans="1:15" ht="15" customHeight="1">
      <c r="A78" s="9" t="s">
        <v>165</v>
      </c>
      <c r="B78" s="10">
        <f t="shared" si="8"/>
        <v>0.51</v>
      </c>
      <c r="C78" s="10">
        <v>20</v>
      </c>
      <c r="D78" s="10" t="s">
        <v>28</v>
      </c>
      <c r="E78" s="13" t="s">
        <v>137</v>
      </c>
      <c r="F78" s="32" t="s">
        <v>91</v>
      </c>
      <c r="G78" s="82">
        <v>25.760999999999999</v>
      </c>
      <c r="H78" s="15">
        <f t="shared" ref="H78:H140" si="11">ROUND(G78*12,2)</f>
        <v>309.13</v>
      </c>
      <c r="I78" s="68">
        <f t="shared" ref="I78:I140" si="12">ROUND(G78*13.33,2)</f>
        <v>343.39</v>
      </c>
      <c r="J78" s="15">
        <f t="shared" ref="J78:J140" si="13">ROUND(G78*14,2)</f>
        <v>360.65</v>
      </c>
      <c r="K78" s="170">
        <v>0.10000427003714929</v>
      </c>
      <c r="L78" s="63">
        <f t="shared" si="4"/>
        <v>296.32</v>
      </c>
      <c r="M78" s="63">
        <f t="shared" si="5"/>
        <v>206.09</v>
      </c>
      <c r="N78" s="63">
        <f t="shared" si="6"/>
        <v>228.93</v>
      </c>
      <c r="O78" s="63">
        <f t="shared" si="7"/>
        <v>240.43</v>
      </c>
    </row>
    <row r="79" spans="1:15" ht="15" customHeight="1">
      <c r="A79" s="9" t="s">
        <v>165</v>
      </c>
      <c r="B79" s="10">
        <f t="shared" si="8"/>
        <v>0.64</v>
      </c>
      <c r="C79" s="10">
        <v>25</v>
      </c>
      <c r="D79" s="10" t="s">
        <v>28</v>
      </c>
      <c r="E79" s="13" t="s">
        <v>137</v>
      </c>
      <c r="F79" s="32" t="s">
        <v>88</v>
      </c>
      <c r="G79" s="82">
        <v>29.114999999999998</v>
      </c>
      <c r="H79" s="15">
        <f t="shared" si="11"/>
        <v>349.38</v>
      </c>
      <c r="I79" s="68">
        <f t="shared" si="12"/>
        <v>388.1</v>
      </c>
      <c r="J79" s="15">
        <f t="shared" si="13"/>
        <v>407.61</v>
      </c>
      <c r="K79" s="170">
        <v>0.10000755629439317</v>
      </c>
      <c r="L79" s="63">
        <f t="shared" ref="L79:L140" si="14">ROUND(ROUND(ROUND(G79*12,2)*43/48,2)*1.07,2)</f>
        <v>334.9</v>
      </c>
      <c r="M79" s="63">
        <f t="shared" ref="M79:M140" si="15">ROUND(ROUND(G79*12,2)*2/3,2)</f>
        <v>232.92</v>
      </c>
      <c r="N79" s="63">
        <f t="shared" ref="N79:N140" si="16">ROUND(ROUND(G79*13.33,2)*2/3,2)</f>
        <v>258.73</v>
      </c>
      <c r="O79" s="63">
        <f t="shared" ref="O79:O140" si="17">ROUND(ROUND(G79*14,2)*2/3,2)</f>
        <v>271.74</v>
      </c>
    </row>
    <row r="80" spans="1:15" ht="15" customHeight="1">
      <c r="A80" s="9" t="s">
        <v>165</v>
      </c>
      <c r="B80" s="10">
        <f t="shared" si="8"/>
        <v>0.91</v>
      </c>
      <c r="C80" s="10">
        <v>36</v>
      </c>
      <c r="D80" s="10" t="s">
        <v>28</v>
      </c>
      <c r="E80" s="13" t="s">
        <v>137</v>
      </c>
      <c r="F80" s="32" t="s">
        <v>133</v>
      </c>
      <c r="G80" s="82">
        <v>35.719000000000001</v>
      </c>
      <c r="H80" s="15">
        <f t="shared" si="11"/>
        <v>428.63</v>
      </c>
      <c r="I80" s="68">
        <f t="shared" si="12"/>
        <v>476.13</v>
      </c>
      <c r="J80" s="15">
        <f t="shared" si="13"/>
        <v>500.07</v>
      </c>
      <c r="K80" s="170">
        <v>9.9993840847499404E-2</v>
      </c>
      <c r="L80" s="63">
        <f t="shared" si="14"/>
        <v>410.86</v>
      </c>
      <c r="M80" s="63">
        <f t="shared" si="15"/>
        <v>285.75</v>
      </c>
      <c r="N80" s="63">
        <f t="shared" si="16"/>
        <v>317.42</v>
      </c>
      <c r="O80" s="63">
        <f t="shared" si="17"/>
        <v>333.38</v>
      </c>
    </row>
    <row r="81" spans="1:15" ht="15" customHeight="1">
      <c r="A81" s="9" t="s">
        <v>165</v>
      </c>
      <c r="B81" s="10">
        <f t="shared" si="8"/>
        <v>0.99</v>
      </c>
      <c r="C81" s="10">
        <v>39</v>
      </c>
      <c r="D81" s="10" t="s">
        <v>28</v>
      </c>
      <c r="E81" s="13" t="s">
        <v>137</v>
      </c>
      <c r="F81" s="32" t="s">
        <v>84</v>
      </c>
      <c r="G81" s="82">
        <v>38.625</v>
      </c>
      <c r="H81" s="15">
        <f t="shared" si="11"/>
        <v>463.5</v>
      </c>
      <c r="I81" s="68">
        <f t="shared" si="12"/>
        <v>514.87</v>
      </c>
      <c r="J81" s="15">
        <f t="shared" si="13"/>
        <v>540.75</v>
      </c>
      <c r="K81" s="170">
        <v>9.9988608532209478E-2</v>
      </c>
      <c r="L81" s="63">
        <f t="shared" si="14"/>
        <v>444.29</v>
      </c>
      <c r="M81" s="63">
        <f t="shared" si="15"/>
        <v>309</v>
      </c>
      <c r="N81" s="63">
        <f t="shared" si="16"/>
        <v>343.25</v>
      </c>
      <c r="O81" s="63">
        <f t="shared" si="17"/>
        <v>360.5</v>
      </c>
    </row>
    <row r="82" spans="1:15" ht="15" customHeight="1">
      <c r="A82" s="9" t="s">
        <v>165</v>
      </c>
      <c r="B82" s="10">
        <f t="shared" si="8"/>
        <v>1.19</v>
      </c>
      <c r="C82" s="10">
        <v>47</v>
      </c>
      <c r="D82" s="10" t="s">
        <v>28</v>
      </c>
      <c r="E82" s="13" t="s">
        <v>137</v>
      </c>
      <c r="F82" s="32" t="s">
        <v>84</v>
      </c>
      <c r="G82" s="82">
        <v>44.856000000000002</v>
      </c>
      <c r="H82" s="15">
        <f t="shared" si="11"/>
        <v>538.27</v>
      </c>
      <c r="I82" s="68">
        <f t="shared" si="12"/>
        <v>597.92999999999995</v>
      </c>
      <c r="J82" s="15">
        <f t="shared" si="13"/>
        <v>627.98</v>
      </c>
      <c r="K82" s="170">
        <v>0.10000490460542455</v>
      </c>
      <c r="L82" s="63">
        <f t="shared" si="14"/>
        <v>515.95000000000005</v>
      </c>
      <c r="M82" s="63">
        <f t="shared" si="15"/>
        <v>358.85</v>
      </c>
      <c r="N82" s="63">
        <f t="shared" si="16"/>
        <v>398.62</v>
      </c>
      <c r="O82" s="63">
        <f t="shared" si="17"/>
        <v>418.65</v>
      </c>
    </row>
    <row r="83" spans="1:15" ht="15" customHeight="1">
      <c r="A83" s="9" t="s">
        <v>165</v>
      </c>
      <c r="B83" s="10">
        <f>ROUND(C83*0.0254,3)</f>
        <v>7.5999999999999998E-2</v>
      </c>
      <c r="C83" s="10">
        <v>3</v>
      </c>
      <c r="D83" s="10" t="s">
        <v>138</v>
      </c>
      <c r="E83" s="13" t="s">
        <v>137</v>
      </c>
      <c r="F83" s="32" t="s">
        <v>81</v>
      </c>
      <c r="G83" s="82">
        <v>19.41</v>
      </c>
      <c r="H83" s="15">
        <f t="shared" si="11"/>
        <v>232.92</v>
      </c>
      <c r="I83" s="68">
        <f t="shared" si="12"/>
        <v>258.74</v>
      </c>
      <c r="J83" s="15">
        <f t="shared" si="13"/>
        <v>271.74</v>
      </c>
      <c r="K83" s="170">
        <v>0.10002833663927468</v>
      </c>
      <c r="L83" s="63">
        <f t="shared" si="14"/>
        <v>223.27</v>
      </c>
      <c r="M83" s="63">
        <f t="shared" si="15"/>
        <v>155.28</v>
      </c>
      <c r="N83" s="63">
        <f t="shared" si="16"/>
        <v>172.49</v>
      </c>
      <c r="O83" s="63">
        <f t="shared" si="17"/>
        <v>181.16</v>
      </c>
    </row>
    <row r="84" spans="1:15" ht="15" customHeight="1">
      <c r="A84" s="9" t="s">
        <v>165</v>
      </c>
      <c r="B84" s="10">
        <f t="shared" ref="B84:B87" si="18">ROUND(C84*0.0254,3)</f>
        <v>7.5999999999999998E-2</v>
      </c>
      <c r="C84" s="10">
        <v>3</v>
      </c>
      <c r="D84" s="10" t="s">
        <v>138</v>
      </c>
      <c r="E84" s="13" t="s">
        <v>137</v>
      </c>
      <c r="F84" s="32" t="s">
        <v>122</v>
      </c>
      <c r="G84" s="82">
        <v>19.526</v>
      </c>
      <c r="H84" s="15">
        <f t="shared" si="11"/>
        <v>234.31</v>
      </c>
      <c r="I84" s="68">
        <f t="shared" si="12"/>
        <v>260.27999999999997</v>
      </c>
      <c r="J84" s="15">
        <f t="shared" si="13"/>
        <v>273.36</v>
      </c>
      <c r="K84" s="170">
        <v>9.9994366514562394E-2</v>
      </c>
      <c r="L84" s="63">
        <f t="shared" si="14"/>
        <v>224.59</v>
      </c>
      <c r="M84" s="63">
        <f t="shared" si="15"/>
        <v>156.21</v>
      </c>
      <c r="N84" s="63">
        <f t="shared" si="16"/>
        <v>173.52</v>
      </c>
      <c r="O84" s="63">
        <f t="shared" si="17"/>
        <v>182.24</v>
      </c>
    </row>
    <row r="85" spans="1:15" ht="15" customHeight="1">
      <c r="A85" s="9" t="s">
        <v>165</v>
      </c>
      <c r="B85" s="10">
        <f t="shared" si="18"/>
        <v>8.8999999999999996E-2</v>
      </c>
      <c r="C85" s="10">
        <v>3.5</v>
      </c>
      <c r="D85" s="10" t="s">
        <v>138</v>
      </c>
      <c r="E85" s="13" t="s">
        <v>137</v>
      </c>
      <c r="F85" s="32" t="s">
        <v>122</v>
      </c>
      <c r="G85" s="82">
        <v>19.841000000000001</v>
      </c>
      <c r="H85" s="15">
        <f t="shared" si="11"/>
        <v>238.09</v>
      </c>
      <c r="I85" s="68">
        <f t="shared" si="12"/>
        <v>264.48</v>
      </c>
      <c r="J85" s="15">
        <f t="shared" si="13"/>
        <v>277.77</v>
      </c>
      <c r="K85" s="170">
        <v>0.10001663247768477</v>
      </c>
      <c r="L85" s="63">
        <f t="shared" si="14"/>
        <v>228.22</v>
      </c>
      <c r="M85" s="63">
        <f t="shared" si="15"/>
        <v>158.72999999999999</v>
      </c>
      <c r="N85" s="63">
        <f t="shared" si="16"/>
        <v>176.32</v>
      </c>
      <c r="O85" s="63">
        <f t="shared" si="17"/>
        <v>185.18</v>
      </c>
    </row>
    <row r="86" spans="1:15" ht="15" customHeight="1">
      <c r="A86" s="9" t="s">
        <v>165</v>
      </c>
      <c r="B86" s="10">
        <f t="shared" si="18"/>
        <v>8.8999999999999996E-2</v>
      </c>
      <c r="C86" s="10">
        <v>3.5</v>
      </c>
      <c r="D86" s="10" t="s">
        <v>138</v>
      </c>
      <c r="E86" s="13" t="s">
        <v>137</v>
      </c>
      <c r="F86" s="32" t="s">
        <v>83</v>
      </c>
      <c r="G86" s="82">
        <v>19.52</v>
      </c>
      <c r="H86" s="15">
        <f t="shared" si="11"/>
        <v>234.24</v>
      </c>
      <c r="I86" s="68">
        <f t="shared" si="12"/>
        <v>260.2</v>
      </c>
      <c r="J86" s="15">
        <f t="shared" si="13"/>
        <v>273.27999999999997</v>
      </c>
      <c r="K86" s="170">
        <v>0.10002817695125388</v>
      </c>
      <c r="L86" s="63">
        <f t="shared" si="14"/>
        <v>224.53</v>
      </c>
      <c r="M86" s="63">
        <f t="shared" si="15"/>
        <v>156.16</v>
      </c>
      <c r="N86" s="63">
        <f t="shared" si="16"/>
        <v>173.47</v>
      </c>
      <c r="O86" s="63">
        <f t="shared" si="17"/>
        <v>182.19</v>
      </c>
    </row>
    <row r="87" spans="1:15" ht="15" customHeight="1">
      <c r="A87" s="9" t="s">
        <v>165</v>
      </c>
      <c r="B87" s="10">
        <f t="shared" si="18"/>
        <v>8.8999999999999996E-2</v>
      </c>
      <c r="C87" s="10">
        <v>3.5</v>
      </c>
      <c r="D87" s="10" t="s">
        <v>138</v>
      </c>
      <c r="E87" s="13" t="s">
        <v>137</v>
      </c>
      <c r="F87" s="32" t="s">
        <v>92</v>
      </c>
      <c r="G87" s="82">
        <v>19.52</v>
      </c>
      <c r="H87" s="15">
        <f t="shared" si="11"/>
        <v>234.24</v>
      </c>
      <c r="I87" s="68">
        <f t="shared" si="12"/>
        <v>260.2</v>
      </c>
      <c r="J87" s="15">
        <f t="shared" si="13"/>
        <v>273.27999999999997</v>
      </c>
      <c r="K87" s="170">
        <v>0.10002817695125388</v>
      </c>
      <c r="L87" s="63">
        <f t="shared" si="14"/>
        <v>224.53</v>
      </c>
      <c r="M87" s="63">
        <f t="shared" si="15"/>
        <v>156.16</v>
      </c>
      <c r="N87" s="63">
        <f t="shared" si="16"/>
        <v>173.47</v>
      </c>
      <c r="O87" s="63">
        <f t="shared" si="17"/>
        <v>182.19</v>
      </c>
    </row>
    <row r="88" spans="1:15" ht="15" customHeight="1">
      <c r="A88" s="9" t="s">
        <v>165</v>
      </c>
      <c r="B88" s="10">
        <f t="shared" ref="B88:B140" si="19">ROUND(C88*0.0254,2)</f>
        <v>0.1</v>
      </c>
      <c r="C88" s="10">
        <v>4</v>
      </c>
      <c r="D88" s="10" t="s">
        <v>138</v>
      </c>
      <c r="E88" s="13" t="s">
        <v>137</v>
      </c>
      <c r="F88" s="32" t="s">
        <v>92</v>
      </c>
      <c r="G88" s="82">
        <v>19.841000000000001</v>
      </c>
      <c r="H88" s="15">
        <f t="shared" si="11"/>
        <v>238.09</v>
      </c>
      <c r="I88" s="68">
        <f t="shared" si="12"/>
        <v>264.48</v>
      </c>
      <c r="J88" s="15">
        <f t="shared" si="13"/>
        <v>277.77</v>
      </c>
      <c r="K88" s="170">
        <v>0.10001663247768477</v>
      </c>
      <c r="L88" s="63">
        <f t="shared" si="14"/>
        <v>228.22</v>
      </c>
      <c r="M88" s="63">
        <f t="shared" si="15"/>
        <v>158.72999999999999</v>
      </c>
      <c r="N88" s="63">
        <f t="shared" si="16"/>
        <v>176.32</v>
      </c>
      <c r="O88" s="63">
        <f t="shared" si="17"/>
        <v>185.18</v>
      </c>
    </row>
    <row r="89" spans="1:15" ht="15" customHeight="1">
      <c r="A89" s="9" t="s">
        <v>165</v>
      </c>
      <c r="B89" s="10">
        <f t="shared" si="19"/>
        <v>0.1</v>
      </c>
      <c r="C89" s="10">
        <v>4</v>
      </c>
      <c r="D89" s="10" t="s">
        <v>138</v>
      </c>
      <c r="E89" s="13" t="s">
        <v>137</v>
      </c>
      <c r="F89" s="32" t="s">
        <v>83</v>
      </c>
      <c r="G89" s="82">
        <v>19.841000000000001</v>
      </c>
      <c r="H89" s="15">
        <f t="shared" si="11"/>
        <v>238.09</v>
      </c>
      <c r="I89" s="68">
        <f t="shared" si="12"/>
        <v>264.48</v>
      </c>
      <c r="J89" s="15">
        <f t="shared" si="13"/>
        <v>277.77</v>
      </c>
      <c r="K89" s="170">
        <v>0.10001663247768477</v>
      </c>
      <c r="L89" s="63">
        <f t="shared" si="14"/>
        <v>228.22</v>
      </c>
      <c r="M89" s="63">
        <f t="shared" si="15"/>
        <v>158.72999999999999</v>
      </c>
      <c r="N89" s="63">
        <f t="shared" si="16"/>
        <v>176.32</v>
      </c>
      <c r="O89" s="63">
        <f t="shared" si="17"/>
        <v>185.18</v>
      </c>
    </row>
    <row r="90" spans="1:15" ht="15" customHeight="1">
      <c r="A90" s="9" t="s">
        <v>165</v>
      </c>
      <c r="B90" s="10">
        <f t="shared" si="19"/>
        <v>0.1</v>
      </c>
      <c r="C90" s="10">
        <v>4</v>
      </c>
      <c r="D90" s="10" t="s">
        <v>138</v>
      </c>
      <c r="E90" s="13" t="s">
        <v>137</v>
      </c>
      <c r="F90" s="32" t="s">
        <v>166</v>
      </c>
      <c r="G90" s="82">
        <v>20.209</v>
      </c>
      <c r="H90" s="15">
        <f t="shared" si="11"/>
        <v>242.51</v>
      </c>
      <c r="I90" s="68">
        <f t="shared" si="12"/>
        <v>269.39</v>
      </c>
      <c r="J90" s="15">
        <f t="shared" si="13"/>
        <v>282.93</v>
      </c>
      <c r="K90" s="170">
        <v>9.9989113868931057E-2</v>
      </c>
      <c r="L90" s="63">
        <f t="shared" si="14"/>
        <v>232.46</v>
      </c>
      <c r="M90" s="63">
        <f t="shared" si="15"/>
        <v>161.66999999999999</v>
      </c>
      <c r="N90" s="63">
        <f t="shared" si="16"/>
        <v>179.59</v>
      </c>
      <c r="O90" s="63">
        <f t="shared" si="17"/>
        <v>188.62</v>
      </c>
    </row>
    <row r="91" spans="1:15" ht="15" customHeight="1">
      <c r="A91" s="9" t="s">
        <v>165</v>
      </c>
      <c r="B91" s="10">
        <f t="shared" si="19"/>
        <v>0.1</v>
      </c>
      <c r="C91" s="10">
        <v>4</v>
      </c>
      <c r="D91" s="10" t="s">
        <v>138</v>
      </c>
      <c r="E91" s="13" t="s">
        <v>137</v>
      </c>
      <c r="F91" s="32" t="s">
        <v>85</v>
      </c>
      <c r="G91" s="82">
        <v>19.687999999999999</v>
      </c>
      <c r="H91" s="15">
        <f t="shared" si="11"/>
        <v>236.26</v>
      </c>
      <c r="I91" s="68">
        <f t="shared" si="12"/>
        <v>262.44</v>
      </c>
      <c r="J91" s="15">
        <f t="shared" si="13"/>
        <v>275.63</v>
      </c>
      <c r="K91" s="170">
        <v>0.10001117443289753</v>
      </c>
      <c r="L91" s="63">
        <f t="shared" si="14"/>
        <v>226.47</v>
      </c>
      <c r="M91" s="63">
        <f t="shared" si="15"/>
        <v>157.51</v>
      </c>
      <c r="N91" s="63">
        <f t="shared" si="16"/>
        <v>174.96</v>
      </c>
      <c r="O91" s="63">
        <f t="shared" si="17"/>
        <v>183.75</v>
      </c>
    </row>
    <row r="92" spans="1:15" ht="15" customHeight="1">
      <c r="A92" s="9" t="s">
        <v>165</v>
      </c>
      <c r="B92" s="10">
        <f t="shared" si="19"/>
        <v>0.11</v>
      </c>
      <c r="C92" s="10">
        <v>4.5</v>
      </c>
      <c r="D92" s="10" t="s">
        <v>138</v>
      </c>
      <c r="E92" s="13" t="s">
        <v>137</v>
      </c>
      <c r="F92" s="32" t="s">
        <v>85</v>
      </c>
      <c r="G92" s="82">
        <v>20.106000000000002</v>
      </c>
      <c r="H92" s="15">
        <f t="shared" si="11"/>
        <v>241.27</v>
      </c>
      <c r="I92" s="68">
        <f t="shared" si="12"/>
        <v>268.01</v>
      </c>
      <c r="J92" s="15">
        <f t="shared" si="13"/>
        <v>281.48</v>
      </c>
      <c r="K92" s="170">
        <v>0.10001094211620543</v>
      </c>
      <c r="L92" s="63">
        <f t="shared" si="14"/>
        <v>231.27</v>
      </c>
      <c r="M92" s="63">
        <f t="shared" si="15"/>
        <v>160.85</v>
      </c>
      <c r="N92" s="63">
        <f t="shared" si="16"/>
        <v>178.67</v>
      </c>
      <c r="O92" s="63">
        <f t="shared" si="17"/>
        <v>187.65</v>
      </c>
    </row>
    <row r="93" spans="1:15" ht="15" customHeight="1">
      <c r="A93" s="9" t="s">
        <v>165</v>
      </c>
      <c r="B93" s="10">
        <f t="shared" si="19"/>
        <v>0.11</v>
      </c>
      <c r="C93" s="10">
        <v>4.5</v>
      </c>
      <c r="D93" s="10" t="s">
        <v>138</v>
      </c>
      <c r="E93" s="13" t="s">
        <v>137</v>
      </c>
      <c r="F93" s="32" t="s">
        <v>84</v>
      </c>
      <c r="G93" s="82">
        <v>20.135999999999999</v>
      </c>
      <c r="H93" s="15">
        <f t="shared" si="11"/>
        <v>241.63</v>
      </c>
      <c r="I93" s="68">
        <f t="shared" si="12"/>
        <v>268.41000000000003</v>
      </c>
      <c r="J93" s="15">
        <f t="shared" si="13"/>
        <v>281.89999999999998</v>
      </c>
      <c r="K93" s="170">
        <v>0.10002731494127293</v>
      </c>
      <c r="L93" s="63">
        <f t="shared" si="14"/>
        <v>231.61</v>
      </c>
      <c r="M93" s="63">
        <f t="shared" si="15"/>
        <v>161.09</v>
      </c>
      <c r="N93" s="63">
        <f t="shared" si="16"/>
        <v>178.94</v>
      </c>
      <c r="O93" s="63">
        <f t="shared" si="17"/>
        <v>187.93</v>
      </c>
    </row>
    <row r="94" spans="1:15" ht="15" customHeight="1">
      <c r="A94" s="9" t="s">
        <v>165</v>
      </c>
      <c r="B94" s="10">
        <f t="shared" si="19"/>
        <v>0.13</v>
      </c>
      <c r="C94" s="10">
        <v>5</v>
      </c>
      <c r="D94" s="10" t="s">
        <v>138</v>
      </c>
      <c r="E94" s="13" t="s">
        <v>137</v>
      </c>
      <c r="F94" s="32" t="s">
        <v>86</v>
      </c>
      <c r="G94" s="82">
        <v>20.483000000000001</v>
      </c>
      <c r="H94" s="15">
        <f t="shared" si="11"/>
        <v>245.8</v>
      </c>
      <c r="I94" s="68">
        <f t="shared" si="12"/>
        <v>273.04000000000002</v>
      </c>
      <c r="J94" s="15">
        <f t="shared" si="13"/>
        <v>286.76</v>
      </c>
      <c r="K94" s="170">
        <v>9.9994629719134309E-2</v>
      </c>
      <c r="L94" s="63">
        <f t="shared" si="14"/>
        <v>235.61</v>
      </c>
      <c r="M94" s="63">
        <f t="shared" si="15"/>
        <v>163.87</v>
      </c>
      <c r="N94" s="63">
        <f t="shared" si="16"/>
        <v>182.03</v>
      </c>
      <c r="O94" s="63">
        <f t="shared" si="17"/>
        <v>191.17</v>
      </c>
    </row>
    <row r="95" spans="1:15" ht="15" customHeight="1">
      <c r="A95" s="9" t="s">
        <v>165</v>
      </c>
      <c r="B95" s="10">
        <f t="shared" si="19"/>
        <v>0.13</v>
      </c>
      <c r="C95" s="10">
        <v>5</v>
      </c>
      <c r="D95" s="10" t="s">
        <v>138</v>
      </c>
      <c r="E95" s="13" t="s">
        <v>137</v>
      </c>
      <c r="F95" s="32" t="s">
        <v>84</v>
      </c>
      <c r="G95" s="82">
        <v>20.135999999999999</v>
      </c>
      <c r="H95" s="15">
        <f t="shared" si="11"/>
        <v>241.63</v>
      </c>
      <c r="I95" s="68">
        <f t="shared" si="12"/>
        <v>268.41000000000003</v>
      </c>
      <c r="J95" s="15">
        <f t="shared" si="13"/>
        <v>281.89999999999998</v>
      </c>
      <c r="K95" s="170">
        <v>0.10002731494127293</v>
      </c>
      <c r="L95" s="63">
        <f t="shared" si="14"/>
        <v>231.61</v>
      </c>
      <c r="M95" s="63">
        <f t="shared" si="15"/>
        <v>161.09</v>
      </c>
      <c r="N95" s="63">
        <f t="shared" si="16"/>
        <v>178.94</v>
      </c>
      <c r="O95" s="63">
        <f t="shared" si="17"/>
        <v>187.93</v>
      </c>
    </row>
    <row r="96" spans="1:15" ht="15" customHeight="1">
      <c r="A96" s="9" t="s">
        <v>165</v>
      </c>
      <c r="B96" s="10">
        <f t="shared" si="19"/>
        <v>0.13</v>
      </c>
      <c r="C96" s="10">
        <v>5</v>
      </c>
      <c r="D96" s="10" t="s">
        <v>138</v>
      </c>
      <c r="E96" s="13" t="s">
        <v>137</v>
      </c>
      <c r="F96" s="32" t="s">
        <v>117</v>
      </c>
      <c r="G96" s="82">
        <v>20.483000000000001</v>
      </c>
      <c r="H96" s="15">
        <f t="shared" si="11"/>
        <v>245.8</v>
      </c>
      <c r="I96" s="68">
        <f t="shared" si="12"/>
        <v>273.04000000000002</v>
      </c>
      <c r="J96" s="15">
        <f t="shared" si="13"/>
        <v>286.76</v>
      </c>
      <c r="K96" s="170">
        <v>9.9994629719134309E-2</v>
      </c>
      <c r="L96" s="63">
        <f t="shared" si="14"/>
        <v>235.61</v>
      </c>
      <c r="M96" s="63">
        <f t="shared" si="15"/>
        <v>163.87</v>
      </c>
      <c r="N96" s="63">
        <f t="shared" si="16"/>
        <v>182.03</v>
      </c>
      <c r="O96" s="63">
        <f t="shared" si="17"/>
        <v>191.17</v>
      </c>
    </row>
    <row r="97" spans="1:15" ht="15" customHeight="1">
      <c r="A97" s="9" t="s">
        <v>165</v>
      </c>
      <c r="B97" s="10">
        <f t="shared" si="19"/>
        <v>0.15</v>
      </c>
      <c r="C97" s="10">
        <v>6</v>
      </c>
      <c r="D97" s="10" t="s">
        <v>138</v>
      </c>
      <c r="E97" s="13" t="s">
        <v>137</v>
      </c>
      <c r="F97" s="32" t="s">
        <v>86</v>
      </c>
      <c r="G97" s="82">
        <v>21.968</v>
      </c>
      <c r="H97" s="15">
        <f t="shared" si="11"/>
        <v>263.62</v>
      </c>
      <c r="I97" s="68">
        <f t="shared" si="12"/>
        <v>292.83</v>
      </c>
      <c r="J97" s="15">
        <f t="shared" si="13"/>
        <v>307.55</v>
      </c>
      <c r="K97" s="170">
        <v>9.9994992739472321E-2</v>
      </c>
      <c r="L97" s="63">
        <f t="shared" si="14"/>
        <v>252.69</v>
      </c>
      <c r="M97" s="63">
        <f t="shared" si="15"/>
        <v>175.75</v>
      </c>
      <c r="N97" s="63">
        <f t="shared" si="16"/>
        <v>195.22</v>
      </c>
      <c r="O97" s="63">
        <f t="shared" si="17"/>
        <v>205.03</v>
      </c>
    </row>
    <row r="98" spans="1:15" ht="15" customHeight="1">
      <c r="A98" s="9" t="s">
        <v>165</v>
      </c>
      <c r="B98" s="10">
        <f t="shared" si="19"/>
        <v>0.15</v>
      </c>
      <c r="C98" s="10">
        <v>6</v>
      </c>
      <c r="D98" s="10" t="s">
        <v>138</v>
      </c>
      <c r="E98" s="13" t="s">
        <v>137</v>
      </c>
      <c r="F98" s="32" t="s">
        <v>117</v>
      </c>
      <c r="G98" s="82">
        <v>21.893999999999998</v>
      </c>
      <c r="H98" s="15">
        <f t="shared" si="11"/>
        <v>262.73</v>
      </c>
      <c r="I98" s="68">
        <f t="shared" si="12"/>
        <v>291.85000000000002</v>
      </c>
      <c r="J98" s="15">
        <f t="shared" si="13"/>
        <v>306.52</v>
      </c>
      <c r="K98" s="170">
        <v>9.9979903536977499E-2</v>
      </c>
      <c r="L98" s="63">
        <f t="shared" si="14"/>
        <v>251.84</v>
      </c>
      <c r="M98" s="63">
        <f t="shared" si="15"/>
        <v>175.15</v>
      </c>
      <c r="N98" s="63">
        <f t="shared" si="16"/>
        <v>194.57</v>
      </c>
      <c r="O98" s="63">
        <f t="shared" si="17"/>
        <v>204.35</v>
      </c>
    </row>
    <row r="99" spans="1:15" ht="15" customHeight="1">
      <c r="A99" s="9" t="s">
        <v>165</v>
      </c>
      <c r="B99" s="10">
        <f t="shared" si="19"/>
        <v>0.18</v>
      </c>
      <c r="C99" s="10">
        <v>7</v>
      </c>
      <c r="D99" s="10" t="s">
        <v>138</v>
      </c>
      <c r="E99" s="13" t="s">
        <v>137</v>
      </c>
      <c r="F99" s="32" t="s">
        <v>93</v>
      </c>
      <c r="G99" s="82">
        <v>20.853000000000002</v>
      </c>
      <c r="H99" s="15">
        <f t="shared" si="11"/>
        <v>250.24</v>
      </c>
      <c r="I99" s="68">
        <f t="shared" si="12"/>
        <v>277.97000000000003</v>
      </c>
      <c r="J99" s="15">
        <f t="shared" si="13"/>
        <v>291.94</v>
      </c>
      <c r="K99" s="170">
        <v>0.10001582528881148</v>
      </c>
      <c r="L99" s="63">
        <f t="shared" si="14"/>
        <v>239.86</v>
      </c>
      <c r="M99" s="63">
        <f t="shared" si="15"/>
        <v>166.83</v>
      </c>
      <c r="N99" s="63">
        <f t="shared" si="16"/>
        <v>185.31</v>
      </c>
      <c r="O99" s="63">
        <f t="shared" si="17"/>
        <v>194.63</v>
      </c>
    </row>
    <row r="100" spans="1:15" ht="15" customHeight="1">
      <c r="A100" s="9" t="s">
        <v>165</v>
      </c>
      <c r="B100" s="10">
        <f t="shared" si="19"/>
        <v>0.18</v>
      </c>
      <c r="C100" s="10">
        <v>7</v>
      </c>
      <c r="D100" s="10" t="s">
        <v>138</v>
      </c>
      <c r="E100" s="13" t="s">
        <v>137</v>
      </c>
      <c r="F100" s="32" t="s">
        <v>95</v>
      </c>
      <c r="G100" s="82">
        <v>21.844000000000001</v>
      </c>
      <c r="H100" s="15">
        <f t="shared" si="11"/>
        <v>262.13</v>
      </c>
      <c r="I100" s="68">
        <f t="shared" si="12"/>
        <v>291.18</v>
      </c>
      <c r="J100" s="15">
        <f t="shared" si="13"/>
        <v>305.82</v>
      </c>
      <c r="K100" s="170">
        <v>0.1000100715077048</v>
      </c>
      <c r="L100" s="63">
        <f t="shared" si="14"/>
        <v>251.26</v>
      </c>
      <c r="M100" s="63">
        <f t="shared" si="15"/>
        <v>174.75</v>
      </c>
      <c r="N100" s="63">
        <f t="shared" si="16"/>
        <v>194.12</v>
      </c>
      <c r="O100" s="63">
        <f t="shared" si="17"/>
        <v>203.88</v>
      </c>
    </row>
    <row r="101" spans="1:15" ht="15" customHeight="1">
      <c r="A101" s="9" t="s">
        <v>165</v>
      </c>
      <c r="B101" s="10">
        <f t="shared" si="19"/>
        <v>0.18</v>
      </c>
      <c r="C101" s="10">
        <v>7</v>
      </c>
      <c r="D101" s="10" t="s">
        <v>138</v>
      </c>
      <c r="E101" s="13" t="s">
        <v>137</v>
      </c>
      <c r="F101" s="32" t="s">
        <v>87</v>
      </c>
      <c r="G101" s="82">
        <v>21.844000000000001</v>
      </c>
      <c r="H101" s="15">
        <f t="shared" si="11"/>
        <v>262.13</v>
      </c>
      <c r="I101" s="68">
        <f t="shared" si="12"/>
        <v>291.18</v>
      </c>
      <c r="J101" s="15">
        <f t="shared" si="13"/>
        <v>305.82</v>
      </c>
      <c r="K101" s="170">
        <v>0.1000100715077048</v>
      </c>
      <c r="L101" s="63">
        <f t="shared" si="14"/>
        <v>251.26</v>
      </c>
      <c r="M101" s="63">
        <f t="shared" si="15"/>
        <v>174.75</v>
      </c>
      <c r="N101" s="63">
        <f t="shared" si="16"/>
        <v>194.12</v>
      </c>
      <c r="O101" s="63">
        <f t="shared" si="17"/>
        <v>203.88</v>
      </c>
    </row>
    <row r="102" spans="1:15" ht="15" customHeight="1">
      <c r="A102" s="9" t="s">
        <v>165</v>
      </c>
      <c r="B102" s="10">
        <f t="shared" si="19"/>
        <v>0.2</v>
      </c>
      <c r="C102" s="10">
        <v>8</v>
      </c>
      <c r="D102" s="10" t="s">
        <v>138</v>
      </c>
      <c r="E102" s="13" t="s">
        <v>137</v>
      </c>
      <c r="F102" s="32" t="s">
        <v>95</v>
      </c>
      <c r="G102" s="82">
        <v>21.844000000000001</v>
      </c>
      <c r="H102" s="15">
        <f t="shared" si="11"/>
        <v>262.13</v>
      </c>
      <c r="I102" s="68">
        <f t="shared" si="12"/>
        <v>291.18</v>
      </c>
      <c r="J102" s="15">
        <f t="shared" si="13"/>
        <v>305.82</v>
      </c>
      <c r="K102" s="170">
        <v>0.1000100715077048</v>
      </c>
      <c r="L102" s="63">
        <f t="shared" si="14"/>
        <v>251.26</v>
      </c>
      <c r="M102" s="63">
        <f t="shared" si="15"/>
        <v>174.75</v>
      </c>
      <c r="N102" s="63">
        <f t="shared" si="16"/>
        <v>194.12</v>
      </c>
      <c r="O102" s="63">
        <f t="shared" si="17"/>
        <v>203.88</v>
      </c>
    </row>
    <row r="103" spans="1:15" ht="15" customHeight="1">
      <c r="A103" s="9" t="s">
        <v>165</v>
      </c>
      <c r="B103" s="10">
        <f t="shared" si="19"/>
        <v>0.2</v>
      </c>
      <c r="C103" s="10">
        <v>8</v>
      </c>
      <c r="D103" s="10" t="s">
        <v>138</v>
      </c>
      <c r="E103" s="13" t="s">
        <v>137</v>
      </c>
      <c r="F103" s="32" t="s">
        <v>87</v>
      </c>
      <c r="G103" s="82">
        <v>21.844000000000001</v>
      </c>
      <c r="H103" s="15">
        <f t="shared" si="11"/>
        <v>262.13</v>
      </c>
      <c r="I103" s="68">
        <f t="shared" si="12"/>
        <v>291.18</v>
      </c>
      <c r="J103" s="15">
        <f t="shared" si="13"/>
        <v>305.82</v>
      </c>
      <c r="K103" s="170">
        <v>0.1000100715077048</v>
      </c>
      <c r="L103" s="63">
        <f t="shared" si="14"/>
        <v>251.26</v>
      </c>
      <c r="M103" s="63">
        <f t="shared" si="15"/>
        <v>174.75</v>
      </c>
      <c r="N103" s="63">
        <f t="shared" si="16"/>
        <v>194.12</v>
      </c>
      <c r="O103" s="63">
        <f t="shared" si="17"/>
        <v>203.88</v>
      </c>
    </row>
    <row r="104" spans="1:15" ht="15" customHeight="1">
      <c r="A104" s="9" t="s">
        <v>165</v>
      </c>
      <c r="B104" s="10">
        <f t="shared" si="19"/>
        <v>0.2</v>
      </c>
      <c r="C104" s="10">
        <v>8</v>
      </c>
      <c r="D104" s="10" t="s">
        <v>138</v>
      </c>
      <c r="E104" s="13" t="s">
        <v>137</v>
      </c>
      <c r="F104" s="32" t="s">
        <v>89</v>
      </c>
      <c r="G104" s="82">
        <v>21.898</v>
      </c>
      <c r="H104" s="15">
        <f t="shared" si="11"/>
        <v>262.77999999999997</v>
      </c>
      <c r="I104" s="68">
        <f t="shared" si="12"/>
        <v>291.89999999999998</v>
      </c>
      <c r="J104" s="15">
        <f t="shared" si="13"/>
        <v>306.57</v>
      </c>
      <c r="K104" s="170">
        <v>0.10001507007585264</v>
      </c>
      <c r="L104" s="63">
        <f t="shared" si="14"/>
        <v>251.89</v>
      </c>
      <c r="M104" s="63">
        <f t="shared" si="15"/>
        <v>175.19</v>
      </c>
      <c r="N104" s="63">
        <f t="shared" si="16"/>
        <v>194.6</v>
      </c>
      <c r="O104" s="63">
        <f t="shared" si="17"/>
        <v>204.38</v>
      </c>
    </row>
    <row r="105" spans="1:15" ht="15" customHeight="1">
      <c r="A105" s="9" t="s">
        <v>165</v>
      </c>
      <c r="B105" s="10">
        <f t="shared" si="19"/>
        <v>0.23</v>
      </c>
      <c r="C105" s="10">
        <v>9</v>
      </c>
      <c r="D105" s="10" t="s">
        <v>138</v>
      </c>
      <c r="E105" s="13" t="s">
        <v>137</v>
      </c>
      <c r="F105" s="32" t="s">
        <v>89</v>
      </c>
      <c r="G105" s="82">
        <v>21.898</v>
      </c>
      <c r="H105" s="15">
        <f t="shared" si="11"/>
        <v>262.77999999999997</v>
      </c>
      <c r="I105" s="68">
        <f t="shared" si="12"/>
        <v>291.89999999999998</v>
      </c>
      <c r="J105" s="15">
        <f t="shared" si="13"/>
        <v>306.57</v>
      </c>
      <c r="K105" s="170">
        <v>0.10001507007585264</v>
      </c>
      <c r="L105" s="63">
        <f t="shared" si="14"/>
        <v>251.89</v>
      </c>
      <c r="M105" s="63">
        <f t="shared" si="15"/>
        <v>175.19</v>
      </c>
      <c r="N105" s="63">
        <f t="shared" si="16"/>
        <v>194.6</v>
      </c>
      <c r="O105" s="63">
        <f t="shared" si="17"/>
        <v>204.38</v>
      </c>
    </row>
    <row r="106" spans="1:15" ht="15" customHeight="1">
      <c r="A106" s="9" t="s">
        <v>165</v>
      </c>
      <c r="B106" s="10">
        <f t="shared" si="19"/>
        <v>0.25</v>
      </c>
      <c r="C106" s="10">
        <v>10</v>
      </c>
      <c r="D106" s="10" t="s">
        <v>138</v>
      </c>
      <c r="E106" s="13" t="s">
        <v>137</v>
      </c>
      <c r="F106" s="32" t="s">
        <v>89</v>
      </c>
      <c r="G106" s="82">
        <v>22.53</v>
      </c>
      <c r="H106" s="15">
        <f t="shared" si="11"/>
        <v>270.36</v>
      </c>
      <c r="I106" s="68">
        <f t="shared" si="12"/>
        <v>300.32</v>
      </c>
      <c r="J106" s="15">
        <f t="shared" si="13"/>
        <v>315.42</v>
      </c>
      <c r="K106" s="170">
        <v>9.9990235328581312E-2</v>
      </c>
      <c r="L106" s="63">
        <f t="shared" si="14"/>
        <v>259.14999999999998</v>
      </c>
      <c r="M106" s="63">
        <f t="shared" si="15"/>
        <v>180.24</v>
      </c>
      <c r="N106" s="63">
        <f t="shared" si="16"/>
        <v>200.21</v>
      </c>
      <c r="O106" s="63">
        <f t="shared" si="17"/>
        <v>210.28</v>
      </c>
    </row>
    <row r="107" spans="1:15" ht="15" customHeight="1">
      <c r="A107" s="9" t="s">
        <v>165</v>
      </c>
      <c r="B107" s="10">
        <f>ROUND(C107*0.0254,3)</f>
        <v>7.5999999999999998E-2</v>
      </c>
      <c r="C107" s="10">
        <v>3</v>
      </c>
      <c r="D107" s="10" t="s">
        <v>29</v>
      </c>
      <c r="E107" s="13" t="s">
        <v>137</v>
      </c>
      <c r="F107" s="32" t="s">
        <v>81</v>
      </c>
      <c r="G107" s="82">
        <v>24.715</v>
      </c>
      <c r="H107" s="15">
        <f t="shared" si="11"/>
        <v>296.58</v>
      </c>
      <c r="I107" s="68">
        <f t="shared" si="12"/>
        <v>329.45</v>
      </c>
      <c r="J107" s="15">
        <f t="shared" si="13"/>
        <v>346.01</v>
      </c>
      <c r="K107" s="170">
        <v>0.10000890154886943</v>
      </c>
      <c r="L107" s="63">
        <f t="shared" si="14"/>
        <v>284.29000000000002</v>
      </c>
      <c r="M107" s="63">
        <f t="shared" si="15"/>
        <v>197.72</v>
      </c>
      <c r="N107" s="63">
        <f t="shared" si="16"/>
        <v>219.63</v>
      </c>
      <c r="O107" s="63">
        <f t="shared" si="17"/>
        <v>230.67</v>
      </c>
    </row>
    <row r="108" spans="1:15" ht="15" customHeight="1">
      <c r="A108" s="9" t="s">
        <v>165</v>
      </c>
      <c r="B108" s="10">
        <f t="shared" ref="B108:B111" si="20">ROUND(C108*0.0254,3)</f>
        <v>7.5999999999999998E-2</v>
      </c>
      <c r="C108" s="10">
        <v>3</v>
      </c>
      <c r="D108" s="10" t="s">
        <v>29</v>
      </c>
      <c r="E108" s="13" t="s">
        <v>137</v>
      </c>
      <c r="F108" s="32" t="s">
        <v>122</v>
      </c>
      <c r="G108" s="82">
        <v>24.913</v>
      </c>
      <c r="H108" s="15">
        <f t="shared" si="11"/>
        <v>298.95999999999998</v>
      </c>
      <c r="I108" s="68">
        <f t="shared" si="12"/>
        <v>332.09</v>
      </c>
      <c r="J108" s="15">
        <f t="shared" si="13"/>
        <v>348.78</v>
      </c>
      <c r="K108" s="170">
        <v>0.10000883080183676</v>
      </c>
      <c r="L108" s="63">
        <f t="shared" si="14"/>
        <v>286.57</v>
      </c>
      <c r="M108" s="63">
        <f t="shared" si="15"/>
        <v>199.31</v>
      </c>
      <c r="N108" s="63">
        <f t="shared" si="16"/>
        <v>221.39</v>
      </c>
      <c r="O108" s="63">
        <f t="shared" si="17"/>
        <v>232.52</v>
      </c>
    </row>
    <row r="109" spans="1:15" ht="15" customHeight="1">
      <c r="A109" s="9" t="s">
        <v>165</v>
      </c>
      <c r="B109" s="10">
        <f t="shared" si="20"/>
        <v>8.8999999999999996E-2</v>
      </c>
      <c r="C109" s="10">
        <v>3.5</v>
      </c>
      <c r="D109" s="10" t="s">
        <v>29</v>
      </c>
      <c r="E109" s="13" t="s">
        <v>137</v>
      </c>
      <c r="F109" s="32" t="s">
        <v>122</v>
      </c>
      <c r="G109" s="82">
        <v>24.913</v>
      </c>
      <c r="H109" s="15">
        <f t="shared" si="11"/>
        <v>298.95999999999998</v>
      </c>
      <c r="I109" s="68">
        <f t="shared" si="12"/>
        <v>332.09</v>
      </c>
      <c r="J109" s="15">
        <f t="shared" si="13"/>
        <v>348.78</v>
      </c>
      <c r="K109" s="170">
        <v>0.10000883080183676</v>
      </c>
      <c r="L109" s="63">
        <f t="shared" si="14"/>
        <v>286.57</v>
      </c>
      <c r="M109" s="63">
        <f t="shared" si="15"/>
        <v>199.31</v>
      </c>
      <c r="N109" s="63">
        <f t="shared" si="16"/>
        <v>221.39</v>
      </c>
      <c r="O109" s="63">
        <f t="shared" si="17"/>
        <v>232.52</v>
      </c>
    </row>
    <row r="110" spans="1:15" ht="15" customHeight="1">
      <c r="A110" s="9" t="s">
        <v>165</v>
      </c>
      <c r="B110" s="10">
        <f t="shared" si="20"/>
        <v>8.8999999999999996E-2</v>
      </c>
      <c r="C110" s="10">
        <v>3.5</v>
      </c>
      <c r="D110" s="10" t="s">
        <v>29</v>
      </c>
      <c r="E110" s="13" t="s">
        <v>137</v>
      </c>
      <c r="F110" s="32" t="s">
        <v>92</v>
      </c>
      <c r="G110" s="82">
        <v>24.913</v>
      </c>
      <c r="H110" s="15">
        <f t="shared" si="11"/>
        <v>298.95999999999998</v>
      </c>
      <c r="I110" s="68">
        <f t="shared" si="12"/>
        <v>332.09</v>
      </c>
      <c r="J110" s="15">
        <f t="shared" si="13"/>
        <v>348.78</v>
      </c>
      <c r="K110" s="170">
        <v>0.10000883080183676</v>
      </c>
      <c r="L110" s="63">
        <f t="shared" si="14"/>
        <v>286.57</v>
      </c>
      <c r="M110" s="63">
        <f t="shared" si="15"/>
        <v>199.31</v>
      </c>
      <c r="N110" s="63">
        <f t="shared" si="16"/>
        <v>221.39</v>
      </c>
      <c r="O110" s="63">
        <f t="shared" si="17"/>
        <v>232.52</v>
      </c>
    </row>
    <row r="111" spans="1:15" ht="15" customHeight="1">
      <c r="A111" s="9" t="s">
        <v>165</v>
      </c>
      <c r="B111" s="10">
        <f t="shared" si="20"/>
        <v>8.8999999999999996E-2</v>
      </c>
      <c r="C111" s="10">
        <v>3.5</v>
      </c>
      <c r="D111" s="10" t="s">
        <v>29</v>
      </c>
      <c r="E111" s="13" t="s">
        <v>137</v>
      </c>
      <c r="F111" s="32" t="s">
        <v>83</v>
      </c>
      <c r="G111" s="82">
        <v>24.913</v>
      </c>
      <c r="H111" s="15">
        <f t="shared" si="11"/>
        <v>298.95999999999998</v>
      </c>
      <c r="I111" s="68">
        <f t="shared" si="12"/>
        <v>332.09</v>
      </c>
      <c r="J111" s="15">
        <f t="shared" si="13"/>
        <v>348.78</v>
      </c>
      <c r="K111" s="170">
        <v>0.10000883080183676</v>
      </c>
      <c r="L111" s="63">
        <f t="shared" si="14"/>
        <v>286.57</v>
      </c>
      <c r="M111" s="63">
        <f t="shared" si="15"/>
        <v>199.31</v>
      </c>
      <c r="N111" s="63">
        <f t="shared" si="16"/>
        <v>221.39</v>
      </c>
      <c r="O111" s="63">
        <f t="shared" si="17"/>
        <v>232.52</v>
      </c>
    </row>
    <row r="112" spans="1:15" ht="15" customHeight="1">
      <c r="A112" s="9" t="s">
        <v>165</v>
      </c>
      <c r="B112" s="10">
        <f t="shared" ref="B112" si="21">ROUND(C112*0.0254,2)</f>
        <v>0.1</v>
      </c>
      <c r="C112" s="10">
        <v>4</v>
      </c>
      <c r="D112" s="10" t="s">
        <v>29</v>
      </c>
      <c r="E112" s="13" t="s">
        <v>137</v>
      </c>
      <c r="F112" s="32" t="s">
        <v>92</v>
      </c>
      <c r="G112" s="82">
        <v>24.317</v>
      </c>
      <c r="H112" s="15">
        <f t="shared" si="11"/>
        <v>291.8</v>
      </c>
      <c r="I112" s="68">
        <f t="shared" si="12"/>
        <v>324.14999999999998</v>
      </c>
      <c r="J112" s="15">
        <f t="shared" si="13"/>
        <v>340.44</v>
      </c>
      <c r="K112" s="170">
        <v>0.10001809463494071</v>
      </c>
      <c r="L112" s="63">
        <f t="shared" si="14"/>
        <v>279.7</v>
      </c>
      <c r="M112" s="63">
        <f t="shared" si="15"/>
        <v>194.53</v>
      </c>
      <c r="N112" s="63">
        <f t="shared" si="16"/>
        <v>216.1</v>
      </c>
      <c r="O112" s="63">
        <f t="shared" si="17"/>
        <v>226.96</v>
      </c>
    </row>
    <row r="113" spans="1:15" ht="15" customHeight="1">
      <c r="A113" s="9" t="s">
        <v>165</v>
      </c>
      <c r="B113" s="10">
        <f t="shared" si="19"/>
        <v>0.1</v>
      </c>
      <c r="C113" s="10">
        <v>4</v>
      </c>
      <c r="D113" s="10" t="s">
        <v>29</v>
      </c>
      <c r="E113" s="13" t="s">
        <v>137</v>
      </c>
      <c r="F113" s="32" t="s">
        <v>83</v>
      </c>
      <c r="G113" s="82">
        <v>24.317</v>
      </c>
      <c r="H113" s="15">
        <f t="shared" si="11"/>
        <v>291.8</v>
      </c>
      <c r="I113" s="68">
        <f t="shared" si="12"/>
        <v>324.14999999999998</v>
      </c>
      <c r="J113" s="15">
        <f t="shared" si="13"/>
        <v>340.44</v>
      </c>
      <c r="K113" s="170">
        <v>0.10001809463494071</v>
      </c>
      <c r="L113" s="63">
        <f t="shared" si="14"/>
        <v>279.7</v>
      </c>
      <c r="M113" s="63">
        <f t="shared" si="15"/>
        <v>194.53</v>
      </c>
      <c r="N113" s="63">
        <f t="shared" si="16"/>
        <v>216.1</v>
      </c>
      <c r="O113" s="63">
        <f t="shared" si="17"/>
        <v>226.96</v>
      </c>
    </row>
    <row r="114" spans="1:15" ht="15" customHeight="1">
      <c r="A114" s="9" t="s">
        <v>165</v>
      </c>
      <c r="B114" s="10">
        <f t="shared" si="19"/>
        <v>0.1</v>
      </c>
      <c r="C114" s="10">
        <v>4</v>
      </c>
      <c r="D114" s="10" t="s">
        <v>29</v>
      </c>
      <c r="E114" s="13" t="s">
        <v>137</v>
      </c>
      <c r="F114" s="32" t="s">
        <v>166</v>
      </c>
      <c r="G114" s="82">
        <v>25.498999999999999</v>
      </c>
      <c r="H114" s="15">
        <f t="shared" si="11"/>
        <v>305.99</v>
      </c>
      <c r="I114" s="68">
        <f t="shared" si="12"/>
        <v>339.9</v>
      </c>
      <c r="J114" s="15">
        <f t="shared" si="13"/>
        <v>356.99</v>
      </c>
      <c r="K114" s="170">
        <v>9.999568612225529E-2</v>
      </c>
      <c r="L114" s="63">
        <f t="shared" si="14"/>
        <v>293.31</v>
      </c>
      <c r="M114" s="63">
        <f t="shared" si="15"/>
        <v>203.99</v>
      </c>
      <c r="N114" s="63">
        <f t="shared" si="16"/>
        <v>226.6</v>
      </c>
      <c r="O114" s="63">
        <f t="shared" si="17"/>
        <v>237.99</v>
      </c>
    </row>
    <row r="115" spans="1:15" ht="15" customHeight="1">
      <c r="A115" s="9" t="s">
        <v>165</v>
      </c>
      <c r="B115" s="10">
        <f t="shared" si="19"/>
        <v>0.1</v>
      </c>
      <c r="C115" s="10">
        <v>4</v>
      </c>
      <c r="D115" s="10" t="s">
        <v>29</v>
      </c>
      <c r="E115" s="13" t="s">
        <v>137</v>
      </c>
      <c r="F115" s="32" t="s">
        <v>85</v>
      </c>
      <c r="G115" s="82">
        <v>25.867999999999999</v>
      </c>
      <c r="H115" s="15">
        <f t="shared" si="11"/>
        <v>310.42</v>
      </c>
      <c r="I115" s="68">
        <f t="shared" si="12"/>
        <v>344.82</v>
      </c>
      <c r="J115" s="15">
        <f t="shared" si="13"/>
        <v>362.15</v>
      </c>
      <c r="K115" s="170">
        <v>0.1000170096955264</v>
      </c>
      <c r="L115" s="63">
        <f t="shared" si="14"/>
        <v>297.55</v>
      </c>
      <c r="M115" s="63">
        <f t="shared" si="15"/>
        <v>206.95</v>
      </c>
      <c r="N115" s="63">
        <f t="shared" si="16"/>
        <v>229.88</v>
      </c>
      <c r="O115" s="63">
        <f t="shared" si="17"/>
        <v>241.43</v>
      </c>
    </row>
    <row r="116" spans="1:15" ht="15" customHeight="1">
      <c r="A116" s="9" t="s">
        <v>165</v>
      </c>
      <c r="B116" s="10">
        <f t="shared" si="19"/>
        <v>0.11</v>
      </c>
      <c r="C116" s="10">
        <v>4.5</v>
      </c>
      <c r="D116" s="10" t="s">
        <v>29</v>
      </c>
      <c r="E116" s="13" t="s">
        <v>137</v>
      </c>
      <c r="F116" s="32" t="s">
        <v>85</v>
      </c>
      <c r="G116" s="82">
        <v>26.396999999999998</v>
      </c>
      <c r="H116" s="15">
        <f t="shared" si="11"/>
        <v>316.76</v>
      </c>
      <c r="I116" s="68">
        <f t="shared" si="12"/>
        <v>351.87</v>
      </c>
      <c r="J116" s="15">
        <f t="shared" si="13"/>
        <v>369.56</v>
      </c>
      <c r="K116" s="170">
        <v>0.10001250156269537</v>
      </c>
      <c r="L116" s="63">
        <f t="shared" si="14"/>
        <v>303.62</v>
      </c>
      <c r="M116" s="63">
        <f t="shared" si="15"/>
        <v>211.17</v>
      </c>
      <c r="N116" s="63">
        <f t="shared" si="16"/>
        <v>234.58</v>
      </c>
      <c r="O116" s="63">
        <f t="shared" si="17"/>
        <v>246.37</v>
      </c>
    </row>
    <row r="117" spans="1:15" ht="15" customHeight="1">
      <c r="A117" s="9" t="s">
        <v>165</v>
      </c>
      <c r="B117" s="10">
        <f t="shared" si="19"/>
        <v>0.11</v>
      </c>
      <c r="C117" s="10">
        <v>4.5</v>
      </c>
      <c r="D117" s="10" t="s">
        <v>29</v>
      </c>
      <c r="E117" s="13" t="s">
        <v>137</v>
      </c>
      <c r="F117" s="32" t="s">
        <v>84</v>
      </c>
      <c r="G117" s="82">
        <v>24.876999999999999</v>
      </c>
      <c r="H117" s="15">
        <f t="shared" si="11"/>
        <v>298.52</v>
      </c>
      <c r="I117" s="68">
        <f t="shared" si="12"/>
        <v>331.61</v>
      </c>
      <c r="J117" s="15">
        <f t="shared" si="13"/>
        <v>348.28</v>
      </c>
      <c r="K117" s="170">
        <v>0.10002210921954457</v>
      </c>
      <c r="L117" s="63">
        <f t="shared" si="14"/>
        <v>286.14</v>
      </c>
      <c r="M117" s="63">
        <f t="shared" si="15"/>
        <v>199.01</v>
      </c>
      <c r="N117" s="63">
        <f t="shared" si="16"/>
        <v>221.07</v>
      </c>
      <c r="O117" s="63">
        <f t="shared" si="17"/>
        <v>232.19</v>
      </c>
    </row>
    <row r="118" spans="1:15" ht="15" customHeight="1">
      <c r="A118" s="9" t="s">
        <v>165</v>
      </c>
      <c r="B118" s="10">
        <f t="shared" si="19"/>
        <v>0.13</v>
      </c>
      <c r="C118" s="10">
        <v>5</v>
      </c>
      <c r="D118" s="10" t="s">
        <v>29</v>
      </c>
      <c r="E118" s="13" t="s">
        <v>137</v>
      </c>
      <c r="F118" s="32" t="s">
        <v>86</v>
      </c>
      <c r="G118" s="82">
        <v>25.788</v>
      </c>
      <c r="H118" s="15">
        <f t="shared" si="11"/>
        <v>309.45999999999998</v>
      </c>
      <c r="I118" s="68">
        <f t="shared" si="12"/>
        <v>343.75</v>
      </c>
      <c r="J118" s="15">
        <f t="shared" si="13"/>
        <v>361.03</v>
      </c>
      <c r="K118" s="170">
        <v>9.9982938065176663E-2</v>
      </c>
      <c r="L118" s="63">
        <f t="shared" si="14"/>
        <v>296.63</v>
      </c>
      <c r="M118" s="63">
        <f t="shared" si="15"/>
        <v>206.31</v>
      </c>
      <c r="N118" s="63">
        <f t="shared" si="16"/>
        <v>229.17</v>
      </c>
      <c r="O118" s="63">
        <f t="shared" si="17"/>
        <v>240.69</v>
      </c>
    </row>
    <row r="119" spans="1:15" ht="15" customHeight="1">
      <c r="A119" s="9" t="s">
        <v>165</v>
      </c>
      <c r="B119" s="10">
        <f t="shared" si="19"/>
        <v>0.13</v>
      </c>
      <c r="C119" s="10">
        <v>5</v>
      </c>
      <c r="D119" s="10" t="s">
        <v>29</v>
      </c>
      <c r="E119" s="13" t="s">
        <v>137</v>
      </c>
      <c r="F119" s="32" t="s">
        <v>84</v>
      </c>
      <c r="G119" s="82">
        <v>25.279</v>
      </c>
      <c r="H119" s="15">
        <f t="shared" si="11"/>
        <v>303.35000000000002</v>
      </c>
      <c r="I119" s="68">
        <f t="shared" si="12"/>
        <v>336.97</v>
      </c>
      <c r="J119" s="15">
        <f t="shared" si="13"/>
        <v>353.91</v>
      </c>
      <c r="K119" s="170">
        <v>9.9995648579261021E-2</v>
      </c>
      <c r="L119" s="63">
        <f t="shared" si="14"/>
        <v>290.77</v>
      </c>
      <c r="M119" s="63">
        <f t="shared" si="15"/>
        <v>202.23</v>
      </c>
      <c r="N119" s="63">
        <f t="shared" si="16"/>
        <v>224.65</v>
      </c>
      <c r="O119" s="63">
        <f t="shared" si="17"/>
        <v>235.94</v>
      </c>
    </row>
    <row r="120" spans="1:15" ht="15" customHeight="1">
      <c r="A120" s="9" t="s">
        <v>165</v>
      </c>
      <c r="B120" s="10">
        <f t="shared" si="19"/>
        <v>0.13</v>
      </c>
      <c r="C120" s="10">
        <v>5</v>
      </c>
      <c r="D120" s="10" t="s">
        <v>29</v>
      </c>
      <c r="E120" s="13" t="s">
        <v>137</v>
      </c>
      <c r="F120" s="32" t="s">
        <v>117</v>
      </c>
      <c r="G120" s="82">
        <v>26.079000000000001</v>
      </c>
      <c r="H120" s="15">
        <f t="shared" si="11"/>
        <v>312.95</v>
      </c>
      <c r="I120" s="68">
        <f t="shared" si="12"/>
        <v>347.63</v>
      </c>
      <c r="J120" s="15">
        <f t="shared" si="13"/>
        <v>365.11</v>
      </c>
      <c r="K120" s="170">
        <v>0.1000084359709803</v>
      </c>
      <c r="L120" s="63">
        <f t="shared" si="14"/>
        <v>299.97000000000003</v>
      </c>
      <c r="M120" s="63">
        <f t="shared" si="15"/>
        <v>208.63</v>
      </c>
      <c r="N120" s="63">
        <f t="shared" si="16"/>
        <v>231.75</v>
      </c>
      <c r="O120" s="63">
        <f t="shared" si="17"/>
        <v>243.41</v>
      </c>
    </row>
    <row r="121" spans="1:15" ht="15" customHeight="1">
      <c r="A121" s="9" t="s">
        <v>165</v>
      </c>
      <c r="B121" s="10">
        <f t="shared" si="19"/>
        <v>0.15</v>
      </c>
      <c r="C121" s="10">
        <v>6</v>
      </c>
      <c r="D121" s="10" t="s">
        <v>29</v>
      </c>
      <c r="E121" s="13" t="s">
        <v>137</v>
      </c>
      <c r="F121" s="32" t="s">
        <v>86</v>
      </c>
      <c r="G121" s="82">
        <v>27.094999999999999</v>
      </c>
      <c r="H121" s="15">
        <f t="shared" si="11"/>
        <v>325.14</v>
      </c>
      <c r="I121" s="68">
        <f t="shared" si="12"/>
        <v>361.18</v>
      </c>
      <c r="J121" s="15">
        <f t="shared" si="13"/>
        <v>379.33</v>
      </c>
      <c r="K121" s="170">
        <v>9.9991880480675421E-2</v>
      </c>
      <c r="L121" s="63">
        <f t="shared" si="14"/>
        <v>311.66000000000003</v>
      </c>
      <c r="M121" s="63">
        <f t="shared" si="15"/>
        <v>216.76</v>
      </c>
      <c r="N121" s="63">
        <f t="shared" si="16"/>
        <v>240.79</v>
      </c>
      <c r="O121" s="63">
        <f t="shared" si="17"/>
        <v>252.89</v>
      </c>
    </row>
    <row r="122" spans="1:15" ht="15" customHeight="1">
      <c r="A122" s="9" t="s">
        <v>165</v>
      </c>
      <c r="B122" s="10">
        <f t="shared" si="19"/>
        <v>0.15</v>
      </c>
      <c r="C122" s="10">
        <v>6</v>
      </c>
      <c r="D122" s="10" t="s">
        <v>29</v>
      </c>
      <c r="E122" s="13" t="s">
        <v>137</v>
      </c>
      <c r="F122" s="32" t="s">
        <v>117</v>
      </c>
      <c r="G122" s="82">
        <v>26.548999999999999</v>
      </c>
      <c r="H122" s="15">
        <f t="shared" si="11"/>
        <v>318.58999999999997</v>
      </c>
      <c r="I122" s="68">
        <f t="shared" si="12"/>
        <v>353.9</v>
      </c>
      <c r="J122" s="15">
        <f t="shared" si="13"/>
        <v>371.69</v>
      </c>
      <c r="K122" s="170">
        <v>0.10002071680132585</v>
      </c>
      <c r="L122" s="63">
        <f t="shared" si="14"/>
        <v>305.38</v>
      </c>
      <c r="M122" s="63">
        <f t="shared" si="15"/>
        <v>212.39</v>
      </c>
      <c r="N122" s="63">
        <f t="shared" si="16"/>
        <v>235.93</v>
      </c>
      <c r="O122" s="63">
        <f t="shared" si="17"/>
        <v>247.79</v>
      </c>
    </row>
    <row r="123" spans="1:15" ht="15" customHeight="1">
      <c r="A123" s="9" t="s">
        <v>165</v>
      </c>
      <c r="B123" s="10">
        <f t="shared" si="19"/>
        <v>0.18</v>
      </c>
      <c r="C123" s="10">
        <v>7</v>
      </c>
      <c r="D123" s="10" t="s">
        <v>29</v>
      </c>
      <c r="E123" s="13" t="s">
        <v>137</v>
      </c>
      <c r="F123" s="32" t="s">
        <v>93</v>
      </c>
      <c r="G123" s="82">
        <v>25.594999999999999</v>
      </c>
      <c r="H123" s="15">
        <f t="shared" si="11"/>
        <v>307.14</v>
      </c>
      <c r="I123" s="68">
        <f t="shared" si="12"/>
        <v>341.18</v>
      </c>
      <c r="J123" s="15">
        <f t="shared" si="13"/>
        <v>358.33</v>
      </c>
      <c r="K123" s="170">
        <v>0.10000859549595997</v>
      </c>
      <c r="L123" s="63">
        <f t="shared" si="14"/>
        <v>294.41000000000003</v>
      </c>
      <c r="M123" s="63">
        <f t="shared" si="15"/>
        <v>204.76</v>
      </c>
      <c r="N123" s="63">
        <f t="shared" si="16"/>
        <v>227.45</v>
      </c>
      <c r="O123" s="63">
        <f t="shared" si="17"/>
        <v>238.89</v>
      </c>
    </row>
    <row r="124" spans="1:15" ht="15" customHeight="1">
      <c r="A124" s="9" t="s">
        <v>165</v>
      </c>
      <c r="B124" s="10">
        <f t="shared" si="19"/>
        <v>0.18</v>
      </c>
      <c r="C124" s="10">
        <v>7</v>
      </c>
      <c r="D124" s="10" t="s">
        <v>29</v>
      </c>
      <c r="E124" s="13" t="s">
        <v>137</v>
      </c>
      <c r="F124" s="32" t="s">
        <v>87</v>
      </c>
      <c r="G124" s="82">
        <v>27.11</v>
      </c>
      <c r="H124" s="15">
        <f t="shared" si="11"/>
        <v>325.32</v>
      </c>
      <c r="I124" s="68">
        <f t="shared" si="12"/>
        <v>361.38</v>
      </c>
      <c r="J124" s="15">
        <f t="shared" si="13"/>
        <v>379.54</v>
      </c>
      <c r="K124" s="170">
        <v>0.1000202880908907</v>
      </c>
      <c r="L124" s="63">
        <f t="shared" si="14"/>
        <v>311.83</v>
      </c>
      <c r="M124" s="63">
        <f t="shared" si="15"/>
        <v>216.88</v>
      </c>
      <c r="N124" s="63">
        <f t="shared" si="16"/>
        <v>240.92</v>
      </c>
      <c r="O124" s="63">
        <f t="shared" si="17"/>
        <v>253.03</v>
      </c>
    </row>
    <row r="125" spans="1:15" ht="15" customHeight="1">
      <c r="A125" s="9" t="s">
        <v>165</v>
      </c>
      <c r="B125" s="10">
        <f t="shared" si="19"/>
        <v>0.18</v>
      </c>
      <c r="C125" s="10">
        <v>7</v>
      </c>
      <c r="D125" s="10" t="s">
        <v>29</v>
      </c>
      <c r="E125" s="13" t="s">
        <v>137</v>
      </c>
      <c r="F125" s="32" t="s">
        <v>95</v>
      </c>
      <c r="G125" s="82">
        <v>27.11</v>
      </c>
      <c r="H125" s="15">
        <f t="shared" si="11"/>
        <v>325.32</v>
      </c>
      <c r="I125" s="68">
        <f t="shared" si="12"/>
        <v>361.38</v>
      </c>
      <c r="J125" s="15">
        <f t="shared" si="13"/>
        <v>379.54</v>
      </c>
      <c r="K125" s="170">
        <v>0.1000202880908907</v>
      </c>
      <c r="L125" s="63">
        <f t="shared" si="14"/>
        <v>311.83</v>
      </c>
      <c r="M125" s="63">
        <f t="shared" si="15"/>
        <v>216.88</v>
      </c>
      <c r="N125" s="63">
        <f t="shared" si="16"/>
        <v>240.92</v>
      </c>
      <c r="O125" s="63">
        <f t="shared" si="17"/>
        <v>253.03</v>
      </c>
    </row>
    <row r="126" spans="1:15" ht="15" customHeight="1">
      <c r="A126" s="9" t="s">
        <v>165</v>
      </c>
      <c r="B126" s="10">
        <f t="shared" si="19"/>
        <v>0.2</v>
      </c>
      <c r="C126" s="10">
        <v>8</v>
      </c>
      <c r="D126" s="10" t="s">
        <v>29</v>
      </c>
      <c r="E126" s="13" t="s">
        <v>137</v>
      </c>
      <c r="F126" s="32" t="s">
        <v>95</v>
      </c>
      <c r="G126" s="82">
        <v>27.605</v>
      </c>
      <c r="H126" s="15">
        <f t="shared" si="11"/>
        <v>331.26</v>
      </c>
      <c r="I126" s="68">
        <f t="shared" si="12"/>
        <v>367.97</v>
      </c>
      <c r="J126" s="15">
        <f t="shared" si="13"/>
        <v>386.47</v>
      </c>
      <c r="K126" s="170">
        <v>0.10001992428770667</v>
      </c>
      <c r="L126" s="63">
        <f t="shared" si="14"/>
        <v>317.52</v>
      </c>
      <c r="M126" s="63">
        <f t="shared" si="15"/>
        <v>220.84</v>
      </c>
      <c r="N126" s="63">
        <f t="shared" si="16"/>
        <v>245.31</v>
      </c>
      <c r="O126" s="63">
        <f t="shared" si="17"/>
        <v>257.64999999999998</v>
      </c>
    </row>
    <row r="127" spans="1:15" ht="15" customHeight="1">
      <c r="A127" s="9" t="s">
        <v>165</v>
      </c>
      <c r="B127" s="10">
        <f t="shared" si="19"/>
        <v>0.2</v>
      </c>
      <c r="C127" s="10">
        <v>8</v>
      </c>
      <c r="D127" s="10" t="s">
        <v>29</v>
      </c>
      <c r="E127" s="13" t="s">
        <v>137</v>
      </c>
      <c r="F127" s="32" t="s">
        <v>87</v>
      </c>
      <c r="G127" s="82">
        <v>27.605</v>
      </c>
      <c r="H127" s="15">
        <f t="shared" si="11"/>
        <v>331.26</v>
      </c>
      <c r="I127" s="68">
        <f t="shared" si="12"/>
        <v>367.97</v>
      </c>
      <c r="J127" s="15">
        <f t="shared" si="13"/>
        <v>386.47</v>
      </c>
      <c r="K127" s="170">
        <v>0.10001992428770667</v>
      </c>
      <c r="L127" s="63">
        <f t="shared" si="14"/>
        <v>317.52</v>
      </c>
      <c r="M127" s="63">
        <f t="shared" si="15"/>
        <v>220.84</v>
      </c>
      <c r="N127" s="63">
        <f t="shared" si="16"/>
        <v>245.31</v>
      </c>
      <c r="O127" s="63">
        <f t="shared" si="17"/>
        <v>257.64999999999998</v>
      </c>
    </row>
    <row r="128" spans="1:15" ht="15" customHeight="1">
      <c r="A128" s="9" t="s">
        <v>165</v>
      </c>
      <c r="B128" s="10">
        <f t="shared" si="19"/>
        <v>0.2</v>
      </c>
      <c r="C128" s="10">
        <v>8</v>
      </c>
      <c r="D128" s="10" t="s">
        <v>29</v>
      </c>
      <c r="E128" s="13" t="s">
        <v>137</v>
      </c>
      <c r="F128" s="32" t="s">
        <v>89</v>
      </c>
      <c r="G128" s="82">
        <v>27.170999999999999</v>
      </c>
      <c r="H128" s="15">
        <f t="shared" si="11"/>
        <v>326.05</v>
      </c>
      <c r="I128" s="68">
        <f t="shared" si="12"/>
        <v>362.19</v>
      </c>
      <c r="J128" s="15">
        <f t="shared" si="13"/>
        <v>380.39</v>
      </c>
      <c r="K128" s="170">
        <v>9.9995951580907683E-2</v>
      </c>
      <c r="L128" s="63">
        <f t="shared" si="14"/>
        <v>312.54000000000002</v>
      </c>
      <c r="M128" s="63">
        <f t="shared" si="15"/>
        <v>217.37</v>
      </c>
      <c r="N128" s="63">
        <f t="shared" si="16"/>
        <v>241.46</v>
      </c>
      <c r="O128" s="63">
        <f t="shared" si="17"/>
        <v>253.59</v>
      </c>
    </row>
    <row r="129" spans="1:15" ht="15" customHeight="1">
      <c r="A129" s="9" t="s">
        <v>165</v>
      </c>
      <c r="B129" s="10">
        <f t="shared" si="19"/>
        <v>0.23</v>
      </c>
      <c r="C129" s="10">
        <v>9</v>
      </c>
      <c r="D129" s="10" t="s">
        <v>29</v>
      </c>
      <c r="E129" s="13" t="s">
        <v>137</v>
      </c>
      <c r="F129" s="32" t="s">
        <v>89</v>
      </c>
      <c r="G129" s="82">
        <v>27.535</v>
      </c>
      <c r="H129" s="15">
        <f t="shared" si="11"/>
        <v>330.42</v>
      </c>
      <c r="I129" s="68">
        <f t="shared" si="12"/>
        <v>367.04</v>
      </c>
      <c r="J129" s="15">
        <f t="shared" si="13"/>
        <v>385.49</v>
      </c>
      <c r="K129" s="170">
        <v>9.9992010226909622E-2</v>
      </c>
      <c r="L129" s="63">
        <f t="shared" si="14"/>
        <v>316.72000000000003</v>
      </c>
      <c r="M129" s="63">
        <f t="shared" si="15"/>
        <v>220.28</v>
      </c>
      <c r="N129" s="63">
        <f t="shared" si="16"/>
        <v>244.69</v>
      </c>
      <c r="O129" s="63">
        <f t="shared" si="17"/>
        <v>256.99</v>
      </c>
    </row>
    <row r="130" spans="1:15" ht="15" customHeight="1">
      <c r="A130" s="9" t="s">
        <v>165</v>
      </c>
      <c r="B130" s="10">
        <f t="shared" si="19"/>
        <v>0.25</v>
      </c>
      <c r="C130" s="10">
        <v>10</v>
      </c>
      <c r="D130" s="10" t="s">
        <v>29</v>
      </c>
      <c r="E130" s="13" t="s">
        <v>137</v>
      </c>
      <c r="F130" s="32" t="s">
        <v>89</v>
      </c>
      <c r="G130" s="82">
        <v>27.765999999999998</v>
      </c>
      <c r="H130" s="15">
        <f t="shared" si="11"/>
        <v>333.19</v>
      </c>
      <c r="I130" s="68">
        <f t="shared" si="12"/>
        <v>370.12</v>
      </c>
      <c r="J130" s="15">
        <f t="shared" si="13"/>
        <v>388.72</v>
      </c>
      <c r="K130" s="170">
        <v>9.9992076697567489E-2</v>
      </c>
      <c r="L130" s="63">
        <f t="shared" si="14"/>
        <v>319.37</v>
      </c>
      <c r="M130" s="63">
        <f t="shared" si="15"/>
        <v>222.13</v>
      </c>
      <c r="N130" s="63">
        <f t="shared" si="16"/>
        <v>246.75</v>
      </c>
      <c r="O130" s="63">
        <f t="shared" si="17"/>
        <v>259.14999999999998</v>
      </c>
    </row>
    <row r="131" spans="1:15" ht="15" customHeight="1">
      <c r="A131" s="9" t="s">
        <v>165</v>
      </c>
      <c r="B131" s="10">
        <f t="shared" si="19"/>
        <v>0.3</v>
      </c>
      <c r="C131" s="10">
        <v>12</v>
      </c>
      <c r="D131" s="10" t="s">
        <v>29</v>
      </c>
      <c r="E131" s="13" t="s">
        <v>137</v>
      </c>
      <c r="F131" s="32" t="s">
        <v>167</v>
      </c>
      <c r="G131" s="82">
        <v>28.329000000000001</v>
      </c>
      <c r="H131" s="15">
        <f t="shared" si="11"/>
        <v>339.95</v>
      </c>
      <c r="I131" s="68">
        <f t="shared" si="12"/>
        <v>377.63</v>
      </c>
      <c r="J131" s="15">
        <f t="shared" si="13"/>
        <v>396.61</v>
      </c>
      <c r="K131" s="170">
        <v>9.9984468432088081E-2</v>
      </c>
      <c r="L131" s="63">
        <f t="shared" si="14"/>
        <v>325.86</v>
      </c>
      <c r="M131" s="63">
        <f t="shared" si="15"/>
        <v>226.63</v>
      </c>
      <c r="N131" s="63">
        <f t="shared" si="16"/>
        <v>251.75</v>
      </c>
      <c r="O131" s="63">
        <f t="shared" si="17"/>
        <v>264.41000000000003</v>
      </c>
    </row>
    <row r="132" spans="1:15" ht="15" customHeight="1">
      <c r="A132" s="9" t="s">
        <v>165</v>
      </c>
      <c r="B132" s="10">
        <f t="shared" si="19"/>
        <v>0.3</v>
      </c>
      <c r="C132" s="10">
        <v>12</v>
      </c>
      <c r="D132" s="10" t="s">
        <v>29</v>
      </c>
      <c r="E132" s="13" t="s">
        <v>137</v>
      </c>
      <c r="F132" s="32" t="s">
        <v>90</v>
      </c>
      <c r="G132" s="82">
        <v>27.503</v>
      </c>
      <c r="H132" s="15">
        <f t="shared" si="11"/>
        <v>330.04</v>
      </c>
      <c r="I132" s="68">
        <f t="shared" si="12"/>
        <v>366.61</v>
      </c>
      <c r="J132" s="15">
        <f t="shared" si="13"/>
        <v>385.04</v>
      </c>
      <c r="K132" s="170">
        <v>9.9988001439827112E-2</v>
      </c>
      <c r="L132" s="63">
        <f t="shared" si="14"/>
        <v>316.36</v>
      </c>
      <c r="M132" s="63">
        <f t="shared" si="15"/>
        <v>220.03</v>
      </c>
      <c r="N132" s="63">
        <f t="shared" si="16"/>
        <v>244.41</v>
      </c>
      <c r="O132" s="63">
        <f t="shared" si="17"/>
        <v>256.69</v>
      </c>
    </row>
    <row r="133" spans="1:15" ht="15" customHeight="1">
      <c r="A133" s="9" t="s">
        <v>165</v>
      </c>
      <c r="B133" s="10">
        <f t="shared" si="19"/>
        <v>0.38</v>
      </c>
      <c r="C133" s="10">
        <v>15</v>
      </c>
      <c r="D133" s="10" t="s">
        <v>29</v>
      </c>
      <c r="E133" s="13" t="s">
        <v>137</v>
      </c>
      <c r="F133" s="32" t="s">
        <v>90</v>
      </c>
      <c r="G133" s="82">
        <v>28.812000000000001</v>
      </c>
      <c r="H133" s="15">
        <f t="shared" si="11"/>
        <v>345.74</v>
      </c>
      <c r="I133" s="68">
        <f t="shared" si="12"/>
        <v>384.06</v>
      </c>
      <c r="J133" s="15">
        <f t="shared" si="13"/>
        <v>403.37</v>
      </c>
      <c r="K133" s="170">
        <v>9.9988546558240632E-2</v>
      </c>
      <c r="L133" s="63">
        <f t="shared" si="14"/>
        <v>331.41</v>
      </c>
      <c r="M133" s="63">
        <f t="shared" si="15"/>
        <v>230.49</v>
      </c>
      <c r="N133" s="63">
        <f t="shared" si="16"/>
        <v>256.04000000000002</v>
      </c>
      <c r="O133" s="63">
        <f t="shared" si="17"/>
        <v>268.91000000000003</v>
      </c>
    </row>
    <row r="134" spans="1:15" ht="15" customHeight="1">
      <c r="A134" s="9" t="s">
        <v>165</v>
      </c>
      <c r="B134" s="10">
        <f t="shared" si="19"/>
        <v>0.51</v>
      </c>
      <c r="C134" s="10">
        <v>20</v>
      </c>
      <c r="D134" s="10" t="s">
        <v>29</v>
      </c>
      <c r="E134" s="13" t="s">
        <v>137</v>
      </c>
      <c r="F134" s="32" t="s">
        <v>168</v>
      </c>
      <c r="G134" s="82">
        <v>36.365000000000002</v>
      </c>
      <c r="H134" s="15">
        <f t="shared" si="11"/>
        <v>436.38</v>
      </c>
      <c r="I134" s="68">
        <f t="shared" si="12"/>
        <v>484.75</v>
      </c>
      <c r="J134" s="15">
        <f t="shared" si="13"/>
        <v>509.11</v>
      </c>
      <c r="K134" s="170">
        <v>0.10000302489488511</v>
      </c>
      <c r="L134" s="63">
        <f t="shared" si="14"/>
        <v>418.28</v>
      </c>
      <c r="M134" s="63">
        <f t="shared" si="15"/>
        <v>290.92</v>
      </c>
      <c r="N134" s="63">
        <f t="shared" si="16"/>
        <v>323.17</v>
      </c>
      <c r="O134" s="63">
        <f t="shared" si="17"/>
        <v>339.41</v>
      </c>
    </row>
    <row r="135" spans="1:15" ht="15" customHeight="1">
      <c r="A135" s="9" t="s">
        <v>165</v>
      </c>
      <c r="B135" s="10">
        <f t="shared" si="19"/>
        <v>0.51</v>
      </c>
      <c r="C135" s="10">
        <v>20</v>
      </c>
      <c r="D135" s="10" t="s">
        <v>29</v>
      </c>
      <c r="E135" s="13" t="s">
        <v>137</v>
      </c>
      <c r="F135" s="32" t="s">
        <v>169</v>
      </c>
      <c r="G135" s="82">
        <v>36.365000000000002</v>
      </c>
      <c r="H135" s="15">
        <f t="shared" si="11"/>
        <v>436.38</v>
      </c>
      <c r="I135" s="68">
        <f t="shared" si="12"/>
        <v>484.75</v>
      </c>
      <c r="J135" s="15">
        <f t="shared" si="13"/>
        <v>509.11</v>
      </c>
      <c r="K135" s="170">
        <v>0.10000302489488511</v>
      </c>
      <c r="L135" s="63">
        <f t="shared" si="14"/>
        <v>418.28</v>
      </c>
      <c r="M135" s="63">
        <f t="shared" si="15"/>
        <v>290.92</v>
      </c>
      <c r="N135" s="63">
        <f t="shared" si="16"/>
        <v>323.17</v>
      </c>
      <c r="O135" s="63">
        <f t="shared" si="17"/>
        <v>339.41</v>
      </c>
    </row>
    <row r="136" spans="1:15" ht="14.4" customHeight="1">
      <c r="A136" s="9" t="s">
        <v>165</v>
      </c>
      <c r="B136" s="10">
        <f t="shared" si="19"/>
        <v>0.51</v>
      </c>
      <c r="C136" s="10">
        <v>20</v>
      </c>
      <c r="D136" s="10" t="s">
        <v>29</v>
      </c>
      <c r="E136" s="13" t="s">
        <v>137</v>
      </c>
      <c r="F136" s="32" t="s">
        <v>91</v>
      </c>
      <c r="G136" s="82">
        <v>35.487000000000002</v>
      </c>
      <c r="H136" s="15">
        <f t="shared" si="11"/>
        <v>425.84</v>
      </c>
      <c r="I136" s="68">
        <f t="shared" si="12"/>
        <v>473.04</v>
      </c>
      <c r="J136" s="15">
        <f t="shared" si="13"/>
        <v>496.82</v>
      </c>
      <c r="K136" s="170">
        <v>9.9996900282074197E-2</v>
      </c>
      <c r="L136" s="63">
        <f t="shared" si="14"/>
        <v>408.18</v>
      </c>
      <c r="M136" s="63">
        <f t="shared" si="15"/>
        <v>283.89</v>
      </c>
      <c r="N136" s="63">
        <f t="shared" si="16"/>
        <v>315.36</v>
      </c>
      <c r="O136" s="63">
        <f t="shared" si="17"/>
        <v>331.21</v>
      </c>
    </row>
    <row r="137" spans="1:15" ht="15" customHeight="1">
      <c r="A137" s="9" t="s">
        <v>165</v>
      </c>
      <c r="B137" s="10">
        <f t="shared" si="19"/>
        <v>0.64</v>
      </c>
      <c r="C137" s="10">
        <v>25</v>
      </c>
      <c r="D137" s="10" t="s">
        <v>29</v>
      </c>
      <c r="E137" s="13" t="s">
        <v>137</v>
      </c>
      <c r="F137" s="32" t="s">
        <v>88</v>
      </c>
      <c r="G137" s="82">
        <v>37.883000000000003</v>
      </c>
      <c r="H137" s="15">
        <f t="shared" si="11"/>
        <v>454.6</v>
      </c>
      <c r="I137" s="68">
        <f t="shared" si="12"/>
        <v>504.98</v>
      </c>
      <c r="J137" s="15">
        <f t="shared" si="13"/>
        <v>530.36</v>
      </c>
      <c r="K137" s="170">
        <v>0.10000290368477605</v>
      </c>
      <c r="L137" s="63">
        <f t="shared" si="14"/>
        <v>435.76</v>
      </c>
      <c r="M137" s="63">
        <f t="shared" si="15"/>
        <v>303.07</v>
      </c>
      <c r="N137" s="63">
        <f t="shared" si="16"/>
        <v>336.65</v>
      </c>
      <c r="O137" s="63">
        <f t="shared" si="17"/>
        <v>353.57</v>
      </c>
    </row>
    <row r="138" spans="1:15" ht="15" customHeight="1">
      <c r="A138" s="9" t="s">
        <v>165</v>
      </c>
      <c r="B138" s="10">
        <f t="shared" si="19"/>
        <v>0.91</v>
      </c>
      <c r="C138" s="10">
        <v>36</v>
      </c>
      <c r="D138" s="10" t="s">
        <v>29</v>
      </c>
      <c r="E138" s="13" t="s">
        <v>137</v>
      </c>
      <c r="F138" s="32" t="s">
        <v>133</v>
      </c>
      <c r="G138" s="82">
        <v>45.686999999999998</v>
      </c>
      <c r="H138" s="15">
        <f t="shared" si="11"/>
        <v>548.24</v>
      </c>
      <c r="I138" s="68">
        <f t="shared" si="12"/>
        <v>609.01</v>
      </c>
      <c r="J138" s="15">
        <f t="shared" si="13"/>
        <v>639.62</v>
      </c>
      <c r="K138" s="170">
        <v>9.9990369335965612E-2</v>
      </c>
      <c r="L138" s="63">
        <f t="shared" si="14"/>
        <v>525.51</v>
      </c>
      <c r="M138" s="63">
        <f t="shared" si="15"/>
        <v>365.49</v>
      </c>
      <c r="N138" s="63">
        <f t="shared" si="16"/>
        <v>406.01</v>
      </c>
      <c r="O138" s="63">
        <f t="shared" si="17"/>
        <v>426.41</v>
      </c>
    </row>
    <row r="139" spans="1:15" ht="15" customHeight="1">
      <c r="A139" s="9" t="s">
        <v>165</v>
      </c>
      <c r="B139" s="10">
        <f t="shared" si="19"/>
        <v>0.99</v>
      </c>
      <c r="C139" s="10">
        <v>39</v>
      </c>
      <c r="D139" s="10" t="s">
        <v>29</v>
      </c>
      <c r="E139" s="13" t="s">
        <v>137</v>
      </c>
      <c r="F139" s="32" t="s">
        <v>84</v>
      </c>
      <c r="G139" s="82">
        <v>48.594000000000001</v>
      </c>
      <c r="H139" s="15">
        <f t="shared" si="11"/>
        <v>583.13</v>
      </c>
      <c r="I139" s="68">
        <f t="shared" si="12"/>
        <v>647.76</v>
      </c>
      <c r="J139" s="15">
        <f t="shared" si="13"/>
        <v>680.32</v>
      </c>
      <c r="K139" s="170">
        <v>0.10000905469032961</v>
      </c>
      <c r="L139" s="63">
        <f t="shared" si="14"/>
        <v>558.96</v>
      </c>
      <c r="M139" s="63">
        <f t="shared" si="15"/>
        <v>388.75</v>
      </c>
      <c r="N139" s="63">
        <f t="shared" si="16"/>
        <v>431.84</v>
      </c>
      <c r="O139" s="63">
        <f t="shared" si="17"/>
        <v>453.55</v>
      </c>
    </row>
    <row r="140" spans="1:15" ht="15" customHeight="1">
      <c r="A140" s="9" t="s">
        <v>165</v>
      </c>
      <c r="B140" s="10">
        <f t="shared" si="19"/>
        <v>1.19</v>
      </c>
      <c r="C140" s="10">
        <v>47</v>
      </c>
      <c r="D140" s="10" t="s">
        <v>29</v>
      </c>
      <c r="E140" s="13" t="s">
        <v>137</v>
      </c>
      <c r="F140" s="32" t="s">
        <v>84</v>
      </c>
      <c r="G140" s="82">
        <v>54.823</v>
      </c>
      <c r="H140" s="15">
        <f t="shared" si="11"/>
        <v>657.88</v>
      </c>
      <c r="I140" s="68">
        <f t="shared" si="12"/>
        <v>730.79</v>
      </c>
      <c r="J140" s="15">
        <f t="shared" si="13"/>
        <v>767.52</v>
      </c>
      <c r="K140" s="170">
        <v>0.10000200646080382</v>
      </c>
      <c r="L140" s="63">
        <f t="shared" si="14"/>
        <v>630.6</v>
      </c>
      <c r="M140" s="63">
        <f t="shared" si="15"/>
        <v>438.59</v>
      </c>
      <c r="N140" s="63">
        <f t="shared" si="16"/>
        <v>487.19</v>
      </c>
      <c r="O140" s="63">
        <f t="shared" si="17"/>
        <v>511.68</v>
      </c>
    </row>
    <row r="142" spans="1:15" ht="16.8" customHeight="1">
      <c r="A142" s="171" t="s">
        <v>170</v>
      </c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</row>
    <row r="143" spans="1:15" ht="21.6" customHeight="1">
      <c r="A143" s="114" t="s">
        <v>13</v>
      </c>
      <c r="B143" s="114" t="s">
        <v>31</v>
      </c>
      <c r="C143" s="114" t="s">
        <v>32</v>
      </c>
      <c r="D143" s="114" t="s">
        <v>33</v>
      </c>
      <c r="E143" s="159" t="s">
        <v>34</v>
      </c>
      <c r="F143" s="159" t="s">
        <v>35</v>
      </c>
      <c r="G143" s="114" t="s">
        <v>36</v>
      </c>
      <c r="H143" s="114" t="s">
        <v>37</v>
      </c>
      <c r="I143" s="172" t="s">
        <v>38</v>
      </c>
      <c r="J143" s="172"/>
      <c r="K143" s="114" t="s">
        <v>23</v>
      </c>
    </row>
    <row r="144" spans="1:15" ht="15" customHeight="1">
      <c r="A144" s="13" t="s">
        <v>165</v>
      </c>
      <c r="B144" s="13">
        <v>106</v>
      </c>
      <c r="C144" s="65">
        <v>72</v>
      </c>
      <c r="D144" s="13" t="s">
        <v>40</v>
      </c>
      <c r="E144" s="17" t="s">
        <v>41</v>
      </c>
      <c r="F144" s="13">
        <v>3937</v>
      </c>
      <c r="G144" s="18">
        <v>2.8809999999999998</v>
      </c>
      <c r="H144" s="19">
        <f t="shared" ref="H144:H170" si="22">ROUND(G144*13.124,2)</f>
        <v>37.81</v>
      </c>
      <c r="I144" s="101">
        <f t="shared" ref="I144:I170" si="23">ROUND(G144*F144,2)</f>
        <v>11342.5</v>
      </c>
      <c r="J144" s="101"/>
      <c r="K144" s="173">
        <v>9.9965289829920367E-2</v>
      </c>
      <c r="L144" s="174"/>
      <c r="M144" s="174"/>
      <c r="N144" s="175"/>
    </row>
    <row r="145" spans="1:14" ht="15" customHeight="1">
      <c r="A145" s="13" t="s">
        <v>165</v>
      </c>
      <c r="B145" s="13">
        <v>106</v>
      </c>
      <c r="C145" s="65">
        <v>75</v>
      </c>
      <c r="D145" s="13" t="s">
        <v>40</v>
      </c>
      <c r="E145" s="17" t="s">
        <v>41</v>
      </c>
      <c r="F145" s="13">
        <v>3937</v>
      </c>
      <c r="G145" s="18">
        <v>3.1469999999999998</v>
      </c>
      <c r="H145" s="19">
        <f t="shared" si="22"/>
        <v>41.3</v>
      </c>
      <c r="I145" s="101">
        <f t="shared" si="23"/>
        <v>12389.74</v>
      </c>
      <c r="J145" s="101"/>
      <c r="K145" s="173">
        <v>0.10009532888465222</v>
      </c>
      <c r="L145" s="174"/>
      <c r="M145" s="174"/>
      <c r="N145" s="175"/>
    </row>
    <row r="146" spans="1:14" ht="15" customHeight="1">
      <c r="A146" s="13" t="s">
        <v>165</v>
      </c>
      <c r="B146" s="13">
        <v>1067</v>
      </c>
      <c r="C146" s="65">
        <v>67</v>
      </c>
      <c r="D146" s="13" t="s">
        <v>40</v>
      </c>
      <c r="E146" s="17" t="s">
        <v>41</v>
      </c>
      <c r="F146" s="13">
        <v>3937</v>
      </c>
      <c r="G146" s="18">
        <v>2.7909999999999999</v>
      </c>
      <c r="H146" s="19">
        <f t="shared" si="22"/>
        <v>36.630000000000003</v>
      </c>
      <c r="I146" s="101">
        <f t="shared" si="23"/>
        <v>10988.17</v>
      </c>
      <c r="J146" s="101"/>
      <c r="K146" s="173">
        <v>9.9964170548190623E-2</v>
      </c>
      <c r="L146" s="174"/>
      <c r="M146" s="174"/>
      <c r="N146" s="175"/>
    </row>
    <row r="147" spans="1:14" ht="15" customHeight="1">
      <c r="A147" s="13" t="s">
        <v>165</v>
      </c>
      <c r="B147" s="13">
        <v>1067</v>
      </c>
      <c r="C147" s="65">
        <v>69</v>
      </c>
      <c r="D147" s="13" t="s">
        <v>40</v>
      </c>
      <c r="E147" s="17" t="s">
        <v>41</v>
      </c>
      <c r="F147" s="13">
        <v>3937</v>
      </c>
      <c r="G147" s="18">
        <v>2.9239999999999999</v>
      </c>
      <c r="H147" s="19">
        <f t="shared" si="22"/>
        <v>38.369999999999997</v>
      </c>
      <c r="I147" s="101">
        <f t="shared" si="23"/>
        <v>11511.79</v>
      </c>
      <c r="J147" s="101"/>
      <c r="K147" s="173">
        <v>9.9863201094391396E-2</v>
      </c>
      <c r="L147" s="174"/>
      <c r="M147" s="174"/>
      <c r="N147" s="175"/>
    </row>
    <row r="148" spans="1:14" ht="15" customHeight="1">
      <c r="A148" s="13" t="s">
        <v>165</v>
      </c>
      <c r="B148" s="13">
        <v>1067</v>
      </c>
      <c r="C148" s="65">
        <v>70</v>
      </c>
      <c r="D148" s="13" t="s">
        <v>40</v>
      </c>
      <c r="E148" s="17" t="s">
        <v>41</v>
      </c>
      <c r="F148" s="13">
        <v>3937</v>
      </c>
      <c r="G148" s="18">
        <v>2.9809999999999999</v>
      </c>
      <c r="H148" s="19">
        <f t="shared" si="22"/>
        <v>39.119999999999997</v>
      </c>
      <c r="I148" s="101">
        <f t="shared" si="23"/>
        <v>11736.2</v>
      </c>
      <c r="J148" s="101"/>
      <c r="K148" s="173">
        <v>9.9966454209996725E-2</v>
      </c>
      <c r="L148" s="174"/>
      <c r="M148" s="174"/>
      <c r="N148" s="175"/>
    </row>
    <row r="149" spans="1:14" ht="15" customHeight="1">
      <c r="A149" s="13" t="s">
        <v>165</v>
      </c>
      <c r="B149" s="13">
        <v>1067</v>
      </c>
      <c r="C149" s="65">
        <v>74</v>
      </c>
      <c r="D149" s="13" t="s">
        <v>40</v>
      </c>
      <c r="E149" s="17" t="s">
        <v>41</v>
      </c>
      <c r="F149" s="13">
        <v>3937</v>
      </c>
      <c r="G149" s="18">
        <v>3.27</v>
      </c>
      <c r="H149" s="19">
        <f t="shared" si="22"/>
        <v>42.92</v>
      </c>
      <c r="I149" s="101">
        <f t="shared" si="23"/>
        <v>12873.99</v>
      </c>
      <c r="J149" s="101"/>
      <c r="K149" s="173">
        <v>0.10000000000000009</v>
      </c>
      <c r="L149" s="174"/>
      <c r="M149" s="174"/>
      <c r="N149" s="175"/>
    </row>
    <row r="150" spans="1:14" ht="15" customHeight="1">
      <c r="A150" s="13" t="s">
        <v>165</v>
      </c>
      <c r="B150" s="13">
        <v>1067</v>
      </c>
      <c r="C150" s="65">
        <v>75.5</v>
      </c>
      <c r="D150" s="13" t="s">
        <v>40</v>
      </c>
      <c r="E150" s="17" t="s">
        <v>41</v>
      </c>
      <c r="F150" s="13">
        <v>3937</v>
      </c>
      <c r="G150" s="18">
        <v>3.38</v>
      </c>
      <c r="H150" s="19">
        <f t="shared" si="22"/>
        <v>44.36</v>
      </c>
      <c r="I150" s="101">
        <f t="shared" si="23"/>
        <v>13307.06</v>
      </c>
      <c r="J150" s="101"/>
      <c r="K150" s="173">
        <v>0.10000000000000009</v>
      </c>
      <c r="L150" s="174"/>
      <c r="M150" s="174"/>
      <c r="N150" s="175"/>
    </row>
    <row r="151" spans="1:14" ht="15" customHeight="1">
      <c r="A151" s="13" t="s">
        <v>165</v>
      </c>
      <c r="B151" s="13">
        <v>1035</v>
      </c>
      <c r="C151" s="65">
        <v>74.5</v>
      </c>
      <c r="D151" s="13" t="s">
        <v>40</v>
      </c>
      <c r="E151" s="17" t="s">
        <v>41</v>
      </c>
      <c r="F151" s="13">
        <v>3937</v>
      </c>
      <c r="G151" s="18">
        <v>4.0289999999999999</v>
      </c>
      <c r="H151" s="19">
        <f t="shared" si="22"/>
        <v>52.88</v>
      </c>
      <c r="I151" s="101">
        <f t="shared" si="23"/>
        <v>15862.17</v>
      </c>
      <c r="J151" s="101"/>
      <c r="K151" s="173">
        <v>0.10002482005460434</v>
      </c>
      <c r="L151" s="174"/>
      <c r="M151" s="174"/>
      <c r="N151" s="175"/>
    </row>
    <row r="152" spans="1:14" ht="15" customHeight="1">
      <c r="A152" s="13" t="s">
        <v>165</v>
      </c>
      <c r="B152" s="13">
        <v>1080</v>
      </c>
      <c r="C152" s="65">
        <v>64</v>
      </c>
      <c r="D152" s="13" t="s">
        <v>40</v>
      </c>
      <c r="E152" s="17" t="s">
        <v>41</v>
      </c>
      <c r="F152" s="13">
        <v>3937</v>
      </c>
      <c r="G152" s="18">
        <v>2.9670000000000001</v>
      </c>
      <c r="H152" s="19">
        <f t="shared" si="22"/>
        <v>38.94</v>
      </c>
      <c r="I152" s="101">
        <f t="shared" si="23"/>
        <v>11681.08</v>
      </c>
      <c r="J152" s="101"/>
      <c r="K152" s="173">
        <v>0.10010111223458029</v>
      </c>
      <c r="L152" s="174"/>
      <c r="M152" s="174"/>
      <c r="N152" s="175"/>
    </row>
    <row r="153" spans="1:14" ht="15" customHeight="1">
      <c r="A153" s="13" t="s">
        <v>165</v>
      </c>
      <c r="B153" s="13">
        <v>1080</v>
      </c>
      <c r="C153" s="65">
        <v>67</v>
      </c>
      <c r="D153" s="13" t="s">
        <v>40</v>
      </c>
      <c r="E153" s="17" t="s">
        <v>41</v>
      </c>
      <c r="F153" s="13">
        <v>3937</v>
      </c>
      <c r="G153" s="18">
        <v>3.1659999999999999</v>
      </c>
      <c r="H153" s="19">
        <f t="shared" si="22"/>
        <v>41.55</v>
      </c>
      <c r="I153" s="101">
        <f t="shared" si="23"/>
        <v>12464.54</v>
      </c>
      <c r="J153" s="101"/>
      <c r="K153" s="173">
        <v>0.1001263423878711</v>
      </c>
      <c r="L153" s="174"/>
      <c r="M153" s="174"/>
      <c r="N153" s="175"/>
    </row>
    <row r="154" spans="1:14" ht="15" customHeight="1">
      <c r="A154" s="13" t="s">
        <v>165</v>
      </c>
      <c r="B154" s="13">
        <v>1080</v>
      </c>
      <c r="C154" s="65">
        <v>69</v>
      </c>
      <c r="D154" s="13" t="s">
        <v>40</v>
      </c>
      <c r="E154" s="17" t="s">
        <v>41</v>
      </c>
      <c r="F154" s="13">
        <v>3937</v>
      </c>
      <c r="G154" s="18">
        <v>3.37</v>
      </c>
      <c r="H154" s="19">
        <f t="shared" si="22"/>
        <v>44.23</v>
      </c>
      <c r="I154" s="101">
        <f t="shared" si="23"/>
        <v>13267.69</v>
      </c>
      <c r="J154" s="101"/>
      <c r="K154" s="173">
        <v>9.9999999999999867E-2</v>
      </c>
      <c r="L154" s="174"/>
      <c r="M154" s="174"/>
      <c r="N154" s="175"/>
    </row>
    <row r="155" spans="1:14" ht="15" customHeight="1">
      <c r="A155" s="13" t="s">
        <v>165</v>
      </c>
      <c r="B155" s="13">
        <v>1080</v>
      </c>
      <c r="C155" s="65">
        <v>72</v>
      </c>
      <c r="D155" s="13" t="s">
        <v>40</v>
      </c>
      <c r="E155" s="17" t="s">
        <v>41</v>
      </c>
      <c r="F155" s="13">
        <v>3937</v>
      </c>
      <c r="G155" s="18">
        <v>3.532</v>
      </c>
      <c r="H155" s="19">
        <f t="shared" si="22"/>
        <v>46.35</v>
      </c>
      <c r="I155" s="101">
        <f t="shared" si="23"/>
        <v>13905.48</v>
      </c>
      <c r="J155" s="101"/>
      <c r="K155" s="173">
        <v>9.9943374858437073E-2</v>
      </c>
      <c r="L155" s="174"/>
      <c r="M155" s="174"/>
      <c r="N155" s="175"/>
    </row>
    <row r="156" spans="1:14" ht="15" customHeight="1">
      <c r="A156" s="13" t="s">
        <v>165</v>
      </c>
      <c r="B156" s="13">
        <v>1078</v>
      </c>
      <c r="C156" s="65">
        <v>64</v>
      </c>
      <c r="D156" s="13" t="s">
        <v>40</v>
      </c>
      <c r="E156" s="17" t="s">
        <v>41</v>
      </c>
      <c r="F156" s="13">
        <v>3937</v>
      </c>
      <c r="G156" s="18">
        <v>3.472</v>
      </c>
      <c r="H156" s="19">
        <f t="shared" si="22"/>
        <v>45.57</v>
      </c>
      <c r="I156" s="101">
        <f t="shared" si="23"/>
        <v>13669.26</v>
      </c>
      <c r="J156" s="101"/>
      <c r="K156" s="173">
        <v>9.9942396313364101E-2</v>
      </c>
      <c r="L156" s="174"/>
      <c r="M156" s="174"/>
      <c r="N156" s="175"/>
    </row>
    <row r="157" spans="1:14" ht="15" customHeight="1">
      <c r="A157" s="13" t="s">
        <v>165</v>
      </c>
      <c r="B157" s="13">
        <v>1078</v>
      </c>
      <c r="C157" s="65">
        <v>67</v>
      </c>
      <c r="D157" s="13" t="s">
        <v>40</v>
      </c>
      <c r="E157" s="17" t="s">
        <v>41</v>
      </c>
      <c r="F157" s="13">
        <v>3937</v>
      </c>
      <c r="G157" s="18">
        <v>3.63</v>
      </c>
      <c r="H157" s="19">
        <f t="shared" si="22"/>
        <v>47.64</v>
      </c>
      <c r="I157" s="101">
        <f t="shared" si="23"/>
        <v>14291.31</v>
      </c>
      <c r="J157" s="101"/>
      <c r="K157" s="173">
        <v>0.10000000000000009</v>
      </c>
      <c r="L157" s="174"/>
      <c r="M157" s="174"/>
      <c r="N157" s="175"/>
    </row>
    <row r="158" spans="1:14" ht="15" customHeight="1">
      <c r="A158" s="13" t="s">
        <v>165</v>
      </c>
      <c r="B158" s="13">
        <v>1078</v>
      </c>
      <c r="C158" s="65">
        <v>69</v>
      </c>
      <c r="D158" s="13" t="s">
        <v>40</v>
      </c>
      <c r="E158" s="17" t="s">
        <v>41</v>
      </c>
      <c r="F158" s="13">
        <v>3937</v>
      </c>
      <c r="G158" s="18">
        <v>3.7189999999999999</v>
      </c>
      <c r="H158" s="19">
        <f t="shared" si="22"/>
        <v>48.81</v>
      </c>
      <c r="I158" s="101">
        <f t="shared" si="23"/>
        <v>14641.7</v>
      </c>
      <c r="J158" s="101"/>
      <c r="K158" s="173">
        <v>0.1000268889486422</v>
      </c>
      <c r="L158" s="174"/>
      <c r="M158" s="174"/>
      <c r="N158" s="175"/>
    </row>
    <row r="159" spans="1:14" ht="15" customHeight="1">
      <c r="A159" s="13" t="s">
        <v>165</v>
      </c>
      <c r="B159" s="13">
        <v>1078</v>
      </c>
      <c r="C159" s="65">
        <v>72</v>
      </c>
      <c r="D159" s="13" t="s">
        <v>40</v>
      </c>
      <c r="E159" s="17" t="s">
        <v>41</v>
      </c>
      <c r="F159" s="13">
        <v>3937</v>
      </c>
      <c r="G159" s="18">
        <v>3.919</v>
      </c>
      <c r="H159" s="19">
        <f t="shared" si="22"/>
        <v>51.43</v>
      </c>
      <c r="I159" s="101">
        <f t="shared" si="23"/>
        <v>15429.1</v>
      </c>
      <c r="J159" s="101"/>
      <c r="K159" s="173">
        <v>0.10002551671344739</v>
      </c>
      <c r="L159" s="174"/>
      <c r="M159" s="174"/>
      <c r="N159" s="175"/>
    </row>
    <row r="160" spans="1:14" ht="15" customHeight="1">
      <c r="A160" s="13" t="s">
        <v>165</v>
      </c>
      <c r="B160" s="13" t="s">
        <v>42</v>
      </c>
      <c r="C160" s="65">
        <v>55.000000000000007</v>
      </c>
      <c r="D160" s="13" t="s">
        <v>40</v>
      </c>
      <c r="E160" s="17" t="s">
        <v>41</v>
      </c>
      <c r="F160" s="13">
        <v>3937</v>
      </c>
      <c r="G160" s="18">
        <v>3.6619999999999999</v>
      </c>
      <c r="H160" s="19">
        <f t="shared" si="22"/>
        <v>48.06</v>
      </c>
      <c r="I160" s="101">
        <f t="shared" si="23"/>
        <v>14417.29</v>
      </c>
      <c r="J160" s="101"/>
      <c r="K160" s="173">
        <v>9.9945385035499656E-2</v>
      </c>
      <c r="L160" s="174"/>
      <c r="M160" s="174"/>
      <c r="N160" s="175"/>
    </row>
    <row r="161" spans="1:14" ht="15" customHeight="1">
      <c r="A161" s="13" t="s">
        <v>165</v>
      </c>
      <c r="B161" s="13" t="s">
        <v>42</v>
      </c>
      <c r="C161" s="65">
        <v>56.999999999999993</v>
      </c>
      <c r="D161" s="13" t="s">
        <v>40</v>
      </c>
      <c r="E161" s="17" t="s">
        <v>41</v>
      </c>
      <c r="F161" s="13">
        <v>3937</v>
      </c>
      <c r="G161" s="18">
        <v>3.629</v>
      </c>
      <c r="H161" s="19">
        <f t="shared" si="22"/>
        <v>47.63</v>
      </c>
      <c r="I161" s="101">
        <f t="shared" si="23"/>
        <v>14287.37</v>
      </c>
      <c r="J161" s="101"/>
      <c r="K161" s="173">
        <v>0.10002755580049594</v>
      </c>
      <c r="L161" s="174"/>
      <c r="M161" s="174"/>
      <c r="N161" s="175"/>
    </row>
    <row r="162" spans="1:14" ht="15" customHeight="1">
      <c r="A162" s="13" t="s">
        <v>165</v>
      </c>
      <c r="B162" s="13" t="s">
        <v>42</v>
      </c>
      <c r="C162" s="65">
        <v>57.999999999999993</v>
      </c>
      <c r="D162" s="13" t="s">
        <v>40</v>
      </c>
      <c r="E162" s="17" t="s">
        <v>41</v>
      </c>
      <c r="F162" s="13">
        <v>3937</v>
      </c>
      <c r="G162" s="18">
        <v>3.8029999999999999</v>
      </c>
      <c r="H162" s="19">
        <f t="shared" si="22"/>
        <v>49.91</v>
      </c>
      <c r="I162" s="101">
        <f t="shared" si="23"/>
        <v>14972.41</v>
      </c>
      <c r="J162" s="101"/>
      <c r="K162" s="173">
        <v>9.9921114909282016E-2</v>
      </c>
      <c r="L162" s="174"/>
      <c r="M162" s="174"/>
      <c r="N162" s="175"/>
    </row>
    <row r="163" spans="1:14" ht="15" customHeight="1">
      <c r="A163" s="13" t="s">
        <v>165</v>
      </c>
      <c r="B163" s="13" t="s">
        <v>42</v>
      </c>
      <c r="C163" s="65">
        <v>59</v>
      </c>
      <c r="D163" s="13" t="s">
        <v>40</v>
      </c>
      <c r="E163" s="17" t="s">
        <v>41</v>
      </c>
      <c r="F163" s="13">
        <v>3937</v>
      </c>
      <c r="G163" s="18">
        <v>3.8540000000000001</v>
      </c>
      <c r="H163" s="19">
        <f t="shared" si="22"/>
        <v>50.58</v>
      </c>
      <c r="I163" s="101">
        <f t="shared" si="23"/>
        <v>15173.2</v>
      </c>
      <c r="J163" s="101"/>
      <c r="K163" s="173">
        <v>9.9896211728074613E-2</v>
      </c>
      <c r="L163" s="174"/>
      <c r="M163" s="174"/>
      <c r="N163" s="175"/>
    </row>
    <row r="164" spans="1:14" ht="15" customHeight="1">
      <c r="A164" s="13" t="s">
        <v>165</v>
      </c>
      <c r="B164" s="13" t="s">
        <v>42</v>
      </c>
      <c r="C164" s="65">
        <v>61</v>
      </c>
      <c r="D164" s="13" t="s">
        <v>40</v>
      </c>
      <c r="E164" s="17" t="s">
        <v>41</v>
      </c>
      <c r="F164" s="13">
        <v>3937</v>
      </c>
      <c r="G164" s="18">
        <v>4.1619999999999999</v>
      </c>
      <c r="H164" s="19">
        <f t="shared" si="22"/>
        <v>54.62</v>
      </c>
      <c r="I164" s="101">
        <f t="shared" si="23"/>
        <v>16385.79</v>
      </c>
      <c r="J164" s="101"/>
      <c r="K164" s="173">
        <v>9.9951946179721363E-2</v>
      </c>
      <c r="L164" s="174"/>
      <c r="M164" s="174"/>
      <c r="N164" s="175"/>
    </row>
    <row r="165" spans="1:14" ht="15" customHeight="1">
      <c r="A165" s="13" t="s">
        <v>165</v>
      </c>
      <c r="B165" s="13" t="s">
        <v>42</v>
      </c>
      <c r="C165" s="65">
        <v>63</v>
      </c>
      <c r="D165" s="13" t="s">
        <v>40</v>
      </c>
      <c r="E165" s="17" t="s">
        <v>41</v>
      </c>
      <c r="F165" s="13">
        <v>3937</v>
      </c>
      <c r="G165" s="18">
        <v>4.2300000000000004</v>
      </c>
      <c r="H165" s="19">
        <f t="shared" si="22"/>
        <v>55.51</v>
      </c>
      <c r="I165" s="101">
        <f t="shared" si="23"/>
        <v>16653.509999999998</v>
      </c>
      <c r="J165" s="101"/>
      <c r="K165" s="173">
        <v>9.9999999999999867E-2</v>
      </c>
      <c r="L165" s="174"/>
      <c r="M165" s="174"/>
      <c r="N165" s="175"/>
    </row>
    <row r="166" spans="1:14" ht="15" customHeight="1">
      <c r="A166" s="13" t="s">
        <v>165</v>
      </c>
      <c r="B166" s="13">
        <v>2116</v>
      </c>
      <c r="C166" s="65">
        <v>53</v>
      </c>
      <c r="D166" s="13" t="s">
        <v>43</v>
      </c>
      <c r="E166" s="17" t="s">
        <v>41</v>
      </c>
      <c r="F166" s="13">
        <v>2624.6</v>
      </c>
      <c r="G166" s="18">
        <v>3.6259999999999999</v>
      </c>
      <c r="H166" s="19">
        <f t="shared" si="22"/>
        <v>47.59</v>
      </c>
      <c r="I166" s="101">
        <f t="shared" si="23"/>
        <v>9516.7999999999993</v>
      </c>
      <c r="J166" s="101"/>
      <c r="K166" s="173">
        <v>0.10011031439602869</v>
      </c>
      <c r="L166" s="174"/>
      <c r="M166" s="174"/>
      <c r="N166" s="175"/>
    </row>
    <row r="167" spans="1:14" ht="15" customHeight="1">
      <c r="A167" s="13" t="s">
        <v>165</v>
      </c>
      <c r="B167" s="13">
        <v>2116</v>
      </c>
      <c r="C167" s="65">
        <v>54</v>
      </c>
      <c r="D167" s="13" t="s">
        <v>43</v>
      </c>
      <c r="E167" s="17" t="s">
        <v>41</v>
      </c>
      <c r="F167" s="13">
        <v>2624.6</v>
      </c>
      <c r="G167" s="18">
        <v>3.718</v>
      </c>
      <c r="H167" s="19">
        <f t="shared" si="22"/>
        <v>48.8</v>
      </c>
      <c r="I167" s="101">
        <f t="shared" si="23"/>
        <v>9758.26</v>
      </c>
      <c r="J167" s="101"/>
      <c r="K167" s="173">
        <v>0.10005379236148459</v>
      </c>
      <c r="L167" s="174"/>
      <c r="M167" s="174"/>
      <c r="N167" s="175"/>
    </row>
    <row r="168" spans="1:14" ht="15" customHeight="1">
      <c r="A168" s="13" t="s">
        <v>165</v>
      </c>
      <c r="B168" s="13">
        <v>2116</v>
      </c>
      <c r="C168" s="65">
        <v>56.000000000000007</v>
      </c>
      <c r="D168" s="13" t="s">
        <v>43</v>
      </c>
      <c r="E168" s="17" t="s">
        <v>41</v>
      </c>
      <c r="F168" s="13">
        <v>2624.6</v>
      </c>
      <c r="G168" s="18">
        <v>3.8380000000000001</v>
      </c>
      <c r="H168" s="19">
        <f t="shared" si="22"/>
        <v>50.37</v>
      </c>
      <c r="I168" s="101">
        <f t="shared" si="23"/>
        <v>10073.209999999999</v>
      </c>
      <c r="J168" s="101"/>
      <c r="K168" s="173">
        <v>0.10005211047420537</v>
      </c>
      <c r="L168" s="174"/>
      <c r="M168" s="174"/>
      <c r="N168" s="175"/>
    </row>
    <row r="169" spans="1:14" ht="15" customHeight="1">
      <c r="A169" s="13" t="s">
        <v>165</v>
      </c>
      <c r="B169" s="13">
        <v>2116</v>
      </c>
      <c r="C169" s="65">
        <v>57.999999999999993</v>
      </c>
      <c r="D169" s="13" t="s">
        <v>43</v>
      </c>
      <c r="E169" s="17" t="s">
        <v>41</v>
      </c>
      <c r="F169" s="13">
        <v>2624.6</v>
      </c>
      <c r="G169" s="18">
        <v>3.968</v>
      </c>
      <c r="H169" s="19">
        <f t="shared" si="22"/>
        <v>52.08</v>
      </c>
      <c r="I169" s="101">
        <f t="shared" si="23"/>
        <v>10414.41</v>
      </c>
      <c r="J169" s="101"/>
      <c r="K169" s="173">
        <v>0.10005040322580649</v>
      </c>
      <c r="L169" s="174"/>
      <c r="M169" s="174"/>
      <c r="N169" s="175"/>
    </row>
    <row r="170" spans="1:14" ht="15" customHeight="1">
      <c r="A170" s="13" t="s">
        <v>165</v>
      </c>
      <c r="B170" s="13">
        <v>2116</v>
      </c>
      <c r="C170" s="65">
        <v>60</v>
      </c>
      <c r="D170" s="13" t="s">
        <v>43</v>
      </c>
      <c r="E170" s="17" t="s">
        <v>41</v>
      </c>
      <c r="F170" s="13">
        <v>2624.6</v>
      </c>
      <c r="G170" s="18">
        <v>3.968</v>
      </c>
      <c r="H170" s="19">
        <f t="shared" si="22"/>
        <v>52.08</v>
      </c>
      <c r="I170" s="101">
        <f t="shared" si="23"/>
        <v>10414.41</v>
      </c>
      <c r="J170" s="101"/>
      <c r="K170" s="173">
        <v>0.10005040322580649</v>
      </c>
      <c r="L170" s="174"/>
      <c r="M170" s="174"/>
      <c r="N170" s="175"/>
    </row>
    <row r="172" spans="1:14">
      <c r="A172" s="168" t="s">
        <v>45</v>
      </c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</row>
    <row r="173" spans="1:14">
      <c r="A173" s="168" t="s">
        <v>46</v>
      </c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</row>
    <row r="174" spans="1:14">
      <c r="A174" s="168" t="s">
        <v>171</v>
      </c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</row>
    <row r="175" spans="1:14">
      <c r="A175" s="168" t="s">
        <v>172</v>
      </c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</row>
    <row r="176" spans="1:14">
      <c r="A176" s="168" t="s">
        <v>48</v>
      </c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</row>
    <row r="177" spans="1:11">
      <c r="A177" s="168" t="s">
        <v>49</v>
      </c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</row>
    <row r="178" spans="1:11">
      <c r="A178" s="168" t="s">
        <v>146</v>
      </c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</row>
    <row r="179" spans="1:11">
      <c r="A179" s="168" t="s">
        <v>78</v>
      </c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</row>
    <row r="180" spans="1:11">
      <c r="A180" s="168" t="s">
        <v>51</v>
      </c>
      <c r="B180" s="88"/>
      <c r="C180" s="88"/>
      <c r="D180" s="88"/>
      <c r="E180" s="88"/>
      <c r="F180" s="88"/>
      <c r="G180" s="88"/>
      <c r="H180" s="88"/>
      <c r="I180" s="88"/>
      <c r="J180" s="88"/>
      <c r="K180" s="88"/>
    </row>
    <row r="181" spans="1:11">
      <c r="A181" s="168"/>
      <c r="B181" s="88"/>
      <c r="C181" s="88"/>
      <c r="D181" s="88"/>
      <c r="E181" s="88"/>
      <c r="F181" s="88"/>
      <c r="G181" s="88"/>
      <c r="H181" s="88"/>
      <c r="I181" s="88"/>
      <c r="J181" s="88"/>
      <c r="K181" s="88"/>
    </row>
    <row r="182" spans="1:11" ht="15.6">
      <c r="A182" s="176" t="s">
        <v>52</v>
      </c>
      <c r="B182" s="176"/>
      <c r="C182" s="177"/>
      <c r="D182" s="177"/>
      <c r="E182" s="177"/>
      <c r="F182" s="177"/>
      <c r="G182" s="177"/>
      <c r="H182" s="176" t="s">
        <v>53</v>
      </c>
      <c r="J182" s="177"/>
    </row>
  </sheetData>
  <mergeCells count="35">
    <mergeCell ref="I166:J166"/>
    <mergeCell ref="I167:J167"/>
    <mergeCell ref="I168:J168"/>
    <mergeCell ref="I169:J169"/>
    <mergeCell ref="I170:J170"/>
    <mergeCell ref="I160:J160"/>
    <mergeCell ref="I161:J161"/>
    <mergeCell ref="I162:J162"/>
    <mergeCell ref="I163:J163"/>
    <mergeCell ref="I164:J164"/>
    <mergeCell ref="I165:J165"/>
    <mergeCell ref="I154:J154"/>
    <mergeCell ref="I155:J155"/>
    <mergeCell ref="I156:J156"/>
    <mergeCell ref="I157:J157"/>
    <mergeCell ref="I158:J158"/>
    <mergeCell ref="I159:J159"/>
    <mergeCell ref="I148:J148"/>
    <mergeCell ref="I149:J149"/>
    <mergeCell ref="I150:J150"/>
    <mergeCell ref="I151:J151"/>
    <mergeCell ref="I152:J152"/>
    <mergeCell ref="I153:J153"/>
    <mergeCell ref="A142:K142"/>
    <mergeCell ref="I143:J143"/>
    <mergeCell ref="I144:J144"/>
    <mergeCell ref="I145:J145"/>
    <mergeCell ref="I146:J146"/>
    <mergeCell ref="I147:J147"/>
    <mergeCell ref="C1:K1"/>
    <mergeCell ref="A2:K2"/>
    <mergeCell ref="A3:K3"/>
    <mergeCell ref="A4:K4"/>
    <mergeCell ref="A5:K5"/>
    <mergeCell ref="A12:K12"/>
  </mergeCells>
  <phoneticPr fontId="1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0195-B0D1-43BE-9041-8FFB0EB0652E}">
  <dimension ref="A1:O121"/>
  <sheetViews>
    <sheetView workbookViewId="0">
      <selection activeCell="T9" sqref="T9"/>
    </sheetView>
  </sheetViews>
  <sheetFormatPr defaultColWidth="9" defaultRowHeight="13.8"/>
  <cols>
    <col min="1" max="11" width="8.09765625" customWidth="1"/>
    <col min="12" max="15" width="0" hidden="1" customWidth="1"/>
    <col min="16" max="16" width="12.69921875" bestFit="1" customWidth="1"/>
  </cols>
  <sheetData>
    <row r="1" spans="1:15" ht="16.350000000000001" customHeight="1"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5" ht="74.400000000000006" customHeight="1">
      <c r="B2" s="178"/>
      <c r="C2" s="178"/>
      <c r="D2" s="178"/>
      <c r="E2" s="178"/>
      <c r="F2" s="178"/>
      <c r="G2" s="178"/>
      <c r="H2" s="178"/>
      <c r="I2" s="178"/>
      <c r="J2" s="178"/>
      <c r="K2" s="178"/>
    </row>
    <row r="3" spans="1:15" ht="22.2" customHeight="1">
      <c r="A3" s="179" t="s">
        <v>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5" ht="15" customHeight="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5" ht="15" customHeight="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5" ht="15" customHeight="1">
      <c r="A6" s="35" t="s">
        <v>3</v>
      </c>
      <c r="B6" s="35" t="s">
        <v>4</v>
      </c>
      <c r="C6" s="36"/>
      <c r="D6" s="36"/>
      <c r="E6" s="36"/>
      <c r="F6" s="36"/>
      <c r="G6" s="36"/>
      <c r="H6" s="36"/>
      <c r="I6" s="35"/>
      <c r="J6" s="180"/>
      <c r="K6" s="181"/>
    </row>
    <row r="7" spans="1:15" ht="15" customHeight="1">
      <c r="A7" s="35"/>
      <c r="B7" s="35" t="s">
        <v>6</v>
      </c>
      <c r="C7" s="36"/>
      <c r="D7" s="36"/>
      <c r="E7" s="36"/>
      <c r="F7" s="36"/>
      <c r="G7" s="36"/>
      <c r="H7" s="36"/>
      <c r="I7" s="38" t="s">
        <v>5</v>
      </c>
      <c r="J7" s="182"/>
      <c r="K7" s="182"/>
    </row>
    <row r="8" spans="1:15" ht="15" customHeight="1">
      <c r="A8" s="35" t="s">
        <v>8</v>
      </c>
      <c r="B8" s="35" t="s">
        <v>173</v>
      </c>
      <c r="C8" s="36"/>
      <c r="D8" s="36"/>
      <c r="E8" s="36"/>
      <c r="F8" s="36"/>
      <c r="G8" s="36"/>
      <c r="H8" s="36"/>
      <c r="I8" s="38" t="s">
        <v>7</v>
      </c>
      <c r="J8" s="182"/>
      <c r="K8" s="182"/>
    </row>
    <row r="9" spans="1:15" ht="15" customHeight="1">
      <c r="A9" s="35"/>
      <c r="B9" s="35" t="s">
        <v>174</v>
      </c>
      <c r="C9" s="36"/>
      <c r="D9" s="36"/>
      <c r="E9" s="36"/>
      <c r="F9" s="36"/>
      <c r="G9" s="36"/>
      <c r="H9" s="36"/>
      <c r="I9" s="38" t="s">
        <v>175</v>
      </c>
      <c r="J9" s="182"/>
      <c r="K9" s="182"/>
    </row>
    <row r="10" spans="1:15" ht="15" customHeight="1">
      <c r="A10" s="36"/>
      <c r="B10" s="36"/>
      <c r="C10" s="36"/>
      <c r="D10" s="36"/>
      <c r="E10" s="36"/>
      <c r="F10" s="36"/>
      <c r="G10" s="36"/>
      <c r="H10" s="36"/>
      <c r="I10" s="183" t="s">
        <v>11</v>
      </c>
      <c r="J10" s="182"/>
      <c r="K10" s="182"/>
    </row>
    <row r="11" spans="1:15" ht="28.2" customHeight="1">
      <c r="A11" s="184" t="s">
        <v>176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</row>
    <row r="12" spans="1:15" ht="25.8" customHeight="1">
      <c r="A12" s="185" t="s">
        <v>177</v>
      </c>
      <c r="B12" s="186" t="s">
        <v>14</v>
      </c>
      <c r="C12" s="186" t="s">
        <v>15</v>
      </c>
      <c r="D12" s="186" t="s">
        <v>17</v>
      </c>
      <c r="E12" s="185" t="s">
        <v>178</v>
      </c>
      <c r="F12" s="186" t="s">
        <v>18</v>
      </c>
      <c r="G12" s="185" t="s">
        <v>179</v>
      </c>
      <c r="H12" s="185" t="s">
        <v>180</v>
      </c>
      <c r="I12" s="185" t="s">
        <v>21</v>
      </c>
      <c r="J12" s="185" t="s">
        <v>181</v>
      </c>
      <c r="K12" s="186" t="s">
        <v>23</v>
      </c>
      <c r="L12" s="187" t="s">
        <v>72</v>
      </c>
      <c r="M12" s="188" t="s">
        <v>73</v>
      </c>
      <c r="N12" s="188" t="s">
        <v>74</v>
      </c>
      <c r="O12" s="188" t="s">
        <v>75</v>
      </c>
    </row>
    <row r="13" spans="1:15" ht="15" customHeight="1">
      <c r="A13" s="189" t="s">
        <v>182</v>
      </c>
      <c r="B13" s="190">
        <f>ROUND(C13*0.0254,3)</f>
        <v>6.4000000000000001E-2</v>
      </c>
      <c r="C13" s="191">
        <v>2.5</v>
      </c>
      <c r="D13" s="192" t="s">
        <v>25</v>
      </c>
      <c r="E13" s="189" t="s">
        <v>154</v>
      </c>
      <c r="F13" s="191" t="s">
        <v>122</v>
      </c>
      <c r="G13" s="193">
        <v>11.821999999999999</v>
      </c>
      <c r="H13" s="194">
        <f t="shared" ref="H13:H76" si="0">ROUND(G13*12,2)</f>
        <v>141.86000000000001</v>
      </c>
      <c r="I13" s="195">
        <f t="shared" ref="I13:I76" si="1">ROUND(G13*13.33,2)</f>
        <v>157.59</v>
      </c>
      <c r="J13" s="196">
        <f t="shared" ref="J13:J76" si="2">ROUND(G13*14,2)</f>
        <v>165.51</v>
      </c>
      <c r="K13" s="197">
        <v>0</v>
      </c>
      <c r="L13" s="63">
        <f>ROUND(ROUND(ROUND(G13*12,2)*43/48,2)*1.07,2)</f>
        <v>135.97999999999999</v>
      </c>
      <c r="M13" s="63">
        <f>ROUND(ROUND(G13*12,2)*2/3,2)</f>
        <v>94.57</v>
      </c>
      <c r="N13" s="63">
        <f>ROUND(ROUND(G13*13.33,2)*2/3,2)</f>
        <v>105.06</v>
      </c>
      <c r="O13" s="63">
        <f>ROUND(ROUND(G13*14,2)*2/3,2)</f>
        <v>110.34</v>
      </c>
    </row>
    <row r="14" spans="1:15" ht="15" customHeight="1">
      <c r="A14" s="189" t="s">
        <v>182</v>
      </c>
      <c r="B14" s="190">
        <f t="shared" ref="B14:B78" si="3">ROUND(C14*0.0254,3)</f>
        <v>7.5999999999999998E-2</v>
      </c>
      <c r="C14" s="191">
        <v>3</v>
      </c>
      <c r="D14" s="192" t="s">
        <v>25</v>
      </c>
      <c r="E14" s="189" t="s">
        <v>154</v>
      </c>
      <c r="F14" s="191" t="s">
        <v>81</v>
      </c>
      <c r="G14" s="193">
        <v>11.959</v>
      </c>
      <c r="H14" s="194">
        <f t="shared" si="0"/>
        <v>143.51</v>
      </c>
      <c r="I14" s="195">
        <f t="shared" si="1"/>
        <v>159.41</v>
      </c>
      <c r="J14" s="196">
        <f t="shared" si="2"/>
        <v>167.43</v>
      </c>
      <c r="K14" s="197">
        <v>0</v>
      </c>
      <c r="L14" s="63">
        <f t="shared" ref="L14:L78" si="4">ROUND(ROUND(ROUND(G14*12,2)*43/48,2)*1.07,2)</f>
        <v>137.56</v>
      </c>
      <c r="M14" s="63">
        <f t="shared" ref="M14:M78" si="5">ROUND(ROUND(G14*12,2)*2/3,2)</f>
        <v>95.67</v>
      </c>
      <c r="N14" s="63">
        <f t="shared" ref="N14:N78" si="6">ROUND(ROUND(G14*13.33,2)*2/3,2)</f>
        <v>106.27</v>
      </c>
      <c r="O14" s="63">
        <f t="shared" ref="O14:O78" si="7">ROUND(ROUND(G14*14,2)*2/3,2)</f>
        <v>111.62</v>
      </c>
    </row>
    <row r="15" spans="1:15" ht="15" customHeight="1">
      <c r="A15" s="189" t="s">
        <v>182</v>
      </c>
      <c r="B15" s="190">
        <f t="shared" si="3"/>
        <v>8.8999999999999996E-2</v>
      </c>
      <c r="C15" s="191">
        <v>3.5</v>
      </c>
      <c r="D15" s="192" t="s">
        <v>25</v>
      </c>
      <c r="E15" s="189" t="s">
        <v>154</v>
      </c>
      <c r="F15" s="191" t="s">
        <v>183</v>
      </c>
      <c r="G15" s="193">
        <v>14.994999999999999</v>
      </c>
      <c r="H15" s="194">
        <f t="shared" si="0"/>
        <v>179.94</v>
      </c>
      <c r="I15" s="195">
        <f t="shared" si="1"/>
        <v>199.88</v>
      </c>
      <c r="J15" s="196">
        <f t="shared" si="2"/>
        <v>209.93</v>
      </c>
      <c r="K15" s="197">
        <v>3.0010003334444812E-2</v>
      </c>
      <c r="L15" s="63">
        <f t="shared" si="4"/>
        <v>172.48</v>
      </c>
      <c r="M15" s="63">
        <f t="shared" si="5"/>
        <v>119.96</v>
      </c>
      <c r="N15" s="63">
        <f t="shared" si="6"/>
        <v>133.25</v>
      </c>
      <c r="O15" s="63">
        <f t="shared" si="7"/>
        <v>139.94999999999999</v>
      </c>
    </row>
    <row r="16" spans="1:15" ht="15" customHeight="1">
      <c r="A16" s="189" t="s">
        <v>182</v>
      </c>
      <c r="B16" s="190">
        <f t="shared" si="3"/>
        <v>8.8999999999999996E-2</v>
      </c>
      <c r="C16" s="191">
        <v>3.5</v>
      </c>
      <c r="D16" s="192" t="s">
        <v>25</v>
      </c>
      <c r="E16" s="189" t="s">
        <v>154</v>
      </c>
      <c r="F16" s="191" t="s">
        <v>81</v>
      </c>
      <c r="G16" s="193">
        <v>11.433</v>
      </c>
      <c r="H16" s="194">
        <f t="shared" si="0"/>
        <v>137.19999999999999</v>
      </c>
      <c r="I16" s="195">
        <f t="shared" si="1"/>
        <v>152.4</v>
      </c>
      <c r="J16" s="196">
        <f t="shared" si="2"/>
        <v>160.06</v>
      </c>
      <c r="K16" s="197">
        <v>8.003148779847824E-2</v>
      </c>
      <c r="L16" s="63">
        <f t="shared" si="4"/>
        <v>131.51</v>
      </c>
      <c r="M16" s="63">
        <f t="shared" si="5"/>
        <v>91.47</v>
      </c>
      <c r="N16" s="63">
        <f t="shared" si="6"/>
        <v>101.6</v>
      </c>
      <c r="O16" s="63">
        <f t="shared" si="7"/>
        <v>106.71</v>
      </c>
    </row>
    <row r="17" spans="1:15" ht="15" customHeight="1">
      <c r="A17" s="189" t="s">
        <v>182</v>
      </c>
      <c r="B17" s="190">
        <f t="shared" si="3"/>
        <v>8.8999999999999996E-2</v>
      </c>
      <c r="C17" s="191">
        <v>3.5</v>
      </c>
      <c r="D17" s="192" t="s">
        <v>25</v>
      </c>
      <c r="E17" s="189" t="s">
        <v>154</v>
      </c>
      <c r="F17" s="191" t="s">
        <v>81</v>
      </c>
      <c r="G17" s="193">
        <v>12.048999999999999</v>
      </c>
      <c r="H17" s="194">
        <f t="shared" si="0"/>
        <v>144.59</v>
      </c>
      <c r="I17" s="195">
        <f t="shared" si="1"/>
        <v>160.61000000000001</v>
      </c>
      <c r="J17" s="196">
        <f t="shared" si="2"/>
        <v>168.69</v>
      </c>
      <c r="K17" s="197">
        <v>0</v>
      </c>
      <c r="L17" s="63">
        <f t="shared" si="4"/>
        <v>138.6</v>
      </c>
      <c r="M17" s="63">
        <f t="shared" si="5"/>
        <v>96.39</v>
      </c>
      <c r="N17" s="63">
        <f t="shared" si="6"/>
        <v>107.07</v>
      </c>
      <c r="O17" s="63">
        <f t="shared" si="7"/>
        <v>112.46</v>
      </c>
    </row>
    <row r="18" spans="1:15" ht="15" customHeight="1">
      <c r="A18" s="189" t="s">
        <v>182</v>
      </c>
      <c r="B18" s="190">
        <f t="shared" si="3"/>
        <v>0.10199999999999999</v>
      </c>
      <c r="C18" s="198">
        <v>4</v>
      </c>
      <c r="D18" s="192" t="s">
        <v>25</v>
      </c>
      <c r="E18" s="189" t="s">
        <v>154</v>
      </c>
      <c r="F18" s="191" t="s">
        <v>83</v>
      </c>
      <c r="G18" s="193">
        <v>12.085000000000001</v>
      </c>
      <c r="H18" s="194">
        <f t="shared" si="0"/>
        <v>145.02000000000001</v>
      </c>
      <c r="I18" s="195">
        <f t="shared" si="1"/>
        <v>161.09</v>
      </c>
      <c r="J18" s="196">
        <f t="shared" si="2"/>
        <v>169.19</v>
      </c>
      <c r="K18" s="197">
        <v>0</v>
      </c>
      <c r="L18" s="63">
        <f t="shared" si="4"/>
        <v>139</v>
      </c>
      <c r="M18" s="63">
        <f t="shared" si="5"/>
        <v>96.68</v>
      </c>
      <c r="N18" s="63">
        <f t="shared" si="6"/>
        <v>107.39</v>
      </c>
      <c r="O18" s="63">
        <f t="shared" si="7"/>
        <v>112.79</v>
      </c>
    </row>
    <row r="19" spans="1:15" ht="15" customHeight="1">
      <c r="A19" s="189" t="s">
        <v>182</v>
      </c>
      <c r="B19" s="190">
        <f t="shared" si="3"/>
        <v>0.10199999999999999</v>
      </c>
      <c r="C19" s="198">
        <v>4</v>
      </c>
      <c r="D19" s="192" t="s">
        <v>25</v>
      </c>
      <c r="E19" s="189" t="s">
        <v>154</v>
      </c>
      <c r="F19" s="199" t="s">
        <v>85</v>
      </c>
      <c r="G19" s="199">
        <v>13.935</v>
      </c>
      <c r="H19" s="194">
        <f t="shared" si="0"/>
        <v>167.22</v>
      </c>
      <c r="I19" s="195">
        <f t="shared" si="1"/>
        <v>185.75</v>
      </c>
      <c r="J19" s="196">
        <f t="shared" si="2"/>
        <v>195.09</v>
      </c>
      <c r="K19" s="197">
        <v>8.0014352350197271E-2</v>
      </c>
      <c r="L19" s="63">
        <f t="shared" si="4"/>
        <v>160.29</v>
      </c>
      <c r="M19" s="63">
        <f t="shared" si="5"/>
        <v>111.48</v>
      </c>
      <c r="N19" s="63">
        <f t="shared" si="6"/>
        <v>123.83</v>
      </c>
      <c r="O19" s="63">
        <f t="shared" si="7"/>
        <v>130.06</v>
      </c>
    </row>
    <row r="20" spans="1:15" ht="15" customHeight="1">
      <c r="A20" s="63" t="s">
        <v>182</v>
      </c>
      <c r="B20" s="190">
        <f t="shared" si="3"/>
        <v>0.114</v>
      </c>
      <c r="C20" s="200">
        <v>4.5</v>
      </c>
      <c r="D20" s="201" t="s">
        <v>25</v>
      </c>
      <c r="E20" s="63" t="s">
        <v>154</v>
      </c>
      <c r="F20" s="191" t="s">
        <v>85</v>
      </c>
      <c r="G20" s="193">
        <v>14.693</v>
      </c>
      <c r="H20" s="194">
        <f t="shared" si="0"/>
        <v>176.32</v>
      </c>
      <c r="I20" s="195">
        <f t="shared" si="1"/>
        <v>195.86</v>
      </c>
      <c r="J20" s="196">
        <f t="shared" si="2"/>
        <v>205.7</v>
      </c>
      <c r="K20" s="197">
        <v>7.997005376709998E-2</v>
      </c>
      <c r="L20" s="63">
        <f t="shared" si="4"/>
        <v>169.01</v>
      </c>
      <c r="M20" s="63">
        <f t="shared" si="5"/>
        <v>117.55</v>
      </c>
      <c r="N20" s="63">
        <f t="shared" si="6"/>
        <v>130.57</v>
      </c>
      <c r="O20" s="63">
        <f t="shared" si="7"/>
        <v>137.13</v>
      </c>
    </row>
    <row r="21" spans="1:15" ht="15" customHeight="1">
      <c r="A21" s="63" t="s">
        <v>182</v>
      </c>
      <c r="B21" s="190">
        <f t="shared" si="3"/>
        <v>0.127</v>
      </c>
      <c r="C21" s="200">
        <v>5</v>
      </c>
      <c r="D21" s="201" t="s">
        <v>25</v>
      </c>
      <c r="E21" s="63" t="s">
        <v>154</v>
      </c>
      <c r="F21" s="191" t="s">
        <v>84</v>
      </c>
      <c r="G21" s="193">
        <v>11.998000000000001</v>
      </c>
      <c r="H21" s="194">
        <f t="shared" si="0"/>
        <v>143.97999999999999</v>
      </c>
      <c r="I21" s="195">
        <f t="shared" si="1"/>
        <v>159.93</v>
      </c>
      <c r="J21" s="196">
        <f t="shared" si="2"/>
        <v>167.97</v>
      </c>
      <c r="K21" s="197">
        <v>0</v>
      </c>
      <c r="L21" s="63">
        <f t="shared" si="4"/>
        <v>138.01</v>
      </c>
      <c r="M21" s="63">
        <f t="shared" si="5"/>
        <v>95.99</v>
      </c>
      <c r="N21" s="63">
        <f t="shared" si="6"/>
        <v>106.62</v>
      </c>
      <c r="O21" s="63">
        <f t="shared" si="7"/>
        <v>111.98</v>
      </c>
    </row>
    <row r="22" spans="1:15" ht="15" customHeight="1">
      <c r="A22" s="63" t="s">
        <v>182</v>
      </c>
      <c r="B22" s="190">
        <f t="shared" si="3"/>
        <v>0.127</v>
      </c>
      <c r="C22" s="200">
        <v>5</v>
      </c>
      <c r="D22" s="201" t="s">
        <v>25</v>
      </c>
      <c r="E22" s="63" t="s">
        <v>154</v>
      </c>
      <c r="F22" s="191" t="s">
        <v>117</v>
      </c>
      <c r="G22" s="193">
        <v>14.436999999999998</v>
      </c>
      <c r="H22" s="194">
        <f t="shared" si="0"/>
        <v>173.24</v>
      </c>
      <c r="I22" s="195">
        <f t="shared" si="1"/>
        <v>192.45</v>
      </c>
      <c r="J22" s="196">
        <f t="shared" si="2"/>
        <v>202.12</v>
      </c>
      <c r="K22" s="197">
        <v>0</v>
      </c>
      <c r="L22" s="63">
        <f t="shared" si="4"/>
        <v>166.05</v>
      </c>
      <c r="M22" s="63">
        <f t="shared" si="5"/>
        <v>115.49</v>
      </c>
      <c r="N22" s="63">
        <f t="shared" si="6"/>
        <v>128.30000000000001</v>
      </c>
      <c r="O22" s="63">
        <f t="shared" si="7"/>
        <v>134.75</v>
      </c>
    </row>
    <row r="23" spans="1:15" ht="15" customHeight="1">
      <c r="A23" s="13" t="s">
        <v>182</v>
      </c>
      <c r="B23" s="190">
        <f t="shared" si="3"/>
        <v>0.152</v>
      </c>
      <c r="C23" s="200">
        <v>6</v>
      </c>
      <c r="D23" s="12" t="s">
        <v>25</v>
      </c>
      <c r="E23" s="13" t="s">
        <v>154</v>
      </c>
      <c r="F23" s="191" t="s">
        <v>86</v>
      </c>
      <c r="G23" s="191">
        <v>14.420999999999999</v>
      </c>
      <c r="H23" s="194">
        <f t="shared" si="0"/>
        <v>173.05</v>
      </c>
      <c r="I23" s="195">
        <f t="shared" si="1"/>
        <v>192.23</v>
      </c>
      <c r="J23" s="196">
        <f t="shared" si="2"/>
        <v>201.89</v>
      </c>
      <c r="K23" s="197">
        <v>8.0022189862006821E-2</v>
      </c>
      <c r="L23" s="63">
        <f t="shared" si="4"/>
        <v>165.87</v>
      </c>
      <c r="M23" s="63">
        <f t="shared" si="5"/>
        <v>115.37</v>
      </c>
      <c r="N23" s="63">
        <f t="shared" si="6"/>
        <v>128.15</v>
      </c>
      <c r="O23" s="63">
        <f t="shared" si="7"/>
        <v>134.59</v>
      </c>
    </row>
    <row r="24" spans="1:15" ht="15" customHeight="1">
      <c r="A24" s="13" t="s">
        <v>182</v>
      </c>
      <c r="B24" s="190">
        <f t="shared" si="3"/>
        <v>0.20300000000000001</v>
      </c>
      <c r="C24" s="200">
        <v>8</v>
      </c>
      <c r="D24" s="12" t="s">
        <v>25</v>
      </c>
      <c r="E24" s="13" t="s">
        <v>154</v>
      </c>
      <c r="F24" s="191" t="s">
        <v>87</v>
      </c>
      <c r="G24" s="191">
        <v>14.283999999999999</v>
      </c>
      <c r="H24" s="194">
        <f t="shared" si="0"/>
        <v>171.41</v>
      </c>
      <c r="I24" s="195">
        <f t="shared" si="1"/>
        <v>190.41</v>
      </c>
      <c r="J24" s="196">
        <f t="shared" si="2"/>
        <v>199.98</v>
      </c>
      <c r="K24" s="197">
        <v>0</v>
      </c>
      <c r="L24" s="63">
        <f t="shared" si="4"/>
        <v>164.3</v>
      </c>
      <c r="M24" s="63">
        <f t="shared" si="5"/>
        <v>114.27</v>
      </c>
      <c r="N24" s="63">
        <f t="shared" si="6"/>
        <v>126.94</v>
      </c>
      <c r="O24" s="63">
        <f t="shared" si="7"/>
        <v>133.32</v>
      </c>
    </row>
    <row r="25" spans="1:15" ht="15" customHeight="1">
      <c r="A25" s="13" t="s">
        <v>182</v>
      </c>
      <c r="B25" s="190">
        <f t="shared" si="3"/>
        <v>0.254</v>
      </c>
      <c r="C25" s="200">
        <v>10</v>
      </c>
      <c r="D25" s="12" t="s">
        <v>25</v>
      </c>
      <c r="E25" s="13" t="s">
        <v>154</v>
      </c>
      <c r="F25" s="191" t="s">
        <v>89</v>
      </c>
      <c r="G25" s="191">
        <v>14.518999999999998</v>
      </c>
      <c r="H25" s="194">
        <f t="shared" si="0"/>
        <v>174.23</v>
      </c>
      <c r="I25" s="195">
        <f t="shared" si="1"/>
        <v>193.54</v>
      </c>
      <c r="J25" s="196">
        <f t="shared" si="2"/>
        <v>203.27</v>
      </c>
      <c r="K25" s="197">
        <v>0</v>
      </c>
      <c r="L25" s="63">
        <f t="shared" si="4"/>
        <v>167.01</v>
      </c>
      <c r="M25" s="63">
        <f t="shared" si="5"/>
        <v>116.15</v>
      </c>
      <c r="N25" s="63">
        <f t="shared" si="6"/>
        <v>129.03</v>
      </c>
      <c r="O25" s="63">
        <f t="shared" si="7"/>
        <v>135.51</v>
      </c>
    </row>
    <row r="26" spans="1:15" ht="15" customHeight="1">
      <c r="A26" s="13" t="s">
        <v>182</v>
      </c>
      <c r="B26" s="190">
        <f t="shared" si="3"/>
        <v>0.30499999999999999</v>
      </c>
      <c r="C26" s="200">
        <v>12</v>
      </c>
      <c r="D26" s="12" t="s">
        <v>25</v>
      </c>
      <c r="E26" s="13" t="s">
        <v>154</v>
      </c>
      <c r="F26" s="191" t="s">
        <v>90</v>
      </c>
      <c r="G26" s="191">
        <v>16.318999999999999</v>
      </c>
      <c r="H26" s="194">
        <f t="shared" si="0"/>
        <v>195.83</v>
      </c>
      <c r="I26" s="195">
        <f t="shared" si="1"/>
        <v>217.53</v>
      </c>
      <c r="J26" s="196">
        <f t="shared" si="2"/>
        <v>228.47</v>
      </c>
      <c r="K26" s="197">
        <v>0</v>
      </c>
      <c r="L26" s="63">
        <f t="shared" si="4"/>
        <v>187.71</v>
      </c>
      <c r="M26" s="63">
        <f t="shared" si="5"/>
        <v>130.55000000000001</v>
      </c>
      <c r="N26" s="63">
        <f t="shared" si="6"/>
        <v>145.02000000000001</v>
      </c>
      <c r="O26" s="63">
        <f t="shared" si="7"/>
        <v>152.31</v>
      </c>
    </row>
    <row r="27" spans="1:15" ht="15" customHeight="1">
      <c r="A27" s="13" t="s">
        <v>182</v>
      </c>
      <c r="B27" s="190">
        <f t="shared" si="3"/>
        <v>0.38100000000000001</v>
      </c>
      <c r="C27" s="200">
        <v>15</v>
      </c>
      <c r="D27" s="12" t="s">
        <v>25</v>
      </c>
      <c r="E27" s="13" t="s">
        <v>154</v>
      </c>
      <c r="F27" s="191" t="s">
        <v>90</v>
      </c>
      <c r="G27" s="191">
        <v>17.785999999999998</v>
      </c>
      <c r="H27" s="194">
        <f t="shared" si="0"/>
        <v>213.43</v>
      </c>
      <c r="I27" s="195">
        <f t="shared" si="1"/>
        <v>237.09</v>
      </c>
      <c r="J27" s="196">
        <f t="shared" si="2"/>
        <v>249</v>
      </c>
      <c r="K27" s="197">
        <v>0</v>
      </c>
      <c r="L27" s="63">
        <f t="shared" si="4"/>
        <v>204.58</v>
      </c>
      <c r="M27" s="63">
        <f t="shared" si="5"/>
        <v>142.29</v>
      </c>
      <c r="N27" s="63">
        <f t="shared" si="6"/>
        <v>158.06</v>
      </c>
      <c r="O27" s="63">
        <f t="shared" si="7"/>
        <v>166</v>
      </c>
    </row>
    <row r="28" spans="1:15" ht="15" customHeight="1">
      <c r="A28" s="13" t="s">
        <v>182</v>
      </c>
      <c r="B28" s="190">
        <f t="shared" si="3"/>
        <v>0.45700000000000002</v>
      </c>
      <c r="C28" s="200">
        <v>18</v>
      </c>
      <c r="D28" s="12" t="s">
        <v>25</v>
      </c>
      <c r="E28" s="13" t="s">
        <v>154</v>
      </c>
      <c r="F28" s="191" t="s">
        <v>129</v>
      </c>
      <c r="G28" s="191">
        <v>19.398</v>
      </c>
      <c r="H28" s="194">
        <f t="shared" si="0"/>
        <v>232.78</v>
      </c>
      <c r="I28" s="195">
        <f t="shared" si="1"/>
        <v>258.58</v>
      </c>
      <c r="J28" s="196">
        <f t="shared" si="2"/>
        <v>271.57</v>
      </c>
      <c r="K28" s="197">
        <v>0</v>
      </c>
      <c r="L28" s="63">
        <f t="shared" si="4"/>
        <v>223.13</v>
      </c>
      <c r="M28" s="63">
        <f t="shared" si="5"/>
        <v>155.19</v>
      </c>
      <c r="N28" s="63">
        <f t="shared" si="6"/>
        <v>172.39</v>
      </c>
      <c r="O28" s="63">
        <f t="shared" si="7"/>
        <v>181.05</v>
      </c>
    </row>
    <row r="29" spans="1:15" ht="15" customHeight="1">
      <c r="A29" s="13" t="s">
        <v>182</v>
      </c>
      <c r="B29" s="190">
        <f t="shared" si="3"/>
        <v>0.50800000000000001</v>
      </c>
      <c r="C29" s="200">
        <v>20</v>
      </c>
      <c r="D29" s="12" t="s">
        <v>25</v>
      </c>
      <c r="E29" s="13" t="s">
        <v>154</v>
      </c>
      <c r="F29" s="191" t="s">
        <v>91</v>
      </c>
      <c r="G29" s="191">
        <v>20.303000000000001</v>
      </c>
      <c r="H29" s="194">
        <f t="shared" si="0"/>
        <v>243.64</v>
      </c>
      <c r="I29" s="195">
        <f t="shared" si="1"/>
        <v>270.64</v>
      </c>
      <c r="J29" s="196">
        <f t="shared" si="2"/>
        <v>284.24</v>
      </c>
      <c r="K29" s="197">
        <v>0</v>
      </c>
      <c r="L29" s="63">
        <f t="shared" si="4"/>
        <v>233.54</v>
      </c>
      <c r="M29" s="63">
        <f t="shared" si="5"/>
        <v>162.43</v>
      </c>
      <c r="N29" s="63">
        <f t="shared" si="6"/>
        <v>180.43</v>
      </c>
      <c r="O29" s="63">
        <f t="shared" si="7"/>
        <v>189.49</v>
      </c>
    </row>
    <row r="30" spans="1:15" ht="15" customHeight="1">
      <c r="A30" s="63" t="s">
        <v>184</v>
      </c>
      <c r="B30" s="190">
        <f t="shared" si="3"/>
        <v>0.61</v>
      </c>
      <c r="C30" s="202">
        <v>24</v>
      </c>
      <c r="D30" s="201" t="s">
        <v>25</v>
      </c>
      <c r="E30" s="63" t="s">
        <v>154</v>
      </c>
      <c r="F30" s="13" t="s">
        <v>94</v>
      </c>
      <c r="G30" s="63">
        <v>15.898</v>
      </c>
      <c r="H30" s="194">
        <f t="shared" si="0"/>
        <v>190.78</v>
      </c>
      <c r="I30" s="195">
        <f t="shared" si="1"/>
        <v>211.92</v>
      </c>
      <c r="J30" s="196">
        <f t="shared" si="2"/>
        <v>222.57</v>
      </c>
      <c r="K30" s="197">
        <v>8.0010064159013794E-2</v>
      </c>
      <c r="L30" s="63">
        <f t="shared" si="4"/>
        <v>182.87</v>
      </c>
      <c r="M30" s="63">
        <f t="shared" si="5"/>
        <v>127.19</v>
      </c>
      <c r="N30" s="63">
        <f t="shared" si="6"/>
        <v>141.28</v>
      </c>
      <c r="O30" s="63">
        <f t="shared" si="7"/>
        <v>148.38</v>
      </c>
    </row>
    <row r="31" spans="1:15" ht="15" customHeight="1">
      <c r="A31" s="13" t="s">
        <v>182</v>
      </c>
      <c r="B31" s="190">
        <f t="shared" si="3"/>
        <v>0.63500000000000001</v>
      </c>
      <c r="C31" s="203">
        <v>25</v>
      </c>
      <c r="D31" s="12" t="s">
        <v>25</v>
      </c>
      <c r="E31" s="13" t="s">
        <v>154</v>
      </c>
      <c r="F31" s="204" t="s">
        <v>88</v>
      </c>
      <c r="G31" s="205">
        <v>22.878</v>
      </c>
      <c r="H31" s="194">
        <f t="shared" si="0"/>
        <v>274.54000000000002</v>
      </c>
      <c r="I31" s="195">
        <f t="shared" si="1"/>
        <v>304.95999999999998</v>
      </c>
      <c r="J31" s="196">
        <f t="shared" si="2"/>
        <v>320.29000000000002</v>
      </c>
      <c r="K31" s="197">
        <v>0</v>
      </c>
      <c r="L31" s="63">
        <f t="shared" si="4"/>
        <v>263.16000000000003</v>
      </c>
      <c r="M31" s="63">
        <f t="shared" si="5"/>
        <v>183.03</v>
      </c>
      <c r="N31" s="63">
        <f t="shared" si="6"/>
        <v>203.31</v>
      </c>
      <c r="O31" s="63">
        <f t="shared" si="7"/>
        <v>213.53</v>
      </c>
    </row>
    <row r="32" spans="1:15" ht="15" customHeight="1">
      <c r="A32" s="13" t="s">
        <v>182</v>
      </c>
      <c r="B32" s="190">
        <f t="shared" si="3"/>
        <v>0.76200000000000001</v>
      </c>
      <c r="C32" s="202">
        <v>30</v>
      </c>
      <c r="D32" s="12" t="s">
        <v>25</v>
      </c>
      <c r="E32" s="13" t="s">
        <v>154</v>
      </c>
      <c r="F32" s="13" t="s">
        <v>131</v>
      </c>
      <c r="G32" s="63">
        <v>24.771999999999998</v>
      </c>
      <c r="H32" s="194">
        <f t="shared" si="0"/>
        <v>297.26</v>
      </c>
      <c r="I32" s="195">
        <f t="shared" si="1"/>
        <v>330.21</v>
      </c>
      <c r="J32" s="196">
        <f t="shared" si="2"/>
        <v>346.81</v>
      </c>
      <c r="K32" s="206">
        <v>0</v>
      </c>
      <c r="L32" s="63">
        <f t="shared" si="4"/>
        <v>284.94</v>
      </c>
      <c r="M32" s="63">
        <f t="shared" si="5"/>
        <v>198.17</v>
      </c>
      <c r="N32" s="63">
        <f t="shared" si="6"/>
        <v>220.14</v>
      </c>
      <c r="O32" s="63">
        <f t="shared" si="7"/>
        <v>231.21</v>
      </c>
    </row>
    <row r="33" spans="1:15" ht="15" customHeight="1">
      <c r="A33" s="13" t="s">
        <v>182</v>
      </c>
      <c r="B33" s="190">
        <f t="shared" si="3"/>
        <v>6.4000000000000001E-2</v>
      </c>
      <c r="C33" s="203">
        <v>2.5</v>
      </c>
      <c r="D33" s="201" t="s">
        <v>28</v>
      </c>
      <c r="E33" s="63" t="s">
        <v>154</v>
      </c>
      <c r="F33" s="204" t="s">
        <v>122</v>
      </c>
      <c r="G33" s="205">
        <v>14.122</v>
      </c>
      <c r="H33" s="194">
        <f t="shared" si="0"/>
        <v>169.46</v>
      </c>
      <c r="I33" s="195">
        <f t="shared" si="1"/>
        <v>188.25</v>
      </c>
      <c r="J33" s="196">
        <f t="shared" si="2"/>
        <v>197.71</v>
      </c>
      <c r="K33" s="197">
        <v>0</v>
      </c>
      <c r="L33" s="63">
        <f t="shared" si="4"/>
        <v>162.44</v>
      </c>
      <c r="M33" s="63">
        <f t="shared" si="5"/>
        <v>112.97</v>
      </c>
      <c r="N33" s="63">
        <f t="shared" si="6"/>
        <v>125.5</v>
      </c>
      <c r="O33" s="63">
        <f t="shared" si="7"/>
        <v>131.81</v>
      </c>
    </row>
    <row r="34" spans="1:15" ht="15" customHeight="1">
      <c r="A34" s="63" t="s">
        <v>184</v>
      </c>
      <c r="B34" s="190">
        <f t="shared" si="3"/>
        <v>7.5999999999999998E-2</v>
      </c>
      <c r="C34" s="203">
        <v>3</v>
      </c>
      <c r="D34" s="201" t="s">
        <v>28</v>
      </c>
      <c r="E34" s="63" t="s">
        <v>154</v>
      </c>
      <c r="F34" s="204" t="s">
        <v>81</v>
      </c>
      <c r="G34" s="205">
        <v>14.259</v>
      </c>
      <c r="H34" s="194">
        <f t="shared" si="0"/>
        <v>171.11</v>
      </c>
      <c r="I34" s="195">
        <f t="shared" si="1"/>
        <v>190.07</v>
      </c>
      <c r="J34" s="196">
        <f t="shared" si="2"/>
        <v>199.63</v>
      </c>
      <c r="K34" s="197">
        <v>8.0019636720667586E-2</v>
      </c>
      <c r="L34" s="63">
        <f t="shared" si="4"/>
        <v>164.02</v>
      </c>
      <c r="M34" s="63">
        <f t="shared" si="5"/>
        <v>114.07</v>
      </c>
      <c r="N34" s="63">
        <f t="shared" si="6"/>
        <v>126.71</v>
      </c>
      <c r="O34" s="63">
        <f t="shared" si="7"/>
        <v>133.09</v>
      </c>
    </row>
    <row r="35" spans="1:15" ht="15" customHeight="1">
      <c r="A35" s="63" t="s">
        <v>184</v>
      </c>
      <c r="B35" s="190">
        <f t="shared" si="3"/>
        <v>8.8999999999999996E-2</v>
      </c>
      <c r="C35" s="203">
        <v>3.5</v>
      </c>
      <c r="D35" s="201" t="s">
        <v>28</v>
      </c>
      <c r="E35" s="63" t="s">
        <v>154</v>
      </c>
      <c r="F35" s="204" t="s">
        <v>183</v>
      </c>
      <c r="G35" s="205">
        <v>17.594999999999999</v>
      </c>
      <c r="H35" s="194">
        <f t="shared" si="0"/>
        <v>211.14</v>
      </c>
      <c r="I35" s="195">
        <f t="shared" si="1"/>
        <v>234.54</v>
      </c>
      <c r="J35" s="196">
        <f t="shared" si="2"/>
        <v>246.33</v>
      </c>
      <c r="K35" s="197">
        <v>0</v>
      </c>
      <c r="L35" s="63">
        <f t="shared" si="4"/>
        <v>202.39</v>
      </c>
      <c r="M35" s="63">
        <f t="shared" si="5"/>
        <v>140.76</v>
      </c>
      <c r="N35" s="63">
        <f t="shared" si="6"/>
        <v>156.36000000000001</v>
      </c>
      <c r="O35" s="63">
        <f t="shared" si="7"/>
        <v>164.22</v>
      </c>
    </row>
    <row r="36" spans="1:15" ht="15" customHeight="1">
      <c r="A36" s="63" t="s">
        <v>184</v>
      </c>
      <c r="B36" s="190">
        <f t="shared" si="3"/>
        <v>8.8999999999999996E-2</v>
      </c>
      <c r="C36" s="203">
        <v>3.5</v>
      </c>
      <c r="D36" s="201" t="s">
        <v>28</v>
      </c>
      <c r="E36" s="63" t="s">
        <v>154</v>
      </c>
      <c r="F36" s="204" t="s">
        <v>83</v>
      </c>
      <c r="G36" s="205">
        <v>14.664</v>
      </c>
      <c r="H36" s="194">
        <f t="shared" si="0"/>
        <v>175.97</v>
      </c>
      <c r="I36" s="195">
        <f t="shared" si="1"/>
        <v>195.47</v>
      </c>
      <c r="J36" s="196">
        <f t="shared" si="2"/>
        <v>205.3</v>
      </c>
      <c r="K36" s="197">
        <v>7.9991816693944395E-2</v>
      </c>
      <c r="L36" s="63">
        <f t="shared" si="4"/>
        <v>168.67</v>
      </c>
      <c r="M36" s="63">
        <f t="shared" si="5"/>
        <v>117.31</v>
      </c>
      <c r="N36" s="63">
        <f t="shared" si="6"/>
        <v>130.31</v>
      </c>
      <c r="O36" s="63">
        <f t="shared" si="7"/>
        <v>136.87</v>
      </c>
    </row>
    <row r="37" spans="1:15" ht="15" customHeight="1">
      <c r="A37" s="63" t="s">
        <v>184</v>
      </c>
      <c r="B37" s="190">
        <f t="shared" si="3"/>
        <v>8.8999999999999996E-2</v>
      </c>
      <c r="C37" s="203">
        <v>3.5</v>
      </c>
      <c r="D37" s="201" t="s">
        <v>28</v>
      </c>
      <c r="E37" s="63" t="s">
        <v>154</v>
      </c>
      <c r="F37" s="204" t="s">
        <v>81</v>
      </c>
      <c r="G37" s="205">
        <v>14.349</v>
      </c>
      <c r="H37" s="194">
        <f t="shared" si="0"/>
        <v>172.19</v>
      </c>
      <c r="I37" s="195">
        <f t="shared" si="1"/>
        <v>191.27</v>
      </c>
      <c r="J37" s="196">
        <f t="shared" si="2"/>
        <v>200.89</v>
      </c>
      <c r="K37" s="197">
        <v>8.0005575301414611E-2</v>
      </c>
      <c r="L37" s="63">
        <f t="shared" si="4"/>
        <v>165.05</v>
      </c>
      <c r="M37" s="63">
        <f t="shared" si="5"/>
        <v>114.79</v>
      </c>
      <c r="N37" s="63">
        <f t="shared" si="6"/>
        <v>127.51</v>
      </c>
      <c r="O37" s="63">
        <f t="shared" si="7"/>
        <v>133.93</v>
      </c>
    </row>
    <row r="38" spans="1:15" ht="15" customHeight="1">
      <c r="A38" s="63" t="s">
        <v>182</v>
      </c>
      <c r="B38" s="190">
        <f t="shared" si="3"/>
        <v>0.10199999999999999</v>
      </c>
      <c r="C38" s="200">
        <v>4</v>
      </c>
      <c r="D38" s="201" t="s">
        <v>28</v>
      </c>
      <c r="E38" s="63" t="s">
        <v>154</v>
      </c>
      <c r="F38" s="204" t="s">
        <v>83</v>
      </c>
      <c r="G38" s="205">
        <v>14.385</v>
      </c>
      <c r="H38" s="194">
        <f t="shared" si="0"/>
        <v>172.62</v>
      </c>
      <c r="I38" s="195">
        <f t="shared" si="1"/>
        <v>191.75</v>
      </c>
      <c r="J38" s="196">
        <f t="shared" si="2"/>
        <v>201.39</v>
      </c>
      <c r="K38" s="197">
        <v>0</v>
      </c>
      <c r="L38" s="63">
        <f t="shared" si="4"/>
        <v>165.46</v>
      </c>
      <c r="M38" s="63">
        <f t="shared" si="5"/>
        <v>115.08</v>
      </c>
      <c r="N38" s="63">
        <f t="shared" si="6"/>
        <v>127.83</v>
      </c>
      <c r="O38" s="63">
        <f t="shared" si="7"/>
        <v>134.26</v>
      </c>
    </row>
    <row r="39" spans="1:15" ht="15" customHeight="1">
      <c r="A39" s="63" t="s">
        <v>184</v>
      </c>
      <c r="B39" s="190">
        <f t="shared" si="3"/>
        <v>0.10199999999999999</v>
      </c>
      <c r="C39" s="200">
        <v>4</v>
      </c>
      <c r="D39" s="201" t="s">
        <v>28</v>
      </c>
      <c r="E39" s="63" t="s">
        <v>154</v>
      </c>
      <c r="F39" s="191" t="s">
        <v>85</v>
      </c>
      <c r="G39" s="193">
        <v>16.364999999999998</v>
      </c>
      <c r="H39" s="194">
        <f t="shared" si="0"/>
        <v>196.38</v>
      </c>
      <c r="I39" s="195">
        <f t="shared" si="1"/>
        <v>218.15</v>
      </c>
      <c r="J39" s="196">
        <f t="shared" si="2"/>
        <v>229.11</v>
      </c>
      <c r="K39" s="197">
        <v>7.9987778796211551E-2</v>
      </c>
      <c r="L39" s="63">
        <f t="shared" si="4"/>
        <v>188.23</v>
      </c>
      <c r="M39" s="63">
        <f t="shared" si="5"/>
        <v>130.91999999999999</v>
      </c>
      <c r="N39" s="63">
        <f t="shared" si="6"/>
        <v>145.43</v>
      </c>
      <c r="O39" s="63">
        <f t="shared" si="7"/>
        <v>152.74</v>
      </c>
    </row>
    <row r="40" spans="1:15" ht="15" customHeight="1">
      <c r="A40" s="63" t="s">
        <v>184</v>
      </c>
      <c r="B40" s="190">
        <f t="shared" si="3"/>
        <v>0.114</v>
      </c>
      <c r="C40" s="200">
        <v>4.5</v>
      </c>
      <c r="D40" s="201" t="s">
        <v>28</v>
      </c>
      <c r="E40" s="63" t="s">
        <v>154</v>
      </c>
      <c r="F40" s="191" t="s">
        <v>85</v>
      </c>
      <c r="G40" s="193">
        <v>16.856000000000002</v>
      </c>
      <c r="H40" s="194">
        <f t="shared" si="0"/>
        <v>202.27</v>
      </c>
      <c r="I40" s="195">
        <f t="shared" si="1"/>
        <v>224.69</v>
      </c>
      <c r="J40" s="196">
        <f t="shared" si="2"/>
        <v>235.98</v>
      </c>
      <c r="K40" s="197">
        <v>7.9971523493118202E-2</v>
      </c>
      <c r="L40" s="63">
        <f t="shared" si="4"/>
        <v>193.88</v>
      </c>
      <c r="M40" s="63">
        <f t="shared" si="5"/>
        <v>134.85</v>
      </c>
      <c r="N40" s="63">
        <f t="shared" si="6"/>
        <v>149.79</v>
      </c>
      <c r="O40" s="63">
        <f t="shared" si="7"/>
        <v>157.32</v>
      </c>
    </row>
    <row r="41" spans="1:15" ht="15" customHeight="1">
      <c r="A41" s="63" t="s">
        <v>184</v>
      </c>
      <c r="B41" s="190">
        <f t="shared" si="3"/>
        <v>0.127</v>
      </c>
      <c r="C41" s="200">
        <v>5</v>
      </c>
      <c r="D41" s="201" t="s">
        <v>28</v>
      </c>
      <c r="E41" s="63" t="s">
        <v>154</v>
      </c>
      <c r="F41" s="191" t="s">
        <v>117</v>
      </c>
      <c r="G41" s="193">
        <v>16.736999999999998</v>
      </c>
      <c r="H41" s="194">
        <f t="shared" si="0"/>
        <v>200.84</v>
      </c>
      <c r="I41" s="195">
        <f t="shared" si="1"/>
        <v>223.1</v>
      </c>
      <c r="J41" s="196">
        <f t="shared" si="2"/>
        <v>234.32</v>
      </c>
      <c r="K41" s="197">
        <v>8.0002389914560768E-2</v>
      </c>
      <c r="L41" s="63">
        <f t="shared" si="4"/>
        <v>192.51</v>
      </c>
      <c r="M41" s="63">
        <f t="shared" si="5"/>
        <v>133.88999999999999</v>
      </c>
      <c r="N41" s="63">
        <f t="shared" si="6"/>
        <v>148.72999999999999</v>
      </c>
      <c r="O41" s="63">
        <f t="shared" si="7"/>
        <v>156.21</v>
      </c>
    </row>
    <row r="42" spans="1:15" ht="15" customHeight="1">
      <c r="A42" s="63" t="s">
        <v>184</v>
      </c>
      <c r="B42" s="190">
        <f t="shared" si="3"/>
        <v>0.127</v>
      </c>
      <c r="C42" s="200">
        <v>5</v>
      </c>
      <c r="D42" s="201" t="s">
        <v>28</v>
      </c>
      <c r="E42" s="63" t="s">
        <v>154</v>
      </c>
      <c r="F42" s="191" t="s">
        <v>86</v>
      </c>
      <c r="G42" s="193">
        <v>16.050999999999998</v>
      </c>
      <c r="H42" s="194">
        <f t="shared" si="0"/>
        <v>192.61</v>
      </c>
      <c r="I42" s="195">
        <f t="shared" si="1"/>
        <v>213.96</v>
      </c>
      <c r="J42" s="196">
        <f t="shared" si="2"/>
        <v>224.71</v>
      </c>
      <c r="K42" s="197">
        <v>7.9995015886860754E-2</v>
      </c>
      <c r="L42" s="63">
        <f t="shared" si="4"/>
        <v>184.63</v>
      </c>
      <c r="M42" s="63">
        <f t="shared" si="5"/>
        <v>128.41</v>
      </c>
      <c r="N42" s="63">
        <f t="shared" si="6"/>
        <v>142.63999999999999</v>
      </c>
      <c r="O42" s="63">
        <f t="shared" si="7"/>
        <v>149.81</v>
      </c>
    </row>
    <row r="43" spans="1:15" ht="15" customHeight="1">
      <c r="A43" s="63" t="s">
        <v>184</v>
      </c>
      <c r="B43" s="190">
        <f t="shared" si="3"/>
        <v>0.127</v>
      </c>
      <c r="C43" s="202">
        <v>5</v>
      </c>
      <c r="D43" s="201" t="s">
        <v>28</v>
      </c>
      <c r="E43" s="63" t="s">
        <v>154</v>
      </c>
      <c r="F43" s="13" t="s">
        <v>84</v>
      </c>
      <c r="G43" s="63">
        <v>12.984</v>
      </c>
      <c r="H43" s="194">
        <f t="shared" si="0"/>
        <v>155.81</v>
      </c>
      <c r="I43" s="195">
        <f t="shared" si="1"/>
        <v>173.08</v>
      </c>
      <c r="J43" s="196">
        <f t="shared" si="2"/>
        <v>181.78</v>
      </c>
      <c r="K43" s="197">
        <v>8.0021565003080664E-2</v>
      </c>
      <c r="L43" s="63">
        <f t="shared" si="4"/>
        <v>149.35</v>
      </c>
      <c r="M43" s="63">
        <f t="shared" si="5"/>
        <v>103.87</v>
      </c>
      <c r="N43" s="63">
        <f t="shared" si="6"/>
        <v>115.39</v>
      </c>
      <c r="O43" s="63">
        <f t="shared" si="7"/>
        <v>121.19</v>
      </c>
    </row>
    <row r="44" spans="1:15" ht="15" customHeight="1">
      <c r="A44" s="63" t="s">
        <v>184</v>
      </c>
      <c r="B44" s="190">
        <f t="shared" si="3"/>
        <v>0.152</v>
      </c>
      <c r="C44" s="202">
        <v>6</v>
      </c>
      <c r="D44" s="201" t="s">
        <v>28</v>
      </c>
      <c r="E44" s="63" t="s">
        <v>154</v>
      </c>
      <c r="F44" s="191" t="s">
        <v>86</v>
      </c>
      <c r="G44" s="193">
        <v>16.364999999999998</v>
      </c>
      <c r="H44" s="194">
        <f t="shared" si="0"/>
        <v>196.38</v>
      </c>
      <c r="I44" s="195">
        <f t="shared" si="1"/>
        <v>218.15</v>
      </c>
      <c r="J44" s="196">
        <f t="shared" si="2"/>
        <v>229.11</v>
      </c>
      <c r="K44" s="197">
        <v>7.9987778796211551E-2</v>
      </c>
      <c r="L44" s="63">
        <f t="shared" si="4"/>
        <v>188.23</v>
      </c>
      <c r="M44" s="63">
        <f t="shared" si="5"/>
        <v>130.91999999999999</v>
      </c>
      <c r="N44" s="63">
        <f t="shared" si="6"/>
        <v>145.43</v>
      </c>
      <c r="O44" s="63">
        <f t="shared" si="7"/>
        <v>152.74</v>
      </c>
    </row>
    <row r="45" spans="1:15" ht="15" customHeight="1">
      <c r="A45" s="63" t="s">
        <v>184</v>
      </c>
      <c r="B45" s="190">
        <f t="shared" si="3"/>
        <v>0.152</v>
      </c>
      <c r="C45" s="202">
        <v>6</v>
      </c>
      <c r="D45" s="201" t="s">
        <v>28</v>
      </c>
      <c r="E45" s="63" t="s">
        <v>154</v>
      </c>
      <c r="F45" s="191" t="s">
        <v>117</v>
      </c>
      <c r="G45" s="193">
        <v>16.693000000000001</v>
      </c>
      <c r="H45" s="194">
        <f t="shared" si="0"/>
        <v>200.32</v>
      </c>
      <c r="I45" s="195">
        <f t="shared" si="1"/>
        <v>222.52</v>
      </c>
      <c r="J45" s="196">
        <f t="shared" si="2"/>
        <v>233.7</v>
      </c>
      <c r="K45" s="197"/>
      <c r="L45" s="63">
        <f t="shared" si="4"/>
        <v>192.01</v>
      </c>
      <c r="M45" s="63">
        <f t="shared" si="5"/>
        <v>133.55000000000001</v>
      </c>
      <c r="N45" s="63">
        <f t="shared" si="6"/>
        <v>148.35</v>
      </c>
      <c r="O45" s="63">
        <f t="shared" si="7"/>
        <v>155.80000000000001</v>
      </c>
    </row>
    <row r="46" spans="1:15" ht="15" customHeight="1">
      <c r="A46" s="63" t="s">
        <v>182</v>
      </c>
      <c r="B46" s="190">
        <f t="shared" si="3"/>
        <v>0.17799999999999999</v>
      </c>
      <c r="C46" s="202">
        <v>7</v>
      </c>
      <c r="D46" s="201" t="s">
        <v>28</v>
      </c>
      <c r="E46" s="63" t="s">
        <v>154</v>
      </c>
      <c r="F46" s="191" t="s">
        <v>185</v>
      </c>
      <c r="G46" s="193">
        <v>17.02</v>
      </c>
      <c r="H46" s="194">
        <f t="shared" si="0"/>
        <v>204.24</v>
      </c>
      <c r="I46" s="195">
        <f t="shared" si="1"/>
        <v>226.88</v>
      </c>
      <c r="J46" s="196">
        <f t="shared" si="2"/>
        <v>238.28</v>
      </c>
      <c r="K46" s="197">
        <v>8.0023501762632288E-2</v>
      </c>
      <c r="L46" s="63">
        <f t="shared" si="4"/>
        <v>195.78</v>
      </c>
      <c r="M46" s="63">
        <f t="shared" si="5"/>
        <v>136.16</v>
      </c>
      <c r="N46" s="63">
        <f t="shared" si="6"/>
        <v>151.25</v>
      </c>
      <c r="O46" s="63">
        <f t="shared" si="7"/>
        <v>158.85</v>
      </c>
    </row>
    <row r="47" spans="1:15" ht="15" customHeight="1">
      <c r="A47" s="63" t="s">
        <v>184</v>
      </c>
      <c r="B47" s="190">
        <f t="shared" si="3"/>
        <v>0.20300000000000001</v>
      </c>
      <c r="C47" s="202">
        <v>8</v>
      </c>
      <c r="D47" s="201" t="s">
        <v>28</v>
      </c>
      <c r="E47" s="63" t="s">
        <v>154</v>
      </c>
      <c r="F47" s="191" t="s">
        <v>87</v>
      </c>
      <c r="G47" s="193">
        <v>16.584</v>
      </c>
      <c r="H47" s="194">
        <f t="shared" si="0"/>
        <v>199.01</v>
      </c>
      <c r="I47" s="195">
        <f t="shared" si="1"/>
        <v>221.06</v>
      </c>
      <c r="J47" s="196">
        <f t="shared" si="2"/>
        <v>232.18</v>
      </c>
      <c r="K47" s="197">
        <v>0</v>
      </c>
      <c r="L47" s="63">
        <f t="shared" si="4"/>
        <v>190.76</v>
      </c>
      <c r="M47" s="63">
        <f t="shared" si="5"/>
        <v>132.66999999999999</v>
      </c>
      <c r="N47" s="63">
        <f t="shared" si="6"/>
        <v>147.37</v>
      </c>
      <c r="O47" s="63">
        <f t="shared" si="7"/>
        <v>154.79</v>
      </c>
    </row>
    <row r="48" spans="1:15" ht="15" customHeight="1">
      <c r="A48" s="63" t="s">
        <v>184</v>
      </c>
      <c r="B48" s="190">
        <f t="shared" si="3"/>
        <v>0.254</v>
      </c>
      <c r="C48" s="202">
        <v>10</v>
      </c>
      <c r="D48" s="201" t="s">
        <v>28</v>
      </c>
      <c r="E48" s="63" t="s">
        <v>154</v>
      </c>
      <c r="F48" s="191" t="s">
        <v>89</v>
      </c>
      <c r="G48" s="193">
        <v>16.818999999999999</v>
      </c>
      <c r="H48" s="194">
        <f t="shared" si="0"/>
        <v>201.83</v>
      </c>
      <c r="I48" s="195">
        <f t="shared" si="1"/>
        <v>224.2</v>
      </c>
      <c r="J48" s="196">
        <f t="shared" si="2"/>
        <v>235.47</v>
      </c>
      <c r="K48" s="197">
        <v>0</v>
      </c>
      <c r="L48" s="63">
        <f t="shared" si="4"/>
        <v>193.47</v>
      </c>
      <c r="M48" s="63">
        <f t="shared" si="5"/>
        <v>134.55000000000001</v>
      </c>
      <c r="N48" s="63">
        <f t="shared" si="6"/>
        <v>149.47</v>
      </c>
      <c r="O48" s="63">
        <f t="shared" si="7"/>
        <v>156.97999999999999</v>
      </c>
    </row>
    <row r="49" spans="1:15" ht="15" customHeight="1">
      <c r="A49" s="63" t="s">
        <v>184</v>
      </c>
      <c r="B49" s="190">
        <f t="shared" si="3"/>
        <v>0.30499999999999999</v>
      </c>
      <c r="C49" s="202">
        <v>12</v>
      </c>
      <c r="D49" s="201" t="s">
        <v>28</v>
      </c>
      <c r="E49" s="63" t="s">
        <v>154</v>
      </c>
      <c r="F49" s="191" t="s">
        <v>90</v>
      </c>
      <c r="G49" s="193">
        <v>18.619</v>
      </c>
      <c r="H49" s="194">
        <f t="shared" si="0"/>
        <v>223.43</v>
      </c>
      <c r="I49" s="195">
        <f t="shared" si="1"/>
        <v>248.19</v>
      </c>
      <c r="J49" s="196">
        <f t="shared" si="2"/>
        <v>260.67</v>
      </c>
      <c r="K49" s="197">
        <v>0</v>
      </c>
      <c r="L49" s="63">
        <f t="shared" si="4"/>
        <v>214.17</v>
      </c>
      <c r="M49" s="63">
        <f t="shared" si="5"/>
        <v>148.94999999999999</v>
      </c>
      <c r="N49" s="63">
        <f t="shared" si="6"/>
        <v>165.46</v>
      </c>
      <c r="O49" s="63">
        <f t="shared" si="7"/>
        <v>173.78</v>
      </c>
    </row>
    <row r="50" spans="1:15" ht="15" customHeight="1">
      <c r="A50" s="63" t="s">
        <v>184</v>
      </c>
      <c r="B50" s="190">
        <f t="shared" si="3"/>
        <v>0.38100000000000001</v>
      </c>
      <c r="C50" s="202">
        <v>15</v>
      </c>
      <c r="D50" s="201" t="s">
        <v>28</v>
      </c>
      <c r="E50" s="63" t="s">
        <v>154</v>
      </c>
      <c r="F50" s="191" t="s">
        <v>90</v>
      </c>
      <c r="G50" s="193">
        <v>20.085999999999999</v>
      </c>
      <c r="H50" s="194">
        <f t="shared" si="0"/>
        <v>241.03</v>
      </c>
      <c r="I50" s="195">
        <f t="shared" si="1"/>
        <v>267.75</v>
      </c>
      <c r="J50" s="196">
        <f t="shared" si="2"/>
        <v>281.2</v>
      </c>
      <c r="K50" s="197">
        <v>8.0005974310465078E-2</v>
      </c>
      <c r="L50" s="63">
        <f t="shared" si="4"/>
        <v>231.03</v>
      </c>
      <c r="M50" s="63">
        <f t="shared" si="5"/>
        <v>160.69</v>
      </c>
      <c r="N50" s="63">
        <f t="shared" si="6"/>
        <v>178.5</v>
      </c>
      <c r="O50" s="63">
        <f t="shared" si="7"/>
        <v>187.47</v>
      </c>
    </row>
    <row r="51" spans="1:15" ht="15" customHeight="1">
      <c r="A51" s="63" t="s">
        <v>184</v>
      </c>
      <c r="B51" s="190">
        <f t="shared" si="3"/>
        <v>0.45700000000000002</v>
      </c>
      <c r="C51" s="202">
        <v>18</v>
      </c>
      <c r="D51" s="201" t="s">
        <v>28</v>
      </c>
      <c r="E51" s="63" t="s">
        <v>154</v>
      </c>
      <c r="F51" s="191" t="s">
        <v>129</v>
      </c>
      <c r="G51" s="193">
        <v>21.698</v>
      </c>
      <c r="H51" s="194">
        <f t="shared" si="0"/>
        <v>260.38</v>
      </c>
      <c r="I51" s="195">
        <f t="shared" si="1"/>
        <v>289.23</v>
      </c>
      <c r="J51" s="196">
        <f t="shared" si="2"/>
        <v>303.77</v>
      </c>
      <c r="K51" s="197">
        <v>0</v>
      </c>
      <c r="L51" s="63">
        <f t="shared" si="4"/>
        <v>249.59</v>
      </c>
      <c r="M51" s="63">
        <f t="shared" si="5"/>
        <v>173.59</v>
      </c>
      <c r="N51" s="63">
        <f t="shared" si="6"/>
        <v>192.82</v>
      </c>
      <c r="O51" s="63">
        <f t="shared" si="7"/>
        <v>202.51</v>
      </c>
    </row>
    <row r="52" spans="1:15" ht="15" customHeight="1">
      <c r="A52" s="63" t="s">
        <v>184</v>
      </c>
      <c r="B52" s="190">
        <f t="shared" si="3"/>
        <v>0.50800000000000001</v>
      </c>
      <c r="C52" s="202">
        <v>20</v>
      </c>
      <c r="D52" s="201" t="s">
        <v>28</v>
      </c>
      <c r="E52" s="63" t="s">
        <v>154</v>
      </c>
      <c r="F52" s="191" t="s">
        <v>91</v>
      </c>
      <c r="G52" s="193">
        <v>22.603000000000002</v>
      </c>
      <c r="H52" s="194">
        <f t="shared" si="0"/>
        <v>271.24</v>
      </c>
      <c r="I52" s="195">
        <f t="shared" si="1"/>
        <v>301.3</v>
      </c>
      <c r="J52" s="196">
        <f t="shared" si="2"/>
        <v>316.44</v>
      </c>
      <c r="K52" s="197">
        <v>0</v>
      </c>
      <c r="L52" s="63">
        <f t="shared" si="4"/>
        <v>260</v>
      </c>
      <c r="M52" s="63">
        <f t="shared" si="5"/>
        <v>180.83</v>
      </c>
      <c r="N52" s="63">
        <f t="shared" si="6"/>
        <v>200.87</v>
      </c>
      <c r="O52" s="63">
        <f t="shared" si="7"/>
        <v>210.96</v>
      </c>
    </row>
    <row r="53" spans="1:15" ht="15" customHeight="1">
      <c r="A53" s="63" t="s">
        <v>184</v>
      </c>
      <c r="B53" s="190">
        <f t="shared" si="3"/>
        <v>0.61</v>
      </c>
      <c r="C53" s="202">
        <v>24</v>
      </c>
      <c r="D53" s="201" t="s">
        <v>28</v>
      </c>
      <c r="E53" s="63" t="s">
        <v>154</v>
      </c>
      <c r="F53" s="13" t="s">
        <v>94</v>
      </c>
      <c r="G53" s="63">
        <v>19.006</v>
      </c>
      <c r="H53" s="194">
        <f t="shared" si="0"/>
        <v>228.07</v>
      </c>
      <c r="I53" s="195">
        <f t="shared" si="1"/>
        <v>253.35</v>
      </c>
      <c r="J53" s="196">
        <f t="shared" si="2"/>
        <v>266.08</v>
      </c>
      <c r="K53" s="197">
        <v>0.10002104598547823</v>
      </c>
      <c r="L53" s="63">
        <f t="shared" si="4"/>
        <v>218.61</v>
      </c>
      <c r="M53" s="63">
        <f t="shared" si="5"/>
        <v>152.05000000000001</v>
      </c>
      <c r="N53" s="63">
        <f t="shared" si="6"/>
        <v>168.9</v>
      </c>
      <c r="O53" s="63">
        <f t="shared" si="7"/>
        <v>177.39</v>
      </c>
    </row>
    <row r="54" spans="1:15" s="207" customFormat="1" ht="15" customHeight="1">
      <c r="A54" s="13" t="s">
        <v>182</v>
      </c>
      <c r="B54" s="190">
        <f t="shared" si="3"/>
        <v>0.63500000000000001</v>
      </c>
      <c r="C54" s="202">
        <v>25</v>
      </c>
      <c r="D54" s="201" t="s">
        <v>28</v>
      </c>
      <c r="E54" s="13" t="s">
        <v>154</v>
      </c>
      <c r="F54" s="13" t="s">
        <v>88</v>
      </c>
      <c r="G54" s="63">
        <v>25.178000000000001</v>
      </c>
      <c r="H54" s="194">
        <f t="shared" si="0"/>
        <v>302.14</v>
      </c>
      <c r="I54" s="195">
        <f t="shared" si="1"/>
        <v>335.62</v>
      </c>
      <c r="J54" s="196">
        <f t="shared" si="2"/>
        <v>352.49</v>
      </c>
      <c r="K54" s="197">
        <v>0</v>
      </c>
      <c r="L54" s="63">
        <f t="shared" si="4"/>
        <v>289.62</v>
      </c>
      <c r="M54" s="63">
        <f t="shared" si="5"/>
        <v>201.43</v>
      </c>
      <c r="N54" s="63">
        <f t="shared" si="6"/>
        <v>223.75</v>
      </c>
      <c r="O54" s="63">
        <f t="shared" si="7"/>
        <v>234.99</v>
      </c>
    </row>
    <row r="55" spans="1:15" ht="15" customHeight="1">
      <c r="A55" s="63" t="s">
        <v>184</v>
      </c>
      <c r="B55" s="190">
        <f t="shared" si="3"/>
        <v>0.76200000000000001</v>
      </c>
      <c r="C55" s="203">
        <v>30</v>
      </c>
      <c r="D55" s="201" t="s">
        <v>28</v>
      </c>
      <c r="E55" s="63" t="s">
        <v>154</v>
      </c>
      <c r="F55" s="204" t="s">
        <v>186</v>
      </c>
      <c r="G55" s="205">
        <v>30.788</v>
      </c>
      <c r="H55" s="194">
        <f t="shared" si="0"/>
        <v>369.46</v>
      </c>
      <c r="I55" s="195">
        <f t="shared" si="1"/>
        <v>410.4</v>
      </c>
      <c r="J55" s="196">
        <f t="shared" si="2"/>
        <v>431.03</v>
      </c>
      <c r="K55" s="197">
        <v>7.9998700792516475E-2</v>
      </c>
      <c r="L55" s="63">
        <f t="shared" si="4"/>
        <v>354.14</v>
      </c>
      <c r="M55" s="63">
        <f t="shared" si="5"/>
        <v>246.31</v>
      </c>
      <c r="N55" s="63">
        <f t="shared" si="6"/>
        <v>273.60000000000002</v>
      </c>
      <c r="O55" s="63">
        <f t="shared" si="7"/>
        <v>287.35000000000002</v>
      </c>
    </row>
    <row r="56" spans="1:15" ht="15" customHeight="1">
      <c r="A56" s="63" t="s">
        <v>184</v>
      </c>
      <c r="B56" s="190">
        <f t="shared" si="3"/>
        <v>0.76200000000000001</v>
      </c>
      <c r="C56" s="203">
        <v>30</v>
      </c>
      <c r="D56" s="201" t="s">
        <v>28</v>
      </c>
      <c r="E56" s="63" t="s">
        <v>154</v>
      </c>
      <c r="F56" s="204" t="s">
        <v>187</v>
      </c>
      <c r="G56" s="205">
        <v>35.218000000000004</v>
      </c>
      <c r="H56" s="194">
        <f t="shared" si="0"/>
        <v>422.62</v>
      </c>
      <c r="I56" s="195">
        <f t="shared" si="1"/>
        <v>469.46</v>
      </c>
      <c r="J56" s="196">
        <f t="shared" si="2"/>
        <v>493.05</v>
      </c>
      <c r="K56" s="197">
        <v>7.9987506388778273E-2</v>
      </c>
      <c r="L56" s="63">
        <f t="shared" si="4"/>
        <v>405.1</v>
      </c>
      <c r="M56" s="63">
        <f t="shared" si="5"/>
        <v>281.75</v>
      </c>
      <c r="N56" s="63">
        <f t="shared" si="6"/>
        <v>312.97000000000003</v>
      </c>
      <c r="O56" s="63">
        <f t="shared" si="7"/>
        <v>328.7</v>
      </c>
    </row>
    <row r="57" spans="1:15" ht="15" customHeight="1">
      <c r="A57" s="63" t="s">
        <v>184</v>
      </c>
      <c r="B57" s="190">
        <f t="shared" si="3"/>
        <v>0.88900000000000001</v>
      </c>
      <c r="C57" s="203">
        <v>35</v>
      </c>
      <c r="D57" s="201" t="s">
        <v>28</v>
      </c>
      <c r="E57" s="63" t="s">
        <v>154</v>
      </c>
      <c r="F57" s="204" t="s">
        <v>132</v>
      </c>
      <c r="G57" s="205">
        <v>31.436</v>
      </c>
      <c r="H57" s="194">
        <f t="shared" si="0"/>
        <v>377.23</v>
      </c>
      <c r="I57" s="195">
        <f t="shared" si="1"/>
        <v>419.04</v>
      </c>
      <c r="J57" s="196">
        <f t="shared" si="2"/>
        <v>440.1</v>
      </c>
      <c r="K57" s="197">
        <v>8.0003817279552081E-2</v>
      </c>
      <c r="L57" s="63">
        <f t="shared" si="4"/>
        <v>361.6</v>
      </c>
      <c r="M57" s="63">
        <f t="shared" si="5"/>
        <v>251.49</v>
      </c>
      <c r="N57" s="63">
        <f t="shared" si="6"/>
        <v>279.36</v>
      </c>
      <c r="O57" s="63">
        <f t="shared" si="7"/>
        <v>293.39999999999998</v>
      </c>
    </row>
    <row r="58" spans="1:15" ht="15" customHeight="1">
      <c r="A58" s="63" t="s">
        <v>184</v>
      </c>
      <c r="B58" s="190">
        <f t="shared" si="3"/>
        <v>0.88900000000000001</v>
      </c>
      <c r="C58" s="203">
        <v>35</v>
      </c>
      <c r="D58" s="201" t="s">
        <v>28</v>
      </c>
      <c r="E58" s="63" t="s">
        <v>154</v>
      </c>
      <c r="F58" s="204" t="s">
        <v>96</v>
      </c>
      <c r="G58" s="205">
        <v>26.907</v>
      </c>
      <c r="H58" s="194">
        <f t="shared" si="0"/>
        <v>322.88</v>
      </c>
      <c r="I58" s="195">
        <f t="shared" si="1"/>
        <v>358.67</v>
      </c>
      <c r="J58" s="196">
        <f t="shared" si="2"/>
        <v>376.7</v>
      </c>
      <c r="K58" s="197">
        <v>8.0016352621994136E-2</v>
      </c>
      <c r="L58" s="63">
        <f t="shared" si="4"/>
        <v>309.5</v>
      </c>
      <c r="M58" s="63">
        <f t="shared" si="5"/>
        <v>215.25</v>
      </c>
      <c r="N58" s="63">
        <f t="shared" si="6"/>
        <v>239.11</v>
      </c>
      <c r="O58" s="63">
        <f t="shared" si="7"/>
        <v>251.13</v>
      </c>
    </row>
    <row r="59" spans="1:15" ht="15" customHeight="1">
      <c r="A59" s="63" t="s">
        <v>184</v>
      </c>
      <c r="B59" s="190">
        <f t="shared" si="3"/>
        <v>7.5999999999999998E-2</v>
      </c>
      <c r="C59" s="203">
        <v>3</v>
      </c>
      <c r="D59" s="201" t="s">
        <v>68</v>
      </c>
      <c r="E59" s="63" t="s">
        <v>139</v>
      </c>
      <c r="F59" s="204" t="s">
        <v>81</v>
      </c>
      <c r="G59" s="205">
        <v>19.693000000000001</v>
      </c>
      <c r="H59" s="194">
        <f t="shared" si="0"/>
        <v>236.32</v>
      </c>
      <c r="I59" s="195">
        <f t="shared" si="1"/>
        <v>262.51</v>
      </c>
      <c r="J59" s="196">
        <f t="shared" si="2"/>
        <v>275.7</v>
      </c>
      <c r="K59" s="197">
        <v>0</v>
      </c>
      <c r="L59" s="63">
        <f t="shared" si="4"/>
        <v>226.52</v>
      </c>
      <c r="M59" s="63">
        <f t="shared" si="5"/>
        <v>157.55000000000001</v>
      </c>
      <c r="N59" s="63">
        <f t="shared" si="6"/>
        <v>175.01</v>
      </c>
      <c r="O59" s="63">
        <f t="shared" si="7"/>
        <v>183.8</v>
      </c>
    </row>
    <row r="60" spans="1:15" ht="15" customHeight="1">
      <c r="A60" s="63" t="s">
        <v>184</v>
      </c>
      <c r="B60" s="190">
        <f t="shared" si="3"/>
        <v>8.8999999999999996E-2</v>
      </c>
      <c r="C60" s="203">
        <v>3.5</v>
      </c>
      <c r="D60" s="201" t="s">
        <v>68</v>
      </c>
      <c r="E60" s="63" t="s">
        <v>139</v>
      </c>
      <c r="F60" s="204" t="s">
        <v>183</v>
      </c>
      <c r="G60" s="205">
        <v>21.808</v>
      </c>
      <c r="H60" s="194">
        <f t="shared" si="0"/>
        <v>261.7</v>
      </c>
      <c r="I60" s="195">
        <f t="shared" si="1"/>
        <v>290.7</v>
      </c>
      <c r="J60" s="196">
        <f t="shared" si="2"/>
        <v>305.31</v>
      </c>
      <c r="K60" s="197">
        <v>0</v>
      </c>
      <c r="L60" s="63">
        <f t="shared" si="4"/>
        <v>250.85</v>
      </c>
      <c r="M60" s="63">
        <f t="shared" si="5"/>
        <v>174.47</v>
      </c>
      <c r="N60" s="63">
        <f t="shared" si="6"/>
        <v>193.8</v>
      </c>
      <c r="O60" s="63">
        <f t="shared" si="7"/>
        <v>203.54</v>
      </c>
    </row>
    <row r="61" spans="1:15" ht="15" customHeight="1">
      <c r="A61" s="63" t="s">
        <v>184</v>
      </c>
      <c r="B61" s="190">
        <f t="shared" si="3"/>
        <v>8.8999999999999996E-2</v>
      </c>
      <c r="C61" s="203">
        <v>3.5</v>
      </c>
      <c r="D61" s="201" t="s">
        <v>68</v>
      </c>
      <c r="E61" s="63" t="s">
        <v>139</v>
      </c>
      <c r="F61" s="204" t="s">
        <v>81</v>
      </c>
      <c r="G61" s="205">
        <v>19.855</v>
      </c>
      <c r="H61" s="194">
        <f t="shared" si="0"/>
        <v>238.26</v>
      </c>
      <c r="I61" s="195">
        <f t="shared" si="1"/>
        <v>264.67</v>
      </c>
      <c r="J61" s="196">
        <f t="shared" si="2"/>
        <v>277.97000000000003</v>
      </c>
      <c r="K61" s="197">
        <v>0</v>
      </c>
      <c r="L61" s="63">
        <f t="shared" si="4"/>
        <v>228.38</v>
      </c>
      <c r="M61" s="63">
        <f t="shared" si="5"/>
        <v>158.84</v>
      </c>
      <c r="N61" s="63">
        <f t="shared" si="6"/>
        <v>176.45</v>
      </c>
      <c r="O61" s="63">
        <f t="shared" si="7"/>
        <v>185.31</v>
      </c>
    </row>
    <row r="62" spans="1:15" ht="15" customHeight="1">
      <c r="A62" s="63" t="s">
        <v>184</v>
      </c>
      <c r="B62" s="190">
        <f t="shared" si="3"/>
        <v>0.10199999999999999</v>
      </c>
      <c r="C62" s="203">
        <v>4</v>
      </c>
      <c r="D62" s="201" t="s">
        <v>68</v>
      </c>
      <c r="E62" s="63" t="s">
        <v>139</v>
      </c>
      <c r="F62" s="204" t="s">
        <v>83</v>
      </c>
      <c r="G62" s="205">
        <v>20.334</v>
      </c>
      <c r="H62" s="194">
        <f t="shared" si="0"/>
        <v>244.01</v>
      </c>
      <c r="I62" s="195">
        <f t="shared" si="1"/>
        <v>271.05</v>
      </c>
      <c r="J62" s="196">
        <f t="shared" si="2"/>
        <v>284.68</v>
      </c>
      <c r="K62" s="197">
        <v>0</v>
      </c>
      <c r="L62" s="63">
        <f t="shared" si="4"/>
        <v>233.89</v>
      </c>
      <c r="M62" s="63">
        <f t="shared" si="5"/>
        <v>162.66999999999999</v>
      </c>
      <c r="N62" s="63">
        <f t="shared" si="6"/>
        <v>180.7</v>
      </c>
      <c r="O62" s="63">
        <f t="shared" si="7"/>
        <v>189.79</v>
      </c>
    </row>
    <row r="63" spans="1:15" ht="15" customHeight="1">
      <c r="A63" s="63" t="s">
        <v>184</v>
      </c>
      <c r="B63" s="190">
        <f t="shared" si="3"/>
        <v>0.10199999999999999</v>
      </c>
      <c r="C63" s="203">
        <v>4</v>
      </c>
      <c r="D63" s="201" t="s">
        <v>68</v>
      </c>
      <c r="E63" s="63" t="s">
        <v>139</v>
      </c>
      <c r="F63" s="191" t="s">
        <v>85</v>
      </c>
      <c r="G63" s="205">
        <v>21.542000000000002</v>
      </c>
      <c r="H63" s="194">
        <f t="shared" si="0"/>
        <v>258.5</v>
      </c>
      <c r="I63" s="195">
        <f t="shared" si="1"/>
        <v>287.14999999999998</v>
      </c>
      <c r="J63" s="196">
        <f t="shared" si="2"/>
        <v>301.58999999999997</v>
      </c>
      <c r="K63" s="197">
        <v>0</v>
      </c>
      <c r="L63" s="63">
        <f t="shared" si="4"/>
        <v>247.78</v>
      </c>
      <c r="M63" s="63">
        <f t="shared" si="5"/>
        <v>172.33</v>
      </c>
      <c r="N63" s="63">
        <f t="shared" si="6"/>
        <v>191.43</v>
      </c>
      <c r="O63" s="63">
        <f t="shared" si="7"/>
        <v>201.06</v>
      </c>
    </row>
    <row r="64" spans="1:15" ht="15" customHeight="1">
      <c r="A64" s="63" t="s">
        <v>184</v>
      </c>
      <c r="B64" s="190">
        <f t="shared" si="3"/>
        <v>0.127</v>
      </c>
      <c r="C64" s="203">
        <v>5</v>
      </c>
      <c r="D64" s="201" t="s">
        <v>68</v>
      </c>
      <c r="E64" s="63" t="s">
        <v>139</v>
      </c>
      <c r="F64" s="191" t="s">
        <v>117</v>
      </c>
      <c r="G64" s="205">
        <v>21.832000000000001</v>
      </c>
      <c r="H64" s="194">
        <f t="shared" si="0"/>
        <v>261.98</v>
      </c>
      <c r="I64" s="195">
        <f t="shared" si="1"/>
        <v>291.02</v>
      </c>
      <c r="J64" s="196">
        <f t="shared" si="2"/>
        <v>305.64999999999998</v>
      </c>
      <c r="K64" s="197">
        <v>8.0020153902528479E-2</v>
      </c>
      <c r="L64" s="63">
        <f t="shared" si="4"/>
        <v>251.12</v>
      </c>
      <c r="M64" s="63">
        <f t="shared" si="5"/>
        <v>174.65</v>
      </c>
      <c r="N64" s="63">
        <f t="shared" si="6"/>
        <v>194.01</v>
      </c>
      <c r="O64" s="63">
        <f t="shared" si="7"/>
        <v>203.77</v>
      </c>
    </row>
    <row r="65" spans="1:15" ht="15" customHeight="1">
      <c r="A65" s="63" t="s">
        <v>184</v>
      </c>
      <c r="B65" s="190">
        <f t="shared" si="3"/>
        <v>0.127</v>
      </c>
      <c r="C65" s="203">
        <v>5</v>
      </c>
      <c r="D65" s="201" t="s">
        <v>68</v>
      </c>
      <c r="E65" s="63" t="s">
        <v>139</v>
      </c>
      <c r="F65" s="13" t="s">
        <v>84</v>
      </c>
      <c r="G65" s="205">
        <v>20.686</v>
      </c>
      <c r="H65" s="194">
        <f t="shared" si="0"/>
        <v>248.23</v>
      </c>
      <c r="I65" s="195">
        <f t="shared" si="1"/>
        <v>275.74</v>
      </c>
      <c r="J65" s="196">
        <f t="shared" si="2"/>
        <v>289.60000000000002</v>
      </c>
      <c r="K65" s="197">
        <v>0</v>
      </c>
      <c r="L65" s="63">
        <f t="shared" si="4"/>
        <v>237.94</v>
      </c>
      <c r="M65" s="63">
        <f t="shared" si="5"/>
        <v>165.49</v>
      </c>
      <c r="N65" s="63">
        <f t="shared" si="6"/>
        <v>183.83</v>
      </c>
      <c r="O65" s="63">
        <f t="shared" si="7"/>
        <v>193.07</v>
      </c>
    </row>
    <row r="66" spans="1:15" ht="15" customHeight="1">
      <c r="A66" s="63" t="s">
        <v>184</v>
      </c>
      <c r="B66" s="190">
        <f t="shared" si="3"/>
        <v>0.152</v>
      </c>
      <c r="C66" s="203">
        <v>6</v>
      </c>
      <c r="D66" s="201" t="s">
        <v>68</v>
      </c>
      <c r="E66" s="63" t="s">
        <v>139</v>
      </c>
      <c r="F66" s="191" t="s">
        <v>86</v>
      </c>
      <c r="G66" s="205">
        <v>21.907</v>
      </c>
      <c r="H66" s="194">
        <f t="shared" si="0"/>
        <v>262.88</v>
      </c>
      <c r="I66" s="195">
        <f t="shared" si="1"/>
        <v>292.02</v>
      </c>
      <c r="J66" s="196">
        <f t="shared" si="2"/>
        <v>306.7</v>
      </c>
      <c r="K66" s="197">
        <v>0</v>
      </c>
      <c r="L66" s="63">
        <f t="shared" si="4"/>
        <v>251.99</v>
      </c>
      <c r="M66" s="63">
        <f t="shared" si="5"/>
        <v>175.25</v>
      </c>
      <c r="N66" s="63">
        <f t="shared" si="6"/>
        <v>194.68</v>
      </c>
      <c r="O66" s="63">
        <f t="shared" si="7"/>
        <v>204.47</v>
      </c>
    </row>
    <row r="67" spans="1:15" ht="15" customHeight="1">
      <c r="A67" s="63" t="s">
        <v>184</v>
      </c>
      <c r="B67" s="190">
        <f t="shared" si="3"/>
        <v>0.20300000000000001</v>
      </c>
      <c r="C67" s="203">
        <v>8</v>
      </c>
      <c r="D67" s="201" t="s">
        <v>68</v>
      </c>
      <c r="E67" s="63" t="s">
        <v>139</v>
      </c>
      <c r="F67" s="204" t="s">
        <v>87</v>
      </c>
      <c r="G67" s="205">
        <v>22.321000000000002</v>
      </c>
      <c r="H67" s="194">
        <f t="shared" si="0"/>
        <v>267.85000000000002</v>
      </c>
      <c r="I67" s="195">
        <f t="shared" si="1"/>
        <v>297.54000000000002</v>
      </c>
      <c r="J67" s="196">
        <f t="shared" si="2"/>
        <v>312.49</v>
      </c>
      <c r="K67" s="197">
        <v>0</v>
      </c>
      <c r="L67" s="63">
        <f t="shared" si="4"/>
        <v>256.75</v>
      </c>
      <c r="M67" s="63">
        <f t="shared" si="5"/>
        <v>178.57</v>
      </c>
      <c r="N67" s="63">
        <f t="shared" si="6"/>
        <v>198.36</v>
      </c>
      <c r="O67" s="63">
        <f t="shared" si="7"/>
        <v>208.33</v>
      </c>
    </row>
    <row r="68" spans="1:15" ht="15" customHeight="1">
      <c r="A68" s="63" t="s">
        <v>184</v>
      </c>
      <c r="B68" s="190">
        <f t="shared" si="3"/>
        <v>6.4000000000000001E-2</v>
      </c>
      <c r="C68" s="203">
        <v>2.5</v>
      </c>
      <c r="D68" s="201" t="s">
        <v>29</v>
      </c>
      <c r="E68" s="63" t="s">
        <v>70</v>
      </c>
      <c r="F68" s="204" t="s">
        <v>122</v>
      </c>
      <c r="G68" s="205">
        <v>24.712</v>
      </c>
      <c r="H68" s="194">
        <f t="shared" si="0"/>
        <v>296.54000000000002</v>
      </c>
      <c r="I68" s="195">
        <f t="shared" si="1"/>
        <v>329.41</v>
      </c>
      <c r="J68" s="196">
        <f t="shared" si="2"/>
        <v>345.97</v>
      </c>
      <c r="K68" s="197">
        <v>0</v>
      </c>
      <c r="L68" s="63">
        <f t="shared" si="4"/>
        <v>284.25</v>
      </c>
      <c r="M68" s="63">
        <f t="shared" si="5"/>
        <v>197.69</v>
      </c>
      <c r="N68" s="63">
        <f t="shared" si="6"/>
        <v>219.61</v>
      </c>
      <c r="O68" s="63">
        <f t="shared" si="7"/>
        <v>230.65</v>
      </c>
    </row>
    <row r="69" spans="1:15" ht="15" customHeight="1">
      <c r="A69" s="63" t="s">
        <v>184</v>
      </c>
      <c r="B69" s="190">
        <f t="shared" si="3"/>
        <v>7.5999999999999998E-2</v>
      </c>
      <c r="C69" s="203">
        <v>3</v>
      </c>
      <c r="D69" s="201" t="s">
        <v>29</v>
      </c>
      <c r="E69" s="63" t="s">
        <v>70</v>
      </c>
      <c r="F69" s="204" t="s">
        <v>81</v>
      </c>
      <c r="G69" s="205">
        <v>24.977</v>
      </c>
      <c r="H69" s="194">
        <f t="shared" si="0"/>
        <v>299.72000000000003</v>
      </c>
      <c r="I69" s="195">
        <f t="shared" si="1"/>
        <v>332.94</v>
      </c>
      <c r="J69" s="196">
        <f t="shared" si="2"/>
        <v>349.68</v>
      </c>
      <c r="K69" s="197">
        <v>0</v>
      </c>
      <c r="L69" s="63">
        <f t="shared" si="4"/>
        <v>287.3</v>
      </c>
      <c r="M69" s="63">
        <f t="shared" si="5"/>
        <v>199.81</v>
      </c>
      <c r="N69" s="63">
        <f t="shared" si="6"/>
        <v>221.96</v>
      </c>
      <c r="O69" s="63">
        <f t="shared" si="7"/>
        <v>233.12</v>
      </c>
    </row>
    <row r="70" spans="1:15" ht="15" customHeight="1">
      <c r="A70" s="63" t="s">
        <v>184</v>
      </c>
      <c r="B70" s="190">
        <f t="shared" si="3"/>
        <v>0.10199999999999999</v>
      </c>
      <c r="C70" s="200">
        <v>4</v>
      </c>
      <c r="D70" s="201" t="s">
        <v>29</v>
      </c>
      <c r="E70" s="63" t="s">
        <v>70</v>
      </c>
      <c r="F70" s="191" t="s">
        <v>85</v>
      </c>
      <c r="G70" s="193">
        <v>26.655000000000001</v>
      </c>
      <c r="H70" s="194">
        <f t="shared" si="0"/>
        <v>319.86</v>
      </c>
      <c r="I70" s="195">
        <f t="shared" si="1"/>
        <v>355.31</v>
      </c>
      <c r="J70" s="196">
        <f t="shared" si="2"/>
        <v>373.17</v>
      </c>
      <c r="K70" s="197">
        <v>7.9984993434627505E-2</v>
      </c>
      <c r="L70" s="63">
        <f t="shared" si="4"/>
        <v>306.60000000000002</v>
      </c>
      <c r="M70" s="63">
        <f t="shared" si="5"/>
        <v>213.24</v>
      </c>
      <c r="N70" s="63">
        <f t="shared" si="6"/>
        <v>236.87</v>
      </c>
      <c r="O70" s="63">
        <f t="shared" si="7"/>
        <v>248.78</v>
      </c>
    </row>
    <row r="71" spans="1:15" ht="15" customHeight="1">
      <c r="A71" s="63" t="s">
        <v>184</v>
      </c>
      <c r="B71" s="190">
        <f t="shared" si="3"/>
        <v>0.127</v>
      </c>
      <c r="C71" s="202">
        <v>5</v>
      </c>
      <c r="D71" s="201" t="s">
        <v>29</v>
      </c>
      <c r="E71" s="63" t="s">
        <v>137</v>
      </c>
      <c r="F71" s="60" t="s">
        <v>86</v>
      </c>
      <c r="G71" s="63">
        <v>26.306999999999999</v>
      </c>
      <c r="H71" s="194">
        <f t="shared" si="0"/>
        <v>315.68</v>
      </c>
      <c r="I71" s="195">
        <f t="shared" si="1"/>
        <v>350.67</v>
      </c>
      <c r="J71" s="196">
        <f t="shared" si="2"/>
        <v>368.3</v>
      </c>
      <c r="K71" s="197">
        <v>8.001672558634576E-2</v>
      </c>
      <c r="L71" s="63">
        <f t="shared" si="4"/>
        <v>302.60000000000002</v>
      </c>
      <c r="M71" s="63">
        <f t="shared" si="5"/>
        <v>210.45</v>
      </c>
      <c r="N71" s="63">
        <f t="shared" si="6"/>
        <v>233.78</v>
      </c>
      <c r="O71" s="63">
        <f t="shared" si="7"/>
        <v>245.53</v>
      </c>
    </row>
    <row r="72" spans="1:15" ht="15" customHeight="1">
      <c r="A72" s="63" t="s">
        <v>184</v>
      </c>
      <c r="B72" s="190">
        <f t="shared" si="3"/>
        <v>0.152</v>
      </c>
      <c r="C72" s="202">
        <v>6</v>
      </c>
      <c r="D72" s="201" t="s">
        <v>29</v>
      </c>
      <c r="E72" s="63" t="s">
        <v>137</v>
      </c>
      <c r="F72" s="60" t="s">
        <v>86</v>
      </c>
      <c r="G72" s="193">
        <v>27.094999999999999</v>
      </c>
      <c r="H72" s="194">
        <f t="shared" si="0"/>
        <v>325.14</v>
      </c>
      <c r="I72" s="195">
        <f t="shared" si="1"/>
        <v>361.18</v>
      </c>
      <c r="J72" s="196">
        <f t="shared" si="2"/>
        <v>379.33</v>
      </c>
      <c r="K72" s="197">
        <v>8.0014762871378542E-2</v>
      </c>
      <c r="L72" s="63">
        <f t="shared" si="4"/>
        <v>311.66000000000003</v>
      </c>
      <c r="M72" s="63">
        <f t="shared" si="5"/>
        <v>216.76</v>
      </c>
      <c r="N72" s="63">
        <f t="shared" si="6"/>
        <v>240.79</v>
      </c>
      <c r="O72" s="63">
        <f t="shared" si="7"/>
        <v>252.89</v>
      </c>
    </row>
    <row r="73" spans="1:15" ht="15" customHeight="1">
      <c r="A73" s="63" t="s">
        <v>184</v>
      </c>
      <c r="B73" s="190">
        <f t="shared" si="3"/>
        <v>0.20300000000000001</v>
      </c>
      <c r="C73" s="202">
        <v>8</v>
      </c>
      <c r="D73" s="201" t="s">
        <v>29</v>
      </c>
      <c r="E73" s="63" t="s">
        <v>137</v>
      </c>
      <c r="F73" s="60" t="s">
        <v>87</v>
      </c>
      <c r="G73" s="63">
        <v>29.317</v>
      </c>
      <c r="H73" s="194">
        <f t="shared" si="0"/>
        <v>351.8</v>
      </c>
      <c r="I73" s="195">
        <f t="shared" si="1"/>
        <v>390.8</v>
      </c>
      <c r="J73" s="196">
        <f t="shared" si="2"/>
        <v>410.44</v>
      </c>
      <c r="K73" s="197">
        <v>5.9999317801957996E-2</v>
      </c>
      <c r="L73" s="63">
        <f t="shared" si="4"/>
        <v>337.21</v>
      </c>
      <c r="M73" s="63">
        <f t="shared" si="5"/>
        <v>234.53</v>
      </c>
      <c r="N73" s="63">
        <f t="shared" si="6"/>
        <v>260.52999999999997</v>
      </c>
      <c r="O73" s="63">
        <f t="shared" si="7"/>
        <v>273.63</v>
      </c>
    </row>
    <row r="74" spans="1:15" ht="15" customHeight="1">
      <c r="A74" s="63" t="s">
        <v>184</v>
      </c>
      <c r="B74" s="190">
        <f t="shared" si="3"/>
        <v>0.254</v>
      </c>
      <c r="C74" s="202">
        <v>10</v>
      </c>
      <c r="D74" s="201" t="s">
        <v>29</v>
      </c>
      <c r="E74" s="63" t="s">
        <v>137</v>
      </c>
      <c r="F74" s="60" t="s">
        <v>89</v>
      </c>
      <c r="G74" s="63">
        <v>28.608000000000001</v>
      </c>
      <c r="H74" s="194">
        <f t="shared" si="0"/>
        <v>343.3</v>
      </c>
      <c r="I74" s="195">
        <f t="shared" si="1"/>
        <v>381.34</v>
      </c>
      <c r="J74" s="196">
        <f t="shared" si="2"/>
        <v>400.51</v>
      </c>
      <c r="K74" s="197">
        <v>0</v>
      </c>
      <c r="L74" s="63">
        <f t="shared" si="4"/>
        <v>329.07</v>
      </c>
      <c r="M74" s="63">
        <f t="shared" si="5"/>
        <v>228.87</v>
      </c>
      <c r="N74" s="63">
        <f t="shared" si="6"/>
        <v>254.23</v>
      </c>
      <c r="O74" s="63">
        <f t="shared" si="7"/>
        <v>267.01</v>
      </c>
    </row>
    <row r="75" spans="1:15" ht="15" customHeight="1">
      <c r="A75" s="63" t="s">
        <v>184</v>
      </c>
      <c r="B75" s="190">
        <f t="shared" si="3"/>
        <v>0.30499999999999999</v>
      </c>
      <c r="C75" s="202">
        <v>12</v>
      </c>
      <c r="D75" s="201" t="s">
        <v>29</v>
      </c>
      <c r="E75" s="63" t="s">
        <v>137</v>
      </c>
      <c r="F75" s="60" t="s">
        <v>90</v>
      </c>
      <c r="G75" s="63">
        <v>29.824999999999999</v>
      </c>
      <c r="H75" s="194">
        <f t="shared" si="0"/>
        <v>357.9</v>
      </c>
      <c r="I75" s="195">
        <f t="shared" si="1"/>
        <v>397.57</v>
      </c>
      <c r="J75" s="196">
        <f t="shared" si="2"/>
        <v>417.55</v>
      </c>
      <c r="K75" s="197">
        <v>0</v>
      </c>
      <c r="L75" s="63">
        <f t="shared" si="4"/>
        <v>343.06</v>
      </c>
      <c r="M75" s="63">
        <f t="shared" si="5"/>
        <v>238.6</v>
      </c>
      <c r="N75" s="63">
        <f t="shared" si="6"/>
        <v>265.05</v>
      </c>
      <c r="O75" s="63">
        <f t="shared" si="7"/>
        <v>278.37</v>
      </c>
    </row>
    <row r="76" spans="1:15" ht="15" customHeight="1">
      <c r="A76" s="63" t="s">
        <v>184</v>
      </c>
      <c r="B76" s="190">
        <f t="shared" si="3"/>
        <v>0.38100000000000001</v>
      </c>
      <c r="C76" s="202">
        <v>15</v>
      </c>
      <c r="D76" s="201" t="s">
        <v>29</v>
      </c>
      <c r="E76" s="63" t="s">
        <v>137</v>
      </c>
      <c r="F76" s="60" t="s">
        <v>90</v>
      </c>
      <c r="G76" s="63">
        <v>30.620999999999999</v>
      </c>
      <c r="H76" s="194">
        <f t="shared" si="0"/>
        <v>367.45</v>
      </c>
      <c r="I76" s="195">
        <f t="shared" si="1"/>
        <v>408.18</v>
      </c>
      <c r="J76" s="196">
        <f t="shared" si="2"/>
        <v>428.69</v>
      </c>
      <c r="K76" s="197">
        <v>0</v>
      </c>
      <c r="L76" s="63">
        <f t="shared" si="4"/>
        <v>352.21</v>
      </c>
      <c r="M76" s="63">
        <f t="shared" si="5"/>
        <v>244.97</v>
      </c>
      <c r="N76" s="63">
        <f t="shared" si="6"/>
        <v>272.12</v>
      </c>
      <c r="O76" s="63">
        <f t="shared" si="7"/>
        <v>285.79000000000002</v>
      </c>
    </row>
    <row r="77" spans="1:15" ht="15" customHeight="1">
      <c r="A77" s="63" t="s">
        <v>184</v>
      </c>
      <c r="B77" s="190">
        <f t="shared" si="3"/>
        <v>0.45700000000000002</v>
      </c>
      <c r="C77" s="202">
        <v>18</v>
      </c>
      <c r="D77" s="201" t="s">
        <v>29</v>
      </c>
      <c r="E77" s="63" t="s">
        <v>137</v>
      </c>
      <c r="F77" s="60" t="s">
        <v>129</v>
      </c>
      <c r="G77" s="63">
        <v>32.273000000000003</v>
      </c>
      <c r="H77" s="194">
        <f t="shared" ref="H77:H141" si="8">ROUND(G77*12,2)</f>
        <v>387.28</v>
      </c>
      <c r="I77" s="195">
        <f t="shared" ref="I77:I141" si="9">ROUND(G77*13.33,2)</f>
        <v>430.2</v>
      </c>
      <c r="J77" s="196">
        <f t="shared" ref="J77:J141" si="10">ROUND(G77*14,2)</f>
        <v>451.82</v>
      </c>
      <c r="K77" s="197">
        <v>0</v>
      </c>
      <c r="L77" s="63">
        <f t="shared" si="4"/>
        <v>371.23</v>
      </c>
      <c r="M77" s="63">
        <f t="shared" si="5"/>
        <v>258.19</v>
      </c>
      <c r="N77" s="63">
        <f t="shared" si="6"/>
        <v>286.8</v>
      </c>
      <c r="O77" s="63">
        <f t="shared" si="7"/>
        <v>301.20999999999998</v>
      </c>
    </row>
    <row r="78" spans="1:15" ht="15" customHeight="1">
      <c r="A78" s="63" t="s">
        <v>184</v>
      </c>
      <c r="B78" s="190">
        <f t="shared" si="3"/>
        <v>0.88900000000000001</v>
      </c>
      <c r="C78" s="202">
        <v>35</v>
      </c>
      <c r="D78" s="201" t="s">
        <v>29</v>
      </c>
      <c r="E78" s="63" t="s">
        <v>137</v>
      </c>
      <c r="F78" s="13" t="s">
        <v>96</v>
      </c>
      <c r="G78" s="63">
        <v>33.420999999999999</v>
      </c>
      <c r="H78" s="194">
        <f t="shared" si="8"/>
        <v>401.05</v>
      </c>
      <c r="I78" s="195">
        <f t="shared" si="9"/>
        <v>445.5</v>
      </c>
      <c r="J78" s="196">
        <f t="shared" si="10"/>
        <v>467.89</v>
      </c>
      <c r="K78" s="206">
        <v>8.0009574818228124E-2</v>
      </c>
      <c r="L78" s="63">
        <f t="shared" si="4"/>
        <v>384.42</v>
      </c>
      <c r="M78" s="63">
        <f t="shared" si="5"/>
        <v>267.37</v>
      </c>
      <c r="N78" s="63">
        <f t="shared" si="6"/>
        <v>297</v>
      </c>
      <c r="O78" s="63">
        <f t="shared" si="7"/>
        <v>311.93</v>
      </c>
    </row>
    <row r="80" spans="1:15" ht="22.2">
      <c r="A80" s="184" t="s">
        <v>188</v>
      </c>
      <c r="B80" s="184"/>
      <c r="C80" s="184"/>
      <c r="D80" s="184"/>
      <c r="E80" s="184"/>
      <c r="F80" s="184"/>
      <c r="G80" s="184"/>
      <c r="H80" s="184"/>
      <c r="I80" s="184"/>
      <c r="J80" s="184"/>
      <c r="K80" s="184"/>
    </row>
    <row r="81" spans="1:15">
      <c r="A81" s="208" t="s">
        <v>189</v>
      </c>
      <c r="B81" s="118" t="s">
        <v>31</v>
      </c>
      <c r="C81" s="208" t="s">
        <v>190</v>
      </c>
      <c r="D81" s="118" t="s">
        <v>33</v>
      </c>
      <c r="E81" s="118" t="s">
        <v>34</v>
      </c>
      <c r="F81" s="209" t="s">
        <v>35</v>
      </c>
      <c r="G81" s="118" t="s">
        <v>36</v>
      </c>
      <c r="H81" s="118" t="s">
        <v>37</v>
      </c>
      <c r="I81" s="210" t="s">
        <v>38</v>
      </c>
      <c r="J81" s="134"/>
      <c r="K81" s="211" t="s">
        <v>23</v>
      </c>
    </row>
    <row r="82" spans="1:15">
      <c r="A82" s="63" t="s">
        <v>191</v>
      </c>
      <c r="B82" s="63">
        <v>1027</v>
      </c>
      <c r="C82" s="212">
        <v>71</v>
      </c>
      <c r="D82" s="213" t="s">
        <v>40</v>
      </c>
      <c r="E82" s="214" t="s">
        <v>41</v>
      </c>
      <c r="F82" s="13">
        <v>3937</v>
      </c>
      <c r="G82" s="118">
        <v>2.8959999999999999</v>
      </c>
      <c r="H82" s="215">
        <f>ROUND(G82*13.124,2)</f>
        <v>38.01</v>
      </c>
      <c r="I82" s="216">
        <f>ROUND(G82*F82,2)</f>
        <v>11401.55</v>
      </c>
      <c r="J82" s="216"/>
      <c r="K82" s="206">
        <v>0.10013812154696144</v>
      </c>
    </row>
    <row r="83" spans="1:15">
      <c r="A83" s="63" t="s">
        <v>191</v>
      </c>
      <c r="B83" s="63">
        <v>1027</v>
      </c>
      <c r="C83" s="212">
        <v>74</v>
      </c>
      <c r="D83" s="213" t="s">
        <v>40</v>
      </c>
      <c r="E83" s="214" t="s">
        <v>41</v>
      </c>
      <c r="F83" s="13">
        <v>3937</v>
      </c>
      <c r="G83" s="118">
        <v>3.6869999999999998</v>
      </c>
      <c r="H83" s="215">
        <f t="shared" ref="H83:H110" si="11">ROUND(G83*13.124,2)</f>
        <v>48.39</v>
      </c>
      <c r="I83" s="216">
        <f>ROUND(G83*F83,2)</f>
        <v>14515.72</v>
      </c>
      <c r="J83" s="216"/>
      <c r="K83" s="118"/>
    </row>
    <row r="84" spans="1:15">
      <c r="A84" s="63" t="s">
        <v>191</v>
      </c>
      <c r="B84" s="63">
        <v>1027</v>
      </c>
      <c r="C84" s="212">
        <v>76</v>
      </c>
      <c r="D84" s="213" t="s">
        <v>40</v>
      </c>
      <c r="E84" s="214" t="s">
        <v>41</v>
      </c>
      <c r="F84" s="13">
        <v>3937</v>
      </c>
      <c r="G84" s="118">
        <v>3.9820000000000002</v>
      </c>
      <c r="H84" s="215">
        <f t="shared" si="11"/>
        <v>52.26</v>
      </c>
      <c r="I84" s="216">
        <f t="shared" ref="I84:I110" si="12">ROUND(G84*F84,2)</f>
        <v>15677.13</v>
      </c>
      <c r="J84" s="216"/>
      <c r="K84" s="118"/>
    </row>
    <row r="85" spans="1:15">
      <c r="A85" s="63" t="s">
        <v>191</v>
      </c>
      <c r="B85" s="63">
        <v>1037</v>
      </c>
      <c r="C85" s="212">
        <v>70</v>
      </c>
      <c r="D85" s="213" t="s">
        <v>40</v>
      </c>
      <c r="E85" s="214" t="s">
        <v>41</v>
      </c>
      <c r="F85" s="13">
        <v>3937</v>
      </c>
      <c r="G85" s="118">
        <v>2.5630000000000002</v>
      </c>
      <c r="H85" s="215">
        <f t="shared" si="11"/>
        <v>33.64</v>
      </c>
      <c r="I85" s="216">
        <f t="shared" si="12"/>
        <v>10090.530000000001</v>
      </c>
      <c r="J85" s="216"/>
      <c r="K85" s="118"/>
    </row>
    <row r="86" spans="1:15">
      <c r="A86" s="63" t="s">
        <v>191</v>
      </c>
      <c r="B86" s="63">
        <v>1037</v>
      </c>
      <c r="C86" s="212">
        <v>73</v>
      </c>
      <c r="D86" s="213" t="s">
        <v>40</v>
      </c>
      <c r="E86" s="214" t="s">
        <v>41</v>
      </c>
      <c r="F86" s="13">
        <v>3937</v>
      </c>
      <c r="G86" s="118">
        <v>2.698</v>
      </c>
      <c r="H86" s="215">
        <f t="shared" si="11"/>
        <v>35.409999999999997</v>
      </c>
      <c r="I86" s="216">
        <f t="shared" si="12"/>
        <v>10622.03</v>
      </c>
      <c r="J86" s="216"/>
      <c r="K86" s="118"/>
    </row>
    <row r="87" spans="1:15">
      <c r="A87" s="63" t="s">
        <v>191</v>
      </c>
      <c r="B87" s="63">
        <v>1037</v>
      </c>
      <c r="C87" s="212">
        <v>75</v>
      </c>
      <c r="D87" s="213" t="s">
        <v>40</v>
      </c>
      <c r="E87" s="214" t="s">
        <v>41</v>
      </c>
      <c r="F87" s="13">
        <v>3937</v>
      </c>
      <c r="G87" s="118">
        <v>2.86</v>
      </c>
      <c r="H87" s="215">
        <f t="shared" si="11"/>
        <v>37.53</v>
      </c>
      <c r="I87" s="216">
        <f t="shared" si="12"/>
        <v>11259.82</v>
      </c>
      <c r="J87" s="216"/>
      <c r="K87" s="118"/>
    </row>
    <row r="88" spans="1:15">
      <c r="A88" s="63" t="s">
        <v>191</v>
      </c>
      <c r="B88" s="118">
        <v>106</v>
      </c>
      <c r="C88" s="212">
        <v>72</v>
      </c>
      <c r="D88" s="213" t="s">
        <v>40</v>
      </c>
      <c r="E88" s="214" t="s">
        <v>41</v>
      </c>
      <c r="F88" s="13">
        <v>3937</v>
      </c>
      <c r="G88" s="118">
        <v>2.2949999999999999</v>
      </c>
      <c r="H88" s="215">
        <f t="shared" si="11"/>
        <v>30.12</v>
      </c>
      <c r="I88" s="216">
        <f t="shared" si="12"/>
        <v>9035.42</v>
      </c>
      <c r="J88" s="216"/>
      <c r="K88" s="206">
        <v>8.0174291938997833E-2</v>
      </c>
    </row>
    <row r="89" spans="1:15">
      <c r="A89" s="63" t="s">
        <v>191</v>
      </c>
      <c r="B89" s="118">
        <v>106</v>
      </c>
      <c r="C89" s="212">
        <v>75</v>
      </c>
      <c r="D89" s="213" t="s">
        <v>40</v>
      </c>
      <c r="E89" s="214" t="s">
        <v>41</v>
      </c>
      <c r="F89" s="13">
        <v>3937</v>
      </c>
      <c r="G89" s="118">
        <v>2.4089999999999998</v>
      </c>
      <c r="H89" s="215">
        <f t="shared" si="11"/>
        <v>31.62</v>
      </c>
      <c r="I89" s="216">
        <f t="shared" si="12"/>
        <v>9484.23</v>
      </c>
      <c r="J89" s="216"/>
      <c r="K89" s="206">
        <v>8.0116230801162258E-2</v>
      </c>
    </row>
    <row r="90" spans="1:15">
      <c r="A90" s="63" t="s">
        <v>191</v>
      </c>
      <c r="B90" s="63">
        <v>1067</v>
      </c>
      <c r="C90" s="212">
        <v>70</v>
      </c>
      <c r="D90" s="213" t="s">
        <v>40</v>
      </c>
      <c r="E90" s="214" t="s">
        <v>41</v>
      </c>
      <c r="F90" s="13">
        <v>3937</v>
      </c>
      <c r="G90" s="118">
        <v>2.625</v>
      </c>
      <c r="H90" s="215">
        <f t="shared" si="11"/>
        <v>34.450000000000003</v>
      </c>
      <c r="I90" s="216">
        <f t="shared" si="12"/>
        <v>10334.629999999999</v>
      </c>
      <c r="J90" s="216"/>
      <c r="K90" s="206">
        <v>8.0000000000000071E-2</v>
      </c>
    </row>
    <row r="91" spans="1:15">
      <c r="A91" s="63" t="s">
        <v>191</v>
      </c>
      <c r="B91" s="63">
        <v>1067</v>
      </c>
      <c r="C91" s="212">
        <v>73</v>
      </c>
      <c r="D91" s="213" t="s">
        <v>40</v>
      </c>
      <c r="E91" s="214" t="s">
        <v>41</v>
      </c>
      <c r="F91" s="13">
        <v>3937</v>
      </c>
      <c r="G91" s="118">
        <v>2.7570000000000001</v>
      </c>
      <c r="H91" s="215">
        <f t="shared" si="11"/>
        <v>36.18</v>
      </c>
      <c r="I91" s="216">
        <f t="shared" si="12"/>
        <v>10854.31</v>
      </c>
      <c r="J91" s="216"/>
      <c r="K91" s="206">
        <v>8.0159593761334857E-2</v>
      </c>
      <c r="O91" s="217"/>
    </row>
    <row r="92" spans="1:15">
      <c r="A92" s="63" t="s">
        <v>192</v>
      </c>
      <c r="B92" s="63">
        <v>1078</v>
      </c>
      <c r="C92" s="212">
        <v>66</v>
      </c>
      <c r="D92" s="213" t="s">
        <v>40</v>
      </c>
      <c r="E92" s="214" t="s">
        <v>41</v>
      </c>
      <c r="F92" s="13">
        <v>3937</v>
      </c>
      <c r="G92" s="118">
        <v>2.5659999999999998</v>
      </c>
      <c r="H92" s="215">
        <f t="shared" si="11"/>
        <v>33.68</v>
      </c>
      <c r="I92" s="216">
        <f t="shared" si="12"/>
        <v>10102.34</v>
      </c>
      <c r="J92" s="216"/>
      <c r="K92" s="206"/>
      <c r="O92" s="217"/>
    </row>
    <row r="93" spans="1:15">
      <c r="A93" s="63" t="s">
        <v>192</v>
      </c>
      <c r="B93" s="63">
        <v>1078</v>
      </c>
      <c r="C93" s="212">
        <v>68</v>
      </c>
      <c r="D93" s="213" t="s">
        <v>40</v>
      </c>
      <c r="E93" s="214" t="s">
        <v>41</v>
      </c>
      <c r="F93" s="13">
        <v>3937</v>
      </c>
      <c r="G93" s="118">
        <v>2.7010000000000001</v>
      </c>
      <c r="H93" s="215">
        <f t="shared" si="11"/>
        <v>35.450000000000003</v>
      </c>
      <c r="I93" s="216">
        <f t="shared" si="12"/>
        <v>10633.84</v>
      </c>
      <c r="J93" s="216"/>
      <c r="K93" s="206">
        <v>9.9962976675305404E-2</v>
      </c>
      <c r="O93" s="217"/>
    </row>
    <row r="94" spans="1:15">
      <c r="A94" s="63" t="s">
        <v>192</v>
      </c>
      <c r="B94" s="63">
        <v>1078</v>
      </c>
      <c r="C94" s="212">
        <v>73</v>
      </c>
      <c r="D94" s="213" t="s">
        <v>40</v>
      </c>
      <c r="E94" s="214" t="s">
        <v>41</v>
      </c>
      <c r="F94" s="13">
        <v>3937</v>
      </c>
      <c r="G94" s="118">
        <v>2.835</v>
      </c>
      <c r="H94" s="215">
        <f t="shared" si="11"/>
        <v>37.21</v>
      </c>
      <c r="I94" s="216">
        <f t="shared" si="12"/>
        <v>11161.4</v>
      </c>
      <c r="J94" s="216"/>
      <c r="K94" s="206">
        <v>0.10017636684303355</v>
      </c>
      <c r="O94" s="217"/>
    </row>
    <row r="95" spans="1:15">
      <c r="A95" s="63" t="s">
        <v>191</v>
      </c>
      <c r="B95" s="63">
        <v>1080</v>
      </c>
      <c r="C95" s="212">
        <v>63</v>
      </c>
      <c r="D95" s="213" t="s">
        <v>40</v>
      </c>
      <c r="E95" s="214" t="s">
        <v>41</v>
      </c>
      <c r="F95" s="13">
        <v>3937</v>
      </c>
      <c r="G95" s="60">
        <v>2.2210000000000001</v>
      </c>
      <c r="H95" s="215">
        <f t="shared" si="11"/>
        <v>29.15</v>
      </c>
      <c r="I95" s="218">
        <f t="shared" si="12"/>
        <v>8744.08</v>
      </c>
      <c r="J95" s="218"/>
      <c r="K95" s="206">
        <v>9.9954975236379973E-2</v>
      </c>
      <c r="O95" s="217"/>
    </row>
    <row r="96" spans="1:15">
      <c r="A96" s="63" t="s">
        <v>191</v>
      </c>
      <c r="B96" s="63">
        <v>1080</v>
      </c>
      <c r="C96" s="212">
        <v>64</v>
      </c>
      <c r="D96" s="213" t="s">
        <v>40</v>
      </c>
      <c r="E96" s="214" t="s">
        <v>41</v>
      </c>
      <c r="F96" s="13">
        <v>3937</v>
      </c>
      <c r="G96" s="60">
        <v>2.286</v>
      </c>
      <c r="H96" s="215">
        <f t="shared" si="11"/>
        <v>30</v>
      </c>
      <c r="I96" s="218">
        <f t="shared" si="12"/>
        <v>8999.98</v>
      </c>
      <c r="J96" s="218"/>
      <c r="K96" s="206">
        <v>0.10017497812773413</v>
      </c>
      <c r="O96" s="217"/>
    </row>
    <row r="97" spans="1:11">
      <c r="A97" s="189" t="s">
        <v>191</v>
      </c>
      <c r="B97" s="189">
        <v>1080</v>
      </c>
      <c r="C97" s="219">
        <v>65</v>
      </c>
      <c r="D97" s="220" t="s">
        <v>40</v>
      </c>
      <c r="E97" s="221" t="s">
        <v>41</v>
      </c>
      <c r="F97" s="189">
        <v>3937</v>
      </c>
      <c r="G97" s="222">
        <v>2.286</v>
      </c>
      <c r="H97" s="215">
        <f t="shared" si="11"/>
        <v>30</v>
      </c>
      <c r="I97" s="223">
        <f t="shared" si="12"/>
        <v>8999.98</v>
      </c>
      <c r="J97" s="223"/>
      <c r="K97" s="206">
        <v>0.10017497812773413</v>
      </c>
    </row>
    <row r="98" spans="1:11">
      <c r="A98" s="189" t="s">
        <v>191</v>
      </c>
      <c r="B98" s="189">
        <v>1080</v>
      </c>
      <c r="C98" s="219">
        <v>66</v>
      </c>
      <c r="D98" s="220" t="s">
        <v>40</v>
      </c>
      <c r="E98" s="221" t="s">
        <v>41</v>
      </c>
      <c r="F98" s="189">
        <v>3937</v>
      </c>
      <c r="G98" s="222">
        <v>2.286</v>
      </c>
      <c r="H98" s="215">
        <f t="shared" si="11"/>
        <v>30</v>
      </c>
      <c r="I98" s="223">
        <f t="shared" si="12"/>
        <v>8999.98</v>
      </c>
      <c r="J98" s="223"/>
      <c r="K98" s="206">
        <v>0.10017497812773413</v>
      </c>
    </row>
    <row r="99" spans="1:11">
      <c r="A99" s="189" t="s">
        <v>191</v>
      </c>
      <c r="B99" s="189">
        <v>1080</v>
      </c>
      <c r="C99" s="219">
        <v>68</v>
      </c>
      <c r="D99" s="220" t="s">
        <v>40</v>
      </c>
      <c r="E99" s="221" t="s">
        <v>41</v>
      </c>
      <c r="F99" s="189">
        <v>3937</v>
      </c>
      <c r="G99" s="222">
        <v>2.3130000000000002</v>
      </c>
      <c r="H99" s="215">
        <f t="shared" si="11"/>
        <v>30.36</v>
      </c>
      <c r="I99" s="223">
        <f t="shared" si="12"/>
        <v>9106.2800000000007</v>
      </c>
      <c r="J99" s="223"/>
      <c r="K99" s="206">
        <v>9.9870298313877948E-2</v>
      </c>
    </row>
    <row r="100" spans="1:11">
      <c r="A100" s="189" t="s">
        <v>191</v>
      </c>
      <c r="B100" s="189">
        <v>1080</v>
      </c>
      <c r="C100" s="219">
        <v>70</v>
      </c>
      <c r="D100" s="220" t="s">
        <v>40</v>
      </c>
      <c r="E100" s="221" t="s">
        <v>41</v>
      </c>
      <c r="F100" s="189">
        <v>3937</v>
      </c>
      <c r="G100" s="222">
        <v>2.4319999999999999</v>
      </c>
      <c r="H100" s="215">
        <f t="shared" si="11"/>
        <v>31.92</v>
      </c>
      <c r="I100" s="223">
        <f t="shared" si="12"/>
        <v>9574.7800000000007</v>
      </c>
      <c r="J100" s="223"/>
      <c r="K100" s="206">
        <v>9.991776315789469E-2</v>
      </c>
    </row>
    <row r="101" spans="1:11">
      <c r="A101" s="189" t="s">
        <v>191</v>
      </c>
      <c r="B101" s="189">
        <v>1080</v>
      </c>
      <c r="C101" s="219">
        <v>73</v>
      </c>
      <c r="D101" s="220" t="s">
        <v>40</v>
      </c>
      <c r="E101" s="221" t="s">
        <v>41</v>
      </c>
      <c r="F101" s="189">
        <v>3937</v>
      </c>
      <c r="G101" s="222">
        <v>2.702</v>
      </c>
      <c r="H101" s="215">
        <f t="shared" si="11"/>
        <v>35.46</v>
      </c>
      <c r="I101" s="223">
        <f t="shared" si="12"/>
        <v>10637.77</v>
      </c>
      <c r="J101" s="223"/>
      <c r="K101" s="206">
        <v>9.9925980754996369E-2</v>
      </c>
    </row>
    <row r="102" spans="1:11">
      <c r="A102" s="189" t="s">
        <v>192</v>
      </c>
      <c r="B102" s="189">
        <v>2116</v>
      </c>
      <c r="C102" s="224">
        <v>54</v>
      </c>
      <c r="D102" s="189">
        <v>200</v>
      </c>
      <c r="E102" s="225" t="s">
        <v>41</v>
      </c>
      <c r="F102" s="189">
        <v>2624.6</v>
      </c>
      <c r="G102" s="222">
        <v>2.4119999999999999</v>
      </c>
      <c r="H102" s="215">
        <f t="shared" si="11"/>
        <v>31.66</v>
      </c>
      <c r="I102" s="223">
        <f t="shared" si="12"/>
        <v>6330.54</v>
      </c>
      <c r="J102" s="223"/>
      <c r="K102" s="206">
        <v>5.0165837479270392E-2</v>
      </c>
    </row>
    <row r="103" spans="1:11">
      <c r="A103" s="189" t="s">
        <v>192</v>
      </c>
      <c r="B103" s="189">
        <v>2116</v>
      </c>
      <c r="C103" s="224">
        <v>55.000000000000007</v>
      </c>
      <c r="D103" s="189">
        <v>200</v>
      </c>
      <c r="E103" s="225" t="s">
        <v>41</v>
      </c>
      <c r="F103" s="189">
        <v>2624.6</v>
      </c>
      <c r="G103" s="189">
        <v>2.66</v>
      </c>
      <c r="H103" s="215">
        <f t="shared" si="11"/>
        <v>34.909999999999997</v>
      </c>
      <c r="I103" s="223">
        <f t="shared" si="12"/>
        <v>6981.44</v>
      </c>
      <c r="J103" s="223"/>
      <c r="K103" s="206">
        <v>5.0000000000000044E-2</v>
      </c>
    </row>
    <row r="104" spans="1:11">
      <c r="A104" s="63" t="s">
        <v>191</v>
      </c>
      <c r="B104" s="13">
        <v>2116</v>
      </c>
      <c r="C104" s="226">
        <v>56.000000000000007</v>
      </c>
      <c r="D104" s="13">
        <v>200</v>
      </c>
      <c r="E104" s="17" t="s">
        <v>41</v>
      </c>
      <c r="F104" s="13">
        <v>2624.6</v>
      </c>
      <c r="G104" s="13">
        <v>2.496</v>
      </c>
      <c r="H104" s="227">
        <f t="shared" si="11"/>
        <v>32.76</v>
      </c>
      <c r="I104" s="218">
        <f t="shared" si="12"/>
        <v>6551</v>
      </c>
      <c r="J104" s="218"/>
      <c r="K104" s="228">
        <v>0.14983974358974361</v>
      </c>
    </row>
    <row r="105" spans="1:11">
      <c r="A105" s="63" t="s">
        <v>191</v>
      </c>
      <c r="B105" s="13">
        <v>2116</v>
      </c>
      <c r="C105" s="226">
        <v>57.999999999999993</v>
      </c>
      <c r="D105" s="13">
        <v>200</v>
      </c>
      <c r="E105" s="17" t="s">
        <v>41</v>
      </c>
      <c r="F105" s="13">
        <v>2624.6</v>
      </c>
      <c r="G105" s="13">
        <v>2.7320000000000002</v>
      </c>
      <c r="H105" s="227">
        <f t="shared" si="11"/>
        <v>35.85</v>
      </c>
      <c r="I105" s="218">
        <f t="shared" si="12"/>
        <v>7170.41</v>
      </c>
      <c r="J105" s="218"/>
      <c r="K105" s="228"/>
    </row>
    <row r="106" spans="1:11">
      <c r="A106" s="63" t="s">
        <v>191</v>
      </c>
      <c r="B106" s="13">
        <v>2116</v>
      </c>
      <c r="C106" s="226">
        <v>60</v>
      </c>
      <c r="D106" s="13">
        <v>200</v>
      </c>
      <c r="E106" s="17" t="s">
        <v>41</v>
      </c>
      <c r="F106" s="13">
        <v>2624.6</v>
      </c>
      <c r="G106" s="13">
        <v>2.8</v>
      </c>
      <c r="H106" s="215">
        <f t="shared" si="11"/>
        <v>36.75</v>
      </c>
      <c r="I106" s="218">
        <f t="shared" si="12"/>
        <v>7348.88</v>
      </c>
      <c r="J106" s="218"/>
      <c r="K106" s="206">
        <v>5.0000000000000044E-2</v>
      </c>
    </row>
    <row r="107" spans="1:11">
      <c r="A107" s="63" t="s">
        <v>191</v>
      </c>
      <c r="B107" s="13">
        <v>3313</v>
      </c>
      <c r="C107" s="226">
        <v>55.000000000000007</v>
      </c>
      <c r="D107" s="13">
        <v>300</v>
      </c>
      <c r="E107" s="17" t="s">
        <v>41</v>
      </c>
      <c r="F107" s="13">
        <v>3937</v>
      </c>
      <c r="G107" s="13">
        <v>2.585</v>
      </c>
      <c r="H107" s="215">
        <f t="shared" si="11"/>
        <v>33.93</v>
      </c>
      <c r="I107" s="218">
        <f t="shared" si="12"/>
        <v>10177.15</v>
      </c>
      <c r="J107" s="218"/>
      <c r="K107" s="206"/>
    </row>
    <row r="108" spans="1:11">
      <c r="A108" s="63" t="s">
        <v>191</v>
      </c>
      <c r="B108" s="13">
        <v>3313</v>
      </c>
      <c r="C108" s="226">
        <v>56.999999999999993</v>
      </c>
      <c r="D108" s="13">
        <v>300</v>
      </c>
      <c r="E108" s="17" t="s">
        <v>41</v>
      </c>
      <c r="F108" s="13">
        <v>3937</v>
      </c>
      <c r="G108" s="13">
        <v>2.7210000000000001</v>
      </c>
      <c r="H108" s="215">
        <f t="shared" si="11"/>
        <v>35.71</v>
      </c>
      <c r="I108" s="218">
        <f t="shared" si="12"/>
        <v>10712.58</v>
      </c>
      <c r="J108" s="218"/>
      <c r="K108" s="206">
        <v>4.9981624402793079E-2</v>
      </c>
    </row>
    <row r="109" spans="1:11">
      <c r="A109" s="63" t="s">
        <v>191</v>
      </c>
      <c r="B109" s="13">
        <v>7628</v>
      </c>
      <c r="C109" s="226">
        <v>46</v>
      </c>
      <c r="D109" s="13">
        <v>150</v>
      </c>
      <c r="E109" s="17" t="s">
        <v>41</v>
      </c>
      <c r="F109" s="13">
        <v>1968.5</v>
      </c>
      <c r="G109" s="13">
        <v>3.1259999999999999</v>
      </c>
      <c r="H109" s="215">
        <f t="shared" si="11"/>
        <v>41.03</v>
      </c>
      <c r="I109" s="218">
        <f t="shared" si="12"/>
        <v>6153.53</v>
      </c>
      <c r="J109" s="218"/>
      <c r="K109" s="13"/>
    </row>
    <row r="110" spans="1:11">
      <c r="A110" s="63" t="s">
        <v>191</v>
      </c>
      <c r="B110" s="13">
        <v>7628</v>
      </c>
      <c r="C110" s="226">
        <v>48</v>
      </c>
      <c r="D110" s="229">
        <v>150</v>
      </c>
      <c r="E110" s="17" t="s">
        <v>41</v>
      </c>
      <c r="F110" s="13">
        <v>1968.5</v>
      </c>
      <c r="G110" s="229">
        <v>3.3130000000000002</v>
      </c>
      <c r="H110" s="215">
        <f t="shared" si="11"/>
        <v>43.48</v>
      </c>
      <c r="I110" s="218">
        <f t="shared" si="12"/>
        <v>6521.64</v>
      </c>
      <c r="J110" s="218"/>
      <c r="K110" s="229"/>
    </row>
    <row r="112" spans="1:11" s="207" customFormat="1">
      <c r="A112" s="4" t="s">
        <v>45</v>
      </c>
      <c r="B112" s="21"/>
      <c r="C112" s="21"/>
      <c r="D112" s="21"/>
      <c r="E112" s="21"/>
      <c r="F112" s="21"/>
      <c r="G112" s="21"/>
      <c r="H112" s="21"/>
      <c r="I112" s="230"/>
      <c r="J112" s="230"/>
      <c r="K112" s="230"/>
    </row>
    <row r="113" spans="1:11" s="207" customFormat="1">
      <c r="A113" s="21" t="s">
        <v>46</v>
      </c>
      <c r="B113" s="21"/>
      <c r="C113" s="21"/>
      <c r="D113" s="21"/>
      <c r="E113" s="21"/>
      <c r="F113" s="21"/>
      <c r="G113" s="21"/>
      <c r="H113" s="21"/>
      <c r="I113" s="230"/>
      <c r="J113" s="230"/>
      <c r="K113" s="230"/>
    </row>
    <row r="114" spans="1:11" s="207" customFormat="1">
      <c r="A114" s="24" t="s">
        <v>161</v>
      </c>
      <c r="B114" s="21"/>
      <c r="C114" s="21"/>
      <c r="D114" s="21"/>
      <c r="E114" s="21"/>
      <c r="F114" s="21"/>
      <c r="G114" s="21"/>
      <c r="H114" s="21"/>
      <c r="I114" s="230"/>
      <c r="J114" s="230"/>
      <c r="K114" s="230"/>
    </row>
    <row r="115" spans="1:11" s="207" customFormat="1">
      <c r="A115" s="24" t="s">
        <v>48</v>
      </c>
      <c r="B115" s="21"/>
      <c r="C115" s="21"/>
      <c r="D115" s="21"/>
      <c r="E115" s="21"/>
      <c r="F115" s="21"/>
      <c r="G115" s="21"/>
      <c r="H115" s="21"/>
      <c r="I115" s="230"/>
      <c r="J115" s="230"/>
      <c r="K115" s="230"/>
    </row>
    <row r="116" spans="1:11" s="207" customFormat="1">
      <c r="A116" s="24" t="s">
        <v>49</v>
      </c>
      <c r="B116" s="21"/>
      <c r="C116" s="21"/>
      <c r="D116" s="21"/>
      <c r="E116" s="21"/>
      <c r="F116" s="21"/>
      <c r="G116" s="21"/>
      <c r="H116" s="21"/>
      <c r="I116" s="230"/>
      <c r="J116" s="230"/>
      <c r="K116" s="230"/>
    </row>
    <row r="117" spans="1:11" s="207" customFormat="1">
      <c r="A117" s="231" t="s">
        <v>146</v>
      </c>
      <c r="B117" s="21"/>
      <c r="C117" s="21"/>
      <c r="D117" s="21"/>
      <c r="E117" s="21"/>
      <c r="F117" s="21"/>
      <c r="G117" s="21"/>
      <c r="H117" s="21"/>
      <c r="I117" s="230"/>
      <c r="J117" s="230"/>
      <c r="K117" s="230"/>
    </row>
    <row r="118" spans="1:11" s="207" customFormat="1">
      <c r="A118" s="231" t="s">
        <v>78</v>
      </c>
      <c r="B118" s="21"/>
      <c r="C118" s="21"/>
      <c r="D118" s="21"/>
      <c r="E118" s="21"/>
      <c r="F118" s="21"/>
      <c r="G118" s="21"/>
      <c r="H118" s="21"/>
      <c r="I118" s="230"/>
      <c r="J118" s="230"/>
      <c r="K118" s="230"/>
    </row>
    <row r="119" spans="1:11" s="207" customFormat="1">
      <c r="A119" s="232" t="s">
        <v>51</v>
      </c>
      <c r="B119" s="230"/>
      <c r="C119" s="230"/>
      <c r="D119" s="230"/>
      <c r="E119" s="230"/>
      <c r="F119" s="230"/>
      <c r="G119" s="230"/>
      <c r="H119" s="230"/>
      <c r="I119" s="230"/>
      <c r="J119" s="230"/>
      <c r="K119" s="230"/>
    </row>
    <row r="120" spans="1:11" s="207" customFormat="1"/>
    <row r="121" spans="1:11" s="207" customFormat="1" ht="15.6">
      <c r="A121" s="28" t="s">
        <v>162</v>
      </c>
      <c r="B121" s="28"/>
      <c r="C121" s="29"/>
      <c r="D121" s="29"/>
      <c r="E121" s="29"/>
      <c r="F121" s="29"/>
      <c r="G121" s="29"/>
      <c r="H121" s="30" t="s">
        <v>193</v>
      </c>
      <c r="I121" s="29"/>
      <c r="J121" s="29"/>
      <c r="K121" s="29"/>
    </row>
  </sheetData>
  <mergeCells count="36">
    <mergeCell ref="I105:J105"/>
    <mergeCell ref="I106:J106"/>
    <mergeCell ref="I107:J107"/>
    <mergeCell ref="I108:J108"/>
    <mergeCell ref="I109:J109"/>
    <mergeCell ref="I110:J110"/>
    <mergeCell ref="I99:J99"/>
    <mergeCell ref="I100:J100"/>
    <mergeCell ref="I101:J101"/>
    <mergeCell ref="I102:J102"/>
    <mergeCell ref="I103:J103"/>
    <mergeCell ref="I104:J104"/>
    <mergeCell ref="I93:J93"/>
    <mergeCell ref="I94:J94"/>
    <mergeCell ref="I95:J95"/>
    <mergeCell ref="I96:J96"/>
    <mergeCell ref="I97:J97"/>
    <mergeCell ref="I98:J98"/>
    <mergeCell ref="I87:J87"/>
    <mergeCell ref="I88:J88"/>
    <mergeCell ref="I89:J89"/>
    <mergeCell ref="I90:J90"/>
    <mergeCell ref="I91:J91"/>
    <mergeCell ref="I92:J92"/>
    <mergeCell ref="A80:K80"/>
    <mergeCell ref="I82:J82"/>
    <mergeCell ref="I83:J83"/>
    <mergeCell ref="I84:J84"/>
    <mergeCell ref="I85:J85"/>
    <mergeCell ref="I86:J86"/>
    <mergeCell ref="B1:K1"/>
    <mergeCell ref="B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5595-3FC6-48EB-83AE-DC19F2623D87}">
  <dimension ref="A1:O130"/>
  <sheetViews>
    <sheetView workbookViewId="0">
      <selection activeCell="R4" sqref="R4"/>
    </sheetView>
  </sheetViews>
  <sheetFormatPr defaultColWidth="9" defaultRowHeight="13.8"/>
  <cols>
    <col min="1" max="11" width="8.09765625" customWidth="1"/>
    <col min="12" max="12" width="0" hidden="1" customWidth="1"/>
    <col min="13" max="13" width="12.09765625" hidden="1" customWidth="1"/>
    <col min="14" max="15" width="0" hidden="1" customWidth="1"/>
  </cols>
  <sheetData>
    <row r="1" spans="1:15">
      <c r="A1" s="207"/>
      <c r="B1" s="207"/>
      <c r="C1" s="233"/>
      <c r="D1" s="233"/>
      <c r="E1" s="233"/>
      <c r="F1" s="233"/>
      <c r="G1" s="233"/>
      <c r="H1" s="233"/>
      <c r="I1" s="233"/>
      <c r="J1" s="233"/>
      <c r="K1" s="233"/>
    </row>
    <row r="2" spans="1:15" ht="78.599999999999994" customHeight="1">
      <c r="A2" s="234"/>
      <c r="B2" s="234"/>
      <c r="C2" s="234"/>
      <c r="D2" s="234"/>
      <c r="E2" s="234"/>
      <c r="F2" s="234"/>
      <c r="G2" s="234"/>
      <c r="H2" s="234"/>
      <c r="I2" s="234"/>
      <c r="J2" s="234"/>
      <c r="K2" s="234"/>
    </row>
    <row r="3" spans="1:15" ht="17.399999999999999" customHeight="1">
      <c r="A3" s="179" t="s">
        <v>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5" ht="13.8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5" ht="13.8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5" ht="13.8" customHeight="1">
      <c r="A6" s="4" t="s">
        <v>3</v>
      </c>
      <c r="B6" s="4" t="s">
        <v>4</v>
      </c>
      <c r="C6" s="207"/>
      <c r="D6" s="5"/>
      <c r="E6" s="5"/>
      <c r="F6" s="5"/>
      <c r="G6" s="5"/>
      <c r="H6" s="5"/>
      <c r="I6" s="4" t="s">
        <v>5</v>
      </c>
      <c r="J6" s="235"/>
      <c r="K6" s="235"/>
    </row>
    <row r="7" spans="1:15">
      <c r="A7" s="4"/>
      <c r="B7" s="4" t="s">
        <v>6</v>
      </c>
      <c r="C7" s="207"/>
      <c r="D7" s="5"/>
      <c r="E7" s="5"/>
      <c r="F7" s="5"/>
      <c r="G7" s="5"/>
      <c r="H7" s="5"/>
      <c r="I7" s="7" t="s">
        <v>7</v>
      </c>
      <c r="J7" s="236"/>
      <c r="K7" s="236"/>
    </row>
    <row r="8" spans="1:15">
      <c r="A8" s="4" t="s">
        <v>8</v>
      </c>
      <c r="B8" s="4" t="s">
        <v>9</v>
      </c>
      <c r="C8" s="207"/>
      <c r="D8" s="5"/>
      <c r="E8" s="5"/>
      <c r="F8" s="5"/>
      <c r="G8" s="5"/>
      <c r="H8" s="5"/>
      <c r="I8" s="7" t="s">
        <v>80</v>
      </c>
      <c r="J8" s="236"/>
      <c r="K8" s="236"/>
    </row>
    <row r="9" spans="1:15">
      <c r="A9" s="4"/>
      <c r="B9" s="4" t="s">
        <v>10</v>
      </c>
      <c r="C9" s="207"/>
      <c r="D9" s="5"/>
      <c r="E9" s="5"/>
      <c r="F9" s="5"/>
      <c r="G9" s="5"/>
      <c r="H9" s="5"/>
      <c r="I9" s="8" t="s">
        <v>11</v>
      </c>
      <c r="J9" s="235"/>
      <c r="K9" s="235"/>
    </row>
    <row r="11" spans="1:15" ht="22.2" customHeight="1">
      <c r="A11" s="184" t="s">
        <v>194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</row>
    <row r="12" spans="1:15" ht="23.4" customHeight="1">
      <c r="A12" s="237" t="s">
        <v>177</v>
      </c>
      <c r="B12" s="78" t="s">
        <v>14</v>
      </c>
      <c r="C12" s="78" t="s">
        <v>15</v>
      </c>
      <c r="D12" s="237" t="s">
        <v>178</v>
      </c>
      <c r="E12" s="78" t="s">
        <v>17</v>
      </c>
      <c r="F12" s="78" t="s">
        <v>18</v>
      </c>
      <c r="G12" s="237" t="s">
        <v>179</v>
      </c>
      <c r="H12" s="237" t="s">
        <v>180</v>
      </c>
      <c r="I12" s="237" t="s">
        <v>21</v>
      </c>
      <c r="J12" s="237" t="s">
        <v>181</v>
      </c>
      <c r="K12" s="78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>
      <c r="A13" s="238" t="s">
        <v>195</v>
      </c>
      <c r="B13" s="239">
        <f>ROUND(C13*0.0254,3)</f>
        <v>5.8000000000000003E-2</v>
      </c>
      <c r="C13" s="151">
        <v>2.2999999999999998</v>
      </c>
      <c r="D13" s="240" t="s">
        <v>25</v>
      </c>
      <c r="E13" s="238" t="s">
        <v>137</v>
      </c>
      <c r="F13" s="118" t="s">
        <v>121</v>
      </c>
      <c r="G13" s="241">
        <v>11.026999999999999</v>
      </c>
      <c r="H13" s="120">
        <f>ROUND(G13*12,2)</f>
        <v>132.32</v>
      </c>
      <c r="I13" s="68">
        <f>ROUND(G13*13.33,2)</f>
        <v>146.99</v>
      </c>
      <c r="J13" s="120">
        <f>ROUND(G13*14,2)</f>
        <v>154.38</v>
      </c>
      <c r="K13" s="242"/>
      <c r="L13" s="63">
        <f>ROUND(ROUND(ROUND(G13*12,2)*43/48,2)*1.07,2)</f>
        <v>126.84</v>
      </c>
      <c r="M13" s="63">
        <f>ROUND(ROUND(G13*12,2)*2/3,2)</f>
        <v>88.21</v>
      </c>
      <c r="N13" s="63">
        <f>ROUND(ROUND(G13*13.33,2)*2/3,2)</f>
        <v>97.99</v>
      </c>
      <c r="O13" s="63">
        <f>ROUND(ROUND(G13*14,2)*2/3,2)</f>
        <v>102.92</v>
      </c>
    </row>
    <row r="14" spans="1:15">
      <c r="A14" s="238" t="s">
        <v>195</v>
      </c>
      <c r="B14" s="239">
        <f t="shared" ref="B14:B18" si="0">ROUND(C14*0.0254,3)</f>
        <v>7.5999999999999998E-2</v>
      </c>
      <c r="C14" s="243">
        <v>3</v>
      </c>
      <c r="D14" s="240" t="s">
        <v>25</v>
      </c>
      <c r="E14" s="238" t="s">
        <v>137</v>
      </c>
      <c r="F14" s="208" t="s">
        <v>140</v>
      </c>
      <c r="G14" s="241">
        <v>15.244999999999999</v>
      </c>
      <c r="H14" s="120">
        <f t="shared" ref="H14:H87" si="1">ROUND(G14*12,2)</f>
        <v>182.94</v>
      </c>
      <c r="I14" s="68">
        <f t="shared" ref="I14:I87" si="2">ROUND(G14*13.33,2)</f>
        <v>203.22</v>
      </c>
      <c r="J14" s="120">
        <f t="shared" ref="J14:J87" si="3">ROUND(G14*14,2)</f>
        <v>213.43</v>
      </c>
      <c r="K14" s="242"/>
      <c r="L14" s="63">
        <f t="shared" ref="L14:L81" si="4">ROUND(ROUND(ROUND(G14*12,2)*43/48,2)*1.07,2)</f>
        <v>175.35</v>
      </c>
      <c r="M14" s="63">
        <f t="shared" ref="M14:M81" si="5">ROUND(ROUND(G14*12,2)*2/3,2)</f>
        <v>121.96</v>
      </c>
      <c r="N14" s="63">
        <f t="shared" ref="N14:N81" si="6">ROUND(ROUND(G14*13.33,2)*2/3,2)</f>
        <v>135.47999999999999</v>
      </c>
      <c r="O14" s="63">
        <f t="shared" ref="O14:O81" si="7">ROUND(ROUND(G14*14,2)*2/3,2)</f>
        <v>142.29</v>
      </c>
    </row>
    <row r="15" spans="1:15">
      <c r="A15" s="238" t="s">
        <v>195</v>
      </c>
      <c r="B15" s="239">
        <f t="shared" si="0"/>
        <v>7.5999999999999998E-2</v>
      </c>
      <c r="C15" s="243">
        <v>3</v>
      </c>
      <c r="D15" s="240" t="s">
        <v>25</v>
      </c>
      <c r="E15" s="238" t="s">
        <v>137</v>
      </c>
      <c r="F15" s="208" t="s">
        <v>122</v>
      </c>
      <c r="G15" s="241">
        <v>11.026999999999999</v>
      </c>
      <c r="H15" s="120">
        <f t="shared" si="1"/>
        <v>132.32</v>
      </c>
      <c r="I15" s="68">
        <f t="shared" si="2"/>
        <v>146.99</v>
      </c>
      <c r="J15" s="120">
        <f t="shared" si="3"/>
        <v>154.38</v>
      </c>
      <c r="K15" s="242"/>
      <c r="L15" s="63">
        <f t="shared" si="4"/>
        <v>126.84</v>
      </c>
      <c r="M15" s="63">
        <f t="shared" si="5"/>
        <v>88.21</v>
      </c>
      <c r="N15" s="63">
        <f t="shared" si="6"/>
        <v>97.99</v>
      </c>
      <c r="O15" s="63">
        <f t="shared" si="7"/>
        <v>102.92</v>
      </c>
    </row>
    <row r="16" spans="1:15">
      <c r="A16" s="238" t="s">
        <v>195</v>
      </c>
      <c r="B16" s="239">
        <f t="shared" si="0"/>
        <v>7.5999999999999998E-2</v>
      </c>
      <c r="C16" s="243">
        <v>3</v>
      </c>
      <c r="D16" s="240" t="s">
        <v>25</v>
      </c>
      <c r="E16" s="238" t="s">
        <v>137</v>
      </c>
      <c r="F16" s="208" t="s">
        <v>81</v>
      </c>
      <c r="G16" s="241">
        <v>10.702</v>
      </c>
      <c r="H16" s="120">
        <f t="shared" si="1"/>
        <v>128.41999999999999</v>
      </c>
      <c r="I16" s="68">
        <f t="shared" si="2"/>
        <v>142.66</v>
      </c>
      <c r="J16" s="120">
        <f t="shared" si="3"/>
        <v>149.83000000000001</v>
      </c>
      <c r="K16" s="242"/>
      <c r="L16" s="63">
        <f t="shared" si="4"/>
        <v>123.09</v>
      </c>
      <c r="M16" s="63">
        <f t="shared" si="5"/>
        <v>85.61</v>
      </c>
      <c r="N16" s="63">
        <f t="shared" si="6"/>
        <v>95.11</v>
      </c>
      <c r="O16" s="63">
        <f t="shared" si="7"/>
        <v>99.89</v>
      </c>
    </row>
    <row r="17" spans="1:15">
      <c r="A17" s="238" t="s">
        <v>195</v>
      </c>
      <c r="B17" s="239">
        <f t="shared" si="0"/>
        <v>8.8999999999999996E-2</v>
      </c>
      <c r="C17" s="243">
        <v>3.5</v>
      </c>
      <c r="D17" s="240" t="s">
        <v>25</v>
      </c>
      <c r="E17" s="238" t="s">
        <v>137</v>
      </c>
      <c r="F17" s="208" t="s">
        <v>83</v>
      </c>
      <c r="G17" s="241">
        <v>11.254</v>
      </c>
      <c r="H17" s="120">
        <f t="shared" si="1"/>
        <v>135.05000000000001</v>
      </c>
      <c r="I17" s="68">
        <f t="shared" si="2"/>
        <v>150.02000000000001</v>
      </c>
      <c r="J17" s="120">
        <f t="shared" si="3"/>
        <v>157.56</v>
      </c>
      <c r="K17" s="242"/>
      <c r="L17" s="63">
        <f t="shared" si="4"/>
        <v>129.44999999999999</v>
      </c>
      <c r="M17" s="63">
        <f t="shared" si="5"/>
        <v>90.03</v>
      </c>
      <c r="N17" s="63">
        <f t="shared" si="6"/>
        <v>100.01</v>
      </c>
      <c r="O17" s="63">
        <f t="shared" si="7"/>
        <v>105.04</v>
      </c>
    </row>
    <row r="18" spans="1:15">
      <c r="A18" s="238" t="s">
        <v>195</v>
      </c>
      <c r="B18" s="239">
        <f t="shared" si="0"/>
        <v>8.8999999999999996E-2</v>
      </c>
      <c r="C18" s="243">
        <v>3.5</v>
      </c>
      <c r="D18" s="240" t="s">
        <v>25</v>
      </c>
      <c r="E18" s="238" t="s">
        <v>137</v>
      </c>
      <c r="F18" s="208" t="s">
        <v>140</v>
      </c>
      <c r="G18" s="241">
        <v>15.244999999999999</v>
      </c>
      <c r="H18" s="120">
        <f t="shared" si="1"/>
        <v>182.94</v>
      </c>
      <c r="I18" s="68">
        <f t="shared" si="2"/>
        <v>203.22</v>
      </c>
      <c r="J18" s="120">
        <f t="shared" si="3"/>
        <v>213.43</v>
      </c>
      <c r="K18" s="242"/>
      <c r="L18" s="63">
        <f t="shared" si="4"/>
        <v>175.35</v>
      </c>
      <c r="M18" s="63">
        <f t="shared" si="5"/>
        <v>121.96</v>
      </c>
      <c r="N18" s="63">
        <f t="shared" si="6"/>
        <v>135.47999999999999</v>
      </c>
      <c r="O18" s="63">
        <f t="shared" si="7"/>
        <v>142.29</v>
      </c>
    </row>
    <row r="19" spans="1:15">
      <c r="A19" s="238" t="s">
        <v>195</v>
      </c>
      <c r="B19" s="239">
        <f t="shared" ref="B19:B86" si="8">ROUND(C19*0.0254,2)</f>
        <v>0.1</v>
      </c>
      <c r="C19" s="243">
        <v>4</v>
      </c>
      <c r="D19" s="240" t="s">
        <v>25</v>
      </c>
      <c r="E19" s="238" t="s">
        <v>137</v>
      </c>
      <c r="F19" s="208" t="s">
        <v>83</v>
      </c>
      <c r="G19" s="241">
        <v>11.026999999999999</v>
      </c>
      <c r="H19" s="120">
        <f t="shared" si="1"/>
        <v>132.32</v>
      </c>
      <c r="I19" s="68">
        <f t="shared" si="2"/>
        <v>146.99</v>
      </c>
      <c r="J19" s="120">
        <f t="shared" si="3"/>
        <v>154.38</v>
      </c>
      <c r="K19" s="242"/>
      <c r="L19" s="63">
        <f t="shared" si="4"/>
        <v>126.84</v>
      </c>
      <c r="M19" s="63">
        <f t="shared" si="5"/>
        <v>88.21</v>
      </c>
      <c r="N19" s="63">
        <f t="shared" si="6"/>
        <v>97.99</v>
      </c>
      <c r="O19" s="63">
        <f t="shared" si="7"/>
        <v>102.92</v>
      </c>
    </row>
    <row r="20" spans="1:15">
      <c r="A20" s="238" t="s">
        <v>195</v>
      </c>
      <c r="B20" s="239">
        <f t="shared" si="8"/>
        <v>0.1</v>
      </c>
      <c r="C20" s="243">
        <v>4</v>
      </c>
      <c r="D20" s="240" t="s">
        <v>25</v>
      </c>
      <c r="E20" s="238" t="s">
        <v>137</v>
      </c>
      <c r="F20" s="208" t="s">
        <v>92</v>
      </c>
      <c r="G20" s="241">
        <v>11.026999999999999</v>
      </c>
      <c r="H20" s="120">
        <f t="shared" si="1"/>
        <v>132.32</v>
      </c>
      <c r="I20" s="68">
        <f t="shared" si="2"/>
        <v>146.99</v>
      </c>
      <c r="J20" s="120">
        <f t="shared" si="3"/>
        <v>154.38</v>
      </c>
      <c r="K20" s="242"/>
      <c r="L20" s="63">
        <f t="shared" si="4"/>
        <v>126.84</v>
      </c>
      <c r="M20" s="63">
        <f t="shared" si="5"/>
        <v>88.21</v>
      </c>
      <c r="N20" s="63">
        <f t="shared" si="6"/>
        <v>97.99</v>
      </c>
      <c r="O20" s="63">
        <f t="shared" si="7"/>
        <v>102.92</v>
      </c>
    </row>
    <row r="21" spans="1:15">
      <c r="A21" s="238" t="s">
        <v>195</v>
      </c>
      <c r="B21" s="239">
        <f t="shared" si="8"/>
        <v>0.1</v>
      </c>
      <c r="C21" s="243">
        <v>4</v>
      </c>
      <c r="D21" s="240" t="s">
        <v>25</v>
      </c>
      <c r="E21" s="238" t="s">
        <v>137</v>
      </c>
      <c r="F21" s="208" t="s">
        <v>82</v>
      </c>
      <c r="G21" s="241">
        <v>14.395</v>
      </c>
      <c r="H21" s="120">
        <f t="shared" si="1"/>
        <v>172.74</v>
      </c>
      <c r="I21" s="68">
        <f t="shared" si="2"/>
        <v>191.89</v>
      </c>
      <c r="J21" s="120">
        <f t="shared" si="3"/>
        <v>201.53</v>
      </c>
      <c r="K21" s="242"/>
      <c r="L21" s="63">
        <f t="shared" si="4"/>
        <v>165.58</v>
      </c>
      <c r="M21" s="63">
        <f t="shared" si="5"/>
        <v>115.16</v>
      </c>
      <c r="N21" s="63">
        <f t="shared" si="6"/>
        <v>127.93</v>
      </c>
      <c r="O21" s="63">
        <f t="shared" si="7"/>
        <v>134.35</v>
      </c>
    </row>
    <row r="22" spans="1:15">
      <c r="A22" s="238" t="s">
        <v>195</v>
      </c>
      <c r="B22" s="239">
        <f t="shared" si="8"/>
        <v>0.1</v>
      </c>
      <c r="C22" s="243">
        <v>4</v>
      </c>
      <c r="D22" s="240" t="s">
        <v>25</v>
      </c>
      <c r="E22" s="238" t="s">
        <v>137</v>
      </c>
      <c r="F22" s="208" t="s">
        <v>85</v>
      </c>
      <c r="G22" s="241">
        <v>14.704000000000001</v>
      </c>
      <c r="H22" s="120">
        <f t="shared" si="1"/>
        <v>176.45</v>
      </c>
      <c r="I22" s="68">
        <f t="shared" si="2"/>
        <v>196</v>
      </c>
      <c r="J22" s="120">
        <f t="shared" si="3"/>
        <v>205.86</v>
      </c>
      <c r="K22" s="242"/>
      <c r="L22" s="63">
        <f t="shared" si="4"/>
        <v>169.13</v>
      </c>
      <c r="M22" s="63">
        <f t="shared" si="5"/>
        <v>117.63</v>
      </c>
      <c r="N22" s="63">
        <f t="shared" si="6"/>
        <v>130.66999999999999</v>
      </c>
      <c r="O22" s="63">
        <f t="shared" si="7"/>
        <v>137.24</v>
      </c>
    </row>
    <row r="23" spans="1:15">
      <c r="A23" s="238" t="s">
        <v>195</v>
      </c>
      <c r="B23" s="239">
        <f t="shared" si="8"/>
        <v>0.11</v>
      </c>
      <c r="C23" s="243">
        <v>4.5</v>
      </c>
      <c r="D23" s="240" t="s">
        <v>25</v>
      </c>
      <c r="E23" s="238" t="s">
        <v>137</v>
      </c>
      <c r="F23" s="208" t="s">
        <v>84</v>
      </c>
      <c r="G23" s="241">
        <v>10.782999999999999</v>
      </c>
      <c r="H23" s="120">
        <f t="shared" si="1"/>
        <v>129.4</v>
      </c>
      <c r="I23" s="68">
        <f t="shared" si="2"/>
        <v>143.74</v>
      </c>
      <c r="J23" s="120">
        <f t="shared" si="3"/>
        <v>150.96</v>
      </c>
      <c r="K23" s="242"/>
      <c r="L23" s="63">
        <f t="shared" si="4"/>
        <v>124.03</v>
      </c>
      <c r="M23" s="63">
        <f t="shared" si="5"/>
        <v>86.27</v>
      </c>
      <c r="N23" s="63">
        <f t="shared" si="6"/>
        <v>95.83</v>
      </c>
      <c r="O23" s="63">
        <f t="shared" si="7"/>
        <v>100.64</v>
      </c>
    </row>
    <row r="24" spans="1:15">
      <c r="A24" s="238" t="s">
        <v>195</v>
      </c>
      <c r="B24" s="239">
        <f t="shared" si="8"/>
        <v>0.11</v>
      </c>
      <c r="C24" s="243">
        <v>4.5</v>
      </c>
      <c r="D24" s="240" t="s">
        <v>25</v>
      </c>
      <c r="E24" s="238" t="s">
        <v>137</v>
      </c>
      <c r="F24" s="208" t="s">
        <v>85</v>
      </c>
      <c r="G24" s="241">
        <v>14.704000000000001</v>
      </c>
      <c r="H24" s="120">
        <f t="shared" si="1"/>
        <v>176.45</v>
      </c>
      <c r="I24" s="68">
        <f t="shared" si="2"/>
        <v>196</v>
      </c>
      <c r="J24" s="120">
        <f t="shared" si="3"/>
        <v>205.86</v>
      </c>
      <c r="K24" s="242"/>
      <c r="L24" s="63">
        <f t="shared" si="4"/>
        <v>169.13</v>
      </c>
      <c r="M24" s="63">
        <f t="shared" si="5"/>
        <v>117.63</v>
      </c>
      <c r="N24" s="63">
        <f t="shared" si="6"/>
        <v>130.66999999999999</v>
      </c>
      <c r="O24" s="63">
        <f t="shared" si="7"/>
        <v>137.24</v>
      </c>
    </row>
    <row r="25" spans="1:15">
      <c r="A25" s="238" t="s">
        <v>195</v>
      </c>
      <c r="B25" s="239">
        <f t="shared" si="8"/>
        <v>0.13</v>
      </c>
      <c r="C25" s="243">
        <v>5</v>
      </c>
      <c r="D25" s="240" t="s">
        <v>25</v>
      </c>
      <c r="E25" s="238" t="s">
        <v>137</v>
      </c>
      <c r="F25" s="208" t="s">
        <v>84</v>
      </c>
      <c r="G25" s="241">
        <v>10.782999999999999</v>
      </c>
      <c r="H25" s="120">
        <f t="shared" si="1"/>
        <v>129.4</v>
      </c>
      <c r="I25" s="68">
        <f t="shared" si="2"/>
        <v>143.74</v>
      </c>
      <c r="J25" s="120">
        <f t="shared" si="3"/>
        <v>150.96</v>
      </c>
      <c r="K25" s="242"/>
      <c r="L25" s="63">
        <f t="shared" si="4"/>
        <v>124.03</v>
      </c>
      <c r="M25" s="63">
        <f t="shared" si="5"/>
        <v>86.27</v>
      </c>
      <c r="N25" s="63">
        <f t="shared" si="6"/>
        <v>95.83</v>
      </c>
      <c r="O25" s="63">
        <f t="shared" si="7"/>
        <v>100.64</v>
      </c>
    </row>
    <row r="26" spans="1:15">
      <c r="A26" s="41" t="s">
        <v>195</v>
      </c>
      <c r="B26" s="150">
        <f t="shared" si="8"/>
        <v>0.13</v>
      </c>
      <c r="C26" s="151">
        <v>5</v>
      </c>
      <c r="D26" s="155" t="s">
        <v>25</v>
      </c>
      <c r="E26" s="41" t="s">
        <v>137</v>
      </c>
      <c r="F26" s="118" t="s">
        <v>86</v>
      </c>
      <c r="G26" s="244">
        <v>12.585000000000001</v>
      </c>
      <c r="H26" s="120">
        <f t="shared" si="1"/>
        <v>151.02000000000001</v>
      </c>
      <c r="I26" s="68">
        <f t="shared" si="2"/>
        <v>167.76</v>
      </c>
      <c r="J26" s="120">
        <f t="shared" si="3"/>
        <v>176.19</v>
      </c>
      <c r="K26" s="242"/>
      <c r="L26" s="63">
        <f t="shared" si="4"/>
        <v>144.76</v>
      </c>
      <c r="M26" s="63">
        <f t="shared" si="5"/>
        <v>100.68</v>
      </c>
      <c r="N26" s="63">
        <f t="shared" si="6"/>
        <v>111.84</v>
      </c>
      <c r="O26" s="63">
        <f t="shared" si="7"/>
        <v>117.46</v>
      </c>
    </row>
    <row r="27" spans="1:15">
      <c r="A27" s="238" t="s">
        <v>195</v>
      </c>
      <c r="B27" s="239">
        <f t="shared" si="8"/>
        <v>0.13</v>
      </c>
      <c r="C27" s="243">
        <v>5</v>
      </c>
      <c r="D27" s="240" t="s">
        <v>25</v>
      </c>
      <c r="E27" s="238" t="s">
        <v>137</v>
      </c>
      <c r="F27" s="208" t="s">
        <v>117</v>
      </c>
      <c r="G27" s="241">
        <v>14.395</v>
      </c>
      <c r="H27" s="120">
        <f t="shared" si="1"/>
        <v>172.74</v>
      </c>
      <c r="I27" s="68">
        <f t="shared" si="2"/>
        <v>191.89</v>
      </c>
      <c r="J27" s="120">
        <f t="shared" si="3"/>
        <v>201.53</v>
      </c>
      <c r="K27" s="242"/>
      <c r="L27" s="63">
        <f t="shared" si="4"/>
        <v>165.58</v>
      </c>
      <c r="M27" s="63">
        <f t="shared" si="5"/>
        <v>115.16</v>
      </c>
      <c r="N27" s="63">
        <f t="shared" si="6"/>
        <v>127.93</v>
      </c>
      <c r="O27" s="63">
        <f t="shared" si="7"/>
        <v>134.35</v>
      </c>
    </row>
    <row r="28" spans="1:15">
      <c r="A28" s="238" t="s">
        <v>195</v>
      </c>
      <c r="B28" s="239">
        <f t="shared" si="8"/>
        <v>0.13</v>
      </c>
      <c r="C28" s="243">
        <v>5</v>
      </c>
      <c r="D28" s="240" t="s">
        <v>25</v>
      </c>
      <c r="E28" s="238" t="s">
        <v>137</v>
      </c>
      <c r="F28" s="208" t="s">
        <v>85</v>
      </c>
      <c r="G28" s="241">
        <v>14.704000000000001</v>
      </c>
      <c r="H28" s="120">
        <f t="shared" si="1"/>
        <v>176.45</v>
      </c>
      <c r="I28" s="68">
        <f t="shared" si="2"/>
        <v>196</v>
      </c>
      <c r="J28" s="120">
        <f t="shared" si="3"/>
        <v>205.86</v>
      </c>
      <c r="K28" s="242"/>
      <c r="L28" s="63">
        <f t="shared" si="4"/>
        <v>169.13</v>
      </c>
      <c r="M28" s="63">
        <f t="shared" si="5"/>
        <v>117.63</v>
      </c>
      <c r="N28" s="63">
        <f t="shared" si="6"/>
        <v>130.66999999999999</v>
      </c>
      <c r="O28" s="63">
        <f t="shared" si="7"/>
        <v>137.24</v>
      </c>
    </row>
    <row r="29" spans="1:15">
      <c r="A29" s="238" t="s">
        <v>196</v>
      </c>
      <c r="B29" s="239">
        <f t="shared" si="8"/>
        <v>0.15</v>
      </c>
      <c r="C29" s="243">
        <v>6</v>
      </c>
      <c r="D29" s="240" t="s">
        <v>25</v>
      </c>
      <c r="E29" s="238" t="s">
        <v>137</v>
      </c>
      <c r="F29" s="208" t="s">
        <v>86</v>
      </c>
      <c r="G29" s="241">
        <v>13.622999999999999</v>
      </c>
      <c r="H29" s="120">
        <f t="shared" si="1"/>
        <v>163.47999999999999</v>
      </c>
      <c r="I29" s="68">
        <f t="shared" si="2"/>
        <v>181.59</v>
      </c>
      <c r="J29" s="120">
        <f t="shared" si="3"/>
        <v>190.72</v>
      </c>
      <c r="K29" s="242"/>
      <c r="L29" s="63">
        <f t="shared" si="4"/>
        <v>156.69999999999999</v>
      </c>
      <c r="M29" s="63">
        <f t="shared" si="5"/>
        <v>108.99</v>
      </c>
      <c r="N29" s="63">
        <f t="shared" si="6"/>
        <v>121.06</v>
      </c>
      <c r="O29" s="63">
        <f t="shared" si="7"/>
        <v>127.15</v>
      </c>
    </row>
    <row r="30" spans="1:15">
      <c r="A30" s="238" t="s">
        <v>195</v>
      </c>
      <c r="B30" s="239">
        <f t="shared" si="8"/>
        <v>0.15</v>
      </c>
      <c r="C30" s="243">
        <v>6</v>
      </c>
      <c r="D30" s="240" t="s">
        <v>25</v>
      </c>
      <c r="E30" s="238" t="s">
        <v>137</v>
      </c>
      <c r="F30" s="208" t="s">
        <v>117</v>
      </c>
      <c r="G30" s="241">
        <v>14.395</v>
      </c>
      <c r="H30" s="120">
        <f t="shared" si="1"/>
        <v>172.74</v>
      </c>
      <c r="I30" s="68">
        <f t="shared" si="2"/>
        <v>191.89</v>
      </c>
      <c r="J30" s="120">
        <f t="shared" si="3"/>
        <v>201.53</v>
      </c>
      <c r="K30" s="242"/>
      <c r="L30" s="63">
        <f t="shared" si="4"/>
        <v>165.58</v>
      </c>
      <c r="M30" s="63">
        <f t="shared" si="5"/>
        <v>115.16</v>
      </c>
      <c r="N30" s="63">
        <f t="shared" si="6"/>
        <v>127.93</v>
      </c>
      <c r="O30" s="63">
        <f t="shared" si="7"/>
        <v>134.35</v>
      </c>
    </row>
    <row r="31" spans="1:15">
      <c r="A31" s="238" t="s">
        <v>195</v>
      </c>
      <c r="B31" s="239">
        <f t="shared" si="8"/>
        <v>0.2</v>
      </c>
      <c r="C31" s="243">
        <v>8</v>
      </c>
      <c r="D31" s="240" t="s">
        <v>25</v>
      </c>
      <c r="E31" s="238" t="s">
        <v>137</v>
      </c>
      <c r="F31" s="208" t="s">
        <v>87</v>
      </c>
      <c r="G31" s="241">
        <v>14.395</v>
      </c>
      <c r="H31" s="120">
        <f t="shared" si="1"/>
        <v>172.74</v>
      </c>
      <c r="I31" s="68">
        <f t="shared" si="2"/>
        <v>191.89</v>
      </c>
      <c r="J31" s="120">
        <f t="shared" si="3"/>
        <v>201.53</v>
      </c>
      <c r="K31" s="242"/>
      <c r="L31" s="63">
        <f t="shared" si="4"/>
        <v>165.58</v>
      </c>
      <c r="M31" s="63">
        <f t="shared" si="5"/>
        <v>115.16</v>
      </c>
      <c r="N31" s="63">
        <f t="shared" si="6"/>
        <v>127.93</v>
      </c>
      <c r="O31" s="63">
        <f t="shared" si="7"/>
        <v>134.35</v>
      </c>
    </row>
    <row r="32" spans="1:15">
      <c r="A32" s="238" t="s">
        <v>195</v>
      </c>
      <c r="B32" s="239">
        <f t="shared" si="8"/>
        <v>0.2</v>
      </c>
      <c r="C32" s="243">
        <v>8</v>
      </c>
      <c r="D32" s="240" t="s">
        <v>25</v>
      </c>
      <c r="E32" s="238" t="s">
        <v>137</v>
      </c>
      <c r="F32" s="208" t="s">
        <v>95</v>
      </c>
      <c r="G32" s="241">
        <v>14.395</v>
      </c>
      <c r="H32" s="120">
        <f t="shared" si="1"/>
        <v>172.74</v>
      </c>
      <c r="I32" s="68">
        <f t="shared" si="2"/>
        <v>191.89</v>
      </c>
      <c r="J32" s="120">
        <f t="shared" si="3"/>
        <v>201.53</v>
      </c>
      <c r="K32" s="242"/>
      <c r="L32" s="63">
        <f t="shared" si="4"/>
        <v>165.58</v>
      </c>
      <c r="M32" s="63">
        <f t="shared" si="5"/>
        <v>115.16</v>
      </c>
      <c r="N32" s="63">
        <f t="shared" si="6"/>
        <v>127.93</v>
      </c>
      <c r="O32" s="63">
        <f t="shared" si="7"/>
        <v>134.35</v>
      </c>
    </row>
    <row r="33" spans="1:15">
      <c r="A33" s="238" t="s">
        <v>195</v>
      </c>
      <c r="B33" s="239">
        <f t="shared" si="8"/>
        <v>0.25</v>
      </c>
      <c r="C33" s="243">
        <v>10</v>
      </c>
      <c r="D33" s="240" t="s">
        <v>25</v>
      </c>
      <c r="E33" s="238" t="s">
        <v>137</v>
      </c>
      <c r="F33" s="208" t="s">
        <v>89</v>
      </c>
      <c r="G33" s="241">
        <v>14.086</v>
      </c>
      <c r="H33" s="120">
        <f t="shared" si="1"/>
        <v>169.03</v>
      </c>
      <c r="I33" s="68">
        <f t="shared" si="2"/>
        <v>187.77</v>
      </c>
      <c r="J33" s="120">
        <f t="shared" si="3"/>
        <v>197.2</v>
      </c>
      <c r="K33" s="242"/>
      <c r="L33" s="63">
        <f t="shared" si="4"/>
        <v>162.02000000000001</v>
      </c>
      <c r="M33" s="63">
        <f t="shared" si="5"/>
        <v>112.69</v>
      </c>
      <c r="N33" s="63">
        <f t="shared" si="6"/>
        <v>125.18</v>
      </c>
      <c r="O33" s="63">
        <f t="shared" si="7"/>
        <v>131.47</v>
      </c>
    </row>
    <row r="34" spans="1:15">
      <c r="A34" s="238" t="s">
        <v>195</v>
      </c>
      <c r="B34" s="239">
        <f t="shared" si="8"/>
        <v>0.3</v>
      </c>
      <c r="C34" s="243">
        <v>12</v>
      </c>
      <c r="D34" s="240" t="s">
        <v>25</v>
      </c>
      <c r="E34" s="238" t="s">
        <v>137</v>
      </c>
      <c r="F34" s="208" t="s">
        <v>167</v>
      </c>
      <c r="G34" s="241">
        <v>16.326000000000001</v>
      </c>
      <c r="H34" s="120">
        <f t="shared" si="1"/>
        <v>195.91</v>
      </c>
      <c r="I34" s="68">
        <f t="shared" si="2"/>
        <v>217.63</v>
      </c>
      <c r="J34" s="120">
        <f t="shared" si="3"/>
        <v>228.56</v>
      </c>
      <c r="K34" s="242"/>
      <c r="L34" s="63">
        <f t="shared" si="4"/>
        <v>187.79</v>
      </c>
      <c r="M34" s="63">
        <f t="shared" si="5"/>
        <v>130.61000000000001</v>
      </c>
      <c r="N34" s="63">
        <f t="shared" si="6"/>
        <v>145.09</v>
      </c>
      <c r="O34" s="63">
        <f t="shared" si="7"/>
        <v>152.37</v>
      </c>
    </row>
    <row r="35" spans="1:15">
      <c r="A35" s="238" t="s">
        <v>195</v>
      </c>
      <c r="B35" s="239">
        <f t="shared" si="8"/>
        <v>0.38</v>
      </c>
      <c r="C35" s="243">
        <v>15</v>
      </c>
      <c r="D35" s="240" t="s">
        <v>25</v>
      </c>
      <c r="E35" s="238" t="s">
        <v>137</v>
      </c>
      <c r="F35" s="208" t="s">
        <v>90</v>
      </c>
      <c r="G35" s="241">
        <v>16.326000000000001</v>
      </c>
      <c r="H35" s="120">
        <f t="shared" si="1"/>
        <v>195.91</v>
      </c>
      <c r="I35" s="68">
        <f t="shared" si="2"/>
        <v>217.63</v>
      </c>
      <c r="J35" s="120">
        <f t="shared" si="3"/>
        <v>228.56</v>
      </c>
      <c r="K35" s="242"/>
      <c r="L35" s="63">
        <f t="shared" si="4"/>
        <v>187.79</v>
      </c>
      <c r="M35" s="63">
        <f t="shared" si="5"/>
        <v>130.61000000000001</v>
      </c>
      <c r="N35" s="63">
        <f t="shared" si="6"/>
        <v>145.09</v>
      </c>
      <c r="O35" s="63">
        <f t="shared" si="7"/>
        <v>152.37</v>
      </c>
    </row>
    <row r="36" spans="1:15">
      <c r="A36" s="238" t="s">
        <v>195</v>
      </c>
      <c r="B36" s="239">
        <f t="shared" si="8"/>
        <v>0.51</v>
      </c>
      <c r="C36" s="243">
        <v>20</v>
      </c>
      <c r="D36" s="240" t="s">
        <v>25</v>
      </c>
      <c r="E36" s="238" t="s">
        <v>137</v>
      </c>
      <c r="F36" s="208" t="s">
        <v>129</v>
      </c>
      <c r="G36" s="241">
        <v>20.189</v>
      </c>
      <c r="H36" s="120">
        <f t="shared" si="1"/>
        <v>242.27</v>
      </c>
      <c r="I36" s="68">
        <f t="shared" si="2"/>
        <v>269.12</v>
      </c>
      <c r="J36" s="120">
        <f t="shared" si="3"/>
        <v>282.64999999999998</v>
      </c>
      <c r="K36" s="242"/>
      <c r="L36" s="63">
        <f t="shared" si="4"/>
        <v>232.22</v>
      </c>
      <c r="M36" s="63">
        <f t="shared" si="5"/>
        <v>161.51</v>
      </c>
      <c r="N36" s="63">
        <f t="shared" si="6"/>
        <v>179.41</v>
      </c>
      <c r="O36" s="63">
        <f t="shared" si="7"/>
        <v>188.43</v>
      </c>
    </row>
    <row r="37" spans="1:15">
      <c r="A37" s="238" t="s">
        <v>195</v>
      </c>
      <c r="B37" s="239">
        <f t="shared" si="8"/>
        <v>0.94</v>
      </c>
      <c r="C37" s="243">
        <v>37</v>
      </c>
      <c r="D37" s="240" t="s">
        <v>25</v>
      </c>
      <c r="E37" s="238" t="s">
        <v>137</v>
      </c>
      <c r="F37" s="208" t="s">
        <v>132</v>
      </c>
      <c r="G37" s="241">
        <v>37.261000000000003</v>
      </c>
      <c r="H37" s="120">
        <f t="shared" si="1"/>
        <v>447.13</v>
      </c>
      <c r="I37" s="68">
        <f t="shared" si="2"/>
        <v>496.69</v>
      </c>
      <c r="J37" s="120">
        <f t="shared" si="3"/>
        <v>521.65</v>
      </c>
      <c r="K37" s="242"/>
      <c r="L37" s="63">
        <f t="shared" si="4"/>
        <v>428.59</v>
      </c>
      <c r="M37" s="63">
        <f t="shared" si="5"/>
        <v>298.08999999999997</v>
      </c>
      <c r="N37" s="63">
        <f t="shared" si="6"/>
        <v>331.13</v>
      </c>
      <c r="O37" s="63">
        <f t="shared" si="7"/>
        <v>347.77</v>
      </c>
    </row>
    <row r="38" spans="1:15">
      <c r="A38" s="238" t="s">
        <v>195</v>
      </c>
      <c r="B38" s="239">
        <f>ROUND(C38*0.0254,3)</f>
        <v>5.8000000000000003E-2</v>
      </c>
      <c r="C38" s="151">
        <v>2.2999999999999998</v>
      </c>
      <c r="D38" s="240" t="s">
        <v>28</v>
      </c>
      <c r="E38" s="238" t="s">
        <v>137</v>
      </c>
      <c r="F38" s="118" t="s">
        <v>121</v>
      </c>
      <c r="G38" s="241">
        <v>14.99</v>
      </c>
      <c r="H38" s="120">
        <f t="shared" si="1"/>
        <v>179.88</v>
      </c>
      <c r="I38" s="68">
        <f t="shared" si="2"/>
        <v>199.82</v>
      </c>
      <c r="J38" s="120">
        <f t="shared" si="3"/>
        <v>209.86</v>
      </c>
      <c r="K38" s="242">
        <v>0.10000000000000009</v>
      </c>
      <c r="L38" s="63">
        <f t="shared" si="4"/>
        <v>172.42</v>
      </c>
      <c r="M38" s="63">
        <f t="shared" si="5"/>
        <v>119.92</v>
      </c>
      <c r="N38" s="63">
        <f t="shared" si="6"/>
        <v>133.21</v>
      </c>
      <c r="O38" s="63">
        <f t="shared" si="7"/>
        <v>139.91</v>
      </c>
    </row>
    <row r="39" spans="1:15">
      <c r="A39" s="238" t="s">
        <v>195</v>
      </c>
      <c r="B39" s="239">
        <f t="shared" ref="B39:B43" si="9">ROUND(C39*0.0254,3)</f>
        <v>7.5999999999999998E-2</v>
      </c>
      <c r="C39" s="243">
        <v>3</v>
      </c>
      <c r="D39" s="240" t="s">
        <v>28</v>
      </c>
      <c r="E39" s="238" t="s">
        <v>137</v>
      </c>
      <c r="F39" s="208" t="s">
        <v>140</v>
      </c>
      <c r="G39" s="241">
        <v>18.736999999999998</v>
      </c>
      <c r="H39" s="120">
        <f t="shared" si="1"/>
        <v>224.84</v>
      </c>
      <c r="I39" s="68">
        <f t="shared" si="2"/>
        <v>249.76</v>
      </c>
      <c r="J39" s="120">
        <f t="shared" si="3"/>
        <v>262.32</v>
      </c>
      <c r="K39" s="242">
        <v>5.0008005550514989E-2</v>
      </c>
      <c r="L39" s="63">
        <f t="shared" si="4"/>
        <v>215.52</v>
      </c>
      <c r="M39" s="63">
        <f t="shared" si="5"/>
        <v>149.88999999999999</v>
      </c>
      <c r="N39" s="63">
        <f t="shared" si="6"/>
        <v>166.51</v>
      </c>
      <c r="O39" s="63">
        <f t="shared" si="7"/>
        <v>174.88</v>
      </c>
    </row>
    <row r="40" spans="1:15">
      <c r="A40" s="238" t="s">
        <v>195</v>
      </c>
      <c r="B40" s="239">
        <f t="shared" si="9"/>
        <v>7.5999999999999998E-2</v>
      </c>
      <c r="C40" s="243">
        <v>3</v>
      </c>
      <c r="D40" s="240" t="s">
        <v>28</v>
      </c>
      <c r="E40" s="238" t="s">
        <v>137</v>
      </c>
      <c r="F40" s="208" t="s">
        <v>122</v>
      </c>
      <c r="G40" s="241">
        <v>14.99</v>
      </c>
      <c r="H40" s="120">
        <f t="shared" si="1"/>
        <v>179.88</v>
      </c>
      <c r="I40" s="68">
        <f t="shared" si="2"/>
        <v>199.82</v>
      </c>
      <c r="J40" s="120">
        <f t="shared" si="3"/>
        <v>209.86</v>
      </c>
      <c r="K40" s="242">
        <v>0.10000000000000009</v>
      </c>
      <c r="L40" s="63">
        <f t="shared" si="4"/>
        <v>172.42</v>
      </c>
      <c r="M40" s="63">
        <f t="shared" si="5"/>
        <v>119.92</v>
      </c>
      <c r="N40" s="63">
        <f t="shared" si="6"/>
        <v>133.21</v>
      </c>
      <c r="O40" s="63">
        <f t="shared" si="7"/>
        <v>139.91</v>
      </c>
    </row>
    <row r="41" spans="1:15">
      <c r="A41" s="238" t="s">
        <v>195</v>
      </c>
      <c r="B41" s="239">
        <f t="shared" si="9"/>
        <v>7.5999999999999998E-2</v>
      </c>
      <c r="C41" s="243">
        <v>3</v>
      </c>
      <c r="D41" s="240" t="s">
        <v>28</v>
      </c>
      <c r="E41" s="238" t="s">
        <v>137</v>
      </c>
      <c r="F41" s="208" t="s">
        <v>81</v>
      </c>
      <c r="G41" s="241">
        <v>14.632</v>
      </c>
      <c r="H41" s="120">
        <f t="shared" si="1"/>
        <v>175.58</v>
      </c>
      <c r="I41" s="68">
        <f t="shared" si="2"/>
        <v>195.04</v>
      </c>
      <c r="J41" s="120">
        <f t="shared" si="3"/>
        <v>204.85</v>
      </c>
      <c r="K41" s="242">
        <v>9.9986331328594913E-2</v>
      </c>
      <c r="L41" s="63">
        <f t="shared" si="4"/>
        <v>168.3</v>
      </c>
      <c r="M41" s="63">
        <f t="shared" si="5"/>
        <v>117.05</v>
      </c>
      <c r="N41" s="63">
        <f t="shared" si="6"/>
        <v>130.03</v>
      </c>
      <c r="O41" s="63">
        <f t="shared" si="7"/>
        <v>136.57</v>
      </c>
    </row>
    <row r="42" spans="1:15">
      <c r="A42" s="238" t="s">
        <v>195</v>
      </c>
      <c r="B42" s="239">
        <f t="shared" si="9"/>
        <v>8.8999999999999996E-2</v>
      </c>
      <c r="C42" s="243">
        <v>3.5</v>
      </c>
      <c r="D42" s="240" t="s">
        <v>28</v>
      </c>
      <c r="E42" s="238" t="s">
        <v>137</v>
      </c>
      <c r="F42" s="208" t="s">
        <v>83</v>
      </c>
      <c r="G42" s="241">
        <v>15.239000000000001</v>
      </c>
      <c r="H42" s="120">
        <f t="shared" si="1"/>
        <v>182.87</v>
      </c>
      <c r="I42" s="68">
        <f t="shared" si="2"/>
        <v>203.14</v>
      </c>
      <c r="J42" s="120">
        <f t="shared" si="3"/>
        <v>213.35</v>
      </c>
      <c r="K42" s="242">
        <v>0.10000656211037473</v>
      </c>
      <c r="L42" s="63">
        <f t="shared" si="4"/>
        <v>175.29</v>
      </c>
      <c r="M42" s="63">
        <f t="shared" si="5"/>
        <v>121.91</v>
      </c>
      <c r="N42" s="63">
        <f t="shared" si="6"/>
        <v>135.43</v>
      </c>
      <c r="O42" s="63">
        <f t="shared" si="7"/>
        <v>142.22999999999999</v>
      </c>
    </row>
    <row r="43" spans="1:15">
      <c r="A43" s="238" t="s">
        <v>195</v>
      </c>
      <c r="B43" s="239">
        <f t="shared" si="9"/>
        <v>8.8999999999999996E-2</v>
      </c>
      <c r="C43" s="243">
        <v>3.5</v>
      </c>
      <c r="D43" s="240" t="s">
        <v>28</v>
      </c>
      <c r="E43" s="238" t="s">
        <v>137</v>
      </c>
      <c r="F43" s="208" t="s">
        <v>140</v>
      </c>
      <c r="G43" s="241">
        <v>18.736999999999998</v>
      </c>
      <c r="H43" s="120">
        <f t="shared" si="1"/>
        <v>224.84</v>
      </c>
      <c r="I43" s="68">
        <f t="shared" si="2"/>
        <v>249.76</v>
      </c>
      <c r="J43" s="120">
        <f t="shared" si="3"/>
        <v>262.32</v>
      </c>
      <c r="K43" s="242">
        <v>5.0008005550514989E-2</v>
      </c>
      <c r="L43" s="63">
        <f t="shared" si="4"/>
        <v>215.52</v>
      </c>
      <c r="M43" s="63">
        <f t="shared" si="5"/>
        <v>149.88999999999999</v>
      </c>
      <c r="N43" s="63">
        <f t="shared" si="6"/>
        <v>166.51</v>
      </c>
      <c r="O43" s="63">
        <f t="shared" si="7"/>
        <v>174.88</v>
      </c>
    </row>
    <row r="44" spans="1:15">
      <c r="A44" s="238" t="s">
        <v>195</v>
      </c>
      <c r="B44" s="239">
        <f t="shared" si="8"/>
        <v>0.1</v>
      </c>
      <c r="C44" s="243">
        <v>4</v>
      </c>
      <c r="D44" s="240" t="s">
        <v>28</v>
      </c>
      <c r="E44" s="238" t="s">
        <v>137</v>
      </c>
      <c r="F44" s="208" t="s">
        <v>83</v>
      </c>
      <c r="G44" s="241">
        <v>14.99</v>
      </c>
      <c r="H44" s="120">
        <f t="shared" si="1"/>
        <v>179.88</v>
      </c>
      <c r="I44" s="68">
        <f t="shared" si="2"/>
        <v>199.82</v>
      </c>
      <c r="J44" s="120">
        <f t="shared" si="3"/>
        <v>209.86</v>
      </c>
      <c r="K44" s="242">
        <v>0.10000000000000009</v>
      </c>
      <c r="L44" s="63">
        <f t="shared" si="4"/>
        <v>172.42</v>
      </c>
      <c r="M44" s="63">
        <f t="shared" si="5"/>
        <v>119.92</v>
      </c>
      <c r="N44" s="63">
        <f t="shared" si="6"/>
        <v>133.21</v>
      </c>
      <c r="O44" s="63">
        <f t="shared" si="7"/>
        <v>139.91</v>
      </c>
    </row>
    <row r="45" spans="1:15">
      <c r="A45" s="238" t="s">
        <v>195</v>
      </c>
      <c r="B45" s="239">
        <f t="shared" si="8"/>
        <v>0.1</v>
      </c>
      <c r="C45" s="243">
        <v>4</v>
      </c>
      <c r="D45" s="240" t="s">
        <v>28</v>
      </c>
      <c r="E45" s="238" t="s">
        <v>137</v>
      </c>
      <c r="F45" s="208" t="s">
        <v>92</v>
      </c>
      <c r="G45" s="241">
        <v>14.99</v>
      </c>
      <c r="H45" s="120">
        <f t="shared" si="1"/>
        <v>179.88</v>
      </c>
      <c r="I45" s="68">
        <f t="shared" si="2"/>
        <v>199.82</v>
      </c>
      <c r="J45" s="120">
        <f t="shared" si="3"/>
        <v>209.86</v>
      </c>
      <c r="K45" s="242">
        <v>0.10000000000000009</v>
      </c>
      <c r="L45" s="63">
        <f t="shared" si="4"/>
        <v>172.42</v>
      </c>
      <c r="M45" s="63">
        <f t="shared" si="5"/>
        <v>119.92</v>
      </c>
      <c r="N45" s="63">
        <f t="shared" si="6"/>
        <v>133.21</v>
      </c>
      <c r="O45" s="63">
        <f t="shared" si="7"/>
        <v>139.91</v>
      </c>
    </row>
    <row r="46" spans="1:15">
      <c r="A46" s="238" t="s">
        <v>195</v>
      </c>
      <c r="B46" s="239">
        <f t="shared" si="8"/>
        <v>0.1</v>
      </c>
      <c r="C46" s="243">
        <v>4</v>
      </c>
      <c r="D46" s="240" t="s">
        <v>28</v>
      </c>
      <c r="E46" s="238" t="s">
        <v>137</v>
      </c>
      <c r="F46" s="208" t="s">
        <v>82</v>
      </c>
      <c r="G46" s="241">
        <v>17.844999999999999</v>
      </c>
      <c r="H46" s="120">
        <f t="shared" si="1"/>
        <v>214.14</v>
      </c>
      <c r="I46" s="68">
        <f t="shared" si="2"/>
        <v>237.87</v>
      </c>
      <c r="J46" s="120">
        <f t="shared" si="3"/>
        <v>249.83</v>
      </c>
      <c r="K46" s="242">
        <v>4.9985990473522035E-2</v>
      </c>
      <c r="L46" s="63">
        <f t="shared" si="4"/>
        <v>205.26</v>
      </c>
      <c r="M46" s="63">
        <f t="shared" si="5"/>
        <v>142.76</v>
      </c>
      <c r="N46" s="63">
        <f t="shared" si="6"/>
        <v>158.58000000000001</v>
      </c>
      <c r="O46" s="63">
        <f t="shared" si="7"/>
        <v>166.55</v>
      </c>
    </row>
    <row r="47" spans="1:15">
      <c r="A47" s="238" t="s">
        <v>195</v>
      </c>
      <c r="B47" s="239">
        <f t="shared" si="8"/>
        <v>0.1</v>
      </c>
      <c r="C47" s="243">
        <v>4</v>
      </c>
      <c r="D47" s="240" t="s">
        <v>28</v>
      </c>
      <c r="E47" s="238" t="s">
        <v>137</v>
      </c>
      <c r="F47" s="208" t="s">
        <v>85</v>
      </c>
      <c r="G47" s="241">
        <v>18.169</v>
      </c>
      <c r="H47" s="120">
        <f t="shared" si="1"/>
        <v>218.03</v>
      </c>
      <c r="I47" s="68">
        <f t="shared" si="2"/>
        <v>242.19</v>
      </c>
      <c r="J47" s="120">
        <f t="shared" si="3"/>
        <v>254.37</v>
      </c>
      <c r="K47" s="242">
        <v>4.9975232538939984E-2</v>
      </c>
      <c r="L47" s="63">
        <f t="shared" si="4"/>
        <v>208.99</v>
      </c>
      <c r="M47" s="63">
        <f t="shared" si="5"/>
        <v>145.35</v>
      </c>
      <c r="N47" s="63">
        <f t="shared" si="6"/>
        <v>161.46</v>
      </c>
      <c r="O47" s="63">
        <f t="shared" si="7"/>
        <v>169.58</v>
      </c>
    </row>
    <row r="48" spans="1:15">
      <c r="A48" s="238" t="s">
        <v>195</v>
      </c>
      <c r="B48" s="239">
        <f t="shared" si="8"/>
        <v>0.11</v>
      </c>
      <c r="C48" s="243">
        <v>4.5</v>
      </c>
      <c r="D48" s="240" t="s">
        <v>28</v>
      </c>
      <c r="E48" s="238" t="s">
        <v>137</v>
      </c>
      <c r="F48" s="208" t="s">
        <v>84</v>
      </c>
      <c r="G48" s="241">
        <v>14.721</v>
      </c>
      <c r="H48" s="120">
        <f t="shared" si="1"/>
        <v>176.65</v>
      </c>
      <c r="I48" s="68">
        <f t="shared" si="2"/>
        <v>196.23</v>
      </c>
      <c r="J48" s="120">
        <f t="shared" si="3"/>
        <v>206.09</v>
      </c>
      <c r="K48" s="242">
        <v>9.9993206983221228E-2</v>
      </c>
      <c r="L48" s="63">
        <f t="shared" si="4"/>
        <v>169.33</v>
      </c>
      <c r="M48" s="63">
        <f t="shared" si="5"/>
        <v>117.77</v>
      </c>
      <c r="N48" s="63">
        <f t="shared" si="6"/>
        <v>130.82</v>
      </c>
      <c r="O48" s="63">
        <f t="shared" si="7"/>
        <v>137.38999999999999</v>
      </c>
    </row>
    <row r="49" spans="1:15">
      <c r="A49" s="238" t="s">
        <v>195</v>
      </c>
      <c r="B49" s="239">
        <f t="shared" si="8"/>
        <v>0.11</v>
      </c>
      <c r="C49" s="243">
        <v>4.5</v>
      </c>
      <c r="D49" s="240" t="s">
        <v>28</v>
      </c>
      <c r="E49" s="238" t="s">
        <v>137</v>
      </c>
      <c r="F49" s="208" t="s">
        <v>85</v>
      </c>
      <c r="G49" s="241">
        <v>18.169</v>
      </c>
      <c r="H49" s="120">
        <f t="shared" si="1"/>
        <v>218.03</v>
      </c>
      <c r="I49" s="68">
        <f t="shared" si="2"/>
        <v>242.19</v>
      </c>
      <c r="J49" s="120">
        <f t="shared" si="3"/>
        <v>254.37</v>
      </c>
      <c r="K49" s="242">
        <v>4.9975232538939984E-2</v>
      </c>
      <c r="L49" s="63">
        <f t="shared" si="4"/>
        <v>208.99</v>
      </c>
      <c r="M49" s="63">
        <f t="shared" si="5"/>
        <v>145.35</v>
      </c>
      <c r="N49" s="63">
        <f t="shared" si="6"/>
        <v>161.46</v>
      </c>
      <c r="O49" s="63">
        <f t="shared" si="7"/>
        <v>169.58</v>
      </c>
    </row>
    <row r="50" spans="1:15">
      <c r="A50" s="238" t="s">
        <v>195</v>
      </c>
      <c r="B50" s="239">
        <f t="shared" si="8"/>
        <v>0.13</v>
      </c>
      <c r="C50" s="243">
        <v>5</v>
      </c>
      <c r="D50" s="240" t="s">
        <v>28</v>
      </c>
      <c r="E50" s="238" t="s">
        <v>137</v>
      </c>
      <c r="F50" s="208" t="s">
        <v>84</v>
      </c>
      <c r="G50" s="241">
        <v>14.721</v>
      </c>
      <c r="H50" s="120">
        <f t="shared" si="1"/>
        <v>176.65</v>
      </c>
      <c r="I50" s="68">
        <f>ROUND(G50*13.33,2)</f>
        <v>196.23</v>
      </c>
      <c r="J50" s="120">
        <f t="shared" si="3"/>
        <v>206.09</v>
      </c>
      <c r="K50" s="242">
        <v>9.9993206983221228E-2</v>
      </c>
      <c r="L50" s="63">
        <f t="shared" si="4"/>
        <v>169.33</v>
      </c>
      <c r="M50" s="63">
        <f t="shared" si="5"/>
        <v>117.77</v>
      </c>
      <c r="N50" s="63">
        <f t="shared" si="6"/>
        <v>130.82</v>
      </c>
      <c r="O50" s="63">
        <f t="shared" si="7"/>
        <v>137.38999999999999</v>
      </c>
    </row>
    <row r="51" spans="1:15">
      <c r="A51" s="41" t="s">
        <v>195</v>
      </c>
      <c r="B51" s="150">
        <f t="shared" si="8"/>
        <v>0.13</v>
      </c>
      <c r="C51" s="151">
        <v>5</v>
      </c>
      <c r="D51" s="155" t="s">
        <v>28</v>
      </c>
      <c r="E51" s="41" t="s">
        <v>137</v>
      </c>
      <c r="F51" s="118" t="s">
        <v>86</v>
      </c>
      <c r="G51" s="244">
        <v>16.704000000000001</v>
      </c>
      <c r="H51" s="120">
        <f t="shared" si="1"/>
        <v>200.45</v>
      </c>
      <c r="I51" s="68">
        <f t="shared" si="2"/>
        <v>222.66</v>
      </c>
      <c r="J51" s="120">
        <f t="shared" si="3"/>
        <v>233.86</v>
      </c>
      <c r="K51" s="242">
        <v>9.9976053639846629E-2</v>
      </c>
      <c r="L51" s="63">
        <f t="shared" si="4"/>
        <v>192.14</v>
      </c>
      <c r="M51" s="63">
        <f t="shared" si="5"/>
        <v>133.63</v>
      </c>
      <c r="N51" s="63">
        <f t="shared" si="6"/>
        <v>148.44</v>
      </c>
      <c r="O51" s="63">
        <f t="shared" si="7"/>
        <v>155.91</v>
      </c>
    </row>
    <row r="52" spans="1:15">
      <c r="A52" s="238" t="s">
        <v>195</v>
      </c>
      <c r="B52" s="239">
        <f t="shared" si="8"/>
        <v>0.13</v>
      </c>
      <c r="C52" s="243">
        <v>5</v>
      </c>
      <c r="D52" s="240" t="s">
        <v>28</v>
      </c>
      <c r="E52" s="238" t="s">
        <v>137</v>
      </c>
      <c r="F52" s="208" t="s">
        <v>117</v>
      </c>
      <c r="G52" s="241">
        <v>17.844999999999999</v>
      </c>
      <c r="H52" s="120">
        <f t="shared" si="1"/>
        <v>214.14</v>
      </c>
      <c r="I52" s="68">
        <f t="shared" si="2"/>
        <v>237.87</v>
      </c>
      <c r="J52" s="120">
        <f t="shared" si="3"/>
        <v>249.83</v>
      </c>
      <c r="K52" s="242">
        <v>4.9985990473522035E-2</v>
      </c>
      <c r="L52" s="63">
        <f t="shared" si="4"/>
        <v>205.26</v>
      </c>
      <c r="M52" s="63">
        <f t="shared" si="5"/>
        <v>142.76</v>
      </c>
      <c r="N52" s="63">
        <f t="shared" si="6"/>
        <v>158.58000000000001</v>
      </c>
      <c r="O52" s="63">
        <f t="shared" si="7"/>
        <v>166.55</v>
      </c>
    </row>
    <row r="53" spans="1:15">
      <c r="A53" s="238" t="s">
        <v>195</v>
      </c>
      <c r="B53" s="239">
        <f t="shared" si="8"/>
        <v>0.13</v>
      </c>
      <c r="C53" s="243">
        <v>5</v>
      </c>
      <c r="D53" s="240" t="s">
        <v>28</v>
      </c>
      <c r="E53" s="238" t="s">
        <v>137</v>
      </c>
      <c r="F53" s="208" t="s">
        <v>85</v>
      </c>
      <c r="G53" s="241">
        <v>18.169</v>
      </c>
      <c r="H53" s="120">
        <f t="shared" si="1"/>
        <v>218.03</v>
      </c>
      <c r="I53" s="68">
        <f t="shared" si="2"/>
        <v>242.19</v>
      </c>
      <c r="J53" s="120">
        <f t="shared" si="3"/>
        <v>254.37</v>
      </c>
      <c r="K53" s="242">
        <v>4.9975232538939984E-2</v>
      </c>
      <c r="L53" s="63">
        <f t="shared" si="4"/>
        <v>208.99</v>
      </c>
      <c r="M53" s="63">
        <f t="shared" si="5"/>
        <v>145.35</v>
      </c>
      <c r="N53" s="63">
        <f t="shared" si="6"/>
        <v>161.46</v>
      </c>
      <c r="O53" s="63">
        <f t="shared" si="7"/>
        <v>169.58</v>
      </c>
    </row>
    <row r="54" spans="1:15">
      <c r="A54" s="238" t="s">
        <v>195</v>
      </c>
      <c r="B54" s="239">
        <f t="shared" si="8"/>
        <v>0.15</v>
      </c>
      <c r="C54" s="243">
        <v>6</v>
      </c>
      <c r="D54" s="240" t="s">
        <v>28</v>
      </c>
      <c r="E54" s="238" t="s">
        <v>137</v>
      </c>
      <c r="F54" s="208" t="s">
        <v>86</v>
      </c>
      <c r="G54" s="241">
        <v>17.033999999999999</v>
      </c>
      <c r="H54" s="120">
        <f t="shared" si="1"/>
        <v>204.41</v>
      </c>
      <c r="I54" s="68">
        <f t="shared" si="2"/>
        <v>227.06</v>
      </c>
      <c r="J54" s="120">
        <f t="shared" si="3"/>
        <v>238.48</v>
      </c>
      <c r="K54" s="242">
        <v>5.0017611835153186E-2</v>
      </c>
      <c r="L54" s="63">
        <f t="shared" si="4"/>
        <v>195.94</v>
      </c>
      <c r="M54" s="63">
        <f t="shared" si="5"/>
        <v>136.27000000000001</v>
      </c>
      <c r="N54" s="63">
        <f t="shared" si="6"/>
        <v>151.37</v>
      </c>
      <c r="O54" s="63">
        <f t="shared" si="7"/>
        <v>158.99</v>
      </c>
    </row>
    <row r="55" spans="1:15">
      <c r="A55" s="238" t="s">
        <v>195</v>
      </c>
      <c r="B55" s="239">
        <f t="shared" si="8"/>
        <v>0.15</v>
      </c>
      <c r="C55" s="243">
        <v>6</v>
      </c>
      <c r="D55" s="240" t="s">
        <v>28</v>
      </c>
      <c r="E55" s="238" t="s">
        <v>137</v>
      </c>
      <c r="F55" s="208" t="s">
        <v>117</v>
      </c>
      <c r="G55" s="241">
        <v>17.844999999999999</v>
      </c>
      <c r="H55" s="120">
        <f t="shared" si="1"/>
        <v>214.14</v>
      </c>
      <c r="I55" s="68">
        <f t="shared" si="2"/>
        <v>237.87</v>
      </c>
      <c r="J55" s="120">
        <f t="shared" si="3"/>
        <v>249.83</v>
      </c>
      <c r="K55" s="242">
        <v>4.9985990473522035E-2</v>
      </c>
      <c r="L55" s="63">
        <f t="shared" si="4"/>
        <v>205.26</v>
      </c>
      <c r="M55" s="63">
        <f t="shared" si="5"/>
        <v>142.76</v>
      </c>
      <c r="N55" s="63">
        <f t="shared" si="6"/>
        <v>158.58000000000001</v>
      </c>
      <c r="O55" s="63">
        <f t="shared" si="7"/>
        <v>166.55</v>
      </c>
    </row>
    <row r="56" spans="1:15">
      <c r="A56" s="238" t="s">
        <v>195</v>
      </c>
      <c r="B56" s="239">
        <f t="shared" si="8"/>
        <v>0.2</v>
      </c>
      <c r="C56" s="243">
        <v>8</v>
      </c>
      <c r="D56" s="240" t="s">
        <v>28</v>
      </c>
      <c r="E56" s="238" t="s">
        <v>137</v>
      </c>
      <c r="F56" s="208" t="s">
        <v>87</v>
      </c>
      <c r="G56" s="241">
        <v>18.015000000000001</v>
      </c>
      <c r="H56" s="120">
        <f t="shared" si="1"/>
        <v>216.18</v>
      </c>
      <c r="I56" s="68">
        <f t="shared" si="2"/>
        <v>240.14</v>
      </c>
      <c r="J56" s="120">
        <f t="shared" si="3"/>
        <v>252.21</v>
      </c>
      <c r="K56" s="242">
        <v>6.0005550929780771E-2</v>
      </c>
      <c r="L56" s="63">
        <f t="shared" si="4"/>
        <v>207.22</v>
      </c>
      <c r="M56" s="63">
        <f t="shared" si="5"/>
        <v>144.12</v>
      </c>
      <c r="N56" s="63">
        <f t="shared" si="6"/>
        <v>160.09</v>
      </c>
      <c r="O56" s="63">
        <f t="shared" si="7"/>
        <v>168.14</v>
      </c>
    </row>
    <row r="57" spans="1:15">
      <c r="A57" s="238" t="s">
        <v>195</v>
      </c>
      <c r="B57" s="239">
        <f t="shared" si="8"/>
        <v>0.2</v>
      </c>
      <c r="C57" s="243">
        <v>8</v>
      </c>
      <c r="D57" s="240" t="s">
        <v>28</v>
      </c>
      <c r="E57" s="238" t="s">
        <v>137</v>
      </c>
      <c r="F57" s="208" t="s">
        <v>95</v>
      </c>
      <c r="G57" s="241">
        <v>17.844999999999999</v>
      </c>
      <c r="H57" s="120">
        <f t="shared" si="1"/>
        <v>214.14</v>
      </c>
      <c r="I57" s="68">
        <f t="shared" si="2"/>
        <v>237.87</v>
      </c>
      <c r="J57" s="120">
        <f t="shared" si="3"/>
        <v>249.83</v>
      </c>
      <c r="K57" s="242">
        <v>4.9985990473522035E-2</v>
      </c>
      <c r="L57" s="63">
        <f t="shared" si="4"/>
        <v>205.26</v>
      </c>
      <c r="M57" s="63">
        <f t="shared" si="5"/>
        <v>142.76</v>
      </c>
      <c r="N57" s="63">
        <f t="shared" si="6"/>
        <v>158.58000000000001</v>
      </c>
      <c r="O57" s="63">
        <f t="shared" si="7"/>
        <v>166.55</v>
      </c>
    </row>
    <row r="58" spans="1:15">
      <c r="A58" s="238" t="s">
        <v>195</v>
      </c>
      <c r="B58" s="239">
        <f t="shared" si="8"/>
        <v>0.25</v>
      </c>
      <c r="C58" s="243">
        <v>10</v>
      </c>
      <c r="D58" s="240" t="s">
        <v>28</v>
      </c>
      <c r="E58" s="238" t="s">
        <v>137</v>
      </c>
      <c r="F58" s="208" t="s">
        <v>89</v>
      </c>
      <c r="G58" s="241">
        <v>17.52</v>
      </c>
      <c r="H58" s="120">
        <f t="shared" si="1"/>
        <v>210.24</v>
      </c>
      <c r="I58" s="68">
        <f t="shared" si="2"/>
        <v>233.54</v>
      </c>
      <c r="J58" s="120">
        <f t="shared" si="3"/>
        <v>245.28</v>
      </c>
      <c r="K58" s="242">
        <v>5.0000000000000044E-2</v>
      </c>
      <c r="L58" s="63">
        <f t="shared" si="4"/>
        <v>201.52</v>
      </c>
      <c r="M58" s="63">
        <f t="shared" si="5"/>
        <v>140.16</v>
      </c>
      <c r="N58" s="63">
        <f t="shared" si="6"/>
        <v>155.69</v>
      </c>
      <c r="O58" s="63">
        <f t="shared" si="7"/>
        <v>163.52000000000001</v>
      </c>
    </row>
    <row r="59" spans="1:15">
      <c r="A59" s="238" t="s">
        <v>195</v>
      </c>
      <c r="B59" s="239">
        <f t="shared" si="8"/>
        <v>0.3</v>
      </c>
      <c r="C59" s="243">
        <v>12</v>
      </c>
      <c r="D59" s="240" t="s">
        <v>28</v>
      </c>
      <c r="E59" s="238" t="s">
        <v>137</v>
      </c>
      <c r="F59" s="208" t="s">
        <v>167</v>
      </c>
      <c r="G59" s="241">
        <v>20.062000000000001</v>
      </c>
      <c r="H59" s="120">
        <f t="shared" si="1"/>
        <v>240.74</v>
      </c>
      <c r="I59" s="68">
        <f t="shared" si="2"/>
        <v>267.43</v>
      </c>
      <c r="J59" s="120">
        <f t="shared" si="3"/>
        <v>280.87</v>
      </c>
      <c r="K59" s="242">
        <v>6.0013956734124019E-2</v>
      </c>
      <c r="L59" s="63">
        <f t="shared" si="4"/>
        <v>230.76</v>
      </c>
      <c r="M59" s="63">
        <f t="shared" si="5"/>
        <v>160.49</v>
      </c>
      <c r="N59" s="63">
        <f t="shared" si="6"/>
        <v>178.29</v>
      </c>
      <c r="O59" s="63">
        <f t="shared" si="7"/>
        <v>187.25</v>
      </c>
    </row>
    <row r="60" spans="1:15">
      <c r="A60" s="238" t="s">
        <v>195</v>
      </c>
      <c r="B60" s="239">
        <f t="shared" si="8"/>
        <v>0.38</v>
      </c>
      <c r="C60" s="243">
        <v>15</v>
      </c>
      <c r="D60" s="240" t="s">
        <v>28</v>
      </c>
      <c r="E60" s="238" t="s">
        <v>137</v>
      </c>
      <c r="F60" s="208" t="s">
        <v>90</v>
      </c>
      <c r="G60" s="241">
        <v>20.062000000000001</v>
      </c>
      <c r="H60" s="120">
        <f t="shared" si="1"/>
        <v>240.74</v>
      </c>
      <c r="I60" s="68">
        <f t="shared" si="2"/>
        <v>267.43</v>
      </c>
      <c r="J60" s="120">
        <f t="shared" si="3"/>
        <v>280.87</v>
      </c>
      <c r="K60" s="242">
        <v>6.0013956734124019E-2</v>
      </c>
      <c r="L60" s="63">
        <f t="shared" si="4"/>
        <v>230.76</v>
      </c>
      <c r="M60" s="63">
        <f t="shared" si="5"/>
        <v>160.49</v>
      </c>
      <c r="N60" s="63">
        <f t="shared" si="6"/>
        <v>178.29</v>
      </c>
      <c r="O60" s="63">
        <f t="shared" si="7"/>
        <v>187.25</v>
      </c>
    </row>
    <row r="61" spans="1:15">
      <c r="A61" s="238" t="s">
        <v>195</v>
      </c>
      <c r="B61" s="239">
        <f t="shared" si="8"/>
        <v>0.51</v>
      </c>
      <c r="C61" s="243">
        <v>20</v>
      </c>
      <c r="D61" s="240" t="s">
        <v>28</v>
      </c>
      <c r="E61" s="238" t="s">
        <v>137</v>
      </c>
      <c r="F61" s="208" t="s">
        <v>129</v>
      </c>
      <c r="G61" s="241">
        <v>24.155999999999999</v>
      </c>
      <c r="H61" s="120">
        <f t="shared" si="1"/>
        <v>289.87</v>
      </c>
      <c r="I61" s="68">
        <f t="shared" si="2"/>
        <v>322</v>
      </c>
      <c r="J61" s="120">
        <f t="shared" si="3"/>
        <v>338.18</v>
      </c>
      <c r="K61" s="242">
        <v>5.9985096870342813E-2</v>
      </c>
      <c r="L61" s="63">
        <f t="shared" si="4"/>
        <v>277.86</v>
      </c>
      <c r="M61" s="63">
        <f t="shared" si="5"/>
        <v>193.25</v>
      </c>
      <c r="N61" s="63">
        <f t="shared" si="6"/>
        <v>214.67</v>
      </c>
      <c r="O61" s="63">
        <f t="shared" si="7"/>
        <v>225.45</v>
      </c>
    </row>
    <row r="62" spans="1:15">
      <c r="A62" s="238" t="s">
        <v>195</v>
      </c>
      <c r="B62" s="239">
        <f t="shared" si="8"/>
        <v>0.94</v>
      </c>
      <c r="C62" s="243">
        <v>37</v>
      </c>
      <c r="D62" s="240" t="s">
        <v>28</v>
      </c>
      <c r="E62" s="238" t="s">
        <v>137</v>
      </c>
      <c r="F62" s="208" t="s">
        <v>132</v>
      </c>
      <c r="G62" s="241">
        <v>42.253</v>
      </c>
      <c r="H62" s="120">
        <f t="shared" si="1"/>
        <v>507.04</v>
      </c>
      <c r="I62" s="68">
        <f t="shared" si="2"/>
        <v>563.23</v>
      </c>
      <c r="J62" s="120">
        <f t="shared" si="3"/>
        <v>591.54</v>
      </c>
      <c r="K62" s="242">
        <v>5.9995739947459326E-2</v>
      </c>
      <c r="L62" s="63">
        <f t="shared" si="4"/>
        <v>486.02</v>
      </c>
      <c r="M62" s="63">
        <f t="shared" si="5"/>
        <v>338.03</v>
      </c>
      <c r="N62" s="63">
        <f t="shared" si="6"/>
        <v>375.49</v>
      </c>
      <c r="O62" s="63">
        <f t="shared" si="7"/>
        <v>394.36</v>
      </c>
    </row>
    <row r="63" spans="1:15">
      <c r="A63" s="238" t="s">
        <v>195</v>
      </c>
      <c r="B63" s="239">
        <f t="shared" si="8"/>
        <v>0.1</v>
      </c>
      <c r="C63" s="243">
        <v>4</v>
      </c>
      <c r="D63" s="240" t="s">
        <v>138</v>
      </c>
      <c r="E63" s="238" t="s">
        <v>137</v>
      </c>
      <c r="F63" s="208" t="s">
        <v>85</v>
      </c>
      <c r="G63" s="241">
        <v>21.350999999999999</v>
      </c>
      <c r="H63" s="120">
        <f t="shared" si="1"/>
        <v>256.20999999999998</v>
      </c>
      <c r="I63" s="68">
        <f t="shared" si="2"/>
        <v>284.61</v>
      </c>
      <c r="J63" s="120">
        <f t="shared" si="3"/>
        <v>298.91000000000003</v>
      </c>
      <c r="K63" s="242">
        <v>7.0020139571917106E-2</v>
      </c>
      <c r="L63" s="63">
        <f t="shared" si="4"/>
        <v>245.59</v>
      </c>
      <c r="M63" s="63">
        <f t="shared" si="5"/>
        <v>170.81</v>
      </c>
      <c r="N63" s="63">
        <f t="shared" si="6"/>
        <v>189.74</v>
      </c>
      <c r="O63" s="63">
        <f t="shared" si="7"/>
        <v>199.27</v>
      </c>
    </row>
    <row r="64" spans="1:15">
      <c r="A64" s="238" t="s">
        <v>195</v>
      </c>
      <c r="B64" s="239">
        <f t="shared" si="8"/>
        <v>0.13</v>
      </c>
      <c r="C64" s="243">
        <v>5</v>
      </c>
      <c r="D64" s="240" t="s">
        <v>138</v>
      </c>
      <c r="E64" s="238" t="s">
        <v>137</v>
      </c>
      <c r="F64" s="208" t="s">
        <v>117</v>
      </c>
      <c r="G64" s="241">
        <v>22.132999999999999</v>
      </c>
      <c r="H64" s="120">
        <f t="shared" si="1"/>
        <v>265.60000000000002</v>
      </c>
      <c r="I64" s="68">
        <f t="shared" si="2"/>
        <v>295.02999999999997</v>
      </c>
      <c r="J64" s="120">
        <f t="shared" si="3"/>
        <v>309.86</v>
      </c>
      <c r="K64" s="242">
        <v>6.9985993764966281E-2</v>
      </c>
      <c r="L64" s="63">
        <f t="shared" si="4"/>
        <v>254.59</v>
      </c>
      <c r="M64" s="63">
        <f t="shared" si="5"/>
        <v>177.07</v>
      </c>
      <c r="N64" s="63">
        <f t="shared" si="6"/>
        <v>196.69</v>
      </c>
      <c r="O64" s="63">
        <f t="shared" si="7"/>
        <v>206.57</v>
      </c>
    </row>
    <row r="65" spans="1:15">
      <c r="A65" s="238" t="s">
        <v>195</v>
      </c>
      <c r="B65" s="239">
        <f t="shared" si="8"/>
        <v>0.25</v>
      </c>
      <c r="C65" s="243">
        <v>10</v>
      </c>
      <c r="D65" s="240" t="s">
        <v>138</v>
      </c>
      <c r="E65" s="238" t="s">
        <v>137</v>
      </c>
      <c r="F65" s="208" t="s">
        <v>89</v>
      </c>
      <c r="G65" s="241">
        <v>21.491</v>
      </c>
      <c r="H65" s="120">
        <f t="shared" si="1"/>
        <v>257.89</v>
      </c>
      <c r="I65" s="68">
        <f t="shared" si="2"/>
        <v>286.48</v>
      </c>
      <c r="J65" s="120">
        <f t="shared" si="3"/>
        <v>300.87</v>
      </c>
      <c r="K65" s="242">
        <v>6.9982783490763589E-2</v>
      </c>
      <c r="L65" s="63">
        <f t="shared" si="4"/>
        <v>247.2</v>
      </c>
      <c r="M65" s="63">
        <f t="shared" si="5"/>
        <v>171.93</v>
      </c>
      <c r="N65" s="63">
        <f t="shared" si="6"/>
        <v>190.99</v>
      </c>
      <c r="O65" s="63">
        <f t="shared" si="7"/>
        <v>200.58</v>
      </c>
    </row>
    <row r="66" spans="1:15">
      <c r="A66" s="238" t="s">
        <v>195</v>
      </c>
      <c r="B66" s="239">
        <f>ROUND(C66*0.0254,3)</f>
        <v>5.8000000000000003E-2</v>
      </c>
      <c r="C66" s="151">
        <v>2.2999999999999998</v>
      </c>
      <c r="D66" s="240" t="s">
        <v>29</v>
      </c>
      <c r="E66" s="238" t="s">
        <v>137</v>
      </c>
      <c r="F66" s="118" t="s">
        <v>121</v>
      </c>
      <c r="G66" s="241">
        <v>23.73</v>
      </c>
      <c r="H66" s="120">
        <f t="shared" si="1"/>
        <v>284.76</v>
      </c>
      <c r="I66" s="68">
        <f t="shared" si="2"/>
        <v>316.32</v>
      </c>
      <c r="J66" s="120">
        <f t="shared" si="3"/>
        <v>332.22</v>
      </c>
      <c r="K66" s="242">
        <v>0.10000000000000009</v>
      </c>
      <c r="L66" s="63">
        <f t="shared" si="4"/>
        <v>272.95999999999998</v>
      </c>
      <c r="M66" s="63">
        <f t="shared" si="5"/>
        <v>189.84</v>
      </c>
      <c r="N66" s="63">
        <f t="shared" si="6"/>
        <v>210.88</v>
      </c>
      <c r="O66" s="63">
        <f t="shared" si="7"/>
        <v>221.48</v>
      </c>
    </row>
    <row r="67" spans="1:15">
      <c r="A67" s="238" t="s">
        <v>195</v>
      </c>
      <c r="B67" s="239">
        <f t="shared" ref="B67:B70" si="10">ROUND(C67*0.0254,3)</f>
        <v>7.5999999999999998E-2</v>
      </c>
      <c r="C67" s="243">
        <v>3</v>
      </c>
      <c r="D67" s="240" t="s">
        <v>29</v>
      </c>
      <c r="E67" s="238" t="s">
        <v>137</v>
      </c>
      <c r="F67" s="208" t="s">
        <v>140</v>
      </c>
      <c r="G67" s="241">
        <v>26.393000000000001</v>
      </c>
      <c r="H67" s="120">
        <f t="shared" si="1"/>
        <v>316.72000000000003</v>
      </c>
      <c r="I67" s="68">
        <f t="shared" si="2"/>
        <v>351.82</v>
      </c>
      <c r="J67" s="120">
        <f t="shared" si="3"/>
        <v>369.5</v>
      </c>
      <c r="K67" s="242">
        <v>5.001326109195614E-2</v>
      </c>
      <c r="L67" s="63">
        <f t="shared" si="4"/>
        <v>303.58999999999997</v>
      </c>
      <c r="M67" s="63">
        <f t="shared" si="5"/>
        <v>211.15</v>
      </c>
      <c r="N67" s="63">
        <f t="shared" si="6"/>
        <v>234.55</v>
      </c>
      <c r="O67" s="63">
        <f t="shared" si="7"/>
        <v>246.33</v>
      </c>
    </row>
    <row r="68" spans="1:15">
      <c r="A68" s="238" t="s">
        <v>195</v>
      </c>
      <c r="B68" s="239">
        <f t="shared" si="10"/>
        <v>7.5999999999999998E-2</v>
      </c>
      <c r="C68" s="243">
        <v>3</v>
      </c>
      <c r="D68" s="240" t="s">
        <v>29</v>
      </c>
      <c r="E68" s="238" t="s">
        <v>137</v>
      </c>
      <c r="F68" s="208" t="s">
        <v>122</v>
      </c>
      <c r="G68" s="241">
        <v>23.73</v>
      </c>
      <c r="H68" s="120">
        <f t="shared" si="1"/>
        <v>284.76</v>
      </c>
      <c r="I68" s="68">
        <f t="shared" si="2"/>
        <v>316.32</v>
      </c>
      <c r="J68" s="120">
        <f t="shared" si="3"/>
        <v>332.22</v>
      </c>
      <c r="K68" s="242">
        <v>0.10000000000000009</v>
      </c>
      <c r="L68" s="63">
        <f t="shared" si="4"/>
        <v>272.95999999999998</v>
      </c>
      <c r="M68" s="63">
        <f t="shared" si="5"/>
        <v>189.84</v>
      </c>
      <c r="N68" s="63">
        <f t="shared" si="6"/>
        <v>210.88</v>
      </c>
      <c r="O68" s="63">
        <f t="shared" si="7"/>
        <v>221.48</v>
      </c>
    </row>
    <row r="69" spans="1:15">
      <c r="A69" s="238" t="s">
        <v>195</v>
      </c>
      <c r="B69" s="239">
        <f t="shared" si="10"/>
        <v>7.5999999999999998E-2</v>
      </c>
      <c r="C69" s="243">
        <v>3</v>
      </c>
      <c r="D69" s="240" t="s">
        <v>29</v>
      </c>
      <c r="E69" s="238" t="s">
        <v>137</v>
      </c>
      <c r="F69" s="208" t="s">
        <v>81</v>
      </c>
      <c r="G69" s="241">
        <v>23.367000000000001</v>
      </c>
      <c r="H69" s="120">
        <f t="shared" si="1"/>
        <v>280.39999999999998</v>
      </c>
      <c r="I69" s="68">
        <f t="shared" si="2"/>
        <v>311.48</v>
      </c>
      <c r="J69" s="120">
        <f t="shared" si="3"/>
        <v>327.14</v>
      </c>
      <c r="K69" s="242">
        <v>0.10001283861856458</v>
      </c>
      <c r="L69" s="63">
        <f t="shared" si="4"/>
        <v>268.77</v>
      </c>
      <c r="M69" s="63">
        <f t="shared" si="5"/>
        <v>186.93</v>
      </c>
      <c r="N69" s="63">
        <f t="shared" si="6"/>
        <v>207.65</v>
      </c>
      <c r="O69" s="63">
        <f t="shared" si="7"/>
        <v>218.09</v>
      </c>
    </row>
    <row r="70" spans="1:15">
      <c r="A70" s="238" t="s">
        <v>195</v>
      </c>
      <c r="B70" s="239">
        <f t="shared" si="10"/>
        <v>8.8999999999999996E-2</v>
      </c>
      <c r="C70" s="243">
        <v>3.5</v>
      </c>
      <c r="D70" s="240" t="s">
        <v>29</v>
      </c>
      <c r="E70" s="238" t="s">
        <v>137</v>
      </c>
      <c r="F70" s="208" t="s">
        <v>140</v>
      </c>
      <c r="G70" s="241">
        <v>26.393000000000001</v>
      </c>
      <c r="H70" s="120">
        <f t="shared" si="1"/>
        <v>316.72000000000003</v>
      </c>
      <c r="I70" s="68">
        <f t="shared" si="2"/>
        <v>351.82</v>
      </c>
      <c r="J70" s="120">
        <f t="shared" si="3"/>
        <v>369.5</v>
      </c>
      <c r="K70" s="242">
        <v>5.001326109195614E-2</v>
      </c>
      <c r="L70" s="63">
        <f t="shared" si="4"/>
        <v>303.58999999999997</v>
      </c>
      <c r="M70" s="63">
        <f t="shared" si="5"/>
        <v>211.15</v>
      </c>
      <c r="N70" s="63">
        <f t="shared" si="6"/>
        <v>234.55</v>
      </c>
      <c r="O70" s="63">
        <f t="shared" si="7"/>
        <v>246.33</v>
      </c>
    </row>
    <row r="71" spans="1:15">
      <c r="A71" s="238" t="s">
        <v>195</v>
      </c>
      <c r="B71" s="239">
        <f t="shared" si="8"/>
        <v>0.1</v>
      </c>
      <c r="C71" s="243">
        <v>4</v>
      </c>
      <c r="D71" s="240" t="s">
        <v>29</v>
      </c>
      <c r="E71" s="238" t="s">
        <v>137</v>
      </c>
      <c r="F71" s="208" t="s">
        <v>92</v>
      </c>
      <c r="G71" s="241">
        <v>23.73</v>
      </c>
      <c r="H71" s="120">
        <f t="shared" si="1"/>
        <v>284.76</v>
      </c>
      <c r="I71" s="68">
        <f t="shared" si="2"/>
        <v>316.32</v>
      </c>
      <c r="J71" s="120">
        <f t="shared" si="3"/>
        <v>332.22</v>
      </c>
      <c r="K71" s="242">
        <v>0.10000000000000009</v>
      </c>
      <c r="L71" s="63">
        <f t="shared" si="4"/>
        <v>272.95999999999998</v>
      </c>
      <c r="M71" s="63">
        <f t="shared" si="5"/>
        <v>189.84</v>
      </c>
      <c r="N71" s="63">
        <f t="shared" si="6"/>
        <v>210.88</v>
      </c>
      <c r="O71" s="63">
        <f t="shared" si="7"/>
        <v>221.48</v>
      </c>
    </row>
    <row r="72" spans="1:15">
      <c r="A72" s="238" t="s">
        <v>195</v>
      </c>
      <c r="B72" s="239">
        <f t="shared" si="8"/>
        <v>0.1</v>
      </c>
      <c r="C72" s="243">
        <v>4</v>
      </c>
      <c r="D72" s="240" t="s">
        <v>29</v>
      </c>
      <c r="E72" s="238" t="s">
        <v>137</v>
      </c>
      <c r="F72" s="208" t="s">
        <v>83</v>
      </c>
      <c r="G72" s="241">
        <v>23.73</v>
      </c>
      <c r="H72" s="120">
        <f t="shared" si="1"/>
        <v>284.76</v>
      </c>
      <c r="I72" s="68">
        <f t="shared" si="2"/>
        <v>316.32</v>
      </c>
      <c r="J72" s="120">
        <f t="shared" si="3"/>
        <v>332.22</v>
      </c>
      <c r="K72" s="242">
        <v>0.10000000000000009</v>
      </c>
      <c r="L72" s="63">
        <f t="shared" si="4"/>
        <v>272.95999999999998</v>
      </c>
      <c r="M72" s="63">
        <f t="shared" si="5"/>
        <v>189.84</v>
      </c>
      <c r="N72" s="63">
        <f t="shared" si="6"/>
        <v>210.88</v>
      </c>
      <c r="O72" s="63">
        <f t="shared" si="7"/>
        <v>221.48</v>
      </c>
    </row>
    <row r="73" spans="1:15">
      <c r="A73" s="238" t="s">
        <v>195</v>
      </c>
      <c r="B73" s="239">
        <f t="shared" si="8"/>
        <v>0.1</v>
      </c>
      <c r="C73" s="243">
        <v>4</v>
      </c>
      <c r="D73" s="240" t="s">
        <v>29</v>
      </c>
      <c r="E73" s="238" t="s">
        <v>137</v>
      </c>
      <c r="F73" s="208" t="s">
        <v>82</v>
      </c>
      <c r="G73" s="241">
        <v>25.812999999999999</v>
      </c>
      <c r="H73" s="120">
        <f t="shared" si="1"/>
        <v>309.76</v>
      </c>
      <c r="I73" s="68">
        <f t="shared" si="2"/>
        <v>344.09</v>
      </c>
      <c r="J73" s="120">
        <f t="shared" si="3"/>
        <v>361.38</v>
      </c>
      <c r="K73" s="242">
        <v>5.0013559059388646E-2</v>
      </c>
      <c r="L73" s="63">
        <f t="shared" si="4"/>
        <v>296.91000000000003</v>
      </c>
      <c r="M73" s="63">
        <f t="shared" si="5"/>
        <v>206.51</v>
      </c>
      <c r="N73" s="63">
        <f t="shared" si="6"/>
        <v>229.39</v>
      </c>
      <c r="O73" s="63">
        <f t="shared" si="7"/>
        <v>240.92</v>
      </c>
    </row>
    <row r="74" spans="1:15">
      <c r="A74" s="238" t="s">
        <v>195</v>
      </c>
      <c r="B74" s="239">
        <f t="shared" si="8"/>
        <v>0.1</v>
      </c>
      <c r="C74" s="243">
        <v>4</v>
      </c>
      <c r="D74" s="240" t="s">
        <v>29</v>
      </c>
      <c r="E74" s="238" t="s">
        <v>137</v>
      </c>
      <c r="F74" s="208" t="s">
        <v>85</v>
      </c>
      <c r="G74" s="241">
        <v>26.143999999999998</v>
      </c>
      <c r="H74" s="120">
        <f t="shared" si="1"/>
        <v>313.73</v>
      </c>
      <c r="I74" s="68">
        <f t="shared" si="2"/>
        <v>348.5</v>
      </c>
      <c r="J74" s="120">
        <f t="shared" si="3"/>
        <v>366.02</v>
      </c>
      <c r="K74" s="242">
        <v>4.999235006119962E-2</v>
      </c>
      <c r="L74" s="63">
        <f t="shared" si="4"/>
        <v>300.72000000000003</v>
      </c>
      <c r="M74" s="63">
        <f t="shared" si="5"/>
        <v>209.15</v>
      </c>
      <c r="N74" s="63">
        <f t="shared" si="6"/>
        <v>232.33</v>
      </c>
      <c r="O74" s="63">
        <f t="shared" si="7"/>
        <v>244.01</v>
      </c>
    </row>
    <row r="75" spans="1:15">
      <c r="A75" s="238" t="s">
        <v>195</v>
      </c>
      <c r="B75" s="239">
        <f t="shared" si="8"/>
        <v>0.11</v>
      </c>
      <c r="C75" s="243">
        <v>4.5</v>
      </c>
      <c r="D75" s="240" t="s">
        <v>29</v>
      </c>
      <c r="E75" s="238" t="s">
        <v>137</v>
      </c>
      <c r="F75" s="208" t="s">
        <v>84</v>
      </c>
      <c r="G75" s="241">
        <v>23.678000000000001</v>
      </c>
      <c r="H75" s="120">
        <f t="shared" si="1"/>
        <v>284.14</v>
      </c>
      <c r="I75" s="68">
        <f t="shared" si="2"/>
        <v>315.63</v>
      </c>
      <c r="J75" s="120">
        <f t="shared" si="3"/>
        <v>331.49</v>
      </c>
      <c r="K75" s="242">
        <v>0.10000844665934627</v>
      </c>
      <c r="L75" s="63">
        <f t="shared" si="4"/>
        <v>272.36</v>
      </c>
      <c r="M75" s="63">
        <f t="shared" si="5"/>
        <v>189.43</v>
      </c>
      <c r="N75" s="63">
        <f t="shared" si="6"/>
        <v>210.42</v>
      </c>
      <c r="O75" s="63">
        <f t="shared" si="7"/>
        <v>220.99</v>
      </c>
    </row>
    <row r="76" spans="1:15">
      <c r="A76" s="238" t="s">
        <v>195</v>
      </c>
      <c r="B76" s="239">
        <f t="shared" si="8"/>
        <v>0.11</v>
      </c>
      <c r="C76" s="243">
        <v>4.5</v>
      </c>
      <c r="D76" s="240" t="s">
        <v>29</v>
      </c>
      <c r="E76" s="238" t="s">
        <v>137</v>
      </c>
      <c r="F76" s="208" t="s">
        <v>85</v>
      </c>
      <c r="G76" s="241">
        <v>26.143999999999998</v>
      </c>
      <c r="H76" s="120">
        <f t="shared" si="1"/>
        <v>313.73</v>
      </c>
      <c r="I76" s="68">
        <f t="shared" si="2"/>
        <v>348.5</v>
      </c>
      <c r="J76" s="120">
        <f t="shared" si="3"/>
        <v>366.02</v>
      </c>
      <c r="K76" s="242">
        <v>4.999235006119962E-2</v>
      </c>
      <c r="L76" s="63">
        <f t="shared" si="4"/>
        <v>300.72000000000003</v>
      </c>
      <c r="M76" s="63">
        <f t="shared" si="5"/>
        <v>209.15</v>
      </c>
      <c r="N76" s="63">
        <f t="shared" si="6"/>
        <v>232.33</v>
      </c>
      <c r="O76" s="63">
        <f t="shared" si="7"/>
        <v>244.01</v>
      </c>
    </row>
    <row r="77" spans="1:15">
      <c r="A77" s="238" t="s">
        <v>195</v>
      </c>
      <c r="B77" s="239">
        <f t="shared" si="8"/>
        <v>0.13</v>
      </c>
      <c r="C77" s="243">
        <v>5</v>
      </c>
      <c r="D77" s="240" t="s">
        <v>29</v>
      </c>
      <c r="E77" s="238" t="s">
        <v>137</v>
      </c>
      <c r="F77" s="208" t="s">
        <v>84</v>
      </c>
      <c r="G77" s="241">
        <v>23.678000000000001</v>
      </c>
      <c r="H77" s="120">
        <f t="shared" si="1"/>
        <v>284.14</v>
      </c>
      <c r="I77" s="68">
        <f t="shared" si="2"/>
        <v>315.63</v>
      </c>
      <c r="J77" s="120">
        <f t="shared" si="3"/>
        <v>331.49</v>
      </c>
      <c r="K77" s="242">
        <v>0.10000844665934627</v>
      </c>
      <c r="L77" s="63">
        <f t="shared" si="4"/>
        <v>272.36</v>
      </c>
      <c r="M77" s="63">
        <f t="shared" si="5"/>
        <v>189.43</v>
      </c>
      <c r="N77" s="63">
        <f t="shared" si="6"/>
        <v>210.42</v>
      </c>
      <c r="O77" s="63">
        <f t="shared" si="7"/>
        <v>220.99</v>
      </c>
    </row>
    <row r="78" spans="1:15">
      <c r="A78" s="41" t="s">
        <v>195</v>
      </c>
      <c r="B78" s="150">
        <f t="shared" si="8"/>
        <v>0.13</v>
      </c>
      <c r="C78" s="151">
        <v>5</v>
      </c>
      <c r="D78" s="155" t="s">
        <v>29</v>
      </c>
      <c r="E78" s="41" t="s">
        <v>137</v>
      </c>
      <c r="F78" s="118" t="s">
        <v>86</v>
      </c>
      <c r="G78" s="244">
        <v>25.518000000000001</v>
      </c>
      <c r="H78" s="120">
        <f t="shared" si="1"/>
        <v>306.22000000000003</v>
      </c>
      <c r="I78" s="68">
        <f t="shared" si="2"/>
        <v>340.15</v>
      </c>
      <c r="J78" s="120">
        <f t="shared" si="3"/>
        <v>357.25</v>
      </c>
      <c r="K78" s="242">
        <v>5.0003918802413949E-2</v>
      </c>
      <c r="L78" s="63">
        <f t="shared" si="4"/>
        <v>293.52</v>
      </c>
      <c r="M78" s="63">
        <f t="shared" si="5"/>
        <v>204.15</v>
      </c>
      <c r="N78" s="63">
        <f t="shared" si="6"/>
        <v>226.77</v>
      </c>
      <c r="O78" s="63">
        <f t="shared" si="7"/>
        <v>238.17</v>
      </c>
    </row>
    <row r="79" spans="1:15">
      <c r="A79" s="238" t="s">
        <v>195</v>
      </c>
      <c r="B79" s="239">
        <f t="shared" si="8"/>
        <v>0.13</v>
      </c>
      <c r="C79" s="243">
        <v>5</v>
      </c>
      <c r="D79" s="240" t="s">
        <v>29</v>
      </c>
      <c r="E79" s="238" t="s">
        <v>137</v>
      </c>
      <c r="F79" s="208" t="s">
        <v>117</v>
      </c>
      <c r="G79" s="241">
        <v>25.812999999999999</v>
      </c>
      <c r="H79" s="120">
        <f t="shared" si="1"/>
        <v>309.76</v>
      </c>
      <c r="I79" s="68">
        <f t="shared" si="2"/>
        <v>344.09</v>
      </c>
      <c r="J79" s="120">
        <f t="shared" si="3"/>
        <v>361.38</v>
      </c>
      <c r="K79" s="242">
        <v>5.0013559059388646E-2</v>
      </c>
      <c r="L79" s="63">
        <f t="shared" si="4"/>
        <v>296.91000000000003</v>
      </c>
      <c r="M79" s="63">
        <f t="shared" si="5"/>
        <v>206.51</v>
      </c>
      <c r="N79" s="63">
        <f t="shared" si="6"/>
        <v>229.39</v>
      </c>
      <c r="O79" s="63">
        <f t="shared" si="7"/>
        <v>240.92</v>
      </c>
    </row>
    <row r="80" spans="1:15">
      <c r="A80" s="238" t="s">
        <v>195</v>
      </c>
      <c r="B80" s="239">
        <f t="shared" si="8"/>
        <v>0.15</v>
      </c>
      <c r="C80" s="243">
        <v>6</v>
      </c>
      <c r="D80" s="240" t="s">
        <v>29</v>
      </c>
      <c r="E80" s="238" t="s">
        <v>137</v>
      </c>
      <c r="F80" s="208" t="s">
        <v>86</v>
      </c>
      <c r="G80" s="241">
        <v>25.475999999999999</v>
      </c>
      <c r="H80" s="120">
        <f t="shared" si="1"/>
        <v>305.70999999999998</v>
      </c>
      <c r="I80" s="68">
        <f t="shared" si="2"/>
        <v>339.6</v>
      </c>
      <c r="J80" s="120">
        <f t="shared" si="3"/>
        <v>356.66</v>
      </c>
      <c r="K80" s="242">
        <v>5.0007850525985331E-2</v>
      </c>
      <c r="L80" s="63">
        <f t="shared" si="4"/>
        <v>293.04000000000002</v>
      </c>
      <c r="M80" s="63">
        <f t="shared" si="5"/>
        <v>203.81</v>
      </c>
      <c r="N80" s="63">
        <f t="shared" si="6"/>
        <v>226.4</v>
      </c>
      <c r="O80" s="63">
        <f t="shared" si="7"/>
        <v>237.77</v>
      </c>
    </row>
    <row r="81" spans="1:15">
      <c r="A81" s="238" t="s">
        <v>195</v>
      </c>
      <c r="B81" s="239">
        <f t="shared" si="8"/>
        <v>0.2</v>
      </c>
      <c r="C81" s="243">
        <v>8</v>
      </c>
      <c r="D81" s="240" t="s">
        <v>29</v>
      </c>
      <c r="E81" s="238" t="s">
        <v>137</v>
      </c>
      <c r="F81" s="208" t="s">
        <v>95</v>
      </c>
      <c r="G81" s="241">
        <v>26.065999999999999</v>
      </c>
      <c r="H81" s="120">
        <f t="shared" si="1"/>
        <v>312.79000000000002</v>
      </c>
      <c r="I81" s="68">
        <f t="shared" si="2"/>
        <v>347.46</v>
      </c>
      <c r="J81" s="120">
        <f t="shared" si="3"/>
        <v>364.92</v>
      </c>
      <c r="K81" s="242">
        <v>4.9988490754239168E-2</v>
      </c>
      <c r="L81" s="63">
        <f t="shared" si="4"/>
        <v>299.82</v>
      </c>
      <c r="M81" s="63">
        <f t="shared" si="5"/>
        <v>208.53</v>
      </c>
      <c r="N81" s="63">
        <f t="shared" si="6"/>
        <v>231.64</v>
      </c>
      <c r="O81" s="63">
        <f t="shared" si="7"/>
        <v>243.28</v>
      </c>
    </row>
    <row r="82" spans="1:15">
      <c r="A82" s="238" t="s">
        <v>196</v>
      </c>
      <c r="B82" s="239">
        <f t="shared" si="8"/>
        <v>0.2</v>
      </c>
      <c r="C82" s="243">
        <v>8</v>
      </c>
      <c r="D82" s="240" t="s">
        <v>29</v>
      </c>
      <c r="E82" s="238" t="s">
        <v>137</v>
      </c>
      <c r="F82" s="208" t="s">
        <v>87</v>
      </c>
      <c r="G82" s="241">
        <v>26.315000000000001</v>
      </c>
      <c r="H82" s="120">
        <f t="shared" si="1"/>
        <v>315.77999999999997</v>
      </c>
      <c r="I82" s="68">
        <f t="shared" si="2"/>
        <v>350.78</v>
      </c>
      <c r="J82" s="120">
        <f t="shared" si="3"/>
        <v>368.41</v>
      </c>
      <c r="K82" s="242">
        <v>6.0003800114003303E-2</v>
      </c>
      <c r="L82" s="63">
        <f t="shared" ref="L82:L87" si="11">ROUND(ROUND(ROUND(G82*12,2)*43/48,2)*1.07,2)</f>
        <v>302.69</v>
      </c>
      <c r="M82" s="63">
        <f t="shared" ref="M82:M87" si="12">ROUND(ROUND(G82*12,2)*2/3,2)</f>
        <v>210.52</v>
      </c>
      <c r="N82" s="63">
        <f t="shared" ref="N82:N87" si="13">ROUND(ROUND(G82*13.33,2)*2/3,2)</f>
        <v>233.85</v>
      </c>
      <c r="O82" s="63">
        <f t="shared" ref="O82:O87" si="14">ROUND(ROUND(G82*14,2)*2/3,2)</f>
        <v>245.61</v>
      </c>
    </row>
    <row r="83" spans="1:15">
      <c r="A83" s="238" t="s">
        <v>195</v>
      </c>
      <c r="B83" s="239">
        <f t="shared" si="8"/>
        <v>0.25</v>
      </c>
      <c r="C83" s="243">
        <v>10</v>
      </c>
      <c r="D83" s="240" t="s">
        <v>29</v>
      </c>
      <c r="E83" s="238" t="s">
        <v>137</v>
      </c>
      <c r="F83" s="208" t="s">
        <v>89</v>
      </c>
      <c r="G83" s="241">
        <v>25.731999999999999</v>
      </c>
      <c r="H83" s="120">
        <f t="shared" si="1"/>
        <v>308.77999999999997</v>
      </c>
      <c r="I83" s="68">
        <f t="shared" si="2"/>
        <v>343.01</v>
      </c>
      <c r="J83" s="120">
        <f t="shared" si="3"/>
        <v>360.25</v>
      </c>
      <c r="K83" s="242">
        <v>5.0015544846883309E-2</v>
      </c>
      <c r="L83" s="63">
        <f t="shared" si="11"/>
        <v>295.98</v>
      </c>
      <c r="M83" s="63">
        <f t="shared" si="12"/>
        <v>205.85</v>
      </c>
      <c r="N83" s="63">
        <f t="shared" si="13"/>
        <v>228.67</v>
      </c>
      <c r="O83" s="63">
        <f t="shared" si="14"/>
        <v>240.17</v>
      </c>
    </row>
    <row r="84" spans="1:15">
      <c r="A84" s="238" t="s">
        <v>195</v>
      </c>
      <c r="B84" s="239">
        <f t="shared" si="8"/>
        <v>0.3</v>
      </c>
      <c r="C84" s="243">
        <v>12</v>
      </c>
      <c r="D84" s="240" t="s">
        <v>29</v>
      </c>
      <c r="E84" s="238" t="s">
        <v>137</v>
      </c>
      <c r="F84" s="208" t="s">
        <v>167</v>
      </c>
      <c r="G84" s="241">
        <v>28.338999999999999</v>
      </c>
      <c r="H84" s="120">
        <f t="shared" si="1"/>
        <v>340.07</v>
      </c>
      <c r="I84" s="68">
        <f t="shared" si="2"/>
        <v>377.76</v>
      </c>
      <c r="J84" s="120">
        <f t="shared" si="3"/>
        <v>396.75</v>
      </c>
      <c r="K84" s="242">
        <v>5.998800239952029E-2</v>
      </c>
      <c r="L84" s="63">
        <f t="shared" si="11"/>
        <v>325.98</v>
      </c>
      <c r="M84" s="63">
        <f t="shared" si="12"/>
        <v>226.71</v>
      </c>
      <c r="N84" s="63">
        <f t="shared" si="13"/>
        <v>251.84</v>
      </c>
      <c r="O84" s="63">
        <f t="shared" si="14"/>
        <v>264.5</v>
      </c>
    </row>
    <row r="85" spans="1:15">
      <c r="A85" s="238" t="s">
        <v>195</v>
      </c>
      <c r="B85" s="239">
        <f t="shared" si="8"/>
        <v>0.38</v>
      </c>
      <c r="C85" s="243">
        <v>15</v>
      </c>
      <c r="D85" s="240" t="s">
        <v>29</v>
      </c>
      <c r="E85" s="238" t="s">
        <v>137</v>
      </c>
      <c r="F85" s="208" t="s">
        <v>90</v>
      </c>
      <c r="G85" s="241">
        <v>28.338999999999999</v>
      </c>
      <c r="H85" s="120">
        <f t="shared" si="1"/>
        <v>340.07</v>
      </c>
      <c r="I85" s="68">
        <f t="shared" si="2"/>
        <v>377.76</v>
      </c>
      <c r="J85" s="120">
        <f t="shared" si="3"/>
        <v>396.75</v>
      </c>
      <c r="K85" s="242">
        <v>5.998800239952029E-2</v>
      </c>
      <c r="L85" s="63">
        <f t="shared" si="11"/>
        <v>325.98</v>
      </c>
      <c r="M85" s="63">
        <f t="shared" si="12"/>
        <v>226.71</v>
      </c>
      <c r="N85" s="63">
        <f t="shared" si="13"/>
        <v>251.84</v>
      </c>
      <c r="O85" s="63">
        <f t="shared" si="14"/>
        <v>264.5</v>
      </c>
    </row>
    <row r="86" spans="1:15">
      <c r="A86" s="238" t="s">
        <v>195</v>
      </c>
      <c r="B86" s="239">
        <f t="shared" si="8"/>
        <v>0.51</v>
      </c>
      <c r="C86" s="243">
        <v>20</v>
      </c>
      <c r="D86" s="240" t="s">
        <v>29</v>
      </c>
      <c r="E86" s="238" t="s">
        <v>137</v>
      </c>
      <c r="F86" s="208" t="s">
        <v>129</v>
      </c>
      <c r="G86" s="241">
        <v>32.557000000000002</v>
      </c>
      <c r="H86" s="120">
        <f t="shared" si="1"/>
        <v>390.68</v>
      </c>
      <c r="I86" s="68">
        <f t="shared" si="2"/>
        <v>433.98</v>
      </c>
      <c r="J86" s="120">
        <f t="shared" si="3"/>
        <v>455.8</v>
      </c>
      <c r="K86" s="242">
        <v>5.9987099548484135E-2</v>
      </c>
      <c r="L86" s="63">
        <f t="shared" si="11"/>
        <v>374.48</v>
      </c>
      <c r="M86" s="63">
        <f t="shared" si="12"/>
        <v>260.45</v>
      </c>
      <c r="N86" s="63">
        <f t="shared" si="13"/>
        <v>289.32</v>
      </c>
      <c r="O86" s="63">
        <f t="shared" si="14"/>
        <v>303.87</v>
      </c>
    </row>
    <row r="87" spans="1:15">
      <c r="A87" s="238" t="s">
        <v>195</v>
      </c>
      <c r="B87" s="239">
        <f t="shared" ref="B87" si="15">ROUND(C87*0.0254,2)</f>
        <v>0.94</v>
      </c>
      <c r="C87" s="243">
        <v>37</v>
      </c>
      <c r="D87" s="240" t="s">
        <v>29</v>
      </c>
      <c r="E87" s="238" t="s">
        <v>137</v>
      </c>
      <c r="F87" s="208" t="s">
        <v>132</v>
      </c>
      <c r="G87" s="241">
        <v>51.28</v>
      </c>
      <c r="H87" s="120">
        <f t="shared" si="1"/>
        <v>615.36</v>
      </c>
      <c r="I87" s="68">
        <f t="shared" si="2"/>
        <v>683.56</v>
      </c>
      <c r="J87" s="120">
        <f t="shared" si="3"/>
        <v>717.92</v>
      </c>
      <c r="K87" s="242">
        <v>6.0003900156006207E-2</v>
      </c>
      <c r="L87" s="63">
        <f t="shared" si="11"/>
        <v>589.85</v>
      </c>
      <c r="M87" s="63">
        <f t="shared" si="12"/>
        <v>410.24</v>
      </c>
      <c r="N87" s="63">
        <f t="shared" si="13"/>
        <v>455.71</v>
      </c>
      <c r="O87" s="63">
        <f t="shared" si="14"/>
        <v>478.61</v>
      </c>
    </row>
    <row r="88" spans="1:15">
      <c r="A88" s="238"/>
      <c r="B88" s="238"/>
      <c r="C88" s="243"/>
      <c r="D88" s="239"/>
      <c r="E88" s="208"/>
      <c r="F88" s="238"/>
      <c r="G88" s="240"/>
      <c r="H88" s="241"/>
      <c r="I88" s="120"/>
      <c r="J88" s="120"/>
      <c r="K88" s="120"/>
    </row>
    <row r="89" spans="1:15" ht="22.2" customHeight="1">
      <c r="A89" s="245" t="s">
        <v>197</v>
      </c>
      <c r="B89" s="246"/>
      <c r="C89" s="246"/>
      <c r="D89" s="246"/>
      <c r="E89" s="246"/>
      <c r="F89" s="246"/>
      <c r="G89" s="246"/>
      <c r="H89" s="246"/>
      <c r="I89" s="246"/>
      <c r="J89" s="246"/>
      <c r="K89" s="247"/>
    </row>
    <row r="90" spans="1:15" ht="19.2" customHeight="1">
      <c r="A90" s="248" t="s">
        <v>189</v>
      </c>
      <c r="B90" s="159" t="s">
        <v>31</v>
      </c>
      <c r="C90" s="248" t="s">
        <v>190</v>
      </c>
      <c r="D90" s="159" t="s">
        <v>33</v>
      </c>
      <c r="E90" s="159" t="s">
        <v>34</v>
      </c>
      <c r="F90" s="159" t="s">
        <v>35</v>
      </c>
      <c r="G90" s="159" t="s">
        <v>36</v>
      </c>
      <c r="H90" s="159" t="s">
        <v>37</v>
      </c>
      <c r="I90" s="140" t="s">
        <v>38</v>
      </c>
      <c r="J90" s="249"/>
      <c r="K90" s="159" t="s">
        <v>23</v>
      </c>
    </row>
    <row r="91" spans="1:15">
      <c r="A91" s="250" t="s">
        <v>198</v>
      </c>
      <c r="B91" s="250">
        <v>106</v>
      </c>
      <c r="C91" s="251">
        <v>74</v>
      </c>
      <c r="D91" s="213" t="s">
        <v>40</v>
      </c>
      <c r="E91" s="214" t="s">
        <v>41</v>
      </c>
      <c r="F91" s="13">
        <v>3937</v>
      </c>
      <c r="G91" s="252">
        <v>3.4329999999999998</v>
      </c>
      <c r="H91" s="215">
        <f t="shared" ref="H91:H119" si="16">ROUND(G91*13.124,2)</f>
        <v>45.05</v>
      </c>
      <c r="I91" s="253">
        <f>ROUND(G91*F91,2)</f>
        <v>13515.72</v>
      </c>
      <c r="J91" s="254"/>
      <c r="K91" s="255">
        <v>0</v>
      </c>
    </row>
    <row r="92" spans="1:15">
      <c r="A92" s="250" t="s">
        <v>198</v>
      </c>
      <c r="B92" s="250">
        <v>106</v>
      </c>
      <c r="C92" s="251">
        <v>76</v>
      </c>
      <c r="D92" s="213" t="s">
        <v>40</v>
      </c>
      <c r="E92" s="214" t="s">
        <v>41</v>
      </c>
      <c r="F92" s="13">
        <v>3937</v>
      </c>
      <c r="G92" s="252">
        <v>3.4980000000000002</v>
      </c>
      <c r="H92" s="215">
        <f t="shared" si="16"/>
        <v>45.91</v>
      </c>
      <c r="I92" s="253">
        <f t="shared" ref="I92:I119" si="17">ROUND(G92*F92,2)</f>
        <v>13771.63</v>
      </c>
      <c r="J92" s="254"/>
      <c r="K92" s="255">
        <v>0</v>
      </c>
    </row>
    <row r="93" spans="1:15">
      <c r="A93" s="250" t="s">
        <v>198</v>
      </c>
      <c r="B93" s="250">
        <v>106</v>
      </c>
      <c r="C93" s="251">
        <v>79</v>
      </c>
      <c r="D93" s="213" t="s">
        <v>40</v>
      </c>
      <c r="E93" s="214" t="s">
        <v>41</v>
      </c>
      <c r="F93" s="13">
        <v>3937</v>
      </c>
      <c r="G93" s="252">
        <v>3.5619999999999998</v>
      </c>
      <c r="H93" s="215">
        <f t="shared" si="16"/>
        <v>46.75</v>
      </c>
      <c r="I93" s="253">
        <f t="shared" si="17"/>
        <v>14023.59</v>
      </c>
      <c r="J93" s="254"/>
      <c r="K93" s="255">
        <v>0</v>
      </c>
    </row>
    <row r="94" spans="1:15">
      <c r="A94" s="250" t="s">
        <v>198</v>
      </c>
      <c r="B94" s="250">
        <v>106</v>
      </c>
      <c r="C94" s="251">
        <v>79.5</v>
      </c>
      <c r="D94" s="213" t="s">
        <v>40</v>
      </c>
      <c r="E94" s="214" t="s">
        <v>41</v>
      </c>
      <c r="F94" s="13">
        <v>3937</v>
      </c>
      <c r="G94" s="252">
        <v>3.5619999999999998</v>
      </c>
      <c r="H94" s="215">
        <f t="shared" si="16"/>
        <v>46.75</v>
      </c>
      <c r="I94" s="253">
        <f t="shared" si="17"/>
        <v>14023.59</v>
      </c>
      <c r="J94" s="254"/>
      <c r="K94" s="255">
        <v>0</v>
      </c>
    </row>
    <row r="95" spans="1:15">
      <c r="A95" s="250" t="s">
        <v>198</v>
      </c>
      <c r="B95" s="250">
        <v>106</v>
      </c>
      <c r="C95" s="251">
        <v>81</v>
      </c>
      <c r="D95" s="213" t="s">
        <v>40</v>
      </c>
      <c r="E95" s="214" t="s">
        <v>41</v>
      </c>
      <c r="F95" s="13">
        <v>3937</v>
      </c>
      <c r="G95" s="252">
        <v>3.6269999999999998</v>
      </c>
      <c r="H95" s="215">
        <f t="shared" si="16"/>
        <v>47.6</v>
      </c>
      <c r="I95" s="253">
        <f t="shared" si="17"/>
        <v>14279.5</v>
      </c>
      <c r="J95" s="254"/>
      <c r="K95" s="255">
        <v>0</v>
      </c>
    </row>
    <row r="96" spans="1:15">
      <c r="A96" s="250" t="s">
        <v>198</v>
      </c>
      <c r="B96" s="250">
        <v>106</v>
      </c>
      <c r="C96" s="251">
        <v>83</v>
      </c>
      <c r="D96" s="213" t="s">
        <v>40</v>
      </c>
      <c r="E96" s="214" t="s">
        <v>41</v>
      </c>
      <c r="F96" s="13">
        <v>3937</v>
      </c>
      <c r="G96" s="252">
        <v>3.6920000000000002</v>
      </c>
      <c r="H96" s="215">
        <f t="shared" si="16"/>
        <v>48.45</v>
      </c>
      <c r="I96" s="253">
        <f t="shared" si="17"/>
        <v>14535.4</v>
      </c>
      <c r="J96" s="254"/>
      <c r="K96" s="255">
        <v>0</v>
      </c>
    </row>
    <row r="97" spans="1:11">
      <c r="A97" s="250" t="s">
        <v>198</v>
      </c>
      <c r="B97" s="250">
        <v>1067</v>
      </c>
      <c r="C97" s="251">
        <v>72</v>
      </c>
      <c r="D97" s="213" t="s">
        <v>40</v>
      </c>
      <c r="E97" s="214" t="s">
        <v>41</v>
      </c>
      <c r="F97" s="13">
        <v>3937</v>
      </c>
      <c r="G97" s="252">
        <v>3.645</v>
      </c>
      <c r="H97" s="215">
        <f t="shared" si="16"/>
        <v>47.84</v>
      </c>
      <c r="I97" s="253">
        <f t="shared" si="17"/>
        <v>14350.37</v>
      </c>
      <c r="J97" s="254"/>
      <c r="K97" s="255">
        <v>0</v>
      </c>
    </row>
    <row r="98" spans="1:11">
      <c r="A98" s="250" t="s">
        <v>198</v>
      </c>
      <c r="B98" s="250">
        <v>1067</v>
      </c>
      <c r="C98" s="251">
        <v>74</v>
      </c>
      <c r="D98" s="213" t="s">
        <v>40</v>
      </c>
      <c r="E98" s="214" t="s">
        <v>41</v>
      </c>
      <c r="F98" s="13">
        <v>3937</v>
      </c>
      <c r="G98" s="252">
        <v>3.7719999999999998</v>
      </c>
      <c r="H98" s="215">
        <f t="shared" si="16"/>
        <v>49.5</v>
      </c>
      <c r="I98" s="253">
        <f t="shared" si="17"/>
        <v>14850.36</v>
      </c>
      <c r="J98" s="254"/>
      <c r="K98" s="255">
        <v>0</v>
      </c>
    </row>
    <row r="99" spans="1:11">
      <c r="A99" s="62" t="s">
        <v>198</v>
      </c>
      <c r="B99" s="62">
        <v>1080</v>
      </c>
      <c r="C99" s="256">
        <v>67</v>
      </c>
      <c r="D99" s="213" t="s">
        <v>40</v>
      </c>
      <c r="E99" s="214" t="s">
        <v>41</v>
      </c>
      <c r="F99" s="13">
        <v>3937</v>
      </c>
      <c r="G99" s="257">
        <v>3.0350000000000001</v>
      </c>
      <c r="H99" s="46">
        <f t="shared" si="16"/>
        <v>39.83</v>
      </c>
      <c r="I99" s="258">
        <f t="shared" si="17"/>
        <v>11948.8</v>
      </c>
      <c r="J99" s="259"/>
      <c r="K99" s="255">
        <v>0</v>
      </c>
    </row>
    <row r="100" spans="1:11">
      <c r="A100" s="62" t="s">
        <v>198</v>
      </c>
      <c r="B100" s="62">
        <v>1080</v>
      </c>
      <c r="C100" s="256">
        <v>68</v>
      </c>
      <c r="D100" s="213" t="s">
        <v>40</v>
      </c>
      <c r="E100" s="214" t="s">
        <v>41</v>
      </c>
      <c r="F100" s="13">
        <v>3937</v>
      </c>
      <c r="G100" s="257">
        <v>3.0910000000000002</v>
      </c>
      <c r="H100" s="46">
        <f t="shared" si="16"/>
        <v>40.57</v>
      </c>
      <c r="I100" s="258">
        <f t="shared" si="17"/>
        <v>12169.27</v>
      </c>
      <c r="J100" s="259"/>
      <c r="K100" s="255">
        <v>0</v>
      </c>
    </row>
    <row r="101" spans="1:11">
      <c r="A101" s="62" t="s">
        <v>198</v>
      </c>
      <c r="B101" s="62">
        <v>1080</v>
      </c>
      <c r="C101" s="256">
        <v>68.5</v>
      </c>
      <c r="D101" s="213" t="s">
        <v>40</v>
      </c>
      <c r="E101" s="214" t="s">
        <v>41</v>
      </c>
      <c r="F101" s="13">
        <v>3937</v>
      </c>
      <c r="G101" s="257">
        <v>3.0910000000000002</v>
      </c>
      <c r="H101" s="46">
        <f t="shared" si="16"/>
        <v>40.57</v>
      </c>
      <c r="I101" s="258">
        <f t="shared" si="17"/>
        <v>12169.27</v>
      </c>
      <c r="J101" s="259"/>
      <c r="K101" s="255">
        <v>0</v>
      </c>
    </row>
    <row r="102" spans="1:11">
      <c r="A102" s="62" t="s">
        <v>198</v>
      </c>
      <c r="B102" s="62">
        <v>1080</v>
      </c>
      <c r="C102" s="256">
        <v>69</v>
      </c>
      <c r="D102" s="213" t="s">
        <v>40</v>
      </c>
      <c r="E102" s="214" t="s">
        <v>41</v>
      </c>
      <c r="F102" s="13">
        <v>3937</v>
      </c>
      <c r="G102" s="257">
        <v>3.0910000000000002</v>
      </c>
      <c r="H102" s="46">
        <f t="shared" si="16"/>
        <v>40.57</v>
      </c>
      <c r="I102" s="258">
        <f t="shared" si="17"/>
        <v>12169.27</v>
      </c>
      <c r="J102" s="259"/>
      <c r="K102" s="255">
        <v>0</v>
      </c>
    </row>
    <row r="103" spans="1:11">
      <c r="A103" s="62" t="s">
        <v>198</v>
      </c>
      <c r="B103" s="62">
        <v>1080</v>
      </c>
      <c r="C103" s="256">
        <v>70</v>
      </c>
      <c r="D103" s="213" t="s">
        <v>40</v>
      </c>
      <c r="E103" s="214" t="s">
        <v>41</v>
      </c>
      <c r="F103" s="13">
        <v>3937</v>
      </c>
      <c r="G103" s="257">
        <v>3.0910000000000002</v>
      </c>
      <c r="H103" s="46">
        <f t="shared" si="16"/>
        <v>40.57</v>
      </c>
      <c r="I103" s="258">
        <f t="shared" si="17"/>
        <v>12169.27</v>
      </c>
      <c r="J103" s="259"/>
      <c r="K103" s="255">
        <v>0</v>
      </c>
    </row>
    <row r="104" spans="1:11">
      <c r="A104" s="62" t="s">
        <v>198</v>
      </c>
      <c r="B104" s="62">
        <v>1080</v>
      </c>
      <c r="C104" s="256">
        <v>71.5</v>
      </c>
      <c r="D104" s="213" t="s">
        <v>40</v>
      </c>
      <c r="E104" s="214" t="s">
        <v>41</v>
      </c>
      <c r="F104" s="13">
        <v>3937</v>
      </c>
      <c r="G104" s="257">
        <v>3.0910000000000002</v>
      </c>
      <c r="H104" s="46">
        <f t="shared" si="16"/>
        <v>40.57</v>
      </c>
      <c r="I104" s="258">
        <f t="shared" si="17"/>
        <v>12169.27</v>
      </c>
      <c r="J104" s="259"/>
      <c r="K104" s="255">
        <v>0</v>
      </c>
    </row>
    <row r="105" spans="1:11">
      <c r="A105" s="62" t="s">
        <v>198</v>
      </c>
      <c r="B105" s="62">
        <v>1080</v>
      </c>
      <c r="C105" s="256">
        <v>72</v>
      </c>
      <c r="D105" s="213" t="s">
        <v>40</v>
      </c>
      <c r="E105" s="214" t="s">
        <v>41</v>
      </c>
      <c r="F105" s="13">
        <v>3937</v>
      </c>
      <c r="G105" s="257">
        <v>3.17</v>
      </c>
      <c r="H105" s="46">
        <f t="shared" si="16"/>
        <v>41.6</v>
      </c>
      <c r="I105" s="258">
        <f t="shared" si="17"/>
        <v>12480.29</v>
      </c>
      <c r="J105" s="259"/>
      <c r="K105" s="255">
        <v>0</v>
      </c>
    </row>
    <row r="106" spans="1:11">
      <c r="A106" s="62" t="s">
        <v>198</v>
      </c>
      <c r="B106" s="62">
        <v>1080</v>
      </c>
      <c r="C106" s="256">
        <v>73</v>
      </c>
      <c r="D106" s="213" t="s">
        <v>40</v>
      </c>
      <c r="E106" s="214" t="s">
        <v>41</v>
      </c>
      <c r="F106" s="13">
        <v>3937</v>
      </c>
      <c r="G106" s="257">
        <v>3.2490000000000001</v>
      </c>
      <c r="H106" s="46">
        <f t="shared" si="16"/>
        <v>42.64</v>
      </c>
      <c r="I106" s="258">
        <f t="shared" si="17"/>
        <v>12791.31</v>
      </c>
      <c r="J106" s="259"/>
      <c r="K106" s="255">
        <v>0</v>
      </c>
    </row>
    <row r="107" spans="1:11">
      <c r="A107" s="250" t="s">
        <v>198</v>
      </c>
      <c r="B107" s="250">
        <v>1080</v>
      </c>
      <c r="C107" s="251">
        <v>76</v>
      </c>
      <c r="D107" s="213" t="s">
        <v>40</v>
      </c>
      <c r="E107" s="214" t="s">
        <v>41</v>
      </c>
      <c r="F107" s="13">
        <v>3937</v>
      </c>
      <c r="G107" s="252">
        <v>3.2</v>
      </c>
      <c r="H107" s="215">
        <f t="shared" si="16"/>
        <v>42</v>
      </c>
      <c r="I107" s="253">
        <f t="shared" si="17"/>
        <v>12598.4</v>
      </c>
      <c r="J107" s="254"/>
      <c r="K107" s="255">
        <v>0</v>
      </c>
    </row>
    <row r="108" spans="1:11">
      <c r="A108" s="62" t="s">
        <v>198</v>
      </c>
      <c r="B108" s="62">
        <v>1078</v>
      </c>
      <c r="C108" s="256">
        <v>67</v>
      </c>
      <c r="D108" s="213" t="s">
        <v>40</v>
      </c>
      <c r="E108" s="214" t="s">
        <v>41</v>
      </c>
      <c r="F108" s="13">
        <v>3937</v>
      </c>
      <c r="G108" s="257">
        <v>3.2010000000000005</v>
      </c>
      <c r="H108" s="46">
        <f t="shared" si="16"/>
        <v>42.01</v>
      </c>
      <c r="I108" s="258">
        <f t="shared" si="17"/>
        <v>12602.34</v>
      </c>
      <c r="J108" s="259"/>
      <c r="K108" s="260">
        <v>0.1</v>
      </c>
    </row>
    <row r="109" spans="1:11">
      <c r="A109" s="62" t="s">
        <v>198</v>
      </c>
      <c r="B109" s="62">
        <v>1078</v>
      </c>
      <c r="C109" s="256">
        <v>71</v>
      </c>
      <c r="D109" s="213" t="s">
        <v>40</v>
      </c>
      <c r="E109" s="214" t="s">
        <v>41</v>
      </c>
      <c r="F109" s="13">
        <v>3937</v>
      </c>
      <c r="G109" s="257">
        <v>3.2490000000000001</v>
      </c>
      <c r="H109" s="46">
        <f t="shared" si="16"/>
        <v>42.64</v>
      </c>
      <c r="I109" s="258">
        <f t="shared" si="17"/>
        <v>12791.31</v>
      </c>
      <c r="J109" s="259"/>
      <c r="K109" s="255">
        <v>0</v>
      </c>
    </row>
    <row r="110" spans="1:11">
      <c r="A110" s="62" t="s">
        <v>198</v>
      </c>
      <c r="B110" s="62">
        <v>1078</v>
      </c>
      <c r="C110" s="256">
        <v>73</v>
      </c>
      <c r="D110" s="213" t="s">
        <v>40</v>
      </c>
      <c r="E110" s="214" t="s">
        <v>41</v>
      </c>
      <c r="F110" s="13">
        <v>3937</v>
      </c>
      <c r="G110" s="261">
        <v>3.3780000000000001</v>
      </c>
      <c r="H110" s="46">
        <f t="shared" si="16"/>
        <v>44.33</v>
      </c>
      <c r="I110" s="258">
        <f t="shared" si="17"/>
        <v>13299.19</v>
      </c>
      <c r="J110" s="259"/>
      <c r="K110" s="255">
        <v>0</v>
      </c>
    </row>
    <row r="111" spans="1:11">
      <c r="A111" s="62" t="s">
        <v>198</v>
      </c>
      <c r="B111" s="62" t="s">
        <v>42</v>
      </c>
      <c r="C111" s="256">
        <v>59.5</v>
      </c>
      <c r="D111" s="213" t="s">
        <v>40</v>
      </c>
      <c r="E111" s="214" t="s">
        <v>41</v>
      </c>
      <c r="F111" s="13">
        <v>3937</v>
      </c>
      <c r="G111" s="257">
        <v>3.7789999999999999</v>
      </c>
      <c r="H111" s="46">
        <f t="shared" si="16"/>
        <v>49.6</v>
      </c>
      <c r="I111" s="258">
        <f t="shared" si="17"/>
        <v>14877.92</v>
      </c>
      <c r="J111" s="259"/>
      <c r="K111" s="255">
        <v>0</v>
      </c>
    </row>
    <row r="112" spans="1:11">
      <c r="A112" s="62" t="s">
        <v>198</v>
      </c>
      <c r="B112" s="62" t="s">
        <v>42</v>
      </c>
      <c r="C112" s="256">
        <v>61</v>
      </c>
      <c r="D112" s="213" t="s">
        <v>40</v>
      </c>
      <c r="E112" s="214" t="s">
        <v>41</v>
      </c>
      <c r="F112" s="13">
        <v>3937</v>
      </c>
      <c r="G112" s="257">
        <v>3.8220000000000001</v>
      </c>
      <c r="H112" s="46">
        <f t="shared" si="16"/>
        <v>50.16</v>
      </c>
      <c r="I112" s="258">
        <f t="shared" si="17"/>
        <v>15047.21</v>
      </c>
      <c r="J112" s="259"/>
      <c r="K112" s="255">
        <v>0</v>
      </c>
    </row>
    <row r="113" spans="1:11">
      <c r="A113" s="62" t="s">
        <v>198</v>
      </c>
      <c r="B113" s="62" t="s">
        <v>42</v>
      </c>
      <c r="C113" s="256">
        <v>63</v>
      </c>
      <c r="D113" s="213" t="s">
        <v>40</v>
      </c>
      <c r="E113" s="214" t="s">
        <v>41</v>
      </c>
      <c r="F113" s="13">
        <v>3937</v>
      </c>
      <c r="G113" s="257">
        <v>3.8660000000000001</v>
      </c>
      <c r="H113" s="46">
        <f t="shared" si="16"/>
        <v>50.74</v>
      </c>
      <c r="I113" s="258">
        <f t="shared" si="17"/>
        <v>15220.44</v>
      </c>
      <c r="J113" s="259"/>
      <c r="K113" s="255">
        <v>0</v>
      </c>
    </row>
    <row r="114" spans="1:11">
      <c r="A114" s="62" t="s">
        <v>198</v>
      </c>
      <c r="B114" s="62" t="s">
        <v>42</v>
      </c>
      <c r="C114" s="256">
        <v>65</v>
      </c>
      <c r="D114" s="213" t="s">
        <v>40</v>
      </c>
      <c r="E114" s="214" t="s">
        <v>41</v>
      </c>
      <c r="F114" s="13">
        <v>3937</v>
      </c>
      <c r="G114" s="257">
        <v>3.9089999999999998</v>
      </c>
      <c r="H114" s="46">
        <f t="shared" si="16"/>
        <v>51.3</v>
      </c>
      <c r="I114" s="258">
        <f t="shared" si="17"/>
        <v>15389.73</v>
      </c>
      <c r="J114" s="259"/>
      <c r="K114" s="255">
        <v>0</v>
      </c>
    </row>
    <row r="115" spans="1:11">
      <c r="A115" s="62" t="s">
        <v>198</v>
      </c>
      <c r="B115" s="62">
        <v>2116</v>
      </c>
      <c r="C115" s="256">
        <v>54</v>
      </c>
      <c r="D115" s="213" t="s">
        <v>43</v>
      </c>
      <c r="E115" s="214" t="s">
        <v>41</v>
      </c>
      <c r="F115" s="62">
        <v>2624.6</v>
      </c>
      <c r="G115" s="257">
        <v>3.7639999999999998</v>
      </c>
      <c r="H115" s="46">
        <f t="shared" si="16"/>
        <v>49.4</v>
      </c>
      <c r="I115" s="258">
        <f t="shared" si="17"/>
        <v>9878.99</v>
      </c>
      <c r="J115" s="259"/>
      <c r="K115" s="255">
        <v>0</v>
      </c>
    </row>
    <row r="116" spans="1:11">
      <c r="A116" s="262" t="s">
        <v>198</v>
      </c>
      <c r="B116" s="262">
        <v>2116</v>
      </c>
      <c r="C116" s="263">
        <v>55.500000000000007</v>
      </c>
      <c r="D116" s="264" t="s">
        <v>43</v>
      </c>
      <c r="E116" s="265" t="s">
        <v>41</v>
      </c>
      <c r="F116" s="262">
        <v>2624.6</v>
      </c>
      <c r="G116" s="257">
        <v>3.84</v>
      </c>
      <c r="H116" s="46">
        <f t="shared" si="16"/>
        <v>50.4</v>
      </c>
      <c r="I116" s="258">
        <f t="shared" si="17"/>
        <v>10078.459999999999</v>
      </c>
      <c r="J116" s="259"/>
      <c r="K116" s="255">
        <v>0</v>
      </c>
    </row>
    <row r="117" spans="1:11">
      <c r="A117" s="262" t="s">
        <v>198</v>
      </c>
      <c r="B117" s="262">
        <v>2116</v>
      </c>
      <c r="C117" s="263">
        <v>59</v>
      </c>
      <c r="D117" s="264" t="s">
        <v>43</v>
      </c>
      <c r="E117" s="265" t="s">
        <v>41</v>
      </c>
      <c r="F117" s="262">
        <v>2624.6</v>
      </c>
      <c r="G117" s="257">
        <v>3.9529999999999998</v>
      </c>
      <c r="H117" s="46">
        <f t="shared" si="16"/>
        <v>51.88</v>
      </c>
      <c r="I117" s="258">
        <f t="shared" si="17"/>
        <v>10375.040000000001</v>
      </c>
      <c r="J117" s="259"/>
      <c r="K117" s="255">
        <v>0</v>
      </c>
    </row>
    <row r="118" spans="1:11">
      <c r="A118" s="262" t="s">
        <v>198</v>
      </c>
      <c r="B118" s="262">
        <v>2116</v>
      </c>
      <c r="C118" s="263">
        <v>60</v>
      </c>
      <c r="D118" s="264" t="s">
        <v>43</v>
      </c>
      <c r="E118" s="265" t="s">
        <v>41</v>
      </c>
      <c r="F118" s="262">
        <v>2624.6</v>
      </c>
      <c r="G118" s="257">
        <v>3.99</v>
      </c>
      <c r="H118" s="46">
        <f t="shared" si="16"/>
        <v>52.36</v>
      </c>
      <c r="I118" s="258">
        <f t="shared" si="17"/>
        <v>10472.15</v>
      </c>
      <c r="J118" s="259"/>
      <c r="K118" s="255">
        <v>0</v>
      </c>
    </row>
    <row r="119" spans="1:11">
      <c r="A119" s="262" t="s">
        <v>198</v>
      </c>
      <c r="B119" s="262">
        <v>2116</v>
      </c>
      <c r="C119" s="263">
        <v>62</v>
      </c>
      <c r="D119" s="264" t="s">
        <v>43</v>
      </c>
      <c r="E119" s="265" t="s">
        <v>41</v>
      </c>
      <c r="F119" s="262">
        <v>2624.6</v>
      </c>
      <c r="G119" s="257">
        <v>3.99</v>
      </c>
      <c r="H119" s="46">
        <f t="shared" si="16"/>
        <v>52.36</v>
      </c>
      <c r="I119" s="258">
        <f t="shared" si="17"/>
        <v>10472.15</v>
      </c>
      <c r="J119" s="259"/>
      <c r="K119" s="255">
        <v>0</v>
      </c>
    </row>
    <row r="121" spans="1:11">
      <c r="A121" s="4" t="s">
        <v>45</v>
      </c>
      <c r="B121" s="4"/>
      <c r="C121" s="21"/>
      <c r="D121" s="21"/>
      <c r="E121" s="21"/>
      <c r="F121" s="21"/>
      <c r="G121" s="21"/>
      <c r="H121" s="21"/>
      <c r="I121" s="21"/>
      <c r="J121" s="230"/>
      <c r="K121" s="230"/>
    </row>
    <row r="122" spans="1:11">
      <c r="A122" s="21" t="s">
        <v>46</v>
      </c>
      <c r="B122" s="21"/>
      <c r="C122" s="21"/>
      <c r="D122" s="21"/>
      <c r="E122" s="21"/>
      <c r="F122" s="21"/>
      <c r="G122" s="21"/>
      <c r="H122" s="21"/>
      <c r="I122" s="21"/>
      <c r="J122" s="230"/>
      <c r="K122" s="230"/>
    </row>
    <row r="123" spans="1:11">
      <c r="A123" s="24" t="s">
        <v>199</v>
      </c>
      <c r="B123" s="24"/>
      <c r="C123" s="21"/>
      <c r="D123" s="21"/>
      <c r="E123" s="21"/>
      <c r="F123" s="21"/>
      <c r="G123" s="21"/>
      <c r="H123" s="21"/>
      <c r="I123" s="21"/>
      <c r="J123" s="230"/>
      <c r="K123" s="230"/>
    </row>
    <row r="124" spans="1:11">
      <c r="A124" s="24" t="s">
        <v>48</v>
      </c>
      <c r="B124" s="24"/>
      <c r="C124" s="21"/>
      <c r="D124" s="21"/>
      <c r="E124" s="21"/>
      <c r="F124" s="21"/>
      <c r="G124" s="21"/>
      <c r="H124" s="21"/>
      <c r="I124" s="21"/>
      <c r="J124" s="230"/>
      <c r="K124" s="230"/>
    </row>
    <row r="125" spans="1:11">
      <c r="A125" s="24" t="s">
        <v>49</v>
      </c>
      <c r="B125" s="24"/>
      <c r="C125" s="21"/>
      <c r="D125" s="21"/>
      <c r="E125" s="21"/>
      <c r="F125" s="21"/>
      <c r="G125" s="21"/>
      <c r="H125" s="21"/>
      <c r="I125" s="21"/>
      <c r="J125" s="230"/>
      <c r="K125" s="230"/>
    </row>
    <row r="126" spans="1:11">
      <c r="A126" s="231" t="s">
        <v>146</v>
      </c>
      <c r="B126" s="231"/>
      <c r="C126" s="21"/>
      <c r="D126" s="21"/>
      <c r="E126" s="21"/>
      <c r="F126" s="21"/>
      <c r="G126" s="21"/>
      <c r="H126" s="21"/>
      <c r="I126" s="21"/>
      <c r="J126" s="230"/>
      <c r="K126" s="230"/>
    </row>
    <row r="127" spans="1:11">
      <c r="A127" s="231" t="s">
        <v>78</v>
      </c>
      <c r="B127" s="231"/>
      <c r="C127" s="21"/>
      <c r="D127" s="21"/>
      <c r="E127" s="21"/>
      <c r="F127" s="21"/>
      <c r="G127" s="21"/>
      <c r="H127" s="21"/>
      <c r="I127" s="21"/>
      <c r="J127" s="230"/>
      <c r="K127" s="230"/>
    </row>
    <row r="128" spans="1:11">
      <c r="A128" s="232" t="s">
        <v>51</v>
      </c>
      <c r="B128" s="232"/>
      <c r="C128" s="230"/>
      <c r="D128" s="230"/>
      <c r="E128" s="230"/>
      <c r="F128" s="230"/>
      <c r="G128" s="230"/>
      <c r="H128" s="230"/>
      <c r="I128" s="230"/>
      <c r="J128" s="230"/>
      <c r="K128" s="230"/>
    </row>
    <row r="129" spans="1:11">
      <c r="A129" s="266"/>
      <c r="B129" s="266"/>
      <c r="C129" s="207"/>
      <c r="D129" s="207"/>
      <c r="E129" s="207"/>
      <c r="F129" s="207"/>
      <c r="G129" s="207"/>
      <c r="H129" s="207"/>
      <c r="I129" s="207"/>
      <c r="J129" s="207"/>
      <c r="K129" s="207"/>
    </row>
    <row r="130" spans="1:11" ht="15.6">
      <c r="A130" s="28" t="s">
        <v>200</v>
      </c>
      <c r="B130" s="28"/>
      <c r="C130" s="28"/>
      <c r="D130" s="29"/>
      <c r="E130" s="29"/>
      <c r="F130" s="29"/>
      <c r="G130" s="29"/>
      <c r="H130" s="30" t="s">
        <v>193</v>
      </c>
      <c r="J130" s="29"/>
      <c r="K130" s="29"/>
    </row>
  </sheetData>
  <mergeCells count="37">
    <mergeCell ref="I119:J119"/>
    <mergeCell ref="I113:J113"/>
    <mergeCell ref="I114:J114"/>
    <mergeCell ref="I115:J115"/>
    <mergeCell ref="I116:J116"/>
    <mergeCell ref="I117:J117"/>
    <mergeCell ref="I118:J118"/>
    <mergeCell ref="I107:J107"/>
    <mergeCell ref="I108:J108"/>
    <mergeCell ref="I109:J109"/>
    <mergeCell ref="I110:J110"/>
    <mergeCell ref="I111:J111"/>
    <mergeCell ref="I112:J112"/>
    <mergeCell ref="I101:J101"/>
    <mergeCell ref="I102:J102"/>
    <mergeCell ref="I103:J103"/>
    <mergeCell ref="I104:J104"/>
    <mergeCell ref="I105:J105"/>
    <mergeCell ref="I106:J106"/>
    <mergeCell ref="I95:J95"/>
    <mergeCell ref="I96:J96"/>
    <mergeCell ref="I97:J97"/>
    <mergeCell ref="I98:J98"/>
    <mergeCell ref="I99:J99"/>
    <mergeCell ref="I100:J100"/>
    <mergeCell ref="A89:K89"/>
    <mergeCell ref="I90:J90"/>
    <mergeCell ref="I91:J91"/>
    <mergeCell ref="I92:J92"/>
    <mergeCell ref="I93:J93"/>
    <mergeCell ref="I94:J94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E5C2-E3B9-42E3-9FDE-BC8765FFF207}">
  <dimension ref="A1:O236"/>
  <sheetViews>
    <sheetView workbookViewId="0">
      <selection activeCell="T19" sqref="T19"/>
    </sheetView>
  </sheetViews>
  <sheetFormatPr defaultColWidth="9" defaultRowHeight="13.8"/>
  <cols>
    <col min="1" max="11" width="8.09765625" style="1" customWidth="1"/>
    <col min="12" max="12" width="11" style="1" hidden="1" customWidth="1"/>
    <col min="13" max="13" width="12.09765625" style="1" hidden="1" customWidth="1"/>
    <col min="14" max="15" width="0" style="1" hidden="1" customWidth="1"/>
    <col min="16" max="16384" width="9" style="1"/>
  </cols>
  <sheetData>
    <row r="1" spans="1:15" ht="16.350000000000001" customHeight="1">
      <c r="C1" s="110"/>
      <c r="D1" s="110"/>
      <c r="E1" s="110"/>
      <c r="F1" s="110"/>
      <c r="G1" s="110"/>
      <c r="H1" s="110"/>
      <c r="I1" s="110"/>
      <c r="J1" s="110"/>
      <c r="K1" s="110"/>
    </row>
    <row r="2" spans="1:15" ht="74.400000000000006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5" ht="24" customHeight="1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5" ht="15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5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5" ht="15" customHeight="1">
      <c r="A6" s="4" t="s">
        <v>3</v>
      </c>
      <c r="B6" s="4" t="s">
        <v>4</v>
      </c>
      <c r="D6" s="5"/>
      <c r="E6" s="5"/>
      <c r="F6" s="5"/>
      <c r="G6" s="5"/>
      <c r="H6" s="5"/>
      <c r="I6" s="4" t="s">
        <v>5</v>
      </c>
      <c r="J6" s="4"/>
      <c r="K6" s="4"/>
    </row>
    <row r="7" spans="1:15" ht="15" customHeight="1">
      <c r="A7" s="4"/>
      <c r="B7" s="4" t="s">
        <v>6</v>
      </c>
      <c r="D7" s="5"/>
      <c r="E7" s="5"/>
      <c r="F7" s="5"/>
      <c r="G7" s="5"/>
      <c r="H7" s="5"/>
      <c r="I7" s="7" t="s">
        <v>7</v>
      </c>
      <c r="J7" s="7"/>
      <c r="K7" s="7"/>
    </row>
    <row r="8" spans="1:15" ht="15" customHeight="1">
      <c r="A8" s="4" t="s">
        <v>8</v>
      </c>
      <c r="B8" s="4" t="s">
        <v>9</v>
      </c>
      <c r="D8" s="5"/>
      <c r="E8" s="5"/>
      <c r="F8" s="5"/>
      <c r="G8" s="5"/>
      <c r="H8" s="5"/>
      <c r="I8" s="7" t="s">
        <v>80</v>
      </c>
      <c r="J8" s="7"/>
      <c r="K8" s="7"/>
    </row>
    <row r="9" spans="1:15" ht="15" customHeight="1">
      <c r="A9" s="4"/>
      <c r="B9" s="4" t="s">
        <v>10</v>
      </c>
      <c r="D9" s="5"/>
      <c r="E9" s="5"/>
      <c r="F9" s="5"/>
      <c r="G9" s="5"/>
      <c r="H9" s="5"/>
      <c r="I9" s="8" t="s">
        <v>11</v>
      </c>
      <c r="J9" s="4"/>
      <c r="K9" s="4"/>
    </row>
    <row r="10" spans="1:15" ht="15" customHeight="1">
      <c r="A10" s="4"/>
      <c r="B10" s="4"/>
      <c r="D10" s="5"/>
      <c r="E10" s="5"/>
      <c r="F10" s="5"/>
      <c r="G10" s="5"/>
      <c r="H10" s="5"/>
      <c r="I10" s="8"/>
      <c r="J10" s="4"/>
      <c r="K10" s="4"/>
    </row>
    <row r="11" spans="1:15" ht="28.2" customHeight="1">
      <c r="A11" s="102" t="s">
        <v>201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5" ht="25.8" customHeight="1">
      <c r="A12" s="78" t="s">
        <v>13</v>
      </c>
      <c r="B12" s="78" t="s">
        <v>14</v>
      </c>
      <c r="C12" s="78" t="s">
        <v>15</v>
      </c>
      <c r="D12" s="78" t="s">
        <v>16</v>
      </c>
      <c r="E12" s="78" t="s">
        <v>17</v>
      </c>
      <c r="F12" s="78" t="s">
        <v>18</v>
      </c>
      <c r="G12" s="78" t="s">
        <v>19</v>
      </c>
      <c r="H12" s="78" t="s">
        <v>20</v>
      </c>
      <c r="I12" s="78" t="s">
        <v>21</v>
      </c>
      <c r="J12" s="78" t="s">
        <v>22</v>
      </c>
      <c r="K12" s="78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 ht="15" customHeight="1">
      <c r="A13" s="9" t="s">
        <v>202</v>
      </c>
      <c r="B13" s="64">
        <f t="shared" ref="B13:B38" si="0">ROUND(C13*0.0254,2)</f>
        <v>0.08</v>
      </c>
      <c r="C13" s="31">
        <v>3</v>
      </c>
      <c r="D13" s="13" t="s">
        <v>25</v>
      </c>
      <c r="E13" s="13" t="s">
        <v>119</v>
      </c>
      <c r="F13" s="32" t="s">
        <v>81</v>
      </c>
      <c r="G13" s="66">
        <v>11.516000000000002</v>
      </c>
      <c r="H13" s="15">
        <f t="shared" ref="H13:H76" si="1">ROUND(G13*12,2)</f>
        <v>138.19</v>
      </c>
      <c r="I13" s="68">
        <f>ROUND(G13*13.33,2)</f>
        <v>153.51</v>
      </c>
      <c r="J13" s="15">
        <f t="shared" ref="J13:J76" si="2">ROUND(G13*14,2)</f>
        <v>161.22</v>
      </c>
      <c r="K13" s="71"/>
      <c r="L13" s="63">
        <f>ROUND(ROUND(ROUND(G13*12,2)*43/48,2)*1.07,2)</f>
        <v>132.47</v>
      </c>
      <c r="M13" s="63">
        <f>ROUND(ROUND(G13*12,2)*2/3,2)</f>
        <v>92.13</v>
      </c>
      <c r="N13" s="63">
        <f>ROUND(ROUND(G13*13.33,2)*2/3,2)</f>
        <v>102.34</v>
      </c>
      <c r="O13" s="63">
        <f>ROUND(ROUND(G13*14,2)*2/3,2)</f>
        <v>107.48</v>
      </c>
    </row>
    <row r="14" spans="1:15" ht="15" customHeight="1">
      <c r="A14" s="9" t="s">
        <v>202</v>
      </c>
      <c r="B14" s="64">
        <f t="shared" si="0"/>
        <v>0.08</v>
      </c>
      <c r="C14" s="31">
        <v>3</v>
      </c>
      <c r="D14" s="13" t="s">
        <v>25</v>
      </c>
      <c r="E14" s="13" t="s">
        <v>119</v>
      </c>
      <c r="F14" s="32" t="s">
        <v>122</v>
      </c>
      <c r="G14" s="66">
        <v>11.535</v>
      </c>
      <c r="H14" s="15">
        <f t="shared" si="1"/>
        <v>138.41999999999999</v>
      </c>
      <c r="I14" s="68">
        <f t="shared" ref="I14:I67" si="3">ROUND(G14*13.33,2)</f>
        <v>153.76</v>
      </c>
      <c r="J14" s="15">
        <f t="shared" si="2"/>
        <v>161.49</v>
      </c>
      <c r="K14" s="71"/>
      <c r="L14" s="63">
        <f t="shared" ref="L14:L67" si="4">ROUND(ROUND(ROUND(G14*12,2)*43/48,2)*1.07,2)</f>
        <v>132.68</v>
      </c>
      <c r="M14" s="63">
        <f t="shared" ref="M14:M67" si="5">ROUND(ROUND(G14*12,2)*2/3,2)</f>
        <v>92.28</v>
      </c>
      <c r="N14" s="63">
        <f t="shared" ref="N14:N67" si="6">ROUND(ROUND(G14*13.33,2)*2/3,2)</f>
        <v>102.51</v>
      </c>
      <c r="O14" s="63">
        <f t="shared" ref="O14:O67" si="7">ROUND(ROUND(G14*14,2)*2/3,2)</f>
        <v>107.66</v>
      </c>
    </row>
    <row r="15" spans="1:15" ht="15" customHeight="1">
      <c r="A15" s="9" t="s">
        <v>202</v>
      </c>
      <c r="B15" s="64">
        <f t="shared" si="0"/>
        <v>0.09</v>
      </c>
      <c r="C15" s="31">
        <v>3.5</v>
      </c>
      <c r="D15" s="13" t="s">
        <v>25</v>
      </c>
      <c r="E15" s="13" t="s">
        <v>119</v>
      </c>
      <c r="F15" s="32" t="s">
        <v>83</v>
      </c>
      <c r="G15" s="66">
        <v>11.469999999999999</v>
      </c>
      <c r="H15" s="15">
        <f t="shared" si="1"/>
        <v>137.63999999999999</v>
      </c>
      <c r="I15" s="68">
        <f t="shared" si="3"/>
        <v>152.9</v>
      </c>
      <c r="J15" s="15">
        <f t="shared" si="2"/>
        <v>160.58000000000001</v>
      </c>
      <c r="K15" s="71"/>
      <c r="L15" s="63">
        <f t="shared" si="4"/>
        <v>131.93</v>
      </c>
      <c r="M15" s="63">
        <f t="shared" si="5"/>
        <v>91.76</v>
      </c>
      <c r="N15" s="63">
        <f t="shared" si="6"/>
        <v>101.93</v>
      </c>
      <c r="O15" s="63">
        <f t="shared" si="7"/>
        <v>107.05</v>
      </c>
    </row>
    <row r="16" spans="1:15" ht="15" customHeight="1">
      <c r="A16" s="9" t="s">
        <v>202</v>
      </c>
      <c r="B16" s="64">
        <f t="shared" si="0"/>
        <v>0.09</v>
      </c>
      <c r="C16" s="31">
        <v>3.5</v>
      </c>
      <c r="D16" s="13" t="s">
        <v>25</v>
      </c>
      <c r="E16" s="13" t="s">
        <v>119</v>
      </c>
      <c r="F16" s="32" t="s">
        <v>83</v>
      </c>
      <c r="G16" s="66">
        <v>11.733000000000001</v>
      </c>
      <c r="H16" s="15">
        <f t="shared" si="1"/>
        <v>140.80000000000001</v>
      </c>
      <c r="I16" s="68">
        <f t="shared" si="3"/>
        <v>156.4</v>
      </c>
      <c r="J16" s="15">
        <f t="shared" si="2"/>
        <v>164.26</v>
      </c>
      <c r="K16" s="71"/>
      <c r="L16" s="63">
        <f t="shared" si="4"/>
        <v>134.96</v>
      </c>
      <c r="M16" s="63">
        <f t="shared" si="5"/>
        <v>93.87</v>
      </c>
      <c r="N16" s="63">
        <f t="shared" si="6"/>
        <v>104.27</v>
      </c>
      <c r="O16" s="63">
        <f t="shared" si="7"/>
        <v>109.51</v>
      </c>
    </row>
    <row r="17" spans="1:15" ht="15" customHeight="1">
      <c r="A17" s="9" t="s">
        <v>202</v>
      </c>
      <c r="B17" s="64">
        <f t="shared" si="0"/>
        <v>0.09</v>
      </c>
      <c r="C17" s="31">
        <v>3.5</v>
      </c>
      <c r="D17" s="13" t="s">
        <v>25</v>
      </c>
      <c r="E17" s="13" t="s">
        <v>119</v>
      </c>
      <c r="F17" s="32" t="s">
        <v>85</v>
      </c>
      <c r="G17" s="66">
        <v>12.792999999999999</v>
      </c>
      <c r="H17" s="15">
        <f t="shared" si="1"/>
        <v>153.52000000000001</v>
      </c>
      <c r="I17" s="68">
        <f t="shared" si="3"/>
        <v>170.53</v>
      </c>
      <c r="J17" s="15">
        <f t="shared" si="2"/>
        <v>179.1</v>
      </c>
      <c r="K17" s="71"/>
      <c r="L17" s="63">
        <f t="shared" si="4"/>
        <v>147.16</v>
      </c>
      <c r="M17" s="63">
        <f t="shared" si="5"/>
        <v>102.35</v>
      </c>
      <c r="N17" s="63">
        <f t="shared" si="6"/>
        <v>113.69</v>
      </c>
      <c r="O17" s="63">
        <f t="shared" si="7"/>
        <v>119.4</v>
      </c>
    </row>
    <row r="18" spans="1:15" ht="15" customHeight="1">
      <c r="A18" s="9" t="s">
        <v>202</v>
      </c>
      <c r="B18" s="64">
        <f t="shared" si="0"/>
        <v>0.1</v>
      </c>
      <c r="C18" s="31">
        <v>4</v>
      </c>
      <c r="D18" s="13" t="s">
        <v>25</v>
      </c>
      <c r="E18" s="13" t="s">
        <v>119</v>
      </c>
      <c r="F18" s="32" t="s">
        <v>85</v>
      </c>
      <c r="G18" s="66">
        <v>12.831</v>
      </c>
      <c r="H18" s="15">
        <f t="shared" si="1"/>
        <v>153.97</v>
      </c>
      <c r="I18" s="68">
        <f t="shared" si="3"/>
        <v>171.04</v>
      </c>
      <c r="J18" s="15">
        <f t="shared" si="2"/>
        <v>179.63</v>
      </c>
      <c r="K18" s="71"/>
      <c r="L18" s="63">
        <f t="shared" si="4"/>
        <v>147.59</v>
      </c>
      <c r="M18" s="63">
        <f t="shared" si="5"/>
        <v>102.65</v>
      </c>
      <c r="N18" s="63">
        <f t="shared" si="6"/>
        <v>114.03</v>
      </c>
      <c r="O18" s="63">
        <f t="shared" si="7"/>
        <v>119.75</v>
      </c>
    </row>
    <row r="19" spans="1:15" ht="15" customHeight="1">
      <c r="A19" s="9" t="s">
        <v>202</v>
      </c>
      <c r="B19" s="64">
        <f t="shared" si="0"/>
        <v>0.1</v>
      </c>
      <c r="C19" s="31">
        <v>4</v>
      </c>
      <c r="D19" s="13" t="s">
        <v>25</v>
      </c>
      <c r="E19" s="13" t="s">
        <v>119</v>
      </c>
      <c r="F19" s="32" t="s">
        <v>84</v>
      </c>
      <c r="G19" s="66">
        <v>11.623999999999999</v>
      </c>
      <c r="H19" s="15">
        <f t="shared" si="1"/>
        <v>139.49</v>
      </c>
      <c r="I19" s="68">
        <f t="shared" si="3"/>
        <v>154.94999999999999</v>
      </c>
      <c r="J19" s="15">
        <f t="shared" si="2"/>
        <v>162.74</v>
      </c>
      <c r="K19" s="71"/>
      <c r="L19" s="63">
        <f t="shared" si="4"/>
        <v>133.71</v>
      </c>
      <c r="M19" s="63">
        <f t="shared" si="5"/>
        <v>92.99</v>
      </c>
      <c r="N19" s="63">
        <f t="shared" si="6"/>
        <v>103.3</v>
      </c>
      <c r="O19" s="63">
        <f t="shared" si="7"/>
        <v>108.49</v>
      </c>
    </row>
    <row r="20" spans="1:15" ht="15" customHeight="1">
      <c r="A20" s="9" t="s">
        <v>202</v>
      </c>
      <c r="B20" s="64">
        <f t="shared" si="0"/>
        <v>0.1</v>
      </c>
      <c r="C20" s="31">
        <v>4</v>
      </c>
      <c r="D20" s="13" t="s">
        <v>25</v>
      </c>
      <c r="E20" s="13" t="s">
        <v>119</v>
      </c>
      <c r="F20" s="32" t="s">
        <v>83</v>
      </c>
      <c r="G20" s="66">
        <v>11.712</v>
      </c>
      <c r="H20" s="15">
        <f t="shared" si="1"/>
        <v>140.54</v>
      </c>
      <c r="I20" s="68">
        <f t="shared" si="3"/>
        <v>156.12</v>
      </c>
      <c r="J20" s="15">
        <f t="shared" si="2"/>
        <v>163.97</v>
      </c>
      <c r="K20" s="71"/>
      <c r="L20" s="63">
        <f t="shared" si="4"/>
        <v>134.71</v>
      </c>
      <c r="M20" s="63">
        <f t="shared" si="5"/>
        <v>93.69</v>
      </c>
      <c r="N20" s="63">
        <f t="shared" si="6"/>
        <v>104.08</v>
      </c>
      <c r="O20" s="63">
        <f t="shared" si="7"/>
        <v>109.31</v>
      </c>
    </row>
    <row r="21" spans="1:15" ht="15" customHeight="1">
      <c r="A21" s="9" t="s">
        <v>202</v>
      </c>
      <c r="B21" s="64">
        <f t="shared" si="0"/>
        <v>0.11</v>
      </c>
      <c r="C21" s="31">
        <v>4.5</v>
      </c>
      <c r="D21" s="13" t="s">
        <v>25</v>
      </c>
      <c r="E21" s="13" t="s">
        <v>119</v>
      </c>
      <c r="F21" s="32" t="s">
        <v>83</v>
      </c>
      <c r="G21" s="66">
        <v>12.45</v>
      </c>
      <c r="H21" s="15">
        <f t="shared" si="1"/>
        <v>149.4</v>
      </c>
      <c r="I21" s="68">
        <f t="shared" si="3"/>
        <v>165.96</v>
      </c>
      <c r="J21" s="15">
        <f t="shared" si="2"/>
        <v>174.3</v>
      </c>
      <c r="K21" s="71"/>
      <c r="L21" s="63">
        <f t="shared" si="4"/>
        <v>143.21</v>
      </c>
      <c r="M21" s="63">
        <f t="shared" si="5"/>
        <v>99.6</v>
      </c>
      <c r="N21" s="63">
        <f t="shared" si="6"/>
        <v>110.64</v>
      </c>
      <c r="O21" s="63">
        <f t="shared" si="7"/>
        <v>116.2</v>
      </c>
    </row>
    <row r="22" spans="1:15" ht="15" customHeight="1">
      <c r="A22" s="9" t="s">
        <v>202</v>
      </c>
      <c r="B22" s="64">
        <f t="shared" si="0"/>
        <v>0.11</v>
      </c>
      <c r="C22" s="31">
        <v>4.5</v>
      </c>
      <c r="D22" s="13" t="s">
        <v>25</v>
      </c>
      <c r="E22" s="13" t="s">
        <v>119</v>
      </c>
      <c r="F22" s="32" t="s">
        <v>84</v>
      </c>
      <c r="G22" s="66">
        <v>12.376999999999999</v>
      </c>
      <c r="H22" s="15">
        <f t="shared" si="1"/>
        <v>148.52000000000001</v>
      </c>
      <c r="I22" s="68">
        <f t="shared" si="3"/>
        <v>164.99</v>
      </c>
      <c r="J22" s="15">
        <f t="shared" si="2"/>
        <v>173.28</v>
      </c>
      <c r="K22" s="71"/>
      <c r="L22" s="63">
        <f t="shared" si="4"/>
        <v>142.36000000000001</v>
      </c>
      <c r="M22" s="63">
        <f t="shared" si="5"/>
        <v>99.01</v>
      </c>
      <c r="N22" s="63">
        <f t="shared" si="6"/>
        <v>109.99</v>
      </c>
      <c r="O22" s="63">
        <f t="shared" si="7"/>
        <v>115.52</v>
      </c>
    </row>
    <row r="23" spans="1:15" ht="15" customHeight="1">
      <c r="A23" s="9" t="s">
        <v>202</v>
      </c>
      <c r="B23" s="64">
        <f t="shared" si="0"/>
        <v>0.13</v>
      </c>
      <c r="C23" s="31">
        <v>5</v>
      </c>
      <c r="D23" s="13" t="s">
        <v>25</v>
      </c>
      <c r="E23" s="13" t="s">
        <v>119</v>
      </c>
      <c r="F23" s="32" t="s">
        <v>84</v>
      </c>
      <c r="G23" s="66">
        <v>12.45</v>
      </c>
      <c r="H23" s="15">
        <f t="shared" si="1"/>
        <v>149.4</v>
      </c>
      <c r="I23" s="68">
        <f t="shared" si="3"/>
        <v>165.96</v>
      </c>
      <c r="J23" s="15">
        <f t="shared" si="2"/>
        <v>174.3</v>
      </c>
      <c r="K23" s="71"/>
      <c r="L23" s="63">
        <f t="shared" si="4"/>
        <v>143.21</v>
      </c>
      <c r="M23" s="63">
        <f t="shared" si="5"/>
        <v>99.6</v>
      </c>
      <c r="N23" s="63">
        <f t="shared" si="6"/>
        <v>110.64</v>
      </c>
      <c r="O23" s="63">
        <f t="shared" si="7"/>
        <v>116.2</v>
      </c>
    </row>
    <row r="24" spans="1:15" ht="15" customHeight="1">
      <c r="A24" s="9" t="s">
        <v>202</v>
      </c>
      <c r="B24" s="64">
        <f t="shared" si="0"/>
        <v>0.13</v>
      </c>
      <c r="C24" s="31">
        <v>5</v>
      </c>
      <c r="D24" s="13" t="s">
        <v>25</v>
      </c>
      <c r="E24" s="13" t="s">
        <v>119</v>
      </c>
      <c r="F24" s="32" t="s">
        <v>86</v>
      </c>
      <c r="G24" s="66">
        <v>12.821000000000002</v>
      </c>
      <c r="H24" s="15">
        <f t="shared" si="1"/>
        <v>153.85</v>
      </c>
      <c r="I24" s="68">
        <f t="shared" si="3"/>
        <v>170.9</v>
      </c>
      <c r="J24" s="15">
        <f t="shared" si="2"/>
        <v>179.49</v>
      </c>
      <c r="K24" s="71"/>
      <c r="L24" s="63">
        <f t="shared" si="4"/>
        <v>147.47</v>
      </c>
      <c r="M24" s="63">
        <f t="shared" si="5"/>
        <v>102.57</v>
      </c>
      <c r="N24" s="63">
        <f t="shared" si="6"/>
        <v>113.93</v>
      </c>
      <c r="O24" s="63">
        <f t="shared" si="7"/>
        <v>119.66</v>
      </c>
    </row>
    <row r="25" spans="1:15" ht="15" customHeight="1">
      <c r="A25" s="9" t="s">
        <v>202</v>
      </c>
      <c r="B25" s="64">
        <f t="shared" si="0"/>
        <v>0.13</v>
      </c>
      <c r="C25" s="31">
        <v>5</v>
      </c>
      <c r="D25" s="13" t="s">
        <v>25</v>
      </c>
      <c r="E25" s="13" t="s">
        <v>119</v>
      </c>
      <c r="F25" s="32" t="s">
        <v>117</v>
      </c>
      <c r="G25" s="66">
        <v>13.902000000000001</v>
      </c>
      <c r="H25" s="15">
        <f t="shared" si="1"/>
        <v>166.82</v>
      </c>
      <c r="I25" s="68">
        <f t="shared" si="3"/>
        <v>185.31</v>
      </c>
      <c r="J25" s="15">
        <f t="shared" si="2"/>
        <v>194.63</v>
      </c>
      <c r="K25" s="71"/>
      <c r="L25" s="63">
        <f t="shared" si="4"/>
        <v>159.9</v>
      </c>
      <c r="M25" s="63">
        <f t="shared" si="5"/>
        <v>111.21</v>
      </c>
      <c r="N25" s="63">
        <f t="shared" si="6"/>
        <v>123.54</v>
      </c>
      <c r="O25" s="63">
        <f t="shared" si="7"/>
        <v>129.75</v>
      </c>
    </row>
    <row r="26" spans="1:15" ht="15" customHeight="1">
      <c r="A26" s="9" t="s">
        <v>202</v>
      </c>
      <c r="B26" s="64">
        <f t="shared" si="0"/>
        <v>0.13</v>
      </c>
      <c r="C26" s="31">
        <v>5.2</v>
      </c>
      <c r="D26" s="13" t="s">
        <v>25</v>
      </c>
      <c r="E26" s="13" t="s">
        <v>119</v>
      </c>
      <c r="F26" s="32" t="s">
        <v>86</v>
      </c>
      <c r="G26" s="66">
        <v>12.997</v>
      </c>
      <c r="H26" s="15">
        <f t="shared" si="1"/>
        <v>155.96</v>
      </c>
      <c r="I26" s="68">
        <f t="shared" si="3"/>
        <v>173.25</v>
      </c>
      <c r="J26" s="15">
        <f t="shared" si="2"/>
        <v>181.96</v>
      </c>
      <c r="K26" s="71"/>
      <c r="L26" s="63">
        <f t="shared" si="4"/>
        <v>149.49</v>
      </c>
      <c r="M26" s="63">
        <f t="shared" si="5"/>
        <v>103.97</v>
      </c>
      <c r="N26" s="63">
        <f t="shared" si="6"/>
        <v>115.5</v>
      </c>
      <c r="O26" s="63">
        <f t="shared" si="7"/>
        <v>121.31</v>
      </c>
    </row>
    <row r="27" spans="1:15" ht="15" customHeight="1">
      <c r="A27" s="9" t="s">
        <v>202</v>
      </c>
      <c r="B27" s="64">
        <f t="shared" si="0"/>
        <v>0.13</v>
      </c>
      <c r="C27" s="31">
        <v>5.2</v>
      </c>
      <c r="D27" s="13" t="s">
        <v>25</v>
      </c>
      <c r="E27" s="13" t="s">
        <v>119</v>
      </c>
      <c r="F27" s="32" t="s">
        <v>117</v>
      </c>
      <c r="G27" s="66">
        <v>14.149999999999999</v>
      </c>
      <c r="H27" s="15">
        <f t="shared" si="1"/>
        <v>169.8</v>
      </c>
      <c r="I27" s="68">
        <f t="shared" si="3"/>
        <v>188.62</v>
      </c>
      <c r="J27" s="15">
        <f t="shared" si="2"/>
        <v>198.1</v>
      </c>
      <c r="K27" s="71"/>
      <c r="L27" s="63">
        <f t="shared" si="4"/>
        <v>162.76</v>
      </c>
      <c r="M27" s="63">
        <f t="shared" si="5"/>
        <v>113.2</v>
      </c>
      <c r="N27" s="63">
        <f t="shared" si="6"/>
        <v>125.75</v>
      </c>
      <c r="O27" s="63">
        <f t="shared" si="7"/>
        <v>132.07</v>
      </c>
    </row>
    <row r="28" spans="1:15" ht="15" customHeight="1">
      <c r="A28" s="9" t="s">
        <v>202</v>
      </c>
      <c r="B28" s="64">
        <f t="shared" si="0"/>
        <v>0.14000000000000001</v>
      </c>
      <c r="C28" s="31">
        <v>5.5</v>
      </c>
      <c r="D28" s="13" t="s">
        <v>25</v>
      </c>
      <c r="E28" s="13" t="s">
        <v>119</v>
      </c>
      <c r="F28" s="32" t="s">
        <v>86</v>
      </c>
      <c r="G28" s="66">
        <v>13.591000000000001</v>
      </c>
      <c r="H28" s="15">
        <f t="shared" si="1"/>
        <v>163.09</v>
      </c>
      <c r="I28" s="68">
        <f t="shared" si="3"/>
        <v>181.17</v>
      </c>
      <c r="J28" s="15">
        <f t="shared" si="2"/>
        <v>190.27</v>
      </c>
      <c r="K28" s="71"/>
      <c r="L28" s="63">
        <f t="shared" si="4"/>
        <v>156.33000000000001</v>
      </c>
      <c r="M28" s="63">
        <f t="shared" si="5"/>
        <v>108.73</v>
      </c>
      <c r="N28" s="63">
        <f t="shared" si="6"/>
        <v>120.78</v>
      </c>
      <c r="O28" s="63">
        <f t="shared" si="7"/>
        <v>126.85</v>
      </c>
    </row>
    <row r="29" spans="1:15" ht="15" customHeight="1">
      <c r="A29" s="9" t="s">
        <v>202</v>
      </c>
      <c r="B29" s="64">
        <f t="shared" si="0"/>
        <v>0.15</v>
      </c>
      <c r="C29" s="31">
        <v>6</v>
      </c>
      <c r="D29" s="13" t="s">
        <v>25</v>
      </c>
      <c r="E29" s="13" t="s">
        <v>119</v>
      </c>
      <c r="F29" s="32" t="s">
        <v>86</v>
      </c>
      <c r="G29" s="66">
        <v>13.591000000000001</v>
      </c>
      <c r="H29" s="15">
        <f t="shared" si="1"/>
        <v>163.09</v>
      </c>
      <c r="I29" s="68">
        <f t="shared" si="3"/>
        <v>181.17</v>
      </c>
      <c r="J29" s="15">
        <f t="shared" si="2"/>
        <v>190.27</v>
      </c>
      <c r="K29" s="71"/>
      <c r="L29" s="63">
        <f t="shared" si="4"/>
        <v>156.33000000000001</v>
      </c>
      <c r="M29" s="63">
        <f t="shared" si="5"/>
        <v>108.73</v>
      </c>
      <c r="N29" s="63">
        <f t="shared" si="6"/>
        <v>120.78</v>
      </c>
      <c r="O29" s="63">
        <f t="shared" si="7"/>
        <v>126.85</v>
      </c>
    </row>
    <row r="30" spans="1:15" ht="15" customHeight="1">
      <c r="A30" s="9" t="s">
        <v>202</v>
      </c>
      <c r="B30" s="64">
        <f t="shared" si="0"/>
        <v>0.15</v>
      </c>
      <c r="C30" s="31">
        <v>6</v>
      </c>
      <c r="D30" s="13" t="s">
        <v>25</v>
      </c>
      <c r="E30" s="13" t="s">
        <v>119</v>
      </c>
      <c r="F30" s="32" t="s">
        <v>117</v>
      </c>
      <c r="G30" s="66">
        <v>14.657</v>
      </c>
      <c r="H30" s="15">
        <f t="shared" si="1"/>
        <v>175.88</v>
      </c>
      <c r="I30" s="68">
        <f t="shared" si="3"/>
        <v>195.38</v>
      </c>
      <c r="J30" s="15">
        <f t="shared" si="2"/>
        <v>205.2</v>
      </c>
      <c r="K30" s="71"/>
      <c r="L30" s="63">
        <f t="shared" si="4"/>
        <v>168.59</v>
      </c>
      <c r="M30" s="63">
        <f t="shared" si="5"/>
        <v>117.25</v>
      </c>
      <c r="N30" s="63">
        <f t="shared" si="6"/>
        <v>130.25</v>
      </c>
      <c r="O30" s="63">
        <f t="shared" si="7"/>
        <v>136.80000000000001</v>
      </c>
    </row>
    <row r="31" spans="1:15" ht="15" customHeight="1">
      <c r="A31" s="9" t="s">
        <v>202</v>
      </c>
      <c r="B31" s="64">
        <f t="shared" si="0"/>
        <v>0.16</v>
      </c>
      <c r="C31" s="31">
        <v>6.2</v>
      </c>
      <c r="D31" s="13" t="s">
        <v>25</v>
      </c>
      <c r="E31" s="13" t="s">
        <v>119</v>
      </c>
      <c r="F31" s="32" t="s">
        <v>117</v>
      </c>
      <c r="G31" s="66">
        <v>14.657</v>
      </c>
      <c r="H31" s="15">
        <f t="shared" si="1"/>
        <v>175.88</v>
      </c>
      <c r="I31" s="68">
        <f t="shared" si="3"/>
        <v>195.38</v>
      </c>
      <c r="J31" s="15">
        <f t="shared" si="2"/>
        <v>205.2</v>
      </c>
      <c r="K31" s="71"/>
      <c r="L31" s="63">
        <f t="shared" si="4"/>
        <v>168.59</v>
      </c>
      <c r="M31" s="63">
        <f t="shared" si="5"/>
        <v>117.25</v>
      </c>
      <c r="N31" s="63">
        <f t="shared" si="6"/>
        <v>130.25</v>
      </c>
      <c r="O31" s="63">
        <f t="shared" si="7"/>
        <v>136.80000000000001</v>
      </c>
    </row>
    <row r="32" spans="1:15" ht="15" customHeight="1">
      <c r="A32" s="9" t="s">
        <v>202</v>
      </c>
      <c r="B32" s="64">
        <f t="shared" si="0"/>
        <v>0.18</v>
      </c>
      <c r="C32" s="31">
        <v>7</v>
      </c>
      <c r="D32" s="13" t="s">
        <v>25</v>
      </c>
      <c r="E32" s="13" t="s">
        <v>119</v>
      </c>
      <c r="F32" s="32" t="s">
        <v>117</v>
      </c>
      <c r="G32" s="66">
        <v>14.657</v>
      </c>
      <c r="H32" s="15">
        <f t="shared" si="1"/>
        <v>175.88</v>
      </c>
      <c r="I32" s="68">
        <f t="shared" si="3"/>
        <v>195.38</v>
      </c>
      <c r="J32" s="15">
        <f t="shared" si="2"/>
        <v>205.2</v>
      </c>
      <c r="K32" s="71"/>
      <c r="L32" s="63">
        <f t="shared" si="4"/>
        <v>168.59</v>
      </c>
      <c r="M32" s="63">
        <f t="shared" si="5"/>
        <v>117.25</v>
      </c>
      <c r="N32" s="63">
        <f t="shared" si="6"/>
        <v>130.25</v>
      </c>
      <c r="O32" s="63">
        <f t="shared" si="7"/>
        <v>136.80000000000001</v>
      </c>
    </row>
    <row r="33" spans="1:15" ht="15" customHeight="1">
      <c r="A33" s="9" t="s">
        <v>202</v>
      </c>
      <c r="B33" s="64">
        <f t="shared" si="0"/>
        <v>0.18</v>
      </c>
      <c r="C33" s="31">
        <v>7</v>
      </c>
      <c r="D33" s="13" t="s">
        <v>25</v>
      </c>
      <c r="E33" s="13" t="s">
        <v>119</v>
      </c>
      <c r="F33" s="32" t="s">
        <v>87</v>
      </c>
      <c r="G33" s="66">
        <v>15.164000000000001</v>
      </c>
      <c r="H33" s="15">
        <f t="shared" si="1"/>
        <v>181.97</v>
      </c>
      <c r="I33" s="68">
        <f t="shared" si="3"/>
        <v>202.14</v>
      </c>
      <c r="J33" s="15">
        <f t="shared" si="2"/>
        <v>212.3</v>
      </c>
      <c r="K33" s="71"/>
      <c r="L33" s="63">
        <f t="shared" si="4"/>
        <v>174.42</v>
      </c>
      <c r="M33" s="63">
        <f t="shared" si="5"/>
        <v>121.31</v>
      </c>
      <c r="N33" s="63">
        <f t="shared" si="6"/>
        <v>134.76</v>
      </c>
      <c r="O33" s="63">
        <f t="shared" si="7"/>
        <v>141.53</v>
      </c>
    </row>
    <row r="34" spans="1:15" ht="15" customHeight="1">
      <c r="A34" s="9" t="s">
        <v>202</v>
      </c>
      <c r="B34" s="64">
        <f t="shared" si="0"/>
        <v>0.25</v>
      </c>
      <c r="C34" s="31">
        <v>10</v>
      </c>
      <c r="D34" s="13" t="s">
        <v>25</v>
      </c>
      <c r="E34" s="13" t="s">
        <v>119</v>
      </c>
      <c r="F34" s="32" t="s">
        <v>89</v>
      </c>
      <c r="G34" s="66">
        <v>17.323</v>
      </c>
      <c r="H34" s="15">
        <f t="shared" si="1"/>
        <v>207.88</v>
      </c>
      <c r="I34" s="68">
        <f t="shared" si="3"/>
        <v>230.92</v>
      </c>
      <c r="J34" s="15">
        <f t="shared" si="2"/>
        <v>242.52</v>
      </c>
      <c r="K34" s="71"/>
      <c r="L34" s="63">
        <f t="shared" si="4"/>
        <v>199.27</v>
      </c>
      <c r="M34" s="63">
        <f t="shared" si="5"/>
        <v>138.59</v>
      </c>
      <c r="N34" s="63">
        <f t="shared" si="6"/>
        <v>153.94999999999999</v>
      </c>
      <c r="O34" s="63">
        <f t="shared" si="7"/>
        <v>161.68</v>
      </c>
    </row>
    <row r="35" spans="1:15" ht="15" customHeight="1">
      <c r="A35" s="9" t="s">
        <v>202</v>
      </c>
      <c r="B35" s="64">
        <f t="shared" si="0"/>
        <v>0.38</v>
      </c>
      <c r="C35" s="31">
        <v>15</v>
      </c>
      <c r="D35" s="13" t="s">
        <v>25</v>
      </c>
      <c r="E35" s="13" t="s">
        <v>119</v>
      </c>
      <c r="F35" s="32" t="s">
        <v>90</v>
      </c>
      <c r="G35" s="66">
        <v>20.654</v>
      </c>
      <c r="H35" s="15">
        <f t="shared" si="1"/>
        <v>247.85</v>
      </c>
      <c r="I35" s="68">
        <f t="shared" si="3"/>
        <v>275.32</v>
      </c>
      <c r="J35" s="15">
        <f t="shared" si="2"/>
        <v>289.16000000000003</v>
      </c>
      <c r="K35" s="71"/>
      <c r="L35" s="63">
        <f t="shared" si="4"/>
        <v>237.57</v>
      </c>
      <c r="M35" s="63">
        <f t="shared" si="5"/>
        <v>165.23</v>
      </c>
      <c r="N35" s="63">
        <f t="shared" si="6"/>
        <v>183.55</v>
      </c>
      <c r="O35" s="63">
        <f t="shared" si="7"/>
        <v>192.77</v>
      </c>
    </row>
    <row r="36" spans="1:15" ht="15" customHeight="1">
      <c r="A36" s="9" t="s">
        <v>202</v>
      </c>
      <c r="B36" s="64">
        <f t="shared" si="0"/>
        <v>0.51</v>
      </c>
      <c r="C36" s="31">
        <v>20</v>
      </c>
      <c r="D36" s="13" t="s">
        <v>25</v>
      </c>
      <c r="E36" s="13" t="s">
        <v>119</v>
      </c>
      <c r="F36" s="32" t="s">
        <v>91</v>
      </c>
      <c r="G36" s="66">
        <v>27.381</v>
      </c>
      <c r="H36" s="15">
        <f t="shared" si="1"/>
        <v>328.57</v>
      </c>
      <c r="I36" s="68">
        <f t="shared" si="3"/>
        <v>364.99</v>
      </c>
      <c r="J36" s="15">
        <f t="shared" si="2"/>
        <v>383.33</v>
      </c>
      <c r="K36" s="71"/>
      <c r="L36" s="63">
        <f t="shared" si="4"/>
        <v>314.94</v>
      </c>
      <c r="M36" s="63">
        <f t="shared" si="5"/>
        <v>219.05</v>
      </c>
      <c r="N36" s="63">
        <f t="shared" si="6"/>
        <v>243.33</v>
      </c>
      <c r="O36" s="63">
        <f t="shared" si="7"/>
        <v>255.55</v>
      </c>
    </row>
    <row r="37" spans="1:15" ht="15" customHeight="1">
      <c r="A37" s="9" t="s">
        <v>202</v>
      </c>
      <c r="B37" s="64">
        <f t="shared" si="0"/>
        <v>0.64</v>
      </c>
      <c r="C37" s="31">
        <v>25</v>
      </c>
      <c r="D37" s="13" t="s">
        <v>25</v>
      </c>
      <c r="E37" s="13" t="s">
        <v>119</v>
      </c>
      <c r="F37" s="32" t="s">
        <v>88</v>
      </c>
      <c r="G37" s="66">
        <v>31.673000000000002</v>
      </c>
      <c r="H37" s="15">
        <f t="shared" si="1"/>
        <v>380.08</v>
      </c>
      <c r="I37" s="68">
        <f t="shared" si="3"/>
        <v>422.2</v>
      </c>
      <c r="J37" s="15">
        <f t="shared" si="2"/>
        <v>443.42</v>
      </c>
      <c r="K37" s="71"/>
      <c r="L37" s="63">
        <f t="shared" si="4"/>
        <v>364.32</v>
      </c>
      <c r="M37" s="63">
        <f t="shared" si="5"/>
        <v>253.39</v>
      </c>
      <c r="N37" s="63">
        <f t="shared" si="6"/>
        <v>281.47000000000003</v>
      </c>
      <c r="O37" s="63">
        <f t="shared" si="7"/>
        <v>295.61</v>
      </c>
    </row>
    <row r="38" spans="1:15" ht="15" customHeight="1">
      <c r="A38" s="9" t="s">
        <v>202</v>
      </c>
      <c r="B38" s="64">
        <f t="shared" si="0"/>
        <v>0.79</v>
      </c>
      <c r="C38" s="31">
        <v>31</v>
      </c>
      <c r="D38" s="13" t="s">
        <v>25</v>
      </c>
      <c r="E38" s="13" t="s">
        <v>119</v>
      </c>
      <c r="F38" s="32" t="s">
        <v>131</v>
      </c>
      <c r="G38" s="66">
        <v>35.492999999999995</v>
      </c>
      <c r="H38" s="15">
        <f t="shared" si="1"/>
        <v>425.92</v>
      </c>
      <c r="I38" s="68">
        <f t="shared" si="3"/>
        <v>473.12</v>
      </c>
      <c r="J38" s="15">
        <f t="shared" si="2"/>
        <v>496.9</v>
      </c>
      <c r="K38" s="71"/>
      <c r="L38" s="63">
        <f t="shared" si="4"/>
        <v>408.26</v>
      </c>
      <c r="M38" s="63">
        <f t="shared" si="5"/>
        <v>283.95</v>
      </c>
      <c r="N38" s="63">
        <f t="shared" si="6"/>
        <v>315.41000000000003</v>
      </c>
      <c r="O38" s="63">
        <f t="shared" si="7"/>
        <v>331.27</v>
      </c>
    </row>
    <row r="39" spans="1:15" ht="15" customHeight="1">
      <c r="A39" s="9" t="s">
        <v>202</v>
      </c>
      <c r="B39" s="64">
        <f>ROUND(C39*0.0254,3)</f>
        <v>7.5999999999999998E-2</v>
      </c>
      <c r="C39" s="31">
        <v>3</v>
      </c>
      <c r="D39" s="12" t="s">
        <v>28</v>
      </c>
      <c r="E39" s="13" t="s">
        <v>119</v>
      </c>
      <c r="F39" s="32" t="s">
        <v>81</v>
      </c>
      <c r="G39" s="66">
        <v>14.576000000000001</v>
      </c>
      <c r="H39" s="15">
        <f t="shared" si="1"/>
        <v>174.91</v>
      </c>
      <c r="I39" s="68">
        <f t="shared" si="3"/>
        <v>194.3</v>
      </c>
      <c r="J39" s="15">
        <f t="shared" si="2"/>
        <v>204.06</v>
      </c>
      <c r="K39" s="71"/>
      <c r="L39" s="63">
        <f t="shared" si="4"/>
        <v>167.66</v>
      </c>
      <c r="M39" s="63">
        <f t="shared" si="5"/>
        <v>116.61</v>
      </c>
      <c r="N39" s="63">
        <f t="shared" si="6"/>
        <v>129.53</v>
      </c>
      <c r="O39" s="63">
        <f t="shared" si="7"/>
        <v>136.04</v>
      </c>
    </row>
    <row r="40" spans="1:15" ht="15" customHeight="1">
      <c r="A40" s="9" t="s">
        <v>202</v>
      </c>
      <c r="B40" s="64">
        <f t="shared" ref="B40:B41" si="8">ROUND(C40*0.0254,3)</f>
        <v>7.5999999999999998E-2</v>
      </c>
      <c r="C40" s="31">
        <v>3</v>
      </c>
      <c r="D40" s="12" t="s">
        <v>28</v>
      </c>
      <c r="E40" s="13" t="s">
        <v>119</v>
      </c>
      <c r="F40" s="32" t="s">
        <v>122</v>
      </c>
      <c r="G40" s="66">
        <v>14.741</v>
      </c>
      <c r="H40" s="15">
        <f t="shared" si="1"/>
        <v>176.89</v>
      </c>
      <c r="I40" s="68">
        <f t="shared" si="3"/>
        <v>196.5</v>
      </c>
      <c r="J40" s="15">
        <f t="shared" si="2"/>
        <v>206.37</v>
      </c>
      <c r="K40" s="71"/>
      <c r="L40" s="63">
        <f t="shared" si="4"/>
        <v>169.55</v>
      </c>
      <c r="M40" s="63">
        <f t="shared" si="5"/>
        <v>117.93</v>
      </c>
      <c r="N40" s="63">
        <f t="shared" si="6"/>
        <v>131</v>
      </c>
      <c r="O40" s="63">
        <f t="shared" si="7"/>
        <v>137.58000000000001</v>
      </c>
    </row>
    <row r="41" spans="1:15" ht="15" customHeight="1">
      <c r="A41" s="9" t="s">
        <v>202</v>
      </c>
      <c r="B41" s="64">
        <f t="shared" si="8"/>
        <v>8.8999999999999996E-2</v>
      </c>
      <c r="C41" s="31">
        <v>3.5</v>
      </c>
      <c r="D41" s="12" t="s">
        <v>28</v>
      </c>
      <c r="E41" s="13" t="s">
        <v>119</v>
      </c>
      <c r="F41" s="32" t="s">
        <v>83</v>
      </c>
      <c r="G41" s="66">
        <v>14.635</v>
      </c>
      <c r="H41" s="15">
        <f t="shared" si="1"/>
        <v>175.62</v>
      </c>
      <c r="I41" s="68">
        <f t="shared" si="3"/>
        <v>195.08</v>
      </c>
      <c r="J41" s="15">
        <f t="shared" si="2"/>
        <v>204.89</v>
      </c>
      <c r="K41" s="71"/>
      <c r="L41" s="63">
        <f t="shared" si="4"/>
        <v>168.34</v>
      </c>
      <c r="M41" s="63">
        <f t="shared" si="5"/>
        <v>117.08</v>
      </c>
      <c r="N41" s="63">
        <f t="shared" si="6"/>
        <v>130.05000000000001</v>
      </c>
      <c r="O41" s="63">
        <f t="shared" si="7"/>
        <v>136.59</v>
      </c>
    </row>
    <row r="42" spans="1:15" ht="15" customHeight="1">
      <c r="A42" s="9" t="s">
        <v>202</v>
      </c>
      <c r="B42" s="64">
        <f t="shared" ref="B42" si="9">ROUND(C42*0.0254,2)</f>
        <v>0.09</v>
      </c>
      <c r="C42" s="31">
        <v>3.5</v>
      </c>
      <c r="D42" s="12" t="s">
        <v>28</v>
      </c>
      <c r="E42" s="13" t="s">
        <v>119</v>
      </c>
      <c r="F42" s="32" t="s">
        <v>85</v>
      </c>
      <c r="G42" s="66">
        <v>17.940999999999999</v>
      </c>
      <c r="H42" s="15">
        <f t="shared" si="1"/>
        <v>215.29</v>
      </c>
      <c r="I42" s="68">
        <f t="shared" si="3"/>
        <v>239.15</v>
      </c>
      <c r="J42" s="15">
        <f t="shared" si="2"/>
        <v>251.17</v>
      </c>
      <c r="K42" s="71"/>
      <c r="L42" s="63">
        <f t="shared" si="4"/>
        <v>206.36</v>
      </c>
      <c r="M42" s="63">
        <f t="shared" si="5"/>
        <v>143.53</v>
      </c>
      <c r="N42" s="63">
        <f t="shared" si="6"/>
        <v>159.43</v>
      </c>
      <c r="O42" s="63">
        <f t="shared" si="7"/>
        <v>167.45</v>
      </c>
    </row>
    <row r="43" spans="1:15" ht="15" customHeight="1">
      <c r="A43" s="9" t="s">
        <v>202</v>
      </c>
      <c r="B43" s="64">
        <f t="shared" ref="B43" si="10">ROUND(C43*0.0254,3)</f>
        <v>9.0999999999999998E-2</v>
      </c>
      <c r="C43" s="31">
        <v>3.6</v>
      </c>
      <c r="D43" s="12" t="s">
        <v>28</v>
      </c>
      <c r="E43" s="13" t="s">
        <v>119</v>
      </c>
      <c r="F43" s="32" t="s">
        <v>83</v>
      </c>
      <c r="G43" s="66">
        <v>14.685</v>
      </c>
      <c r="H43" s="15">
        <f t="shared" si="1"/>
        <v>176.22</v>
      </c>
      <c r="I43" s="68">
        <f t="shared" si="3"/>
        <v>195.75</v>
      </c>
      <c r="J43" s="15">
        <f t="shared" si="2"/>
        <v>205.59</v>
      </c>
      <c r="K43" s="71"/>
      <c r="L43" s="63">
        <f t="shared" si="4"/>
        <v>168.91</v>
      </c>
      <c r="M43" s="63">
        <f t="shared" si="5"/>
        <v>117.48</v>
      </c>
      <c r="N43" s="63">
        <f t="shared" si="6"/>
        <v>130.5</v>
      </c>
      <c r="O43" s="63">
        <f t="shared" si="7"/>
        <v>137.06</v>
      </c>
    </row>
    <row r="44" spans="1:15" ht="15" customHeight="1">
      <c r="A44" s="9" t="s">
        <v>202</v>
      </c>
      <c r="B44" s="64">
        <f t="shared" ref="B44:B107" si="11">ROUND(C44*0.0254,2)</f>
        <v>0.1</v>
      </c>
      <c r="C44" s="31">
        <v>4</v>
      </c>
      <c r="D44" s="12" t="s">
        <v>28</v>
      </c>
      <c r="E44" s="13" t="s">
        <v>119</v>
      </c>
      <c r="F44" s="32" t="s">
        <v>85</v>
      </c>
      <c r="G44" s="66">
        <v>17.690999999999999</v>
      </c>
      <c r="H44" s="15">
        <f t="shared" si="1"/>
        <v>212.29</v>
      </c>
      <c r="I44" s="68">
        <f t="shared" si="3"/>
        <v>235.82</v>
      </c>
      <c r="J44" s="15">
        <f t="shared" si="2"/>
        <v>247.67</v>
      </c>
      <c r="K44" s="71"/>
      <c r="L44" s="63">
        <f t="shared" si="4"/>
        <v>203.49</v>
      </c>
      <c r="M44" s="63">
        <f t="shared" si="5"/>
        <v>141.53</v>
      </c>
      <c r="N44" s="63">
        <f t="shared" si="6"/>
        <v>157.21</v>
      </c>
      <c r="O44" s="63">
        <f t="shared" si="7"/>
        <v>165.11</v>
      </c>
    </row>
    <row r="45" spans="1:15" ht="15" customHeight="1">
      <c r="A45" s="9" t="s">
        <v>202</v>
      </c>
      <c r="B45" s="64">
        <f t="shared" si="11"/>
        <v>0.1</v>
      </c>
      <c r="C45" s="31">
        <v>4</v>
      </c>
      <c r="D45" s="12" t="s">
        <v>28</v>
      </c>
      <c r="E45" s="13" t="s">
        <v>119</v>
      </c>
      <c r="F45" s="32" t="s">
        <v>84</v>
      </c>
      <c r="G45" s="66">
        <v>14.738999999999999</v>
      </c>
      <c r="H45" s="15">
        <f t="shared" si="1"/>
        <v>176.87</v>
      </c>
      <c r="I45" s="68">
        <f t="shared" si="3"/>
        <v>196.47</v>
      </c>
      <c r="J45" s="15">
        <f t="shared" si="2"/>
        <v>206.35</v>
      </c>
      <c r="K45" s="71"/>
      <c r="L45" s="63">
        <f t="shared" si="4"/>
        <v>169.54</v>
      </c>
      <c r="M45" s="63">
        <f t="shared" si="5"/>
        <v>117.91</v>
      </c>
      <c r="N45" s="63">
        <f t="shared" si="6"/>
        <v>130.97999999999999</v>
      </c>
      <c r="O45" s="63">
        <f t="shared" si="7"/>
        <v>137.57</v>
      </c>
    </row>
    <row r="46" spans="1:15" ht="15" customHeight="1">
      <c r="A46" s="9" t="s">
        <v>202</v>
      </c>
      <c r="B46" s="64">
        <f t="shared" si="11"/>
        <v>0.1</v>
      </c>
      <c r="C46" s="31">
        <v>4</v>
      </c>
      <c r="D46" s="12" t="s">
        <v>28</v>
      </c>
      <c r="E46" s="13" t="s">
        <v>119</v>
      </c>
      <c r="F46" s="32" t="s">
        <v>83</v>
      </c>
      <c r="G46" s="66">
        <v>14.872</v>
      </c>
      <c r="H46" s="15">
        <f t="shared" si="1"/>
        <v>178.46</v>
      </c>
      <c r="I46" s="68">
        <f t="shared" si="3"/>
        <v>198.24</v>
      </c>
      <c r="J46" s="15">
        <f t="shared" si="2"/>
        <v>208.21</v>
      </c>
      <c r="K46" s="71"/>
      <c r="L46" s="63">
        <f t="shared" si="4"/>
        <v>171.06</v>
      </c>
      <c r="M46" s="63">
        <f t="shared" si="5"/>
        <v>118.97</v>
      </c>
      <c r="N46" s="63">
        <f t="shared" si="6"/>
        <v>132.16</v>
      </c>
      <c r="O46" s="63">
        <f t="shared" si="7"/>
        <v>138.81</v>
      </c>
    </row>
    <row r="47" spans="1:15" ht="15" customHeight="1">
      <c r="A47" s="9" t="s">
        <v>202</v>
      </c>
      <c r="B47" s="64">
        <f t="shared" si="11"/>
        <v>0.11</v>
      </c>
      <c r="C47" s="31">
        <v>4.5</v>
      </c>
      <c r="D47" s="12" t="s">
        <v>28</v>
      </c>
      <c r="E47" s="13" t="s">
        <v>119</v>
      </c>
      <c r="F47" s="32" t="s">
        <v>83</v>
      </c>
      <c r="G47" s="66">
        <v>15.597999999999999</v>
      </c>
      <c r="H47" s="15">
        <f t="shared" si="1"/>
        <v>187.18</v>
      </c>
      <c r="I47" s="68">
        <f t="shared" si="3"/>
        <v>207.92</v>
      </c>
      <c r="J47" s="15">
        <f t="shared" si="2"/>
        <v>218.37</v>
      </c>
      <c r="K47" s="71"/>
      <c r="L47" s="63">
        <f t="shared" si="4"/>
        <v>179.42</v>
      </c>
      <c r="M47" s="63">
        <f t="shared" si="5"/>
        <v>124.79</v>
      </c>
      <c r="N47" s="63">
        <f t="shared" si="6"/>
        <v>138.61000000000001</v>
      </c>
      <c r="O47" s="63">
        <f t="shared" si="7"/>
        <v>145.58000000000001</v>
      </c>
    </row>
    <row r="48" spans="1:15" ht="15" customHeight="1">
      <c r="A48" s="9" t="s">
        <v>202</v>
      </c>
      <c r="B48" s="64">
        <f t="shared" si="11"/>
        <v>0.11</v>
      </c>
      <c r="C48" s="31">
        <v>4.5</v>
      </c>
      <c r="D48" s="12" t="s">
        <v>28</v>
      </c>
      <c r="E48" s="13" t="s">
        <v>119</v>
      </c>
      <c r="F48" s="32" t="s">
        <v>84</v>
      </c>
      <c r="G48" s="66">
        <v>15.57</v>
      </c>
      <c r="H48" s="15">
        <f t="shared" si="1"/>
        <v>186.84</v>
      </c>
      <c r="I48" s="68">
        <f t="shared" si="3"/>
        <v>207.55</v>
      </c>
      <c r="J48" s="15">
        <f t="shared" si="2"/>
        <v>217.98</v>
      </c>
      <c r="K48" s="71"/>
      <c r="L48" s="63">
        <f t="shared" si="4"/>
        <v>179.1</v>
      </c>
      <c r="M48" s="63">
        <f t="shared" si="5"/>
        <v>124.56</v>
      </c>
      <c r="N48" s="63">
        <f t="shared" si="6"/>
        <v>138.37</v>
      </c>
      <c r="O48" s="63">
        <f t="shared" si="7"/>
        <v>145.32</v>
      </c>
    </row>
    <row r="49" spans="1:15" ht="15" customHeight="1">
      <c r="A49" s="9" t="s">
        <v>202</v>
      </c>
      <c r="B49" s="64">
        <f t="shared" si="11"/>
        <v>0.11</v>
      </c>
      <c r="C49" s="31">
        <v>4.5</v>
      </c>
      <c r="D49" s="12" t="s">
        <v>28</v>
      </c>
      <c r="E49" s="13" t="s">
        <v>119</v>
      </c>
      <c r="F49" s="32" t="s">
        <v>85</v>
      </c>
      <c r="G49" s="66">
        <v>18.321999999999999</v>
      </c>
      <c r="H49" s="15">
        <f t="shared" si="1"/>
        <v>219.86</v>
      </c>
      <c r="I49" s="68">
        <f t="shared" si="3"/>
        <v>244.23</v>
      </c>
      <c r="J49" s="15">
        <f t="shared" si="2"/>
        <v>256.51</v>
      </c>
      <c r="K49" s="71"/>
      <c r="L49" s="63">
        <f t="shared" si="4"/>
        <v>210.75</v>
      </c>
      <c r="M49" s="63">
        <f t="shared" si="5"/>
        <v>146.57</v>
      </c>
      <c r="N49" s="63">
        <f t="shared" si="6"/>
        <v>162.82</v>
      </c>
      <c r="O49" s="63">
        <f t="shared" si="7"/>
        <v>171.01</v>
      </c>
    </row>
    <row r="50" spans="1:15" ht="15" customHeight="1">
      <c r="A50" s="9" t="s">
        <v>202</v>
      </c>
      <c r="B50" s="64">
        <f t="shared" si="11"/>
        <v>0.13</v>
      </c>
      <c r="C50" s="31">
        <v>5</v>
      </c>
      <c r="D50" s="12" t="s">
        <v>28</v>
      </c>
      <c r="E50" s="13" t="s">
        <v>119</v>
      </c>
      <c r="F50" s="32" t="s">
        <v>84</v>
      </c>
      <c r="G50" s="66">
        <v>15.718</v>
      </c>
      <c r="H50" s="15">
        <f t="shared" si="1"/>
        <v>188.62</v>
      </c>
      <c r="I50" s="68">
        <f t="shared" si="3"/>
        <v>209.52</v>
      </c>
      <c r="J50" s="15">
        <f t="shared" si="2"/>
        <v>220.05</v>
      </c>
      <c r="K50" s="71"/>
      <c r="L50" s="63">
        <f t="shared" si="4"/>
        <v>180.8</v>
      </c>
      <c r="M50" s="63">
        <f t="shared" si="5"/>
        <v>125.75</v>
      </c>
      <c r="N50" s="63">
        <f t="shared" si="6"/>
        <v>139.68</v>
      </c>
      <c r="O50" s="63">
        <f t="shared" si="7"/>
        <v>146.69999999999999</v>
      </c>
    </row>
    <row r="51" spans="1:15" ht="15" customHeight="1">
      <c r="A51" s="9" t="s">
        <v>202</v>
      </c>
      <c r="B51" s="64">
        <f t="shared" si="11"/>
        <v>0.13</v>
      </c>
      <c r="C51" s="31">
        <v>5</v>
      </c>
      <c r="D51" s="12" t="s">
        <v>28</v>
      </c>
      <c r="E51" s="13" t="s">
        <v>119</v>
      </c>
      <c r="F51" s="32" t="s">
        <v>86</v>
      </c>
      <c r="G51" s="66">
        <v>17.265000000000001</v>
      </c>
      <c r="H51" s="15">
        <f t="shared" si="1"/>
        <v>207.18</v>
      </c>
      <c r="I51" s="68">
        <f t="shared" si="3"/>
        <v>230.14</v>
      </c>
      <c r="J51" s="15">
        <f t="shared" si="2"/>
        <v>241.71</v>
      </c>
      <c r="K51" s="71"/>
      <c r="L51" s="63">
        <f t="shared" si="4"/>
        <v>198.59</v>
      </c>
      <c r="M51" s="63">
        <f t="shared" si="5"/>
        <v>138.12</v>
      </c>
      <c r="N51" s="63">
        <f t="shared" si="6"/>
        <v>153.43</v>
      </c>
      <c r="O51" s="63">
        <f t="shared" si="7"/>
        <v>161.13999999999999</v>
      </c>
    </row>
    <row r="52" spans="1:15" ht="15" customHeight="1">
      <c r="A52" s="9" t="s">
        <v>202</v>
      </c>
      <c r="B52" s="64">
        <f t="shared" si="11"/>
        <v>0.13</v>
      </c>
      <c r="C52" s="31">
        <v>5</v>
      </c>
      <c r="D52" s="12" t="s">
        <v>28</v>
      </c>
      <c r="E52" s="13" t="s">
        <v>119</v>
      </c>
      <c r="F52" s="32" t="s">
        <v>117</v>
      </c>
      <c r="G52" s="66">
        <v>17.176000000000002</v>
      </c>
      <c r="H52" s="15">
        <f t="shared" si="1"/>
        <v>206.11</v>
      </c>
      <c r="I52" s="68">
        <f t="shared" si="3"/>
        <v>228.96</v>
      </c>
      <c r="J52" s="15">
        <f t="shared" si="2"/>
        <v>240.46</v>
      </c>
      <c r="K52" s="71"/>
      <c r="L52" s="63">
        <f t="shared" si="4"/>
        <v>197.56</v>
      </c>
      <c r="M52" s="63">
        <f t="shared" si="5"/>
        <v>137.41</v>
      </c>
      <c r="N52" s="63">
        <f t="shared" si="6"/>
        <v>152.63999999999999</v>
      </c>
      <c r="O52" s="63">
        <f t="shared" si="7"/>
        <v>160.31</v>
      </c>
    </row>
    <row r="53" spans="1:15" ht="15" customHeight="1">
      <c r="A53" s="9" t="s">
        <v>202</v>
      </c>
      <c r="B53" s="64">
        <f t="shared" si="11"/>
        <v>0.13</v>
      </c>
      <c r="C53" s="31">
        <v>5.2</v>
      </c>
      <c r="D53" s="12" t="s">
        <v>28</v>
      </c>
      <c r="E53" s="13" t="s">
        <v>119</v>
      </c>
      <c r="F53" s="32" t="s">
        <v>86</v>
      </c>
      <c r="G53" s="66">
        <v>17.335000000000001</v>
      </c>
      <c r="H53" s="15">
        <f t="shared" si="1"/>
        <v>208.02</v>
      </c>
      <c r="I53" s="68">
        <f t="shared" si="3"/>
        <v>231.08</v>
      </c>
      <c r="J53" s="15">
        <f t="shared" si="2"/>
        <v>242.69</v>
      </c>
      <c r="K53" s="71"/>
      <c r="L53" s="63">
        <f t="shared" si="4"/>
        <v>199.39</v>
      </c>
      <c r="M53" s="63">
        <f t="shared" si="5"/>
        <v>138.68</v>
      </c>
      <c r="N53" s="63">
        <f t="shared" si="6"/>
        <v>154.05000000000001</v>
      </c>
      <c r="O53" s="63">
        <f t="shared" si="7"/>
        <v>161.79</v>
      </c>
    </row>
    <row r="54" spans="1:15" ht="15" customHeight="1">
      <c r="A54" s="9" t="s">
        <v>202</v>
      </c>
      <c r="B54" s="64">
        <f t="shared" si="11"/>
        <v>0.13</v>
      </c>
      <c r="C54" s="31">
        <v>5.2</v>
      </c>
      <c r="D54" s="12" t="s">
        <v>28</v>
      </c>
      <c r="E54" s="13" t="s">
        <v>119</v>
      </c>
      <c r="F54" s="32" t="s">
        <v>117</v>
      </c>
      <c r="G54" s="66">
        <v>17.176000000000002</v>
      </c>
      <c r="H54" s="15">
        <f t="shared" si="1"/>
        <v>206.11</v>
      </c>
      <c r="I54" s="68">
        <f t="shared" si="3"/>
        <v>228.96</v>
      </c>
      <c r="J54" s="15">
        <f t="shared" si="2"/>
        <v>240.46</v>
      </c>
      <c r="K54" s="71"/>
      <c r="L54" s="63">
        <f t="shared" si="4"/>
        <v>197.56</v>
      </c>
      <c r="M54" s="63">
        <f t="shared" si="5"/>
        <v>137.41</v>
      </c>
      <c r="N54" s="63">
        <f t="shared" si="6"/>
        <v>152.63999999999999</v>
      </c>
      <c r="O54" s="63">
        <f t="shared" si="7"/>
        <v>160.31</v>
      </c>
    </row>
    <row r="55" spans="1:15" ht="15" customHeight="1">
      <c r="A55" s="9" t="s">
        <v>202</v>
      </c>
      <c r="B55" s="64">
        <f t="shared" si="11"/>
        <v>0.14000000000000001</v>
      </c>
      <c r="C55" s="31">
        <v>5.5</v>
      </c>
      <c r="D55" s="12" t="s">
        <v>28</v>
      </c>
      <c r="E55" s="13" t="s">
        <v>119</v>
      </c>
      <c r="F55" s="32" t="s">
        <v>86</v>
      </c>
      <c r="G55" s="66">
        <v>17.335000000000001</v>
      </c>
      <c r="H55" s="15">
        <f t="shared" si="1"/>
        <v>208.02</v>
      </c>
      <c r="I55" s="68">
        <f t="shared" si="3"/>
        <v>231.08</v>
      </c>
      <c r="J55" s="15">
        <f t="shared" si="2"/>
        <v>242.69</v>
      </c>
      <c r="K55" s="71"/>
      <c r="L55" s="63">
        <f t="shared" si="4"/>
        <v>199.39</v>
      </c>
      <c r="M55" s="63">
        <f t="shared" si="5"/>
        <v>138.68</v>
      </c>
      <c r="N55" s="63">
        <f t="shared" si="6"/>
        <v>154.05000000000001</v>
      </c>
      <c r="O55" s="63">
        <f t="shared" si="7"/>
        <v>161.79</v>
      </c>
    </row>
    <row r="56" spans="1:15" ht="15" customHeight="1">
      <c r="A56" s="9" t="s">
        <v>202</v>
      </c>
      <c r="B56" s="64">
        <f t="shared" si="11"/>
        <v>0.15</v>
      </c>
      <c r="C56" s="31">
        <v>6</v>
      </c>
      <c r="D56" s="12" t="s">
        <v>28</v>
      </c>
      <c r="E56" s="13" t="s">
        <v>119</v>
      </c>
      <c r="F56" s="32" t="s">
        <v>86</v>
      </c>
      <c r="G56" s="66">
        <v>17.225999999999999</v>
      </c>
      <c r="H56" s="15">
        <f t="shared" si="1"/>
        <v>206.71</v>
      </c>
      <c r="I56" s="68">
        <f t="shared" si="3"/>
        <v>229.62</v>
      </c>
      <c r="J56" s="15">
        <f t="shared" si="2"/>
        <v>241.16</v>
      </c>
      <c r="K56" s="71"/>
      <c r="L56" s="63">
        <f t="shared" si="4"/>
        <v>198.14</v>
      </c>
      <c r="M56" s="63">
        <f t="shared" si="5"/>
        <v>137.81</v>
      </c>
      <c r="N56" s="63">
        <f t="shared" si="6"/>
        <v>153.08000000000001</v>
      </c>
      <c r="O56" s="63">
        <f t="shared" si="7"/>
        <v>160.77000000000001</v>
      </c>
    </row>
    <row r="57" spans="1:15" ht="15" customHeight="1">
      <c r="A57" s="9" t="s">
        <v>202</v>
      </c>
      <c r="B57" s="64">
        <f t="shared" si="11"/>
        <v>0.15</v>
      </c>
      <c r="C57" s="31">
        <v>6</v>
      </c>
      <c r="D57" s="12" t="s">
        <v>28</v>
      </c>
      <c r="E57" s="13" t="s">
        <v>119</v>
      </c>
      <c r="F57" s="32" t="s">
        <v>117</v>
      </c>
      <c r="G57" s="66">
        <v>17.265000000000001</v>
      </c>
      <c r="H57" s="15">
        <f t="shared" si="1"/>
        <v>207.18</v>
      </c>
      <c r="I57" s="68">
        <f t="shared" si="3"/>
        <v>230.14</v>
      </c>
      <c r="J57" s="15">
        <f t="shared" si="2"/>
        <v>241.71</v>
      </c>
      <c r="K57" s="71"/>
      <c r="L57" s="63">
        <f t="shared" si="4"/>
        <v>198.59</v>
      </c>
      <c r="M57" s="63">
        <f t="shared" si="5"/>
        <v>138.12</v>
      </c>
      <c r="N57" s="63">
        <f t="shared" si="6"/>
        <v>153.43</v>
      </c>
      <c r="O57" s="63">
        <f t="shared" si="7"/>
        <v>161.13999999999999</v>
      </c>
    </row>
    <row r="58" spans="1:15" ht="15" customHeight="1">
      <c r="A58" s="9" t="s">
        <v>202</v>
      </c>
      <c r="B58" s="64">
        <f t="shared" si="11"/>
        <v>0.16</v>
      </c>
      <c r="C58" s="31">
        <v>6.2</v>
      </c>
      <c r="D58" s="12" t="s">
        <v>28</v>
      </c>
      <c r="E58" s="13" t="s">
        <v>119</v>
      </c>
      <c r="F58" s="32" t="s">
        <v>117</v>
      </c>
      <c r="G58" s="66">
        <v>17.367000000000001</v>
      </c>
      <c r="H58" s="15">
        <f t="shared" si="1"/>
        <v>208.4</v>
      </c>
      <c r="I58" s="68">
        <f t="shared" si="3"/>
        <v>231.5</v>
      </c>
      <c r="J58" s="15">
        <f t="shared" si="2"/>
        <v>243.14</v>
      </c>
      <c r="K58" s="71"/>
      <c r="L58" s="63">
        <f t="shared" si="4"/>
        <v>199.76</v>
      </c>
      <c r="M58" s="63">
        <f t="shared" si="5"/>
        <v>138.93</v>
      </c>
      <c r="N58" s="63">
        <f t="shared" si="6"/>
        <v>154.33000000000001</v>
      </c>
      <c r="O58" s="63">
        <f t="shared" si="7"/>
        <v>162.09</v>
      </c>
    </row>
    <row r="59" spans="1:15" ht="15" customHeight="1">
      <c r="A59" s="9" t="s">
        <v>202</v>
      </c>
      <c r="B59" s="64">
        <f t="shared" si="11"/>
        <v>0.18</v>
      </c>
      <c r="C59" s="31">
        <v>7</v>
      </c>
      <c r="D59" s="12" t="s">
        <v>28</v>
      </c>
      <c r="E59" s="13" t="s">
        <v>119</v>
      </c>
      <c r="F59" s="32" t="s">
        <v>117</v>
      </c>
      <c r="G59" s="66">
        <v>17.367000000000001</v>
      </c>
      <c r="H59" s="15">
        <f t="shared" si="1"/>
        <v>208.4</v>
      </c>
      <c r="I59" s="68">
        <f t="shared" si="3"/>
        <v>231.5</v>
      </c>
      <c r="J59" s="15">
        <f t="shared" si="2"/>
        <v>243.14</v>
      </c>
      <c r="K59" s="71"/>
      <c r="L59" s="63">
        <f t="shared" si="4"/>
        <v>199.76</v>
      </c>
      <c r="M59" s="63">
        <f t="shared" si="5"/>
        <v>138.93</v>
      </c>
      <c r="N59" s="63">
        <f t="shared" si="6"/>
        <v>154.33000000000001</v>
      </c>
      <c r="O59" s="63">
        <f t="shared" si="7"/>
        <v>162.09</v>
      </c>
    </row>
    <row r="60" spans="1:15" ht="15" customHeight="1">
      <c r="A60" s="9" t="s">
        <v>202</v>
      </c>
      <c r="B60" s="64">
        <f t="shared" si="11"/>
        <v>0.18</v>
      </c>
      <c r="C60" s="31">
        <v>7</v>
      </c>
      <c r="D60" s="12" t="s">
        <v>28</v>
      </c>
      <c r="E60" s="13" t="s">
        <v>119</v>
      </c>
      <c r="F60" s="32" t="s">
        <v>87</v>
      </c>
      <c r="G60" s="66">
        <v>18.093</v>
      </c>
      <c r="H60" s="15">
        <f t="shared" si="1"/>
        <v>217.12</v>
      </c>
      <c r="I60" s="68">
        <f t="shared" si="3"/>
        <v>241.18</v>
      </c>
      <c r="J60" s="15">
        <f t="shared" si="2"/>
        <v>253.3</v>
      </c>
      <c r="K60" s="71"/>
      <c r="L60" s="63">
        <f t="shared" si="4"/>
        <v>208.12</v>
      </c>
      <c r="M60" s="63">
        <f t="shared" si="5"/>
        <v>144.75</v>
      </c>
      <c r="N60" s="63">
        <f t="shared" si="6"/>
        <v>160.79</v>
      </c>
      <c r="O60" s="63">
        <f t="shared" si="7"/>
        <v>168.87</v>
      </c>
    </row>
    <row r="61" spans="1:15" ht="15" customHeight="1">
      <c r="A61" s="9" t="s">
        <v>202</v>
      </c>
      <c r="B61" s="64">
        <f t="shared" si="11"/>
        <v>0.2</v>
      </c>
      <c r="C61" s="31">
        <v>8</v>
      </c>
      <c r="D61" s="12" t="s">
        <v>28</v>
      </c>
      <c r="E61" s="13" t="s">
        <v>119</v>
      </c>
      <c r="F61" s="32" t="s">
        <v>87</v>
      </c>
      <c r="G61" s="66">
        <v>19.948999999999998</v>
      </c>
      <c r="H61" s="15">
        <f t="shared" si="1"/>
        <v>239.39</v>
      </c>
      <c r="I61" s="68">
        <f t="shared" si="3"/>
        <v>265.92</v>
      </c>
      <c r="J61" s="15">
        <f t="shared" si="2"/>
        <v>279.29000000000002</v>
      </c>
      <c r="K61" s="71"/>
      <c r="L61" s="63">
        <f t="shared" si="4"/>
        <v>229.46</v>
      </c>
      <c r="M61" s="63">
        <f t="shared" si="5"/>
        <v>159.59</v>
      </c>
      <c r="N61" s="63">
        <f t="shared" si="6"/>
        <v>177.28</v>
      </c>
      <c r="O61" s="63">
        <f t="shared" si="7"/>
        <v>186.19</v>
      </c>
    </row>
    <row r="62" spans="1:15" ht="15" customHeight="1">
      <c r="A62" s="9" t="s">
        <v>202</v>
      </c>
      <c r="B62" s="64">
        <f t="shared" si="11"/>
        <v>0.25</v>
      </c>
      <c r="C62" s="31">
        <v>10</v>
      </c>
      <c r="D62" s="12" t="s">
        <v>28</v>
      </c>
      <c r="E62" s="13" t="s">
        <v>119</v>
      </c>
      <c r="F62" s="32" t="s">
        <v>89</v>
      </c>
      <c r="G62" s="66">
        <v>20.710999999999999</v>
      </c>
      <c r="H62" s="15">
        <f t="shared" si="1"/>
        <v>248.53</v>
      </c>
      <c r="I62" s="68">
        <f t="shared" si="3"/>
        <v>276.08</v>
      </c>
      <c r="J62" s="15">
        <f t="shared" si="2"/>
        <v>289.95</v>
      </c>
      <c r="K62" s="71"/>
      <c r="L62" s="63">
        <f t="shared" si="4"/>
        <v>238.22</v>
      </c>
      <c r="M62" s="63">
        <f t="shared" si="5"/>
        <v>165.69</v>
      </c>
      <c r="N62" s="63">
        <f t="shared" si="6"/>
        <v>184.05</v>
      </c>
      <c r="O62" s="63">
        <f t="shared" si="7"/>
        <v>193.3</v>
      </c>
    </row>
    <row r="63" spans="1:15" ht="15" customHeight="1">
      <c r="A63" s="9" t="s">
        <v>202</v>
      </c>
      <c r="B63" s="64">
        <f t="shared" si="11"/>
        <v>0.38</v>
      </c>
      <c r="C63" s="31">
        <v>15</v>
      </c>
      <c r="D63" s="12" t="s">
        <v>28</v>
      </c>
      <c r="E63" s="13" t="s">
        <v>119</v>
      </c>
      <c r="F63" s="32" t="s">
        <v>90</v>
      </c>
      <c r="G63" s="66">
        <v>23.24</v>
      </c>
      <c r="H63" s="15">
        <f t="shared" si="1"/>
        <v>278.88</v>
      </c>
      <c r="I63" s="68">
        <f t="shared" si="3"/>
        <v>309.79000000000002</v>
      </c>
      <c r="J63" s="15">
        <f t="shared" si="2"/>
        <v>325.36</v>
      </c>
      <c r="K63" s="71"/>
      <c r="L63" s="63">
        <f t="shared" si="4"/>
        <v>267.32</v>
      </c>
      <c r="M63" s="63">
        <f t="shared" si="5"/>
        <v>185.92</v>
      </c>
      <c r="N63" s="63">
        <f t="shared" si="6"/>
        <v>206.53</v>
      </c>
      <c r="O63" s="63">
        <f t="shared" si="7"/>
        <v>216.91</v>
      </c>
    </row>
    <row r="64" spans="1:15" ht="15" customHeight="1">
      <c r="A64" s="9" t="s">
        <v>202</v>
      </c>
      <c r="B64" s="64">
        <f t="shared" si="11"/>
        <v>0.46</v>
      </c>
      <c r="C64" s="31">
        <v>18</v>
      </c>
      <c r="D64" s="12" t="s">
        <v>28</v>
      </c>
      <c r="E64" s="13" t="s">
        <v>119</v>
      </c>
      <c r="F64" s="32" t="s">
        <v>129</v>
      </c>
      <c r="G64" s="66">
        <v>31.349</v>
      </c>
      <c r="H64" s="15">
        <f t="shared" si="1"/>
        <v>376.19</v>
      </c>
      <c r="I64" s="68">
        <f t="shared" si="3"/>
        <v>417.88</v>
      </c>
      <c r="J64" s="15">
        <f t="shared" si="2"/>
        <v>438.89</v>
      </c>
      <c r="K64" s="71"/>
      <c r="L64" s="63">
        <f t="shared" si="4"/>
        <v>360.59</v>
      </c>
      <c r="M64" s="63">
        <f t="shared" si="5"/>
        <v>250.79</v>
      </c>
      <c r="N64" s="63">
        <f t="shared" si="6"/>
        <v>278.58999999999997</v>
      </c>
      <c r="O64" s="63">
        <f t="shared" si="7"/>
        <v>292.58999999999997</v>
      </c>
    </row>
    <row r="65" spans="1:15" ht="15" customHeight="1">
      <c r="A65" s="9" t="s">
        <v>203</v>
      </c>
      <c r="B65" s="64">
        <f t="shared" si="11"/>
        <v>0.51</v>
      </c>
      <c r="C65" s="31">
        <v>20</v>
      </c>
      <c r="D65" s="12" t="s">
        <v>28</v>
      </c>
      <c r="E65" s="13" t="s">
        <v>119</v>
      </c>
      <c r="F65" s="32" t="s">
        <v>91</v>
      </c>
      <c r="G65" s="66">
        <v>31.087</v>
      </c>
      <c r="H65" s="15">
        <f t="shared" si="1"/>
        <v>373.04</v>
      </c>
      <c r="I65" s="68">
        <f t="shared" si="3"/>
        <v>414.39</v>
      </c>
      <c r="J65" s="15">
        <f t="shared" si="2"/>
        <v>435.22</v>
      </c>
      <c r="K65" s="71"/>
      <c r="L65" s="63">
        <f t="shared" si="4"/>
        <v>357.57</v>
      </c>
      <c r="M65" s="63">
        <f t="shared" si="5"/>
        <v>248.69</v>
      </c>
      <c r="N65" s="63">
        <f t="shared" si="6"/>
        <v>276.26</v>
      </c>
      <c r="O65" s="63">
        <f t="shared" si="7"/>
        <v>290.14999999999998</v>
      </c>
    </row>
    <row r="66" spans="1:15" ht="15" customHeight="1">
      <c r="A66" s="9" t="s">
        <v>202</v>
      </c>
      <c r="B66" s="64">
        <f t="shared" si="11"/>
        <v>0.64</v>
      </c>
      <c r="C66" s="31">
        <v>25.2</v>
      </c>
      <c r="D66" s="12" t="s">
        <v>28</v>
      </c>
      <c r="E66" s="13" t="s">
        <v>119</v>
      </c>
      <c r="F66" s="32" t="s">
        <v>88</v>
      </c>
      <c r="G66" s="66">
        <v>33.856000000000002</v>
      </c>
      <c r="H66" s="15">
        <f t="shared" si="1"/>
        <v>406.27</v>
      </c>
      <c r="I66" s="68">
        <f t="shared" si="3"/>
        <v>451.3</v>
      </c>
      <c r="J66" s="15">
        <f t="shared" si="2"/>
        <v>473.98</v>
      </c>
      <c r="K66" s="71"/>
      <c r="L66" s="63">
        <f t="shared" si="4"/>
        <v>389.43</v>
      </c>
      <c r="M66" s="63">
        <f t="shared" si="5"/>
        <v>270.85000000000002</v>
      </c>
      <c r="N66" s="63">
        <f t="shared" si="6"/>
        <v>300.87</v>
      </c>
      <c r="O66" s="63">
        <f t="shared" si="7"/>
        <v>315.99</v>
      </c>
    </row>
    <row r="67" spans="1:15" ht="15" customHeight="1">
      <c r="A67" s="9" t="s">
        <v>202</v>
      </c>
      <c r="B67" s="64">
        <f t="shared" si="11"/>
        <v>0.79</v>
      </c>
      <c r="C67" s="31">
        <v>31.1</v>
      </c>
      <c r="D67" s="12" t="s">
        <v>28</v>
      </c>
      <c r="E67" s="13" t="s">
        <v>119</v>
      </c>
      <c r="F67" s="32" t="s">
        <v>131</v>
      </c>
      <c r="G67" s="66">
        <v>37.673999999999999</v>
      </c>
      <c r="H67" s="15">
        <f t="shared" si="1"/>
        <v>452.09</v>
      </c>
      <c r="I67" s="68">
        <f t="shared" si="3"/>
        <v>502.19</v>
      </c>
      <c r="J67" s="15">
        <f t="shared" si="2"/>
        <v>527.44000000000005</v>
      </c>
      <c r="K67" s="71"/>
      <c r="L67" s="63">
        <f t="shared" si="4"/>
        <v>433.35</v>
      </c>
      <c r="M67" s="63">
        <f t="shared" si="5"/>
        <v>301.39</v>
      </c>
      <c r="N67" s="63">
        <f t="shared" si="6"/>
        <v>334.79</v>
      </c>
      <c r="O67" s="63">
        <f t="shared" si="7"/>
        <v>351.63</v>
      </c>
    </row>
    <row r="68" spans="1:15" ht="15" customHeight="1">
      <c r="A68" s="9" t="s">
        <v>202</v>
      </c>
      <c r="B68" s="64">
        <f t="shared" si="11"/>
        <v>0.08</v>
      </c>
      <c r="C68" s="31">
        <v>3</v>
      </c>
      <c r="D68" s="13" t="s">
        <v>25</v>
      </c>
      <c r="E68" s="13" t="s">
        <v>137</v>
      </c>
      <c r="F68" s="32" t="s">
        <v>81</v>
      </c>
      <c r="G68" s="66">
        <v>10.396000000000001</v>
      </c>
      <c r="H68" s="15">
        <f t="shared" si="1"/>
        <v>124.75</v>
      </c>
      <c r="I68" s="68">
        <f>ROUND(G68*13.33,2)</f>
        <v>138.58000000000001</v>
      </c>
      <c r="J68" s="15">
        <f t="shared" si="2"/>
        <v>145.54</v>
      </c>
      <c r="K68" s="71">
        <v>9.9989419109089095E-2</v>
      </c>
      <c r="L68" s="63">
        <f>ROUND(ROUND(ROUND(G68*12,2)*43/48,2)*1.07,2)</f>
        <v>119.58</v>
      </c>
      <c r="M68" s="63">
        <f>ROUND(ROUND(G68*12,2)*2/3,2)</f>
        <v>83.17</v>
      </c>
      <c r="N68" s="63">
        <f>ROUND(ROUND(G68*13.33,2)*2/3,2)</f>
        <v>92.39</v>
      </c>
      <c r="O68" s="63">
        <f>ROUND(ROUND(G68*14,2)*2/3,2)</f>
        <v>97.03</v>
      </c>
    </row>
    <row r="69" spans="1:15" ht="15" customHeight="1">
      <c r="A69" s="9" t="s">
        <v>202</v>
      </c>
      <c r="B69" s="64">
        <f t="shared" si="11"/>
        <v>0.08</v>
      </c>
      <c r="C69" s="31">
        <v>3</v>
      </c>
      <c r="D69" s="13" t="s">
        <v>25</v>
      </c>
      <c r="E69" s="13" t="s">
        <v>137</v>
      </c>
      <c r="F69" s="32" t="s">
        <v>122</v>
      </c>
      <c r="G69" s="66">
        <v>10.414999999999999</v>
      </c>
      <c r="H69" s="15">
        <f t="shared" si="1"/>
        <v>124.98</v>
      </c>
      <c r="I69" s="68">
        <f t="shared" ref="I69:I150" si="12">ROUND(G69*13.33,2)</f>
        <v>138.83000000000001</v>
      </c>
      <c r="J69" s="15">
        <f t="shared" si="2"/>
        <v>145.81</v>
      </c>
      <c r="K69" s="71">
        <v>0.1000211237853823</v>
      </c>
      <c r="L69" s="63">
        <f t="shared" ref="L69:L144" si="13">ROUND(ROUND(ROUND(G69*12,2)*43/48,2)*1.07,2)</f>
        <v>119.8</v>
      </c>
      <c r="M69" s="63">
        <f t="shared" ref="M69:M144" si="14">ROUND(ROUND(G69*12,2)*2/3,2)</f>
        <v>83.32</v>
      </c>
      <c r="N69" s="63">
        <f t="shared" ref="N69:N144" si="15">ROUND(ROUND(G69*13.33,2)*2/3,2)</f>
        <v>92.55</v>
      </c>
      <c r="O69" s="63">
        <f t="shared" ref="O69:O144" si="16">ROUND(ROUND(G69*14,2)*2/3,2)</f>
        <v>97.21</v>
      </c>
    </row>
    <row r="70" spans="1:15" ht="15" customHeight="1">
      <c r="A70" s="9" t="s">
        <v>202</v>
      </c>
      <c r="B70" s="64">
        <f t="shared" si="11"/>
        <v>0.09</v>
      </c>
      <c r="C70" s="31">
        <v>3.5</v>
      </c>
      <c r="D70" s="13" t="s">
        <v>25</v>
      </c>
      <c r="E70" s="13" t="s">
        <v>137</v>
      </c>
      <c r="F70" s="32" t="s">
        <v>83</v>
      </c>
      <c r="G70" s="66">
        <v>10.35</v>
      </c>
      <c r="H70" s="15">
        <f t="shared" si="1"/>
        <v>124.2</v>
      </c>
      <c r="I70" s="68">
        <f t="shared" si="12"/>
        <v>137.97</v>
      </c>
      <c r="J70" s="15">
        <f t="shared" si="2"/>
        <v>144.9</v>
      </c>
      <c r="K70" s="71">
        <v>0.10001062812201078</v>
      </c>
      <c r="L70" s="63">
        <f t="shared" si="13"/>
        <v>119.05</v>
      </c>
      <c r="M70" s="63">
        <f t="shared" si="14"/>
        <v>82.8</v>
      </c>
      <c r="N70" s="63">
        <f t="shared" si="15"/>
        <v>91.98</v>
      </c>
      <c r="O70" s="63">
        <f t="shared" si="16"/>
        <v>96.6</v>
      </c>
    </row>
    <row r="71" spans="1:15" ht="15" customHeight="1">
      <c r="A71" s="9" t="s">
        <v>202</v>
      </c>
      <c r="B71" s="64">
        <f t="shared" si="11"/>
        <v>0.09</v>
      </c>
      <c r="C71" s="31">
        <v>3.5</v>
      </c>
      <c r="D71" s="13" t="s">
        <v>25</v>
      </c>
      <c r="E71" s="13" t="s">
        <v>137</v>
      </c>
      <c r="F71" s="32" t="s">
        <v>83</v>
      </c>
      <c r="G71" s="66">
        <v>10.613</v>
      </c>
      <c r="H71" s="15">
        <f t="shared" si="1"/>
        <v>127.36</v>
      </c>
      <c r="I71" s="68">
        <f t="shared" si="12"/>
        <v>141.47</v>
      </c>
      <c r="J71" s="15">
        <f t="shared" si="2"/>
        <v>148.58000000000001</v>
      </c>
      <c r="K71" s="71">
        <v>0.10002072968490872</v>
      </c>
      <c r="L71" s="63">
        <f t="shared" si="13"/>
        <v>122.08</v>
      </c>
      <c r="M71" s="63">
        <f t="shared" si="14"/>
        <v>84.91</v>
      </c>
      <c r="N71" s="63">
        <f t="shared" si="15"/>
        <v>94.31</v>
      </c>
      <c r="O71" s="63">
        <f t="shared" si="16"/>
        <v>99.05</v>
      </c>
    </row>
    <row r="72" spans="1:15" ht="15" customHeight="1">
      <c r="A72" s="9" t="s">
        <v>202</v>
      </c>
      <c r="B72" s="64">
        <f t="shared" si="11"/>
        <v>0.09</v>
      </c>
      <c r="C72" s="31">
        <v>3.5</v>
      </c>
      <c r="D72" s="13" t="s">
        <v>25</v>
      </c>
      <c r="E72" s="13" t="s">
        <v>137</v>
      </c>
      <c r="F72" s="32" t="s">
        <v>85</v>
      </c>
      <c r="G72" s="66">
        <v>11.673</v>
      </c>
      <c r="H72" s="15">
        <f t="shared" si="1"/>
        <v>140.08000000000001</v>
      </c>
      <c r="I72" s="68">
        <f t="shared" si="12"/>
        <v>155.6</v>
      </c>
      <c r="J72" s="15">
        <f t="shared" si="2"/>
        <v>163.41999999999999</v>
      </c>
      <c r="K72" s="71">
        <v>9.9981153411232482E-2</v>
      </c>
      <c r="L72" s="63">
        <f t="shared" si="13"/>
        <v>134.27000000000001</v>
      </c>
      <c r="M72" s="63">
        <f t="shared" si="14"/>
        <v>93.39</v>
      </c>
      <c r="N72" s="63">
        <f t="shared" si="15"/>
        <v>103.73</v>
      </c>
      <c r="O72" s="63">
        <f t="shared" si="16"/>
        <v>108.95</v>
      </c>
    </row>
    <row r="73" spans="1:15" ht="15" customHeight="1">
      <c r="A73" s="9" t="s">
        <v>202</v>
      </c>
      <c r="B73" s="64">
        <f t="shared" si="11"/>
        <v>0.1</v>
      </c>
      <c r="C73" s="31">
        <v>4</v>
      </c>
      <c r="D73" s="13" t="s">
        <v>25</v>
      </c>
      <c r="E73" s="13" t="s">
        <v>137</v>
      </c>
      <c r="F73" s="32" t="s">
        <v>85</v>
      </c>
      <c r="G73" s="66">
        <v>11.711</v>
      </c>
      <c r="H73" s="15">
        <f t="shared" si="1"/>
        <v>140.53</v>
      </c>
      <c r="I73" s="68">
        <f t="shared" si="12"/>
        <v>156.11000000000001</v>
      </c>
      <c r="J73" s="15">
        <f t="shared" si="2"/>
        <v>163.95</v>
      </c>
      <c r="K73" s="71">
        <v>0.10003757279729464</v>
      </c>
      <c r="L73" s="63">
        <f t="shared" si="13"/>
        <v>134.69999999999999</v>
      </c>
      <c r="M73" s="63">
        <f t="shared" si="14"/>
        <v>93.69</v>
      </c>
      <c r="N73" s="63">
        <f t="shared" si="15"/>
        <v>104.07</v>
      </c>
      <c r="O73" s="63">
        <f t="shared" si="16"/>
        <v>109.3</v>
      </c>
    </row>
    <row r="74" spans="1:15" ht="15" customHeight="1">
      <c r="A74" s="9" t="s">
        <v>202</v>
      </c>
      <c r="B74" s="64">
        <f t="shared" si="11"/>
        <v>0.1</v>
      </c>
      <c r="C74" s="31">
        <v>4</v>
      </c>
      <c r="D74" s="13" t="s">
        <v>25</v>
      </c>
      <c r="E74" s="13" t="s">
        <v>137</v>
      </c>
      <c r="F74" s="32" t="s">
        <v>84</v>
      </c>
      <c r="G74" s="66">
        <v>10.504</v>
      </c>
      <c r="H74" s="15">
        <f t="shared" si="1"/>
        <v>126.05</v>
      </c>
      <c r="I74" s="68">
        <f t="shared" si="12"/>
        <v>140.02000000000001</v>
      </c>
      <c r="J74" s="15">
        <f t="shared" si="2"/>
        <v>147.06</v>
      </c>
      <c r="K74" s="71">
        <v>0.10001047230076443</v>
      </c>
      <c r="L74" s="63">
        <f t="shared" si="13"/>
        <v>120.82</v>
      </c>
      <c r="M74" s="63">
        <f t="shared" si="14"/>
        <v>84.03</v>
      </c>
      <c r="N74" s="63">
        <f t="shared" si="15"/>
        <v>93.35</v>
      </c>
      <c r="O74" s="63">
        <f t="shared" si="16"/>
        <v>98.04</v>
      </c>
    </row>
    <row r="75" spans="1:15" ht="15" customHeight="1">
      <c r="A75" s="9" t="s">
        <v>202</v>
      </c>
      <c r="B75" s="64">
        <f t="shared" si="11"/>
        <v>0.1</v>
      </c>
      <c r="C75" s="31">
        <v>4</v>
      </c>
      <c r="D75" s="13" t="s">
        <v>25</v>
      </c>
      <c r="E75" s="13" t="s">
        <v>137</v>
      </c>
      <c r="F75" s="32" t="s">
        <v>83</v>
      </c>
      <c r="G75" s="66">
        <v>10.592000000000001</v>
      </c>
      <c r="H75" s="15">
        <f t="shared" si="1"/>
        <v>127.1</v>
      </c>
      <c r="I75" s="68">
        <f t="shared" si="12"/>
        <v>141.19</v>
      </c>
      <c r="J75" s="15">
        <f t="shared" si="2"/>
        <v>148.29</v>
      </c>
      <c r="K75" s="71">
        <v>0.10001038529442319</v>
      </c>
      <c r="L75" s="63">
        <f t="shared" si="13"/>
        <v>121.83</v>
      </c>
      <c r="M75" s="63">
        <f t="shared" si="14"/>
        <v>84.73</v>
      </c>
      <c r="N75" s="63">
        <f t="shared" si="15"/>
        <v>94.13</v>
      </c>
      <c r="O75" s="63">
        <f t="shared" si="16"/>
        <v>98.86</v>
      </c>
    </row>
    <row r="76" spans="1:15" ht="15" customHeight="1">
      <c r="A76" s="9" t="s">
        <v>202</v>
      </c>
      <c r="B76" s="64">
        <f t="shared" si="11"/>
        <v>0.11</v>
      </c>
      <c r="C76" s="31">
        <v>4.5</v>
      </c>
      <c r="D76" s="13" t="s">
        <v>25</v>
      </c>
      <c r="E76" s="13" t="s">
        <v>137</v>
      </c>
      <c r="F76" s="32" t="s">
        <v>83</v>
      </c>
      <c r="G76" s="66">
        <v>11.33</v>
      </c>
      <c r="H76" s="15">
        <f t="shared" si="1"/>
        <v>135.96</v>
      </c>
      <c r="I76" s="68">
        <f t="shared" si="12"/>
        <v>151.03</v>
      </c>
      <c r="J76" s="15">
        <f t="shared" si="2"/>
        <v>158.62</v>
      </c>
      <c r="K76" s="71">
        <v>9.9999999999999867E-2</v>
      </c>
      <c r="L76" s="63">
        <f t="shared" si="13"/>
        <v>130.33000000000001</v>
      </c>
      <c r="M76" s="63">
        <f t="shared" si="14"/>
        <v>90.64</v>
      </c>
      <c r="N76" s="63">
        <f t="shared" si="15"/>
        <v>100.69</v>
      </c>
      <c r="O76" s="63">
        <f t="shared" si="16"/>
        <v>105.75</v>
      </c>
    </row>
    <row r="77" spans="1:15" ht="15" customHeight="1">
      <c r="A77" s="9" t="s">
        <v>202</v>
      </c>
      <c r="B77" s="64">
        <f t="shared" si="11"/>
        <v>0.11</v>
      </c>
      <c r="C77" s="31">
        <v>4.5</v>
      </c>
      <c r="D77" s="13" t="s">
        <v>25</v>
      </c>
      <c r="E77" s="13" t="s">
        <v>137</v>
      </c>
      <c r="F77" s="32" t="s">
        <v>84</v>
      </c>
      <c r="G77" s="66">
        <v>11.257</v>
      </c>
      <c r="H77" s="15">
        <f t="shared" ref="H77:H157" si="17">ROUND(G77*12,2)</f>
        <v>135.08000000000001</v>
      </c>
      <c r="I77" s="68">
        <f t="shared" si="12"/>
        <v>150.06</v>
      </c>
      <c r="J77" s="15">
        <f t="shared" ref="J77:J157" si="18">ROUND(G77*14,2)</f>
        <v>157.6</v>
      </c>
      <c r="K77" s="71">
        <v>9.996091459839751E-2</v>
      </c>
      <c r="L77" s="63">
        <f t="shared" si="13"/>
        <v>129.47999999999999</v>
      </c>
      <c r="M77" s="63">
        <f t="shared" si="14"/>
        <v>90.05</v>
      </c>
      <c r="N77" s="63">
        <f t="shared" si="15"/>
        <v>100.04</v>
      </c>
      <c r="O77" s="63">
        <f t="shared" si="16"/>
        <v>105.07</v>
      </c>
    </row>
    <row r="78" spans="1:15" ht="15" customHeight="1">
      <c r="A78" s="9" t="s">
        <v>202</v>
      </c>
      <c r="B78" s="64">
        <f t="shared" si="11"/>
        <v>0.13</v>
      </c>
      <c r="C78" s="31">
        <v>5</v>
      </c>
      <c r="D78" s="13" t="s">
        <v>25</v>
      </c>
      <c r="E78" s="13" t="s">
        <v>137</v>
      </c>
      <c r="F78" s="32" t="s">
        <v>84</v>
      </c>
      <c r="G78" s="66">
        <v>11.33</v>
      </c>
      <c r="H78" s="15">
        <f t="shared" si="17"/>
        <v>135.96</v>
      </c>
      <c r="I78" s="68">
        <f t="shared" si="12"/>
        <v>151.03</v>
      </c>
      <c r="J78" s="15">
        <f t="shared" si="18"/>
        <v>158.62</v>
      </c>
      <c r="K78" s="71">
        <v>9.9999999999999867E-2</v>
      </c>
      <c r="L78" s="63">
        <f t="shared" si="13"/>
        <v>130.33000000000001</v>
      </c>
      <c r="M78" s="63">
        <f t="shared" si="14"/>
        <v>90.64</v>
      </c>
      <c r="N78" s="63">
        <f t="shared" si="15"/>
        <v>100.69</v>
      </c>
      <c r="O78" s="63">
        <f t="shared" si="16"/>
        <v>105.75</v>
      </c>
    </row>
    <row r="79" spans="1:15" ht="15" customHeight="1">
      <c r="A79" s="9" t="s">
        <v>202</v>
      </c>
      <c r="B79" s="64">
        <f t="shared" si="11"/>
        <v>0.13</v>
      </c>
      <c r="C79" s="31">
        <v>5</v>
      </c>
      <c r="D79" s="13" t="s">
        <v>25</v>
      </c>
      <c r="E79" s="13" t="s">
        <v>137</v>
      </c>
      <c r="F79" s="32" t="s">
        <v>86</v>
      </c>
      <c r="G79" s="66">
        <v>11.701000000000001</v>
      </c>
      <c r="H79" s="15">
        <f t="shared" si="17"/>
        <v>140.41</v>
      </c>
      <c r="I79" s="68">
        <f t="shared" si="12"/>
        <v>155.97</v>
      </c>
      <c r="J79" s="15">
        <f t="shared" si="18"/>
        <v>163.81</v>
      </c>
      <c r="K79" s="71">
        <v>0.10002820344081975</v>
      </c>
      <c r="L79" s="63">
        <f t="shared" si="13"/>
        <v>134.58000000000001</v>
      </c>
      <c r="M79" s="63">
        <f t="shared" si="14"/>
        <v>93.61</v>
      </c>
      <c r="N79" s="63">
        <f t="shared" si="15"/>
        <v>103.98</v>
      </c>
      <c r="O79" s="63">
        <f t="shared" si="16"/>
        <v>109.21</v>
      </c>
    </row>
    <row r="80" spans="1:15" ht="15" customHeight="1">
      <c r="A80" s="9" t="s">
        <v>202</v>
      </c>
      <c r="B80" s="64">
        <f t="shared" si="11"/>
        <v>0.13</v>
      </c>
      <c r="C80" s="31">
        <v>5</v>
      </c>
      <c r="D80" s="13" t="s">
        <v>25</v>
      </c>
      <c r="E80" s="13" t="s">
        <v>137</v>
      </c>
      <c r="F80" s="32" t="s">
        <v>117</v>
      </c>
      <c r="G80" s="66">
        <v>12.782</v>
      </c>
      <c r="H80" s="15">
        <f t="shared" si="17"/>
        <v>153.38</v>
      </c>
      <c r="I80" s="68">
        <f t="shared" si="12"/>
        <v>170.38</v>
      </c>
      <c r="J80" s="15">
        <f t="shared" si="18"/>
        <v>178.95</v>
      </c>
      <c r="K80" s="71">
        <v>0.10000000000000009</v>
      </c>
      <c r="L80" s="63">
        <f t="shared" si="13"/>
        <v>147.02000000000001</v>
      </c>
      <c r="M80" s="63">
        <f t="shared" si="14"/>
        <v>102.25</v>
      </c>
      <c r="N80" s="63">
        <f t="shared" si="15"/>
        <v>113.59</v>
      </c>
      <c r="O80" s="63">
        <f t="shared" si="16"/>
        <v>119.3</v>
      </c>
    </row>
    <row r="81" spans="1:15" ht="15" customHeight="1">
      <c r="A81" s="9" t="s">
        <v>202</v>
      </c>
      <c r="B81" s="64">
        <f t="shared" si="11"/>
        <v>0.13</v>
      </c>
      <c r="C81" s="31">
        <v>5.2</v>
      </c>
      <c r="D81" s="13" t="s">
        <v>25</v>
      </c>
      <c r="E81" s="13" t="s">
        <v>137</v>
      </c>
      <c r="F81" s="32" t="s">
        <v>86</v>
      </c>
      <c r="G81" s="66">
        <v>11.877000000000001</v>
      </c>
      <c r="H81" s="15">
        <f t="shared" si="17"/>
        <v>142.52000000000001</v>
      </c>
      <c r="I81" s="68">
        <f t="shared" si="12"/>
        <v>158.32</v>
      </c>
      <c r="J81" s="15">
        <f t="shared" si="18"/>
        <v>166.28</v>
      </c>
      <c r="K81" s="71">
        <v>0.10002778549597102</v>
      </c>
      <c r="L81" s="63">
        <f t="shared" si="13"/>
        <v>136.61000000000001</v>
      </c>
      <c r="M81" s="63">
        <f t="shared" si="14"/>
        <v>95.01</v>
      </c>
      <c r="N81" s="63">
        <f t="shared" si="15"/>
        <v>105.55</v>
      </c>
      <c r="O81" s="63">
        <f t="shared" si="16"/>
        <v>110.85</v>
      </c>
    </row>
    <row r="82" spans="1:15" ht="15" customHeight="1">
      <c r="A82" s="9" t="s">
        <v>202</v>
      </c>
      <c r="B82" s="64">
        <f t="shared" si="11"/>
        <v>0.13</v>
      </c>
      <c r="C82" s="31">
        <v>5.2</v>
      </c>
      <c r="D82" s="13" t="s">
        <v>25</v>
      </c>
      <c r="E82" s="13" t="s">
        <v>137</v>
      </c>
      <c r="F82" s="32" t="s">
        <v>117</v>
      </c>
      <c r="G82" s="66">
        <v>13.03</v>
      </c>
      <c r="H82" s="15">
        <f t="shared" si="17"/>
        <v>156.36000000000001</v>
      </c>
      <c r="I82" s="68">
        <f t="shared" si="12"/>
        <v>173.69</v>
      </c>
      <c r="J82" s="15">
        <f t="shared" si="18"/>
        <v>182.42</v>
      </c>
      <c r="K82" s="71">
        <v>0.10004221190375673</v>
      </c>
      <c r="L82" s="63">
        <f t="shared" si="13"/>
        <v>149.87</v>
      </c>
      <c r="M82" s="63">
        <f t="shared" si="14"/>
        <v>104.24</v>
      </c>
      <c r="N82" s="63">
        <f t="shared" si="15"/>
        <v>115.79</v>
      </c>
      <c r="O82" s="63">
        <f t="shared" si="16"/>
        <v>121.61</v>
      </c>
    </row>
    <row r="83" spans="1:15" ht="15" customHeight="1">
      <c r="A83" s="9" t="s">
        <v>202</v>
      </c>
      <c r="B83" s="64">
        <f t="shared" si="11"/>
        <v>0.14000000000000001</v>
      </c>
      <c r="C83" s="31">
        <v>5.5</v>
      </c>
      <c r="D83" s="13" t="s">
        <v>25</v>
      </c>
      <c r="E83" s="13" t="s">
        <v>137</v>
      </c>
      <c r="F83" s="32" t="s">
        <v>86</v>
      </c>
      <c r="G83" s="66">
        <v>12.471</v>
      </c>
      <c r="H83" s="15">
        <f t="shared" si="17"/>
        <v>149.65</v>
      </c>
      <c r="I83" s="68">
        <f t="shared" si="12"/>
        <v>166.24</v>
      </c>
      <c r="J83" s="15">
        <f t="shared" si="18"/>
        <v>174.59</v>
      </c>
      <c r="K83" s="71">
        <v>0.10002646202699128</v>
      </c>
      <c r="L83" s="63">
        <f t="shared" si="13"/>
        <v>143.44</v>
      </c>
      <c r="M83" s="63">
        <f t="shared" si="14"/>
        <v>99.77</v>
      </c>
      <c r="N83" s="63">
        <f t="shared" si="15"/>
        <v>110.83</v>
      </c>
      <c r="O83" s="63">
        <f t="shared" si="16"/>
        <v>116.39</v>
      </c>
    </row>
    <row r="84" spans="1:15" ht="15" customHeight="1">
      <c r="A84" s="9" t="s">
        <v>202</v>
      </c>
      <c r="B84" s="64">
        <f t="shared" si="11"/>
        <v>0.15</v>
      </c>
      <c r="C84" s="31">
        <v>6</v>
      </c>
      <c r="D84" s="13" t="s">
        <v>25</v>
      </c>
      <c r="E84" s="13" t="s">
        <v>137</v>
      </c>
      <c r="F84" s="32" t="s">
        <v>86</v>
      </c>
      <c r="G84" s="66">
        <v>12.471</v>
      </c>
      <c r="H84" s="15">
        <f t="shared" si="17"/>
        <v>149.65</v>
      </c>
      <c r="I84" s="68">
        <f t="shared" si="12"/>
        <v>166.24</v>
      </c>
      <c r="J84" s="15">
        <f t="shared" si="18"/>
        <v>174.59</v>
      </c>
      <c r="K84" s="71">
        <v>0.10002646202699128</v>
      </c>
      <c r="L84" s="63">
        <f t="shared" si="13"/>
        <v>143.44</v>
      </c>
      <c r="M84" s="63">
        <f t="shared" si="14"/>
        <v>99.77</v>
      </c>
      <c r="N84" s="63">
        <f t="shared" si="15"/>
        <v>110.83</v>
      </c>
      <c r="O84" s="63">
        <f t="shared" si="16"/>
        <v>116.39</v>
      </c>
    </row>
    <row r="85" spans="1:15" ht="15" customHeight="1">
      <c r="A85" s="9" t="s">
        <v>202</v>
      </c>
      <c r="B85" s="64">
        <f t="shared" si="11"/>
        <v>0.15</v>
      </c>
      <c r="C85" s="31">
        <v>6</v>
      </c>
      <c r="D85" s="13" t="s">
        <v>25</v>
      </c>
      <c r="E85" s="13" t="s">
        <v>137</v>
      </c>
      <c r="F85" s="32" t="s">
        <v>117</v>
      </c>
      <c r="G85" s="66">
        <v>13.537000000000001</v>
      </c>
      <c r="H85" s="15">
        <f t="shared" si="17"/>
        <v>162.44</v>
      </c>
      <c r="I85" s="68">
        <f t="shared" si="12"/>
        <v>180.45</v>
      </c>
      <c r="J85" s="15">
        <f t="shared" si="18"/>
        <v>189.52</v>
      </c>
      <c r="K85" s="71">
        <v>0.10003250446936462</v>
      </c>
      <c r="L85" s="63">
        <f t="shared" si="13"/>
        <v>155.71</v>
      </c>
      <c r="M85" s="63">
        <f t="shared" si="14"/>
        <v>108.29</v>
      </c>
      <c r="N85" s="63">
        <f t="shared" si="15"/>
        <v>120.3</v>
      </c>
      <c r="O85" s="63">
        <f t="shared" si="16"/>
        <v>126.35</v>
      </c>
    </row>
    <row r="86" spans="1:15" ht="15" customHeight="1">
      <c r="A86" s="9" t="s">
        <v>202</v>
      </c>
      <c r="B86" s="64">
        <f t="shared" si="11"/>
        <v>0.16</v>
      </c>
      <c r="C86" s="31">
        <v>6.2</v>
      </c>
      <c r="D86" s="13" t="s">
        <v>25</v>
      </c>
      <c r="E86" s="13" t="s">
        <v>137</v>
      </c>
      <c r="F86" s="32" t="s">
        <v>117</v>
      </c>
      <c r="G86" s="66">
        <v>13.537000000000001</v>
      </c>
      <c r="H86" s="15">
        <f t="shared" si="17"/>
        <v>162.44</v>
      </c>
      <c r="I86" s="68">
        <f t="shared" si="12"/>
        <v>180.45</v>
      </c>
      <c r="J86" s="15">
        <f t="shared" si="18"/>
        <v>189.52</v>
      </c>
      <c r="K86" s="71">
        <v>0.10003250446936462</v>
      </c>
      <c r="L86" s="63">
        <f t="shared" si="13"/>
        <v>155.71</v>
      </c>
      <c r="M86" s="63">
        <f t="shared" si="14"/>
        <v>108.29</v>
      </c>
      <c r="N86" s="63">
        <f t="shared" si="15"/>
        <v>120.3</v>
      </c>
      <c r="O86" s="63">
        <f t="shared" si="16"/>
        <v>126.35</v>
      </c>
    </row>
    <row r="87" spans="1:15" ht="15" customHeight="1">
      <c r="A87" s="9" t="s">
        <v>202</v>
      </c>
      <c r="B87" s="64">
        <f t="shared" si="11"/>
        <v>0.18</v>
      </c>
      <c r="C87" s="31">
        <v>7</v>
      </c>
      <c r="D87" s="13" t="s">
        <v>25</v>
      </c>
      <c r="E87" s="13" t="s">
        <v>137</v>
      </c>
      <c r="F87" s="32" t="s">
        <v>117</v>
      </c>
      <c r="G87" s="66">
        <v>13.537000000000001</v>
      </c>
      <c r="H87" s="15">
        <f t="shared" si="17"/>
        <v>162.44</v>
      </c>
      <c r="I87" s="68">
        <f t="shared" si="12"/>
        <v>180.45</v>
      </c>
      <c r="J87" s="15">
        <f t="shared" si="18"/>
        <v>189.52</v>
      </c>
      <c r="K87" s="71">
        <v>0.10003250446936462</v>
      </c>
      <c r="L87" s="63">
        <f t="shared" si="13"/>
        <v>155.71</v>
      </c>
      <c r="M87" s="63">
        <f t="shared" si="14"/>
        <v>108.29</v>
      </c>
      <c r="N87" s="63">
        <f t="shared" si="15"/>
        <v>120.3</v>
      </c>
      <c r="O87" s="63">
        <f t="shared" si="16"/>
        <v>126.35</v>
      </c>
    </row>
    <row r="88" spans="1:15" ht="15" customHeight="1">
      <c r="A88" s="9" t="s">
        <v>202</v>
      </c>
      <c r="B88" s="64">
        <f t="shared" si="11"/>
        <v>0.18</v>
      </c>
      <c r="C88" s="31">
        <v>7</v>
      </c>
      <c r="D88" s="13" t="s">
        <v>25</v>
      </c>
      <c r="E88" s="13" t="s">
        <v>137</v>
      </c>
      <c r="F88" s="32" t="s">
        <v>87</v>
      </c>
      <c r="G88" s="66">
        <v>14.044</v>
      </c>
      <c r="H88" s="15">
        <f t="shared" si="17"/>
        <v>168.53</v>
      </c>
      <c r="I88" s="68">
        <f t="shared" si="12"/>
        <v>187.21</v>
      </c>
      <c r="J88" s="15">
        <f t="shared" si="18"/>
        <v>196.62</v>
      </c>
      <c r="K88" s="71">
        <v>0.1000234980809902</v>
      </c>
      <c r="L88" s="63">
        <f t="shared" si="13"/>
        <v>161.54</v>
      </c>
      <c r="M88" s="63">
        <f t="shared" si="14"/>
        <v>112.35</v>
      </c>
      <c r="N88" s="63">
        <f t="shared" si="15"/>
        <v>124.81</v>
      </c>
      <c r="O88" s="63">
        <f t="shared" si="16"/>
        <v>131.08000000000001</v>
      </c>
    </row>
    <row r="89" spans="1:15" ht="15" customHeight="1">
      <c r="A89" s="9" t="s">
        <v>202</v>
      </c>
      <c r="B89" s="64">
        <f t="shared" si="11"/>
        <v>0.25</v>
      </c>
      <c r="C89" s="31">
        <v>10</v>
      </c>
      <c r="D89" s="13" t="s">
        <v>25</v>
      </c>
      <c r="E89" s="13" t="s">
        <v>137</v>
      </c>
      <c r="F89" s="32" t="s">
        <v>89</v>
      </c>
      <c r="G89" s="66">
        <v>16.202999999999999</v>
      </c>
      <c r="H89" s="15">
        <f t="shared" si="17"/>
        <v>194.44</v>
      </c>
      <c r="I89" s="68">
        <f t="shared" si="12"/>
        <v>215.99</v>
      </c>
      <c r="J89" s="15">
        <f t="shared" si="18"/>
        <v>226.84</v>
      </c>
      <c r="K89" s="71">
        <v>9.9999999999999867E-2</v>
      </c>
      <c r="L89" s="63">
        <f t="shared" si="13"/>
        <v>186.38</v>
      </c>
      <c r="M89" s="63">
        <f t="shared" si="14"/>
        <v>129.63</v>
      </c>
      <c r="N89" s="63">
        <f t="shared" si="15"/>
        <v>143.99</v>
      </c>
      <c r="O89" s="63">
        <f t="shared" si="16"/>
        <v>151.22999999999999</v>
      </c>
    </row>
    <row r="90" spans="1:15" ht="15" customHeight="1">
      <c r="A90" s="9" t="s">
        <v>202</v>
      </c>
      <c r="B90" s="64">
        <f t="shared" si="11"/>
        <v>0.38</v>
      </c>
      <c r="C90" s="31">
        <v>15</v>
      </c>
      <c r="D90" s="13" t="s">
        <v>25</v>
      </c>
      <c r="E90" s="13" t="s">
        <v>137</v>
      </c>
      <c r="F90" s="32" t="s">
        <v>90</v>
      </c>
      <c r="G90" s="66">
        <v>19.533999999999999</v>
      </c>
      <c r="H90" s="15">
        <f t="shared" si="17"/>
        <v>234.41</v>
      </c>
      <c r="I90" s="68">
        <f t="shared" si="12"/>
        <v>260.39</v>
      </c>
      <c r="J90" s="15">
        <f t="shared" si="18"/>
        <v>273.48</v>
      </c>
      <c r="K90" s="71">
        <v>0.10001126252956416</v>
      </c>
      <c r="L90" s="63">
        <f t="shared" si="13"/>
        <v>224.69</v>
      </c>
      <c r="M90" s="63">
        <f t="shared" si="14"/>
        <v>156.27000000000001</v>
      </c>
      <c r="N90" s="63">
        <f t="shared" si="15"/>
        <v>173.59</v>
      </c>
      <c r="O90" s="63">
        <f t="shared" si="16"/>
        <v>182.32</v>
      </c>
    </row>
    <row r="91" spans="1:15" ht="15" customHeight="1">
      <c r="A91" s="9" t="s">
        <v>202</v>
      </c>
      <c r="B91" s="64">
        <f t="shared" si="11"/>
        <v>0.51</v>
      </c>
      <c r="C91" s="31">
        <v>20</v>
      </c>
      <c r="D91" s="13" t="s">
        <v>25</v>
      </c>
      <c r="E91" s="13" t="s">
        <v>137</v>
      </c>
      <c r="F91" s="32" t="s">
        <v>91</v>
      </c>
      <c r="G91" s="66">
        <v>26.260999999999999</v>
      </c>
      <c r="H91" s="15">
        <f t="shared" si="17"/>
        <v>315.13</v>
      </c>
      <c r="I91" s="68">
        <f t="shared" si="12"/>
        <v>350.06</v>
      </c>
      <c r="J91" s="15">
        <f t="shared" si="18"/>
        <v>367.65</v>
      </c>
      <c r="K91" s="71">
        <v>9.9983245371533913E-2</v>
      </c>
      <c r="L91" s="63">
        <f t="shared" si="13"/>
        <v>302.06</v>
      </c>
      <c r="M91" s="63">
        <f t="shared" si="14"/>
        <v>210.09</v>
      </c>
      <c r="N91" s="63">
        <f t="shared" si="15"/>
        <v>233.37</v>
      </c>
      <c r="O91" s="63">
        <f t="shared" si="16"/>
        <v>245.1</v>
      </c>
    </row>
    <row r="92" spans="1:15" ht="15" customHeight="1">
      <c r="A92" s="9" t="s">
        <v>202</v>
      </c>
      <c r="B92" s="64">
        <f t="shared" si="11"/>
        <v>0.64</v>
      </c>
      <c r="C92" s="31">
        <v>25</v>
      </c>
      <c r="D92" s="13" t="s">
        <v>25</v>
      </c>
      <c r="E92" s="13" t="s">
        <v>137</v>
      </c>
      <c r="F92" s="32" t="s">
        <v>88</v>
      </c>
      <c r="G92" s="66">
        <v>30.553000000000001</v>
      </c>
      <c r="H92" s="15">
        <f t="shared" si="17"/>
        <v>366.64</v>
      </c>
      <c r="I92" s="68">
        <f t="shared" si="12"/>
        <v>407.27</v>
      </c>
      <c r="J92" s="15">
        <f t="shared" si="18"/>
        <v>427.74</v>
      </c>
      <c r="K92" s="71">
        <v>0.10001800180018017</v>
      </c>
      <c r="L92" s="63">
        <f t="shared" si="13"/>
        <v>351.44</v>
      </c>
      <c r="M92" s="63">
        <f t="shared" si="14"/>
        <v>244.43</v>
      </c>
      <c r="N92" s="63">
        <f t="shared" si="15"/>
        <v>271.51</v>
      </c>
      <c r="O92" s="63">
        <f t="shared" si="16"/>
        <v>285.16000000000003</v>
      </c>
    </row>
    <row r="93" spans="1:15" ht="15" customHeight="1">
      <c r="A93" s="9" t="s">
        <v>202</v>
      </c>
      <c r="B93" s="64">
        <f t="shared" si="11"/>
        <v>0.79</v>
      </c>
      <c r="C93" s="31">
        <v>31</v>
      </c>
      <c r="D93" s="13" t="s">
        <v>25</v>
      </c>
      <c r="E93" s="13" t="s">
        <v>137</v>
      </c>
      <c r="F93" s="32" t="s">
        <v>131</v>
      </c>
      <c r="G93" s="66">
        <v>34.372999999999998</v>
      </c>
      <c r="H93" s="15">
        <f t="shared" si="17"/>
        <v>412.48</v>
      </c>
      <c r="I93" s="68">
        <f t="shared" si="12"/>
        <v>458.19</v>
      </c>
      <c r="J93" s="15">
        <f t="shared" si="18"/>
        <v>481.22</v>
      </c>
      <c r="K93" s="71">
        <v>0.10000640040962616</v>
      </c>
      <c r="L93" s="63">
        <f t="shared" si="13"/>
        <v>395.38</v>
      </c>
      <c r="M93" s="63">
        <f t="shared" si="14"/>
        <v>274.99</v>
      </c>
      <c r="N93" s="63">
        <f t="shared" si="15"/>
        <v>305.45999999999998</v>
      </c>
      <c r="O93" s="63">
        <f t="shared" si="16"/>
        <v>320.81</v>
      </c>
    </row>
    <row r="94" spans="1:15" ht="15" customHeight="1">
      <c r="A94" s="9" t="s">
        <v>202</v>
      </c>
      <c r="B94" s="64">
        <f>ROUND(C94*0.0254,3)</f>
        <v>7.5999999999999998E-2</v>
      </c>
      <c r="C94" s="31">
        <v>3</v>
      </c>
      <c r="D94" s="12" t="s">
        <v>28</v>
      </c>
      <c r="E94" s="13" t="s">
        <v>137</v>
      </c>
      <c r="F94" s="32" t="s">
        <v>81</v>
      </c>
      <c r="G94" s="66">
        <v>12.896000000000001</v>
      </c>
      <c r="H94" s="15">
        <f t="shared" si="17"/>
        <v>154.75</v>
      </c>
      <c r="I94" s="68">
        <f t="shared" si="12"/>
        <v>171.9</v>
      </c>
      <c r="J94" s="15">
        <f t="shared" si="18"/>
        <v>180.54</v>
      </c>
      <c r="K94" s="71">
        <v>9.9965881951552316E-2</v>
      </c>
      <c r="L94" s="63">
        <f t="shared" si="13"/>
        <v>148.33000000000001</v>
      </c>
      <c r="M94" s="63">
        <f t="shared" si="14"/>
        <v>103.17</v>
      </c>
      <c r="N94" s="63">
        <f t="shared" si="15"/>
        <v>114.6</v>
      </c>
      <c r="O94" s="63">
        <f t="shared" si="16"/>
        <v>120.36</v>
      </c>
    </row>
    <row r="95" spans="1:15" ht="15" customHeight="1">
      <c r="A95" s="9" t="s">
        <v>202</v>
      </c>
      <c r="B95" s="64">
        <f t="shared" ref="B95:B98" si="19">ROUND(C95*0.0254,3)</f>
        <v>7.5999999999999998E-2</v>
      </c>
      <c r="C95" s="31">
        <v>3</v>
      </c>
      <c r="D95" s="12" t="s">
        <v>28</v>
      </c>
      <c r="E95" s="13" t="s">
        <v>137</v>
      </c>
      <c r="F95" s="32" t="s">
        <v>122</v>
      </c>
      <c r="G95" s="66">
        <v>13.061</v>
      </c>
      <c r="H95" s="15">
        <f t="shared" si="17"/>
        <v>156.72999999999999</v>
      </c>
      <c r="I95" s="68">
        <f t="shared" si="12"/>
        <v>174.1</v>
      </c>
      <c r="J95" s="15">
        <f t="shared" si="18"/>
        <v>182.85</v>
      </c>
      <c r="K95" s="71">
        <v>9.9966312952669556E-2</v>
      </c>
      <c r="L95" s="63">
        <f t="shared" si="13"/>
        <v>150.22999999999999</v>
      </c>
      <c r="M95" s="63">
        <f t="shared" si="14"/>
        <v>104.49</v>
      </c>
      <c r="N95" s="63">
        <f t="shared" si="15"/>
        <v>116.07</v>
      </c>
      <c r="O95" s="63">
        <f t="shared" si="16"/>
        <v>121.9</v>
      </c>
    </row>
    <row r="96" spans="1:15" ht="15" customHeight="1">
      <c r="A96" s="9" t="s">
        <v>202</v>
      </c>
      <c r="B96" s="64">
        <f t="shared" si="19"/>
        <v>8.8999999999999996E-2</v>
      </c>
      <c r="C96" s="31">
        <v>3.5</v>
      </c>
      <c r="D96" s="12" t="s">
        <v>28</v>
      </c>
      <c r="E96" s="13" t="s">
        <v>137</v>
      </c>
      <c r="F96" s="32" t="s">
        <v>83</v>
      </c>
      <c r="G96" s="66">
        <v>12.955</v>
      </c>
      <c r="H96" s="15">
        <f t="shared" si="17"/>
        <v>155.46</v>
      </c>
      <c r="I96" s="68">
        <f t="shared" si="12"/>
        <v>172.69</v>
      </c>
      <c r="J96" s="15">
        <f t="shared" si="18"/>
        <v>181.37</v>
      </c>
      <c r="K96" s="71">
        <v>0.10002547338031764</v>
      </c>
      <c r="L96" s="63">
        <f t="shared" si="13"/>
        <v>149.02000000000001</v>
      </c>
      <c r="M96" s="63">
        <f t="shared" si="14"/>
        <v>103.64</v>
      </c>
      <c r="N96" s="63">
        <f t="shared" si="15"/>
        <v>115.13</v>
      </c>
      <c r="O96" s="63">
        <f t="shared" si="16"/>
        <v>120.91</v>
      </c>
    </row>
    <row r="97" spans="1:15" ht="15" customHeight="1">
      <c r="A97" s="9" t="s">
        <v>202</v>
      </c>
      <c r="B97" s="64">
        <f t="shared" ref="B97" si="20">ROUND(C97*0.0254,2)</f>
        <v>0.09</v>
      </c>
      <c r="C97" s="31">
        <v>3.5</v>
      </c>
      <c r="D97" s="12" t="s">
        <v>28</v>
      </c>
      <c r="E97" s="13" t="s">
        <v>137</v>
      </c>
      <c r="F97" s="32" t="s">
        <v>85</v>
      </c>
      <c r="G97" s="66">
        <v>16.260999999999999</v>
      </c>
      <c r="H97" s="15">
        <f t="shared" si="17"/>
        <v>195.13</v>
      </c>
      <c r="I97" s="68">
        <f t="shared" si="12"/>
        <v>216.76</v>
      </c>
      <c r="J97" s="15">
        <f t="shared" si="18"/>
        <v>227.65</v>
      </c>
      <c r="K97" s="71">
        <v>9.9979706419536019E-2</v>
      </c>
      <c r="L97" s="63">
        <f t="shared" si="13"/>
        <v>187.04</v>
      </c>
      <c r="M97" s="63">
        <f t="shared" si="14"/>
        <v>130.09</v>
      </c>
      <c r="N97" s="63">
        <f t="shared" si="15"/>
        <v>144.51</v>
      </c>
      <c r="O97" s="63">
        <f t="shared" si="16"/>
        <v>151.77000000000001</v>
      </c>
    </row>
    <row r="98" spans="1:15" ht="15" customHeight="1">
      <c r="A98" s="9" t="s">
        <v>202</v>
      </c>
      <c r="B98" s="64">
        <f t="shared" si="19"/>
        <v>9.0999999999999998E-2</v>
      </c>
      <c r="C98" s="31">
        <v>3.6</v>
      </c>
      <c r="D98" s="12" t="s">
        <v>28</v>
      </c>
      <c r="E98" s="13" t="s">
        <v>137</v>
      </c>
      <c r="F98" s="32" t="s">
        <v>83</v>
      </c>
      <c r="G98" s="66">
        <v>13.005000000000001</v>
      </c>
      <c r="H98" s="15">
        <f t="shared" si="17"/>
        <v>156.06</v>
      </c>
      <c r="I98" s="68">
        <f t="shared" si="12"/>
        <v>173.36</v>
      </c>
      <c r="J98" s="15">
        <f t="shared" si="18"/>
        <v>182.07</v>
      </c>
      <c r="K98" s="71">
        <v>9.9974625729510214E-2</v>
      </c>
      <c r="L98" s="63">
        <f t="shared" si="13"/>
        <v>149.59</v>
      </c>
      <c r="M98" s="63">
        <f t="shared" si="14"/>
        <v>104.04</v>
      </c>
      <c r="N98" s="63">
        <f t="shared" si="15"/>
        <v>115.57</v>
      </c>
      <c r="O98" s="63">
        <f t="shared" si="16"/>
        <v>121.38</v>
      </c>
    </row>
    <row r="99" spans="1:15" ht="15" customHeight="1">
      <c r="A99" s="9" t="s">
        <v>202</v>
      </c>
      <c r="B99" s="64">
        <f t="shared" si="11"/>
        <v>0.1</v>
      </c>
      <c r="C99" s="31">
        <v>4</v>
      </c>
      <c r="D99" s="12" t="s">
        <v>28</v>
      </c>
      <c r="E99" s="13" t="s">
        <v>137</v>
      </c>
      <c r="F99" s="32" t="s">
        <v>85</v>
      </c>
      <c r="G99" s="66">
        <v>16.010999999999999</v>
      </c>
      <c r="H99" s="15">
        <f t="shared" si="17"/>
        <v>192.13</v>
      </c>
      <c r="I99" s="68">
        <f t="shared" si="12"/>
        <v>213.43</v>
      </c>
      <c r="J99" s="15">
        <f t="shared" si="18"/>
        <v>224.15</v>
      </c>
      <c r="K99" s="71">
        <v>0.10003435245620063</v>
      </c>
      <c r="L99" s="63">
        <f t="shared" si="13"/>
        <v>184.17</v>
      </c>
      <c r="M99" s="63">
        <f t="shared" si="14"/>
        <v>128.09</v>
      </c>
      <c r="N99" s="63">
        <f t="shared" si="15"/>
        <v>142.29</v>
      </c>
      <c r="O99" s="63">
        <f t="shared" si="16"/>
        <v>149.43</v>
      </c>
    </row>
    <row r="100" spans="1:15" ht="15" customHeight="1">
      <c r="A100" s="9" t="s">
        <v>202</v>
      </c>
      <c r="B100" s="64">
        <f t="shared" si="11"/>
        <v>0.1</v>
      </c>
      <c r="C100" s="31">
        <v>4</v>
      </c>
      <c r="D100" s="12" t="s">
        <v>28</v>
      </c>
      <c r="E100" s="13" t="s">
        <v>137</v>
      </c>
      <c r="F100" s="32" t="s">
        <v>84</v>
      </c>
      <c r="G100" s="66">
        <v>13.058999999999999</v>
      </c>
      <c r="H100" s="15">
        <f t="shared" si="17"/>
        <v>156.71</v>
      </c>
      <c r="I100" s="68">
        <f t="shared" si="12"/>
        <v>174.08</v>
      </c>
      <c r="J100" s="15">
        <f t="shared" si="18"/>
        <v>182.83</v>
      </c>
      <c r="K100" s="71">
        <v>9.9983153638814048E-2</v>
      </c>
      <c r="L100" s="63">
        <f t="shared" si="13"/>
        <v>150.22</v>
      </c>
      <c r="M100" s="63">
        <f t="shared" si="14"/>
        <v>104.47</v>
      </c>
      <c r="N100" s="63">
        <f t="shared" si="15"/>
        <v>116.05</v>
      </c>
      <c r="O100" s="63">
        <f t="shared" si="16"/>
        <v>121.89</v>
      </c>
    </row>
    <row r="101" spans="1:15" ht="15" customHeight="1">
      <c r="A101" s="9" t="s">
        <v>202</v>
      </c>
      <c r="B101" s="64">
        <f t="shared" si="11"/>
        <v>0.1</v>
      </c>
      <c r="C101" s="31">
        <v>4</v>
      </c>
      <c r="D101" s="12" t="s">
        <v>28</v>
      </c>
      <c r="E101" s="13" t="s">
        <v>137</v>
      </c>
      <c r="F101" s="32" t="s">
        <v>83</v>
      </c>
      <c r="G101" s="66">
        <v>13.192</v>
      </c>
      <c r="H101" s="15">
        <f t="shared" si="17"/>
        <v>158.30000000000001</v>
      </c>
      <c r="I101" s="68">
        <f t="shared" si="12"/>
        <v>175.85</v>
      </c>
      <c r="J101" s="15">
        <f t="shared" si="18"/>
        <v>184.69</v>
      </c>
      <c r="K101" s="71">
        <v>9.9974985408154637E-2</v>
      </c>
      <c r="L101" s="63">
        <f t="shared" si="13"/>
        <v>151.74</v>
      </c>
      <c r="M101" s="63">
        <f t="shared" si="14"/>
        <v>105.53</v>
      </c>
      <c r="N101" s="63">
        <f t="shared" si="15"/>
        <v>117.23</v>
      </c>
      <c r="O101" s="63">
        <f t="shared" si="16"/>
        <v>123.13</v>
      </c>
    </row>
    <row r="102" spans="1:15" ht="15" customHeight="1">
      <c r="A102" s="9" t="s">
        <v>202</v>
      </c>
      <c r="B102" s="64">
        <f t="shared" si="11"/>
        <v>0.11</v>
      </c>
      <c r="C102" s="31">
        <v>4.5</v>
      </c>
      <c r="D102" s="12" t="s">
        <v>28</v>
      </c>
      <c r="E102" s="13" t="s">
        <v>137</v>
      </c>
      <c r="F102" s="32" t="s">
        <v>83</v>
      </c>
      <c r="G102" s="66">
        <v>13.917999999999999</v>
      </c>
      <c r="H102" s="15">
        <f t="shared" si="17"/>
        <v>167.02</v>
      </c>
      <c r="I102" s="68">
        <f t="shared" si="12"/>
        <v>185.53</v>
      </c>
      <c r="J102" s="15">
        <f t="shared" si="18"/>
        <v>194.85</v>
      </c>
      <c r="K102" s="71">
        <v>9.9976290207855811E-2</v>
      </c>
      <c r="L102" s="63">
        <f t="shared" si="13"/>
        <v>160.09</v>
      </c>
      <c r="M102" s="63">
        <f t="shared" si="14"/>
        <v>111.35</v>
      </c>
      <c r="N102" s="63">
        <f t="shared" si="15"/>
        <v>123.69</v>
      </c>
      <c r="O102" s="63">
        <f t="shared" si="16"/>
        <v>129.9</v>
      </c>
    </row>
    <row r="103" spans="1:15" ht="15" customHeight="1">
      <c r="A103" s="9" t="s">
        <v>202</v>
      </c>
      <c r="B103" s="64">
        <f t="shared" si="11"/>
        <v>0.11</v>
      </c>
      <c r="C103" s="31">
        <v>4.5</v>
      </c>
      <c r="D103" s="12" t="s">
        <v>28</v>
      </c>
      <c r="E103" s="13" t="s">
        <v>137</v>
      </c>
      <c r="F103" s="32" t="s">
        <v>84</v>
      </c>
      <c r="G103" s="66">
        <v>13.89</v>
      </c>
      <c r="H103" s="15">
        <f t="shared" si="17"/>
        <v>166.68</v>
      </c>
      <c r="I103" s="68">
        <f t="shared" si="12"/>
        <v>185.15</v>
      </c>
      <c r="J103" s="15">
        <f t="shared" si="18"/>
        <v>194.46</v>
      </c>
      <c r="K103" s="71">
        <v>0.10002375861249702</v>
      </c>
      <c r="L103" s="63">
        <f t="shared" si="13"/>
        <v>159.77000000000001</v>
      </c>
      <c r="M103" s="63">
        <f t="shared" si="14"/>
        <v>111.12</v>
      </c>
      <c r="N103" s="63">
        <f t="shared" si="15"/>
        <v>123.43</v>
      </c>
      <c r="O103" s="63">
        <f t="shared" si="16"/>
        <v>129.63999999999999</v>
      </c>
    </row>
    <row r="104" spans="1:15" ht="15" customHeight="1">
      <c r="A104" s="9" t="s">
        <v>202</v>
      </c>
      <c r="B104" s="64">
        <f t="shared" si="11"/>
        <v>0.11</v>
      </c>
      <c r="C104" s="31">
        <v>4.5</v>
      </c>
      <c r="D104" s="12" t="s">
        <v>28</v>
      </c>
      <c r="E104" s="13" t="s">
        <v>137</v>
      </c>
      <c r="F104" s="32" t="s">
        <v>85</v>
      </c>
      <c r="G104" s="66">
        <v>16.641999999999999</v>
      </c>
      <c r="H104" s="15">
        <f t="shared" si="17"/>
        <v>199.7</v>
      </c>
      <c r="I104" s="68">
        <f t="shared" si="12"/>
        <v>221.84</v>
      </c>
      <c r="J104" s="15">
        <f t="shared" si="18"/>
        <v>232.99</v>
      </c>
      <c r="K104" s="71">
        <v>0.10000660982219567</v>
      </c>
      <c r="L104" s="63">
        <f t="shared" si="13"/>
        <v>191.42</v>
      </c>
      <c r="M104" s="63">
        <f t="shared" si="14"/>
        <v>133.13</v>
      </c>
      <c r="N104" s="63">
        <f t="shared" si="15"/>
        <v>147.88999999999999</v>
      </c>
      <c r="O104" s="63">
        <f t="shared" si="16"/>
        <v>155.33000000000001</v>
      </c>
    </row>
    <row r="105" spans="1:15" ht="15" customHeight="1">
      <c r="A105" s="9" t="s">
        <v>202</v>
      </c>
      <c r="B105" s="64">
        <f t="shared" si="11"/>
        <v>0.13</v>
      </c>
      <c r="C105" s="31">
        <v>5</v>
      </c>
      <c r="D105" s="12" t="s">
        <v>28</v>
      </c>
      <c r="E105" s="13" t="s">
        <v>137</v>
      </c>
      <c r="F105" s="32" t="s">
        <v>84</v>
      </c>
      <c r="G105" s="66">
        <v>14.038</v>
      </c>
      <c r="H105" s="15">
        <f t="shared" si="17"/>
        <v>168.46</v>
      </c>
      <c r="I105" s="68">
        <f t="shared" si="12"/>
        <v>187.13</v>
      </c>
      <c r="J105" s="15">
        <f t="shared" si="18"/>
        <v>196.53</v>
      </c>
      <c r="K105" s="71">
        <v>9.99843284751607E-2</v>
      </c>
      <c r="L105" s="63">
        <f t="shared" si="13"/>
        <v>161.47</v>
      </c>
      <c r="M105" s="63">
        <f t="shared" si="14"/>
        <v>112.31</v>
      </c>
      <c r="N105" s="63">
        <f t="shared" si="15"/>
        <v>124.75</v>
      </c>
      <c r="O105" s="63">
        <f t="shared" si="16"/>
        <v>131.02000000000001</v>
      </c>
    </row>
    <row r="106" spans="1:15" ht="15" customHeight="1">
      <c r="A106" s="9" t="s">
        <v>202</v>
      </c>
      <c r="B106" s="64">
        <f t="shared" si="11"/>
        <v>0.13</v>
      </c>
      <c r="C106" s="31">
        <v>5</v>
      </c>
      <c r="D106" s="12" t="s">
        <v>28</v>
      </c>
      <c r="E106" s="13" t="s">
        <v>137</v>
      </c>
      <c r="F106" s="32" t="s">
        <v>86</v>
      </c>
      <c r="G106" s="66">
        <v>15.585000000000001</v>
      </c>
      <c r="H106" s="15">
        <f t="shared" si="17"/>
        <v>187.02</v>
      </c>
      <c r="I106" s="68">
        <f t="shared" si="12"/>
        <v>207.75</v>
      </c>
      <c r="J106" s="15">
        <f t="shared" si="18"/>
        <v>218.19</v>
      </c>
      <c r="K106" s="71">
        <v>0.10001411631846424</v>
      </c>
      <c r="L106" s="63">
        <f t="shared" si="13"/>
        <v>179.27</v>
      </c>
      <c r="M106" s="63">
        <f t="shared" si="14"/>
        <v>124.68</v>
      </c>
      <c r="N106" s="63">
        <f t="shared" si="15"/>
        <v>138.5</v>
      </c>
      <c r="O106" s="63">
        <f t="shared" si="16"/>
        <v>145.46</v>
      </c>
    </row>
    <row r="107" spans="1:15" ht="15" customHeight="1">
      <c r="A107" s="9" t="s">
        <v>202</v>
      </c>
      <c r="B107" s="64">
        <f t="shared" si="11"/>
        <v>0.13</v>
      </c>
      <c r="C107" s="31">
        <v>5</v>
      </c>
      <c r="D107" s="12" t="s">
        <v>28</v>
      </c>
      <c r="E107" s="13" t="s">
        <v>137</v>
      </c>
      <c r="F107" s="32" t="s">
        <v>117</v>
      </c>
      <c r="G107" s="66">
        <v>15.496</v>
      </c>
      <c r="H107" s="15">
        <f t="shared" si="17"/>
        <v>185.95</v>
      </c>
      <c r="I107" s="68">
        <f t="shared" si="12"/>
        <v>206.56</v>
      </c>
      <c r="J107" s="15">
        <f t="shared" si="18"/>
        <v>216.94</v>
      </c>
      <c r="K107" s="71">
        <v>0.10002129623056732</v>
      </c>
      <c r="L107" s="63">
        <f t="shared" si="13"/>
        <v>178.24</v>
      </c>
      <c r="M107" s="63">
        <f t="shared" si="14"/>
        <v>123.97</v>
      </c>
      <c r="N107" s="63">
        <f t="shared" si="15"/>
        <v>137.71</v>
      </c>
      <c r="O107" s="63">
        <f t="shared" si="16"/>
        <v>144.63</v>
      </c>
    </row>
    <row r="108" spans="1:15" ht="15" customHeight="1">
      <c r="A108" s="9" t="s">
        <v>202</v>
      </c>
      <c r="B108" s="64">
        <f t="shared" ref="B108:B188" si="21">ROUND(C108*0.0254,2)</f>
        <v>0.13</v>
      </c>
      <c r="C108" s="31">
        <v>5.2</v>
      </c>
      <c r="D108" s="12" t="s">
        <v>28</v>
      </c>
      <c r="E108" s="13" t="s">
        <v>137</v>
      </c>
      <c r="F108" s="32" t="s">
        <v>86</v>
      </c>
      <c r="G108" s="66">
        <v>15.654999999999999</v>
      </c>
      <c r="H108" s="15">
        <f t="shared" si="17"/>
        <v>187.86</v>
      </c>
      <c r="I108" s="68">
        <f t="shared" si="12"/>
        <v>208.68</v>
      </c>
      <c r="J108" s="15">
        <f t="shared" si="18"/>
        <v>219.17</v>
      </c>
      <c r="K108" s="71">
        <v>9.9985947161326694E-2</v>
      </c>
      <c r="L108" s="63">
        <f t="shared" si="13"/>
        <v>180.07</v>
      </c>
      <c r="M108" s="63">
        <f t="shared" si="14"/>
        <v>125.24</v>
      </c>
      <c r="N108" s="63">
        <f t="shared" si="15"/>
        <v>139.12</v>
      </c>
      <c r="O108" s="63">
        <f t="shared" si="16"/>
        <v>146.11000000000001</v>
      </c>
    </row>
    <row r="109" spans="1:15" ht="15" customHeight="1">
      <c r="A109" s="9" t="s">
        <v>202</v>
      </c>
      <c r="B109" s="64">
        <f t="shared" si="21"/>
        <v>0.13</v>
      </c>
      <c r="C109" s="31">
        <v>5.2</v>
      </c>
      <c r="D109" s="12" t="s">
        <v>28</v>
      </c>
      <c r="E109" s="13" t="s">
        <v>137</v>
      </c>
      <c r="F109" s="32" t="s">
        <v>117</v>
      </c>
      <c r="G109" s="66">
        <v>15.496</v>
      </c>
      <c r="H109" s="15">
        <f t="shared" si="17"/>
        <v>185.95</v>
      </c>
      <c r="I109" s="68">
        <f t="shared" si="12"/>
        <v>206.56</v>
      </c>
      <c r="J109" s="15">
        <f t="shared" si="18"/>
        <v>216.94</v>
      </c>
      <c r="K109" s="71">
        <v>0.10002129623056732</v>
      </c>
      <c r="L109" s="63">
        <f t="shared" si="13"/>
        <v>178.24</v>
      </c>
      <c r="M109" s="63">
        <f t="shared" si="14"/>
        <v>123.97</v>
      </c>
      <c r="N109" s="63">
        <f t="shared" si="15"/>
        <v>137.71</v>
      </c>
      <c r="O109" s="63">
        <f t="shared" si="16"/>
        <v>144.63</v>
      </c>
    </row>
    <row r="110" spans="1:15" ht="15" customHeight="1">
      <c r="A110" s="9" t="s">
        <v>202</v>
      </c>
      <c r="B110" s="64">
        <f t="shared" si="21"/>
        <v>0.14000000000000001</v>
      </c>
      <c r="C110" s="31">
        <v>5.5</v>
      </c>
      <c r="D110" s="12" t="s">
        <v>28</v>
      </c>
      <c r="E110" s="13" t="s">
        <v>137</v>
      </c>
      <c r="F110" s="32" t="s">
        <v>86</v>
      </c>
      <c r="G110" s="66">
        <v>15.654999999999999</v>
      </c>
      <c r="H110" s="15">
        <f t="shared" si="17"/>
        <v>187.86</v>
      </c>
      <c r="I110" s="68">
        <f t="shared" si="12"/>
        <v>208.68</v>
      </c>
      <c r="J110" s="15">
        <f t="shared" si="18"/>
        <v>219.17</v>
      </c>
      <c r="K110" s="71">
        <v>9.9985947161326694E-2</v>
      </c>
      <c r="L110" s="63">
        <f t="shared" si="13"/>
        <v>180.07</v>
      </c>
      <c r="M110" s="63">
        <f t="shared" si="14"/>
        <v>125.24</v>
      </c>
      <c r="N110" s="63">
        <f t="shared" si="15"/>
        <v>139.12</v>
      </c>
      <c r="O110" s="63">
        <f t="shared" si="16"/>
        <v>146.11000000000001</v>
      </c>
    </row>
    <row r="111" spans="1:15" ht="15" customHeight="1">
      <c r="A111" s="9" t="s">
        <v>202</v>
      </c>
      <c r="B111" s="64">
        <f t="shared" si="21"/>
        <v>0.15</v>
      </c>
      <c r="C111" s="31">
        <v>6</v>
      </c>
      <c r="D111" s="12" t="s">
        <v>28</v>
      </c>
      <c r="E111" s="13" t="s">
        <v>137</v>
      </c>
      <c r="F111" s="32" t="s">
        <v>86</v>
      </c>
      <c r="G111" s="66">
        <v>15.545999999999999</v>
      </c>
      <c r="H111" s="15">
        <f t="shared" si="17"/>
        <v>186.55</v>
      </c>
      <c r="I111" s="68">
        <f t="shared" si="12"/>
        <v>207.23</v>
      </c>
      <c r="J111" s="15">
        <f t="shared" si="18"/>
        <v>217.64</v>
      </c>
      <c r="K111" s="71">
        <v>9.9978773084270944E-2</v>
      </c>
      <c r="L111" s="63">
        <f t="shared" si="13"/>
        <v>178.82</v>
      </c>
      <c r="M111" s="63">
        <f t="shared" si="14"/>
        <v>124.37</v>
      </c>
      <c r="N111" s="63">
        <f t="shared" si="15"/>
        <v>138.15</v>
      </c>
      <c r="O111" s="63">
        <f t="shared" si="16"/>
        <v>145.09</v>
      </c>
    </row>
    <row r="112" spans="1:15" ht="15" customHeight="1">
      <c r="A112" s="9" t="s">
        <v>202</v>
      </c>
      <c r="B112" s="64">
        <f t="shared" si="21"/>
        <v>0.15</v>
      </c>
      <c r="C112" s="31">
        <v>6</v>
      </c>
      <c r="D112" s="12" t="s">
        <v>28</v>
      </c>
      <c r="E112" s="13" t="s">
        <v>137</v>
      </c>
      <c r="F112" s="32" t="s">
        <v>117</v>
      </c>
      <c r="G112" s="66">
        <v>15.585000000000001</v>
      </c>
      <c r="H112" s="15">
        <f t="shared" si="17"/>
        <v>187.02</v>
      </c>
      <c r="I112" s="68">
        <f t="shared" si="12"/>
        <v>207.75</v>
      </c>
      <c r="J112" s="15">
        <f t="shared" si="18"/>
        <v>218.19</v>
      </c>
      <c r="K112" s="71">
        <v>0.10001411631846424</v>
      </c>
      <c r="L112" s="63">
        <f t="shared" si="13"/>
        <v>179.27</v>
      </c>
      <c r="M112" s="63">
        <f t="shared" si="14"/>
        <v>124.68</v>
      </c>
      <c r="N112" s="63">
        <f t="shared" si="15"/>
        <v>138.5</v>
      </c>
      <c r="O112" s="63">
        <f t="shared" si="16"/>
        <v>145.46</v>
      </c>
    </row>
    <row r="113" spans="1:15" ht="15" customHeight="1">
      <c r="A113" s="9" t="s">
        <v>202</v>
      </c>
      <c r="B113" s="64">
        <f t="shared" si="21"/>
        <v>0.16</v>
      </c>
      <c r="C113" s="31">
        <v>6.2</v>
      </c>
      <c r="D113" s="12" t="s">
        <v>28</v>
      </c>
      <c r="E113" s="13" t="s">
        <v>137</v>
      </c>
      <c r="F113" s="32" t="s">
        <v>117</v>
      </c>
      <c r="G113" s="66">
        <v>15.686999999999999</v>
      </c>
      <c r="H113" s="15">
        <f t="shared" si="17"/>
        <v>188.24</v>
      </c>
      <c r="I113" s="68">
        <f t="shared" si="12"/>
        <v>209.11</v>
      </c>
      <c r="J113" s="15">
        <f t="shared" si="18"/>
        <v>219.62</v>
      </c>
      <c r="K113" s="71">
        <v>9.9992987869013339E-2</v>
      </c>
      <c r="L113" s="63">
        <f t="shared" si="13"/>
        <v>180.43</v>
      </c>
      <c r="M113" s="63">
        <f t="shared" si="14"/>
        <v>125.49</v>
      </c>
      <c r="N113" s="63">
        <f t="shared" si="15"/>
        <v>139.41</v>
      </c>
      <c r="O113" s="63">
        <f t="shared" si="16"/>
        <v>146.41</v>
      </c>
    </row>
    <row r="114" spans="1:15" ht="15" customHeight="1">
      <c r="A114" s="9" t="s">
        <v>202</v>
      </c>
      <c r="B114" s="64">
        <f t="shared" si="21"/>
        <v>0.18</v>
      </c>
      <c r="C114" s="31">
        <v>7</v>
      </c>
      <c r="D114" s="12" t="s">
        <v>28</v>
      </c>
      <c r="E114" s="13" t="s">
        <v>137</v>
      </c>
      <c r="F114" s="32" t="s">
        <v>117</v>
      </c>
      <c r="G114" s="66">
        <v>15.686999999999999</v>
      </c>
      <c r="H114" s="15">
        <f t="shared" si="17"/>
        <v>188.24</v>
      </c>
      <c r="I114" s="68">
        <f t="shared" si="12"/>
        <v>209.11</v>
      </c>
      <c r="J114" s="15">
        <f t="shared" si="18"/>
        <v>219.62</v>
      </c>
      <c r="K114" s="71">
        <v>9.9992987869013339E-2</v>
      </c>
      <c r="L114" s="63">
        <f t="shared" si="13"/>
        <v>180.43</v>
      </c>
      <c r="M114" s="63">
        <f t="shared" si="14"/>
        <v>125.49</v>
      </c>
      <c r="N114" s="63">
        <f t="shared" si="15"/>
        <v>139.41</v>
      </c>
      <c r="O114" s="63">
        <f t="shared" si="16"/>
        <v>146.41</v>
      </c>
    </row>
    <row r="115" spans="1:15" ht="15" customHeight="1">
      <c r="A115" s="9" t="s">
        <v>202</v>
      </c>
      <c r="B115" s="64">
        <f t="shared" si="21"/>
        <v>0.18</v>
      </c>
      <c r="C115" s="31">
        <v>7</v>
      </c>
      <c r="D115" s="12" t="s">
        <v>28</v>
      </c>
      <c r="E115" s="13" t="s">
        <v>137</v>
      </c>
      <c r="F115" s="32" t="s">
        <v>87</v>
      </c>
      <c r="G115" s="66">
        <v>16.413</v>
      </c>
      <c r="H115" s="15">
        <f t="shared" si="17"/>
        <v>196.96</v>
      </c>
      <c r="I115" s="68">
        <f t="shared" si="12"/>
        <v>218.79</v>
      </c>
      <c r="J115" s="15">
        <f t="shared" si="18"/>
        <v>229.78</v>
      </c>
      <c r="K115" s="71">
        <v>9.9993298036324729E-2</v>
      </c>
      <c r="L115" s="63">
        <f t="shared" si="13"/>
        <v>188.79</v>
      </c>
      <c r="M115" s="63">
        <f t="shared" si="14"/>
        <v>131.31</v>
      </c>
      <c r="N115" s="63">
        <f t="shared" si="15"/>
        <v>145.86000000000001</v>
      </c>
      <c r="O115" s="63">
        <f t="shared" si="16"/>
        <v>153.19</v>
      </c>
    </row>
    <row r="116" spans="1:15" ht="15" customHeight="1">
      <c r="A116" s="9" t="s">
        <v>202</v>
      </c>
      <c r="B116" s="64">
        <f t="shared" si="21"/>
        <v>0.2</v>
      </c>
      <c r="C116" s="31">
        <v>8</v>
      </c>
      <c r="D116" s="12" t="s">
        <v>28</v>
      </c>
      <c r="E116" s="13" t="s">
        <v>137</v>
      </c>
      <c r="F116" s="32" t="s">
        <v>87</v>
      </c>
      <c r="G116" s="66">
        <v>18.268999999999998</v>
      </c>
      <c r="H116" s="15">
        <f t="shared" si="17"/>
        <v>219.23</v>
      </c>
      <c r="I116" s="68">
        <f t="shared" si="12"/>
        <v>243.53</v>
      </c>
      <c r="J116" s="15">
        <f t="shared" si="18"/>
        <v>255.77</v>
      </c>
      <c r="K116" s="71">
        <v>0.10001204238920991</v>
      </c>
      <c r="L116" s="63">
        <f t="shared" si="13"/>
        <v>210.14</v>
      </c>
      <c r="M116" s="63">
        <f t="shared" si="14"/>
        <v>146.15</v>
      </c>
      <c r="N116" s="63">
        <f t="shared" si="15"/>
        <v>162.35</v>
      </c>
      <c r="O116" s="63">
        <f t="shared" si="16"/>
        <v>170.51</v>
      </c>
    </row>
    <row r="117" spans="1:15" ht="15" customHeight="1">
      <c r="A117" s="9" t="s">
        <v>202</v>
      </c>
      <c r="B117" s="64">
        <f t="shared" si="21"/>
        <v>0.25</v>
      </c>
      <c r="C117" s="31">
        <v>10</v>
      </c>
      <c r="D117" s="12" t="s">
        <v>28</v>
      </c>
      <c r="E117" s="13" t="s">
        <v>137</v>
      </c>
      <c r="F117" s="32" t="s">
        <v>89</v>
      </c>
      <c r="G117" s="66">
        <v>19.030999999999999</v>
      </c>
      <c r="H117" s="15">
        <f t="shared" si="17"/>
        <v>228.37</v>
      </c>
      <c r="I117" s="68">
        <f t="shared" si="12"/>
        <v>253.68</v>
      </c>
      <c r="J117" s="15">
        <f t="shared" si="18"/>
        <v>266.43</v>
      </c>
      <c r="K117" s="71">
        <v>9.9994219987284083E-2</v>
      </c>
      <c r="L117" s="63">
        <f t="shared" si="13"/>
        <v>218.9</v>
      </c>
      <c r="M117" s="63">
        <f t="shared" si="14"/>
        <v>152.25</v>
      </c>
      <c r="N117" s="63">
        <f t="shared" si="15"/>
        <v>169.12</v>
      </c>
      <c r="O117" s="63">
        <f t="shared" si="16"/>
        <v>177.62</v>
      </c>
    </row>
    <row r="118" spans="1:15" ht="15" customHeight="1">
      <c r="A118" s="9" t="s">
        <v>202</v>
      </c>
      <c r="B118" s="64">
        <f t="shared" si="21"/>
        <v>0.38</v>
      </c>
      <c r="C118" s="31">
        <v>15</v>
      </c>
      <c r="D118" s="12" t="s">
        <v>28</v>
      </c>
      <c r="E118" s="13" t="s">
        <v>137</v>
      </c>
      <c r="F118" s="32" t="s">
        <v>90</v>
      </c>
      <c r="G118" s="66">
        <v>21.56</v>
      </c>
      <c r="H118" s="15">
        <f t="shared" si="17"/>
        <v>258.72000000000003</v>
      </c>
      <c r="I118" s="68">
        <f t="shared" si="12"/>
        <v>287.39</v>
      </c>
      <c r="J118" s="15">
        <f t="shared" si="18"/>
        <v>301.83999999999997</v>
      </c>
      <c r="K118" s="71">
        <v>9.9999999999999867E-2</v>
      </c>
      <c r="L118" s="63">
        <f t="shared" si="13"/>
        <v>247.99</v>
      </c>
      <c r="M118" s="63">
        <f t="shared" si="14"/>
        <v>172.48</v>
      </c>
      <c r="N118" s="63">
        <f t="shared" si="15"/>
        <v>191.59</v>
      </c>
      <c r="O118" s="63">
        <f t="shared" si="16"/>
        <v>201.23</v>
      </c>
    </row>
    <row r="119" spans="1:15" ht="15" customHeight="1">
      <c r="A119" s="9" t="s">
        <v>202</v>
      </c>
      <c r="B119" s="64">
        <f t="shared" si="21"/>
        <v>0.46</v>
      </c>
      <c r="C119" s="31">
        <v>18</v>
      </c>
      <c r="D119" s="12" t="s">
        <v>28</v>
      </c>
      <c r="E119" s="13" t="s">
        <v>137</v>
      </c>
      <c r="F119" s="32" t="s">
        <v>129</v>
      </c>
      <c r="G119" s="66">
        <v>29.669</v>
      </c>
      <c r="H119" s="15">
        <f t="shared" si="17"/>
        <v>356.03</v>
      </c>
      <c r="I119" s="68">
        <f t="shared" si="12"/>
        <v>395.49</v>
      </c>
      <c r="J119" s="15">
        <f t="shared" si="18"/>
        <v>415.37</v>
      </c>
      <c r="K119" s="71">
        <v>9.9992584902862225E-2</v>
      </c>
      <c r="L119" s="63">
        <f t="shared" si="13"/>
        <v>341.27</v>
      </c>
      <c r="M119" s="63">
        <f t="shared" si="14"/>
        <v>237.35</v>
      </c>
      <c r="N119" s="63">
        <f t="shared" si="15"/>
        <v>263.66000000000003</v>
      </c>
      <c r="O119" s="63">
        <f t="shared" si="16"/>
        <v>276.91000000000003</v>
      </c>
    </row>
    <row r="120" spans="1:15" ht="15" customHeight="1">
      <c r="A120" s="9" t="s">
        <v>203</v>
      </c>
      <c r="B120" s="64">
        <f t="shared" si="21"/>
        <v>0.51</v>
      </c>
      <c r="C120" s="31">
        <v>20</v>
      </c>
      <c r="D120" s="12" t="s">
        <v>28</v>
      </c>
      <c r="E120" s="13" t="s">
        <v>137</v>
      </c>
      <c r="F120" s="32" t="s">
        <v>91</v>
      </c>
      <c r="G120" s="66">
        <v>29.407</v>
      </c>
      <c r="H120" s="15">
        <f t="shared" si="17"/>
        <v>352.88</v>
      </c>
      <c r="I120" s="68">
        <f t="shared" si="12"/>
        <v>392</v>
      </c>
      <c r="J120" s="15">
        <f t="shared" si="18"/>
        <v>411.7</v>
      </c>
      <c r="K120" s="71">
        <v>9.9985037779606323E-2</v>
      </c>
      <c r="L120" s="63">
        <f t="shared" si="13"/>
        <v>338.25</v>
      </c>
      <c r="M120" s="63">
        <f t="shared" si="14"/>
        <v>235.25</v>
      </c>
      <c r="N120" s="63">
        <f t="shared" si="15"/>
        <v>261.33</v>
      </c>
      <c r="O120" s="63">
        <f t="shared" si="16"/>
        <v>274.47000000000003</v>
      </c>
    </row>
    <row r="121" spans="1:15" ht="15" customHeight="1">
      <c r="A121" s="9" t="s">
        <v>202</v>
      </c>
      <c r="B121" s="64">
        <f t="shared" si="21"/>
        <v>0.64</v>
      </c>
      <c r="C121" s="31">
        <v>25.2</v>
      </c>
      <c r="D121" s="12" t="s">
        <v>28</v>
      </c>
      <c r="E121" s="13" t="s">
        <v>137</v>
      </c>
      <c r="F121" s="32" t="s">
        <v>88</v>
      </c>
      <c r="G121" s="66">
        <v>32.176000000000002</v>
      </c>
      <c r="H121" s="15">
        <f t="shared" si="17"/>
        <v>386.11</v>
      </c>
      <c r="I121" s="68">
        <f t="shared" si="12"/>
        <v>428.91</v>
      </c>
      <c r="J121" s="15">
        <f t="shared" si="18"/>
        <v>450.46</v>
      </c>
      <c r="K121" s="71">
        <v>9.9996581313459343E-2</v>
      </c>
      <c r="L121" s="63">
        <f t="shared" si="13"/>
        <v>370.1</v>
      </c>
      <c r="M121" s="63">
        <f t="shared" si="14"/>
        <v>257.41000000000003</v>
      </c>
      <c r="N121" s="63">
        <f t="shared" si="15"/>
        <v>285.94</v>
      </c>
      <c r="O121" s="63">
        <f t="shared" si="16"/>
        <v>300.31</v>
      </c>
    </row>
    <row r="122" spans="1:15" ht="15" customHeight="1">
      <c r="A122" s="9" t="s">
        <v>202</v>
      </c>
      <c r="B122" s="64">
        <f t="shared" si="21"/>
        <v>0.79</v>
      </c>
      <c r="C122" s="31">
        <v>31.1</v>
      </c>
      <c r="D122" s="12" t="s">
        <v>28</v>
      </c>
      <c r="E122" s="13" t="s">
        <v>137</v>
      </c>
      <c r="F122" s="32" t="s">
        <v>131</v>
      </c>
      <c r="G122" s="66">
        <v>35.994</v>
      </c>
      <c r="H122" s="15">
        <f t="shared" si="17"/>
        <v>431.93</v>
      </c>
      <c r="I122" s="68">
        <f t="shared" si="12"/>
        <v>479.8</v>
      </c>
      <c r="J122" s="15">
        <f t="shared" si="18"/>
        <v>503.92</v>
      </c>
      <c r="K122" s="71">
        <v>9.9993887904162193E-2</v>
      </c>
      <c r="L122" s="63">
        <f t="shared" si="13"/>
        <v>414.03</v>
      </c>
      <c r="M122" s="63">
        <f t="shared" si="14"/>
        <v>287.95</v>
      </c>
      <c r="N122" s="63">
        <f t="shared" si="15"/>
        <v>319.87</v>
      </c>
      <c r="O122" s="63">
        <f t="shared" si="16"/>
        <v>335.95</v>
      </c>
    </row>
    <row r="123" spans="1:15" ht="15" customHeight="1">
      <c r="A123" s="9" t="s">
        <v>202</v>
      </c>
      <c r="B123" s="64">
        <f>ROUND(C123*0.0254,3)</f>
        <v>7.5999999999999998E-2</v>
      </c>
      <c r="C123" s="31">
        <v>3</v>
      </c>
      <c r="D123" s="12" t="s">
        <v>138</v>
      </c>
      <c r="E123" s="13" t="s">
        <v>139</v>
      </c>
      <c r="F123" s="32" t="s">
        <v>81</v>
      </c>
      <c r="G123" s="66">
        <v>19.529</v>
      </c>
      <c r="H123" s="15">
        <f t="shared" si="17"/>
        <v>234.35</v>
      </c>
      <c r="I123" s="68">
        <f t="shared" si="12"/>
        <v>260.32</v>
      </c>
      <c r="J123" s="15">
        <f t="shared" si="18"/>
        <v>273.41000000000003</v>
      </c>
      <c r="K123" s="71"/>
      <c r="L123" s="63">
        <f t="shared" si="13"/>
        <v>224.64</v>
      </c>
      <c r="M123" s="63">
        <f t="shared" si="14"/>
        <v>156.22999999999999</v>
      </c>
      <c r="N123" s="63">
        <f t="shared" si="15"/>
        <v>173.55</v>
      </c>
      <c r="O123" s="63">
        <f t="shared" si="16"/>
        <v>182.27</v>
      </c>
    </row>
    <row r="124" spans="1:15" ht="15" customHeight="1">
      <c r="A124" s="9" t="s">
        <v>202</v>
      </c>
      <c r="B124" s="64">
        <f t="shared" ref="B124:B126" si="22">ROUND(C124*0.0254,3)</f>
        <v>7.5999999999999998E-2</v>
      </c>
      <c r="C124" s="31">
        <v>3</v>
      </c>
      <c r="D124" s="12" t="s">
        <v>138</v>
      </c>
      <c r="E124" s="13" t="s">
        <v>139</v>
      </c>
      <c r="F124" s="32" t="s">
        <v>122</v>
      </c>
      <c r="G124" s="66">
        <v>19.451999999999998</v>
      </c>
      <c r="H124" s="15">
        <f t="shared" si="17"/>
        <v>233.42</v>
      </c>
      <c r="I124" s="68">
        <f t="shared" si="12"/>
        <v>259.3</v>
      </c>
      <c r="J124" s="15">
        <f t="shared" si="18"/>
        <v>272.33</v>
      </c>
      <c r="K124" s="71"/>
      <c r="L124" s="63">
        <f t="shared" si="13"/>
        <v>223.75</v>
      </c>
      <c r="M124" s="63">
        <f t="shared" si="14"/>
        <v>155.61000000000001</v>
      </c>
      <c r="N124" s="63">
        <f t="shared" si="15"/>
        <v>172.87</v>
      </c>
      <c r="O124" s="63">
        <f t="shared" si="16"/>
        <v>181.55</v>
      </c>
    </row>
    <row r="125" spans="1:15" ht="15" customHeight="1">
      <c r="A125" s="9" t="s">
        <v>202</v>
      </c>
      <c r="B125" s="64">
        <f t="shared" si="22"/>
        <v>8.8999999999999996E-2</v>
      </c>
      <c r="C125" s="31">
        <v>3.5</v>
      </c>
      <c r="D125" s="12" t="s">
        <v>138</v>
      </c>
      <c r="E125" s="13" t="s">
        <v>139</v>
      </c>
      <c r="F125" s="32" t="s">
        <v>83</v>
      </c>
      <c r="G125" s="66">
        <v>20.273</v>
      </c>
      <c r="H125" s="15">
        <f t="shared" si="17"/>
        <v>243.28</v>
      </c>
      <c r="I125" s="68">
        <f t="shared" si="12"/>
        <v>270.24</v>
      </c>
      <c r="J125" s="15">
        <f t="shared" si="18"/>
        <v>283.82</v>
      </c>
      <c r="K125" s="71"/>
      <c r="L125" s="63">
        <f t="shared" si="13"/>
        <v>233.2</v>
      </c>
      <c r="M125" s="63">
        <f t="shared" si="14"/>
        <v>162.19</v>
      </c>
      <c r="N125" s="63">
        <f t="shared" si="15"/>
        <v>180.16</v>
      </c>
      <c r="O125" s="63">
        <f t="shared" si="16"/>
        <v>189.21</v>
      </c>
    </row>
    <row r="126" spans="1:15" ht="15" customHeight="1">
      <c r="A126" s="9" t="s">
        <v>202</v>
      </c>
      <c r="B126" s="64">
        <f t="shared" si="22"/>
        <v>8.8999999999999996E-2</v>
      </c>
      <c r="C126" s="31">
        <v>3.5</v>
      </c>
      <c r="D126" s="12" t="s">
        <v>138</v>
      </c>
      <c r="E126" s="13" t="s">
        <v>139</v>
      </c>
      <c r="F126" s="32" t="s">
        <v>122</v>
      </c>
      <c r="G126" s="66">
        <v>21.658999999999999</v>
      </c>
      <c r="H126" s="15">
        <f t="shared" si="17"/>
        <v>259.91000000000003</v>
      </c>
      <c r="I126" s="68">
        <f t="shared" si="12"/>
        <v>288.70999999999998</v>
      </c>
      <c r="J126" s="15">
        <f t="shared" si="18"/>
        <v>303.23</v>
      </c>
      <c r="K126" s="71"/>
      <c r="L126" s="63">
        <f t="shared" si="13"/>
        <v>249.14</v>
      </c>
      <c r="M126" s="63">
        <f t="shared" si="14"/>
        <v>173.27</v>
      </c>
      <c r="N126" s="63">
        <f t="shared" si="15"/>
        <v>192.47</v>
      </c>
      <c r="O126" s="63">
        <f t="shared" si="16"/>
        <v>202.15</v>
      </c>
    </row>
    <row r="127" spans="1:15" ht="15" customHeight="1">
      <c r="A127" s="9" t="s">
        <v>202</v>
      </c>
      <c r="B127" s="64">
        <f t="shared" ref="B127:B136" si="23">ROUND(C127*0.0254,2)</f>
        <v>0.1</v>
      </c>
      <c r="C127" s="31">
        <v>4</v>
      </c>
      <c r="D127" s="12" t="s">
        <v>138</v>
      </c>
      <c r="E127" s="13" t="s">
        <v>139</v>
      </c>
      <c r="F127" s="32" t="s">
        <v>83</v>
      </c>
      <c r="G127" s="66">
        <v>19.451999999999998</v>
      </c>
      <c r="H127" s="15">
        <f t="shared" si="17"/>
        <v>233.42</v>
      </c>
      <c r="I127" s="68">
        <f t="shared" si="12"/>
        <v>259.3</v>
      </c>
      <c r="J127" s="15">
        <f t="shared" si="18"/>
        <v>272.33</v>
      </c>
      <c r="K127" s="71"/>
      <c r="L127" s="63">
        <f t="shared" si="13"/>
        <v>223.75</v>
      </c>
      <c r="M127" s="63">
        <f t="shared" si="14"/>
        <v>155.61000000000001</v>
      </c>
      <c r="N127" s="63">
        <f t="shared" si="15"/>
        <v>172.87</v>
      </c>
      <c r="O127" s="63">
        <f t="shared" si="16"/>
        <v>181.55</v>
      </c>
    </row>
    <row r="128" spans="1:15" ht="15" customHeight="1">
      <c r="A128" s="9" t="s">
        <v>202</v>
      </c>
      <c r="B128" s="64">
        <f t="shared" si="23"/>
        <v>0.1</v>
      </c>
      <c r="C128" s="31">
        <v>4</v>
      </c>
      <c r="D128" s="12" t="s">
        <v>138</v>
      </c>
      <c r="E128" s="13" t="s">
        <v>139</v>
      </c>
      <c r="F128" s="32" t="s">
        <v>85</v>
      </c>
      <c r="G128" s="66">
        <v>20.12</v>
      </c>
      <c r="H128" s="15">
        <f t="shared" si="17"/>
        <v>241.44</v>
      </c>
      <c r="I128" s="68">
        <f t="shared" si="12"/>
        <v>268.2</v>
      </c>
      <c r="J128" s="15">
        <f t="shared" si="18"/>
        <v>281.68</v>
      </c>
      <c r="K128" s="71"/>
      <c r="L128" s="63">
        <f t="shared" si="13"/>
        <v>231.43</v>
      </c>
      <c r="M128" s="63">
        <f t="shared" si="14"/>
        <v>160.96</v>
      </c>
      <c r="N128" s="63">
        <f t="shared" si="15"/>
        <v>178.8</v>
      </c>
      <c r="O128" s="63">
        <f t="shared" si="16"/>
        <v>187.79</v>
      </c>
    </row>
    <row r="129" spans="1:15" ht="15" customHeight="1">
      <c r="A129" s="9" t="s">
        <v>202</v>
      </c>
      <c r="B129" s="64">
        <f t="shared" si="23"/>
        <v>0.13</v>
      </c>
      <c r="C129" s="31">
        <v>5</v>
      </c>
      <c r="D129" s="12" t="s">
        <v>138</v>
      </c>
      <c r="E129" s="13" t="s">
        <v>139</v>
      </c>
      <c r="F129" s="32" t="s">
        <v>84</v>
      </c>
      <c r="G129" s="66">
        <v>19.824999999999999</v>
      </c>
      <c r="H129" s="15">
        <f t="shared" si="17"/>
        <v>237.9</v>
      </c>
      <c r="I129" s="68">
        <f t="shared" si="12"/>
        <v>264.27</v>
      </c>
      <c r="J129" s="15">
        <f t="shared" si="18"/>
        <v>277.55</v>
      </c>
      <c r="K129" s="71"/>
      <c r="L129" s="63">
        <f t="shared" si="13"/>
        <v>228.04</v>
      </c>
      <c r="M129" s="63">
        <f t="shared" si="14"/>
        <v>158.6</v>
      </c>
      <c r="N129" s="63">
        <f t="shared" si="15"/>
        <v>176.18</v>
      </c>
      <c r="O129" s="63">
        <f t="shared" si="16"/>
        <v>185.03</v>
      </c>
    </row>
    <row r="130" spans="1:15" ht="15" customHeight="1">
      <c r="A130" s="9" t="s">
        <v>202</v>
      </c>
      <c r="B130" s="64">
        <f t="shared" si="23"/>
        <v>0.13</v>
      </c>
      <c r="C130" s="31">
        <v>5</v>
      </c>
      <c r="D130" s="12" t="s">
        <v>138</v>
      </c>
      <c r="E130" s="13" t="s">
        <v>139</v>
      </c>
      <c r="F130" s="32" t="s">
        <v>86</v>
      </c>
      <c r="G130" s="66">
        <v>20.956</v>
      </c>
      <c r="H130" s="15">
        <f t="shared" si="17"/>
        <v>251.47</v>
      </c>
      <c r="I130" s="68">
        <f t="shared" si="12"/>
        <v>279.33999999999997</v>
      </c>
      <c r="J130" s="15">
        <f t="shared" si="18"/>
        <v>293.38</v>
      </c>
      <c r="K130" s="71"/>
      <c r="L130" s="63">
        <f t="shared" si="13"/>
        <v>241.05</v>
      </c>
      <c r="M130" s="63">
        <f t="shared" si="14"/>
        <v>167.65</v>
      </c>
      <c r="N130" s="63">
        <f t="shared" si="15"/>
        <v>186.23</v>
      </c>
      <c r="O130" s="63">
        <f t="shared" si="16"/>
        <v>195.59</v>
      </c>
    </row>
    <row r="131" spans="1:15" ht="15" customHeight="1">
      <c r="A131" s="9" t="s">
        <v>202</v>
      </c>
      <c r="B131" s="64">
        <f t="shared" si="23"/>
        <v>0.13</v>
      </c>
      <c r="C131" s="31">
        <v>5</v>
      </c>
      <c r="D131" s="12" t="s">
        <v>138</v>
      </c>
      <c r="E131" s="13" t="s">
        <v>139</v>
      </c>
      <c r="F131" s="32" t="s">
        <v>117</v>
      </c>
      <c r="G131" s="66">
        <v>21.097000000000001</v>
      </c>
      <c r="H131" s="15">
        <f t="shared" si="17"/>
        <v>253.16</v>
      </c>
      <c r="I131" s="68">
        <f t="shared" si="12"/>
        <v>281.22000000000003</v>
      </c>
      <c r="J131" s="15">
        <f t="shared" si="18"/>
        <v>295.36</v>
      </c>
      <c r="K131" s="71"/>
      <c r="L131" s="63">
        <f t="shared" si="13"/>
        <v>242.67</v>
      </c>
      <c r="M131" s="63">
        <f t="shared" si="14"/>
        <v>168.77</v>
      </c>
      <c r="N131" s="63">
        <f t="shared" si="15"/>
        <v>187.48</v>
      </c>
      <c r="O131" s="63">
        <f t="shared" si="16"/>
        <v>196.91</v>
      </c>
    </row>
    <row r="132" spans="1:15" ht="15" customHeight="1">
      <c r="A132" s="9" t="s">
        <v>202</v>
      </c>
      <c r="B132" s="64">
        <f t="shared" si="23"/>
        <v>0.15</v>
      </c>
      <c r="C132" s="31">
        <v>6</v>
      </c>
      <c r="D132" s="12" t="s">
        <v>138</v>
      </c>
      <c r="E132" s="13" t="s">
        <v>139</v>
      </c>
      <c r="F132" s="32" t="s">
        <v>86</v>
      </c>
      <c r="G132" s="66">
        <v>21.372</v>
      </c>
      <c r="H132" s="15">
        <f t="shared" si="17"/>
        <v>256.45999999999998</v>
      </c>
      <c r="I132" s="68">
        <f t="shared" si="12"/>
        <v>284.89</v>
      </c>
      <c r="J132" s="15">
        <f t="shared" si="18"/>
        <v>299.20999999999998</v>
      </c>
      <c r="K132" s="71"/>
      <c r="L132" s="63">
        <f t="shared" si="13"/>
        <v>245.83</v>
      </c>
      <c r="M132" s="63">
        <f t="shared" si="14"/>
        <v>170.97</v>
      </c>
      <c r="N132" s="63">
        <f t="shared" si="15"/>
        <v>189.93</v>
      </c>
      <c r="O132" s="63">
        <f t="shared" si="16"/>
        <v>199.47</v>
      </c>
    </row>
    <row r="133" spans="1:15" ht="15" customHeight="1">
      <c r="A133" s="9" t="s">
        <v>202</v>
      </c>
      <c r="B133" s="64">
        <f t="shared" si="23"/>
        <v>0.15</v>
      </c>
      <c r="C133" s="31">
        <v>6</v>
      </c>
      <c r="D133" s="12" t="s">
        <v>138</v>
      </c>
      <c r="E133" s="13" t="s">
        <v>139</v>
      </c>
      <c r="F133" s="32" t="s">
        <v>117</v>
      </c>
      <c r="G133" s="66">
        <v>21.62</v>
      </c>
      <c r="H133" s="15">
        <f t="shared" si="17"/>
        <v>259.44</v>
      </c>
      <c r="I133" s="68">
        <f t="shared" si="12"/>
        <v>288.19</v>
      </c>
      <c r="J133" s="15">
        <f t="shared" si="18"/>
        <v>302.68</v>
      </c>
      <c r="K133" s="71"/>
      <c r="L133" s="63">
        <f t="shared" si="13"/>
        <v>248.69</v>
      </c>
      <c r="M133" s="63">
        <f t="shared" si="14"/>
        <v>172.96</v>
      </c>
      <c r="N133" s="63">
        <f t="shared" si="15"/>
        <v>192.13</v>
      </c>
      <c r="O133" s="63">
        <f t="shared" si="16"/>
        <v>201.79</v>
      </c>
    </row>
    <row r="134" spans="1:15" ht="15" customHeight="1">
      <c r="A134" s="9" t="s">
        <v>202</v>
      </c>
      <c r="B134" s="64">
        <f t="shared" si="23"/>
        <v>0.2</v>
      </c>
      <c r="C134" s="31">
        <v>8</v>
      </c>
      <c r="D134" s="12" t="s">
        <v>138</v>
      </c>
      <c r="E134" s="13" t="s">
        <v>139</v>
      </c>
      <c r="F134" s="32" t="s">
        <v>87</v>
      </c>
      <c r="G134" s="66">
        <v>23.306000000000001</v>
      </c>
      <c r="H134" s="15">
        <f t="shared" si="17"/>
        <v>279.67</v>
      </c>
      <c r="I134" s="68">
        <f t="shared" si="12"/>
        <v>310.67</v>
      </c>
      <c r="J134" s="15">
        <f t="shared" si="18"/>
        <v>326.27999999999997</v>
      </c>
      <c r="K134" s="71"/>
      <c r="L134" s="63">
        <f t="shared" si="13"/>
        <v>268.08</v>
      </c>
      <c r="M134" s="63">
        <f t="shared" si="14"/>
        <v>186.45</v>
      </c>
      <c r="N134" s="63">
        <f t="shared" si="15"/>
        <v>207.11</v>
      </c>
      <c r="O134" s="63">
        <f t="shared" si="16"/>
        <v>217.52</v>
      </c>
    </row>
    <row r="135" spans="1:15" ht="15" customHeight="1">
      <c r="A135" s="9" t="s">
        <v>202</v>
      </c>
      <c r="B135" s="64">
        <f t="shared" si="23"/>
        <v>0.25</v>
      </c>
      <c r="C135" s="31">
        <v>10</v>
      </c>
      <c r="D135" s="12" t="s">
        <v>138</v>
      </c>
      <c r="E135" s="13" t="s">
        <v>139</v>
      </c>
      <c r="F135" s="32" t="s">
        <v>89</v>
      </c>
      <c r="G135" s="66">
        <v>24.76</v>
      </c>
      <c r="H135" s="15">
        <f t="shared" si="17"/>
        <v>297.12</v>
      </c>
      <c r="I135" s="68">
        <f t="shared" si="12"/>
        <v>330.05</v>
      </c>
      <c r="J135" s="15">
        <f t="shared" si="18"/>
        <v>346.64</v>
      </c>
      <c r="K135" s="71"/>
      <c r="L135" s="63">
        <f t="shared" si="13"/>
        <v>284.8</v>
      </c>
      <c r="M135" s="63">
        <f t="shared" si="14"/>
        <v>198.08</v>
      </c>
      <c r="N135" s="63">
        <f t="shared" si="15"/>
        <v>220.03</v>
      </c>
      <c r="O135" s="63">
        <f t="shared" si="16"/>
        <v>231.09</v>
      </c>
    </row>
    <row r="136" spans="1:15" ht="15" customHeight="1">
      <c r="A136" s="9" t="s">
        <v>202</v>
      </c>
      <c r="B136" s="64">
        <f t="shared" si="23"/>
        <v>0.3</v>
      </c>
      <c r="C136" s="31">
        <v>12</v>
      </c>
      <c r="D136" s="12" t="s">
        <v>138</v>
      </c>
      <c r="E136" s="13" t="s">
        <v>139</v>
      </c>
      <c r="F136" s="32" t="s">
        <v>90</v>
      </c>
      <c r="G136" s="66">
        <v>27.05</v>
      </c>
      <c r="H136" s="15">
        <f t="shared" si="17"/>
        <v>324.60000000000002</v>
      </c>
      <c r="I136" s="68">
        <f t="shared" si="12"/>
        <v>360.58</v>
      </c>
      <c r="J136" s="15">
        <f t="shared" si="18"/>
        <v>378.7</v>
      </c>
      <c r="K136" s="71"/>
      <c r="L136" s="63">
        <f t="shared" si="13"/>
        <v>311.14999999999998</v>
      </c>
      <c r="M136" s="63">
        <f t="shared" si="14"/>
        <v>216.4</v>
      </c>
      <c r="N136" s="63">
        <f t="shared" si="15"/>
        <v>240.39</v>
      </c>
      <c r="O136" s="63">
        <f t="shared" si="16"/>
        <v>252.47</v>
      </c>
    </row>
    <row r="137" spans="1:15" ht="15" customHeight="1">
      <c r="A137" s="9" t="s">
        <v>202</v>
      </c>
      <c r="B137" s="64">
        <f>ROUND(C137*0.0254,3)</f>
        <v>7.5999999999999998E-2</v>
      </c>
      <c r="C137" s="31">
        <v>3</v>
      </c>
      <c r="D137" s="12" t="s">
        <v>138</v>
      </c>
      <c r="E137" s="13" t="s">
        <v>137</v>
      </c>
      <c r="F137" s="32" t="s">
        <v>81</v>
      </c>
      <c r="G137" s="66">
        <v>18.689</v>
      </c>
      <c r="H137" s="15">
        <f t="shared" si="17"/>
        <v>224.27</v>
      </c>
      <c r="I137" s="68">
        <f t="shared" si="12"/>
        <v>249.12</v>
      </c>
      <c r="J137" s="15">
        <f t="shared" si="18"/>
        <v>261.64999999999998</v>
      </c>
      <c r="K137" s="71">
        <v>0.10000000000000009</v>
      </c>
      <c r="L137" s="63">
        <f t="shared" si="13"/>
        <v>214.97</v>
      </c>
      <c r="M137" s="63">
        <f t="shared" si="14"/>
        <v>149.51</v>
      </c>
      <c r="N137" s="63">
        <f t="shared" si="15"/>
        <v>166.08</v>
      </c>
      <c r="O137" s="63">
        <f t="shared" si="16"/>
        <v>174.43</v>
      </c>
    </row>
    <row r="138" spans="1:15" ht="15" customHeight="1">
      <c r="A138" s="9" t="s">
        <v>202</v>
      </c>
      <c r="B138" s="64">
        <f t="shared" ref="B138:B140" si="24">ROUND(C138*0.0254,3)</f>
        <v>7.5999999999999998E-2</v>
      </c>
      <c r="C138" s="31">
        <v>3</v>
      </c>
      <c r="D138" s="12" t="s">
        <v>138</v>
      </c>
      <c r="E138" s="13" t="s">
        <v>137</v>
      </c>
      <c r="F138" s="32" t="s">
        <v>122</v>
      </c>
      <c r="G138" s="66">
        <v>18.611999999999998</v>
      </c>
      <c r="H138" s="15">
        <f t="shared" si="17"/>
        <v>223.34</v>
      </c>
      <c r="I138" s="68">
        <f t="shared" si="12"/>
        <v>248.1</v>
      </c>
      <c r="J138" s="15">
        <f t="shared" si="18"/>
        <v>260.57</v>
      </c>
      <c r="K138" s="71">
        <v>9.9999999999999867E-2</v>
      </c>
      <c r="L138" s="63">
        <f t="shared" si="13"/>
        <v>214.09</v>
      </c>
      <c r="M138" s="63">
        <f t="shared" si="14"/>
        <v>148.88999999999999</v>
      </c>
      <c r="N138" s="63">
        <f t="shared" si="15"/>
        <v>165.4</v>
      </c>
      <c r="O138" s="63">
        <f t="shared" si="16"/>
        <v>173.71</v>
      </c>
    </row>
    <row r="139" spans="1:15" ht="15" customHeight="1">
      <c r="A139" s="9" t="s">
        <v>202</v>
      </c>
      <c r="B139" s="64">
        <f t="shared" si="24"/>
        <v>8.8999999999999996E-2</v>
      </c>
      <c r="C139" s="31">
        <v>3.5</v>
      </c>
      <c r="D139" s="12" t="s">
        <v>138</v>
      </c>
      <c r="E139" s="13" t="s">
        <v>137</v>
      </c>
      <c r="F139" s="32" t="s">
        <v>83</v>
      </c>
      <c r="G139" s="66">
        <v>19.433</v>
      </c>
      <c r="H139" s="15">
        <f t="shared" si="17"/>
        <v>233.2</v>
      </c>
      <c r="I139" s="68">
        <f t="shared" si="12"/>
        <v>259.04000000000002</v>
      </c>
      <c r="J139" s="15">
        <f t="shared" si="18"/>
        <v>272.06</v>
      </c>
      <c r="K139" s="71">
        <v>0.10002264236386282</v>
      </c>
      <c r="L139" s="63">
        <f t="shared" si="13"/>
        <v>223.53</v>
      </c>
      <c r="M139" s="63">
        <f t="shared" si="14"/>
        <v>155.47</v>
      </c>
      <c r="N139" s="63">
        <f t="shared" si="15"/>
        <v>172.69</v>
      </c>
      <c r="O139" s="63">
        <f t="shared" si="16"/>
        <v>181.37</v>
      </c>
    </row>
    <row r="140" spans="1:15" ht="15" customHeight="1">
      <c r="A140" s="9" t="s">
        <v>202</v>
      </c>
      <c r="B140" s="64">
        <f t="shared" si="24"/>
        <v>8.8999999999999996E-2</v>
      </c>
      <c r="C140" s="31">
        <v>3.5</v>
      </c>
      <c r="D140" s="12" t="s">
        <v>138</v>
      </c>
      <c r="E140" s="13" t="s">
        <v>137</v>
      </c>
      <c r="F140" s="32" t="s">
        <v>122</v>
      </c>
      <c r="G140" s="66">
        <v>20.818999999999999</v>
      </c>
      <c r="H140" s="15">
        <f t="shared" si="17"/>
        <v>249.83</v>
      </c>
      <c r="I140" s="68">
        <f t="shared" si="12"/>
        <v>277.52</v>
      </c>
      <c r="J140" s="15">
        <f t="shared" si="18"/>
        <v>291.47000000000003</v>
      </c>
      <c r="K140" s="71">
        <v>0.10002113494663423</v>
      </c>
      <c r="L140" s="63">
        <f t="shared" si="13"/>
        <v>239.48</v>
      </c>
      <c r="M140" s="63">
        <f t="shared" si="14"/>
        <v>166.55</v>
      </c>
      <c r="N140" s="63">
        <f t="shared" si="15"/>
        <v>185.01</v>
      </c>
      <c r="O140" s="63">
        <f t="shared" si="16"/>
        <v>194.31</v>
      </c>
    </row>
    <row r="141" spans="1:15" ht="15" customHeight="1">
      <c r="A141" s="9" t="s">
        <v>202</v>
      </c>
      <c r="B141" s="64">
        <f t="shared" si="21"/>
        <v>0.1</v>
      </c>
      <c r="C141" s="31">
        <v>4</v>
      </c>
      <c r="D141" s="12" t="s">
        <v>138</v>
      </c>
      <c r="E141" s="13" t="s">
        <v>137</v>
      </c>
      <c r="F141" s="32" t="s">
        <v>83</v>
      </c>
      <c r="G141" s="66">
        <v>18.611999999999998</v>
      </c>
      <c r="H141" s="15">
        <f t="shared" si="17"/>
        <v>223.34</v>
      </c>
      <c r="I141" s="68">
        <f t="shared" si="12"/>
        <v>248.1</v>
      </c>
      <c r="J141" s="15">
        <f t="shared" si="18"/>
        <v>260.57</v>
      </c>
      <c r="K141" s="71">
        <v>9.9999999999999867E-2</v>
      </c>
      <c r="L141" s="63">
        <f t="shared" si="13"/>
        <v>214.09</v>
      </c>
      <c r="M141" s="63">
        <f t="shared" si="14"/>
        <v>148.88999999999999</v>
      </c>
      <c r="N141" s="63">
        <f t="shared" si="15"/>
        <v>165.4</v>
      </c>
      <c r="O141" s="63">
        <f t="shared" si="16"/>
        <v>173.71</v>
      </c>
    </row>
    <row r="142" spans="1:15" ht="15" customHeight="1">
      <c r="A142" s="9" t="s">
        <v>202</v>
      </c>
      <c r="B142" s="64">
        <f t="shared" si="21"/>
        <v>0.1</v>
      </c>
      <c r="C142" s="31">
        <v>4</v>
      </c>
      <c r="D142" s="12" t="s">
        <v>138</v>
      </c>
      <c r="E142" s="13" t="s">
        <v>137</v>
      </c>
      <c r="F142" s="32" t="s">
        <v>85</v>
      </c>
      <c r="G142" s="66">
        <v>19.28</v>
      </c>
      <c r="H142" s="15">
        <f t="shared" si="17"/>
        <v>231.36</v>
      </c>
      <c r="I142" s="68">
        <f t="shared" si="12"/>
        <v>257</v>
      </c>
      <c r="J142" s="15">
        <f t="shared" si="18"/>
        <v>269.92</v>
      </c>
      <c r="K142" s="71">
        <v>0.10001711644890743</v>
      </c>
      <c r="L142" s="63">
        <f t="shared" si="13"/>
        <v>221.77</v>
      </c>
      <c r="M142" s="63">
        <f t="shared" si="14"/>
        <v>154.24</v>
      </c>
      <c r="N142" s="63">
        <f t="shared" si="15"/>
        <v>171.33</v>
      </c>
      <c r="O142" s="63">
        <f t="shared" si="16"/>
        <v>179.95</v>
      </c>
    </row>
    <row r="143" spans="1:15" ht="15" customHeight="1">
      <c r="A143" s="9" t="s">
        <v>202</v>
      </c>
      <c r="B143" s="64">
        <f t="shared" si="21"/>
        <v>0.13</v>
      </c>
      <c r="C143" s="31">
        <v>5</v>
      </c>
      <c r="D143" s="12" t="s">
        <v>138</v>
      </c>
      <c r="E143" s="13" t="s">
        <v>137</v>
      </c>
      <c r="F143" s="32" t="s">
        <v>84</v>
      </c>
      <c r="G143" s="66">
        <v>18.984999999999999</v>
      </c>
      <c r="H143" s="15">
        <f t="shared" si="17"/>
        <v>227.82</v>
      </c>
      <c r="I143" s="68">
        <f t="shared" si="12"/>
        <v>253.07</v>
      </c>
      <c r="J143" s="15">
        <f t="shared" si="18"/>
        <v>265.79000000000002</v>
      </c>
      <c r="K143" s="71">
        <v>0.10000579407845178</v>
      </c>
      <c r="L143" s="63">
        <f t="shared" si="13"/>
        <v>218.38</v>
      </c>
      <c r="M143" s="63">
        <f t="shared" si="14"/>
        <v>151.88</v>
      </c>
      <c r="N143" s="63">
        <f t="shared" si="15"/>
        <v>168.71</v>
      </c>
      <c r="O143" s="63">
        <f t="shared" si="16"/>
        <v>177.19</v>
      </c>
    </row>
    <row r="144" spans="1:15" ht="15" customHeight="1">
      <c r="A144" s="9" t="s">
        <v>202</v>
      </c>
      <c r="B144" s="64">
        <f t="shared" si="21"/>
        <v>0.13</v>
      </c>
      <c r="C144" s="31">
        <v>5</v>
      </c>
      <c r="D144" s="12" t="s">
        <v>138</v>
      </c>
      <c r="E144" s="13" t="s">
        <v>137</v>
      </c>
      <c r="F144" s="32" t="s">
        <v>86</v>
      </c>
      <c r="G144" s="66">
        <v>20.116</v>
      </c>
      <c r="H144" s="15">
        <f t="shared" si="17"/>
        <v>241.39</v>
      </c>
      <c r="I144" s="68">
        <f t="shared" si="12"/>
        <v>268.14999999999998</v>
      </c>
      <c r="J144" s="15">
        <f t="shared" si="18"/>
        <v>281.62</v>
      </c>
      <c r="K144" s="71">
        <v>0.10001640509651666</v>
      </c>
      <c r="L144" s="63">
        <f t="shared" si="13"/>
        <v>231.39</v>
      </c>
      <c r="M144" s="63">
        <f t="shared" si="14"/>
        <v>160.93</v>
      </c>
      <c r="N144" s="63">
        <f t="shared" si="15"/>
        <v>178.77</v>
      </c>
      <c r="O144" s="63">
        <f t="shared" si="16"/>
        <v>187.75</v>
      </c>
    </row>
    <row r="145" spans="1:15" ht="15" customHeight="1">
      <c r="A145" s="9" t="s">
        <v>202</v>
      </c>
      <c r="B145" s="64">
        <f t="shared" si="21"/>
        <v>0.13</v>
      </c>
      <c r="C145" s="31">
        <v>5</v>
      </c>
      <c r="D145" s="12" t="s">
        <v>138</v>
      </c>
      <c r="E145" s="13" t="s">
        <v>137</v>
      </c>
      <c r="F145" s="32" t="s">
        <v>117</v>
      </c>
      <c r="G145" s="66">
        <v>20.257000000000001</v>
      </c>
      <c r="H145" s="15">
        <f t="shared" si="17"/>
        <v>243.08</v>
      </c>
      <c r="I145" s="68">
        <f t="shared" si="12"/>
        <v>270.02999999999997</v>
      </c>
      <c r="J145" s="15">
        <f t="shared" si="18"/>
        <v>283.60000000000002</v>
      </c>
      <c r="K145" s="71">
        <v>0.10002715177844168</v>
      </c>
      <c r="L145" s="63">
        <f t="shared" ref="L145:L176" si="25">ROUND(ROUND(ROUND(G145*12,2)*43/48,2)*1.07,2)</f>
        <v>233</v>
      </c>
      <c r="M145" s="63">
        <f t="shared" ref="M145:M176" si="26">ROUND(ROUND(G145*12,2)*2/3,2)</f>
        <v>162.05000000000001</v>
      </c>
      <c r="N145" s="63">
        <f t="shared" ref="N145:N176" si="27">ROUND(ROUND(G145*13.33,2)*2/3,2)</f>
        <v>180.02</v>
      </c>
      <c r="O145" s="63">
        <f t="shared" ref="O145:O176" si="28">ROUND(ROUND(G145*14,2)*2/3,2)</f>
        <v>189.07</v>
      </c>
    </row>
    <row r="146" spans="1:15" ht="15" customHeight="1">
      <c r="A146" s="9" t="s">
        <v>202</v>
      </c>
      <c r="B146" s="64">
        <f t="shared" si="21"/>
        <v>0.15</v>
      </c>
      <c r="C146" s="31">
        <v>6</v>
      </c>
      <c r="D146" s="12" t="s">
        <v>138</v>
      </c>
      <c r="E146" s="13" t="s">
        <v>137</v>
      </c>
      <c r="F146" s="32" t="s">
        <v>86</v>
      </c>
      <c r="G146" s="66">
        <v>20.532</v>
      </c>
      <c r="H146" s="15">
        <f t="shared" si="17"/>
        <v>246.38</v>
      </c>
      <c r="I146" s="68">
        <f t="shared" si="12"/>
        <v>273.69</v>
      </c>
      <c r="J146" s="15">
        <f t="shared" si="18"/>
        <v>287.45</v>
      </c>
      <c r="K146" s="71">
        <v>0.10002678810608101</v>
      </c>
      <c r="L146" s="63">
        <f t="shared" si="25"/>
        <v>236.17</v>
      </c>
      <c r="M146" s="63">
        <f t="shared" si="26"/>
        <v>164.25</v>
      </c>
      <c r="N146" s="63">
        <f t="shared" si="27"/>
        <v>182.46</v>
      </c>
      <c r="O146" s="63">
        <f t="shared" si="28"/>
        <v>191.63</v>
      </c>
    </row>
    <row r="147" spans="1:15" ht="15" customHeight="1">
      <c r="A147" s="9" t="s">
        <v>202</v>
      </c>
      <c r="B147" s="64">
        <f t="shared" si="21"/>
        <v>0.15</v>
      </c>
      <c r="C147" s="31">
        <v>6</v>
      </c>
      <c r="D147" s="12" t="s">
        <v>138</v>
      </c>
      <c r="E147" s="13" t="s">
        <v>137</v>
      </c>
      <c r="F147" s="32" t="s">
        <v>117</v>
      </c>
      <c r="G147" s="66">
        <v>20.78</v>
      </c>
      <c r="H147" s="15">
        <f t="shared" si="17"/>
        <v>249.36</v>
      </c>
      <c r="I147" s="68">
        <f t="shared" si="12"/>
        <v>277</v>
      </c>
      <c r="J147" s="15">
        <f t="shared" si="18"/>
        <v>290.92</v>
      </c>
      <c r="K147" s="71">
        <v>9.9994706473982564E-2</v>
      </c>
      <c r="L147" s="63">
        <f t="shared" si="25"/>
        <v>239.03</v>
      </c>
      <c r="M147" s="63">
        <f t="shared" si="26"/>
        <v>166.24</v>
      </c>
      <c r="N147" s="63">
        <f t="shared" si="27"/>
        <v>184.67</v>
      </c>
      <c r="O147" s="63">
        <f t="shared" si="28"/>
        <v>193.95</v>
      </c>
    </row>
    <row r="148" spans="1:15" ht="15" customHeight="1">
      <c r="A148" s="9" t="s">
        <v>202</v>
      </c>
      <c r="B148" s="64">
        <f t="shared" si="21"/>
        <v>0.2</v>
      </c>
      <c r="C148" s="31">
        <v>8</v>
      </c>
      <c r="D148" s="12" t="s">
        <v>138</v>
      </c>
      <c r="E148" s="13" t="s">
        <v>137</v>
      </c>
      <c r="F148" s="32" t="s">
        <v>87</v>
      </c>
      <c r="G148" s="66">
        <v>22.466000000000001</v>
      </c>
      <c r="H148" s="15">
        <f t="shared" si="17"/>
        <v>269.58999999999997</v>
      </c>
      <c r="I148" s="68">
        <f t="shared" si="12"/>
        <v>299.47000000000003</v>
      </c>
      <c r="J148" s="15">
        <f t="shared" si="18"/>
        <v>314.52</v>
      </c>
      <c r="K148" s="71">
        <v>9.9980415197806538E-2</v>
      </c>
      <c r="L148" s="63">
        <f t="shared" si="25"/>
        <v>258.42</v>
      </c>
      <c r="M148" s="63">
        <f t="shared" si="26"/>
        <v>179.73</v>
      </c>
      <c r="N148" s="63">
        <f t="shared" si="27"/>
        <v>199.65</v>
      </c>
      <c r="O148" s="63">
        <f t="shared" si="28"/>
        <v>209.68</v>
      </c>
    </row>
    <row r="149" spans="1:15" ht="15" customHeight="1">
      <c r="A149" s="9" t="s">
        <v>202</v>
      </c>
      <c r="B149" s="64">
        <f t="shared" si="21"/>
        <v>0.25</v>
      </c>
      <c r="C149" s="31">
        <v>10</v>
      </c>
      <c r="D149" s="12" t="s">
        <v>138</v>
      </c>
      <c r="E149" s="13" t="s">
        <v>137</v>
      </c>
      <c r="F149" s="32" t="s">
        <v>89</v>
      </c>
      <c r="G149" s="66">
        <v>23.92</v>
      </c>
      <c r="H149" s="15">
        <f t="shared" si="17"/>
        <v>287.04000000000002</v>
      </c>
      <c r="I149" s="68">
        <f t="shared" si="12"/>
        <v>318.85000000000002</v>
      </c>
      <c r="J149" s="15">
        <f t="shared" si="18"/>
        <v>334.88</v>
      </c>
      <c r="K149" s="71">
        <v>0.10002299379167634</v>
      </c>
      <c r="L149" s="63">
        <f t="shared" si="25"/>
        <v>275.14</v>
      </c>
      <c r="M149" s="63">
        <f t="shared" si="26"/>
        <v>191.36</v>
      </c>
      <c r="N149" s="63">
        <f t="shared" si="27"/>
        <v>212.57</v>
      </c>
      <c r="O149" s="63">
        <f t="shared" si="28"/>
        <v>223.25</v>
      </c>
    </row>
    <row r="150" spans="1:15" ht="15" customHeight="1">
      <c r="A150" s="9" t="s">
        <v>202</v>
      </c>
      <c r="B150" s="64">
        <f t="shared" si="21"/>
        <v>0.3</v>
      </c>
      <c r="C150" s="31">
        <v>12</v>
      </c>
      <c r="D150" s="12" t="s">
        <v>138</v>
      </c>
      <c r="E150" s="13" t="s">
        <v>137</v>
      </c>
      <c r="F150" s="32" t="s">
        <v>90</v>
      </c>
      <c r="G150" s="66">
        <v>26.21</v>
      </c>
      <c r="H150" s="15">
        <f t="shared" si="17"/>
        <v>314.52</v>
      </c>
      <c r="I150" s="68">
        <f t="shared" si="12"/>
        <v>349.38</v>
      </c>
      <c r="J150" s="15">
        <f t="shared" si="18"/>
        <v>366.94</v>
      </c>
      <c r="K150" s="71">
        <v>0.10001259075838331</v>
      </c>
      <c r="L150" s="63">
        <f t="shared" si="25"/>
        <v>301.48</v>
      </c>
      <c r="M150" s="63">
        <f t="shared" si="26"/>
        <v>209.68</v>
      </c>
      <c r="N150" s="63">
        <f t="shared" si="27"/>
        <v>232.92</v>
      </c>
      <c r="O150" s="63">
        <f t="shared" si="28"/>
        <v>244.63</v>
      </c>
    </row>
    <row r="151" spans="1:15" ht="15" customHeight="1">
      <c r="A151" s="9" t="s">
        <v>202</v>
      </c>
      <c r="B151" s="64">
        <f>ROUND(C151*0.0254,3)</f>
        <v>7.5999999999999998E-2</v>
      </c>
      <c r="C151" s="31">
        <v>3</v>
      </c>
      <c r="D151" s="12" t="s">
        <v>29</v>
      </c>
      <c r="E151" s="13" t="s">
        <v>137</v>
      </c>
      <c r="F151" s="32" t="s">
        <v>81</v>
      </c>
      <c r="G151" s="66">
        <v>22.317</v>
      </c>
      <c r="H151" s="15">
        <f t="shared" si="17"/>
        <v>267.8</v>
      </c>
      <c r="I151" s="68">
        <f t="shared" ref="I151:I176" si="29">ROUND(G151*13.33,2)</f>
        <v>297.49</v>
      </c>
      <c r="J151" s="15">
        <f t="shared" si="18"/>
        <v>312.44</v>
      </c>
      <c r="K151" s="71">
        <v>0.10000985804416396</v>
      </c>
      <c r="L151" s="63">
        <f t="shared" si="25"/>
        <v>256.69</v>
      </c>
      <c r="M151" s="63">
        <f t="shared" si="26"/>
        <v>178.53</v>
      </c>
      <c r="N151" s="63">
        <f t="shared" si="27"/>
        <v>198.33</v>
      </c>
      <c r="O151" s="63">
        <f t="shared" si="28"/>
        <v>208.29</v>
      </c>
    </row>
    <row r="152" spans="1:15" ht="15" customHeight="1">
      <c r="A152" s="9" t="s">
        <v>202</v>
      </c>
      <c r="B152" s="64">
        <f t="shared" ref="B152:B155" si="30">ROUND(C152*0.0254,3)</f>
        <v>7.5999999999999998E-2</v>
      </c>
      <c r="C152" s="31">
        <v>3</v>
      </c>
      <c r="D152" s="12" t="s">
        <v>29</v>
      </c>
      <c r="E152" s="13" t="s">
        <v>137</v>
      </c>
      <c r="F152" s="32" t="s">
        <v>122</v>
      </c>
      <c r="G152" s="66">
        <v>22.317</v>
      </c>
      <c r="H152" s="15">
        <f t="shared" si="17"/>
        <v>267.8</v>
      </c>
      <c r="I152" s="68">
        <f t="shared" si="29"/>
        <v>297.49</v>
      </c>
      <c r="J152" s="15">
        <f t="shared" si="18"/>
        <v>312.44</v>
      </c>
      <c r="K152" s="71">
        <v>0.10000985804416396</v>
      </c>
      <c r="L152" s="63">
        <f t="shared" si="25"/>
        <v>256.69</v>
      </c>
      <c r="M152" s="63">
        <f t="shared" si="26"/>
        <v>178.53</v>
      </c>
      <c r="N152" s="63">
        <f t="shared" si="27"/>
        <v>198.33</v>
      </c>
      <c r="O152" s="63">
        <f t="shared" si="28"/>
        <v>208.29</v>
      </c>
    </row>
    <row r="153" spans="1:15" ht="15" customHeight="1">
      <c r="A153" s="9" t="s">
        <v>202</v>
      </c>
      <c r="B153" s="64">
        <f t="shared" si="30"/>
        <v>8.8999999999999996E-2</v>
      </c>
      <c r="C153" s="31">
        <v>3.5</v>
      </c>
      <c r="D153" s="12" t="s">
        <v>29</v>
      </c>
      <c r="E153" s="13" t="s">
        <v>137</v>
      </c>
      <c r="F153" s="32" t="s">
        <v>83</v>
      </c>
      <c r="G153" s="66">
        <v>22.254000000000001</v>
      </c>
      <c r="H153" s="15">
        <f t="shared" si="17"/>
        <v>267.05</v>
      </c>
      <c r="I153" s="68">
        <f t="shared" si="29"/>
        <v>296.64999999999998</v>
      </c>
      <c r="J153" s="15">
        <f t="shared" si="18"/>
        <v>311.56</v>
      </c>
      <c r="K153" s="71">
        <v>9.9995057090603412E-2</v>
      </c>
      <c r="L153" s="63">
        <f t="shared" si="25"/>
        <v>255.98</v>
      </c>
      <c r="M153" s="63">
        <f t="shared" si="26"/>
        <v>178.03</v>
      </c>
      <c r="N153" s="63">
        <f t="shared" si="27"/>
        <v>197.77</v>
      </c>
      <c r="O153" s="63">
        <f t="shared" si="28"/>
        <v>207.71</v>
      </c>
    </row>
    <row r="154" spans="1:15" ht="15" customHeight="1">
      <c r="A154" s="9" t="s">
        <v>202</v>
      </c>
      <c r="B154" s="64">
        <v>8.8999999999999996E-2</v>
      </c>
      <c r="C154" s="31">
        <v>3.5</v>
      </c>
      <c r="D154" s="12" t="s">
        <v>29</v>
      </c>
      <c r="E154" s="13" t="s">
        <v>137</v>
      </c>
      <c r="F154" s="32" t="s">
        <v>85</v>
      </c>
      <c r="G154" s="66">
        <v>24.033999999999999</v>
      </c>
      <c r="H154" s="15">
        <f t="shared" si="17"/>
        <v>288.41000000000003</v>
      </c>
      <c r="I154" s="68">
        <f t="shared" si="29"/>
        <v>320.37</v>
      </c>
      <c r="J154" s="15">
        <f t="shared" si="18"/>
        <v>336.48</v>
      </c>
      <c r="K154" s="71">
        <v>0.1000045768685065</v>
      </c>
      <c r="L154" s="63">
        <f t="shared" si="25"/>
        <v>276.45999999999998</v>
      </c>
      <c r="M154" s="63">
        <f t="shared" si="26"/>
        <v>192.27</v>
      </c>
      <c r="N154" s="63">
        <f t="shared" si="27"/>
        <v>213.58</v>
      </c>
      <c r="O154" s="63">
        <f t="shared" si="28"/>
        <v>224.32</v>
      </c>
    </row>
    <row r="155" spans="1:15" ht="15" customHeight="1">
      <c r="A155" s="9" t="s">
        <v>202</v>
      </c>
      <c r="B155" s="64">
        <f t="shared" si="30"/>
        <v>9.0999999999999998E-2</v>
      </c>
      <c r="C155" s="31">
        <v>3.6</v>
      </c>
      <c r="D155" s="12" t="s">
        <v>29</v>
      </c>
      <c r="E155" s="13" t="s">
        <v>137</v>
      </c>
      <c r="F155" s="32" t="s">
        <v>83</v>
      </c>
      <c r="G155" s="66">
        <v>23.411000000000001</v>
      </c>
      <c r="H155" s="15">
        <f t="shared" si="17"/>
        <v>280.93</v>
      </c>
      <c r="I155" s="68">
        <f t="shared" si="29"/>
        <v>312.07</v>
      </c>
      <c r="J155" s="15">
        <f t="shared" si="18"/>
        <v>327.75</v>
      </c>
      <c r="K155" s="71">
        <v>9.9985904242822832E-2</v>
      </c>
      <c r="L155" s="63">
        <f t="shared" si="25"/>
        <v>269.29000000000002</v>
      </c>
      <c r="M155" s="63">
        <f t="shared" si="26"/>
        <v>187.29</v>
      </c>
      <c r="N155" s="63">
        <f t="shared" si="27"/>
        <v>208.05</v>
      </c>
      <c r="O155" s="63">
        <f t="shared" si="28"/>
        <v>218.5</v>
      </c>
    </row>
    <row r="156" spans="1:15" ht="15" customHeight="1">
      <c r="A156" s="9" t="s">
        <v>202</v>
      </c>
      <c r="B156" s="64">
        <f t="shared" ref="B156:B176" si="31">ROUND(C156*0.0254,2)</f>
        <v>0.1</v>
      </c>
      <c r="C156" s="31">
        <v>4</v>
      </c>
      <c r="D156" s="12" t="s">
        <v>29</v>
      </c>
      <c r="E156" s="13" t="s">
        <v>137</v>
      </c>
      <c r="F156" s="32" t="s">
        <v>85</v>
      </c>
      <c r="G156" s="66">
        <v>25.934999999999999</v>
      </c>
      <c r="H156" s="15">
        <f t="shared" si="17"/>
        <v>311.22000000000003</v>
      </c>
      <c r="I156" s="68">
        <f t="shared" si="29"/>
        <v>345.71</v>
      </c>
      <c r="J156" s="15">
        <f t="shared" si="18"/>
        <v>363.09</v>
      </c>
      <c r="K156" s="71">
        <v>0.1000127242651736</v>
      </c>
      <c r="L156" s="63">
        <f t="shared" si="25"/>
        <v>298.32</v>
      </c>
      <c r="M156" s="63">
        <f t="shared" si="26"/>
        <v>207.48</v>
      </c>
      <c r="N156" s="63">
        <f t="shared" si="27"/>
        <v>230.47</v>
      </c>
      <c r="O156" s="63">
        <f t="shared" si="28"/>
        <v>242.06</v>
      </c>
    </row>
    <row r="157" spans="1:15" ht="15" customHeight="1">
      <c r="A157" s="9" t="s">
        <v>202</v>
      </c>
      <c r="B157" s="64">
        <f t="shared" si="31"/>
        <v>0.1</v>
      </c>
      <c r="C157" s="31">
        <v>4</v>
      </c>
      <c r="D157" s="12" t="s">
        <v>29</v>
      </c>
      <c r="E157" s="13" t="s">
        <v>137</v>
      </c>
      <c r="F157" s="32" t="s">
        <v>84</v>
      </c>
      <c r="G157" s="66">
        <v>22.65</v>
      </c>
      <c r="H157" s="15">
        <f t="shared" si="17"/>
        <v>271.8</v>
      </c>
      <c r="I157" s="68">
        <f t="shared" si="29"/>
        <v>301.92</v>
      </c>
      <c r="J157" s="15">
        <f t="shared" si="18"/>
        <v>317.10000000000002</v>
      </c>
      <c r="K157" s="71">
        <v>9.9995143509300055E-2</v>
      </c>
      <c r="L157" s="63">
        <f t="shared" si="25"/>
        <v>260.52999999999997</v>
      </c>
      <c r="M157" s="63">
        <f t="shared" si="26"/>
        <v>181.2</v>
      </c>
      <c r="N157" s="63">
        <f t="shared" si="27"/>
        <v>201.28</v>
      </c>
      <c r="O157" s="63">
        <f t="shared" si="28"/>
        <v>211.4</v>
      </c>
    </row>
    <row r="158" spans="1:15" ht="15" customHeight="1">
      <c r="A158" s="9" t="s">
        <v>202</v>
      </c>
      <c r="B158" s="64">
        <f t="shared" si="31"/>
        <v>0.1</v>
      </c>
      <c r="C158" s="31">
        <v>4</v>
      </c>
      <c r="D158" s="12" t="s">
        <v>29</v>
      </c>
      <c r="E158" s="13" t="s">
        <v>137</v>
      </c>
      <c r="F158" s="32" t="s">
        <v>83</v>
      </c>
      <c r="G158" s="66">
        <v>22.65</v>
      </c>
      <c r="H158" s="15">
        <f t="shared" ref="H158:H185" si="32">ROUND(G158*12,2)</f>
        <v>271.8</v>
      </c>
      <c r="I158" s="68">
        <f t="shared" si="29"/>
        <v>301.92</v>
      </c>
      <c r="J158" s="15">
        <f t="shared" ref="J158:J185" si="33">ROUND(G158*14,2)</f>
        <v>317.10000000000002</v>
      </c>
      <c r="K158" s="71">
        <v>9.9995143509300055E-2</v>
      </c>
      <c r="L158" s="63">
        <f t="shared" si="25"/>
        <v>260.52999999999997</v>
      </c>
      <c r="M158" s="63">
        <f t="shared" si="26"/>
        <v>181.2</v>
      </c>
      <c r="N158" s="63">
        <f t="shared" si="27"/>
        <v>201.28</v>
      </c>
      <c r="O158" s="63">
        <f t="shared" si="28"/>
        <v>211.4</v>
      </c>
    </row>
    <row r="159" spans="1:15" ht="15" customHeight="1">
      <c r="A159" s="9" t="s">
        <v>202</v>
      </c>
      <c r="B159" s="64">
        <f t="shared" si="31"/>
        <v>0.11</v>
      </c>
      <c r="C159" s="31">
        <v>4.5</v>
      </c>
      <c r="D159" s="12" t="s">
        <v>29</v>
      </c>
      <c r="E159" s="13" t="s">
        <v>137</v>
      </c>
      <c r="F159" s="32" t="s">
        <v>83</v>
      </c>
      <c r="G159" s="66">
        <v>23.68</v>
      </c>
      <c r="H159" s="15">
        <f t="shared" si="32"/>
        <v>284.16000000000003</v>
      </c>
      <c r="I159" s="68">
        <f t="shared" si="29"/>
        <v>315.64999999999998</v>
      </c>
      <c r="J159" s="15">
        <f t="shared" si="33"/>
        <v>331.52</v>
      </c>
      <c r="K159" s="71">
        <v>0.10001393598736463</v>
      </c>
      <c r="L159" s="63">
        <f t="shared" si="25"/>
        <v>272.38</v>
      </c>
      <c r="M159" s="63">
        <f t="shared" si="26"/>
        <v>189.44</v>
      </c>
      <c r="N159" s="63">
        <f t="shared" si="27"/>
        <v>210.43</v>
      </c>
      <c r="O159" s="63">
        <f t="shared" si="28"/>
        <v>221.01</v>
      </c>
    </row>
    <row r="160" spans="1:15" ht="15" customHeight="1">
      <c r="A160" s="9" t="s">
        <v>202</v>
      </c>
      <c r="B160" s="64">
        <f t="shared" si="31"/>
        <v>0.11</v>
      </c>
      <c r="C160" s="31">
        <v>4.5</v>
      </c>
      <c r="D160" s="12" t="s">
        <v>29</v>
      </c>
      <c r="E160" s="13" t="s">
        <v>137</v>
      </c>
      <c r="F160" s="32" t="s">
        <v>84</v>
      </c>
      <c r="G160" s="66">
        <v>23.68</v>
      </c>
      <c r="H160" s="15">
        <f t="shared" si="32"/>
        <v>284.16000000000003</v>
      </c>
      <c r="I160" s="68">
        <f t="shared" si="29"/>
        <v>315.64999999999998</v>
      </c>
      <c r="J160" s="15">
        <f t="shared" si="33"/>
        <v>331.52</v>
      </c>
      <c r="K160" s="71">
        <v>0.10001393598736463</v>
      </c>
      <c r="L160" s="63">
        <f t="shared" si="25"/>
        <v>272.38</v>
      </c>
      <c r="M160" s="63">
        <f t="shared" si="26"/>
        <v>189.44</v>
      </c>
      <c r="N160" s="63">
        <f t="shared" si="27"/>
        <v>210.43</v>
      </c>
      <c r="O160" s="63">
        <f t="shared" si="28"/>
        <v>221.01</v>
      </c>
    </row>
    <row r="161" spans="1:15" ht="15" customHeight="1">
      <c r="A161" s="9" t="s">
        <v>202</v>
      </c>
      <c r="B161" s="64">
        <f t="shared" si="31"/>
        <v>0.13</v>
      </c>
      <c r="C161" s="31">
        <v>5</v>
      </c>
      <c r="D161" s="12" t="s">
        <v>29</v>
      </c>
      <c r="E161" s="13" t="s">
        <v>137</v>
      </c>
      <c r="F161" s="32" t="s">
        <v>84</v>
      </c>
      <c r="G161" s="66">
        <v>23.68</v>
      </c>
      <c r="H161" s="15">
        <f t="shared" si="32"/>
        <v>284.16000000000003</v>
      </c>
      <c r="I161" s="68">
        <f t="shared" si="29"/>
        <v>315.64999999999998</v>
      </c>
      <c r="J161" s="15">
        <f t="shared" si="33"/>
        <v>331.52</v>
      </c>
      <c r="K161" s="71">
        <v>0.10001393598736463</v>
      </c>
      <c r="L161" s="63">
        <f t="shared" si="25"/>
        <v>272.38</v>
      </c>
      <c r="M161" s="63">
        <f t="shared" si="26"/>
        <v>189.44</v>
      </c>
      <c r="N161" s="63">
        <f t="shared" si="27"/>
        <v>210.43</v>
      </c>
      <c r="O161" s="63">
        <f t="shared" si="28"/>
        <v>221.01</v>
      </c>
    </row>
    <row r="162" spans="1:15" ht="15" customHeight="1">
      <c r="A162" s="9" t="s">
        <v>202</v>
      </c>
      <c r="B162" s="64">
        <f t="shared" si="31"/>
        <v>0.13</v>
      </c>
      <c r="C162" s="31">
        <v>5</v>
      </c>
      <c r="D162" s="12" t="s">
        <v>29</v>
      </c>
      <c r="E162" s="13" t="s">
        <v>137</v>
      </c>
      <c r="F162" s="32" t="s">
        <v>86</v>
      </c>
      <c r="G162" s="66">
        <v>24.696000000000002</v>
      </c>
      <c r="H162" s="15">
        <f t="shared" si="32"/>
        <v>296.35000000000002</v>
      </c>
      <c r="I162" s="68">
        <f t="shared" si="29"/>
        <v>329.2</v>
      </c>
      <c r="J162" s="15">
        <f t="shared" si="33"/>
        <v>345.74</v>
      </c>
      <c r="K162" s="71">
        <v>9.9995545855418477E-2</v>
      </c>
      <c r="L162" s="63">
        <f t="shared" si="25"/>
        <v>284.06</v>
      </c>
      <c r="M162" s="63">
        <f t="shared" si="26"/>
        <v>197.57</v>
      </c>
      <c r="N162" s="63">
        <f t="shared" si="27"/>
        <v>219.47</v>
      </c>
      <c r="O162" s="63">
        <f t="shared" si="28"/>
        <v>230.49</v>
      </c>
    </row>
    <row r="163" spans="1:15" ht="15" customHeight="1">
      <c r="A163" s="9" t="s">
        <v>202</v>
      </c>
      <c r="B163" s="64">
        <f t="shared" si="31"/>
        <v>0.13</v>
      </c>
      <c r="C163" s="31">
        <v>5</v>
      </c>
      <c r="D163" s="12" t="s">
        <v>29</v>
      </c>
      <c r="E163" s="13" t="s">
        <v>137</v>
      </c>
      <c r="F163" s="32" t="s">
        <v>117</v>
      </c>
      <c r="G163" s="66">
        <v>24.812999999999999</v>
      </c>
      <c r="H163" s="15">
        <f t="shared" si="32"/>
        <v>297.76</v>
      </c>
      <c r="I163" s="68">
        <f t="shared" si="29"/>
        <v>330.76</v>
      </c>
      <c r="J163" s="15">
        <f t="shared" si="33"/>
        <v>347.38</v>
      </c>
      <c r="K163" s="71">
        <v>0.10001329964090977</v>
      </c>
      <c r="L163" s="63">
        <f t="shared" si="25"/>
        <v>285.41000000000003</v>
      </c>
      <c r="M163" s="63">
        <f t="shared" si="26"/>
        <v>198.51</v>
      </c>
      <c r="N163" s="63">
        <f t="shared" si="27"/>
        <v>220.51</v>
      </c>
      <c r="O163" s="63">
        <f t="shared" si="28"/>
        <v>231.59</v>
      </c>
    </row>
    <row r="164" spans="1:15" ht="15" customHeight="1">
      <c r="A164" s="9" t="s">
        <v>202</v>
      </c>
      <c r="B164" s="64">
        <f t="shared" si="31"/>
        <v>0.13</v>
      </c>
      <c r="C164" s="31">
        <v>5.2</v>
      </c>
      <c r="D164" s="12" t="s">
        <v>29</v>
      </c>
      <c r="E164" s="13" t="s">
        <v>137</v>
      </c>
      <c r="F164" s="32" t="s">
        <v>86</v>
      </c>
      <c r="G164" s="66">
        <v>24.696000000000002</v>
      </c>
      <c r="H164" s="15">
        <f t="shared" si="32"/>
        <v>296.35000000000002</v>
      </c>
      <c r="I164" s="68">
        <f t="shared" si="29"/>
        <v>329.2</v>
      </c>
      <c r="J164" s="15">
        <f t="shared" si="33"/>
        <v>345.74</v>
      </c>
      <c r="K164" s="71">
        <v>9.9995545855418477E-2</v>
      </c>
      <c r="L164" s="63">
        <f t="shared" si="25"/>
        <v>284.06</v>
      </c>
      <c r="M164" s="63">
        <f t="shared" si="26"/>
        <v>197.57</v>
      </c>
      <c r="N164" s="63">
        <f t="shared" si="27"/>
        <v>219.47</v>
      </c>
      <c r="O164" s="63">
        <f t="shared" si="28"/>
        <v>230.49</v>
      </c>
    </row>
    <row r="165" spans="1:15" ht="15" customHeight="1">
      <c r="A165" s="9" t="s">
        <v>202</v>
      </c>
      <c r="B165" s="64">
        <f t="shared" si="31"/>
        <v>0.13</v>
      </c>
      <c r="C165" s="31">
        <v>5.2</v>
      </c>
      <c r="D165" s="12" t="s">
        <v>29</v>
      </c>
      <c r="E165" s="13" t="s">
        <v>137</v>
      </c>
      <c r="F165" s="32" t="s">
        <v>117</v>
      </c>
      <c r="G165" s="66">
        <v>24.812999999999999</v>
      </c>
      <c r="H165" s="15">
        <f t="shared" si="32"/>
        <v>297.76</v>
      </c>
      <c r="I165" s="68">
        <f t="shared" si="29"/>
        <v>330.76</v>
      </c>
      <c r="J165" s="15">
        <f t="shared" si="33"/>
        <v>347.38</v>
      </c>
      <c r="K165" s="71">
        <v>0.10001329964090977</v>
      </c>
      <c r="L165" s="63">
        <f t="shared" si="25"/>
        <v>285.41000000000003</v>
      </c>
      <c r="M165" s="63">
        <f t="shared" si="26"/>
        <v>198.51</v>
      </c>
      <c r="N165" s="63">
        <f t="shared" si="27"/>
        <v>220.51</v>
      </c>
      <c r="O165" s="63">
        <f t="shared" si="28"/>
        <v>231.59</v>
      </c>
    </row>
    <row r="166" spans="1:15" ht="15" customHeight="1">
      <c r="A166" s="9" t="s">
        <v>202</v>
      </c>
      <c r="B166" s="64">
        <f t="shared" si="31"/>
        <v>0.14000000000000001</v>
      </c>
      <c r="C166" s="31">
        <v>5.5</v>
      </c>
      <c r="D166" s="12" t="s">
        <v>29</v>
      </c>
      <c r="E166" s="13" t="s">
        <v>137</v>
      </c>
      <c r="F166" s="32" t="s">
        <v>86</v>
      </c>
      <c r="G166" s="66">
        <v>24.933</v>
      </c>
      <c r="H166" s="15">
        <f t="shared" si="32"/>
        <v>299.2</v>
      </c>
      <c r="I166" s="68">
        <f t="shared" si="29"/>
        <v>332.36</v>
      </c>
      <c r="J166" s="15">
        <f t="shared" si="33"/>
        <v>349.06</v>
      </c>
      <c r="K166" s="71">
        <v>0.10001764757787002</v>
      </c>
      <c r="L166" s="63">
        <f t="shared" si="25"/>
        <v>286.79000000000002</v>
      </c>
      <c r="M166" s="63">
        <f t="shared" si="26"/>
        <v>199.47</v>
      </c>
      <c r="N166" s="63">
        <f t="shared" si="27"/>
        <v>221.57</v>
      </c>
      <c r="O166" s="63">
        <f t="shared" si="28"/>
        <v>232.71</v>
      </c>
    </row>
    <row r="167" spans="1:15" ht="15" customHeight="1">
      <c r="A167" s="9" t="s">
        <v>202</v>
      </c>
      <c r="B167" s="64">
        <f t="shared" si="31"/>
        <v>0.15</v>
      </c>
      <c r="C167" s="31">
        <v>6</v>
      </c>
      <c r="D167" s="12" t="s">
        <v>29</v>
      </c>
      <c r="E167" s="13" t="s">
        <v>137</v>
      </c>
      <c r="F167" s="32" t="s">
        <v>86</v>
      </c>
      <c r="G167" s="66">
        <v>24.933</v>
      </c>
      <c r="H167" s="15">
        <f t="shared" si="32"/>
        <v>299.2</v>
      </c>
      <c r="I167" s="68">
        <f t="shared" si="29"/>
        <v>332.36</v>
      </c>
      <c r="J167" s="15">
        <f t="shared" si="33"/>
        <v>349.06</v>
      </c>
      <c r="K167" s="71">
        <v>0.10001764757787002</v>
      </c>
      <c r="L167" s="63">
        <f t="shared" si="25"/>
        <v>286.79000000000002</v>
      </c>
      <c r="M167" s="63">
        <f t="shared" si="26"/>
        <v>199.47</v>
      </c>
      <c r="N167" s="63">
        <f t="shared" si="27"/>
        <v>221.57</v>
      </c>
      <c r="O167" s="63">
        <f t="shared" si="28"/>
        <v>232.71</v>
      </c>
    </row>
    <row r="168" spans="1:15" ht="15" customHeight="1">
      <c r="A168" s="9" t="s">
        <v>202</v>
      </c>
      <c r="B168" s="64">
        <f t="shared" si="31"/>
        <v>0.15</v>
      </c>
      <c r="C168" s="31">
        <v>6</v>
      </c>
      <c r="D168" s="12" t="s">
        <v>29</v>
      </c>
      <c r="E168" s="13" t="s">
        <v>137</v>
      </c>
      <c r="F168" s="32" t="s">
        <v>117</v>
      </c>
      <c r="G168" s="66">
        <v>25.873999999999999</v>
      </c>
      <c r="H168" s="15">
        <f t="shared" si="32"/>
        <v>310.49</v>
      </c>
      <c r="I168" s="68">
        <f t="shared" si="29"/>
        <v>344.9</v>
      </c>
      <c r="J168" s="15">
        <f t="shared" si="33"/>
        <v>362.24</v>
      </c>
      <c r="K168" s="71">
        <v>9.9991497321656242E-2</v>
      </c>
      <c r="L168" s="63">
        <f t="shared" si="25"/>
        <v>297.62</v>
      </c>
      <c r="M168" s="63">
        <f t="shared" si="26"/>
        <v>206.99</v>
      </c>
      <c r="N168" s="63">
        <f t="shared" si="27"/>
        <v>229.93</v>
      </c>
      <c r="O168" s="63">
        <f t="shared" si="28"/>
        <v>241.49</v>
      </c>
    </row>
    <row r="169" spans="1:15" ht="15" customHeight="1">
      <c r="A169" s="9" t="s">
        <v>202</v>
      </c>
      <c r="B169" s="64">
        <f t="shared" si="31"/>
        <v>0.18</v>
      </c>
      <c r="C169" s="31">
        <v>7</v>
      </c>
      <c r="D169" s="12" t="s">
        <v>29</v>
      </c>
      <c r="E169" s="13" t="s">
        <v>137</v>
      </c>
      <c r="F169" s="32" t="s">
        <v>117</v>
      </c>
      <c r="G169" s="66">
        <v>25.873999999999999</v>
      </c>
      <c r="H169" s="15">
        <f t="shared" si="32"/>
        <v>310.49</v>
      </c>
      <c r="I169" s="68">
        <f t="shared" si="29"/>
        <v>344.9</v>
      </c>
      <c r="J169" s="15">
        <f t="shared" si="33"/>
        <v>362.24</v>
      </c>
      <c r="K169" s="71">
        <v>9.9991497321656242E-2</v>
      </c>
      <c r="L169" s="63">
        <f t="shared" si="25"/>
        <v>297.62</v>
      </c>
      <c r="M169" s="63">
        <f t="shared" si="26"/>
        <v>206.99</v>
      </c>
      <c r="N169" s="63">
        <f t="shared" si="27"/>
        <v>229.93</v>
      </c>
      <c r="O169" s="63">
        <f t="shared" si="28"/>
        <v>241.49</v>
      </c>
    </row>
    <row r="170" spans="1:15" ht="15" customHeight="1">
      <c r="A170" s="9" t="s">
        <v>202</v>
      </c>
      <c r="B170" s="64">
        <f t="shared" si="31"/>
        <v>0.18</v>
      </c>
      <c r="C170" s="31">
        <v>7</v>
      </c>
      <c r="D170" s="12" t="s">
        <v>29</v>
      </c>
      <c r="E170" s="13" t="s">
        <v>137</v>
      </c>
      <c r="F170" s="32" t="s">
        <v>87</v>
      </c>
      <c r="G170" s="66">
        <v>25.873999999999999</v>
      </c>
      <c r="H170" s="15">
        <f t="shared" si="32"/>
        <v>310.49</v>
      </c>
      <c r="I170" s="68">
        <f t="shared" si="29"/>
        <v>344.9</v>
      </c>
      <c r="J170" s="15">
        <f t="shared" si="33"/>
        <v>362.24</v>
      </c>
      <c r="K170" s="71">
        <v>9.9991497321656242E-2</v>
      </c>
      <c r="L170" s="63">
        <f t="shared" si="25"/>
        <v>297.62</v>
      </c>
      <c r="M170" s="63">
        <f t="shared" si="26"/>
        <v>206.99</v>
      </c>
      <c r="N170" s="63">
        <f t="shared" si="27"/>
        <v>229.93</v>
      </c>
      <c r="O170" s="63">
        <f t="shared" si="28"/>
        <v>241.49</v>
      </c>
    </row>
    <row r="171" spans="1:15" ht="15" customHeight="1">
      <c r="A171" s="9" t="s">
        <v>202</v>
      </c>
      <c r="B171" s="64">
        <f t="shared" si="31"/>
        <v>0.2</v>
      </c>
      <c r="C171" s="31">
        <v>8</v>
      </c>
      <c r="D171" s="12" t="s">
        <v>29</v>
      </c>
      <c r="E171" s="13" t="s">
        <v>137</v>
      </c>
      <c r="F171" s="32" t="s">
        <v>87</v>
      </c>
      <c r="G171" s="66">
        <v>27.17</v>
      </c>
      <c r="H171" s="15">
        <f t="shared" si="32"/>
        <v>326.04000000000002</v>
      </c>
      <c r="I171" s="68">
        <f t="shared" si="29"/>
        <v>362.18</v>
      </c>
      <c r="J171" s="15">
        <f t="shared" si="33"/>
        <v>380.38</v>
      </c>
      <c r="K171" s="71">
        <v>0.10000000000000009</v>
      </c>
      <c r="L171" s="63">
        <f t="shared" si="25"/>
        <v>312.52999999999997</v>
      </c>
      <c r="M171" s="63">
        <f t="shared" si="26"/>
        <v>217.36</v>
      </c>
      <c r="N171" s="63">
        <f t="shared" si="27"/>
        <v>241.45</v>
      </c>
      <c r="O171" s="63">
        <f t="shared" si="28"/>
        <v>253.59</v>
      </c>
    </row>
    <row r="172" spans="1:15" ht="15" customHeight="1">
      <c r="A172" s="9" t="s">
        <v>202</v>
      </c>
      <c r="B172" s="64">
        <f t="shared" si="31"/>
        <v>0.25</v>
      </c>
      <c r="C172" s="31">
        <v>10</v>
      </c>
      <c r="D172" s="12" t="s">
        <v>29</v>
      </c>
      <c r="E172" s="13" t="s">
        <v>137</v>
      </c>
      <c r="F172" s="32" t="s">
        <v>89</v>
      </c>
      <c r="G172" s="66">
        <v>27.555</v>
      </c>
      <c r="H172" s="15">
        <f t="shared" si="32"/>
        <v>330.66</v>
      </c>
      <c r="I172" s="68">
        <f t="shared" si="29"/>
        <v>367.31</v>
      </c>
      <c r="J172" s="15">
        <f t="shared" si="33"/>
        <v>385.77</v>
      </c>
      <c r="K172" s="71">
        <v>9.9999999999999867E-2</v>
      </c>
      <c r="L172" s="63">
        <f t="shared" si="25"/>
        <v>316.95999999999998</v>
      </c>
      <c r="M172" s="63">
        <f t="shared" si="26"/>
        <v>220.44</v>
      </c>
      <c r="N172" s="63">
        <f t="shared" si="27"/>
        <v>244.87</v>
      </c>
      <c r="O172" s="63">
        <f t="shared" si="28"/>
        <v>257.18</v>
      </c>
    </row>
    <row r="173" spans="1:15" ht="15" customHeight="1">
      <c r="A173" s="9" t="s">
        <v>202</v>
      </c>
      <c r="B173" s="64">
        <f t="shared" si="31"/>
        <v>0.38</v>
      </c>
      <c r="C173" s="31">
        <v>15</v>
      </c>
      <c r="D173" s="12" t="s">
        <v>29</v>
      </c>
      <c r="E173" s="13" t="s">
        <v>137</v>
      </c>
      <c r="F173" s="32" t="s">
        <v>90</v>
      </c>
      <c r="G173" s="66">
        <v>29.021000000000001</v>
      </c>
      <c r="H173" s="15">
        <f t="shared" si="32"/>
        <v>348.25</v>
      </c>
      <c r="I173" s="68">
        <f t="shared" si="29"/>
        <v>386.85</v>
      </c>
      <c r="J173" s="15">
        <f t="shared" si="33"/>
        <v>406.29</v>
      </c>
      <c r="K173" s="71">
        <v>9.9988629041428245E-2</v>
      </c>
      <c r="L173" s="63">
        <f t="shared" si="25"/>
        <v>333.81</v>
      </c>
      <c r="M173" s="63">
        <f t="shared" si="26"/>
        <v>232.17</v>
      </c>
      <c r="N173" s="63">
        <f t="shared" si="27"/>
        <v>257.89999999999998</v>
      </c>
      <c r="O173" s="63">
        <f t="shared" si="28"/>
        <v>270.86</v>
      </c>
    </row>
    <row r="174" spans="1:15" ht="15" customHeight="1">
      <c r="A174" s="9" t="s">
        <v>202</v>
      </c>
      <c r="B174" s="64">
        <f t="shared" si="31"/>
        <v>0.51</v>
      </c>
      <c r="C174" s="31">
        <v>20</v>
      </c>
      <c r="D174" s="12" t="s">
        <v>29</v>
      </c>
      <c r="E174" s="13" t="s">
        <v>137</v>
      </c>
      <c r="F174" s="32" t="s">
        <v>91</v>
      </c>
      <c r="G174" s="66">
        <v>35.621000000000002</v>
      </c>
      <c r="H174" s="15">
        <f t="shared" si="32"/>
        <v>427.45</v>
      </c>
      <c r="I174" s="68">
        <f t="shared" si="29"/>
        <v>474.83</v>
      </c>
      <c r="J174" s="15">
        <f t="shared" si="33"/>
        <v>498.69</v>
      </c>
      <c r="K174" s="71">
        <v>9.9990735879937009E-2</v>
      </c>
      <c r="L174" s="63">
        <f t="shared" si="25"/>
        <v>409.72</v>
      </c>
      <c r="M174" s="63">
        <f t="shared" si="26"/>
        <v>284.97000000000003</v>
      </c>
      <c r="N174" s="63">
        <f t="shared" si="27"/>
        <v>316.55</v>
      </c>
      <c r="O174" s="63">
        <f t="shared" si="28"/>
        <v>332.46</v>
      </c>
    </row>
    <row r="175" spans="1:15" ht="15" customHeight="1">
      <c r="A175" s="9" t="s">
        <v>202</v>
      </c>
      <c r="B175" s="64">
        <f t="shared" si="31"/>
        <v>0.64</v>
      </c>
      <c r="C175" s="31">
        <v>25</v>
      </c>
      <c r="D175" s="12" t="s">
        <v>29</v>
      </c>
      <c r="E175" s="13" t="s">
        <v>137</v>
      </c>
      <c r="F175" s="32" t="s">
        <v>88</v>
      </c>
      <c r="G175" s="66">
        <v>43.493000000000002</v>
      </c>
      <c r="H175" s="15">
        <f t="shared" si="32"/>
        <v>521.91999999999996</v>
      </c>
      <c r="I175" s="68">
        <f t="shared" si="29"/>
        <v>579.76</v>
      </c>
      <c r="J175" s="15">
        <f t="shared" si="33"/>
        <v>608.9</v>
      </c>
      <c r="K175" s="71">
        <v>0.10000252914843566</v>
      </c>
      <c r="L175" s="63">
        <f t="shared" si="25"/>
        <v>500.28</v>
      </c>
      <c r="M175" s="63">
        <f t="shared" si="26"/>
        <v>347.95</v>
      </c>
      <c r="N175" s="63">
        <f t="shared" si="27"/>
        <v>386.51</v>
      </c>
      <c r="O175" s="63">
        <f t="shared" si="28"/>
        <v>405.93</v>
      </c>
    </row>
    <row r="176" spans="1:15" ht="15" customHeight="1">
      <c r="A176" s="9" t="s">
        <v>203</v>
      </c>
      <c r="B176" s="64">
        <f t="shared" si="31"/>
        <v>0.79</v>
      </c>
      <c r="C176" s="31">
        <v>31</v>
      </c>
      <c r="D176" s="12" t="s">
        <v>29</v>
      </c>
      <c r="E176" s="13" t="s">
        <v>137</v>
      </c>
      <c r="F176" s="32" t="s">
        <v>131</v>
      </c>
      <c r="G176" s="66">
        <v>46.456000000000003</v>
      </c>
      <c r="H176" s="15">
        <f t="shared" si="32"/>
        <v>557.47</v>
      </c>
      <c r="I176" s="68">
        <f t="shared" si="29"/>
        <v>619.26</v>
      </c>
      <c r="J176" s="15">
        <f t="shared" si="33"/>
        <v>650.38</v>
      </c>
      <c r="K176" s="71">
        <v>9.9992896550091359E-2</v>
      </c>
      <c r="L176" s="63">
        <f t="shared" si="25"/>
        <v>534.36</v>
      </c>
      <c r="M176" s="63">
        <f t="shared" si="26"/>
        <v>371.65</v>
      </c>
      <c r="N176" s="63">
        <f t="shared" si="27"/>
        <v>412.84</v>
      </c>
      <c r="O176" s="63">
        <f t="shared" si="28"/>
        <v>433.59</v>
      </c>
    </row>
    <row r="178" spans="1:14" ht="22.2" customHeight="1">
      <c r="A178" s="267" t="s">
        <v>204</v>
      </c>
      <c r="B178" s="268"/>
      <c r="C178" s="268"/>
      <c r="D178" s="268"/>
      <c r="E178" s="268"/>
      <c r="F178" s="268"/>
      <c r="G178" s="268"/>
      <c r="H178" s="268"/>
      <c r="I178" s="268"/>
      <c r="J178" s="268"/>
      <c r="K178" s="269"/>
    </row>
    <row r="179" spans="1:14" ht="24" customHeight="1">
      <c r="A179" s="112" t="s">
        <v>13</v>
      </c>
      <c r="B179" s="112" t="s">
        <v>31</v>
      </c>
      <c r="C179" s="112" t="s">
        <v>32</v>
      </c>
      <c r="D179" s="112" t="s">
        <v>33</v>
      </c>
      <c r="E179" s="112" t="s">
        <v>34</v>
      </c>
      <c r="F179" s="112" t="s">
        <v>35</v>
      </c>
      <c r="G179" s="112" t="s">
        <v>36</v>
      </c>
      <c r="H179" s="112" t="s">
        <v>37</v>
      </c>
      <c r="I179" s="140" t="s">
        <v>38</v>
      </c>
      <c r="J179" s="141"/>
      <c r="K179" s="270" t="s">
        <v>23</v>
      </c>
    </row>
    <row r="180" spans="1:14" ht="16.2" customHeight="1">
      <c r="A180" s="60" t="s">
        <v>205</v>
      </c>
      <c r="B180" s="60">
        <v>106</v>
      </c>
      <c r="C180" s="271">
        <v>70</v>
      </c>
      <c r="D180" s="60" t="s">
        <v>40</v>
      </c>
      <c r="E180" s="272" t="s">
        <v>41</v>
      </c>
      <c r="F180" s="60">
        <v>3937</v>
      </c>
      <c r="G180" s="273">
        <v>2.9289999999999998</v>
      </c>
      <c r="H180" s="274">
        <f>ROUND(G180*13.124,2)</f>
        <v>38.44</v>
      </c>
      <c r="I180" s="275">
        <f t="shared" ref="I180:I224" si="34">ROUND(G180*F180,2)</f>
        <v>11531.47</v>
      </c>
      <c r="J180" s="276"/>
      <c r="K180" s="228">
        <v>0.10003414134516908</v>
      </c>
      <c r="L180" s="33"/>
      <c r="M180" s="33"/>
      <c r="N180" s="77"/>
    </row>
    <row r="181" spans="1:14">
      <c r="A181" s="60" t="s">
        <v>205</v>
      </c>
      <c r="B181" s="60">
        <v>106</v>
      </c>
      <c r="C181" s="271">
        <v>72</v>
      </c>
      <c r="D181" s="60" t="s">
        <v>40</v>
      </c>
      <c r="E181" s="272" t="s">
        <v>41</v>
      </c>
      <c r="F181" s="277">
        <v>3937</v>
      </c>
      <c r="G181" s="273">
        <v>2.9870000000000001</v>
      </c>
      <c r="H181" s="274">
        <f>ROUND(G181*13.124,2)</f>
        <v>39.200000000000003</v>
      </c>
      <c r="I181" s="275">
        <f t="shared" si="34"/>
        <v>11759.82</v>
      </c>
      <c r="J181" s="276"/>
      <c r="K181" s="228">
        <v>0.10010043521928358</v>
      </c>
      <c r="L181" s="33"/>
      <c r="M181" s="33"/>
      <c r="N181" s="77"/>
    </row>
    <row r="182" spans="1:14">
      <c r="A182" s="60" t="s">
        <v>205</v>
      </c>
      <c r="B182" s="60">
        <v>106</v>
      </c>
      <c r="C182" s="271">
        <v>74</v>
      </c>
      <c r="D182" s="60" t="s">
        <v>40</v>
      </c>
      <c r="E182" s="272" t="s">
        <v>41</v>
      </c>
      <c r="F182" s="277">
        <v>3937</v>
      </c>
      <c r="G182" s="273">
        <v>3.266</v>
      </c>
      <c r="H182" s="274">
        <f t="shared" ref="H182:H224" si="35">ROUND(G182*13.124,2)</f>
        <v>42.86</v>
      </c>
      <c r="I182" s="275">
        <f t="shared" si="34"/>
        <v>12858.24</v>
      </c>
      <c r="J182" s="276"/>
      <c r="K182" s="228">
        <v>0.10012247397428053</v>
      </c>
      <c r="L182" s="33"/>
      <c r="M182" s="33"/>
      <c r="N182" s="77"/>
    </row>
    <row r="183" spans="1:14">
      <c r="A183" s="60" t="s">
        <v>206</v>
      </c>
      <c r="B183" s="60">
        <v>106</v>
      </c>
      <c r="C183" s="271">
        <v>76</v>
      </c>
      <c r="D183" s="60" t="s">
        <v>40</v>
      </c>
      <c r="E183" s="272" t="s">
        <v>41</v>
      </c>
      <c r="F183" s="277">
        <v>3937</v>
      </c>
      <c r="G183" s="273">
        <v>3.3250000000000002</v>
      </c>
      <c r="H183" s="274">
        <f t="shared" si="35"/>
        <v>43.64</v>
      </c>
      <c r="I183" s="275">
        <f t="shared" si="34"/>
        <v>13090.53</v>
      </c>
      <c r="J183" s="276"/>
      <c r="K183" s="228">
        <v>0.10015037593984943</v>
      </c>
      <c r="L183" s="33"/>
      <c r="M183" s="33"/>
      <c r="N183" s="77"/>
    </row>
    <row r="184" spans="1:14">
      <c r="A184" s="60" t="s">
        <v>205</v>
      </c>
      <c r="B184" s="60">
        <v>1067</v>
      </c>
      <c r="C184" s="271">
        <v>66</v>
      </c>
      <c r="D184" s="60" t="s">
        <v>40</v>
      </c>
      <c r="E184" s="272" t="s">
        <v>41</v>
      </c>
      <c r="F184" s="277">
        <v>3937</v>
      </c>
      <c r="G184" s="273">
        <v>3.4249999999999998</v>
      </c>
      <c r="H184" s="274">
        <f t="shared" si="35"/>
        <v>44.95</v>
      </c>
      <c r="I184" s="275">
        <f t="shared" si="34"/>
        <v>13484.23</v>
      </c>
      <c r="J184" s="276"/>
      <c r="K184" s="228">
        <v>0.10014598540145991</v>
      </c>
      <c r="L184" s="33"/>
      <c r="M184" s="33"/>
      <c r="N184" s="77"/>
    </row>
    <row r="185" spans="1:14">
      <c r="A185" s="60" t="s">
        <v>205</v>
      </c>
      <c r="B185" s="60">
        <v>1067</v>
      </c>
      <c r="C185" s="271">
        <v>67</v>
      </c>
      <c r="D185" s="60" t="s">
        <v>40</v>
      </c>
      <c r="E185" s="272" t="s">
        <v>41</v>
      </c>
      <c r="F185" s="277">
        <v>3937</v>
      </c>
      <c r="G185" s="273">
        <v>3.4249999999999998</v>
      </c>
      <c r="H185" s="274">
        <f t="shared" si="35"/>
        <v>44.95</v>
      </c>
      <c r="I185" s="275">
        <f t="shared" si="34"/>
        <v>13484.23</v>
      </c>
      <c r="J185" s="276"/>
      <c r="K185" s="228">
        <v>0.10014598540145991</v>
      </c>
      <c r="L185" s="33"/>
      <c r="M185" s="33"/>
      <c r="N185" s="77"/>
    </row>
    <row r="186" spans="1:14">
      <c r="A186" s="60" t="s">
        <v>205</v>
      </c>
      <c r="B186" s="60">
        <v>1067</v>
      </c>
      <c r="C186" s="271">
        <v>69</v>
      </c>
      <c r="D186" s="60" t="s">
        <v>40</v>
      </c>
      <c r="E186" s="272" t="s">
        <v>41</v>
      </c>
      <c r="F186" s="277">
        <v>3937</v>
      </c>
      <c r="G186" s="273">
        <v>3.4249999999999998</v>
      </c>
      <c r="H186" s="274">
        <f t="shared" si="35"/>
        <v>44.95</v>
      </c>
      <c r="I186" s="275">
        <f t="shared" si="34"/>
        <v>13484.23</v>
      </c>
      <c r="J186" s="276"/>
      <c r="K186" s="228">
        <v>0.10014598540145991</v>
      </c>
      <c r="L186" s="33"/>
      <c r="M186" s="33"/>
      <c r="N186" s="77"/>
    </row>
    <row r="187" spans="1:14">
      <c r="A187" s="60" t="s">
        <v>205</v>
      </c>
      <c r="B187" s="60">
        <v>1067</v>
      </c>
      <c r="C187" s="271">
        <v>70</v>
      </c>
      <c r="D187" s="60" t="s">
        <v>40</v>
      </c>
      <c r="E187" s="272" t="s">
        <v>41</v>
      </c>
      <c r="F187" s="277">
        <v>3937</v>
      </c>
      <c r="G187" s="273">
        <v>3.456</v>
      </c>
      <c r="H187" s="274">
        <f t="shared" si="35"/>
        <v>45.36</v>
      </c>
      <c r="I187" s="275">
        <f t="shared" si="34"/>
        <v>13606.27</v>
      </c>
      <c r="J187" s="276"/>
      <c r="K187" s="228">
        <v>0.1001157407407407</v>
      </c>
      <c r="L187" s="33"/>
      <c r="M187" s="33"/>
      <c r="N187" s="77"/>
    </row>
    <row r="188" spans="1:14">
      <c r="A188" s="60" t="s">
        <v>205</v>
      </c>
      <c r="B188" s="60">
        <v>1067</v>
      </c>
      <c r="C188" s="271">
        <v>73</v>
      </c>
      <c r="D188" s="60" t="s">
        <v>40</v>
      </c>
      <c r="E188" s="272" t="s">
        <v>41</v>
      </c>
      <c r="F188" s="277">
        <v>3937</v>
      </c>
      <c r="G188" s="273">
        <v>3.5590000000000002</v>
      </c>
      <c r="H188" s="274">
        <f t="shared" si="35"/>
        <v>46.71</v>
      </c>
      <c r="I188" s="275">
        <f t="shared" si="34"/>
        <v>14011.78</v>
      </c>
      <c r="J188" s="276"/>
      <c r="K188" s="228">
        <v>0.10002809778027522</v>
      </c>
      <c r="L188" s="33"/>
      <c r="M188" s="33"/>
      <c r="N188" s="77"/>
    </row>
    <row r="189" spans="1:14">
      <c r="A189" s="60" t="s">
        <v>205</v>
      </c>
      <c r="B189" s="60">
        <v>1067</v>
      </c>
      <c r="C189" s="271">
        <v>75</v>
      </c>
      <c r="D189" s="60" t="s">
        <v>40</v>
      </c>
      <c r="E189" s="272" t="s">
        <v>41</v>
      </c>
      <c r="F189" s="277">
        <v>3937</v>
      </c>
      <c r="G189" s="273">
        <v>3.6360000000000001</v>
      </c>
      <c r="H189" s="274">
        <f t="shared" si="35"/>
        <v>47.72</v>
      </c>
      <c r="I189" s="275">
        <f t="shared" si="34"/>
        <v>14314.93</v>
      </c>
      <c r="J189" s="276"/>
      <c r="K189" s="228">
        <v>0.10011001100110017</v>
      </c>
      <c r="L189" s="33"/>
      <c r="M189" s="33"/>
      <c r="N189" s="77"/>
    </row>
    <row r="190" spans="1:14">
      <c r="A190" s="60" t="s">
        <v>205</v>
      </c>
      <c r="B190" s="60">
        <v>1080</v>
      </c>
      <c r="C190" s="271">
        <v>63</v>
      </c>
      <c r="D190" s="60" t="s">
        <v>40</v>
      </c>
      <c r="E190" s="272" t="s">
        <v>41</v>
      </c>
      <c r="F190" s="60">
        <v>3937</v>
      </c>
      <c r="G190" s="273">
        <v>3.1949999999999998</v>
      </c>
      <c r="H190" s="274">
        <f t="shared" si="35"/>
        <v>41.93</v>
      </c>
      <c r="I190" s="275">
        <f t="shared" si="34"/>
        <v>12578.72</v>
      </c>
      <c r="J190" s="276"/>
      <c r="K190" s="228">
        <v>0.14992175273865427</v>
      </c>
      <c r="L190" s="33"/>
      <c r="M190" s="33"/>
      <c r="N190" s="77"/>
    </row>
    <row r="191" spans="1:14">
      <c r="A191" s="60" t="s">
        <v>205</v>
      </c>
      <c r="B191" s="60">
        <v>1080</v>
      </c>
      <c r="C191" s="271">
        <v>64</v>
      </c>
      <c r="D191" s="60" t="s">
        <v>40</v>
      </c>
      <c r="E191" s="272" t="s">
        <v>41</v>
      </c>
      <c r="F191" s="60">
        <v>3937</v>
      </c>
      <c r="G191" s="273">
        <v>3.1949999999999998</v>
      </c>
      <c r="H191" s="274">
        <f t="shared" si="35"/>
        <v>41.93</v>
      </c>
      <c r="I191" s="275">
        <f t="shared" si="34"/>
        <v>12578.72</v>
      </c>
      <c r="J191" s="276"/>
      <c r="K191" s="228">
        <v>0.14992175273864999</v>
      </c>
      <c r="L191" s="33"/>
      <c r="M191" s="33"/>
      <c r="N191" s="77"/>
    </row>
    <row r="192" spans="1:14">
      <c r="A192" s="60" t="s">
        <v>205</v>
      </c>
      <c r="B192" s="60">
        <v>1080</v>
      </c>
      <c r="C192" s="271">
        <v>65</v>
      </c>
      <c r="D192" s="60" t="s">
        <v>40</v>
      </c>
      <c r="E192" s="272" t="s">
        <v>41</v>
      </c>
      <c r="F192" s="277">
        <v>3937</v>
      </c>
      <c r="G192" s="273">
        <v>3.1949999999999998</v>
      </c>
      <c r="H192" s="274">
        <f t="shared" si="35"/>
        <v>41.93</v>
      </c>
      <c r="I192" s="275">
        <f t="shared" si="34"/>
        <v>12578.72</v>
      </c>
      <c r="J192" s="276"/>
      <c r="K192" s="228">
        <v>0.14992175273865427</v>
      </c>
      <c r="L192" s="33"/>
      <c r="M192" s="33"/>
      <c r="N192" s="77"/>
    </row>
    <row r="193" spans="1:14">
      <c r="A193" s="60" t="s">
        <v>205</v>
      </c>
      <c r="B193" s="60">
        <v>1080</v>
      </c>
      <c r="C193" s="271">
        <v>66</v>
      </c>
      <c r="D193" s="60" t="s">
        <v>40</v>
      </c>
      <c r="E193" s="272" t="s">
        <v>41</v>
      </c>
      <c r="F193" s="277">
        <v>3937</v>
      </c>
      <c r="G193" s="273">
        <v>3.4620000000000002</v>
      </c>
      <c r="H193" s="274">
        <f t="shared" si="35"/>
        <v>45.44</v>
      </c>
      <c r="I193" s="275">
        <f t="shared" si="34"/>
        <v>13629.89</v>
      </c>
      <c r="J193" s="276"/>
      <c r="K193" s="228">
        <v>0.1499133448873482</v>
      </c>
      <c r="L193" s="33"/>
      <c r="M193" s="33"/>
      <c r="N193" s="77"/>
    </row>
    <row r="194" spans="1:14">
      <c r="A194" s="60" t="s">
        <v>205</v>
      </c>
      <c r="B194" s="60">
        <v>1080</v>
      </c>
      <c r="C194" s="271">
        <v>68</v>
      </c>
      <c r="D194" s="60" t="s">
        <v>40</v>
      </c>
      <c r="E194" s="272" t="s">
        <v>41</v>
      </c>
      <c r="F194" s="277">
        <v>3937</v>
      </c>
      <c r="G194" s="273">
        <v>3.4620000000000002</v>
      </c>
      <c r="H194" s="274">
        <f t="shared" si="35"/>
        <v>45.44</v>
      </c>
      <c r="I194" s="275">
        <f t="shared" si="34"/>
        <v>13629.89</v>
      </c>
      <c r="J194" s="276"/>
      <c r="K194" s="228">
        <v>0.1499133448873482</v>
      </c>
      <c r="L194" s="33"/>
      <c r="M194" s="33"/>
      <c r="N194" s="77"/>
    </row>
    <row r="195" spans="1:14">
      <c r="A195" s="60" t="s">
        <v>205</v>
      </c>
      <c r="B195" s="60">
        <v>1080</v>
      </c>
      <c r="C195" s="271">
        <v>69</v>
      </c>
      <c r="D195" s="60" t="s">
        <v>40</v>
      </c>
      <c r="E195" s="272" t="s">
        <v>41</v>
      </c>
      <c r="F195" s="277">
        <v>3937</v>
      </c>
      <c r="G195" s="273">
        <v>3.7050000000000001</v>
      </c>
      <c r="H195" s="274">
        <f t="shared" si="35"/>
        <v>48.62</v>
      </c>
      <c r="I195" s="275">
        <f t="shared" si="34"/>
        <v>14586.59</v>
      </c>
      <c r="J195" s="276"/>
      <c r="K195" s="228">
        <v>0.10013495276653162</v>
      </c>
      <c r="L195" s="33"/>
      <c r="M195" s="33"/>
      <c r="N195" s="77"/>
    </row>
    <row r="196" spans="1:14">
      <c r="A196" s="60" t="s">
        <v>205</v>
      </c>
      <c r="B196" s="60">
        <v>1080</v>
      </c>
      <c r="C196" s="271">
        <v>70</v>
      </c>
      <c r="D196" s="60" t="s">
        <v>40</v>
      </c>
      <c r="E196" s="272" t="s">
        <v>41</v>
      </c>
      <c r="F196" s="277">
        <v>3937</v>
      </c>
      <c r="G196" s="273">
        <v>3.7050000000000001</v>
      </c>
      <c r="H196" s="274">
        <f t="shared" si="35"/>
        <v>48.62</v>
      </c>
      <c r="I196" s="275">
        <f t="shared" si="34"/>
        <v>14586.59</v>
      </c>
      <c r="J196" s="276"/>
      <c r="K196" s="228">
        <v>0.10013495276653162</v>
      </c>
      <c r="L196" s="33"/>
      <c r="M196" s="33"/>
      <c r="N196" s="77"/>
    </row>
    <row r="197" spans="1:14">
      <c r="A197" s="60" t="s">
        <v>205</v>
      </c>
      <c r="B197" s="60">
        <v>1080</v>
      </c>
      <c r="C197" s="271">
        <v>71</v>
      </c>
      <c r="D197" s="60" t="s">
        <v>40</v>
      </c>
      <c r="E197" s="272" t="s">
        <v>41</v>
      </c>
      <c r="F197" s="277">
        <v>3937</v>
      </c>
      <c r="G197" s="273">
        <v>3.7050000000000001</v>
      </c>
      <c r="H197" s="274">
        <f t="shared" si="35"/>
        <v>48.62</v>
      </c>
      <c r="I197" s="275">
        <f t="shared" si="34"/>
        <v>14586.59</v>
      </c>
      <c r="J197" s="276"/>
      <c r="K197" s="228">
        <v>0.10013495276653162</v>
      </c>
      <c r="L197" s="33"/>
      <c r="M197" s="33"/>
      <c r="N197" s="77"/>
    </row>
    <row r="198" spans="1:14">
      <c r="A198" s="60" t="s">
        <v>205</v>
      </c>
      <c r="B198" s="60">
        <v>1080</v>
      </c>
      <c r="C198" s="271">
        <v>72</v>
      </c>
      <c r="D198" s="60" t="s">
        <v>40</v>
      </c>
      <c r="E198" s="272" t="s">
        <v>41</v>
      </c>
      <c r="F198" s="277">
        <v>3937</v>
      </c>
      <c r="G198" s="273">
        <v>4.0010000000000003</v>
      </c>
      <c r="H198" s="274">
        <f t="shared" si="35"/>
        <v>52.51</v>
      </c>
      <c r="I198" s="275">
        <f t="shared" si="34"/>
        <v>15751.94</v>
      </c>
      <c r="J198" s="276"/>
      <c r="K198" s="228">
        <v>9.9975006248437692E-2</v>
      </c>
      <c r="L198" s="33"/>
      <c r="M198" s="33"/>
      <c r="N198" s="77"/>
    </row>
    <row r="199" spans="1:14">
      <c r="A199" s="60" t="s">
        <v>205</v>
      </c>
      <c r="B199" s="60">
        <v>1080</v>
      </c>
      <c r="C199" s="271">
        <v>74</v>
      </c>
      <c r="D199" s="60" t="s">
        <v>40</v>
      </c>
      <c r="E199" s="272" t="s">
        <v>41</v>
      </c>
      <c r="F199" s="277">
        <v>3937</v>
      </c>
      <c r="G199" s="273">
        <v>4.3490000000000002</v>
      </c>
      <c r="H199" s="274">
        <f t="shared" si="35"/>
        <v>57.08</v>
      </c>
      <c r="I199" s="275">
        <f t="shared" si="34"/>
        <v>17122.009999999998</v>
      </c>
      <c r="J199" s="276"/>
      <c r="K199" s="228">
        <v>0.10002299379167612</v>
      </c>
      <c r="L199" s="33"/>
      <c r="M199" s="33"/>
      <c r="N199" s="77"/>
    </row>
    <row r="200" spans="1:14">
      <c r="A200" s="60" t="s">
        <v>205</v>
      </c>
      <c r="B200" s="60">
        <v>1078</v>
      </c>
      <c r="C200" s="271">
        <v>63</v>
      </c>
      <c r="D200" s="60" t="s">
        <v>40</v>
      </c>
      <c r="E200" s="272" t="s">
        <v>41</v>
      </c>
      <c r="F200" s="277">
        <v>3937</v>
      </c>
      <c r="G200" s="273">
        <v>3.4470000000000001</v>
      </c>
      <c r="H200" s="274">
        <f t="shared" si="35"/>
        <v>45.24</v>
      </c>
      <c r="I200" s="275">
        <f t="shared" si="34"/>
        <v>13570.84</v>
      </c>
      <c r="J200" s="276"/>
      <c r="K200" s="228">
        <v>0.10008703220191473</v>
      </c>
      <c r="L200" s="33"/>
      <c r="M200" s="33"/>
      <c r="N200" s="77"/>
    </row>
    <row r="201" spans="1:14">
      <c r="A201" s="60" t="s">
        <v>205</v>
      </c>
      <c r="B201" s="60">
        <v>1078</v>
      </c>
      <c r="C201" s="271">
        <v>65</v>
      </c>
      <c r="D201" s="60" t="s">
        <v>40</v>
      </c>
      <c r="E201" s="272" t="s">
        <v>41</v>
      </c>
      <c r="F201" s="277">
        <v>3937</v>
      </c>
      <c r="G201" s="273">
        <v>3.4470000000000001</v>
      </c>
      <c r="H201" s="274">
        <f t="shared" si="35"/>
        <v>45.24</v>
      </c>
      <c r="I201" s="275">
        <f t="shared" si="34"/>
        <v>13570.84</v>
      </c>
      <c r="J201" s="276"/>
      <c r="K201" s="228">
        <v>0.10008703220191473</v>
      </c>
      <c r="L201" s="33"/>
      <c r="M201" s="33"/>
      <c r="N201" s="77"/>
    </row>
    <row r="202" spans="1:14">
      <c r="A202" s="60" t="s">
        <v>205</v>
      </c>
      <c r="B202" s="60">
        <v>1078</v>
      </c>
      <c r="C202" s="271">
        <v>66</v>
      </c>
      <c r="D202" s="60" t="s">
        <v>40</v>
      </c>
      <c r="E202" s="272" t="s">
        <v>41</v>
      </c>
      <c r="F202" s="277">
        <v>3937</v>
      </c>
      <c r="G202" s="273">
        <v>3.7970000000000002</v>
      </c>
      <c r="H202" s="274">
        <f t="shared" si="35"/>
        <v>49.83</v>
      </c>
      <c r="I202" s="275">
        <f t="shared" si="34"/>
        <v>14948.79</v>
      </c>
      <c r="J202" s="276"/>
      <c r="K202" s="228">
        <v>0.10007900974453499</v>
      </c>
      <c r="L202" s="33"/>
      <c r="M202" s="33"/>
      <c r="N202" s="77"/>
    </row>
    <row r="203" spans="1:14">
      <c r="A203" s="60" t="s">
        <v>205</v>
      </c>
      <c r="B203" s="60">
        <v>1078</v>
      </c>
      <c r="C203" s="271">
        <v>68</v>
      </c>
      <c r="D203" s="60" t="s">
        <v>40</v>
      </c>
      <c r="E203" s="272" t="s">
        <v>41</v>
      </c>
      <c r="F203" s="277">
        <v>3937</v>
      </c>
      <c r="G203" s="273">
        <v>3.9119999999999999</v>
      </c>
      <c r="H203" s="274">
        <f t="shared" si="35"/>
        <v>51.34</v>
      </c>
      <c r="I203" s="275">
        <f t="shared" si="34"/>
        <v>15401.54</v>
      </c>
      <c r="J203" s="276"/>
      <c r="K203" s="228">
        <v>9.9948875255623681E-2</v>
      </c>
      <c r="L203" s="33"/>
      <c r="M203" s="33"/>
      <c r="N203" s="77"/>
    </row>
    <row r="204" spans="1:14">
      <c r="A204" s="60" t="s">
        <v>206</v>
      </c>
      <c r="B204" s="60">
        <v>1078</v>
      </c>
      <c r="C204" s="271">
        <v>70</v>
      </c>
      <c r="D204" s="60" t="s">
        <v>40</v>
      </c>
      <c r="E204" s="272" t="s">
        <v>41</v>
      </c>
      <c r="F204" s="277">
        <v>3937</v>
      </c>
      <c r="G204" s="273">
        <v>4.51</v>
      </c>
      <c r="H204" s="274">
        <f t="shared" si="35"/>
        <v>59.19</v>
      </c>
      <c r="I204" s="275">
        <f t="shared" si="34"/>
        <v>17755.87</v>
      </c>
      <c r="J204" s="276"/>
      <c r="K204" s="228">
        <v>0.10000000000000009</v>
      </c>
      <c r="L204" s="33"/>
      <c r="M204" s="33"/>
      <c r="N204" s="77"/>
    </row>
    <row r="205" spans="1:14">
      <c r="A205" s="60" t="s">
        <v>206</v>
      </c>
      <c r="B205" s="60">
        <v>1078</v>
      </c>
      <c r="C205" s="271">
        <v>72</v>
      </c>
      <c r="D205" s="60" t="s">
        <v>40</v>
      </c>
      <c r="E205" s="272" t="s">
        <v>41</v>
      </c>
      <c r="F205" s="277">
        <v>3937</v>
      </c>
      <c r="G205" s="273">
        <v>4.7560000000000002</v>
      </c>
      <c r="H205" s="274">
        <f t="shared" si="35"/>
        <v>62.42</v>
      </c>
      <c r="I205" s="275">
        <f t="shared" si="34"/>
        <v>18724.37</v>
      </c>
      <c r="J205" s="276"/>
      <c r="K205" s="228">
        <v>0.1000841042893188</v>
      </c>
      <c r="L205" s="33"/>
      <c r="M205" s="33"/>
      <c r="N205" s="77"/>
    </row>
    <row r="206" spans="1:14">
      <c r="A206" s="60" t="s">
        <v>206</v>
      </c>
      <c r="B206" s="60">
        <v>1078</v>
      </c>
      <c r="C206" s="271">
        <v>74</v>
      </c>
      <c r="D206" s="60" t="s">
        <v>40</v>
      </c>
      <c r="E206" s="272" t="s">
        <v>41</v>
      </c>
      <c r="F206" s="277">
        <v>3937</v>
      </c>
      <c r="G206" s="273">
        <v>4.5090000000000003</v>
      </c>
      <c r="H206" s="274">
        <f t="shared" si="35"/>
        <v>59.18</v>
      </c>
      <c r="I206" s="275">
        <f t="shared" si="34"/>
        <v>17751.93</v>
      </c>
      <c r="J206" s="276"/>
      <c r="K206" s="228">
        <v>0.10002217786648915</v>
      </c>
      <c r="L206" s="33"/>
      <c r="M206" s="33"/>
      <c r="N206" s="77"/>
    </row>
    <row r="207" spans="1:14">
      <c r="A207" s="60" t="s">
        <v>206</v>
      </c>
      <c r="B207" s="60">
        <v>1078</v>
      </c>
      <c r="C207" s="271">
        <v>76</v>
      </c>
      <c r="D207" s="60" t="s">
        <v>40</v>
      </c>
      <c r="E207" s="272" t="s">
        <v>41</v>
      </c>
      <c r="F207" s="277">
        <v>3937</v>
      </c>
      <c r="G207" s="273">
        <v>4.6890000000000001</v>
      </c>
      <c r="H207" s="274">
        <f t="shared" si="35"/>
        <v>61.54</v>
      </c>
      <c r="I207" s="275">
        <f t="shared" si="34"/>
        <v>18460.59</v>
      </c>
      <c r="J207" s="276"/>
      <c r="K207" s="278"/>
      <c r="L207" s="33"/>
      <c r="M207" s="33"/>
      <c r="N207" s="77"/>
    </row>
    <row r="208" spans="1:14">
      <c r="A208" s="60" t="s">
        <v>205</v>
      </c>
      <c r="B208" s="60" t="s">
        <v>42</v>
      </c>
      <c r="C208" s="271">
        <v>53</v>
      </c>
      <c r="D208" s="60" t="s">
        <v>40</v>
      </c>
      <c r="E208" s="272" t="s">
        <v>41</v>
      </c>
      <c r="F208" s="277">
        <v>3937</v>
      </c>
      <c r="G208" s="273">
        <v>3.6629999999999998</v>
      </c>
      <c r="H208" s="274">
        <f t="shared" si="35"/>
        <v>48.07</v>
      </c>
      <c r="I208" s="275">
        <f t="shared" si="34"/>
        <v>14421.23</v>
      </c>
      <c r="J208" s="276"/>
      <c r="K208" s="228">
        <v>9.9918099918099967E-2</v>
      </c>
      <c r="L208" s="33"/>
      <c r="M208" s="33"/>
      <c r="N208" s="77"/>
    </row>
    <row r="209" spans="1:14">
      <c r="A209" s="60" t="s">
        <v>205</v>
      </c>
      <c r="B209" s="60" t="s">
        <v>42</v>
      </c>
      <c r="C209" s="271">
        <v>54</v>
      </c>
      <c r="D209" s="60" t="s">
        <v>40</v>
      </c>
      <c r="E209" s="272" t="s">
        <v>41</v>
      </c>
      <c r="F209" s="277">
        <v>3937</v>
      </c>
      <c r="G209" s="273">
        <v>3.6629999999999998</v>
      </c>
      <c r="H209" s="274">
        <f t="shared" si="35"/>
        <v>48.07</v>
      </c>
      <c r="I209" s="275">
        <f t="shared" si="34"/>
        <v>14421.23</v>
      </c>
      <c r="J209" s="276"/>
      <c r="K209" s="228">
        <v>9.9918099918099967E-2</v>
      </c>
      <c r="L209" s="33"/>
      <c r="M209" s="33"/>
      <c r="N209" s="77"/>
    </row>
    <row r="210" spans="1:14">
      <c r="A210" s="60" t="s">
        <v>205</v>
      </c>
      <c r="B210" s="60" t="s">
        <v>42</v>
      </c>
      <c r="C210" s="271">
        <v>55.000000000000007</v>
      </c>
      <c r="D210" s="60" t="s">
        <v>40</v>
      </c>
      <c r="E210" s="272" t="s">
        <v>41</v>
      </c>
      <c r="F210" s="277">
        <v>3937</v>
      </c>
      <c r="G210" s="273">
        <v>3.6629999999999998</v>
      </c>
      <c r="H210" s="274">
        <f t="shared" si="35"/>
        <v>48.07</v>
      </c>
      <c r="I210" s="275">
        <f t="shared" si="34"/>
        <v>14421.23</v>
      </c>
      <c r="J210" s="276"/>
      <c r="K210" s="228">
        <v>9.9918099918099967E-2</v>
      </c>
      <c r="L210" s="33"/>
      <c r="M210" s="33"/>
      <c r="N210" s="77"/>
    </row>
    <row r="211" spans="1:14">
      <c r="A211" s="60" t="s">
        <v>205</v>
      </c>
      <c r="B211" s="60" t="s">
        <v>42</v>
      </c>
      <c r="C211" s="271">
        <v>56.000000000000007</v>
      </c>
      <c r="D211" s="60" t="s">
        <v>40</v>
      </c>
      <c r="E211" s="272" t="s">
        <v>41</v>
      </c>
      <c r="F211" s="277">
        <v>3937</v>
      </c>
      <c r="G211" s="273">
        <v>3.6629999999999998</v>
      </c>
      <c r="H211" s="274">
        <f t="shared" si="35"/>
        <v>48.07</v>
      </c>
      <c r="I211" s="275">
        <f t="shared" si="34"/>
        <v>14421.23</v>
      </c>
      <c r="J211" s="276"/>
      <c r="K211" s="228">
        <v>9.9918099918099967E-2</v>
      </c>
      <c r="L211" s="33"/>
      <c r="M211" s="33"/>
      <c r="N211" s="77"/>
    </row>
    <row r="212" spans="1:14">
      <c r="A212" s="60" t="s">
        <v>205</v>
      </c>
      <c r="B212" s="60" t="s">
        <v>42</v>
      </c>
      <c r="C212" s="271">
        <v>56.999999999999993</v>
      </c>
      <c r="D212" s="60" t="s">
        <v>40</v>
      </c>
      <c r="E212" s="272" t="s">
        <v>41</v>
      </c>
      <c r="F212" s="277">
        <v>3937</v>
      </c>
      <c r="G212" s="273">
        <v>3.718</v>
      </c>
      <c r="H212" s="274">
        <f t="shared" si="35"/>
        <v>48.8</v>
      </c>
      <c r="I212" s="275">
        <f t="shared" si="34"/>
        <v>14637.77</v>
      </c>
      <c r="J212" s="276"/>
      <c r="K212" s="228">
        <v>0.10005379236148459</v>
      </c>
      <c r="L212" s="33"/>
      <c r="M212" s="33"/>
      <c r="N212" s="77"/>
    </row>
    <row r="213" spans="1:14">
      <c r="A213" s="60" t="s">
        <v>205</v>
      </c>
      <c r="B213" s="60" t="s">
        <v>42</v>
      </c>
      <c r="C213" s="271">
        <v>57.999999999999993</v>
      </c>
      <c r="D213" s="60" t="s">
        <v>40</v>
      </c>
      <c r="E213" s="272" t="s">
        <v>41</v>
      </c>
      <c r="F213" s="277">
        <v>3937</v>
      </c>
      <c r="G213" s="273">
        <v>3.718</v>
      </c>
      <c r="H213" s="274">
        <f t="shared" si="35"/>
        <v>48.8</v>
      </c>
      <c r="I213" s="275">
        <f t="shared" si="34"/>
        <v>14637.77</v>
      </c>
      <c r="J213" s="276"/>
      <c r="K213" s="228">
        <v>0.10005379236148459</v>
      </c>
      <c r="L213" s="33"/>
      <c r="M213" s="33"/>
      <c r="N213" s="77"/>
    </row>
    <row r="214" spans="1:14">
      <c r="A214" s="60" t="s">
        <v>205</v>
      </c>
      <c r="B214" s="60" t="s">
        <v>42</v>
      </c>
      <c r="C214" s="271">
        <v>59</v>
      </c>
      <c r="D214" s="60" t="s">
        <v>40</v>
      </c>
      <c r="E214" s="272" t="s">
        <v>41</v>
      </c>
      <c r="F214" s="277">
        <v>3937</v>
      </c>
      <c r="G214" s="273">
        <v>3.8340000000000001</v>
      </c>
      <c r="H214" s="274">
        <f t="shared" si="35"/>
        <v>50.32</v>
      </c>
      <c r="I214" s="275">
        <f t="shared" si="34"/>
        <v>15094.46</v>
      </c>
      <c r="J214" s="276"/>
      <c r="K214" s="228">
        <v>9.9895670318205454E-2</v>
      </c>
      <c r="L214" s="33"/>
      <c r="M214" s="33"/>
      <c r="N214" s="77"/>
    </row>
    <row r="215" spans="1:14">
      <c r="A215" s="60" t="s">
        <v>205</v>
      </c>
      <c r="B215" s="60" t="s">
        <v>42</v>
      </c>
      <c r="C215" s="271">
        <v>61</v>
      </c>
      <c r="D215" s="60" t="s">
        <v>40</v>
      </c>
      <c r="E215" s="272" t="s">
        <v>41</v>
      </c>
      <c r="F215" s="277">
        <v>3937</v>
      </c>
      <c r="G215" s="273">
        <v>3.9849999999999999</v>
      </c>
      <c r="H215" s="274">
        <f t="shared" si="35"/>
        <v>52.3</v>
      </c>
      <c r="I215" s="275">
        <f t="shared" si="34"/>
        <v>15688.95</v>
      </c>
      <c r="J215" s="276"/>
      <c r="K215" s="228">
        <v>0.10012547051442922</v>
      </c>
      <c r="L215" s="33"/>
      <c r="M215" s="33"/>
      <c r="N215" s="77"/>
    </row>
    <row r="216" spans="1:14">
      <c r="A216" s="60" t="s">
        <v>205</v>
      </c>
      <c r="B216" s="60" t="s">
        <v>42</v>
      </c>
      <c r="C216" s="271">
        <v>63</v>
      </c>
      <c r="D216" s="60" t="s">
        <v>40</v>
      </c>
      <c r="E216" s="272" t="s">
        <v>41</v>
      </c>
      <c r="F216" s="277">
        <v>3937</v>
      </c>
      <c r="G216" s="273">
        <v>4.0650000000000004</v>
      </c>
      <c r="H216" s="274">
        <f t="shared" si="35"/>
        <v>53.35</v>
      </c>
      <c r="I216" s="275">
        <f t="shared" si="34"/>
        <v>16003.91</v>
      </c>
      <c r="J216" s="276"/>
      <c r="K216" s="228">
        <v>0.10012300123001228</v>
      </c>
      <c r="L216" s="33"/>
      <c r="M216" s="33"/>
      <c r="N216" s="77"/>
    </row>
    <row r="217" spans="1:14">
      <c r="A217" s="60" t="s">
        <v>205</v>
      </c>
      <c r="B217" s="60">
        <v>2116</v>
      </c>
      <c r="C217" s="271">
        <v>53</v>
      </c>
      <c r="D217" s="60" t="s">
        <v>43</v>
      </c>
      <c r="E217" s="272" t="s">
        <v>41</v>
      </c>
      <c r="F217" s="277">
        <v>2624.6</v>
      </c>
      <c r="G217" s="273">
        <v>3.637</v>
      </c>
      <c r="H217" s="274">
        <f t="shared" si="35"/>
        <v>47.73</v>
      </c>
      <c r="I217" s="275">
        <f t="shared" si="34"/>
        <v>9545.67</v>
      </c>
      <c r="J217" s="276"/>
      <c r="K217" s="228">
        <v>0.10008248556502619</v>
      </c>
      <c r="L217" s="33"/>
      <c r="M217" s="33"/>
      <c r="N217" s="77"/>
    </row>
    <row r="218" spans="1:14">
      <c r="A218" s="60" t="s">
        <v>205</v>
      </c>
      <c r="B218" s="60">
        <v>2116</v>
      </c>
      <c r="C218" s="271">
        <v>54</v>
      </c>
      <c r="D218" s="60" t="s">
        <v>43</v>
      </c>
      <c r="E218" s="272" t="s">
        <v>41</v>
      </c>
      <c r="F218" s="277">
        <v>2624.6</v>
      </c>
      <c r="G218" s="273">
        <v>3.637</v>
      </c>
      <c r="H218" s="274">
        <f t="shared" si="35"/>
        <v>47.73</v>
      </c>
      <c r="I218" s="275">
        <f t="shared" si="34"/>
        <v>9545.67</v>
      </c>
      <c r="J218" s="276"/>
      <c r="K218" s="228">
        <v>0.10008248556502619</v>
      </c>
      <c r="L218" s="33"/>
      <c r="M218" s="33"/>
      <c r="N218" s="77"/>
    </row>
    <row r="219" spans="1:14">
      <c r="A219" s="60" t="s">
        <v>205</v>
      </c>
      <c r="B219" s="60">
        <v>2116</v>
      </c>
      <c r="C219" s="271">
        <v>55.000000000000007</v>
      </c>
      <c r="D219" s="60" t="s">
        <v>43</v>
      </c>
      <c r="E219" s="272" t="s">
        <v>41</v>
      </c>
      <c r="F219" s="277">
        <v>2624.6</v>
      </c>
      <c r="G219" s="273">
        <v>3.8540000000000001</v>
      </c>
      <c r="H219" s="274">
        <f t="shared" si="35"/>
        <v>50.58</v>
      </c>
      <c r="I219" s="275">
        <f t="shared" si="34"/>
        <v>10115.209999999999</v>
      </c>
      <c r="J219" s="276"/>
      <c r="K219" s="228">
        <v>9.9896211728074613E-2</v>
      </c>
      <c r="L219" s="33"/>
      <c r="M219" s="33"/>
      <c r="N219" s="77"/>
    </row>
    <row r="220" spans="1:14">
      <c r="A220" s="60" t="s">
        <v>205</v>
      </c>
      <c r="B220" s="60">
        <v>2116</v>
      </c>
      <c r="C220" s="271">
        <v>56.000000000000007</v>
      </c>
      <c r="D220" s="60" t="s">
        <v>43</v>
      </c>
      <c r="E220" s="272" t="s">
        <v>41</v>
      </c>
      <c r="F220" s="277">
        <v>2624.6</v>
      </c>
      <c r="G220" s="273">
        <v>3.8540000000000001</v>
      </c>
      <c r="H220" s="274">
        <f t="shared" si="35"/>
        <v>50.58</v>
      </c>
      <c r="I220" s="275">
        <f t="shared" si="34"/>
        <v>10115.209999999999</v>
      </c>
      <c r="J220" s="276"/>
      <c r="K220" s="228">
        <v>9.9896211728074613E-2</v>
      </c>
      <c r="L220" s="33"/>
      <c r="M220" s="33"/>
      <c r="N220" s="77"/>
    </row>
    <row r="221" spans="1:14">
      <c r="A221" s="60" t="s">
        <v>205</v>
      </c>
      <c r="B221" s="60">
        <v>2116</v>
      </c>
      <c r="C221" s="271">
        <v>56.999999999999993</v>
      </c>
      <c r="D221" s="60" t="s">
        <v>43</v>
      </c>
      <c r="E221" s="272" t="s">
        <v>41</v>
      </c>
      <c r="F221" s="277">
        <v>2624.6</v>
      </c>
      <c r="G221" s="273">
        <v>3.915</v>
      </c>
      <c r="H221" s="274">
        <f t="shared" si="35"/>
        <v>51.38</v>
      </c>
      <c r="I221" s="275">
        <f t="shared" si="34"/>
        <v>10275.31</v>
      </c>
      <c r="J221" s="276"/>
      <c r="K221" s="228">
        <v>0.10012771392081743</v>
      </c>
      <c r="L221" s="33"/>
      <c r="M221" s="33"/>
      <c r="N221" s="77"/>
    </row>
    <row r="222" spans="1:14">
      <c r="A222" s="60" t="s">
        <v>205</v>
      </c>
      <c r="B222" s="60">
        <v>2116</v>
      </c>
      <c r="C222" s="271">
        <v>57.999999999999993</v>
      </c>
      <c r="D222" s="60" t="s">
        <v>43</v>
      </c>
      <c r="E222" s="272" t="s">
        <v>41</v>
      </c>
      <c r="F222" s="277">
        <v>2624.6</v>
      </c>
      <c r="G222" s="273">
        <v>3.915</v>
      </c>
      <c r="H222" s="274">
        <f t="shared" si="35"/>
        <v>51.38</v>
      </c>
      <c r="I222" s="275">
        <f t="shared" si="34"/>
        <v>10275.31</v>
      </c>
      <c r="J222" s="276"/>
      <c r="K222" s="228">
        <v>0.10012771392081743</v>
      </c>
      <c r="L222" s="33"/>
      <c r="M222" s="33"/>
      <c r="N222" s="77"/>
    </row>
    <row r="223" spans="1:14">
      <c r="A223" s="60" t="s">
        <v>205</v>
      </c>
      <c r="B223" s="60">
        <v>2116</v>
      </c>
      <c r="C223" s="271">
        <v>59</v>
      </c>
      <c r="D223" s="60" t="s">
        <v>43</v>
      </c>
      <c r="E223" s="272" t="s">
        <v>41</v>
      </c>
      <c r="F223" s="277">
        <v>2624.6</v>
      </c>
      <c r="G223" s="273">
        <v>4.1680000000000001</v>
      </c>
      <c r="H223" s="274">
        <f t="shared" si="35"/>
        <v>54.7</v>
      </c>
      <c r="I223" s="275">
        <f t="shared" si="34"/>
        <v>10939.33</v>
      </c>
      <c r="J223" s="276"/>
      <c r="K223" s="228">
        <v>0.1000479846449136</v>
      </c>
      <c r="L223" s="33"/>
      <c r="M223" s="33"/>
      <c r="N223" s="77"/>
    </row>
    <row r="224" spans="1:14">
      <c r="A224" s="60" t="s">
        <v>205</v>
      </c>
      <c r="B224" s="60">
        <v>2116</v>
      </c>
      <c r="C224" s="271">
        <v>60</v>
      </c>
      <c r="D224" s="60" t="s">
        <v>43</v>
      </c>
      <c r="E224" s="272" t="s">
        <v>41</v>
      </c>
      <c r="F224" s="277">
        <v>2624.6</v>
      </c>
      <c r="G224" s="273">
        <v>4.41</v>
      </c>
      <c r="H224" s="274">
        <f t="shared" si="35"/>
        <v>57.88</v>
      </c>
      <c r="I224" s="275">
        <f t="shared" si="34"/>
        <v>11574.49</v>
      </c>
      <c r="J224" s="276"/>
      <c r="K224" s="228">
        <v>9.9999999999999867E-2</v>
      </c>
      <c r="L224" s="33"/>
      <c r="M224" s="33"/>
      <c r="N224" s="77"/>
    </row>
    <row r="226" spans="1:11" ht="15.6">
      <c r="A226" s="4" t="s">
        <v>45</v>
      </c>
      <c r="B226" s="4"/>
      <c r="C226" s="21"/>
      <c r="D226" s="21"/>
      <c r="E226" s="21"/>
      <c r="F226" s="21"/>
      <c r="G226" s="21"/>
      <c r="H226" s="21"/>
      <c r="I226" s="22"/>
      <c r="J226" s="23"/>
    </row>
    <row r="227" spans="1:11" ht="15.6">
      <c r="A227" s="21" t="s">
        <v>46</v>
      </c>
      <c r="B227" s="21"/>
      <c r="C227" s="21"/>
      <c r="D227" s="21"/>
      <c r="E227" s="21"/>
      <c r="F227" s="21"/>
      <c r="G227" s="21"/>
      <c r="H227" s="21"/>
      <c r="I227" s="22"/>
      <c r="J227" s="23"/>
    </row>
    <row r="228" spans="1:11" ht="15.6">
      <c r="A228" s="24" t="s">
        <v>207</v>
      </c>
      <c r="B228" s="24"/>
      <c r="C228" s="21"/>
      <c r="D228" s="21"/>
      <c r="E228" s="21"/>
      <c r="F228" s="21"/>
      <c r="G228" s="21"/>
      <c r="H228" s="21"/>
      <c r="I228" s="22"/>
      <c r="J228" s="23"/>
    </row>
    <row r="229" spans="1:11" ht="15.6">
      <c r="A229" s="24" t="s">
        <v>208</v>
      </c>
      <c r="B229" s="24"/>
      <c r="C229" s="21"/>
      <c r="D229" s="21"/>
      <c r="E229" s="21"/>
      <c r="F229" s="21"/>
      <c r="G229" s="21"/>
      <c r="H229" s="21"/>
      <c r="I229" s="22"/>
      <c r="J229" s="23"/>
    </row>
    <row r="230" spans="1:11" ht="15.6">
      <c r="A230" s="24" t="s">
        <v>209</v>
      </c>
      <c r="B230" s="24"/>
      <c r="C230" s="21"/>
      <c r="D230" s="21"/>
      <c r="E230" s="21"/>
      <c r="F230" s="21"/>
      <c r="G230" s="21"/>
      <c r="H230" s="21"/>
      <c r="I230" s="22"/>
      <c r="J230" s="23"/>
    </row>
    <row r="231" spans="1:11" ht="15.6">
      <c r="A231" s="24" t="s">
        <v>210</v>
      </c>
      <c r="B231" s="24"/>
      <c r="C231" s="21"/>
      <c r="D231" s="21"/>
      <c r="E231" s="21"/>
      <c r="F231" s="21"/>
      <c r="G231" s="21"/>
      <c r="H231" s="21"/>
      <c r="I231" s="22"/>
      <c r="J231" s="23"/>
    </row>
    <row r="232" spans="1:11" ht="15.6">
      <c r="A232" s="25" t="s">
        <v>211</v>
      </c>
      <c r="B232" s="25"/>
      <c r="C232" s="21"/>
      <c r="D232" s="21"/>
      <c r="E232" s="21"/>
      <c r="F232" s="21"/>
      <c r="G232" s="21"/>
      <c r="H232" s="21"/>
      <c r="I232" s="22"/>
      <c r="J232" s="23"/>
    </row>
    <row r="233" spans="1:11" ht="15.6">
      <c r="A233" s="25" t="s">
        <v>212</v>
      </c>
      <c r="B233" s="25"/>
      <c r="C233" s="21"/>
      <c r="D233" s="21"/>
      <c r="E233" s="21"/>
      <c r="F233" s="21"/>
      <c r="G233" s="21"/>
      <c r="H233" s="21"/>
      <c r="I233" s="22"/>
      <c r="J233" s="23"/>
    </row>
    <row r="234" spans="1:11" ht="14.4">
      <c r="A234" s="26" t="s">
        <v>213</v>
      </c>
      <c r="B234" s="26"/>
      <c r="C234" s="27"/>
      <c r="D234" s="27"/>
      <c r="E234" s="27"/>
      <c r="F234" s="27"/>
      <c r="G234" s="27"/>
      <c r="H234" s="27"/>
      <c r="I234" s="27"/>
    </row>
    <row r="235" spans="1:11">
      <c r="A235" s="279"/>
      <c r="B235" s="279"/>
    </row>
    <row r="236" spans="1:11" ht="15.6">
      <c r="A236" s="28" t="s">
        <v>52</v>
      </c>
      <c r="B236" s="28"/>
      <c r="C236" s="28"/>
      <c r="D236" s="29"/>
      <c r="E236" s="29"/>
      <c r="F236" s="29"/>
      <c r="G236" s="29"/>
      <c r="H236" s="29"/>
      <c r="I236" s="29"/>
      <c r="J236" s="30" t="s">
        <v>53</v>
      </c>
      <c r="K236" s="29"/>
    </row>
  </sheetData>
  <mergeCells count="53">
    <mergeCell ref="I220:J220"/>
    <mergeCell ref="I221:J221"/>
    <mergeCell ref="I222:J222"/>
    <mergeCell ref="I223:J223"/>
    <mergeCell ref="I224:J224"/>
    <mergeCell ref="I214:J214"/>
    <mergeCell ref="I215:J215"/>
    <mergeCell ref="I216:J216"/>
    <mergeCell ref="I217:J217"/>
    <mergeCell ref="I218:J218"/>
    <mergeCell ref="I219:J219"/>
    <mergeCell ref="I208:J208"/>
    <mergeCell ref="I209:J209"/>
    <mergeCell ref="I210:J210"/>
    <mergeCell ref="I211:J211"/>
    <mergeCell ref="I212:J212"/>
    <mergeCell ref="I213:J213"/>
    <mergeCell ref="I202:J202"/>
    <mergeCell ref="I203:J203"/>
    <mergeCell ref="I204:J204"/>
    <mergeCell ref="I205:J205"/>
    <mergeCell ref="I206:J206"/>
    <mergeCell ref="I207:J207"/>
    <mergeCell ref="I196:J196"/>
    <mergeCell ref="I197:J197"/>
    <mergeCell ref="I198:J198"/>
    <mergeCell ref="I199:J199"/>
    <mergeCell ref="I200:J200"/>
    <mergeCell ref="I201:J201"/>
    <mergeCell ref="I190:J190"/>
    <mergeCell ref="I191:J191"/>
    <mergeCell ref="I192:J192"/>
    <mergeCell ref="I193:J193"/>
    <mergeCell ref="I194:J194"/>
    <mergeCell ref="I195:J195"/>
    <mergeCell ref="I184:J184"/>
    <mergeCell ref="I185:J185"/>
    <mergeCell ref="I186:J186"/>
    <mergeCell ref="I187:J187"/>
    <mergeCell ref="I188:J188"/>
    <mergeCell ref="I189:J189"/>
    <mergeCell ref="A178:K178"/>
    <mergeCell ref="I179:J179"/>
    <mergeCell ref="I180:J180"/>
    <mergeCell ref="I181:J181"/>
    <mergeCell ref="I182:J182"/>
    <mergeCell ref="I183:J183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0175-E546-4A27-B25B-A69E4E004627}">
  <dimension ref="A1:O177"/>
  <sheetViews>
    <sheetView workbookViewId="0">
      <selection activeCell="X10" sqref="X10"/>
    </sheetView>
  </sheetViews>
  <sheetFormatPr defaultColWidth="9" defaultRowHeight="13.8"/>
  <cols>
    <col min="1" max="11" width="8.09765625" style="280" customWidth="1"/>
    <col min="12" max="12" width="8.09765625" style="280" hidden="1" customWidth="1"/>
    <col min="13" max="15" width="0" style="280" hidden="1" customWidth="1"/>
    <col min="16" max="16384" width="9" style="280"/>
  </cols>
  <sheetData>
    <row r="1" spans="1:15" ht="16.350000000000001" customHeight="1">
      <c r="C1" s="281"/>
      <c r="D1" s="281"/>
      <c r="E1" s="281"/>
      <c r="F1" s="281"/>
      <c r="G1" s="281"/>
      <c r="H1" s="281"/>
      <c r="I1" s="281"/>
      <c r="J1" s="281"/>
      <c r="K1" s="281"/>
      <c r="L1" s="281"/>
    </row>
    <row r="2" spans="1:15" ht="74.400000000000006" customHeight="1">
      <c r="A2" s="282"/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</row>
    <row r="3" spans="1:15" ht="23.4" customHeight="1">
      <c r="A3" s="283" t="s">
        <v>0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</row>
    <row r="4" spans="1:15" ht="15" customHeight="1">
      <c r="A4" s="284" t="s">
        <v>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  <c r="L4" s="284"/>
    </row>
    <row r="5" spans="1:15" ht="15" customHeight="1">
      <c r="A5" s="285" t="s">
        <v>2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  <c r="L5" s="285"/>
    </row>
    <row r="6" spans="1:15" ht="15" customHeight="1">
      <c r="A6" s="235" t="s">
        <v>3</v>
      </c>
      <c r="B6" s="235" t="s">
        <v>4</v>
      </c>
      <c r="D6" s="286"/>
      <c r="E6" s="286"/>
      <c r="F6" s="286"/>
      <c r="G6" s="286"/>
      <c r="H6" s="286"/>
      <c r="I6" s="235" t="s">
        <v>5</v>
      </c>
      <c r="J6" s="235"/>
      <c r="K6" s="235"/>
    </row>
    <row r="7" spans="1:15" ht="15" customHeight="1">
      <c r="A7" s="235"/>
      <c r="B7" s="235" t="s">
        <v>6</v>
      </c>
      <c r="D7" s="286"/>
      <c r="E7" s="286"/>
      <c r="F7" s="286"/>
      <c r="G7" s="286"/>
      <c r="H7" s="286"/>
      <c r="I7" s="236" t="s">
        <v>7</v>
      </c>
      <c r="J7" s="236"/>
      <c r="K7" s="236"/>
    </row>
    <row r="8" spans="1:15" ht="15" customHeight="1">
      <c r="A8" s="235" t="s">
        <v>8</v>
      </c>
      <c r="B8" s="235" t="s">
        <v>9</v>
      </c>
      <c r="D8" s="286"/>
      <c r="E8" s="286"/>
      <c r="F8" s="286"/>
      <c r="G8" s="286"/>
      <c r="H8" s="286"/>
      <c r="I8" s="236" t="s">
        <v>80</v>
      </c>
      <c r="J8" s="236"/>
      <c r="K8" s="236"/>
    </row>
    <row r="9" spans="1:15" ht="15" customHeight="1">
      <c r="A9" s="235"/>
      <c r="B9" s="235" t="s">
        <v>10</v>
      </c>
      <c r="D9" s="286"/>
      <c r="E9" s="286"/>
      <c r="F9" s="286"/>
      <c r="G9" s="286"/>
      <c r="H9" s="286"/>
      <c r="I9" s="287" t="s">
        <v>11</v>
      </c>
      <c r="J9" s="235"/>
      <c r="K9" s="235"/>
    </row>
    <row r="10" spans="1:15" ht="15" customHeight="1">
      <c r="A10" s="235"/>
      <c r="B10" s="235"/>
      <c r="C10" s="286"/>
      <c r="D10" s="286"/>
      <c r="E10" s="286"/>
      <c r="F10" s="286"/>
      <c r="G10" s="286"/>
      <c r="H10" s="286"/>
      <c r="I10" s="286"/>
      <c r="J10" s="288"/>
      <c r="K10" s="236"/>
      <c r="L10" s="236"/>
    </row>
    <row r="11" spans="1:15" ht="28.2" customHeight="1">
      <c r="A11" s="289" t="s">
        <v>214</v>
      </c>
      <c r="B11" s="289"/>
      <c r="C11" s="289"/>
      <c r="D11" s="289"/>
      <c r="E11" s="289"/>
      <c r="F11" s="289"/>
      <c r="G11" s="289"/>
      <c r="H11" s="289"/>
      <c r="I11" s="289"/>
      <c r="J11" s="289"/>
      <c r="K11" s="289"/>
      <c r="L11" s="289"/>
    </row>
    <row r="12" spans="1:15" ht="25.8" customHeight="1">
      <c r="A12" s="290" t="s">
        <v>13</v>
      </c>
      <c r="B12" s="290" t="s">
        <v>14</v>
      </c>
      <c r="C12" s="290" t="s">
        <v>15</v>
      </c>
      <c r="D12" s="290" t="s">
        <v>16</v>
      </c>
      <c r="E12" s="290" t="s">
        <v>17</v>
      </c>
      <c r="F12" s="290" t="s">
        <v>18</v>
      </c>
      <c r="G12" s="290" t="s">
        <v>19</v>
      </c>
      <c r="H12" s="290" t="s">
        <v>20</v>
      </c>
      <c r="I12" s="290" t="s">
        <v>21</v>
      </c>
      <c r="J12" s="290" t="s">
        <v>22</v>
      </c>
      <c r="K12" s="290" t="s">
        <v>23</v>
      </c>
      <c r="L12" s="291" t="s">
        <v>72</v>
      </c>
      <c r="M12" s="292" t="s">
        <v>73</v>
      </c>
      <c r="N12" s="292" t="s">
        <v>74</v>
      </c>
      <c r="O12" s="292" t="s">
        <v>75</v>
      </c>
    </row>
    <row r="13" spans="1:15">
      <c r="A13" s="293" t="s">
        <v>215</v>
      </c>
      <c r="B13" s="294">
        <f>ROUND(C13*0.0254,3)</f>
        <v>5.0999999999999997E-2</v>
      </c>
      <c r="C13" s="295">
        <v>2</v>
      </c>
      <c r="D13" s="296" t="s">
        <v>25</v>
      </c>
      <c r="E13" s="296" t="s">
        <v>216</v>
      </c>
      <c r="F13" s="296" t="s">
        <v>217</v>
      </c>
      <c r="G13" s="297">
        <v>12.96</v>
      </c>
      <c r="H13" s="194">
        <f>ROUND(G13*12,2)</f>
        <v>155.52000000000001</v>
      </c>
      <c r="I13" s="195">
        <f>ROUND(G13*13.33,2)</f>
        <v>172.76</v>
      </c>
      <c r="J13" s="194">
        <f>ROUND(G13*14,2)</f>
        <v>181.44</v>
      </c>
      <c r="K13" s="298">
        <v>8.0000000000000071E-2</v>
      </c>
      <c r="L13" s="189">
        <f>ROUND(ROUND(ROUND(G13*12,2)*43/48,2)*1.07,2)</f>
        <v>149.07</v>
      </c>
      <c r="M13" s="189">
        <f>ROUND(ROUND(G13*12,2)*2/3,2)</f>
        <v>103.68</v>
      </c>
      <c r="N13" s="189">
        <f>ROUND(ROUND(G13*13.33,2)*2/3,2)</f>
        <v>115.17</v>
      </c>
      <c r="O13" s="189">
        <f>ROUND(ROUND(G13*14,2)*2/3,2)</f>
        <v>120.96</v>
      </c>
    </row>
    <row r="14" spans="1:15">
      <c r="A14" s="293" t="s">
        <v>218</v>
      </c>
      <c r="B14" s="294">
        <f t="shared" ref="B14:B23" si="0">ROUND(C14*0.0254,3)</f>
        <v>5.0999999999999997E-2</v>
      </c>
      <c r="C14" s="295">
        <v>2</v>
      </c>
      <c r="D14" s="296" t="s">
        <v>25</v>
      </c>
      <c r="E14" s="296" t="s">
        <v>216</v>
      </c>
      <c r="F14" s="296" t="s">
        <v>120</v>
      </c>
      <c r="G14" s="297">
        <v>12.96</v>
      </c>
      <c r="H14" s="194">
        <f t="shared" ref="H14:H99" si="1">ROUND(G14*12,2)</f>
        <v>155.52000000000001</v>
      </c>
      <c r="I14" s="195">
        <f t="shared" ref="I14:I81" si="2">ROUND(G14*13.33,2)</f>
        <v>172.76</v>
      </c>
      <c r="J14" s="194">
        <f t="shared" ref="J14:J77" si="3">ROUND(G14*14,2)</f>
        <v>181.44</v>
      </c>
      <c r="K14" s="298">
        <v>8.0000000000000071E-2</v>
      </c>
      <c r="L14" s="189">
        <f t="shared" ref="L14:L79" si="4">ROUND(ROUND(ROUND(G14*12,2)*43/48,2)*1.07,2)</f>
        <v>149.07</v>
      </c>
      <c r="M14" s="189">
        <f t="shared" ref="M14:M79" si="5">ROUND(ROUND(G14*12,2)*2/3,2)</f>
        <v>103.68</v>
      </c>
      <c r="N14" s="189">
        <f t="shared" ref="N14:N79" si="6">ROUND(ROUND(G14*13.33,2)*2/3,2)</f>
        <v>115.17</v>
      </c>
      <c r="O14" s="189">
        <f t="shared" ref="O14:O79" si="7">ROUND(ROUND(G14*14,2)*2/3,2)</f>
        <v>120.96</v>
      </c>
    </row>
    <row r="15" spans="1:15">
      <c r="A15" s="293" t="s">
        <v>218</v>
      </c>
      <c r="B15" s="294">
        <f t="shared" si="0"/>
        <v>6.4000000000000001E-2</v>
      </c>
      <c r="C15" s="295">
        <v>2.5</v>
      </c>
      <c r="D15" s="296" t="s">
        <v>25</v>
      </c>
      <c r="E15" s="296" t="s">
        <v>216</v>
      </c>
      <c r="F15" s="296" t="s">
        <v>81</v>
      </c>
      <c r="G15" s="297">
        <v>13.327</v>
      </c>
      <c r="H15" s="194">
        <f t="shared" si="1"/>
        <v>159.91999999999999</v>
      </c>
      <c r="I15" s="195">
        <f t="shared" si="2"/>
        <v>177.65</v>
      </c>
      <c r="J15" s="194">
        <f t="shared" si="3"/>
        <v>186.58</v>
      </c>
      <c r="K15" s="298">
        <v>7.0012043356081799E-2</v>
      </c>
      <c r="L15" s="189">
        <f t="shared" si="4"/>
        <v>153.29</v>
      </c>
      <c r="M15" s="189">
        <f t="shared" si="5"/>
        <v>106.61</v>
      </c>
      <c r="N15" s="189">
        <f t="shared" si="6"/>
        <v>118.43</v>
      </c>
      <c r="O15" s="189">
        <f t="shared" si="7"/>
        <v>124.39</v>
      </c>
    </row>
    <row r="16" spans="1:15">
      <c r="A16" s="293" t="s">
        <v>218</v>
      </c>
      <c r="B16" s="294">
        <f t="shared" si="0"/>
        <v>6.4000000000000001E-2</v>
      </c>
      <c r="C16" s="295">
        <v>2.5</v>
      </c>
      <c r="D16" s="296" t="s">
        <v>25</v>
      </c>
      <c r="E16" s="296" t="s">
        <v>216</v>
      </c>
      <c r="F16" s="296" t="s">
        <v>217</v>
      </c>
      <c r="G16" s="297">
        <v>13.951000000000001</v>
      </c>
      <c r="H16" s="194">
        <f t="shared" si="1"/>
        <v>167.41</v>
      </c>
      <c r="I16" s="195">
        <f t="shared" si="2"/>
        <v>185.97</v>
      </c>
      <c r="J16" s="194">
        <f t="shared" si="3"/>
        <v>195.31</v>
      </c>
      <c r="K16" s="298">
        <v>7.0026077619266713E-2</v>
      </c>
      <c r="L16" s="189">
        <f t="shared" si="4"/>
        <v>160.47</v>
      </c>
      <c r="M16" s="189">
        <f t="shared" si="5"/>
        <v>111.61</v>
      </c>
      <c r="N16" s="189">
        <f t="shared" si="6"/>
        <v>123.98</v>
      </c>
      <c r="O16" s="189">
        <f t="shared" si="7"/>
        <v>130.21</v>
      </c>
    </row>
    <row r="17" spans="1:15">
      <c r="A17" s="293" t="s">
        <v>218</v>
      </c>
      <c r="B17" s="294">
        <f t="shared" si="0"/>
        <v>7.5999999999999998E-2</v>
      </c>
      <c r="C17" s="295">
        <v>3</v>
      </c>
      <c r="D17" s="296" t="s">
        <v>25</v>
      </c>
      <c r="E17" s="296" t="s">
        <v>216</v>
      </c>
      <c r="F17" s="296" t="s">
        <v>140</v>
      </c>
      <c r="G17" s="297">
        <v>18.265999999999998</v>
      </c>
      <c r="H17" s="194">
        <f t="shared" si="1"/>
        <v>219.19</v>
      </c>
      <c r="I17" s="195">
        <f t="shared" si="2"/>
        <v>243.49</v>
      </c>
      <c r="J17" s="194">
        <f t="shared" si="3"/>
        <v>255.72</v>
      </c>
      <c r="K17" s="298">
        <v>6.0004642525533836E-2</v>
      </c>
      <c r="L17" s="189">
        <f t="shared" si="4"/>
        <v>210.11</v>
      </c>
      <c r="M17" s="189">
        <f t="shared" si="5"/>
        <v>146.13</v>
      </c>
      <c r="N17" s="189">
        <f t="shared" si="6"/>
        <v>162.33000000000001</v>
      </c>
      <c r="O17" s="189">
        <f t="shared" si="7"/>
        <v>170.48</v>
      </c>
    </row>
    <row r="18" spans="1:15">
      <c r="A18" s="293" t="s">
        <v>218</v>
      </c>
      <c r="B18" s="294">
        <f t="shared" si="0"/>
        <v>7.5999999999999998E-2</v>
      </c>
      <c r="C18" s="295">
        <v>3</v>
      </c>
      <c r="D18" s="296" t="s">
        <v>25</v>
      </c>
      <c r="E18" s="296" t="s">
        <v>216</v>
      </c>
      <c r="F18" s="296" t="s">
        <v>81</v>
      </c>
      <c r="G18" s="297">
        <v>12.869</v>
      </c>
      <c r="H18" s="194">
        <f t="shared" si="1"/>
        <v>154.43</v>
      </c>
      <c r="I18" s="195">
        <f t="shared" si="2"/>
        <v>171.54</v>
      </c>
      <c r="J18" s="194">
        <f t="shared" si="3"/>
        <v>180.17</v>
      </c>
      <c r="K18" s="298">
        <v>7.0009146087968821E-2</v>
      </c>
      <c r="L18" s="189">
        <f t="shared" si="4"/>
        <v>148.02000000000001</v>
      </c>
      <c r="M18" s="189">
        <f t="shared" si="5"/>
        <v>102.95</v>
      </c>
      <c r="N18" s="189">
        <f t="shared" si="6"/>
        <v>114.36</v>
      </c>
      <c r="O18" s="189">
        <f t="shared" si="7"/>
        <v>120.11</v>
      </c>
    </row>
    <row r="19" spans="1:15">
      <c r="A19" s="293" t="s">
        <v>218</v>
      </c>
      <c r="B19" s="294">
        <f t="shared" si="0"/>
        <v>7.5999999999999998E-2</v>
      </c>
      <c r="C19" s="295">
        <v>3</v>
      </c>
      <c r="D19" s="296" t="s">
        <v>25</v>
      </c>
      <c r="E19" s="296" t="s">
        <v>216</v>
      </c>
      <c r="F19" s="296" t="s">
        <v>122</v>
      </c>
      <c r="G19" s="297">
        <v>12.927</v>
      </c>
      <c r="H19" s="194">
        <f t="shared" si="1"/>
        <v>155.12</v>
      </c>
      <c r="I19" s="195">
        <f t="shared" si="2"/>
        <v>172.32</v>
      </c>
      <c r="J19" s="194">
        <f t="shared" si="3"/>
        <v>180.98</v>
      </c>
      <c r="K19" s="298">
        <v>7.0027315619567876E-2</v>
      </c>
      <c r="L19" s="189">
        <f t="shared" si="4"/>
        <v>148.69</v>
      </c>
      <c r="M19" s="189">
        <f t="shared" si="5"/>
        <v>103.41</v>
      </c>
      <c r="N19" s="189">
        <f t="shared" si="6"/>
        <v>114.88</v>
      </c>
      <c r="O19" s="189">
        <f t="shared" si="7"/>
        <v>120.65</v>
      </c>
    </row>
    <row r="20" spans="1:15">
      <c r="A20" s="293" t="s">
        <v>218</v>
      </c>
      <c r="B20" s="294">
        <f t="shared" si="0"/>
        <v>8.1000000000000003E-2</v>
      </c>
      <c r="C20" s="295">
        <v>3.2</v>
      </c>
      <c r="D20" s="296" t="s">
        <v>25</v>
      </c>
      <c r="E20" s="296" t="s">
        <v>216</v>
      </c>
      <c r="F20" s="296" t="s">
        <v>183</v>
      </c>
      <c r="G20" s="297">
        <v>18.13</v>
      </c>
      <c r="H20" s="194">
        <f t="shared" si="1"/>
        <v>217.56</v>
      </c>
      <c r="I20" s="195">
        <f t="shared" si="2"/>
        <v>241.67</v>
      </c>
      <c r="J20" s="194">
        <f t="shared" si="3"/>
        <v>253.82</v>
      </c>
      <c r="K20" s="298">
        <v>5.9985968194574468E-2</v>
      </c>
      <c r="L20" s="189">
        <f t="shared" si="4"/>
        <v>208.54</v>
      </c>
      <c r="M20" s="189">
        <f t="shared" si="5"/>
        <v>145.04</v>
      </c>
      <c r="N20" s="189">
        <f t="shared" si="6"/>
        <v>161.11000000000001</v>
      </c>
      <c r="O20" s="189">
        <f t="shared" si="7"/>
        <v>169.21</v>
      </c>
    </row>
    <row r="21" spans="1:15">
      <c r="A21" s="293" t="s">
        <v>218</v>
      </c>
      <c r="B21" s="294">
        <f t="shared" si="0"/>
        <v>8.8999999999999996E-2</v>
      </c>
      <c r="C21" s="295">
        <v>3.5</v>
      </c>
      <c r="D21" s="296" t="s">
        <v>25</v>
      </c>
      <c r="E21" s="296" t="s">
        <v>216</v>
      </c>
      <c r="F21" s="296" t="s">
        <v>122</v>
      </c>
      <c r="G21" s="297">
        <v>12.927</v>
      </c>
      <c r="H21" s="194">
        <f t="shared" si="1"/>
        <v>155.12</v>
      </c>
      <c r="I21" s="195">
        <f t="shared" si="2"/>
        <v>172.32</v>
      </c>
      <c r="J21" s="194">
        <f t="shared" si="3"/>
        <v>180.98</v>
      </c>
      <c r="K21" s="298">
        <v>7.0027315619567876E-2</v>
      </c>
      <c r="L21" s="189">
        <f t="shared" si="4"/>
        <v>148.69</v>
      </c>
      <c r="M21" s="189">
        <f t="shared" si="5"/>
        <v>103.41</v>
      </c>
      <c r="N21" s="189">
        <f t="shared" si="6"/>
        <v>114.88</v>
      </c>
      <c r="O21" s="189">
        <f t="shared" si="7"/>
        <v>120.65</v>
      </c>
    </row>
    <row r="22" spans="1:15">
      <c r="A22" s="293" t="s">
        <v>218</v>
      </c>
      <c r="B22" s="294">
        <f t="shared" si="0"/>
        <v>8.8999999999999996E-2</v>
      </c>
      <c r="C22" s="295">
        <v>3.5</v>
      </c>
      <c r="D22" s="296" t="s">
        <v>25</v>
      </c>
      <c r="E22" s="296" t="s">
        <v>216</v>
      </c>
      <c r="F22" s="296" t="s">
        <v>83</v>
      </c>
      <c r="G22" s="297">
        <v>12.927</v>
      </c>
      <c r="H22" s="194">
        <f t="shared" si="1"/>
        <v>155.12</v>
      </c>
      <c r="I22" s="195">
        <f t="shared" si="2"/>
        <v>172.32</v>
      </c>
      <c r="J22" s="194">
        <f t="shared" si="3"/>
        <v>180.98</v>
      </c>
      <c r="K22" s="298">
        <v>7.0027315619567876E-2</v>
      </c>
      <c r="L22" s="189">
        <f t="shared" si="4"/>
        <v>148.69</v>
      </c>
      <c r="M22" s="189">
        <f t="shared" si="5"/>
        <v>103.41</v>
      </c>
      <c r="N22" s="189">
        <f t="shared" si="6"/>
        <v>114.88</v>
      </c>
      <c r="O22" s="189">
        <f t="shared" si="7"/>
        <v>120.65</v>
      </c>
    </row>
    <row r="23" spans="1:15">
      <c r="A23" s="293" t="s">
        <v>218</v>
      </c>
      <c r="B23" s="294">
        <f t="shared" si="0"/>
        <v>8.8999999999999996E-2</v>
      </c>
      <c r="C23" s="295">
        <v>3.5</v>
      </c>
      <c r="D23" s="296" t="s">
        <v>25</v>
      </c>
      <c r="E23" s="296" t="s">
        <v>216</v>
      </c>
      <c r="F23" s="296" t="s">
        <v>183</v>
      </c>
      <c r="G23" s="297">
        <v>18.13</v>
      </c>
      <c r="H23" s="194">
        <f t="shared" si="1"/>
        <v>217.56</v>
      </c>
      <c r="I23" s="195">
        <f t="shared" si="2"/>
        <v>241.67</v>
      </c>
      <c r="J23" s="194">
        <f t="shared" si="3"/>
        <v>253.82</v>
      </c>
      <c r="K23" s="298">
        <v>5.9985968194574468E-2</v>
      </c>
      <c r="L23" s="189">
        <f t="shared" si="4"/>
        <v>208.54</v>
      </c>
      <c r="M23" s="189">
        <f t="shared" si="5"/>
        <v>145.04</v>
      </c>
      <c r="N23" s="189">
        <f t="shared" si="6"/>
        <v>161.11000000000001</v>
      </c>
      <c r="O23" s="189">
        <f t="shared" si="7"/>
        <v>169.21</v>
      </c>
    </row>
    <row r="24" spans="1:15">
      <c r="A24" s="293" t="s">
        <v>218</v>
      </c>
      <c r="B24" s="294">
        <f t="shared" ref="B24:B76" si="8">ROUND(C24*0.0254,2)</f>
        <v>0.1</v>
      </c>
      <c r="C24" s="295">
        <v>4</v>
      </c>
      <c r="D24" s="296" t="s">
        <v>25</v>
      </c>
      <c r="E24" s="296" t="s">
        <v>216</v>
      </c>
      <c r="F24" s="296" t="s">
        <v>122</v>
      </c>
      <c r="G24" s="297">
        <v>13.189</v>
      </c>
      <c r="H24" s="194">
        <f t="shared" si="1"/>
        <v>158.27000000000001</v>
      </c>
      <c r="I24" s="195">
        <f t="shared" si="2"/>
        <v>175.81</v>
      </c>
      <c r="J24" s="194">
        <f t="shared" si="3"/>
        <v>184.65</v>
      </c>
      <c r="K24" s="298">
        <v>7.0014603277624543E-2</v>
      </c>
      <c r="L24" s="189">
        <f t="shared" si="4"/>
        <v>151.69999999999999</v>
      </c>
      <c r="M24" s="189">
        <f t="shared" si="5"/>
        <v>105.51</v>
      </c>
      <c r="N24" s="189">
        <f t="shared" si="6"/>
        <v>117.21</v>
      </c>
      <c r="O24" s="189">
        <f t="shared" si="7"/>
        <v>123.1</v>
      </c>
    </row>
    <row r="25" spans="1:15">
      <c r="A25" s="293" t="s">
        <v>218</v>
      </c>
      <c r="B25" s="294">
        <f t="shared" si="8"/>
        <v>0.1</v>
      </c>
      <c r="C25" s="295">
        <v>4</v>
      </c>
      <c r="D25" s="296" t="s">
        <v>25</v>
      </c>
      <c r="E25" s="296" t="s">
        <v>216</v>
      </c>
      <c r="F25" s="296" t="s">
        <v>83</v>
      </c>
      <c r="G25" s="297">
        <v>13.452</v>
      </c>
      <c r="H25" s="194">
        <f t="shared" si="1"/>
        <v>161.41999999999999</v>
      </c>
      <c r="I25" s="195">
        <f t="shared" si="2"/>
        <v>179.32</v>
      </c>
      <c r="J25" s="194">
        <f t="shared" si="3"/>
        <v>188.33</v>
      </c>
      <c r="K25" s="298">
        <v>6.9996818326439669E-2</v>
      </c>
      <c r="L25" s="189">
        <f t="shared" si="4"/>
        <v>154.72999999999999</v>
      </c>
      <c r="M25" s="189">
        <f t="shared" si="5"/>
        <v>107.61</v>
      </c>
      <c r="N25" s="189">
        <f t="shared" si="6"/>
        <v>119.55</v>
      </c>
      <c r="O25" s="189">
        <f t="shared" si="7"/>
        <v>125.55</v>
      </c>
    </row>
    <row r="26" spans="1:15">
      <c r="A26" s="293" t="s">
        <v>218</v>
      </c>
      <c r="B26" s="294">
        <f t="shared" si="8"/>
        <v>0.1</v>
      </c>
      <c r="C26" s="295">
        <v>4</v>
      </c>
      <c r="D26" s="296" t="s">
        <v>25</v>
      </c>
      <c r="E26" s="296" t="s">
        <v>216</v>
      </c>
      <c r="F26" s="296" t="s">
        <v>166</v>
      </c>
      <c r="G26" s="297">
        <v>16.745000000000001</v>
      </c>
      <c r="H26" s="194">
        <f t="shared" si="1"/>
        <v>200.94</v>
      </c>
      <c r="I26" s="195">
        <f t="shared" si="2"/>
        <v>223.21</v>
      </c>
      <c r="J26" s="194">
        <f t="shared" si="3"/>
        <v>234.43</v>
      </c>
      <c r="K26" s="298">
        <v>6.0011394568588949E-2</v>
      </c>
      <c r="L26" s="189">
        <f t="shared" si="4"/>
        <v>192.61</v>
      </c>
      <c r="M26" s="189">
        <f t="shared" si="5"/>
        <v>133.96</v>
      </c>
      <c r="N26" s="189">
        <f t="shared" si="6"/>
        <v>148.81</v>
      </c>
      <c r="O26" s="189">
        <f t="shared" si="7"/>
        <v>156.29</v>
      </c>
    </row>
    <row r="27" spans="1:15">
      <c r="A27" s="293" t="s">
        <v>218</v>
      </c>
      <c r="B27" s="294">
        <f t="shared" si="8"/>
        <v>0.13</v>
      </c>
      <c r="C27" s="295">
        <v>5</v>
      </c>
      <c r="D27" s="296" t="s">
        <v>25</v>
      </c>
      <c r="E27" s="296" t="s">
        <v>216</v>
      </c>
      <c r="F27" s="296" t="s">
        <v>166</v>
      </c>
      <c r="G27" s="297">
        <v>17.445</v>
      </c>
      <c r="H27" s="194">
        <f t="shared" si="1"/>
        <v>209.34</v>
      </c>
      <c r="I27" s="195">
        <f t="shared" si="2"/>
        <v>232.54</v>
      </c>
      <c r="J27" s="194">
        <f t="shared" si="3"/>
        <v>244.23</v>
      </c>
      <c r="K27" s="298">
        <v>5.9970834852351551E-2</v>
      </c>
      <c r="L27" s="189">
        <f t="shared" si="4"/>
        <v>200.66</v>
      </c>
      <c r="M27" s="189">
        <f t="shared" si="5"/>
        <v>139.56</v>
      </c>
      <c r="N27" s="189">
        <f t="shared" si="6"/>
        <v>155.03</v>
      </c>
      <c r="O27" s="189">
        <f t="shared" si="7"/>
        <v>162.82</v>
      </c>
    </row>
    <row r="28" spans="1:15">
      <c r="A28" s="293" t="s">
        <v>218</v>
      </c>
      <c r="B28" s="294">
        <f t="shared" si="8"/>
        <v>0.13</v>
      </c>
      <c r="C28" s="295">
        <v>5</v>
      </c>
      <c r="D28" s="296" t="s">
        <v>25</v>
      </c>
      <c r="E28" s="296" t="s">
        <v>216</v>
      </c>
      <c r="F28" s="296" t="s">
        <v>84</v>
      </c>
      <c r="G28" s="297">
        <v>13.452</v>
      </c>
      <c r="H28" s="194">
        <f t="shared" si="1"/>
        <v>161.41999999999999</v>
      </c>
      <c r="I28" s="195">
        <f t="shared" si="2"/>
        <v>179.32</v>
      </c>
      <c r="J28" s="194">
        <f t="shared" si="3"/>
        <v>188.33</v>
      </c>
      <c r="K28" s="298">
        <v>6.9996818326439669E-2</v>
      </c>
      <c r="L28" s="189">
        <f t="shared" si="4"/>
        <v>154.72999999999999</v>
      </c>
      <c r="M28" s="189">
        <f t="shared" si="5"/>
        <v>107.61</v>
      </c>
      <c r="N28" s="189">
        <f t="shared" si="6"/>
        <v>119.55</v>
      </c>
      <c r="O28" s="189">
        <f t="shared" si="7"/>
        <v>125.55</v>
      </c>
    </row>
    <row r="29" spans="1:15">
      <c r="A29" s="293" t="s">
        <v>218</v>
      </c>
      <c r="B29" s="294">
        <f t="shared" si="8"/>
        <v>0.13</v>
      </c>
      <c r="C29" s="295">
        <v>5</v>
      </c>
      <c r="D29" s="296" t="s">
        <v>25</v>
      </c>
      <c r="E29" s="296" t="s">
        <v>216</v>
      </c>
      <c r="F29" s="296" t="s">
        <v>117</v>
      </c>
      <c r="G29" s="297">
        <v>16.440000000000001</v>
      </c>
      <c r="H29" s="194">
        <f t="shared" si="1"/>
        <v>197.28</v>
      </c>
      <c r="I29" s="195">
        <f t="shared" si="2"/>
        <v>219.15</v>
      </c>
      <c r="J29" s="194">
        <f t="shared" si="3"/>
        <v>230.16</v>
      </c>
      <c r="K29" s="298">
        <v>6.0029660197304935E-2</v>
      </c>
      <c r="L29" s="189">
        <f t="shared" si="4"/>
        <v>189.1</v>
      </c>
      <c r="M29" s="189">
        <f t="shared" si="5"/>
        <v>131.52000000000001</v>
      </c>
      <c r="N29" s="189">
        <f t="shared" si="6"/>
        <v>146.1</v>
      </c>
      <c r="O29" s="189">
        <f t="shared" si="7"/>
        <v>153.44</v>
      </c>
    </row>
    <row r="30" spans="1:15">
      <c r="A30" s="293" t="s">
        <v>218</v>
      </c>
      <c r="B30" s="294">
        <f t="shared" si="8"/>
        <v>0.13</v>
      </c>
      <c r="C30" s="295">
        <v>5</v>
      </c>
      <c r="D30" s="296" t="s">
        <v>25</v>
      </c>
      <c r="E30" s="296" t="s">
        <v>216</v>
      </c>
      <c r="F30" s="296" t="s">
        <v>86</v>
      </c>
      <c r="G30" s="297">
        <v>17.657</v>
      </c>
      <c r="H30" s="194">
        <f t="shared" si="1"/>
        <v>211.88</v>
      </c>
      <c r="I30" s="195">
        <f t="shared" si="2"/>
        <v>235.37</v>
      </c>
      <c r="J30" s="194">
        <f t="shared" si="3"/>
        <v>247.2</v>
      </c>
      <c r="K30" s="298">
        <v>5.997118501620835E-2</v>
      </c>
      <c r="L30" s="189">
        <f t="shared" si="4"/>
        <v>203.1</v>
      </c>
      <c r="M30" s="189">
        <f t="shared" si="5"/>
        <v>141.25</v>
      </c>
      <c r="N30" s="189">
        <f t="shared" si="6"/>
        <v>156.91</v>
      </c>
      <c r="O30" s="189">
        <f t="shared" si="7"/>
        <v>164.8</v>
      </c>
    </row>
    <row r="31" spans="1:15">
      <c r="A31" s="293" t="s">
        <v>218</v>
      </c>
      <c r="B31" s="294">
        <f t="shared" si="8"/>
        <v>0.15</v>
      </c>
      <c r="C31" s="295">
        <v>6</v>
      </c>
      <c r="D31" s="296" t="s">
        <v>25</v>
      </c>
      <c r="E31" s="296" t="s">
        <v>216</v>
      </c>
      <c r="F31" s="296" t="s">
        <v>117</v>
      </c>
      <c r="G31" s="297">
        <v>15.851000000000001</v>
      </c>
      <c r="H31" s="194">
        <f t="shared" si="1"/>
        <v>190.21</v>
      </c>
      <c r="I31" s="195">
        <f t="shared" si="2"/>
        <v>211.29</v>
      </c>
      <c r="J31" s="194">
        <f t="shared" si="3"/>
        <v>221.91</v>
      </c>
      <c r="K31" s="298">
        <v>5.9983950782399376E-2</v>
      </c>
      <c r="L31" s="189">
        <f t="shared" si="4"/>
        <v>182.33</v>
      </c>
      <c r="M31" s="189">
        <f t="shared" si="5"/>
        <v>126.81</v>
      </c>
      <c r="N31" s="189">
        <f t="shared" si="6"/>
        <v>140.86000000000001</v>
      </c>
      <c r="O31" s="189">
        <f t="shared" si="7"/>
        <v>147.94</v>
      </c>
    </row>
    <row r="32" spans="1:15">
      <c r="A32" s="293" t="s">
        <v>218</v>
      </c>
      <c r="B32" s="294">
        <f t="shared" si="8"/>
        <v>0.15</v>
      </c>
      <c r="C32" s="295">
        <v>6</v>
      </c>
      <c r="D32" s="296" t="s">
        <v>25</v>
      </c>
      <c r="E32" s="296" t="s">
        <v>216</v>
      </c>
      <c r="F32" s="296" t="s">
        <v>86</v>
      </c>
      <c r="G32" s="297">
        <v>17.657</v>
      </c>
      <c r="H32" s="194">
        <f t="shared" si="1"/>
        <v>211.88</v>
      </c>
      <c r="I32" s="195">
        <f t="shared" si="2"/>
        <v>235.37</v>
      </c>
      <c r="J32" s="194">
        <f t="shared" si="3"/>
        <v>247.2</v>
      </c>
      <c r="K32" s="298">
        <v>5.997118501620835E-2</v>
      </c>
      <c r="L32" s="189">
        <f t="shared" si="4"/>
        <v>203.1</v>
      </c>
      <c r="M32" s="189">
        <f t="shared" si="5"/>
        <v>141.25</v>
      </c>
      <c r="N32" s="189">
        <f t="shared" si="6"/>
        <v>156.91</v>
      </c>
      <c r="O32" s="189">
        <f t="shared" si="7"/>
        <v>164.8</v>
      </c>
    </row>
    <row r="33" spans="1:15">
      <c r="A33" s="293" t="s">
        <v>218</v>
      </c>
      <c r="B33" s="294">
        <f t="shared" si="8"/>
        <v>0.18</v>
      </c>
      <c r="C33" s="295">
        <v>7</v>
      </c>
      <c r="D33" s="296" t="s">
        <v>25</v>
      </c>
      <c r="E33" s="296" t="s">
        <v>216</v>
      </c>
      <c r="F33" s="296" t="s">
        <v>117</v>
      </c>
      <c r="G33" s="297">
        <v>18.442</v>
      </c>
      <c r="H33" s="194">
        <f t="shared" si="1"/>
        <v>221.3</v>
      </c>
      <c r="I33" s="195">
        <f t="shared" si="2"/>
        <v>245.83</v>
      </c>
      <c r="J33" s="194">
        <f t="shared" si="3"/>
        <v>258.19</v>
      </c>
      <c r="K33" s="298">
        <v>6.000689734452247E-2</v>
      </c>
      <c r="L33" s="189">
        <f t="shared" si="4"/>
        <v>212.13</v>
      </c>
      <c r="M33" s="189">
        <f t="shared" si="5"/>
        <v>147.53</v>
      </c>
      <c r="N33" s="189">
        <f t="shared" si="6"/>
        <v>163.89</v>
      </c>
      <c r="O33" s="189">
        <f t="shared" si="7"/>
        <v>172.13</v>
      </c>
    </row>
    <row r="34" spans="1:15">
      <c r="A34" s="293" t="s">
        <v>218</v>
      </c>
      <c r="B34" s="294">
        <f t="shared" si="8"/>
        <v>0.2</v>
      </c>
      <c r="C34" s="295">
        <v>8</v>
      </c>
      <c r="D34" s="296" t="s">
        <v>25</v>
      </c>
      <c r="E34" s="296" t="s">
        <v>216</v>
      </c>
      <c r="F34" s="296" t="s">
        <v>87</v>
      </c>
      <c r="G34" s="297">
        <v>18.148</v>
      </c>
      <c r="H34" s="194">
        <f t="shared" si="1"/>
        <v>217.78</v>
      </c>
      <c r="I34" s="195">
        <f t="shared" si="2"/>
        <v>241.91</v>
      </c>
      <c r="J34" s="194">
        <f t="shared" si="3"/>
        <v>254.07</v>
      </c>
      <c r="K34" s="298">
        <v>5.9984813971146522E-2</v>
      </c>
      <c r="L34" s="189">
        <f t="shared" si="4"/>
        <v>208.75</v>
      </c>
      <c r="M34" s="189">
        <f t="shared" si="5"/>
        <v>145.19</v>
      </c>
      <c r="N34" s="189">
        <f t="shared" si="6"/>
        <v>161.27000000000001</v>
      </c>
      <c r="O34" s="189">
        <f t="shared" si="7"/>
        <v>169.38</v>
      </c>
    </row>
    <row r="35" spans="1:15">
      <c r="A35" s="293" t="s">
        <v>218</v>
      </c>
      <c r="B35" s="294">
        <f t="shared" si="8"/>
        <v>0.25</v>
      </c>
      <c r="C35" s="295">
        <v>10</v>
      </c>
      <c r="D35" s="296" t="s">
        <v>25</v>
      </c>
      <c r="E35" s="296" t="s">
        <v>216</v>
      </c>
      <c r="F35" s="296" t="s">
        <v>89</v>
      </c>
      <c r="G35" s="297">
        <v>18.344000000000001</v>
      </c>
      <c r="H35" s="194">
        <f t="shared" si="1"/>
        <v>220.13</v>
      </c>
      <c r="I35" s="195">
        <f t="shared" si="2"/>
        <v>244.53</v>
      </c>
      <c r="J35" s="194">
        <f t="shared" si="3"/>
        <v>256.82</v>
      </c>
      <c r="K35" s="298">
        <v>5.9979197966023357E-2</v>
      </c>
      <c r="L35" s="189">
        <f t="shared" si="4"/>
        <v>211</v>
      </c>
      <c r="M35" s="189">
        <f t="shared" si="5"/>
        <v>146.75</v>
      </c>
      <c r="N35" s="189">
        <f t="shared" si="6"/>
        <v>163.02000000000001</v>
      </c>
      <c r="O35" s="189">
        <f t="shared" si="7"/>
        <v>171.21</v>
      </c>
    </row>
    <row r="36" spans="1:15">
      <c r="A36" s="293" t="s">
        <v>218</v>
      </c>
      <c r="B36" s="294">
        <f t="shared" si="8"/>
        <v>0.3</v>
      </c>
      <c r="C36" s="295">
        <v>12</v>
      </c>
      <c r="D36" s="296" t="s">
        <v>25</v>
      </c>
      <c r="E36" s="296" t="s">
        <v>216</v>
      </c>
      <c r="F36" s="296" t="s">
        <v>167</v>
      </c>
      <c r="G36" s="297">
        <v>22.911999999999999</v>
      </c>
      <c r="H36" s="194">
        <f t="shared" si="1"/>
        <v>274.94</v>
      </c>
      <c r="I36" s="195">
        <f t="shared" si="2"/>
        <v>305.42</v>
      </c>
      <c r="J36" s="194">
        <f t="shared" si="3"/>
        <v>320.77</v>
      </c>
      <c r="K36" s="298">
        <v>0</v>
      </c>
      <c r="L36" s="189">
        <f t="shared" si="4"/>
        <v>263.54000000000002</v>
      </c>
      <c r="M36" s="189">
        <f t="shared" si="5"/>
        <v>183.29</v>
      </c>
      <c r="N36" s="189">
        <f t="shared" si="6"/>
        <v>203.61</v>
      </c>
      <c r="O36" s="189">
        <f t="shared" si="7"/>
        <v>213.85</v>
      </c>
    </row>
    <row r="37" spans="1:15">
      <c r="A37" s="293" t="s">
        <v>218</v>
      </c>
      <c r="B37" s="294">
        <f t="shared" si="8"/>
        <v>0.38</v>
      </c>
      <c r="C37" s="295">
        <v>15</v>
      </c>
      <c r="D37" s="296" t="s">
        <v>25</v>
      </c>
      <c r="E37" s="296" t="s">
        <v>216</v>
      </c>
      <c r="F37" s="296" t="s">
        <v>90</v>
      </c>
      <c r="G37" s="297">
        <v>23.355</v>
      </c>
      <c r="H37" s="194">
        <f t="shared" si="1"/>
        <v>280.26</v>
      </c>
      <c r="I37" s="195">
        <f t="shared" si="2"/>
        <v>311.32</v>
      </c>
      <c r="J37" s="194">
        <f t="shared" si="3"/>
        <v>326.97000000000003</v>
      </c>
      <c r="K37" s="298">
        <v>0</v>
      </c>
      <c r="L37" s="189">
        <f t="shared" si="4"/>
        <v>268.64</v>
      </c>
      <c r="M37" s="189">
        <f t="shared" si="5"/>
        <v>186.84</v>
      </c>
      <c r="N37" s="189">
        <f t="shared" si="6"/>
        <v>207.55</v>
      </c>
      <c r="O37" s="189">
        <f t="shared" si="7"/>
        <v>217.98</v>
      </c>
    </row>
    <row r="38" spans="1:15">
      <c r="A38" s="293" t="s">
        <v>218</v>
      </c>
      <c r="B38" s="294">
        <f t="shared" si="8"/>
        <v>0.41</v>
      </c>
      <c r="C38" s="295">
        <v>16</v>
      </c>
      <c r="D38" s="296" t="s">
        <v>25</v>
      </c>
      <c r="E38" s="296" t="s">
        <v>216</v>
      </c>
      <c r="F38" s="296" t="s">
        <v>219</v>
      </c>
      <c r="G38" s="297">
        <v>27.527000000000001</v>
      </c>
      <c r="H38" s="194">
        <f t="shared" si="1"/>
        <v>330.32</v>
      </c>
      <c r="I38" s="195">
        <f t="shared" si="2"/>
        <v>366.93</v>
      </c>
      <c r="J38" s="194">
        <f t="shared" si="3"/>
        <v>385.38</v>
      </c>
      <c r="K38" s="298">
        <v>0</v>
      </c>
      <c r="L38" s="189">
        <f t="shared" si="4"/>
        <v>316.62</v>
      </c>
      <c r="M38" s="189">
        <f t="shared" si="5"/>
        <v>220.21</v>
      </c>
      <c r="N38" s="189">
        <f t="shared" si="6"/>
        <v>244.62</v>
      </c>
      <c r="O38" s="189">
        <f t="shared" si="7"/>
        <v>256.92</v>
      </c>
    </row>
    <row r="39" spans="1:15">
      <c r="A39" s="293" t="s">
        <v>218</v>
      </c>
      <c r="B39" s="294">
        <f t="shared" si="8"/>
        <v>0.41</v>
      </c>
      <c r="C39" s="295">
        <v>16</v>
      </c>
      <c r="D39" s="296" t="s">
        <v>25</v>
      </c>
      <c r="E39" s="296" t="s">
        <v>216</v>
      </c>
      <c r="F39" s="296" t="s">
        <v>219</v>
      </c>
      <c r="G39" s="297">
        <v>27.527000000000001</v>
      </c>
      <c r="H39" s="194">
        <f t="shared" si="1"/>
        <v>330.32</v>
      </c>
      <c r="I39" s="195">
        <f t="shared" si="2"/>
        <v>366.93</v>
      </c>
      <c r="J39" s="194">
        <f t="shared" si="3"/>
        <v>385.38</v>
      </c>
      <c r="K39" s="298">
        <v>0</v>
      </c>
      <c r="L39" s="189">
        <f t="shared" si="4"/>
        <v>316.62</v>
      </c>
      <c r="M39" s="189">
        <f t="shared" si="5"/>
        <v>220.21</v>
      </c>
      <c r="N39" s="189">
        <f t="shared" si="6"/>
        <v>244.62</v>
      </c>
      <c r="O39" s="189">
        <f t="shared" si="7"/>
        <v>256.92</v>
      </c>
    </row>
    <row r="40" spans="1:15">
      <c r="A40" s="293" t="s">
        <v>218</v>
      </c>
      <c r="B40" s="294">
        <f t="shared" si="8"/>
        <v>0.51</v>
      </c>
      <c r="C40" s="295">
        <v>20</v>
      </c>
      <c r="D40" s="296" t="s">
        <v>25</v>
      </c>
      <c r="E40" s="296" t="s">
        <v>216</v>
      </c>
      <c r="F40" s="296" t="s">
        <v>91</v>
      </c>
      <c r="G40" s="299">
        <v>36.094999999999999</v>
      </c>
      <c r="H40" s="194">
        <f t="shared" si="1"/>
        <v>433.14</v>
      </c>
      <c r="I40" s="195">
        <f t="shared" si="2"/>
        <v>481.15</v>
      </c>
      <c r="J40" s="194">
        <f t="shared" si="3"/>
        <v>505.33</v>
      </c>
      <c r="K40" s="298">
        <v>0</v>
      </c>
      <c r="L40" s="189">
        <f t="shared" si="4"/>
        <v>415.18</v>
      </c>
      <c r="M40" s="189">
        <f t="shared" si="5"/>
        <v>288.76</v>
      </c>
      <c r="N40" s="189">
        <f t="shared" si="6"/>
        <v>320.77</v>
      </c>
      <c r="O40" s="189">
        <f t="shared" si="7"/>
        <v>336.89</v>
      </c>
    </row>
    <row r="41" spans="1:15">
      <c r="A41" s="293" t="s">
        <v>218</v>
      </c>
      <c r="B41" s="294">
        <f t="shared" si="8"/>
        <v>0.64</v>
      </c>
      <c r="C41" s="295">
        <v>25</v>
      </c>
      <c r="D41" s="296" t="s">
        <v>25</v>
      </c>
      <c r="E41" s="296" t="s">
        <v>216</v>
      </c>
      <c r="F41" s="296" t="s">
        <v>88</v>
      </c>
      <c r="G41" s="297">
        <v>45.750999999999998</v>
      </c>
      <c r="H41" s="194">
        <f t="shared" si="1"/>
        <v>549.01</v>
      </c>
      <c r="I41" s="195">
        <f t="shared" si="2"/>
        <v>609.86</v>
      </c>
      <c r="J41" s="194">
        <f t="shared" si="3"/>
        <v>640.51</v>
      </c>
      <c r="K41" s="298">
        <v>0</v>
      </c>
      <c r="L41" s="189">
        <f t="shared" si="4"/>
        <v>526.25</v>
      </c>
      <c r="M41" s="189">
        <f t="shared" si="5"/>
        <v>366.01</v>
      </c>
      <c r="N41" s="189">
        <f t="shared" si="6"/>
        <v>406.57</v>
      </c>
      <c r="O41" s="189">
        <f t="shared" si="7"/>
        <v>427.01</v>
      </c>
    </row>
    <row r="42" spans="1:15">
      <c r="A42" s="293" t="s">
        <v>218</v>
      </c>
      <c r="B42" s="294">
        <f t="shared" si="8"/>
        <v>0.76</v>
      </c>
      <c r="C42" s="295">
        <v>30</v>
      </c>
      <c r="D42" s="296" t="s">
        <v>25</v>
      </c>
      <c r="E42" s="296" t="s">
        <v>216</v>
      </c>
      <c r="F42" s="296" t="s">
        <v>131</v>
      </c>
      <c r="G42" s="297">
        <v>48.662999999999997</v>
      </c>
      <c r="H42" s="194">
        <f t="shared" si="1"/>
        <v>583.96</v>
      </c>
      <c r="I42" s="195">
        <f t="shared" si="2"/>
        <v>648.67999999999995</v>
      </c>
      <c r="J42" s="194">
        <f t="shared" si="3"/>
        <v>681.28</v>
      </c>
      <c r="K42" s="298">
        <v>0</v>
      </c>
      <c r="L42" s="189">
        <f t="shared" si="4"/>
        <v>559.75</v>
      </c>
      <c r="M42" s="189">
        <f t="shared" si="5"/>
        <v>389.31</v>
      </c>
      <c r="N42" s="189">
        <f t="shared" si="6"/>
        <v>432.45</v>
      </c>
      <c r="O42" s="189">
        <f t="shared" si="7"/>
        <v>454.19</v>
      </c>
    </row>
    <row r="43" spans="1:15">
      <c r="A43" s="293" t="s">
        <v>218</v>
      </c>
      <c r="B43" s="294">
        <f t="shared" si="8"/>
        <v>0.86</v>
      </c>
      <c r="C43" s="295">
        <v>34</v>
      </c>
      <c r="D43" s="296" t="s">
        <v>25</v>
      </c>
      <c r="E43" s="296" t="s">
        <v>216</v>
      </c>
      <c r="F43" s="296" t="s">
        <v>132</v>
      </c>
      <c r="G43" s="297">
        <v>55.439</v>
      </c>
      <c r="H43" s="194">
        <f t="shared" si="1"/>
        <v>665.27</v>
      </c>
      <c r="I43" s="195">
        <f t="shared" si="2"/>
        <v>739</v>
      </c>
      <c r="J43" s="194">
        <f t="shared" si="3"/>
        <v>776.15</v>
      </c>
      <c r="K43" s="298">
        <v>0</v>
      </c>
      <c r="L43" s="189">
        <f t="shared" si="4"/>
        <v>637.69000000000005</v>
      </c>
      <c r="M43" s="189">
        <f t="shared" si="5"/>
        <v>443.51</v>
      </c>
      <c r="N43" s="189">
        <f t="shared" si="6"/>
        <v>492.67</v>
      </c>
      <c r="O43" s="189">
        <f t="shared" si="7"/>
        <v>517.42999999999995</v>
      </c>
    </row>
    <row r="44" spans="1:15">
      <c r="A44" s="293" t="s">
        <v>218</v>
      </c>
      <c r="B44" s="294">
        <f t="shared" si="8"/>
        <v>0.97</v>
      </c>
      <c r="C44" s="295">
        <v>38</v>
      </c>
      <c r="D44" s="296" t="s">
        <v>25</v>
      </c>
      <c r="E44" s="296" t="s">
        <v>216</v>
      </c>
      <c r="F44" s="296" t="s">
        <v>133</v>
      </c>
      <c r="G44" s="297">
        <v>60.645000000000003</v>
      </c>
      <c r="H44" s="194">
        <f t="shared" si="1"/>
        <v>727.74</v>
      </c>
      <c r="I44" s="195">
        <f t="shared" si="2"/>
        <v>808.4</v>
      </c>
      <c r="J44" s="194">
        <f t="shared" si="3"/>
        <v>849.03</v>
      </c>
      <c r="K44" s="298">
        <v>0</v>
      </c>
      <c r="L44" s="189">
        <f t="shared" si="4"/>
        <v>697.57</v>
      </c>
      <c r="M44" s="189">
        <f t="shared" si="5"/>
        <v>485.16</v>
      </c>
      <c r="N44" s="189">
        <f t="shared" si="6"/>
        <v>538.92999999999995</v>
      </c>
      <c r="O44" s="189">
        <f t="shared" si="7"/>
        <v>566.02</v>
      </c>
    </row>
    <row r="45" spans="1:15">
      <c r="A45" s="293" t="s">
        <v>218</v>
      </c>
      <c r="B45" s="294">
        <f>ROUND(C45*0.0254,3)</f>
        <v>5.0999999999999997E-2</v>
      </c>
      <c r="C45" s="295">
        <v>2</v>
      </c>
      <c r="D45" s="192" t="s">
        <v>28</v>
      </c>
      <c r="E45" s="296" t="s">
        <v>216</v>
      </c>
      <c r="F45" s="192" t="s">
        <v>217</v>
      </c>
      <c r="G45" s="297">
        <v>15.829000000000001</v>
      </c>
      <c r="H45" s="194">
        <f t="shared" si="1"/>
        <v>189.95</v>
      </c>
      <c r="I45" s="195">
        <f t="shared" si="2"/>
        <v>211</v>
      </c>
      <c r="J45" s="194">
        <f t="shared" si="3"/>
        <v>221.61</v>
      </c>
      <c r="K45" s="298">
        <v>0.10000000000000009</v>
      </c>
      <c r="L45" s="189">
        <f t="shared" si="4"/>
        <v>182.07</v>
      </c>
      <c r="M45" s="189">
        <f t="shared" si="5"/>
        <v>126.63</v>
      </c>
      <c r="N45" s="189">
        <f t="shared" si="6"/>
        <v>140.66999999999999</v>
      </c>
      <c r="O45" s="189">
        <f t="shared" si="7"/>
        <v>147.74</v>
      </c>
    </row>
    <row r="46" spans="1:15">
      <c r="A46" s="293" t="s">
        <v>218</v>
      </c>
      <c r="B46" s="294">
        <f t="shared" ref="B46:B53" si="9">ROUND(C46*0.0254,3)</f>
        <v>5.0999999999999997E-2</v>
      </c>
      <c r="C46" s="295">
        <v>2</v>
      </c>
      <c r="D46" s="192" t="s">
        <v>28</v>
      </c>
      <c r="E46" s="296" t="s">
        <v>216</v>
      </c>
      <c r="F46" s="192" t="s">
        <v>120</v>
      </c>
      <c r="G46" s="297">
        <v>15.829000000000001</v>
      </c>
      <c r="H46" s="194">
        <f t="shared" si="1"/>
        <v>189.95</v>
      </c>
      <c r="I46" s="195">
        <f t="shared" si="2"/>
        <v>211</v>
      </c>
      <c r="J46" s="194">
        <f t="shared" si="3"/>
        <v>221.61</v>
      </c>
      <c r="K46" s="298">
        <v>0.10000000000000009</v>
      </c>
      <c r="L46" s="189">
        <f t="shared" si="4"/>
        <v>182.07</v>
      </c>
      <c r="M46" s="189">
        <f t="shared" si="5"/>
        <v>126.63</v>
      </c>
      <c r="N46" s="189">
        <f t="shared" si="6"/>
        <v>140.66999999999999</v>
      </c>
      <c r="O46" s="189">
        <f t="shared" si="7"/>
        <v>147.74</v>
      </c>
    </row>
    <row r="47" spans="1:15">
      <c r="A47" s="293" t="s">
        <v>218</v>
      </c>
      <c r="B47" s="294">
        <f t="shared" si="9"/>
        <v>6.4000000000000001E-2</v>
      </c>
      <c r="C47" s="295">
        <v>2.5</v>
      </c>
      <c r="D47" s="192" t="s">
        <v>28</v>
      </c>
      <c r="E47" s="296" t="s">
        <v>216</v>
      </c>
      <c r="F47" s="192" t="s">
        <v>81</v>
      </c>
      <c r="G47" s="297">
        <v>16.117000000000001</v>
      </c>
      <c r="H47" s="194">
        <f t="shared" si="1"/>
        <v>193.4</v>
      </c>
      <c r="I47" s="195">
        <f t="shared" si="2"/>
        <v>214.84</v>
      </c>
      <c r="J47" s="194">
        <f t="shared" si="3"/>
        <v>225.64</v>
      </c>
      <c r="K47" s="298">
        <v>9.9986349986350032E-2</v>
      </c>
      <c r="L47" s="189">
        <f t="shared" si="4"/>
        <v>185.38</v>
      </c>
      <c r="M47" s="189">
        <f t="shared" si="5"/>
        <v>128.93</v>
      </c>
      <c r="N47" s="189">
        <f t="shared" si="6"/>
        <v>143.22999999999999</v>
      </c>
      <c r="O47" s="189">
        <f t="shared" si="7"/>
        <v>150.43</v>
      </c>
    </row>
    <row r="48" spans="1:15">
      <c r="A48" s="293" t="s">
        <v>218</v>
      </c>
      <c r="B48" s="294">
        <f t="shared" si="9"/>
        <v>7.5999999999999998E-2</v>
      </c>
      <c r="C48" s="295">
        <v>3</v>
      </c>
      <c r="D48" s="192" t="s">
        <v>28</v>
      </c>
      <c r="E48" s="296" t="s">
        <v>216</v>
      </c>
      <c r="F48" s="192" t="s">
        <v>140</v>
      </c>
      <c r="G48" s="297">
        <v>21.568000000000001</v>
      </c>
      <c r="H48" s="194">
        <f t="shared" si="1"/>
        <v>258.82</v>
      </c>
      <c r="I48" s="195">
        <f t="shared" si="2"/>
        <v>287.5</v>
      </c>
      <c r="J48" s="194">
        <f t="shared" si="3"/>
        <v>301.95</v>
      </c>
      <c r="K48" s="298">
        <v>6.0008846512999536E-2</v>
      </c>
      <c r="L48" s="189">
        <f t="shared" si="4"/>
        <v>248.09</v>
      </c>
      <c r="M48" s="189">
        <f t="shared" si="5"/>
        <v>172.55</v>
      </c>
      <c r="N48" s="189">
        <f t="shared" si="6"/>
        <v>191.67</v>
      </c>
      <c r="O48" s="189">
        <f t="shared" si="7"/>
        <v>201.3</v>
      </c>
    </row>
    <row r="49" spans="1:15">
      <c r="A49" s="293" t="s">
        <v>218</v>
      </c>
      <c r="B49" s="294">
        <f t="shared" si="9"/>
        <v>7.5999999999999998E-2</v>
      </c>
      <c r="C49" s="295">
        <v>3</v>
      </c>
      <c r="D49" s="192" t="s">
        <v>28</v>
      </c>
      <c r="E49" s="296" t="s">
        <v>216</v>
      </c>
      <c r="F49" s="192" t="s">
        <v>81</v>
      </c>
      <c r="G49" s="297">
        <v>15.797000000000001</v>
      </c>
      <c r="H49" s="194">
        <f t="shared" si="1"/>
        <v>189.56</v>
      </c>
      <c r="I49" s="195">
        <f t="shared" si="2"/>
        <v>210.57</v>
      </c>
      <c r="J49" s="194">
        <f t="shared" si="3"/>
        <v>221.16</v>
      </c>
      <c r="K49" s="298">
        <v>9.9993036696608861E-2</v>
      </c>
      <c r="L49" s="189">
        <f t="shared" si="4"/>
        <v>181.7</v>
      </c>
      <c r="M49" s="189">
        <f t="shared" si="5"/>
        <v>126.37</v>
      </c>
      <c r="N49" s="189">
        <f t="shared" si="6"/>
        <v>140.38</v>
      </c>
      <c r="O49" s="189">
        <f t="shared" si="7"/>
        <v>147.44</v>
      </c>
    </row>
    <row r="50" spans="1:15">
      <c r="A50" s="293" t="s">
        <v>218</v>
      </c>
      <c r="B50" s="294">
        <f t="shared" si="9"/>
        <v>7.5999999999999998E-2</v>
      </c>
      <c r="C50" s="295">
        <v>3</v>
      </c>
      <c r="D50" s="192" t="s">
        <v>28</v>
      </c>
      <c r="E50" s="296" t="s">
        <v>216</v>
      </c>
      <c r="F50" s="192" t="s">
        <v>122</v>
      </c>
      <c r="G50" s="297">
        <v>15.667</v>
      </c>
      <c r="H50" s="194">
        <f t="shared" si="1"/>
        <v>188</v>
      </c>
      <c r="I50" s="195">
        <f t="shared" si="2"/>
        <v>208.84</v>
      </c>
      <c r="J50" s="194">
        <f t="shared" si="3"/>
        <v>219.34</v>
      </c>
      <c r="K50" s="298">
        <v>9.9978937021694803E-2</v>
      </c>
      <c r="L50" s="189">
        <f t="shared" si="4"/>
        <v>180.21</v>
      </c>
      <c r="M50" s="189">
        <f t="shared" si="5"/>
        <v>125.33</v>
      </c>
      <c r="N50" s="189">
        <f t="shared" si="6"/>
        <v>139.22999999999999</v>
      </c>
      <c r="O50" s="189">
        <f t="shared" si="7"/>
        <v>146.22999999999999</v>
      </c>
    </row>
    <row r="51" spans="1:15">
      <c r="A51" s="293" t="s">
        <v>218</v>
      </c>
      <c r="B51" s="294">
        <f t="shared" si="9"/>
        <v>8.8999999999999996E-2</v>
      </c>
      <c r="C51" s="295">
        <v>3.5</v>
      </c>
      <c r="D51" s="192" t="s">
        <v>28</v>
      </c>
      <c r="E51" s="296" t="s">
        <v>216</v>
      </c>
      <c r="F51" s="192" t="s">
        <v>122</v>
      </c>
      <c r="G51" s="297">
        <v>15.667</v>
      </c>
      <c r="H51" s="194">
        <f t="shared" si="1"/>
        <v>188</v>
      </c>
      <c r="I51" s="195">
        <f t="shared" si="2"/>
        <v>208.84</v>
      </c>
      <c r="J51" s="194">
        <f t="shared" si="3"/>
        <v>219.34</v>
      </c>
      <c r="K51" s="298">
        <v>9.9978937021694803E-2</v>
      </c>
      <c r="L51" s="189">
        <f t="shared" si="4"/>
        <v>180.21</v>
      </c>
      <c r="M51" s="189">
        <f t="shared" si="5"/>
        <v>125.33</v>
      </c>
      <c r="N51" s="189">
        <f t="shared" si="6"/>
        <v>139.22999999999999</v>
      </c>
      <c r="O51" s="189">
        <f t="shared" si="7"/>
        <v>146.22999999999999</v>
      </c>
    </row>
    <row r="52" spans="1:15">
      <c r="A52" s="293" t="s">
        <v>218</v>
      </c>
      <c r="B52" s="294">
        <f t="shared" si="9"/>
        <v>8.8999999999999996E-2</v>
      </c>
      <c r="C52" s="295">
        <v>3.5</v>
      </c>
      <c r="D52" s="192" t="s">
        <v>28</v>
      </c>
      <c r="E52" s="296" t="s">
        <v>216</v>
      </c>
      <c r="F52" s="192" t="s">
        <v>83</v>
      </c>
      <c r="G52" s="297">
        <v>15.667</v>
      </c>
      <c r="H52" s="194">
        <f t="shared" si="1"/>
        <v>188</v>
      </c>
      <c r="I52" s="195">
        <f t="shared" si="2"/>
        <v>208.84</v>
      </c>
      <c r="J52" s="194">
        <f t="shared" si="3"/>
        <v>219.34</v>
      </c>
      <c r="K52" s="298">
        <v>9.9978937021694803E-2</v>
      </c>
      <c r="L52" s="189">
        <f t="shared" si="4"/>
        <v>180.21</v>
      </c>
      <c r="M52" s="189">
        <f t="shared" si="5"/>
        <v>125.33</v>
      </c>
      <c r="N52" s="189">
        <f t="shared" si="6"/>
        <v>139.22999999999999</v>
      </c>
      <c r="O52" s="189">
        <f t="shared" si="7"/>
        <v>146.22999999999999</v>
      </c>
    </row>
    <row r="53" spans="1:15">
      <c r="A53" s="293" t="s">
        <v>218</v>
      </c>
      <c r="B53" s="294">
        <f t="shared" si="9"/>
        <v>8.8999999999999996E-2</v>
      </c>
      <c r="C53" s="295">
        <v>3.5</v>
      </c>
      <c r="D53" s="192" t="s">
        <v>28</v>
      </c>
      <c r="E53" s="296" t="s">
        <v>216</v>
      </c>
      <c r="F53" s="192" t="s">
        <v>183</v>
      </c>
      <c r="G53" s="297">
        <v>20.393999999999998</v>
      </c>
      <c r="H53" s="194">
        <f t="shared" si="1"/>
        <v>244.73</v>
      </c>
      <c r="I53" s="195">
        <f t="shared" si="2"/>
        <v>271.85000000000002</v>
      </c>
      <c r="J53" s="194">
        <f t="shared" si="3"/>
        <v>285.52</v>
      </c>
      <c r="K53" s="298">
        <v>5.9979209979210024E-2</v>
      </c>
      <c r="L53" s="189">
        <f t="shared" si="4"/>
        <v>234.59</v>
      </c>
      <c r="M53" s="189">
        <f t="shared" si="5"/>
        <v>163.15</v>
      </c>
      <c r="N53" s="189">
        <f t="shared" si="6"/>
        <v>181.23</v>
      </c>
      <c r="O53" s="189">
        <f t="shared" si="7"/>
        <v>190.35</v>
      </c>
    </row>
    <row r="54" spans="1:15">
      <c r="A54" s="293" t="s">
        <v>218</v>
      </c>
      <c r="B54" s="294">
        <f t="shared" si="8"/>
        <v>0.1</v>
      </c>
      <c r="C54" s="295">
        <v>4</v>
      </c>
      <c r="D54" s="192" t="s">
        <v>28</v>
      </c>
      <c r="E54" s="296" t="s">
        <v>216</v>
      </c>
      <c r="F54" s="192" t="s">
        <v>122</v>
      </c>
      <c r="G54" s="297">
        <v>16.126999999999999</v>
      </c>
      <c r="H54" s="194">
        <f t="shared" si="1"/>
        <v>193.52</v>
      </c>
      <c r="I54" s="195">
        <f t="shared" si="2"/>
        <v>214.97</v>
      </c>
      <c r="J54" s="194">
        <f t="shared" si="3"/>
        <v>225.78</v>
      </c>
      <c r="K54" s="298">
        <v>9.9993179182866099E-2</v>
      </c>
      <c r="L54" s="189">
        <f t="shared" si="4"/>
        <v>185.5</v>
      </c>
      <c r="M54" s="189">
        <f t="shared" si="5"/>
        <v>129.01</v>
      </c>
      <c r="N54" s="189">
        <f t="shared" si="6"/>
        <v>143.31</v>
      </c>
      <c r="O54" s="189">
        <f t="shared" si="7"/>
        <v>150.52000000000001</v>
      </c>
    </row>
    <row r="55" spans="1:15">
      <c r="A55" s="293" t="s">
        <v>218</v>
      </c>
      <c r="B55" s="294">
        <f t="shared" si="8"/>
        <v>0.1</v>
      </c>
      <c r="C55" s="295">
        <v>4</v>
      </c>
      <c r="D55" s="192" t="s">
        <v>28</v>
      </c>
      <c r="E55" s="296" t="s">
        <v>216</v>
      </c>
      <c r="F55" s="192" t="s">
        <v>83</v>
      </c>
      <c r="G55" s="297">
        <v>15.981999999999999</v>
      </c>
      <c r="H55" s="194">
        <f t="shared" si="1"/>
        <v>191.78</v>
      </c>
      <c r="I55" s="195">
        <f t="shared" si="2"/>
        <v>213.04</v>
      </c>
      <c r="J55" s="194">
        <f t="shared" si="3"/>
        <v>223.75</v>
      </c>
      <c r="K55" s="298">
        <v>0.10000688278615177</v>
      </c>
      <c r="L55" s="189">
        <f t="shared" si="4"/>
        <v>183.83</v>
      </c>
      <c r="M55" s="189">
        <f t="shared" si="5"/>
        <v>127.85</v>
      </c>
      <c r="N55" s="189">
        <f t="shared" si="6"/>
        <v>142.03</v>
      </c>
      <c r="O55" s="189">
        <f t="shared" si="7"/>
        <v>149.16999999999999</v>
      </c>
    </row>
    <row r="56" spans="1:15">
      <c r="A56" s="293" t="s">
        <v>218</v>
      </c>
      <c r="B56" s="294">
        <f t="shared" si="8"/>
        <v>0.1</v>
      </c>
      <c r="C56" s="295">
        <v>4</v>
      </c>
      <c r="D56" s="192" t="s">
        <v>28</v>
      </c>
      <c r="E56" s="296" t="s">
        <v>216</v>
      </c>
      <c r="F56" s="192" t="s">
        <v>166</v>
      </c>
      <c r="G56" s="297">
        <v>19.097000000000001</v>
      </c>
      <c r="H56" s="194">
        <f t="shared" si="1"/>
        <v>229.16</v>
      </c>
      <c r="I56" s="195">
        <f t="shared" si="2"/>
        <v>254.56</v>
      </c>
      <c r="J56" s="194">
        <f t="shared" si="3"/>
        <v>267.36</v>
      </c>
      <c r="K56" s="298">
        <v>8.002488406288899E-2</v>
      </c>
      <c r="L56" s="189">
        <f t="shared" si="4"/>
        <v>219.66</v>
      </c>
      <c r="M56" s="189">
        <f t="shared" si="5"/>
        <v>152.77000000000001</v>
      </c>
      <c r="N56" s="189">
        <f t="shared" si="6"/>
        <v>169.71</v>
      </c>
      <c r="O56" s="189">
        <f t="shared" si="7"/>
        <v>178.24</v>
      </c>
    </row>
    <row r="57" spans="1:15">
      <c r="A57" s="293" t="s">
        <v>218</v>
      </c>
      <c r="B57" s="294">
        <f t="shared" si="8"/>
        <v>0.1</v>
      </c>
      <c r="C57" s="295">
        <v>4</v>
      </c>
      <c r="D57" s="192" t="s">
        <v>28</v>
      </c>
      <c r="E57" s="296" t="s">
        <v>216</v>
      </c>
      <c r="F57" s="192" t="s">
        <v>85</v>
      </c>
      <c r="G57" s="297">
        <v>19.766999999999999</v>
      </c>
      <c r="H57" s="194">
        <f t="shared" si="1"/>
        <v>237.2</v>
      </c>
      <c r="I57" s="195">
        <f t="shared" si="2"/>
        <v>263.49</v>
      </c>
      <c r="J57" s="194">
        <f t="shared" si="3"/>
        <v>276.74</v>
      </c>
      <c r="K57" s="298">
        <v>7.9986887395508965E-2</v>
      </c>
      <c r="L57" s="189">
        <f t="shared" si="4"/>
        <v>227.36</v>
      </c>
      <c r="M57" s="189">
        <f t="shared" si="5"/>
        <v>158.13</v>
      </c>
      <c r="N57" s="189">
        <f t="shared" si="6"/>
        <v>175.66</v>
      </c>
      <c r="O57" s="189">
        <f t="shared" si="7"/>
        <v>184.49</v>
      </c>
    </row>
    <row r="58" spans="1:15">
      <c r="A58" s="293" t="s">
        <v>218</v>
      </c>
      <c r="B58" s="294">
        <f t="shared" si="8"/>
        <v>0.13</v>
      </c>
      <c r="C58" s="295">
        <v>5</v>
      </c>
      <c r="D58" s="192" t="s">
        <v>28</v>
      </c>
      <c r="E58" s="296" t="s">
        <v>216</v>
      </c>
      <c r="F58" s="192" t="s">
        <v>166</v>
      </c>
      <c r="G58" s="297">
        <v>19.413</v>
      </c>
      <c r="H58" s="194">
        <f t="shared" si="1"/>
        <v>232.96</v>
      </c>
      <c r="I58" s="195">
        <f t="shared" si="2"/>
        <v>258.77999999999997</v>
      </c>
      <c r="J58" s="194">
        <f t="shared" si="3"/>
        <v>271.77999999999997</v>
      </c>
      <c r="K58" s="298">
        <v>7.9999999999999849E-2</v>
      </c>
      <c r="L58" s="189">
        <f t="shared" si="4"/>
        <v>223.3</v>
      </c>
      <c r="M58" s="189">
        <f t="shared" si="5"/>
        <v>155.31</v>
      </c>
      <c r="N58" s="189">
        <f t="shared" si="6"/>
        <v>172.52</v>
      </c>
      <c r="O58" s="189">
        <f t="shared" si="7"/>
        <v>181.19</v>
      </c>
    </row>
    <row r="59" spans="1:15">
      <c r="A59" s="293" t="s">
        <v>218</v>
      </c>
      <c r="B59" s="294">
        <f t="shared" si="8"/>
        <v>0.13</v>
      </c>
      <c r="C59" s="295">
        <v>5</v>
      </c>
      <c r="D59" s="192" t="s">
        <v>28</v>
      </c>
      <c r="E59" s="296" t="s">
        <v>216</v>
      </c>
      <c r="F59" s="192" t="s">
        <v>84</v>
      </c>
      <c r="G59" s="297">
        <v>16.472999999999999</v>
      </c>
      <c r="H59" s="194">
        <f t="shared" si="1"/>
        <v>197.68</v>
      </c>
      <c r="I59" s="195">
        <f t="shared" si="2"/>
        <v>219.59</v>
      </c>
      <c r="J59" s="194">
        <f t="shared" si="3"/>
        <v>230.62</v>
      </c>
      <c r="K59" s="298">
        <v>0.10003338898163605</v>
      </c>
      <c r="L59" s="189">
        <f t="shared" si="4"/>
        <v>189.49</v>
      </c>
      <c r="M59" s="189">
        <f t="shared" si="5"/>
        <v>131.79</v>
      </c>
      <c r="N59" s="189">
        <f t="shared" si="6"/>
        <v>146.38999999999999</v>
      </c>
      <c r="O59" s="189">
        <f t="shared" si="7"/>
        <v>153.75</v>
      </c>
    </row>
    <row r="60" spans="1:15">
      <c r="A60" s="293" t="s">
        <v>218</v>
      </c>
      <c r="B60" s="294">
        <f t="shared" si="8"/>
        <v>0.13</v>
      </c>
      <c r="C60" s="295">
        <v>5</v>
      </c>
      <c r="D60" s="192" t="s">
        <v>28</v>
      </c>
      <c r="E60" s="296" t="s">
        <v>216</v>
      </c>
      <c r="F60" s="192" t="s">
        <v>117</v>
      </c>
      <c r="G60" s="297">
        <v>18.702000000000002</v>
      </c>
      <c r="H60" s="194">
        <f t="shared" si="1"/>
        <v>224.42</v>
      </c>
      <c r="I60" s="195">
        <f t="shared" si="2"/>
        <v>249.3</v>
      </c>
      <c r="J60" s="194">
        <f t="shared" si="3"/>
        <v>261.83</v>
      </c>
      <c r="K60" s="298">
        <v>7.9979211179765697E-2</v>
      </c>
      <c r="L60" s="189">
        <f t="shared" si="4"/>
        <v>215.11</v>
      </c>
      <c r="M60" s="189">
        <f t="shared" si="5"/>
        <v>149.61000000000001</v>
      </c>
      <c r="N60" s="189">
        <f t="shared" si="6"/>
        <v>166.2</v>
      </c>
      <c r="O60" s="189">
        <f t="shared" si="7"/>
        <v>174.55</v>
      </c>
    </row>
    <row r="61" spans="1:15">
      <c r="A61" s="293" t="s">
        <v>218</v>
      </c>
      <c r="B61" s="294">
        <f t="shared" si="8"/>
        <v>0.13</v>
      </c>
      <c r="C61" s="295">
        <v>5</v>
      </c>
      <c r="D61" s="192" t="s">
        <v>28</v>
      </c>
      <c r="E61" s="296" t="s">
        <v>216</v>
      </c>
      <c r="F61" s="192" t="s">
        <v>86</v>
      </c>
      <c r="G61" s="297">
        <v>19.687000000000001</v>
      </c>
      <c r="H61" s="194">
        <f t="shared" si="1"/>
        <v>236.24</v>
      </c>
      <c r="I61" s="195">
        <f t="shared" si="2"/>
        <v>262.43</v>
      </c>
      <c r="J61" s="194">
        <f t="shared" si="3"/>
        <v>275.62</v>
      </c>
      <c r="K61" s="298">
        <v>5.9979540192752978E-2</v>
      </c>
      <c r="L61" s="189">
        <f t="shared" si="4"/>
        <v>226.44</v>
      </c>
      <c r="M61" s="189">
        <f t="shared" si="5"/>
        <v>157.49</v>
      </c>
      <c r="N61" s="189">
        <f t="shared" si="6"/>
        <v>174.95</v>
      </c>
      <c r="O61" s="189">
        <f t="shared" si="7"/>
        <v>183.75</v>
      </c>
    </row>
    <row r="62" spans="1:15">
      <c r="A62" s="293" t="s">
        <v>218</v>
      </c>
      <c r="B62" s="294">
        <f t="shared" si="8"/>
        <v>0.15</v>
      </c>
      <c r="C62" s="295">
        <v>6</v>
      </c>
      <c r="D62" s="192" t="s">
        <v>28</v>
      </c>
      <c r="E62" s="296" t="s">
        <v>216</v>
      </c>
      <c r="F62" s="192" t="s">
        <v>117</v>
      </c>
      <c r="G62" s="297">
        <v>18.783999999999999</v>
      </c>
      <c r="H62" s="194">
        <f t="shared" si="1"/>
        <v>225.41</v>
      </c>
      <c r="I62" s="195">
        <f t="shared" si="2"/>
        <v>250.39</v>
      </c>
      <c r="J62" s="194">
        <f t="shared" si="3"/>
        <v>262.98</v>
      </c>
      <c r="K62" s="298">
        <v>7.9974702466509395E-2</v>
      </c>
      <c r="L62" s="189">
        <f t="shared" si="4"/>
        <v>216.07</v>
      </c>
      <c r="M62" s="189">
        <f t="shared" si="5"/>
        <v>150.27000000000001</v>
      </c>
      <c r="N62" s="189">
        <f t="shared" si="6"/>
        <v>166.93</v>
      </c>
      <c r="O62" s="189">
        <f t="shared" si="7"/>
        <v>175.32</v>
      </c>
    </row>
    <row r="63" spans="1:15">
      <c r="A63" s="293" t="s">
        <v>218</v>
      </c>
      <c r="B63" s="294">
        <f t="shared" si="8"/>
        <v>0.15</v>
      </c>
      <c r="C63" s="295">
        <v>6</v>
      </c>
      <c r="D63" s="192" t="s">
        <v>28</v>
      </c>
      <c r="E63" s="296" t="s">
        <v>216</v>
      </c>
      <c r="F63" s="192" t="s">
        <v>86</v>
      </c>
      <c r="G63" s="297">
        <v>19.687000000000001</v>
      </c>
      <c r="H63" s="194">
        <f t="shared" si="1"/>
        <v>236.24</v>
      </c>
      <c r="I63" s="195">
        <f t="shared" si="2"/>
        <v>262.43</v>
      </c>
      <c r="J63" s="194">
        <f t="shared" si="3"/>
        <v>275.62</v>
      </c>
      <c r="K63" s="298">
        <v>5.9979540192752978E-2</v>
      </c>
      <c r="L63" s="189">
        <f t="shared" si="4"/>
        <v>226.44</v>
      </c>
      <c r="M63" s="189">
        <f t="shared" si="5"/>
        <v>157.49</v>
      </c>
      <c r="N63" s="189">
        <f t="shared" si="6"/>
        <v>174.95</v>
      </c>
      <c r="O63" s="189">
        <f t="shared" si="7"/>
        <v>183.75</v>
      </c>
    </row>
    <row r="64" spans="1:15">
      <c r="A64" s="293" t="s">
        <v>218</v>
      </c>
      <c r="B64" s="294">
        <f t="shared" si="8"/>
        <v>0.18</v>
      </c>
      <c r="C64" s="295">
        <v>7</v>
      </c>
      <c r="D64" s="192" t="s">
        <v>28</v>
      </c>
      <c r="E64" s="296" t="s">
        <v>216</v>
      </c>
      <c r="F64" s="192" t="s">
        <v>117</v>
      </c>
      <c r="G64" s="297">
        <v>19.805</v>
      </c>
      <c r="H64" s="194">
        <f t="shared" si="1"/>
        <v>237.66</v>
      </c>
      <c r="I64" s="195">
        <f t="shared" si="2"/>
        <v>264</v>
      </c>
      <c r="J64" s="194">
        <f t="shared" si="3"/>
        <v>277.27</v>
      </c>
      <c r="K64" s="298">
        <v>7.9997818737048698E-2</v>
      </c>
      <c r="L64" s="189">
        <f t="shared" si="4"/>
        <v>227.8</v>
      </c>
      <c r="M64" s="189">
        <f t="shared" si="5"/>
        <v>158.44</v>
      </c>
      <c r="N64" s="189">
        <f t="shared" si="6"/>
        <v>176</v>
      </c>
      <c r="O64" s="189">
        <f t="shared" si="7"/>
        <v>184.85</v>
      </c>
    </row>
    <row r="65" spans="1:15">
      <c r="A65" s="293" t="s">
        <v>218</v>
      </c>
      <c r="B65" s="294">
        <f t="shared" si="8"/>
        <v>0.2</v>
      </c>
      <c r="C65" s="295">
        <v>8</v>
      </c>
      <c r="D65" s="192" t="s">
        <v>28</v>
      </c>
      <c r="E65" s="296" t="s">
        <v>216</v>
      </c>
      <c r="F65" s="192" t="s">
        <v>87</v>
      </c>
      <c r="G65" s="297">
        <v>20.559000000000001</v>
      </c>
      <c r="H65" s="194">
        <f t="shared" si="1"/>
        <v>246.71</v>
      </c>
      <c r="I65" s="195">
        <f t="shared" si="2"/>
        <v>274.05</v>
      </c>
      <c r="J65" s="194">
        <f t="shared" si="3"/>
        <v>287.83</v>
      </c>
      <c r="K65" s="298">
        <v>8.0006303845345572E-2</v>
      </c>
      <c r="L65" s="189">
        <f t="shared" si="4"/>
        <v>236.48</v>
      </c>
      <c r="M65" s="189">
        <f t="shared" si="5"/>
        <v>164.47</v>
      </c>
      <c r="N65" s="189">
        <f t="shared" si="6"/>
        <v>182.7</v>
      </c>
      <c r="O65" s="189">
        <f t="shared" si="7"/>
        <v>191.89</v>
      </c>
    </row>
    <row r="66" spans="1:15">
      <c r="A66" s="293" t="s">
        <v>218</v>
      </c>
      <c r="B66" s="294">
        <f t="shared" si="8"/>
        <v>0.25</v>
      </c>
      <c r="C66" s="295">
        <v>10</v>
      </c>
      <c r="D66" s="192" t="s">
        <v>28</v>
      </c>
      <c r="E66" s="296" t="s">
        <v>216</v>
      </c>
      <c r="F66" s="192" t="s">
        <v>89</v>
      </c>
      <c r="G66" s="297">
        <v>20.759</v>
      </c>
      <c r="H66" s="194">
        <f t="shared" si="1"/>
        <v>249.11</v>
      </c>
      <c r="I66" s="195">
        <f t="shared" si="2"/>
        <v>276.72000000000003</v>
      </c>
      <c r="J66" s="194">
        <f t="shared" si="3"/>
        <v>290.63</v>
      </c>
      <c r="K66" s="298">
        <v>8.0016648457416295E-2</v>
      </c>
      <c r="L66" s="189">
        <f t="shared" si="4"/>
        <v>238.78</v>
      </c>
      <c r="M66" s="189">
        <f t="shared" si="5"/>
        <v>166.07</v>
      </c>
      <c r="N66" s="189">
        <f t="shared" si="6"/>
        <v>184.48</v>
      </c>
      <c r="O66" s="189">
        <f t="shared" si="7"/>
        <v>193.75</v>
      </c>
    </row>
    <row r="67" spans="1:15">
      <c r="A67" s="293" t="s">
        <v>218</v>
      </c>
      <c r="B67" s="294">
        <f t="shared" si="8"/>
        <v>0.3</v>
      </c>
      <c r="C67" s="295">
        <v>12</v>
      </c>
      <c r="D67" s="192" t="s">
        <v>28</v>
      </c>
      <c r="E67" s="296" t="s">
        <v>216</v>
      </c>
      <c r="F67" s="192" t="s">
        <v>167</v>
      </c>
      <c r="G67" s="297">
        <v>23.161000000000001</v>
      </c>
      <c r="H67" s="194">
        <f t="shared" si="1"/>
        <v>277.93</v>
      </c>
      <c r="I67" s="195">
        <f t="shared" si="2"/>
        <v>308.74</v>
      </c>
      <c r="J67" s="194">
        <f t="shared" si="3"/>
        <v>324.25</v>
      </c>
      <c r="K67" s="298">
        <v>0.10002374732842556</v>
      </c>
      <c r="L67" s="189">
        <f t="shared" si="4"/>
        <v>266.41000000000003</v>
      </c>
      <c r="M67" s="189">
        <f t="shared" si="5"/>
        <v>185.29</v>
      </c>
      <c r="N67" s="189">
        <f t="shared" si="6"/>
        <v>205.83</v>
      </c>
      <c r="O67" s="189">
        <f t="shared" si="7"/>
        <v>216.17</v>
      </c>
    </row>
    <row r="68" spans="1:15">
      <c r="A68" s="293" t="s">
        <v>218</v>
      </c>
      <c r="B68" s="294">
        <f t="shared" si="8"/>
        <v>0.38</v>
      </c>
      <c r="C68" s="295">
        <v>15</v>
      </c>
      <c r="D68" s="192" t="s">
        <v>28</v>
      </c>
      <c r="E68" s="296" t="s">
        <v>216</v>
      </c>
      <c r="F68" s="192" t="s">
        <v>90</v>
      </c>
      <c r="G68" s="297">
        <v>23.611999999999998</v>
      </c>
      <c r="H68" s="194">
        <f t="shared" si="1"/>
        <v>283.33999999999997</v>
      </c>
      <c r="I68" s="195">
        <f t="shared" si="2"/>
        <v>314.75</v>
      </c>
      <c r="J68" s="194">
        <f t="shared" si="3"/>
        <v>330.57</v>
      </c>
      <c r="K68" s="298">
        <v>0.10002329373398555</v>
      </c>
      <c r="L68" s="189">
        <f t="shared" si="4"/>
        <v>271.60000000000002</v>
      </c>
      <c r="M68" s="189">
        <f t="shared" si="5"/>
        <v>188.89</v>
      </c>
      <c r="N68" s="189">
        <f t="shared" si="6"/>
        <v>209.83</v>
      </c>
      <c r="O68" s="189">
        <f t="shared" si="7"/>
        <v>220.38</v>
      </c>
    </row>
    <row r="69" spans="1:15">
      <c r="A69" s="293" t="s">
        <v>218</v>
      </c>
      <c r="B69" s="294">
        <f t="shared" si="8"/>
        <v>0.41</v>
      </c>
      <c r="C69" s="295">
        <v>16</v>
      </c>
      <c r="D69" s="192" t="s">
        <v>28</v>
      </c>
      <c r="E69" s="296" t="s">
        <v>216</v>
      </c>
      <c r="F69" s="192" t="s">
        <v>219</v>
      </c>
      <c r="G69" s="297">
        <v>28.754999999999999</v>
      </c>
      <c r="H69" s="194">
        <f t="shared" si="1"/>
        <v>345.06</v>
      </c>
      <c r="I69" s="195">
        <f t="shared" si="2"/>
        <v>383.3</v>
      </c>
      <c r="J69" s="194">
        <f t="shared" si="3"/>
        <v>402.57</v>
      </c>
      <c r="K69" s="298">
        <v>3.00175520292294E-2</v>
      </c>
      <c r="L69" s="189">
        <f t="shared" si="4"/>
        <v>330.76</v>
      </c>
      <c r="M69" s="189">
        <f t="shared" si="5"/>
        <v>230.04</v>
      </c>
      <c r="N69" s="189">
        <f t="shared" si="6"/>
        <v>255.53</v>
      </c>
      <c r="O69" s="189">
        <f t="shared" si="7"/>
        <v>268.38</v>
      </c>
    </row>
    <row r="70" spans="1:15">
      <c r="A70" s="293" t="s">
        <v>218</v>
      </c>
      <c r="B70" s="294">
        <f t="shared" si="8"/>
        <v>0.41</v>
      </c>
      <c r="C70" s="295">
        <v>16</v>
      </c>
      <c r="D70" s="192" t="s">
        <v>28</v>
      </c>
      <c r="E70" s="296" t="s">
        <v>216</v>
      </c>
      <c r="F70" s="192" t="s">
        <v>219</v>
      </c>
      <c r="G70" s="297">
        <v>28.754999999999999</v>
      </c>
      <c r="H70" s="194">
        <f t="shared" si="1"/>
        <v>345.06</v>
      </c>
      <c r="I70" s="195">
        <f t="shared" si="2"/>
        <v>383.3</v>
      </c>
      <c r="J70" s="194">
        <f t="shared" si="3"/>
        <v>402.57</v>
      </c>
      <c r="K70" s="298">
        <v>3.00175520292294E-2</v>
      </c>
      <c r="L70" s="189">
        <f t="shared" si="4"/>
        <v>330.76</v>
      </c>
      <c r="M70" s="189">
        <f t="shared" si="5"/>
        <v>230.04</v>
      </c>
      <c r="N70" s="189">
        <f t="shared" si="6"/>
        <v>255.53</v>
      </c>
      <c r="O70" s="189">
        <f t="shared" si="7"/>
        <v>268.38</v>
      </c>
    </row>
    <row r="71" spans="1:15">
      <c r="A71" s="293" t="s">
        <v>218</v>
      </c>
      <c r="B71" s="294">
        <f t="shared" si="8"/>
        <v>0.51</v>
      </c>
      <c r="C71" s="295">
        <v>20</v>
      </c>
      <c r="D71" s="192" t="s">
        <v>28</v>
      </c>
      <c r="E71" s="296" t="s">
        <v>216</v>
      </c>
      <c r="F71" s="192" t="s">
        <v>91</v>
      </c>
      <c r="G71" s="299">
        <v>39.093000000000004</v>
      </c>
      <c r="H71" s="194">
        <f t="shared" si="1"/>
        <v>469.12</v>
      </c>
      <c r="I71" s="195">
        <f t="shared" si="2"/>
        <v>521.11</v>
      </c>
      <c r="J71" s="194">
        <f t="shared" si="3"/>
        <v>547.29999999999995</v>
      </c>
      <c r="K71" s="298">
        <v>3.0010012119934704E-2</v>
      </c>
      <c r="L71" s="189">
        <f t="shared" si="4"/>
        <v>449.67</v>
      </c>
      <c r="M71" s="189">
        <f t="shared" si="5"/>
        <v>312.75</v>
      </c>
      <c r="N71" s="189">
        <f t="shared" si="6"/>
        <v>347.41</v>
      </c>
      <c r="O71" s="189">
        <f t="shared" si="7"/>
        <v>364.87</v>
      </c>
    </row>
    <row r="72" spans="1:15">
      <c r="A72" s="293" t="s">
        <v>218</v>
      </c>
      <c r="B72" s="294">
        <f t="shared" si="8"/>
        <v>0.64</v>
      </c>
      <c r="C72" s="295">
        <v>25</v>
      </c>
      <c r="D72" s="192" t="s">
        <v>28</v>
      </c>
      <c r="E72" s="296" t="s">
        <v>216</v>
      </c>
      <c r="F72" s="192" t="s">
        <v>88</v>
      </c>
      <c r="G72" s="297">
        <v>49.037999999999997</v>
      </c>
      <c r="H72" s="194">
        <f t="shared" si="1"/>
        <v>588.46</v>
      </c>
      <c r="I72" s="195">
        <f t="shared" si="2"/>
        <v>653.67999999999995</v>
      </c>
      <c r="J72" s="194">
        <f t="shared" si="3"/>
        <v>686.53</v>
      </c>
      <c r="K72" s="298">
        <v>2.9993698802772473E-2</v>
      </c>
      <c r="L72" s="189">
        <f t="shared" si="4"/>
        <v>564.05999999999995</v>
      </c>
      <c r="M72" s="189">
        <f t="shared" si="5"/>
        <v>392.31</v>
      </c>
      <c r="N72" s="189">
        <f t="shared" si="6"/>
        <v>435.79</v>
      </c>
      <c r="O72" s="189">
        <f t="shared" si="7"/>
        <v>457.69</v>
      </c>
    </row>
    <row r="73" spans="1:15">
      <c r="A73" s="293" t="s">
        <v>218</v>
      </c>
      <c r="B73" s="294">
        <f t="shared" si="8"/>
        <v>0.76</v>
      </c>
      <c r="C73" s="295">
        <v>30</v>
      </c>
      <c r="D73" s="192" t="s">
        <v>28</v>
      </c>
      <c r="E73" s="296" t="s">
        <v>216</v>
      </c>
      <c r="F73" s="192" t="s">
        <v>131</v>
      </c>
      <c r="G73" s="297">
        <v>49.436</v>
      </c>
      <c r="H73" s="194">
        <f t="shared" si="1"/>
        <v>593.23</v>
      </c>
      <c r="I73" s="195">
        <f t="shared" si="2"/>
        <v>658.98</v>
      </c>
      <c r="J73" s="194">
        <f t="shared" si="3"/>
        <v>692.1</v>
      </c>
      <c r="K73" s="298">
        <v>3.0002500208350602E-2</v>
      </c>
      <c r="L73" s="189">
        <f t="shared" si="4"/>
        <v>568.64</v>
      </c>
      <c r="M73" s="189">
        <f t="shared" si="5"/>
        <v>395.49</v>
      </c>
      <c r="N73" s="189">
        <f t="shared" si="6"/>
        <v>439.32</v>
      </c>
      <c r="O73" s="189">
        <f t="shared" si="7"/>
        <v>461.4</v>
      </c>
    </row>
    <row r="74" spans="1:15">
      <c r="A74" s="293" t="s">
        <v>218</v>
      </c>
      <c r="B74" s="294">
        <f t="shared" si="8"/>
        <v>0.86</v>
      </c>
      <c r="C74" s="295">
        <v>34</v>
      </c>
      <c r="D74" s="192" t="s">
        <v>28</v>
      </c>
      <c r="E74" s="296" t="s">
        <v>216</v>
      </c>
      <c r="F74" s="192" t="s">
        <v>132</v>
      </c>
      <c r="G74" s="297">
        <v>59.033000000000001</v>
      </c>
      <c r="H74" s="194">
        <f t="shared" si="1"/>
        <v>708.4</v>
      </c>
      <c r="I74" s="195">
        <f t="shared" si="2"/>
        <v>786.91</v>
      </c>
      <c r="J74" s="194">
        <f t="shared" si="3"/>
        <v>826.46</v>
      </c>
      <c r="K74" s="298">
        <v>2.9992671947517202E-2</v>
      </c>
      <c r="L74" s="189">
        <f t="shared" si="4"/>
        <v>679.03</v>
      </c>
      <c r="M74" s="189">
        <f t="shared" si="5"/>
        <v>472.27</v>
      </c>
      <c r="N74" s="189">
        <f t="shared" si="6"/>
        <v>524.61</v>
      </c>
      <c r="O74" s="189">
        <f t="shared" si="7"/>
        <v>550.97</v>
      </c>
    </row>
    <row r="75" spans="1:15">
      <c r="A75" s="293" t="s">
        <v>218</v>
      </c>
      <c r="B75" s="294">
        <f t="shared" si="8"/>
        <v>0.97</v>
      </c>
      <c r="C75" s="295">
        <v>38</v>
      </c>
      <c r="D75" s="192" t="s">
        <v>28</v>
      </c>
      <c r="E75" s="296" t="s">
        <v>216</v>
      </c>
      <c r="F75" s="296" t="s">
        <v>133</v>
      </c>
      <c r="G75" s="297">
        <v>63.594999999999999</v>
      </c>
      <c r="H75" s="194">
        <f t="shared" si="1"/>
        <v>763.14</v>
      </c>
      <c r="I75" s="195">
        <f t="shared" si="2"/>
        <v>847.72</v>
      </c>
      <c r="J75" s="194">
        <f t="shared" si="3"/>
        <v>890.33</v>
      </c>
      <c r="K75" s="298">
        <v>2.9995303111283844E-2</v>
      </c>
      <c r="L75" s="189">
        <f t="shared" si="4"/>
        <v>731.51</v>
      </c>
      <c r="M75" s="189">
        <f t="shared" si="5"/>
        <v>508.76</v>
      </c>
      <c r="N75" s="189">
        <f t="shared" si="6"/>
        <v>565.15</v>
      </c>
      <c r="O75" s="189">
        <f t="shared" si="7"/>
        <v>593.54999999999995</v>
      </c>
    </row>
    <row r="76" spans="1:15">
      <c r="A76" s="293" t="s">
        <v>218</v>
      </c>
      <c r="B76" s="294">
        <f t="shared" si="8"/>
        <v>1.19</v>
      </c>
      <c r="C76" s="295">
        <v>47</v>
      </c>
      <c r="D76" s="192" t="s">
        <v>28</v>
      </c>
      <c r="E76" s="296" t="s">
        <v>216</v>
      </c>
      <c r="F76" s="192" t="s">
        <v>84</v>
      </c>
      <c r="G76" s="297">
        <v>75.798000000000002</v>
      </c>
      <c r="H76" s="194">
        <f t="shared" si="1"/>
        <v>909.58</v>
      </c>
      <c r="I76" s="195">
        <f t="shared" si="2"/>
        <v>1010.39</v>
      </c>
      <c r="J76" s="194">
        <f t="shared" si="3"/>
        <v>1061.17</v>
      </c>
      <c r="K76" s="298">
        <v>3.000407664084781E-2</v>
      </c>
      <c r="L76" s="189">
        <f t="shared" si="4"/>
        <v>871.87</v>
      </c>
      <c r="M76" s="189">
        <f t="shared" si="5"/>
        <v>606.39</v>
      </c>
      <c r="N76" s="189">
        <f t="shared" si="6"/>
        <v>673.59</v>
      </c>
      <c r="O76" s="189">
        <f t="shared" si="7"/>
        <v>707.45</v>
      </c>
    </row>
    <row r="77" spans="1:15">
      <c r="A77" s="293" t="s">
        <v>218</v>
      </c>
      <c r="B77" s="294">
        <f>ROUND(C77*0.0254,3)</f>
        <v>5.0999999999999997E-2</v>
      </c>
      <c r="C77" s="295">
        <v>2</v>
      </c>
      <c r="D77" s="192" t="s">
        <v>138</v>
      </c>
      <c r="E77" s="296" t="s">
        <v>220</v>
      </c>
      <c r="F77" s="192" t="s">
        <v>217</v>
      </c>
      <c r="G77" s="297">
        <v>20.87</v>
      </c>
      <c r="H77" s="194">
        <f t="shared" si="1"/>
        <v>250.44</v>
      </c>
      <c r="I77" s="195">
        <f t="shared" si="2"/>
        <v>278.2</v>
      </c>
      <c r="J77" s="194">
        <f t="shared" si="3"/>
        <v>292.18</v>
      </c>
      <c r="K77" s="298">
        <v>8.0004139929621187E-2</v>
      </c>
      <c r="L77" s="189">
        <f t="shared" si="4"/>
        <v>240.05</v>
      </c>
      <c r="M77" s="189">
        <f t="shared" si="5"/>
        <v>166.96</v>
      </c>
      <c r="N77" s="189">
        <f t="shared" si="6"/>
        <v>185.47</v>
      </c>
      <c r="O77" s="189">
        <f t="shared" si="7"/>
        <v>194.79</v>
      </c>
    </row>
    <row r="78" spans="1:15">
      <c r="A78" s="293" t="s">
        <v>218</v>
      </c>
      <c r="B78" s="294">
        <f t="shared" ref="B78:B83" si="10">ROUND(C78*0.0254,3)</f>
        <v>5.0999999999999997E-2</v>
      </c>
      <c r="C78" s="295">
        <v>2</v>
      </c>
      <c r="D78" s="192" t="s">
        <v>138</v>
      </c>
      <c r="E78" s="296" t="s">
        <v>220</v>
      </c>
      <c r="F78" s="192" t="s">
        <v>120</v>
      </c>
      <c r="G78" s="297">
        <v>20.87</v>
      </c>
      <c r="H78" s="194">
        <f t="shared" si="1"/>
        <v>250.44</v>
      </c>
      <c r="I78" s="195">
        <f t="shared" si="2"/>
        <v>278.2</v>
      </c>
      <c r="J78" s="194">
        <f t="shared" ref="J78:J124" si="11">ROUND(G78*14,2)</f>
        <v>292.18</v>
      </c>
      <c r="K78" s="298">
        <v>8.0004139929621187E-2</v>
      </c>
      <c r="L78" s="189">
        <f t="shared" si="4"/>
        <v>240.05</v>
      </c>
      <c r="M78" s="189">
        <f t="shared" si="5"/>
        <v>166.96</v>
      </c>
      <c r="N78" s="189">
        <f t="shared" si="6"/>
        <v>185.47</v>
      </c>
      <c r="O78" s="189">
        <f t="shared" si="7"/>
        <v>194.79</v>
      </c>
    </row>
    <row r="79" spans="1:15">
      <c r="A79" s="293" t="s">
        <v>218</v>
      </c>
      <c r="B79" s="294">
        <f t="shared" si="10"/>
        <v>7.5999999999999998E-2</v>
      </c>
      <c r="C79" s="295">
        <v>3</v>
      </c>
      <c r="D79" s="192" t="s">
        <v>138</v>
      </c>
      <c r="E79" s="296" t="s">
        <v>220</v>
      </c>
      <c r="F79" s="192" t="s">
        <v>81</v>
      </c>
      <c r="G79" s="297">
        <v>20.765000000000001</v>
      </c>
      <c r="H79" s="194">
        <f t="shared" si="1"/>
        <v>249.18</v>
      </c>
      <c r="I79" s="195">
        <f t="shared" si="2"/>
        <v>276.8</v>
      </c>
      <c r="J79" s="194">
        <f t="shared" si="11"/>
        <v>290.70999999999998</v>
      </c>
      <c r="K79" s="298">
        <v>7.9991678368960262E-2</v>
      </c>
      <c r="L79" s="189">
        <f t="shared" si="4"/>
        <v>238.85</v>
      </c>
      <c r="M79" s="189">
        <f t="shared" si="5"/>
        <v>166.12</v>
      </c>
      <c r="N79" s="189">
        <f t="shared" si="6"/>
        <v>184.53</v>
      </c>
      <c r="O79" s="189">
        <f t="shared" si="7"/>
        <v>193.81</v>
      </c>
    </row>
    <row r="80" spans="1:15">
      <c r="A80" s="293" t="s">
        <v>218</v>
      </c>
      <c r="B80" s="294">
        <f t="shared" si="10"/>
        <v>7.5999999999999998E-2</v>
      </c>
      <c r="C80" s="295">
        <v>3</v>
      </c>
      <c r="D80" s="192" t="s">
        <v>138</v>
      </c>
      <c r="E80" s="296" t="s">
        <v>220</v>
      </c>
      <c r="F80" s="192" t="s">
        <v>122</v>
      </c>
      <c r="G80" s="297">
        <v>20.765000000000001</v>
      </c>
      <c r="H80" s="194">
        <f t="shared" si="1"/>
        <v>249.18</v>
      </c>
      <c r="I80" s="195">
        <f t="shared" si="2"/>
        <v>276.8</v>
      </c>
      <c r="J80" s="194">
        <f t="shared" si="11"/>
        <v>290.70999999999998</v>
      </c>
      <c r="K80" s="298">
        <v>7.9991678368960262E-2</v>
      </c>
      <c r="L80" s="189">
        <f t="shared" ref="L80:L124" si="12">ROUND(ROUND(ROUND(G80*12,2)*43/48,2)*1.07,2)</f>
        <v>238.85</v>
      </c>
      <c r="M80" s="189">
        <f t="shared" ref="M80:M124" si="13">ROUND(ROUND(G80*12,2)*2/3,2)</f>
        <v>166.12</v>
      </c>
      <c r="N80" s="189">
        <f t="shared" ref="N80:N124" si="14">ROUND(ROUND(G80*13.33,2)*2/3,2)</f>
        <v>184.53</v>
      </c>
      <c r="O80" s="189">
        <f t="shared" ref="O80:O124" si="15">ROUND(ROUND(G80*14,2)*2/3,2)</f>
        <v>193.81</v>
      </c>
    </row>
    <row r="81" spans="1:15">
      <c r="A81" s="293" t="s">
        <v>218</v>
      </c>
      <c r="B81" s="294">
        <f t="shared" si="10"/>
        <v>8.8999999999999996E-2</v>
      </c>
      <c r="C81" s="295">
        <v>3.5</v>
      </c>
      <c r="D81" s="192" t="s">
        <v>138</v>
      </c>
      <c r="E81" s="296" t="s">
        <v>220</v>
      </c>
      <c r="F81" s="192" t="s">
        <v>122</v>
      </c>
      <c r="G81" s="297">
        <v>21.369</v>
      </c>
      <c r="H81" s="194">
        <f t="shared" si="1"/>
        <v>256.43</v>
      </c>
      <c r="I81" s="195">
        <f t="shared" si="2"/>
        <v>284.85000000000002</v>
      </c>
      <c r="J81" s="194">
        <f t="shared" si="11"/>
        <v>299.17</v>
      </c>
      <c r="K81" s="298">
        <v>8.0006064894369677E-2</v>
      </c>
      <c r="L81" s="189">
        <f t="shared" si="12"/>
        <v>245.8</v>
      </c>
      <c r="M81" s="189">
        <f t="shared" si="13"/>
        <v>170.95</v>
      </c>
      <c r="N81" s="189">
        <f t="shared" si="14"/>
        <v>189.9</v>
      </c>
      <c r="O81" s="189">
        <f t="shared" si="15"/>
        <v>199.45</v>
      </c>
    </row>
    <row r="82" spans="1:15">
      <c r="A82" s="293" t="s">
        <v>218</v>
      </c>
      <c r="B82" s="294">
        <f t="shared" si="10"/>
        <v>8.8999999999999996E-2</v>
      </c>
      <c r="C82" s="295">
        <v>3.5</v>
      </c>
      <c r="D82" s="192" t="s">
        <v>138</v>
      </c>
      <c r="E82" s="296" t="s">
        <v>220</v>
      </c>
      <c r="F82" s="192" t="s">
        <v>83</v>
      </c>
      <c r="G82" s="297">
        <v>20.882000000000001</v>
      </c>
      <c r="H82" s="194">
        <f t="shared" si="1"/>
        <v>250.58</v>
      </c>
      <c r="I82" s="195">
        <f t="shared" ref="I82:I124" si="16">ROUND(G82*13.33,2)</f>
        <v>278.36</v>
      </c>
      <c r="J82" s="194">
        <f t="shared" si="11"/>
        <v>292.35000000000002</v>
      </c>
      <c r="K82" s="298">
        <v>8.00103439358677E-2</v>
      </c>
      <c r="L82" s="189">
        <f t="shared" si="12"/>
        <v>240.19</v>
      </c>
      <c r="M82" s="189">
        <f t="shared" si="13"/>
        <v>167.05</v>
      </c>
      <c r="N82" s="189">
        <f t="shared" si="14"/>
        <v>185.57</v>
      </c>
      <c r="O82" s="189">
        <f t="shared" si="15"/>
        <v>194.9</v>
      </c>
    </row>
    <row r="83" spans="1:15">
      <c r="A83" s="293" t="s">
        <v>218</v>
      </c>
      <c r="B83" s="294">
        <f t="shared" si="10"/>
        <v>8.8999999999999996E-2</v>
      </c>
      <c r="C83" s="295">
        <v>3.5</v>
      </c>
      <c r="D83" s="192" t="s">
        <v>138</v>
      </c>
      <c r="E83" s="296" t="s">
        <v>220</v>
      </c>
      <c r="F83" s="192" t="s">
        <v>183</v>
      </c>
      <c r="G83" s="297">
        <v>22.571999999999999</v>
      </c>
      <c r="H83" s="194">
        <f t="shared" si="1"/>
        <v>270.86</v>
      </c>
      <c r="I83" s="195">
        <f t="shared" si="16"/>
        <v>300.88</v>
      </c>
      <c r="J83" s="194">
        <f t="shared" si="11"/>
        <v>316.01</v>
      </c>
      <c r="K83" s="298">
        <v>8.0000000000000071E-2</v>
      </c>
      <c r="L83" s="189">
        <f t="shared" si="12"/>
        <v>259.64</v>
      </c>
      <c r="M83" s="189">
        <f t="shared" si="13"/>
        <v>180.57</v>
      </c>
      <c r="N83" s="189">
        <f t="shared" si="14"/>
        <v>200.59</v>
      </c>
      <c r="O83" s="189">
        <f t="shared" si="15"/>
        <v>210.67</v>
      </c>
    </row>
    <row r="84" spans="1:15">
      <c r="A84" s="293" t="s">
        <v>218</v>
      </c>
      <c r="B84" s="294">
        <f t="shared" ref="B84:B124" si="17">ROUND(C84*0.0254,2)</f>
        <v>0.1</v>
      </c>
      <c r="C84" s="295">
        <v>4</v>
      </c>
      <c r="D84" s="192" t="s">
        <v>138</v>
      </c>
      <c r="E84" s="296" t="s">
        <v>220</v>
      </c>
      <c r="F84" s="192" t="s">
        <v>122</v>
      </c>
      <c r="G84" s="297">
        <v>21.51</v>
      </c>
      <c r="H84" s="194">
        <f t="shared" si="1"/>
        <v>258.12</v>
      </c>
      <c r="I84" s="195">
        <f t="shared" si="16"/>
        <v>286.73</v>
      </c>
      <c r="J84" s="194">
        <f t="shared" si="11"/>
        <v>301.14</v>
      </c>
      <c r="K84" s="298">
        <v>7.9981924988703046E-2</v>
      </c>
      <c r="L84" s="189">
        <f t="shared" si="12"/>
        <v>247.42</v>
      </c>
      <c r="M84" s="189">
        <f t="shared" si="13"/>
        <v>172.08</v>
      </c>
      <c r="N84" s="189">
        <f t="shared" si="14"/>
        <v>191.15</v>
      </c>
      <c r="O84" s="189">
        <f t="shared" si="15"/>
        <v>200.76</v>
      </c>
    </row>
    <row r="85" spans="1:15">
      <c r="A85" s="293" t="s">
        <v>218</v>
      </c>
      <c r="B85" s="294">
        <f t="shared" si="17"/>
        <v>0.1</v>
      </c>
      <c r="C85" s="295">
        <v>4</v>
      </c>
      <c r="D85" s="192" t="s">
        <v>138</v>
      </c>
      <c r="E85" s="296" t="s">
        <v>220</v>
      </c>
      <c r="F85" s="192" t="s">
        <v>83</v>
      </c>
      <c r="G85" s="297">
        <v>21.12</v>
      </c>
      <c r="H85" s="194">
        <f t="shared" si="1"/>
        <v>253.44</v>
      </c>
      <c r="I85" s="195">
        <f t="shared" si="16"/>
        <v>281.52999999999997</v>
      </c>
      <c r="J85" s="194">
        <f t="shared" si="11"/>
        <v>295.68</v>
      </c>
      <c r="K85" s="298">
        <v>7.997545510329318E-2</v>
      </c>
      <c r="L85" s="189">
        <f t="shared" si="12"/>
        <v>242.93</v>
      </c>
      <c r="M85" s="189">
        <f t="shared" si="13"/>
        <v>168.96</v>
      </c>
      <c r="N85" s="189">
        <f t="shared" si="14"/>
        <v>187.69</v>
      </c>
      <c r="O85" s="189">
        <f t="shared" si="15"/>
        <v>197.12</v>
      </c>
    </row>
    <row r="86" spans="1:15">
      <c r="A86" s="293" t="s">
        <v>218</v>
      </c>
      <c r="B86" s="294">
        <f t="shared" si="17"/>
        <v>0.1</v>
      </c>
      <c r="C86" s="295">
        <v>4</v>
      </c>
      <c r="D86" s="192" t="s">
        <v>138</v>
      </c>
      <c r="E86" s="296" t="s">
        <v>220</v>
      </c>
      <c r="F86" s="192" t="s">
        <v>166</v>
      </c>
      <c r="G86" s="297">
        <v>22.436</v>
      </c>
      <c r="H86" s="194">
        <f t="shared" si="1"/>
        <v>269.23</v>
      </c>
      <c r="I86" s="195">
        <f t="shared" si="16"/>
        <v>299.07</v>
      </c>
      <c r="J86" s="194">
        <f t="shared" si="11"/>
        <v>314.10000000000002</v>
      </c>
      <c r="K86" s="298">
        <v>8.0003850967555579E-2</v>
      </c>
      <c r="L86" s="189">
        <f t="shared" si="12"/>
        <v>258.07</v>
      </c>
      <c r="M86" s="189">
        <f t="shared" si="13"/>
        <v>179.49</v>
      </c>
      <c r="N86" s="189">
        <f t="shared" si="14"/>
        <v>199.38</v>
      </c>
      <c r="O86" s="189">
        <f t="shared" si="15"/>
        <v>209.4</v>
      </c>
    </row>
    <row r="87" spans="1:15">
      <c r="A87" s="293" t="s">
        <v>218</v>
      </c>
      <c r="B87" s="294">
        <f t="shared" si="17"/>
        <v>0.13</v>
      </c>
      <c r="C87" s="295">
        <v>5</v>
      </c>
      <c r="D87" s="192" t="s">
        <v>138</v>
      </c>
      <c r="E87" s="296" t="s">
        <v>220</v>
      </c>
      <c r="F87" s="192" t="s">
        <v>166</v>
      </c>
      <c r="G87" s="297">
        <v>22.41</v>
      </c>
      <c r="H87" s="194">
        <f t="shared" si="1"/>
        <v>268.92</v>
      </c>
      <c r="I87" s="195">
        <f t="shared" si="16"/>
        <v>298.73</v>
      </c>
      <c r="J87" s="194">
        <f t="shared" si="11"/>
        <v>313.74</v>
      </c>
      <c r="K87" s="298">
        <v>8.0000000000000071E-2</v>
      </c>
      <c r="L87" s="189">
        <f t="shared" si="12"/>
        <v>257.77</v>
      </c>
      <c r="M87" s="189">
        <f t="shared" si="13"/>
        <v>179.28</v>
      </c>
      <c r="N87" s="189">
        <f t="shared" si="14"/>
        <v>199.15</v>
      </c>
      <c r="O87" s="189">
        <f t="shared" si="15"/>
        <v>209.16</v>
      </c>
    </row>
    <row r="88" spans="1:15">
      <c r="A88" s="293" t="s">
        <v>218</v>
      </c>
      <c r="B88" s="294">
        <f t="shared" si="17"/>
        <v>0.13</v>
      </c>
      <c r="C88" s="295">
        <v>5</v>
      </c>
      <c r="D88" s="192" t="s">
        <v>138</v>
      </c>
      <c r="E88" s="296" t="s">
        <v>220</v>
      </c>
      <c r="F88" s="192" t="s">
        <v>84</v>
      </c>
      <c r="G88" s="297">
        <v>21.591999999999999</v>
      </c>
      <c r="H88" s="194">
        <f t="shared" si="1"/>
        <v>259.10000000000002</v>
      </c>
      <c r="I88" s="195">
        <f t="shared" si="16"/>
        <v>287.82</v>
      </c>
      <c r="J88" s="194">
        <f t="shared" si="11"/>
        <v>302.29000000000002</v>
      </c>
      <c r="K88" s="298">
        <v>7.9977992297304068E-2</v>
      </c>
      <c r="L88" s="189">
        <f t="shared" si="12"/>
        <v>248.36</v>
      </c>
      <c r="M88" s="189">
        <f t="shared" si="13"/>
        <v>172.73</v>
      </c>
      <c r="N88" s="189">
        <f t="shared" si="14"/>
        <v>191.88</v>
      </c>
      <c r="O88" s="189">
        <f t="shared" si="15"/>
        <v>201.53</v>
      </c>
    </row>
    <row r="89" spans="1:15">
      <c r="A89" s="293" t="s">
        <v>218</v>
      </c>
      <c r="B89" s="294">
        <f t="shared" si="17"/>
        <v>0.13</v>
      </c>
      <c r="C89" s="295">
        <v>5</v>
      </c>
      <c r="D89" s="192" t="s">
        <v>138</v>
      </c>
      <c r="E89" s="296" t="s">
        <v>220</v>
      </c>
      <c r="F89" s="192" t="s">
        <v>117</v>
      </c>
      <c r="G89" s="297">
        <v>21.887</v>
      </c>
      <c r="H89" s="194">
        <f t="shared" si="1"/>
        <v>262.64</v>
      </c>
      <c r="I89" s="195">
        <f t="shared" si="16"/>
        <v>291.75</v>
      </c>
      <c r="J89" s="194">
        <f t="shared" si="11"/>
        <v>306.42</v>
      </c>
      <c r="K89" s="298">
        <v>7.9986183756044715E-2</v>
      </c>
      <c r="L89" s="189">
        <f t="shared" si="12"/>
        <v>251.75</v>
      </c>
      <c r="M89" s="189">
        <f t="shared" si="13"/>
        <v>175.09</v>
      </c>
      <c r="N89" s="189">
        <f t="shared" si="14"/>
        <v>194.5</v>
      </c>
      <c r="O89" s="189">
        <f t="shared" si="15"/>
        <v>204.28</v>
      </c>
    </row>
    <row r="90" spans="1:15">
      <c r="A90" s="293" t="s">
        <v>218</v>
      </c>
      <c r="B90" s="294">
        <f t="shared" si="17"/>
        <v>0.13</v>
      </c>
      <c r="C90" s="295">
        <v>5</v>
      </c>
      <c r="D90" s="192" t="s">
        <v>138</v>
      </c>
      <c r="E90" s="296" t="s">
        <v>220</v>
      </c>
      <c r="F90" s="192" t="s">
        <v>86</v>
      </c>
      <c r="G90" s="297">
        <v>22.082000000000001</v>
      </c>
      <c r="H90" s="194">
        <f t="shared" si="1"/>
        <v>264.98</v>
      </c>
      <c r="I90" s="195">
        <f t="shared" si="16"/>
        <v>294.35000000000002</v>
      </c>
      <c r="J90" s="194">
        <f t="shared" si="11"/>
        <v>309.14999999999998</v>
      </c>
      <c r="K90" s="298">
        <v>8.0015650983077391E-2</v>
      </c>
      <c r="L90" s="189">
        <f t="shared" si="12"/>
        <v>254</v>
      </c>
      <c r="M90" s="189">
        <f t="shared" si="13"/>
        <v>176.65</v>
      </c>
      <c r="N90" s="189">
        <f t="shared" si="14"/>
        <v>196.23</v>
      </c>
      <c r="O90" s="189">
        <f t="shared" si="15"/>
        <v>206.1</v>
      </c>
    </row>
    <row r="91" spans="1:15">
      <c r="A91" s="293" t="s">
        <v>218</v>
      </c>
      <c r="B91" s="294">
        <f t="shared" si="17"/>
        <v>0.15</v>
      </c>
      <c r="C91" s="295">
        <v>6</v>
      </c>
      <c r="D91" s="192" t="s">
        <v>138</v>
      </c>
      <c r="E91" s="296" t="s">
        <v>220</v>
      </c>
      <c r="F91" s="192" t="s">
        <v>117</v>
      </c>
      <c r="G91" s="297">
        <v>23.117999999999999</v>
      </c>
      <c r="H91" s="194">
        <f t="shared" si="1"/>
        <v>277.42</v>
      </c>
      <c r="I91" s="195">
        <f t="shared" si="16"/>
        <v>308.16000000000003</v>
      </c>
      <c r="J91" s="194">
        <f t="shared" si="11"/>
        <v>323.64999999999998</v>
      </c>
      <c r="K91" s="298">
        <v>7.9977576380453996E-2</v>
      </c>
      <c r="L91" s="189">
        <f t="shared" si="12"/>
        <v>265.92</v>
      </c>
      <c r="M91" s="189">
        <f t="shared" si="13"/>
        <v>184.95</v>
      </c>
      <c r="N91" s="189">
        <f t="shared" si="14"/>
        <v>205.44</v>
      </c>
      <c r="O91" s="189">
        <f t="shared" si="15"/>
        <v>215.77</v>
      </c>
    </row>
    <row r="92" spans="1:15">
      <c r="A92" s="293" t="s">
        <v>218</v>
      </c>
      <c r="B92" s="294">
        <f t="shared" si="17"/>
        <v>0.15</v>
      </c>
      <c r="C92" s="295">
        <v>6</v>
      </c>
      <c r="D92" s="192" t="s">
        <v>138</v>
      </c>
      <c r="E92" s="296" t="s">
        <v>220</v>
      </c>
      <c r="F92" s="192" t="s">
        <v>86</v>
      </c>
      <c r="G92" s="297">
        <v>24.332000000000001</v>
      </c>
      <c r="H92" s="194">
        <f t="shared" si="1"/>
        <v>291.98</v>
      </c>
      <c r="I92" s="195">
        <f t="shared" si="16"/>
        <v>324.35000000000002</v>
      </c>
      <c r="J92" s="194">
        <f t="shared" si="11"/>
        <v>340.65</v>
      </c>
      <c r="K92" s="298">
        <v>7.9982245894363091E-2</v>
      </c>
      <c r="L92" s="189">
        <f t="shared" si="12"/>
        <v>279.88</v>
      </c>
      <c r="M92" s="189">
        <f t="shared" si="13"/>
        <v>194.65</v>
      </c>
      <c r="N92" s="189">
        <f t="shared" si="14"/>
        <v>216.23</v>
      </c>
      <c r="O92" s="189">
        <f t="shared" si="15"/>
        <v>227.1</v>
      </c>
    </row>
    <row r="93" spans="1:15">
      <c r="A93" s="293" t="s">
        <v>218</v>
      </c>
      <c r="B93" s="294">
        <f t="shared" si="17"/>
        <v>0.18</v>
      </c>
      <c r="C93" s="295">
        <v>7</v>
      </c>
      <c r="D93" s="192" t="s">
        <v>138</v>
      </c>
      <c r="E93" s="296" t="s">
        <v>220</v>
      </c>
      <c r="F93" s="192" t="s">
        <v>117</v>
      </c>
      <c r="G93" s="297">
        <v>25.192</v>
      </c>
      <c r="H93" s="194">
        <f t="shared" si="1"/>
        <v>302.3</v>
      </c>
      <c r="I93" s="195">
        <f t="shared" si="16"/>
        <v>335.81</v>
      </c>
      <c r="J93" s="194">
        <f t="shared" si="11"/>
        <v>352.69</v>
      </c>
      <c r="K93" s="298">
        <v>7.9996570350681528E-2</v>
      </c>
      <c r="L93" s="189">
        <f t="shared" si="12"/>
        <v>289.77</v>
      </c>
      <c r="M93" s="189">
        <f t="shared" si="13"/>
        <v>201.53</v>
      </c>
      <c r="N93" s="189">
        <f t="shared" si="14"/>
        <v>223.87</v>
      </c>
      <c r="O93" s="189">
        <f t="shared" si="15"/>
        <v>235.13</v>
      </c>
    </row>
    <row r="94" spans="1:15">
      <c r="A94" s="293" t="s">
        <v>218</v>
      </c>
      <c r="B94" s="294">
        <f t="shared" si="17"/>
        <v>0.2</v>
      </c>
      <c r="C94" s="295">
        <v>8</v>
      </c>
      <c r="D94" s="192" t="s">
        <v>138</v>
      </c>
      <c r="E94" s="296" t="s">
        <v>220</v>
      </c>
      <c r="F94" s="192" t="s">
        <v>87</v>
      </c>
      <c r="G94" s="297">
        <v>25.526</v>
      </c>
      <c r="H94" s="194">
        <f t="shared" si="1"/>
        <v>306.31</v>
      </c>
      <c r="I94" s="195">
        <f t="shared" si="16"/>
        <v>340.26</v>
      </c>
      <c r="J94" s="194">
        <f t="shared" si="11"/>
        <v>357.36</v>
      </c>
      <c r="K94" s="298">
        <v>8.0008462026655236E-2</v>
      </c>
      <c r="L94" s="189">
        <f t="shared" si="12"/>
        <v>293.61</v>
      </c>
      <c r="M94" s="189">
        <f t="shared" si="13"/>
        <v>204.21</v>
      </c>
      <c r="N94" s="189">
        <f t="shared" si="14"/>
        <v>226.84</v>
      </c>
      <c r="O94" s="189">
        <f t="shared" si="15"/>
        <v>238.24</v>
      </c>
    </row>
    <row r="95" spans="1:15">
      <c r="A95" s="293" t="s">
        <v>218</v>
      </c>
      <c r="B95" s="294">
        <f>ROUND(C95*0.0254,3)</f>
        <v>5.0999999999999997E-2</v>
      </c>
      <c r="C95" s="295">
        <v>2</v>
      </c>
      <c r="D95" s="192" t="s">
        <v>29</v>
      </c>
      <c r="E95" s="296" t="s">
        <v>137</v>
      </c>
      <c r="F95" s="192" t="s">
        <v>217</v>
      </c>
      <c r="G95" s="297">
        <v>21.911999999999999</v>
      </c>
      <c r="H95" s="194">
        <f t="shared" si="1"/>
        <v>262.94</v>
      </c>
      <c r="I95" s="195">
        <f t="shared" si="16"/>
        <v>292.08999999999997</v>
      </c>
      <c r="J95" s="194">
        <f t="shared" si="11"/>
        <v>306.77</v>
      </c>
      <c r="K95" s="298">
        <v>9.9999999999999867E-2</v>
      </c>
      <c r="L95" s="189">
        <f t="shared" si="12"/>
        <v>252.04</v>
      </c>
      <c r="M95" s="189">
        <f t="shared" si="13"/>
        <v>175.29</v>
      </c>
      <c r="N95" s="189">
        <f t="shared" si="14"/>
        <v>194.73</v>
      </c>
      <c r="O95" s="189">
        <f t="shared" si="15"/>
        <v>204.51</v>
      </c>
    </row>
    <row r="96" spans="1:15">
      <c r="A96" s="293" t="s">
        <v>218</v>
      </c>
      <c r="B96" s="294">
        <f t="shared" ref="B96:B103" si="18">ROUND(C96*0.0254,3)</f>
        <v>5.0999999999999997E-2</v>
      </c>
      <c r="C96" s="295">
        <v>2</v>
      </c>
      <c r="D96" s="192" t="s">
        <v>29</v>
      </c>
      <c r="E96" s="296" t="s">
        <v>137</v>
      </c>
      <c r="F96" s="192" t="s">
        <v>120</v>
      </c>
      <c r="G96" s="297">
        <v>21.911999999999999</v>
      </c>
      <c r="H96" s="194">
        <f t="shared" si="1"/>
        <v>262.94</v>
      </c>
      <c r="I96" s="195">
        <f t="shared" si="16"/>
        <v>292.08999999999997</v>
      </c>
      <c r="J96" s="194">
        <f t="shared" si="11"/>
        <v>306.77</v>
      </c>
      <c r="K96" s="298">
        <v>9.9999999999999867E-2</v>
      </c>
      <c r="L96" s="189">
        <f t="shared" si="12"/>
        <v>252.04</v>
      </c>
      <c r="M96" s="189">
        <f t="shared" si="13"/>
        <v>175.29</v>
      </c>
      <c r="N96" s="189">
        <f t="shared" si="14"/>
        <v>194.73</v>
      </c>
      <c r="O96" s="189">
        <f t="shared" si="15"/>
        <v>204.51</v>
      </c>
    </row>
    <row r="97" spans="1:15">
      <c r="A97" s="293" t="s">
        <v>218</v>
      </c>
      <c r="B97" s="294">
        <f t="shared" si="18"/>
        <v>6.4000000000000001E-2</v>
      </c>
      <c r="C97" s="295">
        <v>2.5</v>
      </c>
      <c r="D97" s="192" t="s">
        <v>29</v>
      </c>
      <c r="E97" s="296" t="s">
        <v>137</v>
      </c>
      <c r="F97" s="192" t="s">
        <v>81</v>
      </c>
      <c r="G97" s="297">
        <v>23.234999999999999</v>
      </c>
      <c r="H97" s="194">
        <f t="shared" si="1"/>
        <v>278.82</v>
      </c>
      <c r="I97" s="195">
        <f t="shared" si="16"/>
        <v>309.72000000000003</v>
      </c>
      <c r="J97" s="194">
        <f t="shared" si="11"/>
        <v>325.29000000000002</v>
      </c>
      <c r="K97" s="298">
        <v>9.9985797471950022E-2</v>
      </c>
      <c r="L97" s="189">
        <f t="shared" si="12"/>
        <v>267.26</v>
      </c>
      <c r="M97" s="189">
        <f t="shared" si="13"/>
        <v>185.88</v>
      </c>
      <c r="N97" s="189">
        <f t="shared" si="14"/>
        <v>206.48</v>
      </c>
      <c r="O97" s="189">
        <f t="shared" si="15"/>
        <v>216.86</v>
      </c>
    </row>
    <row r="98" spans="1:15">
      <c r="A98" s="293" t="s">
        <v>218</v>
      </c>
      <c r="B98" s="294">
        <f t="shared" si="18"/>
        <v>7.5999999999999998E-2</v>
      </c>
      <c r="C98" s="295">
        <v>3</v>
      </c>
      <c r="D98" s="192" t="s">
        <v>29</v>
      </c>
      <c r="E98" s="296" t="s">
        <v>137</v>
      </c>
      <c r="F98" s="192" t="s">
        <v>140</v>
      </c>
      <c r="G98" s="297">
        <v>29.539000000000001</v>
      </c>
      <c r="H98" s="194">
        <f t="shared" si="1"/>
        <v>354.47</v>
      </c>
      <c r="I98" s="195">
        <f t="shared" si="16"/>
        <v>393.75</v>
      </c>
      <c r="J98" s="194">
        <f t="shared" si="11"/>
        <v>413.55</v>
      </c>
      <c r="K98" s="298">
        <v>7.9997075061241096E-2</v>
      </c>
      <c r="L98" s="189">
        <f t="shared" si="12"/>
        <v>339.78</v>
      </c>
      <c r="M98" s="189">
        <f t="shared" si="13"/>
        <v>236.31</v>
      </c>
      <c r="N98" s="189">
        <f t="shared" si="14"/>
        <v>262.5</v>
      </c>
      <c r="O98" s="189">
        <f t="shared" si="15"/>
        <v>275.7</v>
      </c>
    </row>
    <row r="99" spans="1:15">
      <c r="A99" s="293" t="s">
        <v>218</v>
      </c>
      <c r="B99" s="294">
        <f t="shared" si="18"/>
        <v>7.5999999999999998E-2</v>
      </c>
      <c r="C99" s="295">
        <v>3</v>
      </c>
      <c r="D99" s="192" t="s">
        <v>29</v>
      </c>
      <c r="E99" s="296" t="s">
        <v>137</v>
      </c>
      <c r="F99" s="192" t="s">
        <v>81</v>
      </c>
      <c r="G99" s="297">
        <v>21.568000000000001</v>
      </c>
      <c r="H99" s="194">
        <f t="shared" si="1"/>
        <v>258.82</v>
      </c>
      <c r="I99" s="195">
        <f t="shared" si="16"/>
        <v>287.5</v>
      </c>
      <c r="J99" s="194">
        <f t="shared" si="11"/>
        <v>301.95</v>
      </c>
      <c r="K99" s="298">
        <v>0.1000153006579283</v>
      </c>
      <c r="L99" s="189">
        <f t="shared" si="12"/>
        <v>248.09</v>
      </c>
      <c r="M99" s="189">
        <f t="shared" si="13"/>
        <v>172.55</v>
      </c>
      <c r="N99" s="189">
        <f t="shared" si="14"/>
        <v>191.67</v>
      </c>
      <c r="O99" s="189">
        <f t="shared" si="15"/>
        <v>201.3</v>
      </c>
    </row>
    <row r="100" spans="1:15">
      <c r="A100" s="293" t="s">
        <v>218</v>
      </c>
      <c r="B100" s="294">
        <f t="shared" si="18"/>
        <v>7.5999999999999998E-2</v>
      </c>
      <c r="C100" s="295">
        <v>3</v>
      </c>
      <c r="D100" s="192" t="s">
        <v>29</v>
      </c>
      <c r="E100" s="296" t="s">
        <v>137</v>
      </c>
      <c r="F100" s="192" t="s">
        <v>122</v>
      </c>
      <c r="G100" s="297">
        <v>21.765999999999998</v>
      </c>
      <c r="H100" s="194">
        <f t="shared" ref="H100:H124" si="19">ROUND(G100*12,2)</f>
        <v>261.19</v>
      </c>
      <c r="I100" s="195">
        <f t="shared" si="16"/>
        <v>290.14</v>
      </c>
      <c r="J100" s="194">
        <f t="shared" si="11"/>
        <v>304.72000000000003</v>
      </c>
      <c r="K100" s="298">
        <v>0.10001516146965184</v>
      </c>
      <c r="L100" s="189">
        <f t="shared" si="12"/>
        <v>250.36</v>
      </c>
      <c r="M100" s="189">
        <f t="shared" si="13"/>
        <v>174.13</v>
      </c>
      <c r="N100" s="189">
        <f t="shared" si="14"/>
        <v>193.43</v>
      </c>
      <c r="O100" s="189">
        <f t="shared" si="15"/>
        <v>203.15</v>
      </c>
    </row>
    <row r="101" spans="1:15">
      <c r="A101" s="293" t="s">
        <v>218</v>
      </c>
      <c r="B101" s="294">
        <f t="shared" si="18"/>
        <v>8.8999999999999996E-2</v>
      </c>
      <c r="C101" s="295">
        <v>3.5</v>
      </c>
      <c r="D101" s="192" t="s">
        <v>29</v>
      </c>
      <c r="E101" s="296" t="s">
        <v>137</v>
      </c>
      <c r="F101" s="192" t="s">
        <v>122</v>
      </c>
      <c r="G101" s="297">
        <v>21.765999999999998</v>
      </c>
      <c r="H101" s="194">
        <f t="shared" si="19"/>
        <v>261.19</v>
      </c>
      <c r="I101" s="195">
        <f t="shared" si="16"/>
        <v>290.14</v>
      </c>
      <c r="J101" s="194">
        <f t="shared" si="11"/>
        <v>304.72000000000003</v>
      </c>
      <c r="K101" s="298">
        <v>0.10001516146965184</v>
      </c>
      <c r="L101" s="189">
        <f t="shared" si="12"/>
        <v>250.36</v>
      </c>
      <c r="M101" s="189">
        <f t="shared" si="13"/>
        <v>174.13</v>
      </c>
      <c r="N101" s="189">
        <f t="shared" si="14"/>
        <v>193.43</v>
      </c>
      <c r="O101" s="189">
        <f t="shared" si="15"/>
        <v>203.15</v>
      </c>
    </row>
    <row r="102" spans="1:15">
      <c r="A102" s="293" t="s">
        <v>218</v>
      </c>
      <c r="B102" s="294">
        <f t="shared" si="18"/>
        <v>8.8999999999999996E-2</v>
      </c>
      <c r="C102" s="295">
        <v>3.5</v>
      </c>
      <c r="D102" s="192" t="s">
        <v>29</v>
      </c>
      <c r="E102" s="296" t="s">
        <v>137</v>
      </c>
      <c r="F102" s="192" t="s">
        <v>83</v>
      </c>
      <c r="G102" s="297">
        <v>21.765999999999998</v>
      </c>
      <c r="H102" s="194">
        <f t="shared" si="19"/>
        <v>261.19</v>
      </c>
      <c r="I102" s="195">
        <f t="shared" si="16"/>
        <v>290.14</v>
      </c>
      <c r="J102" s="194">
        <f t="shared" si="11"/>
        <v>304.72000000000003</v>
      </c>
      <c r="K102" s="298">
        <v>0.10001516146965184</v>
      </c>
      <c r="L102" s="189">
        <f t="shared" si="12"/>
        <v>250.36</v>
      </c>
      <c r="M102" s="189">
        <f t="shared" si="13"/>
        <v>174.13</v>
      </c>
      <c r="N102" s="189">
        <f t="shared" si="14"/>
        <v>193.43</v>
      </c>
      <c r="O102" s="189">
        <f t="shared" si="15"/>
        <v>203.15</v>
      </c>
    </row>
    <row r="103" spans="1:15">
      <c r="A103" s="293" t="s">
        <v>218</v>
      </c>
      <c r="B103" s="294">
        <f t="shared" si="18"/>
        <v>8.8999999999999996E-2</v>
      </c>
      <c r="C103" s="295">
        <v>3.5</v>
      </c>
      <c r="D103" s="192" t="s">
        <v>29</v>
      </c>
      <c r="E103" s="296" t="s">
        <v>137</v>
      </c>
      <c r="F103" s="192" t="s">
        <v>183</v>
      </c>
      <c r="G103" s="297">
        <v>26.204000000000001</v>
      </c>
      <c r="H103" s="194">
        <f t="shared" si="19"/>
        <v>314.45</v>
      </c>
      <c r="I103" s="195">
        <f t="shared" si="16"/>
        <v>349.3</v>
      </c>
      <c r="J103" s="194">
        <f t="shared" si="11"/>
        <v>366.86</v>
      </c>
      <c r="K103" s="298">
        <v>7.9998351399249934E-2</v>
      </c>
      <c r="L103" s="189">
        <f t="shared" si="12"/>
        <v>301.41000000000003</v>
      </c>
      <c r="M103" s="189">
        <f t="shared" si="13"/>
        <v>209.63</v>
      </c>
      <c r="N103" s="189">
        <f t="shared" si="14"/>
        <v>232.87</v>
      </c>
      <c r="O103" s="189">
        <f t="shared" si="15"/>
        <v>244.57</v>
      </c>
    </row>
    <row r="104" spans="1:15">
      <c r="A104" s="293" t="s">
        <v>218</v>
      </c>
      <c r="B104" s="294">
        <f t="shared" si="17"/>
        <v>0.1</v>
      </c>
      <c r="C104" s="295">
        <v>4</v>
      </c>
      <c r="D104" s="192" t="s">
        <v>29</v>
      </c>
      <c r="E104" s="296" t="s">
        <v>137</v>
      </c>
      <c r="F104" s="192" t="s">
        <v>122</v>
      </c>
      <c r="G104" s="297">
        <v>22.163</v>
      </c>
      <c r="H104" s="194">
        <f t="shared" si="19"/>
        <v>265.95999999999998</v>
      </c>
      <c r="I104" s="195">
        <f t="shared" si="16"/>
        <v>295.43</v>
      </c>
      <c r="J104" s="194">
        <f t="shared" si="11"/>
        <v>310.27999999999997</v>
      </c>
      <c r="K104" s="298">
        <v>0.10000992654357765</v>
      </c>
      <c r="L104" s="189">
        <f t="shared" si="12"/>
        <v>254.94</v>
      </c>
      <c r="M104" s="189">
        <f t="shared" si="13"/>
        <v>177.31</v>
      </c>
      <c r="N104" s="189">
        <f t="shared" si="14"/>
        <v>196.95</v>
      </c>
      <c r="O104" s="189">
        <f t="shared" si="15"/>
        <v>206.85</v>
      </c>
    </row>
    <row r="105" spans="1:15">
      <c r="A105" s="293" t="s">
        <v>218</v>
      </c>
      <c r="B105" s="294">
        <f t="shared" si="17"/>
        <v>0.1</v>
      </c>
      <c r="C105" s="295">
        <v>4</v>
      </c>
      <c r="D105" s="192" t="s">
        <v>29</v>
      </c>
      <c r="E105" s="296" t="s">
        <v>137</v>
      </c>
      <c r="F105" s="192" t="s">
        <v>83</v>
      </c>
      <c r="G105" s="297">
        <v>22.492999999999999</v>
      </c>
      <c r="H105" s="194">
        <f t="shared" si="19"/>
        <v>269.92</v>
      </c>
      <c r="I105" s="195">
        <f t="shared" si="16"/>
        <v>299.83</v>
      </c>
      <c r="J105" s="194">
        <f t="shared" si="11"/>
        <v>314.89999999999998</v>
      </c>
      <c r="K105" s="298">
        <v>0.1000097809076681</v>
      </c>
      <c r="L105" s="189">
        <f t="shared" si="12"/>
        <v>258.73</v>
      </c>
      <c r="M105" s="189">
        <f t="shared" si="13"/>
        <v>179.95</v>
      </c>
      <c r="N105" s="189">
        <f t="shared" si="14"/>
        <v>199.89</v>
      </c>
      <c r="O105" s="189">
        <f t="shared" si="15"/>
        <v>209.93</v>
      </c>
    </row>
    <row r="106" spans="1:15">
      <c r="A106" s="293" t="s">
        <v>218</v>
      </c>
      <c r="B106" s="294">
        <f t="shared" si="17"/>
        <v>0.1</v>
      </c>
      <c r="C106" s="295">
        <v>4</v>
      </c>
      <c r="D106" s="192" t="s">
        <v>29</v>
      </c>
      <c r="E106" s="296" t="s">
        <v>137</v>
      </c>
      <c r="F106" s="192" t="s">
        <v>166</v>
      </c>
      <c r="G106" s="297">
        <v>25.609000000000002</v>
      </c>
      <c r="H106" s="194">
        <f t="shared" si="19"/>
        <v>307.31</v>
      </c>
      <c r="I106" s="195">
        <f t="shared" si="16"/>
        <v>341.37</v>
      </c>
      <c r="J106" s="194">
        <f t="shared" si="11"/>
        <v>358.53</v>
      </c>
      <c r="K106" s="298">
        <v>8.0001686909581649E-2</v>
      </c>
      <c r="L106" s="189">
        <f t="shared" si="12"/>
        <v>294.57</v>
      </c>
      <c r="M106" s="189">
        <f t="shared" si="13"/>
        <v>204.87</v>
      </c>
      <c r="N106" s="189">
        <f t="shared" si="14"/>
        <v>227.58</v>
      </c>
      <c r="O106" s="189">
        <f t="shared" si="15"/>
        <v>239.02</v>
      </c>
    </row>
    <row r="107" spans="1:15">
      <c r="A107" s="293" t="s">
        <v>218</v>
      </c>
      <c r="B107" s="294">
        <f t="shared" si="17"/>
        <v>0.13</v>
      </c>
      <c r="C107" s="295">
        <v>5</v>
      </c>
      <c r="D107" s="192" t="s">
        <v>29</v>
      </c>
      <c r="E107" s="296" t="s">
        <v>137</v>
      </c>
      <c r="F107" s="192" t="s">
        <v>166</v>
      </c>
      <c r="G107" s="297">
        <v>25.609000000000002</v>
      </c>
      <c r="H107" s="194">
        <f t="shared" si="19"/>
        <v>307.31</v>
      </c>
      <c r="I107" s="195">
        <f t="shared" si="16"/>
        <v>341.37</v>
      </c>
      <c r="J107" s="194">
        <f t="shared" si="11"/>
        <v>358.53</v>
      </c>
      <c r="K107" s="298">
        <v>8.0001686909581649E-2</v>
      </c>
      <c r="L107" s="189">
        <f t="shared" si="12"/>
        <v>294.57</v>
      </c>
      <c r="M107" s="189">
        <f t="shared" si="13"/>
        <v>204.87</v>
      </c>
      <c r="N107" s="189">
        <f t="shared" si="14"/>
        <v>227.58</v>
      </c>
      <c r="O107" s="189">
        <f t="shared" si="15"/>
        <v>239.02</v>
      </c>
    </row>
    <row r="108" spans="1:15">
      <c r="A108" s="293" t="s">
        <v>218</v>
      </c>
      <c r="B108" s="294">
        <f t="shared" si="17"/>
        <v>0.13</v>
      </c>
      <c r="C108" s="295">
        <v>5</v>
      </c>
      <c r="D108" s="192" t="s">
        <v>29</v>
      </c>
      <c r="E108" s="296" t="s">
        <v>137</v>
      </c>
      <c r="F108" s="192" t="s">
        <v>84</v>
      </c>
      <c r="G108" s="297">
        <v>22.492999999999999</v>
      </c>
      <c r="H108" s="194">
        <f t="shared" si="19"/>
        <v>269.92</v>
      </c>
      <c r="I108" s="195">
        <f t="shared" si="16"/>
        <v>299.83</v>
      </c>
      <c r="J108" s="194">
        <f t="shared" si="11"/>
        <v>314.89999999999998</v>
      </c>
      <c r="K108" s="298">
        <v>0.1000097809076681</v>
      </c>
      <c r="L108" s="189">
        <f t="shared" si="12"/>
        <v>258.73</v>
      </c>
      <c r="M108" s="189">
        <f t="shared" si="13"/>
        <v>179.95</v>
      </c>
      <c r="N108" s="189">
        <f t="shared" si="14"/>
        <v>199.89</v>
      </c>
      <c r="O108" s="189">
        <f t="shared" si="15"/>
        <v>209.93</v>
      </c>
    </row>
    <row r="109" spans="1:15">
      <c r="A109" s="293" t="s">
        <v>218</v>
      </c>
      <c r="B109" s="294">
        <f t="shared" si="17"/>
        <v>0.13</v>
      </c>
      <c r="C109" s="295">
        <v>5</v>
      </c>
      <c r="D109" s="192" t="s">
        <v>29</v>
      </c>
      <c r="E109" s="296" t="s">
        <v>137</v>
      </c>
      <c r="F109" s="192" t="s">
        <v>117</v>
      </c>
      <c r="G109" s="297">
        <v>25.23</v>
      </c>
      <c r="H109" s="194">
        <f t="shared" si="19"/>
        <v>302.76</v>
      </c>
      <c r="I109" s="195">
        <f t="shared" si="16"/>
        <v>336.32</v>
      </c>
      <c r="J109" s="194">
        <f t="shared" si="11"/>
        <v>353.22</v>
      </c>
      <c r="K109" s="298">
        <v>8.0005136766405638E-2</v>
      </c>
      <c r="L109" s="189">
        <f t="shared" si="12"/>
        <v>290.20999999999998</v>
      </c>
      <c r="M109" s="189">
        <f t="shared" si="13"/>
        <v>201.84</v>
      </c>
      <c r="N109" s="189">
        <f t="shared" si="14"/>
        <v>224.21</v>
      </c>
      <c r="O109" s="189">
        <f t="shared" si="15"/>
        <v>235.48</v>
      </c>
    </row>
    <row r="110" spans="1:15">
      <c r="A110" s="293" t="s">
        <v>218</v>
      </c>
      <c r="B110" s="294">
        <f t="shared" si="17"/>
        <v>0.13</v>
      </c>
      <c r="C110" s="295">
        <v>5</v>
      </c>
      <c r="D110" s="192" t="s">
        <v>29</v>
      </c>
      <c r="E110" s="296" t="s">
        <v>137</v>
      </c>
      <c r="F110" s="192" t="s">
        <v>86</v>
      </c>
      <c r="G110" s="297">
        <v>25.640999999999998</v>
      </c>
      <c r="H110" s="194">
        <f t="shared" si="19"/>
        <v>307.69</v>
      </c>
      <c r="I110" s="195">
        <f t="shared" si="16"/>
        <v>341.79</v>
      </c>
      <c r="J110" s="194">
        <f t="shared" si="11"/>
        <v>358.97</v>
      </c>
      <c r="K110" s="298">
        <v>7.9984836997725406E-2</v>
      </c>
      <c r="L110" s="189">
        <f t="shared" si="12"/>
        <v>294.93</v>
      </c>
      <c r="M110" s="189">
        <f t="shared" si="13"/>
        <v>205.13</v>
      </c>
      <c r="N110" s="189">
        <f t="shared" si="14"/>
        <v>227.86</v>
      </c>
      <c r="O110" s="189">
        <f t="shared" si="15"/>
        <v>239.31</v>
      </c>
    </row>
    <row r="111" spans="1:15">
      <c r="A111" s="293" t="s">
        <v>218</v>
      </c>
      <c r="B111" s="294">
        <f t="shared" si="17"/>
        <v>0.15</v>
      </c>
      <c r="C111" s="295">
        <v>6</v>
      </c>
      <c r="D111" s="192" t="s">
        <v>29</v>
      </c>
      <c r="E111" s="296" t="s">
        <v>137</v>
      </c>
      <c r="F111" s="192" t="s">
        <v>117</v>
      </c>
      <c r="G111" s="297">
        <v>25.46</v>
      </c>
      <c r="H111" s="194">
        <f t="shared" si="19"/>
        <v>305.52</v>
      </c>
      <c r="I111" s="195">
        <f t="shared" si="16"/>
        <v>339.38</v>
      </c>
      <c r="J111" s="194">
        <f t="shared" si="11"/>
        <v>356.44</v>
      </c>
      <c r="K111" s="298">
        <v>8.0003393569186398E-2</v>
      </c>
      <c r="L111" s="189">
        <f t="shared" si="12"/>
        <v>292.86</v>
      </c>
      <c r="M111" s="189">
        <f t="shared" si="13"/>
        <v>203.68</v>
      </c>
      <c r="N111" s="189">
        <f t="shared" si="14"/>
        <v>226.25</v>
      </c>
      <c r="O111" s="189">
        <f t="shared" si="15"/>
        <v>237.63</v>
      </c>
    </row>
    <row r="112" spans="1:15">
      <c r="A112" s="293" t="s">
        <v>218</v>
      </c>
      <c r="B112" s="294">
        <f t="shared" si="17"/>
        <v>0.15</v>
      </c>
      <c r="C112" s="295">
        <v>6</v>
      </c>
      <c r="D112" s="192" t="s">
        <v>29</v>
      </c>
      <c r="E112" s="296" t="s">
        <v>137</v>
      </c>
      <c r="F112" s="192" t="s">
        <v>86</v>
      </c>
      <c r="G112" s="297">
        <v>25.640999999999998</v>
      </c>
      <c r="H112" s="194">
        <f t="shared" si="19"/>
        <v>307.69</v>
      </c>
      <c r="I112" s="195">
        <f t="shared" si="16"/>
        <v>341.79</v>
      </c>
      <c r="J112" s="194">
        <f t="shared" si="11"/>
        <v>358.97</v>
      </c>
      <c r="K112" s="298">
        <v>7.9984836997725406E-2</v>
      </c>
      <c r="L112" s="189">
        <f t="shared" si="12"/>
        <v>294.93</v>
      </c>
      <c r="M112" s="189">
        <f t="shared" si="13"/>
        <v>205.13</v>
      </c>
      <c r="N112" s="189">
        <f t="shared" si="14"/>
        <v>227.86</v>
      </c>
      <c r="O112" s="189">
        <f t="shared" si="15"/>
        <v>239.31</v>
      </c>
    </row>
    <row r="113" spans="1:15">
      <c r="A113" s="293" t="s">
        <v>218</v>
      </c>
      <c r="B113" s="294">
        <f t="shared" si="17"/>
        <v>0.18</v>
      </c>
      <c r="C113" s="295">
        <v>7</v>
      </c>
      <c r="D113" s="192" t="s">
        <v>29</v>
      </c>
      <c r="E113" s="296" t="s">
        <v>137</v>
      </c>
      <c r="F113" s="192" t="s">
        <v>117</v>
      </c>
      <c r="G113" s="297">
        <v>26.375</v>
      </c>
      <c r="H113" s="194">
        <f t="shared" si="19"/>
        <v>316.5</v>
      </c>
      <c r="I113" s="195">
        <f t="shared" si="16"/>
        <v>351.58</v>
      </c>
      <c r="J113" s="194">
        <f t="shared" si="11"/>
        <v>369.25</v>
      </c>
      <c r="K113" s="298">
        <v>8.0013103476516134E-2</v>
      </c>
      <c r="L113" s="189">
        <f t="shared" si="12"/>
        <v>303.38</v>
      </c>
      <c r="M113" s="189">
        <f t="shared" si="13"/>
        <v>211</v>
      </c>
      <c r="N113" s="189">
        <f t="shared" si="14"/>
        <v>234.39</v>
      </c>
      <c r="O113" s="189">
        <f t="shared" si="15"/>
        <v>246.17</v>
      </c>
    </row>
    <row r="114" spans="1:15">
      <c r="A114" s="293" t="s">
        <v>218</v>
      </c>
      <c r="B114" s="294">
        <f t="shared" si="17"/>
        <v>0.2</v>
      </c>
      <c r="C114" s="295">
        <v>8</v>
      </c>
      <c r="D114" s="192" t="s">
        <v>29</v>
      </c>
      <c r="E114" s="296" t="s">
        <v>137</v>
      </c>
      <c r="F114" s="192" t="s">
        <v>87</v>
      </c>
      <c r="G114" s="297">
        <v>27.17</v>
      </c>
      <c r="H114" s="194">
        <f t="shared" si="19"/>
        <v>326.04000000000002</v>
      </c>
      <c r="I114" s="195">
        <f t="shared" si="16"/>
        <v>362.18</v>
      </c>
      <c r="J114" s="194">
        <f t="shared" si="11"/>
        <v>380.38</v>
      </c>
      <c r="K114" s="298">
        <v>8.0017490161784055E-2</v>
      </c>
      <c r="L114" s="189">
        <f t="shared" si="12"/>
        <v>312.52999999999997</v>
      </c>
      <c r="M114" s="189">
        <f t="shared" si="13"/>
        <v>217.36</v>
      </c>
      <c r="N114" s="189">
        <f t="shared" si="14"/>
        <v>241.45</v>
      </c>
      <c r="O114" s="189">
        <f t="shared" si="15"/>
        <v>253.59</v>
      </c>
    </row>
    <row r="115" spans="1:15">
      <c r="A115" s="293" t="s">
        <v>218</v>
      </c>
      <c r="B115" s="294">
        <f t="shared" si="17"/>
        <v>0.25</v>
      </c>
      <c r="C115" s="295">
        <v>10</v>
      </c>
      <c r="D115" s="192" t="s">
        <v>29</v>
      </c>
      <c r="E115" s="296" t="s">
        <v>137</v>
      </c>
      <c r="F115" s="192" t="s">
        <v>89</v>
      </c>
      <c r="G115" s="297">
        <v>26.016999999999999</v>
      </c>
      <c r="H115" s="194">
        <f t="shared" si="19"/>
        <v>312.2</v>
      </c>
      <c r="I115" s="195">
        <f t="shared" si="16"/>
        <v>346.81</v>
      </c>
      <c r="J115" s="194">
        <f t="shared" si="11"/>
        <v>364.24</v>
      </c>
      <c r="K115" s="298">
        <v>7.9991697799916883E-2</v>
      </c>
      <c r="L115" s="189">
        <f t="shared" si="12"/>
        <v>299.26</v>
      </c>
      <c r="M115" s="189">
        <f t="shared" si="13"/>
        <v>208.13</v>
      </c>
      <c r="N115" s="189">
        <f t="shared" si="14"/>
        <v>231.21</v>
      </c>
      <c r="O115" s="189">
        <f t="shared" si="15"/>
        <v>242.83</v>
      </c>
    </row>
    <row r="116" spans="1:15">
      <c r="A116" s="293" t="s">
        <v>218</v>
      </c>
      <c r="B116" s="294">
        <f t="shared" si="17"/>
        <v>0.3</v>
      </c>
      <c r="C116" s="295">
        <v>12</v>
      </c>
      <c r="D116" s="192" t="s">
        <v>29</v>
      </c>
      <c r="E116" s="296" t="s">
        <v>137</v>
      </c>
      <c r="F116" s="192" t="s">
        <v>167</v>
      </c>
      <c r="G116" s="297">
        <v>26.812999999999999</v>
      </c>
      <c r="H116" s="194">
        <f t="shared" si="19"/>
        <v>321.76</v>
      </c>
      <c r="I116" s="195">
        <f t="shared" si="16"/>
        <v>357.42</v>
      </c>
      <c r="J116" s="194">
        <f t="shared" si="11"/>
        <v>375.38</v>
      </c>
      <c r="K116" s="298">
        <v>0.10002051282051272</v>
      </c>
      <c r="L116" s="189">
        <f t="shared" si="12"/>
        <v>308.42</v>
      </c>
      <c r="M116" s="189">
        <f t="shared" si="13"/>
        <v>214.51</v>
      </c>
      <c r="N116" s="189">
        <f t="shared" si="14"/>
        <v>238.28</v>
      </c>
      <c r="O116" s="189">
        <f t="shared" si="15"/>
        <v>250.25</v>
      </c>
    </row>
    <row r="117" spans="1:15">
      <c r="A117" s="293" t="s">
        <v>218</v>
      </c>
      <c r="B117" s="294">
        <f t="shared" si="17"/>
        <v>0.38</v>
      </c>
      <c r="C117" s="295">
        <v>15</v>
      </c>
      <c r="D117" s="192" t="s">
        <v>29</v>
      </c>
      <c r="E117" s="296" t="s">
        <v>137</v>
      </c>
      <c r="F117" s="192" t="s">
        <v>90</v>
      </c>
      <c r="G117" s="297">
        <v>27.25</v>
      </c>
      <c r="H117" s="194">
        <f t="shared" si="19"/>
        <v>327</v>
      </c>
      <c r="I117" s="195">
        <f t="shared" si="16"/>
        <v>363.24</v>
      </c>
      <c r="J117" s="194">
        <f t="shared" si="11"/>
        <v>381.5</v>
      </c>
      <c r="K117" s="298">
        <v>9.9987890041577598E-2</v>
      </c>
      <c r="L117" s="189">
        <f t="shared" si="12"/>
        <v>313.45</v>
      </c>
      <c r="M117" s="189">
        <f t="shared" si="13"/>
        <v>218</v>
      </c>
      <c r="N117" s="189">
        <f t="shared" si="14"/>
        <v>242.16</v>
      </c>
      <c r="O117" s="189">
        <f t="shared" si="15"/>
        <v>254.33</v>
      </c>
    </row>
    <row r="118" spans="1:15">
      <c r="A118" s="293" t="s">
        <v>218</v>
      </c>
      <c r="B118" s="294">
        <f t="shared" si="17"/>
        <v>0.41</v>
      </c>
      <c r="C118" s="295">
        <v>16</v>
      </c>
      <c r="D118" s="192" t="s">
        <v>29</v>
      </c>
      <c r="E118" s="296" t="s">
        <v>137</v>
      </c>
      <c r="F118" s="192" t="s">
        <v>219</v>
      </c>
      <c r="G118" s="297">
        <v>35.832000000000001</v>
      </c>
      <c r="H118" s="194">
        <f t="shared" si="19"/>
        <v>429.98</v>
      </c>
      <c r="I118" s="195">
        <f t="shared" si="16"/>
        <v>477.64</v>
      </c>
      <c r="J118" s="194">
        <f t="shared" si="11"/>
        <v>501.65</v>
      </c>
      <c r="K118" s="298">
        <v>5.9992900248491354E-2</v>
      </c>
      <c r="L118" s="189">
        <f t="shared" si="12"/>
        <v>412.15</v>
      </c>
      <c r="M118" s="189">
        <f t="shared" si="13"/>
        <v>286.64999999999998</v>
      </c>
      <c r="N118" s="189">
        <f t="shared" si="14"/>
        <v>318.43</v>
      </c>
      <c r="O118" s="189">
        <f t="shared" si="15"/>
        <v>334.43</v>
      </c>
    </row>
    <row r="119" spans="1:15">
      <c r="A119" s="293" t="s">
        <v>218</v>
      </c>
      <c r="B119" s="294">
        <f t="shared" si="17"/>
        <v>0.41</v>
      </c>
      <c r="C119" s="295">
        <v>16</v>
      </c>
      <c r="D119" s="192" t="s">
        <v>29</v>
      </c>
      <c r="E119" s="296" t="s">
        <v>137</v>
      </c>
      <c r="F119" s="192" t="s">
        <v>219</v>
      </c>
      <c r="G119" s="297">
        <v>35.832000000000001</v>
      </c>
      <c r="H119" s="194">
        <f t="shared" si="19"/>
        <v>429.98</v>
      </c>
      <c r="I119" s="195">
        <f t="shared" si="16"/>
        <v>477.64</v>
      </c>
      <c r="J119" s="194">
        <f t="shared" si="11"/>
        <v>501.65</v>
      </c>
      <c r="K119" s="298">
        <v>5.9992900248491354E-2</v>
      </c>
      <c r="L119" s="189">
        <f t="shared" si="12"/>
        <v>412.15</v>
      </c>
      <c r="M119" s="189">
        <f t="shared" si="13"/>
        <v>286.64999999999998</v>
      </c>
      <c r="N119" s="189">
        <f t="shared" si="14"/>
        <v>318.43</v>
      </c>
      <c r="O119" s="189">
        <f t="shared" si="15"/>
        <v>334.43</v>
      </c>
    </row>
    <row r="120" spans="1:15">
      <c r="A120" s="293" t="s">
        <v>218</v>
      </c>
      <c r="B120" s="294">
        <f t="shared" si="17"/>
        <v>0.51</v>
      </c>
      <c r="C120" s="295">
        <v>20</v>
      </c>
      <c r="D120" s="192" t="s">
        <v>29</v>
      </c>
      <c r="E120" s="296" t="s">
        <v>137</v>
      </c>
      <c r="F120" s="192" t="s">
        <v>91</v>
      </c>
      <c r="G120" s="299">
        <v>42.972999999999999</v>
      </c>
      <c r="H120" s="194">
        <f t="shared" si="19"/>
        <v>515.67999999999995</v>
      </c>
      <c r="I120" s="195">
        <f t="shared" si="16"/>
        <v>572.83000000000004</v>
      </c>
      <c r="J120" s="194">
        <f t="shared" si="11"/>
        <v>601.62</v>
      </c>
      <c r="K120" s="298">
        <v>5.9988653461927388E-2</v>
      </c>
      <c r="L120" s="189">
        <f t="shared" si="12"/>
        <v>494.3</v>
      </c>
      <c r="M120" s="189">
        <f t="shared" si="13"/>
        <v>343.79</v>
      </c>
      <c r="N120" s="189">
        <f t="shared" si="14"/>
        <v>381.89</v>
      </c>
      <c r="O120" s="189">
        <f t="shared" si="15"/>
        <v>401.08</v>
      </c>
    </row>
    <row r="121" spans="1:15">
      <c r="A121" s="293" t="s">
        <v>218</v>
      </c>
      <c r="B121" s="294">
        <f t="shared" si="17"/>
        <v>0.51</v>
      </c>
      <c r="C121" s="295">
        <v>20</v>
      </c>
      <c r="D121" s="192" t="s">
        <v>29</v>
      </c>
      <c r="E121" s="296" t="s">
        <v>137</v>
      </c>
      <c r="F121" s="192" t="s">
        <v>91</v>
      </c>
      <c r="G121" s="297">
        <v>42.972999999999999</v>
      </c>
      <c r="H121" s="194">
        <f t="shared" si="19"/>
        <v>515.67999999999995</v>
      </c>
      <c r="I121" s="195">
        <f t="shared" si="16"/>
        <v>572.83000000000004</v>
      </c>
      <c r="J121" s="194">
        <f t="shared" si="11"/>
        <v>601.62</v>
      </c>
      <c r="K121" s="298">
        <v>5.9988653461927388E-2</v>
      </c>
      <c r="L121" s="189">
        <f t="shared" si="12"/>
        <v>494.3</v>
      </c>
      <c r="M121" s="189">
        <f t="shared" si="13"/>
        <v>343.79</v>
      </c>
      <c r="N121" s="189">
        <f t="shared" si="14"/>
        <v>381.89</v>
      </c>
      <c r="O121" s="189">
        <f t="shared" si="15"/>
        <v>401.08</v>
      </c>
    </row>
    <row r="122" spans="1:15">
      <c r="A122" s="293" t="s">
        <v>218</v>
      </c>
      <c r="B122" s="294">
        <f t="shared" si="17"/>
        <v>0.64</v>
      </c>
      <c r="C122" s="295">
        <v>25</v>
      </c>
      <c r="D122" s="192" t="s">
        <v>29</v>
      </c>
      <c r="E122" s="296" t="s">
        <v>137</v>
      </c>
      <c r="F122" s="192" t="s">
        <v>88</v>
      </c>
      <c r="G122" s="297">
        <v>52.185000000000002</v>
      </c>
      <c r="H122" s="194">
        <f t="shared" si="19"/>
        <v>626.22</v>
      </c>
      <c r="I122" s="195">
        <f t="shared" si="16"/>
        <v>695.63</v>
      </c>
      <c r="J122" s="194">
        <f t="shared" si="11"/>
        <v>730.59</v>
      </c>
      <c r="K122" s="298">
        <v>6.0002843736669975E-2</v>
      </c>
      <c r="L122" s="189">
        <f t="shared" si="12"/>
        <v>600.26</v>
      </c>
      <c r="M122" s="189">
        <f t="shared" si="13"/>
        <v>417.48</v>
      </c>
      <c r="N122" s="189">
        <f t="shared" si="14"/>
        <v>463.75</v>
      </c>
      <c r="O122" s="189">
        <f t="shared" si="15"/>
        <v>487.06</v>
      </c>
    </row>
    <row r="123" spans="1:15">
      <c r="A123" s="293" t="s">
        <v>218</v>
      </c>
      <c r="B123" s="294">
        <f t="shared" si="17"/>
        <v>0.76</v>
      </c>
      <c r="C123" s="295">
        <v>30</v>
      </c>
      <c r="D123" s="192" t="s">
        <v>29</v>
      </c>
      <c r="E123" s="296" t="s">
        <v>137</v>
      </c>
      <c r="F123" s="192" t="s">
        <v>131</v>
      </c>
      <c r="G123" s="297">
        <v>61.15</v>
      </c>
      <c r="H123" s="194">
        <f t="shared" si="19"/>
        <v>733.8</v>
      </c>
      <c r="I123" s="195">
        <f t="shared" si="16"/>
        <v>815.13</v>
      </c>
      <c r="J123" s="194">
        <f t="shared" si="11"/>
        <v>856.1</v>
      </c>
      <c r="K123" s="298">
        <v>5.9994106328762786E-2</v>
      </c>
      <c r="L123" s="189">
        <f t="shared" si="12"/>
        <v>703.38</v>
      </c>
      <c r="M123" s="189">
        <f t="shared" si="13"/>
        <v>489.2</v>
      </c>
      <c r="N123" s="189">
        <f t="shared" si="14"/>
        <v>543.41999999999996</v>
      </c>
      <c r="O123" s="189">
        <f t="shared" si="15"/>
        <v>570.73</v>
      </c>
    </row>
    <row r="124" spans="1:15">
      <c r="A124" s="293" t="s">
        <v>218</v>
      </c>
      <c r="B124" s="294">
        <f t="shared" si="17"/>
        <v>0.86</v>
      </c>
      <c r="C124" s="295">
        <v>34</v>
      </c>
      <c r="D124" s="192" t="s">
        <v>29</v>
      </c>
      <c r="E124" s="296" t="s">
        <v>137</v>
      </c>
      <c r="F124" s="192" t="s">
        <v>132</v>
      </c>
      <c r="G124" s="297">
        <v>68.307000000000002</v>
      </c>
      <c r="H124" s="194">
        <f t="shared" si="19"/>
        <v>819.68</v>
      </c>
      <c r="I124" s="195">
        <f t="shared" si="16"/>
        <v>910.53</v>
      </c>
      <c r="J124" s="194">
        <f t="shared" si="11"/>
        <v>956.3</v>
      </c>
      <c r="K124" s="298">
        <v>5.9992861687435006E-2</v>
      </c>
      <c r="L124" s="189">
        <f t="shared" si="12"/>
        <v>785.7</v>
      </c>
      <c r="M124" s="189">
        <f t="shared" si="13"/>
        <v>546.45000000000005</v>
      </c>
      <c r="N124" s="189">
        <f t="shared" si="14"/>
        <v>607.02</v>
      </c>
      <c r="O124" s="189">
        <f t="shared" si="15"/>
        <v>637.53</v>
      </c>
    </row>
    <row r="126" spans="1:15" ht="20.399999999999999" customHeight="1">
      <c r="A126" s="300" t="s">
        <v>221</v>
      </c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</row>
    <row r="127" spans="1:15" ht="21.6" customHeight="1">
      <c r="A127" s="301" t="s">
        <v>13</v>
      </c>
      <c r="B127" s="301" t="s">
        <v>31</v>
      </c>
      <c r="C127" s="301" t="s">
        <v>32</v>
      </c>
      <c r="D127" s="301" t="s">
        <v>33</v>
      </c>
      <c r="E127" s="301" t="s">
        <v>34</v>
      </c>
      <c r="F127" s="302" t="s">
        <v>35</v>
      </c>
      <c r="G127" s="301" t="s">
        <v>36</v>
      </c>
      <c r="H127" s="301" t="s">
        <v>37</v>
      </c>
      <c r="I127" s="303" t="s">
        <v>38</v>
      </c>
      <c r="J127" s="304"/>
      <c r="K127" s="305" t="s">
        <v>23</v>
      </c>
    </row>
    <row r="128" spans="1:15" ht="15.6" customHeight="1">
      <c r="A128" s="222" t="s">
        <v>222</v>
      </c>
      <c r="B128" s="222">
        <v>1027</v>
      </c>
      <c r="C128" s="306">
        <v>72</v>
      </c>
      <c r="D128" s="222" t="s">
        <v>40</v>
      </c>
      <c r="E128" s="307" t="s">
        <v>41</v>
      </c>
      <c r="F128" s="222">
        <v>3937</v>
      </c>
      <c r="G128" s="308">
        <v>6.4260000000000002</v>
      </c>
      <c r="H128" s="309">
        <f>ROUND(G128*13.124,2)</f>
        <v>84.33</v>
      </c>
      <c r="I128" s="310">
        <f t="shared" ref="I128:I163" si="20">ROUND(G128*F128,2)</f>
        <v>25299.16</v>
      </c>
      <c r="J128" s="311"/>
      <c r="K128" s="312">
        <v>0</v>
      </c>
      <c r="L128" s="313"/>
      <c r="M128" s="314"/>
      <c r="N128" s="313"/>
    </row>
    <row r="129" spans="1:14">
      <c r="A129" s="222" t="s">
        <v>222</v>
      </c>
      <c r="B129" s="222">
        <v>1037</v>
      </c>
      <c r="C129" s="306">
        <v>70</v>
      </c>
      <c r="D129" s="222" t="s">
        <v>40</v>
      </c>
      <c r="E129" s="307" t="s">
        <v>41</v>
      </c>
      <c r="F129" s="222">
        <v>3937</v>
      </c>
      <c r="G129" s="308">
        <v>6.0960000000000001</v>
      </c>
      <c r="H129" s="309">
        <f>ROUND(G129*13.124,2)</f>
        <v>80</v>
      </c>
      <c r="I129" s="310">
        <f t="shared" si="20"/>
        <v>23999.95</v>
      </c>
      <c r="J129" s="311"/>
      <c r="K129" s="312">
        <v>0</v>
      </c>
      <c r="L129" s="313"/>
      <c r="M129" s="314"/>
      <c r="N129" s="313"/>
    </row>
    <row r="130" spans="1:14">
      <c r="A130" s="222" t="s">
        <v>222</v>
      </c>
      <c r="B130" s="222">
        <v>1037</v>
      </c>
      <c r="C130" s="306">
        <v>74</v>
      </c>
      <c r="D130" s="222" t="s">
        <v>40</v>
      </c>
      <c r="E130" s="307" t="s">
        <v>41</v>
      </c>
      <c r="F130" s="222">
        <v>3937</v>
      </c>
      <c r="G130" s="308">
        <v>6.3250000000000002</v>
      </c>
      <c r="H130" s="309">
        <f t="shared" ref="H130:H163" si="21">ROUND(G130*13.124,2)</f>
        <v>83.01</v>
      </c>
      <c r="I130" s="310">
        <f t="shared" si="20"/>
        <v>24901.53</v>
      </c>
      <c r="J130" s="311"/>
      <c r="K130" s="312">
        <v>6.3245106409981489E-5</v>
      </c>
      <c r="L130" s="313"/>
      <c r="M130" s="314"/>
      <c r="N130" s="313"/>
    </row>
    <row r="131" spans="1:14">
      <c r="A131" s="222" t="s">
        <v>222</v>
      </c>
      <c r="B131" s="222">
        <v>1035</v>
      </c>
      <c r="C131" s="306">
        <v>70</v>
      </c>
      <c r="D131" s="222" t="s">
        <v>40</v>
      </c>
      <c r="E131" s="307" t="s">
        <v>41</v>
      </c>
      <c r="F131" s="222">
        <v>3937</v>
      </c>
      <c r="G131" s="308">
        <v>5.867</v>
      </c>
      <c r="H131" s="309">
        <f t="shared" si="21"/>
        <v>77</v>
      </c>
      <c r="I131" s="310">
        <f t="shared" si="20"/>
        <v>23098.38</v>
      </c>
      <c r="J131" s="311"/>
      <c r="K131" s="312">
        <v>-6.8173296519757898E-5</v>
      </c>
      <c r="L131" s="313"/>
      <c r="M131" s="314"/>
      <c r="N131" s="313"/>
    </row>
    <row r="132" spans="1:14">
      <c r="A132" s="222" t="s">
        <v>222</v>
      </c>
      <c r="B132" s="222">
        <v>1035</v>
      </c>
      <c r="C132" s="306">
        <v>72</v>
      </c>
      <c r="D132" s="222" t="s">
        <v>40</v>
      </c>
      <c r="E132" s="307" t="s">
        <v>41</v>
      </c>
      <c r="F132" s="222">
        <v>3937</v>
      </c>
      <c r="G132" s="308">
        <v>5.7649999999999997</v>
      </c>
      <c r="H132" s="309">
        <f t="shared" si="21"/>
        <v>75.66</v>
      </c>
      <c r="I132" s="310">
        <f t="shared" si="20"/>
        <v>22696.81</v>
      </c>
      <c r="J132" s="311"/>
      <c r="K132" s="312">
        <v>-5.2035453488974426E-5</v>
      </c>
      <c r="L132" s="313"/>
      <c r="M132" s="314"/>
      <c r="N132" s="313"/>
    </row>
    <row r="133" spans="1:14">
      <c r="A133" s="222" t="s">
        <v>222</v>
      </c>
      <c r="B133" s="222">
        <v>1035</v>
      </c>
      <c r="C133" s="306">
        <v>73</v>
      </c>
      <c r="D133" s="222" t="s">
        <v>40</v>
      </c>
      <c r="E133" s="307" t="s">
        <v>41</v>
      </c>
      <c r="F133" s="222">
        <v>3937</v>
      </c>
      <c r="G133" s="308">
        <v>5.944</v>
      </c>
      <c r="H133" s="309">
        <f t="shared" si="21"/>
        <v>78.010000000000005</v>
      </c>
      <c r="I133" s="310">
        <f t="shared" si="20"/>
        <v>23401.53</v>
      </c>
      <c r="J133" s="311"/>
      <c r="K133" s="312">
        <v>6.7299279897792275E-5</v>
      </c>
      <c r="L133" s="313"/>
      <c r="M133" s="314"/>
      <c r="N133" s="313"/>
    </row>
    <row r="134" spans="1:14">
      <c r="A134" s="222" t="s">
        <v>222</v>
      </c>
      <c r="B134" s="222">
        <v>1035</v>
      </c>
      <c r="C134" s="306">
        <v>75</v>
      </c>
      <c r="D134" s="222" t="s">
        <v>40</v>
      </c>
      <c r="E134" s="307" t="s">
        <v>41</v>
      </c>
      <c r="F134" s="222">
        <v>3937</v>
      </c>
      <c r="G134" s="308">
        <v>6.1340000000000003</v>
      </c>
      <c r="H134" s="309">
        <f t="shared" si="21"/>
        <v>80.5</v>
      </c>
      <c r="I134" s="310">
        <f t="shared" si="20"/>
        <v>24149.56</v>
      </c>
      <c r="J134" s="311"/>
      <c r="K134" s="312">
        <v>-1.6302310037241696E-5</v>
      </c>
      <c r="L134" s="313"/>
      <c r="M134" s="314"/>
      <c r="N134" s="313"/>
    </row>
    <row r="135" spans="1:14">
      <c r="A135" s="222" t="s">
        <v>222</v>
      </c>
      <c r="B135" s="222">
        <v>1035</v>
      </c>
      <c r="C135" s="306">
        <v>77</v>
      </c>
      <c r="D135" s="222" t="s">
        <v>40</v>
      </c>
      <c r="E135" s="307" t="s">
        <v>41</v>
      </c>
      <c r="F135" s="222">
        <v>3937</v>
      </c>
      <c r="G135" s="308">
        <v>6.2480000000000002</v>
      </c>
      <c r="H135" s="309">
        <f t="shared" si="21"/>
        <v>82</v>
      </c>
      <c r="I135" s="310">
        <f t="shared" si="20"/>
        <v>24598.38</v>
      </c>
      <c r="J135" s="311"/>
      <c r="K135" s="312">
        <v>-6.4016388195420326E-5</v>
      </c>
      <c r="L135" s="313"/>
      <c r="M135" s="314"/>
      <c r="N135" s="313"/>
    </row>
    <row r="136" spans="1:14">
      <c r="A136" s="222" t="s">
        <v>222</v>
      </c>
      <c r="B136" s="222">
        <v>106</v>
      </c>
      <c r="C136" s="306">
        <v>72</v>
      </c>
      <c r="D136" s="222" t="s">
        <v>40</v>
      </c>
      <c r="E136" s="307" t="s">
        <v>41</v>
      </c>
      <c r="F136" s="222">
        <v>3937</v>
      </c>
      <c r="G136" s="190">
        <v>4.7830000000000004</v>
      </c>
      <c r="H136" s="309">
        <f t="shared" si="21"/>
        <v>62.77</v>
      </c>
      <c r="I136" s="310">
        <f t="shared" si="20"/>
        <v>18830.669999999998</v>
      </c>
      <c r="J136" s="311"/>
      <c r="K136" s="312">
        <v>0</v>
      </c>
      <c r="L136" s="313"/>
      <c r="M136" s="314"/>
      <c r="N136" s="313"/>
    </row>
    <row r="137" spans="1:14">
      <c r="A137" s="222" t="s">
        <v>222</v>
      </c>
      <c r="B137" s="222">
        <v>106</v>
      </c>
      <c r="C137" s="306">
        <v>75</v>
      </c>
      <c r="D137" s="222" t="s">
        <v>40</v>
      </c>
      <c r="E137" s="307" t="s">
        <v>41</v>
      </c>
      <c r="F137" s="222">
        <v>3937</v>
      </c>
      <c r="G137" s="308">
        <v>4.8780000000000001</v>
      </c>
      <c r="H137" s="309">
        <f t="shared" si="21"/>
        <v>64.02</v>
      </c>
      <c r="I137" s="310">
        <f t="shared" si="20"/>
        <v>19204.689999999999</v>
      </c>
      <c r="J137" s="311"/>
      <c r="K137" s="312">
        <v>-6.149683291312158E-5</v>
      </c>
      <c r="L137" s="313"/>
      <c r="M137" s="314"/>
      <c r="N137" s="313"/>
    </row>
    <row r="138" spans="1:14">
      <c r="A138" s="222" t="s">
        <v>222</v>
      </c>
      <c r="B138" s="222">
        <v>106</v>
      </c>
      <c r="C138" s="306">
        <v>77</v>
      </c>
      <c r="D138" s="222" t="s">
        <v>40</v>
      </c>
      <c r="E138" s="307" t="s">
        <v>41</v>
      </c>
      <c r="F138" s="222">
        <v>3937</v>
      </c>
      <c r="G138" s="308">
        <v>5.1050000000000004</v>
      </c>
      <c r="H138" s="309">
        <f t="shared" si="21"/>
        <v>67</v>
      </c>
      <c r="I138" s="310">
        <f t="shared" si="20"/>
        <v>20098.39</v>
      </c>
      <c r="J138" s="311"/>
      <c r="K138" s="312">
        <v>-7.8348415403328708E-5</v>
      </c>
      <c r="L138" s="313"/>
      <c r="M138" s="314"/>
      <c r="N138" s="313"/>
    </row>
    <row r="139" spans="1:14">
      <c r="A139" s="222" t="s">
        <v>222</v>
      </c>
      <c r="B139" s="222">
        <v>1067</v>
      </c>
      <c r="C139" s="306">
        <v>71</v>
      </c>
      <c r="D139" s="222" t="s">
        <v>40</v>
      </c>
      <c r="E139" s="307" t="s">
        <v>41</v>
      </c>
      <c r="F139" s="222">
        <v>3937</v>
      </c>
      <c r="G139" s="308">
        <v>5.1820000000000004</v>
      </c>
      <c r="H139" s="309">
        <f t="shared" si="21"/>
        <v>68.010000000000005</v>
      </c>
      <c r="I139" s="310">
        <f t="shared" si="20"/>
        <v>20401.53</v>
      </c>
      <c r="J139" s="311"/>
      <c r="K139" s="312">
        <v>7.719623282387289E-5</v>
      </c>
      <c r="L139" s="313"/>
      <c r="M139" s="314"/>
      <c r="N139" s="313"/>
    </row>
    <row r="140" spans="1:14">
      <c r="A140" s="222" t="s">
        <v>222</v>
      </c>
      <c r="B140" s="189">
        <v>1067</v>
      </c>
      <c r="C140" s="224">
        <v>74</v>
      </c>
      <c r="D140" s="189" t="s">
        <v>40</v>
      </c>
      <c r="E140" s="225" t="s">
        <v>41</v>
      </c>
      <c r="F140" s="189">
        <v>3937</v>
      </c>
      <c r="G140" s="190">
        <v>5.4909999999999997</v>
      </c>
      <c r="H140" s="309">
        <f t="shared" si="21"/>
        <v>72.06</v>
      </c>
      <c r="I140" s="310">
        <f t="shared" si="20"/>
        <v>21618.07</v>
      </c>
      <c r="J140" s="311"/>
      <c r="K140" s="312">
        <v>0</v>
      </c>
      <c r="L140" s="313"/>
      <c r="M140" s="314"/>
      <c r="N140" s="313"/>
    </row>
    <row r="141" spans="1:14">
      <c r="A141" s="222" t="s">
        <v>222</v>
      </c>
      <c r="B141" s="222">
        <v>1078</v>
      </c>
      <c r="C141" s="306">
        <v>65</v>
      </c>
      <c r="D141" s="222" t="s">
        <v>40</v>
      </c>
      <c r="E141" s="307" t="s">
        <v>41</v>
      </c>
      <c r="F141" s="222">
        <v>3937</v>
      </c>
      <c r="G141" s="308">
        <v>5.3339999999999996</v>
      </c>
      <c r="H141" s="309">
        <f t="shared" si="21"/>
        <v>70</v>
      </c>
      <c r="I141" s="310">
        <f t="shared" si="20"/>
        <v>20999.96</v>
      </c>
      <c r="J141" s="311"/>
      <c r="K141" s="312">
        <v>0</v>
      </c>
      <c r="L141" s="313"/>
      <c r="M141" s="314"/>
      <c r="N141" s="313"/>
    </row>
    <row r="142" spans="1:14">
      <c r="A142" s="222" t="s">
        <v>222</v>
      </c>
      <c r="B142" s="222">
        <v>1078</v>
      </c>
      <c r="C142" s="306">
        <v>68</v>
      </c>
      <c r="D142" s="222" t="s">
        <v>40</v>
      </c>
      <c r="E142" s="307" t="s">
        <v>41</v>
      </c>
      <c r="F142" s="222">
        <v>3937</v>
      </c>
      <c r="G142" s="308">
        <v>5.4859999999999998</v>
      </c>
      <c r="H142" s="309">
        <f t="shared" si="21"/>
        <v>72</v>
      </c>
      <c r="I142" s="310">
        <f t="shared" si="20"/>
        <v>21598.38</v>
      </c>
      <c r="J142" s="311"/>
      <c r="K142" s="312">
        <v>-7.2907553222534283E-5</v>
      </c>
      <c r="L142" s="313"/>
      <c r="M142" s="314"/>
      <c r="N142" s="313"/>
    </row>
    <row r="143" spans="1:14">
      <c r="A143" s="222" t="s">
        <v>222</v>
      </c>
      <c r="B143" s="222">
        <v>1078</v>
      </c>
      <c r="C143" s="306">
        <v>71</v>
      </c>
      <c r="D143" s="222" t="s">
        <v>40</v>
      </c>
      <c r="E143" s="307" t="s">
        <v>41</v>
      </c>
      <c r="F143" s="222">
        <v>3937</v>
      </c>
      <c r="G143" s="308">
        <v>5.5629999999999997</v>
      </c>
      <c r="H143" s="309">
        <f t="shared" si="21"/>
        <v>73.010000000000005</v>
      </c>
      <c r="I143" s="310">
        <f t="shared" si="20"/>
        <v>21901.53</v>
      </c>
      <c r="J143" s="311"/>
      <c r="K143" s="312">
        <v>7.1908819616828268E-5</v>
      </c>
      <c r="L143" s="313"/>
      <c r="M143" s="314"/>
      <c r="N143" s="313"/>
    </row>
    <row r="144" spans="1:14">
      <c r="A144" s="222" t="s">
        <v>222</v>
      </c>
      <c r="B144" s="222">
        <v>1078</v>
      </c>
      <c r="C144" s="306">
        <v>72</v>
      </c>
      <c r="D144" s="222" t="s">
        <v>40</v>
      </c>
      <c r="E144" s="307" t="s">
        <v>41</v>
      </c>
      <c r="F144" s="222">
        <v>3937</v>
      </c>
      <c r="G144" s="308">
        <v>5.6390000000000002</v>
      </c>
      <c r="H144" s="309">
        <f t="shared" si="21"/>
        <v>74.010000000000005</v>
      </c>
      <c r="I144" s="310">
        <f t="shared" si="20"/>
        <v>22200.74</v>
      </c>
      <c r="J144" s="311"/>
      <c r="K144" s="312">
        <v>3.5468539405725252E-5</v>
      </c>
      <c r="L144" s="313"/>
      <c r="M144" s="314"/>
      <c r="N144" s="313"/>
    </row>
    <row r="145" spans="1:14">
      <c r="A145" s="222" t="s">
        <v>222</v>
      </c>
      <c r="B145" s="222">
        <v>1078</v>
      </c>
      <c r="C145" s="306">
        <v>73</v>
      </c>
      <c r="D145" s="222" t="s">
        <v>40</v>
      </c>
      <c r="E145" s="307" t="s">
        <v>41</v>
      </c>
      <c r="F145" s="222">
        <v>3937</v>
      </c>
      <c r="G145" s="308">
        <v>5.6390000000000002</v>
      </c>
      <c r="H145" s="309">
        <f t="shared" si="21"/>
        <v>74.010000000000005</v>
      </c>
      <c r="I145" s="310">
        <f t="shared" si="20"/>
        <v>22200.74</v>
      </c>
      <c r="J145" s="311"/>
      <c r="K145" s="312">
        <v>3.5468539405725252E-5</v>
      </c>
      <c r="L145" s="313"/>
      <c r="M145" s="314"/>
      <c r="N145" s="313"/>
    </row>
    <row r="146" spans="1:14">
      <c r="A146" s="222" t="s">
        <v>222</v>
      </c>
      <c r="B146" s="222">
        <v>1080</v>
      </c>
      <c r="C146" s="306">
        <v>64</v>
      </c>
      <c r="D146" s="222" t="s">
        <v>40</v>
      </c>
      <c r="E146" s="307" t="s">
        <v>41</v>
      </c>
      <c r="F146" s="222">
        <v>3937</v>
      </c>
      <c r="G146" s="308">
        <v>5.2590000000000003</v>
      </c>
      <c r="H146" s="309">
        <f t="shared" si="21"/>
        <v>69.02</v>
      </c>
      <c r="I146" s="310">
        <f t="shared" si="20"/>
        <v>20704.68</v>
      </c>
      <c r="J146" s="311"/>
      <c r="K146" s="312">
        <v>0</v>
      </c>
      <c r="L146" s="313"/>
      <c r="M146" s="314"/>
      <c r="N146" s="313"/>
    </row>
    <row r="147" spans="1:14">
      <c r="A147" s="222" t="s">
        <v>222</v>
      </c>
      <c r="B147" s="222">
        <v>1080</v>
      </c>
      <c r="C147" s="306">
        <v>65</v>
      </c>
      <c r="D147" s="222" t="s">
        <v>40</v>
      </c>
      <c r="E147" s="307" t="s">
        <v>41</v>
      </c>
      <c r="F147" s="222">
        <v>3937</v>
      </c>
      <c r="G147" s="308">
        <v>5.2590000000000003</v>
      </c>
      <c r="H147" s="309">
        <f t="shared" si="21"/>
        <v>69.02</v>
      </c>
      <c r="I147" s="310">
        <f t="shared" si="20"/>
        <v>20704.68</v>
      </c>
      <c r="J147" s="311"/>
      <c r="K147" s="312">
        <v>0</v>
      </c>
      <c r="L147" s="313"/>
      <c r="M147" s="314"/>
      <c r="N147" s="313"/>
    </row>
    <row r="148" spans="1:14">
      <c r="A148" s="222" t="s">
        <v>222</v>
      </c>
      <c r="B148" s="222">
        <v>1080</v>
      </c>
      <c r="C148" s="306">
        <v>68</v>
      </c>
      <c r="D148" s="222" t="s">
        <v>40</v>
      </c>
      <c r="E148" s="307" t="s">
        <v>41</v>
      </c>
      <c r="F148" s="222">
        <v>3937</v>
      </c>
      <c r="G148" s="308">
        <v>5.3369999999999997</v>
      </c>
      <c r="H148" s="309">
        <f t="shared" si="21"/>
        <v>70.040000000000006</v>
      </c>
      <c r="I148" s="310">
        <f t="shared" si="20"/>
        <v>21011.77</v>
      </c>
      <c r="J148" s="311"/>
      <c r="K148" s="312">
        <v>0</v>
      </c>
      <c r="L148" s="313"/>
      <c r="M148" s="314"/>
      <c r="N148" s="313"/>
    </row>
    <row r="149" spans="1:14">
      <c r="A149" s="222" t="s">
        <v>222</v>
      </c>
      <c r="B149" s="222">
        <v>1080</v>
      </c>
      <c r="C149" s="306">
        <v>70</v>
      </c>
      <c r="D149" s="222" t="s">
        <v>40</v>
      </c>
      <c r="E149" s="307" t="s">
        <v>41</v>
      </c>
      <c r="F149" s="222">
        <v>3937</v>
      </c>
      <c r="G149" s="308">
        <v>5.4550000000000001</v>
      </c>
      <c r="H149" s="309">
        <f t="shared" si="21"/>
        <v>71.59</v>
      </c>
      <c r="I149" s="310">
        <f t="shared" si="20"/>
        <v>21476.34</v>
      </c>
      <c r="J149" s="311"/>
      <c r="K149" s="312">
        <v>0</v>
      </c>
      <c r="L149" s="313"/>
      <c r="M149" s="314"/>
      <c r="N149" s="313"/>
    </row>
    <row r="150" spans="1:14">
      <c r="A150" s="222" t="s">
        <v>222</v>
      </c>
      <c r="B150" s="222">
        <v>1080</v>
      </c>
      <c r="C150" s="306">
        <v>71</v>
      </c>
      <c r="D150" s="222" t="s">
        <v>40</v>
      </c>
      <c r="E150" s="307" t="s">
        <v>41</v>
      </c>
      <c r="F150" s="222">
        <v>3937</v>
      </c>
      <c r="G150" s="308">
        <v>5.3259999999999996</v>
      </c>
      <c r="H150" s="309">
        <f t="shared" si="21"/>
        <v>69.900000000000006</v>
      </c>
      <c r="I150" s="310">
        <f t="shared" si="20"/>
        <v>20968.46</v>
      </c>
      <c r="J150" s="311"/>
      <c r="K150" s="312">
        <v>9.995869475423369E-2</v>
      </c>
      <c r="L150" s="313"/>
      <c r="M150" s="314"/>
      <c r="N150" s="313"/>
    </row>
    <row r="151" spans="1:14">
      <c r="A151" s="222" t="s">
        <v>222</v>
      </c>
      <c r="B151" s="222">
        <v>1080</v>
      </c>
      <c r="C151" s="306">
        <v>72</v>
      </c>
      <c r="D151" s="222" t="s">
        <v>40</v>
      </c>
      <c r="E151" s="307" t="s">
        <v>41</v>
      </c>
      <c r="F151" s="222">
        <v>3937</v>
      </c>
      <c r="G151" s="308">
        <v>5.4550000000000001</v>
      </c>
      <c r="H151" s="309">
        <f t="shared" si="21"/>
        <v>71.59</v>
      </c>
      <c r="I151" s="310">
        <f t="shared" si="20"/>
        <v>21476.34</v>
      </c>
      <c r="J151" s="311"/>
      <c r="K151" s="312">
        <v>0</v>
      </c>
      <c r="L151" s="313"/>
      <c r="M151" s="314"/>
      <c r="N151" s="313"/>
    </row>
    <row r="152" spans="1:14">
      <c r="A152" s="222" t="s">
        <v>222</v>
      </c>
      <c r="B152" s="222">
        <v>1080</v>
      </c>
      <c r="C152" s="306">
        <v>73</v>
      </c>
      <c r="D152" s="222" t="s">
        <v>40</v>
      </c>
      <c r="E152" s="307" t="s">
        <v>41</v>
      </c>
      <c r="F152" s="222">
        <v>3937</v>
      </c>
      <c r="G152" s="308">
        <v>5.4550000000000001</v>
      </c>
      <c r="H152" s="309">
        <f t="shared" si="21"/>
        <v>71.59</v>
      </c>
      <c r="I152" s="310">
        <f t="shared" si="20"/>
        <v>21476.34</v>
      </c>
      <c r="J152" s="311"/>
      <c r="K152" s="312">
        <v>0</v>
      </c>
      <c r="L152" s="313"/>
      <c r="M152" s="314"/>
      <c r="N152" s="313"/>
    </row>
    <row r="153" spans="1:14">
      <c r="A153" s="222" t="s">
        <v>222</v>
      </c>
      <c r="B153" s="222">
        <v>1080</v>
      </c>
      <c r="C153" s="306">
        <v>75</v>
      </c>
      <c r="D153" s="222" t="s">
        <v>40</v>
      </c>
      <c r="E153" s="307" t="s">
        <v>41</v>
      </c>
      <c r="F153" s="222">
        <v>3937</v>
      </c>
      <c r="G153" s="308">
        <v>6.4569999999999999</v>
      </c>
      <c r="H153" s="309">
        <f t="shared" si="21"/>
        <v>84.74</v>
      </c>
      <c r="I153" s="310">
        <f t="shared" si="20"/>
        <v>25421.21</v>
      </c>
      <c r="J153" s="311"/>
      <c r="K153" s="312">
        <v>0</v>
      </c>
      <c r="L153" s="313"/>
      <c r="M153" s="314"/>
      <c r="N153" s="313"/>
    </row>
    <row r="154" spans="1:14">
      <c r="A154" s="222" t="s">
        <v>222</v>
      </c>
      <c r="B154" s="222" t="s">
        <v>42</v>
      </c>
      <c r="C154" s="306">
        <v>54</v>
      </c>
      <c r="D154" s="222" t="s">
        <v>40</v>
      </c>
      <c r="E154" s="307" t="s">
        <v>41</v>
      </c>
      <c r="F154" s="222">
        <v>3937</v>
      </c>
      <c r="G154" s="308">
        <v>6.2480000000000002</v>
      </c>
      <c r="H154" s="309">
        <f t="shared" si="21"/>
        <v>82</v>
      </c>
      <c r="I154" s="310">
        <f t="shared" si="20"/>
        <v>24598.38</v>
      </c>
      <c r="J154" s="311"/>
      <c r="K154" s="312">
        <v>-6.4016388195420326E-5</v>
      </c>
      <c r="L154" s="313"/>
      <c r="M154" s="314"/>
      <c r="N154" s="313"/>
    </row>
    <row r="155" spans="1:14">
      <c r="A155" s="222" t="s">
        <v>222</v>
      </c>
      <c r="B155" s="222" t="s">
        <v>42</v>
      </c>
      <c r="C155" s="306">
        <v>56.999999999999993</v>
      </c>
      <c r="D155" s="222" t="s">
        <v>40</v>
      </c>
      <c r="E155" s="307" t="s">
        <v>41</v>
      </c>
      <c r="F155" s="222">
        <v>3937</v>
      </c>
      <c r="G155" s="308">
        <v>5.5250000000000004</v>
      </c>
      <c r="H155" s="309">
        <f t="shared" si="21"/>
        <v>72.510000000000005</v>
      </c>
      <c r="I155" s="310">
        <f t="shared" si="20"/>
        <v>21751.93</v>
      </c>
      <c r="J155" s="311"/>
      <c r="K155" s="312">
        <v>0</v>
      </c>
      <c r="L155" s="313"/>
      <c r="M155" s="314"/>
      <c r="N155" s="313"/>
    </row>
    <row r="156" spans="1:14">
      <c r="A156" s="222" t="s">
        <v>222</v>
      </c>
      <c r="B156" s="222" t="s">
        <v>42</v>
      </c>
      <c r="C156" s="306">
        <v>59</v>
      </c>
      <c r="D156" s="222" t="s">
        <v>40</v>
      </c>
      <c r="E156" s="307" t="s">
        <v>41</v>
      </c>
      <c r="F156" s="222">
        <v>3937</v>
      </c>
      <c r="G156" s="308">
        <v>6.23</v>
      </c>
      <c r="H156" s="309">
        <f t="shared" si="21"/>
        <v>81.760000000000005</v>
      </c>
      <c r="I156" s="310">
        <f t="shared" si="20"/>
        <v>24527.51</v>
      </c>
      <c r="J156" s="311"/>
      <c r="K156" s="312">
        <v>-1.6051106723757869E-5</v>
      </c>
      <c r="L156" s="313"/>
      <c r="M156" s="314"/>
      <c r="N156" s="313"/>
    </row>
    <row r="157" spans="1:14">
      <c r="A157" s="222" t="s">
        <v>222</v>
      </c>
      <c r="B157" s="222" t="s">
        <v>42</v>
      </c>
      <c r="C157" s="306">
        <v>60</v>
      </c>
      <c r="D157" s="222" t="s">
        <v>40</v>
      </c>
      <c r="E157" s="307" t="s">
        <v>41</v>
      </c>
      <c r="F157" s="222">
        <v>3937</v>
      </c>
      <c r="G157" s="308">
        <v>6.5529999999999999</v>
      </c>
      <c r="H157" s="309">
        <f t="shared" si="21"/>
        <v>86</v>
      </c>
      <c r="I157" s="310">
        <f t="shared" si="20"/>
        <v>25799.16</v>
      </c>
      <c r="J157" s="311"/>
      <c r="K157" s="312">
        <v>-3.0519440883947091E-5</v>
      </c>
      <c r="L157" s="313"/>
      <c r="M157" s="314"/>
      <c r="N157" s="313"/>
    </row>
    <row r="158" spans="1:14">
      <c r="A158" s="222" t="s">
        <v>222</v>
      </c>
      <c r="B158" s="222" t="s">
        <v>42</v>
      </c>
      <c r="C158" s="306">
        <v>61</v>
      </c>
      <c r="D158" s="222" t="s">
        <v>40</v>
      </c>
      <c r="E158" s="307" t="s">
        <v>41</v>
      </c>
      <c r="F158" s="222">
        <v>3937</v>
      </c>
      <c r="G158" s="308">
        <v>5.7039999999999997</v>
      </c>
      <c r="H158" s="309">
        <f t="shared" si="21"/>
        <v>74.86</v>
      </c>
      <c r="I158" s="310">
        <f t="shared" si="20"/>
        <v>22456.65</v>
      </c>
      <c r="J158" s="311"/>
      <c r="K158" s="312">
        <v>0</v>
      </c>
      <c r="L158" s="313"/>
      <c r="M158" s="314"/>
      <c r="N158" s="313"/>
    </row>
    <row r="159" spans="1:14">
      <c r="A159" s="222" t="s">
        <v>222</v>
      </c>
      <c r="B159" s="222">
        <v>2116</v>
      </c>
      <c r="C159" s="306">
        <v>54</v>
      </c>
      <c r="D159" s="222" t="s">
        <v>43</v>
      </c>
      <c r="E159" s="307" t="s">
        <v>41</v>
      </c>
      <c r="F159" s="222">
        <v>2624.6</v>
      </c>
      <c r="G159" s="308">
        <v>6.6289999999999996</v>
      </c>
      <c r="H159" s="309">
        <f t="shared" si="21"/>
        <v>87</v>
      </c>
      <c r="I159" s="310">
        <f t="shared" si="20"/>
        <v>17398.47</v>
      </c>
      <c r="J159" s="311"/>
      <c r="K159" s="312">
        <v>-6.0337285425648979E-5</v>
      </c>
      <c r="L159" s="313"/>
      <c r="M159" s="314"/>
      <c r="N159" s="313"/>
    </row>
    <row r="160" spans="1:14">
      <c r="A160" s="222" t="s">
        <v>222</v>
      </c>
      <c r="B160" s="222">
        <v>2116</v>
      </c>
      <c r="C160" s="306">
        <v>55.000000000000007</v>
      </c>
      <c r="D160" s="222" t="s">
        <v>43</v>
      </c>
      <c r="E160" s="307" t="s">
        <v>41</v>
      </c>
      <c r="F160" s="222">
        <v>2624.6</v>
      </c>
      <c r="G160" s="308">
        <v>6.5590000000000002</v>
      </c>
      <c r="H160" s="309">
        <f t="shared" si="21"/>
        <v>86.08</v>
      </c>
      <c r="I160" s="310">
        <f t="shared" si="20"/>
        <v>17214.75</v>
      </c>
      <c r="J160" s="311"/>
      <c r="K160" s="312">
        <v>6.0988625621316572E-5</v>
      </c>
      <c r="L160" s="313"/>
      <c r="M160" s="314"/>
      <c r="N160" s="313"/>
    </row>
    <row r="161" spans="1:14">
      <c r="A161" s="222" t="s">
        <v>222</v>
      </c>
      <c r="B161" s="222">
        <v>2116</v>
      </c>
      <c r="C161" s="306">
        <v>56.999999999999993</v>
      </c>
      <c r="D161" s="222" t="s">
        <v>43</v>
      </c>
      <c r="E161" s="307" t="s">
        <v>41</v>
      </c>
      <c r="F161" s="222">
        <v>2624.6</v>
      </c>
      <c r="G161" s="308">
        <v>6.782</v>
      </c>
      <c r="H161" s="309">
        <f t="shared" si="21"/>
        <v>89.01</v>
      </c>
      <c r="I161" s="310">
        <f t="shared" si="20"/>
        <v>17800.04</v>
      </c>
      <c r="J161" s="311"/>
      <c r="K161" s="312">
        <v>2.9490695685474577E-5</v>
      </c>
      <c r="L161" s="313"/>
      <c r="M161" s="314"/>
      <c r="N161" s="313"/>
    </row>
    <row r="162" spans="1:14">
      <c r="A162" s="222" t="s">
        <v>222</v>
      </c>
      <c r="B162" s="222">
        <v>2116</v>
      </c>
      <c r="C162" s="306">
        <v>59</v>
      </c>
      <c r="D162" s="222" t="s">
        <v>43</v>
      </c>
      <c r="E162" s="307" t="s">
        <v>41</v>
      </c>
      <c r="F162" s="222">
        <v>2624.6</v>
      </c>
      <c r="G162" s="308">
        <v>5.8570000000000002</v>
      </c>
      <c r="H162" s="309">
        <f t="shared" si="21"/>
        <v>76.87</v>
      </c>
      <c r="I162" s="310">
        <f t="shared" si="20"/>
        <v>15372.28</v>
      </c>
      <c r="J162" s="311"/>
      <c r="K162" s="312">
        <v>8.0029503964595294E-2</v>
      </c>
      <c r="L162" s="313"/>
      <c r="M162" s="314"/>
      <c r="N162" s="313"/>
    </row>
    <row r="163" spans="1:14">
      <c r="A163" s="222" t="s">
        <v>222</v>
      </c>
      <c r="B163" s="222">
        <v>2116</v>
      </c>
      <c r="C163" s="306">
        <v>60</v>
      </c>
      <c r="D163" s="222" t="s">
        <v>43</v>
      </c>
      <c r="E163" s="307" t="s">
        <v>41</v>
      </c>
      <c r="F163" s="222">
        <v>2624.6</v>
      </c>
      <c r="G163" s="308">
        <v>5.8570000000000002</v>
      </c>
      <c r="H163" s="309">
        <f t="shared" si="21"/>
        <v>76.87</v>
      </c>
      <c r="I163" s="310">
        <f t="shared" si="20"/>
        <v>15372.28</v>
      </c>
      <c r="J163" s="311"/>
      <c r="K163" s="312">
        <v>8.0029503964595294E-2</v>
      </c>
      <c r="L163" s="313"/>
      <c r="M163" s="314"/>
      <c r="N163" s="313"/>
    </row>
    <row r="165" spans="1:14" ht="15.6">
      <c r="A165" s="235" t="s">
        <v>45</v>
      </c>
      <c r="B165" s="235"/>
      <c r="C165" s="315"/>
      <c r="D165" s="315"/>
      <c r="E165" s="315"/>
      <c r="F165" s="315"/>
      <c r="G165" s="315"/>
      <c r="H165" s="315"/>
      <c r="I165" s="315"/>
      <c r="J165" s="315"/>
      <c r="K165" s="316"/>
    </row>
    <row r="166" spans="1:14" ht="15.6">
      <c r="A166" s="315" t="s">
        <v>46</v>
      </c>
      <c r="B166" s="315"/>
      <c r="C166" s="315"/>
      <c r="D166" s="315"/>
      <c r="E166" s="315"/>
      <c r="F166" s="315"/>
      <c r="G166" s="315"/>
      <c r="H166" s="315"/>
      <c r="I166" s="315"/>
      <c r="J166" s="315"/>
      <c r="K166" s="316"/>
    </row>
    <row r="167" spans="1:14" ht="15.6">
      <c r="A167" s="317" t="s">
        <v>223</v>
      </c>
      <c r="B167" s="317"/>
      <c r="C167" s="315"/>
      <c r="D167" s="315"/>
      <c r="E167" s="315"/>
      <c r="F167" s="315"/>
      <c r="G167" s="315"/>
      <c r="H167" s="315"/>
      <c r="I167" s="315"/>
      <c r="J167" s="315"/>
      <c r="K167" s="316"/>
    </row>
    <row r="168" spans="1:14" ht="15.6">
      <c r="A168" s="317" t="s">
        <v>224</v>
      </c>
      <c r="B168" s="317"/>
      <c r="C168" s="315"/>
      <c r="D168" s="315"/>
      <c r="E168" s="315"/>
      <c r="F168" s="315"/>
      <c r="G168" s="315"/>
      <c r="H168" s="315"/>
      <c r="I168" s="315"/>
      <c r="J168" s="315"/>
      <c r="K168" s="316"/>
    </row>
    <row r="169" spans="1:14" ht="15.6">
      <c r="A169" s="317" t="s">
        <v>225</v>
      </c>
      <c r="B169" s="317"/>
      <c r="C169" s="315"/>
      <c r="D169" s="315"/>
      <c r="E169" s="315"/>
      <c r="F169" s="315"/>
      <c r="G169" s="315"/>
      <c r="H169" s="315"/>
      <c r="I169" s="315"/>
      <c r="J169" s="315"/>
      <c r="K169" s="316"/>
    </row>
    <row r="170" spans="1:14" ht="15.6">
      <c r="A170" s="317" t="s">
        <v>226</v>
      </c>
      <c r="B170" s="317"/>
      <c r="C170" s="315"/>
      <c r="D170" s="315"/>
      <c r="E170" s="315"/>
      <c r="F170" s="315"/>
      <c r="G170" s="315"/>
      <c r="H170" s="315"/>
      <c r="I170" s="315"/>
      <c r="J170" s="315"/>
      <c r="K170" s="316"/>
    </row>
    <row r="171" spans="1:14" ht="15.6">
      <c r="A171" s="317" t="s">
        <v>227</v>
      </c>
      <c r="B171" s="317"/>
      <c r="C171" s="315"/>
      <c r="D171" s="315"/>
      <c r="E171" s="315"/>
      <c r="F171" s="315"/>
      <c r="G171" s="315"/>
      <c r="H171" s="315"/>
      <c r="I171" s="315"/>
      <c r="J171" s="315"/>
      <c r="K171" s="316"/>
    </row>
    <row r="172" spans="1:14" ht="15.6">
      <c r="A172" s="317" t="s">
        <v>228</v>
      </c>
      <c r="B172" s="317"/>
      <c r="C172" s="315"/>
      <c r="D172" s="315"/>
      <c r="E172" s="315"/>
      <c r="F172" s="315"/>
      <c r="G172" s="315"/>
      <c r="H172" s="315"/>
      <c r="I172" s="315"/>
      <c r="J172" s="315"/>
      <c r="K172" s="316"/>
    </row>
    <row r="173" spans="1:14" ht="15.6">
      <c r="A173" s="318" t="s">
        <v>229</v>
      </c>
      <c r="B173" s="318"/>
      <c r="C173" s="315"/>
      <c r="D173" s="315"/>
      <c r="E173" s="315"/>
      <c r="F173" s="315"/>
      <c r="G173" s="315"/>
      <c r="H173" s="315"/>
      <c r="I173" s="315"/>
      <c r="J173" s="315"/>
      <c r="K173" s="316"/>
    </row>
    <row r="174" spans="1:14" ht="14.4">
      <c r="A174" s="319" t="s">
        <v>230</v>
      </c>
      <c r="B174" s="319"/>
      <c r="C174" s="320"/>
      <c r="D174" s="320"/>
      <c r="E174" s="320"/>
      <c r="F174" s="320"/>
      <c r="G174" s="320"/>
      <c r="H174" s="320"/>
      <c r="I174" s="320"/>
      <c r="J174" s="320"/>
      <c r="K174" s="320"/>
    </row>
    <row r="175" spans="1:14" ht="14.4">
      <c r="A175" s="319" t="s">
        <v>231</v>
      </c>
      <c r="B175" s="319"/>
      <c r="C175" s="320"/>
      <c r="D175" s="320"/>
      <c r="E175" s="320"/>
      <c r="F175" s="320"/>
      <c r="G175" s="320"/>
      <c r="H175" s="320"/>
      <c r="I175" s="320"/>
      <c r="J175" s="320"/>
      <c r="K175" s="320"/>
    </row>
    <row r="176" spans="1:14" ht="14.4">
      <c r="A176" s="319"/>
      <c r="B176" s="319"/>
      <c r="C176" s="320"/>
      <c r="D176" s="320"/>
      <c r="E176" s="320"/>
      <c r="F176" s="320"/>
      <c r="G176" s="320"/>
      <c r="H176" s="320"/>
      <c r="I176" s="320"/>
      <c r="J176" s="320"/>
      <c r="K176" s="320"/>
    </row>
    <row r="177" spans="1:12" ht="15.6">
      <c r="A177" s="321" t="s">
        <v>52</v>
      </c>
      <c r="B177" s="321"/>
      <c r="C177" s="321"/>
      <c r="D177" s="322"/>
      <c r="E177" s="322"/>
      <c r="F177" s="322"/>
      <c r="G177" s="322"/>
      <c r="H177" s="322"/>
      <c r="I177" s="322"/>
      <c r="J177" s="322"/>
      <c r="K177" s="323" t="s">
        <v>53</v>
      </c>
      <c r="L177" s="322"/>
    </row>
  </sheetData>
  <mergeCells count="44">
    <mergeCell ref="I162:J162"/>
    <mergeCell ref="I163:J163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A126:L126"/>
    <mergeCell ref="I127:J127"/>
    <mergeCell ref="I128:J128"/>
    <mergeCell ref="I129:J129"/>
    <mergeCell ref="I130:J130"/>
    <mergeCell ref="I131:J131"/>
    <mergeCell ref="C1:L1"/>
    <mergeCell ref="A2:L2"/>
    <mergeCell ref="A3:L3"/>
    <mergeCell ref="A4:L4"/>
    <mergeCell ref="A5:L5"/>
    <mergeCell ref="A11:L11"/>
  </mergeCells>
  <phoneticPr fontId="18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3C2F-15A2-420F-B13C-86B0E171487C}">
  <dimension ref="A1:O182"/>
  <sheetViews>
    <sheetView workbookViewId="0">
      <selection activeCell="T15" sqref="T15"/>
    </sheetView>
  </sheetViews>
  <sheetFormatPr defaultColWidth="9" defaultRowHeight="13.8"/>
  <cols>
    <col min="1" max="11" width="8.09765625" style="280" customWidth="1"/>
    <col min="12" max="15" width="0" style="280" hidden="1" customWidth="1"/>
    <col min="16" max="16384" width="9" style="280"/>
  </cols>
  <sheetData>
    <row r="1" spans="1:15" ht="16.350000000000001" customHeight="1">
      <c r="C1" s="281"/>
      <c r="D1" s="281"/>
      <c r="E1" s="281"/>
      <c r="F1" s="281"/>
      <c r="G1" s="281"/>
      <c r="H1" s="281"/>
      <c r="I1" s="281"/>
      <c r="J1" s="281"/>
      <c r="K1" s="281"/>
    </row>
    <row r="2" spans="1:15" ht="74.400000000000006" customHeight="1">
      <c r="A2" s="282"/>
      <c r="B2" s="282"/>
      <c r="C2" s="282"/>
      <c r="D2" s="282"/>
      <c r="E2" s="282"/>
      <c r="F2" s="282"/>
      <c r="G2" s="282"/>
      <c r="H2" s="282"/>
      <c r="I2" s="282"/>
      <c r="J2" s="282"/>
      <c r="K2" s="282"/>
    </row>
    <row r="3" spans="1:15" ht="19.8" customHeight="1">
      <c r="A3" s="283" t="s">
        <v>0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</row>
    <row r="4" spans="1:15" ht="15" customHeight="1">
      <c r="A4" s="284" t="s">
        <v>1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</row>
    <row r="5" spans="1:15" ht="15" customHeight="1">
      <c r="A5" s="285" t="s">
        <v>2</v>
      </c>
      <c r="B5" s="285"/>
      <c r="C5" s="285"/>
      <c r="D5" s="285"/>
      <c r="E5" s="285"/>
      <c r="F5" s="285"/>
      <c r="G5" s="285"/>
      <c r="H5" s="285"/>
      <c r="I5" s="285"/>
      <c r="J5" s="285"/>
      <c r="K5" s="285"/>
    </row>
    <row r="6" spans="1:15" ht="15" customHeight="1">
      <c r="A6" s="235" t="s">
        <v>3</v>
      </c>
      <c r="B6" s="235" t="s">
        <v>4</v>
      </c>
      <c r="D6" s="286"/>
      <c r="E6" s="286"/>
      <c r="F6" s="286"/>
      <c r="G6" s="286"/>
      <c r="H6" s="286"/>
      <c r="I6" s="235" t="s">
        <v>5</v>
      </c>
      <c r="J6" s="235"/>
      <c r="K6" s="235"/>
    </row>
    <row r="7" spans="1:15" ht="15" customHeight="1">
      <c r="A7" s="235"/>
      <c r="B7" s="235" t="s">
        <v>6</v>
      </c>
      <c r="D7" s="286"/>
      <c r="E7" s="286"/>
      <c r="F7" s="286"/>
      <c r="G7" s="286"/>
      <c r="H7" s="286"/>
      <c r="I7" s="236" t="s">
        <v>7</v>
      </c>
      <c r="J7" s="236"/>
      <c r="K7" s="236"/>
    </row>
    <row r="8" spans="1:15" ht="15" customHeight="1">
      <c r="A8" s="235" t="s">
        <v>8</v>
      </c>
      <c r="B8" s="235" t="s">
        <v>9</v>
      </c>
      <c r="D8" s="286"/>
      <c r="E8" s="286"/>
      <c r="F8" s="286"/>
      <c r="G8" s="286"/>
      <c r="H8" s="286"/>
      <c r="I8" s="236" t="s">
        <v>80</v>
      </c>
      <c r="J8" s="236"/>
      <c r="K8" s="236"/>
    </row>
    <row r="9" spans="1:15" ht="15" customHeight="1">
      <c r="A9" s="235"/>
      <c r="B9" s="235" t="s">
        <v>10</v>
      </c>
      <c r="D9" s="286"/>
      <c r="E9" s="286"/>
      <c r="F9" s="286"/>
      <c r="G9" s="286"/>
      <c r="H9" s="286"/>
      <c r="I9" s="287" t="s">
        <v>11</v>
      </c>
      <c r="J9" s="235"/>
      <c r="K9" s="235"/>
    </row>
    <row r="10" spans="1:15" ht="15" customHeight="1">
      <c r="A10" s="235"/>
      <c r="B10" s="235"/>
      <c r="C10" s="286"/>
      <c r="D10" s="286"/>
      <c r="E10" s="286"/>
      <c r="F10" s="286"/>
      <c r="G10" s="286"/>
      <c r="H10" s="286"/>
      <c r="I10" s="288"/>
      <c r="J10" s="236"/>
      <c r="K10" s="236"/>
    </row>
    <row r="11" spans="1:15" ht="28.2" customHeight="1">
      <c r="A11" s="324" t="s">
        <v>232</v>
      </c>
      <c r="B11" s="324"/>
      <c r="C11" s="324"/>
      <c r="D11" s="324"/>
      <c r="E11" s="324"/>
      <c r="F11" s="324"/>
      <c r="G11" s="324"/>
      <c r="H11" s="324"/>
      <c r="I11" s="324"/>
      <c r="J11" s="324"/>
      <c r="K11" s="324"/>
    </row>
    <row r="12" spans="1:15" ht="25.8" customHeight="1">
      <c r="A12" s="292" t="s">
        <v>13</v>
      </c>
      <c r="B12" s="290" t="s">
        <v>14</v>
      </c>
      <c r="C12" s="292" t="s">
        <v>15</v>
      </c>
      <c r="D12" s="292" t="s">
        <v>16</v>
      </c>
      <c r="E12" s="292" t="s">
        <v>17</v>
      </c>
      <c r="F12" s="292" t="s">
        <v>18</v>
      </c>
      <c r="G12" s="292" t="s">
        <v>19</v>
      </c>
      <c r="H12" s="292" t="s">
        <v>20</v>
      </c>
      <c r="I12" s="292" t="s">
        <v>21</v>
      </c>
      <c r="J12" s="292" t="s">
        <v>22</v>
      </c>
      <c r="K12" s="292" t="s">
        <v>23</v>
      </c>
      <c r="L12" s="291" t="s">
        <v>72</v>
      </c>
      <c r="M12" s="292" t="s">
        <v>73</v>
      </c>
      <c r="N12" s="292" t="s">
        <v>74</v>
      </c>
      <c r="O12" s="292" t="s">
        <v>75</v>
      </c>
    </row>
    <row r="13" spans="1:15">
      <c r="A13" s="293" t="s">
        <v>233</v>
      </c>
      <c r="B13" s="294">
        <f>ROUND(C13*0.0254,3)</f>
        <v>5.0999999999999997E-2</v>
      </c>
      <c r="C13" s="295">
        <v>2</v>
      </c>
      <c r="D13" s="189" t="s">
        <v>25</v>
      </c>
      <c r="E13" s="222" t="s">
        <v>234</v>
      </c>
      <c r="F13" s="325" t="s">
        <v>217</v>
      </c>
      <c r="G13" s="297">
        <v>12.96</v>
      </c>
      <c r="H13" s="194">
        <f>ROUND(G13*12,2)</f>
        <v>155.52000000000001</v>
      </c>
      <c r="I13" s="195">
        <f>ROUND(G13*13.33,2)</f>
        <v>172.76</v>
      </c>
      <c r="J13" s="194">
        <f>ROUND(G13*14,2)</f>
        <v>181.44</v>
      </c>
      <c r="K13" s="326">
        <v>8.0000000000000071E-2</v>
      </c>
      <c r="L13" s="189">
        <f>ROUND(ROUND(ROUND(G13*12,2)*43/48,2)*1.07,2)</f>
        <v>149.07</v>
      </c>
      <c r="M13" s="189">
        <f>ROUND(ROUND(G13*12,2)*2/3,2)</f>
        <v>103.68</v>
      </c>
      <c r="N13" s="189">
        <f>ROUND(ROUND(G13*13.33,2)*2/3,2)</f>
        <v>115.17</v>
      </c>
      <c r="O13" s="189">
        <f>ROUND(ROUND(G13*14,2)*2/3,2)</f>
        <v>120.96</v>
      </c>
    </row>
    <row r="14" spans="1:15">
      <c r="A14" s="293" t="s">
        <v>233</v>
      </c>
      <c r="B14" s="294">
        <f t="shared" ref="B14:B21" si="0">ROUND(C14*0.0254,3)</f>
        <v>5.0999999999999997E-2</v>
      </c>
      <c r="C14" s="295">
        <v>2</v>
      </c>
      <c r="D14" s="189" t="s">
        <v>25</v>
      </c>
      <c r="E14" s="222" t="s">
        <v>234</v>
      </c>
      <c r="F14" s="325" t="s">
        <v>120</v>
      </c>
      <c r="G14" s="297">
        <v>12.96</v>
      </c>
      <c r="H14" s="194">
        <f t="shared" ref="H14:H99" si="1">ROUND(G14*12,2)</f>
        <v>155.52000000000001</v>
      </c>
      <c r="I14" s="195">
        <f t="shared" ref="I14:I81" si="2">ROUND(G14*13.33,2)</f>
        <v>172.76</v>
      </c>
      <c r="J14" s="194">
        <f t="shared" ref="J14:J79" si="3">ROUND(G14*14,2)</f>
        <v>181.44</v>
      </c>
      <c r="K14" s="326">
        <v>8.0000000000000071E-2</v>
      </c>
      <c r="L14" s="189">
        <f t="shared" ref="L14:L79" si="4">ROUND(ROUND(ROUND(G14*12,2)*43/48,2)*1.07,2)</f>
        <v>149.07</v>
      </c>
      <c r="M14" s="189">
        <f t="shared" ref="M14:M79" si="5">ROUND(ROUND(G14*12,2)*2/3,2)</f>
        <v>103.68</v>
      </c>
      <c r="N14" s="189">
        <f t="shared" ref="N14:N79" si="6">ROUND(ROUND(G14*13.33,2)*2/3,2)</f>
        <v>115.17</v>
      </c>
      <c r="O14" s="189">
        <f t="shared" ref="O14:O79" si="7">ROUND(ROUND(G14*14,2)*2/3,2)</f>
        <v>120.96</v>
      </c>
    </row>
    <row r="15" spans="1:15">
      <c r="A15" s="293" t="s">
        <v>235</v>
      </c>
      <c r="B15" s="294">
        <f t="shared" si="0"/>
        <v>6.4000000000000001E-2</v>
      </c>
      <c r="C15" s="295">
        <v>2.5</v>
      </c>
      <c r="D15" s="296" t="s">
        <v>25</v>
      </c>
      <c r="E15" s="222" t="s">
        <v>234</v>
      </c>
      <c r="F15" s="296" t="s">
        <v>217</v>
      </c>
      <c r="G15" s="297">
        <v>14.356</v>
      </c>
      <c r="H15" s="194">
        <f t="shared" si="1"/>
        <v>172.27</v>
      </c>
      <c r="I15" s="195">
        <f t="shared" si="2"/>
        <v>191.37</v>
      </c>
      <c r="J15" s="194">
        <f t="shared" si="3"/>
        <v>200.98</v>
      </c>
      <c r="K15" s="326">
        <v>6.9985838861146288E-2</v>
      </c>
      <c r="L15" s="189">
        <f t="shared" si="4"/>
        <v>165.13</v>
      </c>
      <c r="M15" s="189">
        <f t="shared" si="5"/>
        <v>114.85</v>
      </c>
      <c r="N15" s="189">
        <f t="shared" si="6"/>
        <v>127.58</v>
      </c>
      <c r="O15" s="189">
        <f t="shared" si="7"/>
        <v>133.99</v>
      </c>
    </row>
    <row r="16" spans="1:15">
      <c r="A16" s="293" t="s">
        <v>233</v>
      </c>
      <c r="B16" s="294">
        <f t="shared" si="0"/>
        <v>7.5999999999999998E-2</v>
      </c>
      <c r="C16" s="295">
        <v>3</v>
      </c>
      <c r="D16" s="189" t="s">
        <v>25</v>
      </c>
      <c r="E16" s="222" t="s">
        <v>234</v>
      </c>
      <c r="F16" s="325" t="s">
        <v>81</v>
      </c>
      <c r="G16" s="297">
        <v>12.869</v>
      </c>
      <c r="H16" s="194">
        <f t="shared" si="1"/>
        <v>154.43</v>
      </c>
      <c r="I16" s="195">
        <f t="shared" si="2"/>
        <v>171.54</v>
      </c>
      <c r="J16" s="194">
        <f t="shared" si="3"/>
        <v>180.17</v>
      </c>
      <c r="K16" s="326">
        <v>7.0009146087968821E-2</v>
      </c>
      <c r="L16" s="189">
        <f t="shared" si="4"/>
        <v>148.02000000000001</v>
      </c>
      <c r="M16" s="189">
        <f t="shared" si="5"/>
        <v>102.95</v>
      </c>
      <c r="N16" s="189">
        <f t="shared" si="6"/>
        <v>114.36</v>
      </c>
      <c r="O16" s="189">
        <f t="shared" si="7"/>
        <v>120.11</v>
      </c>
    </row>
    <row r="17" spans="1:15">
      <c r="A17" s="293" t="s">
        <v>233</v>
      </c>
      <c r="B17" s="294">
        <f t="shared" si="0"/>
        <v>7.5999999999999998E-2</v>
      </c>
      <c r="C17" s="295">
        <v>3</v>
      </c>
      <c r="D17" s="189" t="s">
        <v>25</v>
      </c>
      <c r="E17" s="222" t="s">
        <v>234</v>
      </c>
      <c r="F17" s="325" t="s">
        <v>122</v>
      </c>
      <c r="G17" s="297">
        <v>12.805999999999999</v>
      </c>
      <c r="H17" s="194">
        <f t="shared" si="1"/>
        <v>153.66999999999999</v>
      </c>
      <c r="I17" s="195">
        <f t="shared" si="2"/>
        <v>170.7</v>
      </c>
      <c r="J17" s="194">
        <f t="shared" si="3"/>
        <v>179.28</v>
      </c>
      <c r="K17" s="326">
        <v>6.0011588444665254E-2</v>
      </c>
      <c r="L17" s="189">
        <f t="shared" si="4"/>
        <v>147.30000000000001</v>
      </c>
      <c r="M17" s="189">
        <f t="shared" si="5"/>
        <v>102.45</v>
      </c>
      <c r="N17" s="189">
        <f t="shared" si="6"/>
        <v>113.8</v>
      </c>
      <c r="O17" s="189">
        <f t="shared" si="7"/>
        <v>119.52</v>
      </c>
    </row>
    <row r="18" spans="1:15">
      <c r="A18" s="293" t="s">
        <v>235</v>
      </c>
      <c r="B18" s="294">
        <f t="shared" si="0"/>
        <v>8.1000000000000003E-2</v>
      </c>
      <c r="C18" s="295">
        <v>3.2</v>
      </c>
      <c r="D18" s="296" t="s">
        <v>25</v>
      </c>
      <c r="E18" s="222" t="s">
        <v>234</v>
      </c>
      <c r="F18" s="296" t="s">
        <v>183</v>
      </c>
      <c r="G18" s="297">
        <v>18.300999999999998</v>
      </c>
      <c r="H18" s="194">
        <f t="shared" si="1"/>
        <v>219.61</v>
      </c>
      <c r="I18" s="195">
        <f t="shared" si="2"/>
        <v>243.95</v>
      </c>
      <c r="J18" s="194">
        <f t="shared" si="3"/>
        <v>256.20999999999998</v>
      </c>
      <c r="K18" s="326">
        <v>6.9983629560336658E-2</v>
      </c>
      <c r="L18" s="189">
        <f t="shared" si="4"/>
        <v>210.5</v>
      </c>
      <c r="M18" s="189">
        <f t="shared" si="5"/>
        <v>146.41</v>
      </c>
      <c r="N18" s="189">
        <f t="shared" si="6"/>
        <v>162.63</v>
      </c>
      <c r="O18" s="189">
        <f t="shared" si="7"/>
        <v>170.81</v>
      </c>
    </row>
    <row r="19" spans="1:15">
      <c r="A19" s="293" t="s">
        <v>235</v>
      </c>
      <c r="B19" s="294">
        <f t="shared" si="0"/>
        <v>8.8999999999999996E-2</v>
      </c>
      <c r="C19" s="295">
        <v>3.5</v>
      </c>
      <c r="D19" s="189" t="s">
        <v>25</v>
      </c>
      <c r="E19" s="222" t="s">
        <v>234</v>
      </c>
      <c r="F19" s="325" t="s">
        <v>122</v>
      </c>
      <c r="G19" s="297">
        <v>12.927</v>
      </c>
      <c r="H19" s="194">
        <f t="shared" si="1"/>
        <v>155.12</v>
      </c>
      <c r="I19" s="195">
        <f t="shared" si="2"/>
        <v>172.32</v>
      </c>
      <c r="J19" s="194">
        <f t="shared" si="3"/>
        <v>180.98</v>
      </c>
      <c r="K19" s="326">
        <v>7.0027315619567876E-2</v>
      </c>
      <c r="L19" s="189">
        <f t="shared" si="4"/>
        <v>148.69</v>
      </c>
      <c r="M19" s="189">
        <f t="shared" si="5"/>
        <v>103.41</v>
      </c>
      <c r="N19" s="189">
        <f t="shared" si="6"/>
        <v>114.88</v>
      </c>
      <c r="O19" s="189">
        <f t="shared" si="7"/>
        <v>120.65</v>
      </c>
    </row>
    <row r="20" spans="1:15">
      <c r="A20" s="293" t="s">
        <v>233</v>
      </c>
      <c r="B20" s="294">
        <f t="shared" si="0"/>
        <v>8.8999999999999996E-2</v>
      </c>
      <c r="C20" s="295">
        <v>3.5</v>
      </c>
      <c r="D20" s="189" t="s">
        <v>25</v>
      </c>
      <c r="E20" s="222" t="s">
        <v>234</v>
      </c>
      <c r="F20" s="325" t="s">
        <v>83</v>
      </c>
      <c r="G20" s="297">
        <v>12.805999999999999</v>
      </c>
      <c r="H20" s="194">
        <f t="shared" si="1"/>
        <v>153.66999999999999</v>
      </c>
      <c r="I20" s="195">
        <f t="shared" si="2"/>
        <v>170.7</v>
      </c>
      <c r="J20" s="194">
        <f t="shared" si="3"/>
        <v>179.28</v>
      </c>
      <c r="K20" s="326">
        <v>6.0011588444665254E-2</v>
      </c>
      <c r="L20" s="189">
        <f t="shared" si="4"/>
        <v>147.30000000000001</v>
      </c>
      <c r="M20" s="189">
        <f t="shared" si="5"/>
        <v>102.45</v>
      </c>
      <c r="N20" s="189">
        <f t="shared" si="6"/>
        <v>113.8</v>
      </c>
      <c r="O20" s="189">
        <f t="shared" si="7"/>
        <v>119.52</v>
      </c>
    </row>
    <row r="21" spans="1:15">
      <c r="A21" s="293" t="s">
        <v>233</v>
      </c>
      <c r="B21" s="294">
        <f t="shared" si="0"/>
        <v>8.8999999999999996E-2</v>
      </c>
      <c r="C21" s="295">
        <v>3.5</v>
      </c>
      <c r="D21" s="189" t="s">
        <v>25</v>
      </c>
      <c r="E21" s="222" t="s">
        <v>234</v>
      </c>
      <c r="F21" s="325" t="s">
        <v>183</v>
      </c>
      <c r="G21" s="297">
        <v>18.736000000000001</v>
      </c>
      <c r="H21" s="194">
        <f t="shared" si="1"/>
        <v>224.83</v>
      </c>
      <c r="I21" s="195">
        <f t="shared" si="2"/>
        <v>249.75</v>
      </c>
      <c r="J21" s="194">
        <f t="shared" si="3"/>
        <v>262.3</v>
      </c>
      <c r="K21" s="326">
        <v>7.0017133066818893E-2</v>
      </c>
      <c r="L21" s="189">
        <f t="shared" si="4"/>
        <v>215.51</v>
      </c>
      <c r="M21" s="189">
        <f t="shared" si="5"/>
        <v>149.88999999999999</v>
      </c>
      <c r="N21" s="189">
        <f t="shared" si="6"/>
        <v>166.5</v>
      </c>
      <c r="O21" s="189">
        <f t="shared" si="7"/>
        <v>174.87</v>
      </c>
    </row>
    <row r="22" spans="1:15">
      <c r="A22" s="293" t="s">
        <v>233</v>
      </c>
      <c r="B22" s="294">
        <f t="shared" ref="B22:B76" si="8">ROUND(C22*0.0254,2)</f>
        <v>0.1</v>
      </c>
      <c r="C22" s="295">
        <v>4</v>
      </c>
      <c r="D22" s="189" t="s">
        <v>25</v>
      </c>
      <c r="E22" s="222" t="s">
        <v>234</v>
      </c>
      <c r="F22" s="325" t="s">
        <v>83</v>
      </c>
      <c r="G22" s="297">
        <v>13.452</v>
      </c>
      <c r="H22" s="194">
        <f t="shared" si="1"/>
        <v>161.41999999999999</v>
      </c>
      <c r="I22" s="195">
        <f t="shared" si="2"/>
        <v>179.32</v>
      </c>
      <c r="J22" s="194">
        <f t="shared" si="3"/>
        <v>188.33</v>
      </c>
      <c r="K22" s="326">
        <v>6.9996818326439669E-2</v>
      </c>
      <c r="L22" s="189">
        <f t="shared" si="4"/>
        <v>154.72999999999999</v>
      </c>
      <c r="M22" s="189">
        <f t="shared" si="5"/>
        <v>107.61</v>
      </c>
      <c r="N22" s="189">
        <f t="shared" si="6"/>
        <v>119.55</v>
      </c>
      <c r="O22" s="189">
        <f t="shared" si="7"/>
        <v>125.55</v>
      </c>
    </row>
    <row r="23" spans="1:15">
      <c r="A23" s="293" t="s">
        <v>233</v>
      </c>
      <c r="B23" s="294">
        <f t="shared" si="8"/>
        <v>0.1</v>
      </c>
      <c r="C23" s="295">
        <v>4</v>
      </c>
      <c r="D23" s="189" t="s">
        <v>25</v>
      </c>
      <c r="E23" s="222" t="s">
        <v>234</v>
      </c>
      <c r="F23" s="325" t="s">
        <v>166</v>
      </c>
      <c r="G23" s="297">
        <v>16.745000000000001</v>
      </c>
      <c r="H23" s="194">
        <f t="shared" si="1"/>
        <v>200.94</v>
      </c>
      <c r="I23" s="195">
        <f t="shared" si="2"/>
        <v>223.21</v>
      </c>
      <c r="J23" s="194">
        <f t="shared" si="3"/>
        <v>234.43</v>
      </c>
      <c r="K23" s="326">
        <v>6.0011394568588949E-2</v>
      </c>
      <c r="L23" s="189">
        <f t="shared" si="4"/>
        <v>192.61</v>
      </c>
      <c r="M23" s="189">
        <f t="shared" si="5"/>
        <v>133.96</v>
      </c>
      <c r="N23" s="189">
        <f t="shared" si="6"/>
        <v>148.81</v>
      </c>
      <c r="O23" s="189">
        <f t="shared" si="7"/>
        <v>156.29</v>
      </c>
    </row>
    <row r="24" spans="1:15">
      <c r="A24" s="293" t="s">
        <v>233</v>
      </c>
      <c r="B24" s="294">
        <f t="shared" si="8"/>
        <v>0.11</v>
      </c>
      <c r="C24" s="295">
        <v>4.5</v>
      </c>
      <c r="D24" s="189" t="s">
        <v>25</v>
      </c>
      <c r="E24" s="222" t="s">
        <v>234</v>
      </c>
      <c r="F24" s="325" t="s">
        <v>85</v>
      </c>
      <c r="G24" s="297">
        <v>16.902999999999999</v>
      </c>
      <c r="H24" s="194">
        <f t="shared" si="1"/>
        <v>202.84</v>
      </c>
      <c r="I24" s="195">
        <f t="shared" si="2"/>
        <v>225.32</v>
      </c>
      <c r="J24" s="194">
        <f t="shared" si="3"/>
        <v>236.64</v>
      </c>
      <c r="K24" s="326">
        <v>7.0013293663353737E-2</v>
      </c>
      <c r="L24" s="189">
        <f t="shared" si="4"/>
        <v>194.43</v>
      </c>
      <c r="M24" s="189">
        <f t="shared" si="5"/>
        <v>135.22999999999999</v>
      </c>
      <c r="N24" s="189">
        <f t="shared" si="6"/>
        <v>150.21</v>
      </c>
      <c r="O24" s="189">
        <f t="shared" si="7"/>
        <v>157.76</v>
      </c>
    </row>
    <row r="25" spans="1:15">
      <c r="A25" s="293" t="s">
        <v>233</v>
      </c>
      <c r="B25" s="294">
        <f t="shared" si="8"/>
        <v>0.11</v>
      </c>
      <c r="C25" s="295">
        <v>4.5</v>
      </c>
      <c r="D25" s="189" t="s">
        <v>25</v>
      </c>
      <c r="E25" s="222" t="s">
        <v>234</v>
      </c>
      <c r="F25" s="325" t="s">
        <v>84</v>
      </c>
      <c r="G25" s="297">
        <v>13.452</v>
      </c>
      <c r="H25" s="194">
        <f t="shared" si="1"/>
        <v>161.41999999999999</v>
      </c>
      <c r="I25" s="195">
        <f t="shared" si="2"/>
        <v>179.32</v>
      </c>
      <c r="J25" s="194">
        <f t="shared" si="3"/>
        <v>188.33</v>
      </c>
      <c r="K25" s="326">
        <v>6.9996818326439669E-2</v>
      </c>
      <c r="L25" s="189">
        <f t="shared" si="4"/>
        <v>154.72999999999999</v>
      </c>
      <c r="M25" s="189">
        <f t="shared" si="5"/>
        <v>107.61</v>
      </c>
      <c r="N25" s="189">
        <f t="shared" si="6"/>
        <v>119.55</v>
      </c>
      <c r="O25" s="189">
        <f t="shared" si="7"/>
        <v>125.55</v>
      </c>
    </row>
    <row r="26" spans="1:15">
      <c r="A26" s="293" t="s">
        <v>233</v>
      </c>
      <c r="B26" s="294">
        <f t="shared" si="8"/>
        <v>0.13</v>
      </c>
      <c r="C26" s="295">
        <v>5</v>
      </c>
      <c r="D26" s="189" t="s">
        <v>25</v>
      </c>
      <c r="E26" s="222" t="s">
        <v>234</v>
      </c>
      <c r="F26" s="325" t="s">
        <v>84</v>
      </c>
      <c r="G26" s="297">
        <v>13.326000000000001</v>
      </c>
      <c r="H26" s="194">
        <f t="shared" si="1"/>
        <v>159.91</v>
      </c>
      <c r="I26" s="195">
        <f t="shared" si="2"/>
        <v>177.64</v>
      </c>
      <c r="J26" s="194">
        <f t="shared" si="3"/>
        <v>186.56</v>
      </c>
      <c r="K26" s="326">
        <v>5.9974546611517798E-2</v>
      </c>
      <c r="L26" s="189">
        <f t="shared" si="4"/>
        <v>153.28</v>
      </c>
      <c r="M26" s="189">
        <f t="shared" si="5"/>
        <v>106.61</v>
      </c>
      <c r="N26" s="189">
        <f t="shared" si="6"/>
        <v>118.43</v>
      </c>
      <c r="O26" s="189">
        <f t="shared" si="7"/>
        <v>124.37</v>
      </c>
    </row>
    <row r="27" spans="1:15">
      <c r="A27" s="293" t="s">
        <v>233</v>
      </c>
      <c r="B27" s="294">
        <f t="shared" si="8"/>
        <v>0.13</v>
      </c>
      <c r="C27" s="295">
        <v>5</v>
      </c>
      <c r="D27" s="189" t="s">
        <v>25</v>
      </c>
      <c r="E27" s="222" t="s">
        <v>234</v>
      </c>
      <c r="F27" s="325" t="s">
        <v>117</v>
      </c>
      <c r="G27" s="297">
        <v>16.440000000000001</v>
      </c>
      <c r="H27" s="194">
        <f t="shared" si="1"/>
        <v>197.28</v>
      </c>
      <c r="I27" s="195">
        <f t="shared" si="2"/>
        <v>219.15</v>
      </c>
      <c r="J27" s="194">
        <f t="shared" si="3"/>
        <v>230.16</v>
      </c>
      <c r="K27" s="326">
        <v>6.0029660197304935E-2</v>
      </c>
      <c r="L27" s="189">
        <f t="shared" si="4"/>
        <v>189.1</v>
      </c>
      <c r="M27" s="189">
        <f t="shared" si="5"/>
        <v>131.52000000000001</v>
      </c>
      <c r="N27" s="189">
        <f t="shared" si="6"/>
        <v>146.1</v>
      </c>
      <c r="O27" s="189">
        <f t="shared" si="7"/>
        <v>153.44</v>
      </c>
    </row>
    <row r="28" spans="1:15">
      <c r="A28" s="293" t="s">
        <v>233</v>
      </c>
      <c r="B28" s="294">
        <f t="shared" si="8"/>
        <v>0.13</v>
      </c>
      <c r="C28" s="295">
        <v>5</v>
      </c>
      <c r="D28" s="189" t="s">
        <v>25</v>
      </c>
      <c r="E28" s="222" t="s">
        <v>234</v>
      </c>
      <c r="F28" s="325" t="s">
        <v>86</v>
      </c>
      <c r="G28" s="297">
        <v>17.824000000000002</v>
      </c>
      <c r="H28" s="194">
        <f t="shared" si="1"/>
        <v>213.89</v>
      </c>
      <c r="I28" s="195">
        <f t="shared" si="2"/>
        <v>237.59</v>
      </c>
      <c r="J28" s="194">
        <f t="shared" si="3"/>
        <v>249.54</v>
      </c>
      <c r="K28" s="326">
        <v>6.9996398127025961E-2</v>
      </c>
      <c r="L28" s="189">
        <f t="shared" si="4"/>
        <v>205.02</v>
      </c>
      <c r="M28" s="189">
        <f t="shared" si="5"/>
        <v>142.59</v>
      </c>
      <c r="N28" s="189">
        <f t="shared" si="6"/>
        <v>158.38999999999999</v>
      </c>
      <c r="O28" s="189">
        <f t="shared" si="7"/>
        <v>166.36</v>
      </c>
    </row>
    <row r="29" spans="1:15">
      <c r="A29" s="293" t="s">
        <v>233</v>
      </c>
      <c r="B29" s="294">
        <f t="shared" si="8"/>
        <v>0.14000000000000001</v>
      </c>
      <c r="C29" s="295">
        <v>5.7</v>
      </c>
      <c r="D29" s="189" t="s">
        <v>25</v>
      </c>
      <c r="E29" s="222" t="s">
        <v>234</v>
      </c>
      <c r="F29" s="325" t="s">
        <v>117</v>
      </c>
      <c r="G29" s="297">
        <v>17.79</v>
      </c>
      <c r="H29" s="194">
        <f t="shared" si="1"/>
        <v>213.48</v>
      </c>
      <c r="I29" s="195">
        <f t="shared" si="2"/>
        <v>237.14</v>
      </c>
      <c r="J29" s="194">
        <f t="shared" si="3"/>
        <v>249.06</v>
      </c>
      <c r="K29" s="326">
        <v>6.0001191682059085E-2</v>
      </c>
      <c r="L29" s="189">
        <f t="shared" si="4"/>
        <v>204.63</v>
      </c>
      <c r="M29" s="189">
        <f t="shared" si="5"/>
        <v>142.32</v>
      </c>
      <c r="N29" s="189">
        <f t="shared" si="6"/>
        <v>158.09</v>
      </c>
      <c r="O29" s="189">
        <f t="shared" si="7"/>
        <v>166.04</v>
      </c>
    </row>
    <row r="30" spans="1:15">
      <c r="A30" s="293" t="s">
        <v>233</v>
      </c>
      <c r="B30" s="294">
        <f t="shared" si="8"/>
        <v>0.15</v>
      </c>
      <c r="C30" s="295">
        <v>6</v>
      </c>
      <c r="D30" s="189" t="s">
        <v>25</v>
      </c>
      <c r="E30" s="222" t="s">
        <v>234</v>
      </c>
      <c r="F30" s="325" t="s">
        <v>117</v>
      </c>
      <c r="G30" s="297">
        <v>15.851000000000001</v>
      </c>
      <c r="H30" s="194">
        <f t="shared" si="1"/>
        <v>190.21</v>
      </c>
      <c r="I30" s="195">
        <f t="shared" si="2"/>
        <v>211.29</v>
      </c>
      <c r="J30" s="194">
        <f t="shared" si="3"/>
        <v>221.91</v>
      </c>
      <c r="K30" s="326">
        <v>5.9983950782399376E-2</v>
      </c>
      <c r="L30" s="189">
        <f t="shared" si="4"/>
        <v>182.33</v>
      </c>
      <c r="M30" s="189">
        <f t="shared" si="5"/>
        <v>126.81</v>
      </c>
      <c r="N30" s="189">
        <f t="shared" si="6"/>
        <v>140.86000000000001</v>
      </c>
      <c r="O30" s="189">
        <f t="shared" si="7"/>
        <v>147.94</v>
      </c>
    </row>
    <row r="31" spans="1:15">
      <c r="A31" s="293" t="s">
        <v>233</v>
      </c>
      <c r="B31" s="294">
        <f t="shared" si="8"/>
        <v>0.15</v>
      </c>
      <c r="C31" s="295">
        <v>6</v>
      </c>
      <c r="D31" s="189" t="s">
        <v>25</v>
      </c>
      <c r="E31" s="222" t="s">
        <v>234</v>
      </c>
      <c r="F31" s="325" t="s">
        <v>86</v>
      </c>
      <c r="G31" s="297">
        <v>17.657</v>
      </c>
      <c r="H31" s="194">
        <f t="shared" si="1"/>
        <v>211.88</v>
      </c>
      <c r="I31" s="195">
        <f t="shared" si="2"/>
        <v>235.37</v>
      </c>
      <c r="J31" s="194">
        <f t="shared" si="3"/>
        <v>247.2</v>
      </c>
      <c r="K31" s="326">
        <v>5.997118501620835E-2</v>
      </c>
      <c r="L31" s="189">
        <f t="shared" si="4"/>
        <v>203.1</v>
      </c>
      <c r="M31" s="189">
        <f t="shared" si="5"/>
        <v>141.25</v>
      </c>
      <c r="N31" s="189">
        <f t="shared" si="6"/>
        <v>156.91</v>
      </c>
      <c r="O31" s="189">
        <f t="shared" si="7"/>
        <v>164.8</v>
      </c>
    </row>
    <row r="32" spans="1:15">
      <c r="A32" s="293" t="s">
        <v>233</v>
      </c>
      <c r="B32" s="294">
        <f t="shared" si="8"/>
        <v>0.18</v>
      </c>
      <c r="C32" s="295">
        <v>7</v>
      </c>
      <c r="D32" s="189" t="s">
        <v>25</v>
      </c>
      <c r="E32" s="222" t="s">
        <v>234</v>
      </c>
      <c r="F32" s="325" t="s">
        <v>117</v>
      </c>
      <c r="G32" s="297">
        <v>18.442</v>
      </c>
      <c r="H32" s="194">
        <f t="shared" si="1"/>
        <v>221.3</v>
      </c>
      <c r="I32" s="195">
        <f t="shared" si="2"/>
        <v>245.83</v>
      </c>
      <c r="J32" s="194">
        <f t="shared" si="3"/>
        <v>258.19</v>
      </c>
      <c r="K32" s="326">
        <v>6.000689734452247E-2</v>
      </c>
      <c r="L32" s="189">
        <f t="shared" si="4"/>
        <v>212.13</v>
      </c>
      <c r="M32" s="189">
        <f t="shared" si="5"/>
        <v>147.53</v>
      </c>
      <c r="N32" s="189">
        <f t="shared" si="6"/>
        <v>163.89</v>
      </c>
      <c r="O32" s="189">
        <f t="shared" si="7"/>
        <v>172.13</v>
      </c>
    </row>
    <row r="33" spans="1:15">
      <c r="A33" s="293" t="s">
        <v>233</v>
      </c>
      <c r="B33" s="294">
        <f t="shared" si="8"/>
        <v>0.18</v>
      </c>
      <c r="C33" s="295">
        <v>7</v>
      </c>
      <c r="D33" s="189" t="s">
        <v>25</v>
      </c>
      <c r="E33" s="222" t="s">
        <v>234</v>
      </c>
      <c r="F33" s="325" t="s">
        <v>87</v>
      </c>
      <c r="G33" s="297">
        <v>18.442</v>
      </c>
      <c r="H33" s="194">
        <f t="shared" si="1"/>
        <v>221.3</v>
      </c>
      <c r="I33" s="195">
        <f t="shared" si="2"/>
        <v>245.83</v>
      </c>
      <c r="J33" s="194">
        <f t="shared" si="3"/>
        <v>258.19</v>
      </c>
      <c r="K33" s="326">
        <v>6.000689734452247E-2</v>
      </c>
      <c r="L33" s="189">
        <f t="shared" si="4"/>
        <v>212.13</v>
      </c>
      <c r="M33" s="189">
        <f t="shared" si="5"/>
        <v>147.53</v>
      </c>
      <c r="N33" s="189">
        <f t="shared" si="6"/>
        <v>163.89</v>
      </c>
      <c r="O33" s="189">
        <f t="shared" si="7"/>
        <v>172.13</v>
      </c>
    </row>
    <row r="34" spans="1:15">
      <c r="A34" s="293" t="s">
        <v>233</v>
      </c>
      <c r="B34" s="294">
        <f t="shared" si="8"/>
        <v>0.2</v>
      </c>
      <c r="C34" s="295">
        <v>8</v>
      </c>
      <c r="D34" s="189" t="s">
        <v>25</v>
      </c>
      <c r="E34" s="222" t="s">
        <v>234</v>
      </c>
      <c r="F34" s="325" t="s">
        <v>87</v>
      </c>
      <c r="G34" s="297">
        <v>18.442</v>
      </c>
      <c r="H34" s="194">
        <f t="shared" si="1"/>
        <v>221.3</v>
      </c>
      <c r="I34" s="195">
        <f t="shared" si="2"/>
        <v>245.83</v>
      </c>
      <c r="J34" s="194">
        <f t="shared" si="3"/>
        <v>258.19</v>
      </c>
      <c r="K34" s="326">
        <v>6.000689734452247E-2</v>
      </c>
      <c r="L34" s="189">
        <f t="shared" si="4"/>
        <v>212.13</v>
      </c>
      <c r="M34" s="189">
        <f t="shared" si="5"/>
        <v>147.53</v>
      </c>
      <c r="N34" s="189">
        <f t="shared" si="6"/>
        <v>163.89</v>
      </c>
      <c r="O34" s="189">
        <f t="shared" si="7"/>
        <v>172.13</v>
      </c>
    </row>
    <row r="35" spans="1:15">
      <c r="A35" s="293" t="s">
        <v>233</v>
      </c>
      <c r="B35" s="294">
        <f t="shared" si="8"/>
        <v>0.25</v>
      </c>
      <c r="C35" s="295">
        <v>10</v>
      </c>
      <c r="D35" s="189" t="s">
        <v>25</v>
      </c>
      <c r="E35" s="222" t="s">
        <v>234</v>
      </c>
      <c r="F35" s="325" t="s">
        <v>89</v>
      </c>
      <c r="G35" s="297">
        <v>18.344000000000001</v>
      </c>
      <c r="H35" s="194">
        <f t="shared" si="1"/>
        <v>220.13</v>
      </c>
      <c r="I35" s="195">
        <f t="shared" si="2"/>
        <v>244.53</v>
      </c>
      <c r="J35" s="194">
        <f t="shared" si="3"/>
        <v>256.82</v>
      </c>
      <c r="K35" s="326">
        <v>5.9979197966023357E-2</v>
      </c>
      <c r="L35" s="189">
        <f t="shared" si="4"/>
        <v>211</v>
      </c>
      <c r="M35" s="189">
        <f t="shared" si="5"/>
        <v>146.75</v>
      </c>
      <c r="N35" s="189">
        <f t="shared" si="6"/>
        <v>163.02000000000001</v>
      </c>
      <c r="O35" s="189">
        <f t="shared" si="7"/>
        <v>171.21</v>
      </c>
    </row>
    <row r="36" spans="1:15">
      <c r="A36" s="293" t="s">
        <v>233</v>
      </c>
      <c r="B36" s="294">
        <f t="shared" si="8"/>
        <v>0.3</v>
      </c>
      <c r="C36" s="295">
        <v>12</v>
      </c>
      <c r="D36" s="189" t="s">
        <v>25</v>
      </c>
      <c r="E36" s="222" t="s">
        <v>234</v>
      </c>
      <c r="F36" s="325" t="s">
        <v>167</v>
      </c>
      <c r="G36" s="297">
        <v>22.911999999999999</v>
      </c>
      <c r="H36" s="194">
        <f t="shared" si="1"/>
        <v>274.94</v>
      </c>
      <c r="I36" s="195">
        <f t="shared" si="2"/>
        <v>305.42</v>
      </c>
      <c r="J36" s="194">
        <f t="shared" si="3"/>
        <v>320.77</v>
      </c>
      <c r="K36" s="326">
        <v>1.7458405349168871E-5</v>
      </c>
      <c r="L36" s="189">
        <f t="shared" si="4"/>
        <v>263.54000000000002</v>
      </c>
      <c r="M36" s="189">
        <f t="shared" si="5"/>
        <v>183.29</v>
      </c>
      <c r="N36" s="189">
        <f t="shared" si="6"/>
        <v>203.61</v>
      </c>
      <c r="O36" s="189">
        <f t="shared" si="7"/>
        <v>213.85</v>
      </c>
    </row>
    <row r="37" spans="1:15">
      <c r="A37" s="293" t="s">
        <v>233</v>
      </c>
      <c r="B37" s="294">
        <f t="shared" si="8"/>
        <v>0.38</v>
      </c>
      <c r="C37" s="295">
        <v>15</v>
      </c>
      <c r="D37" s="189" t="s">
        <v>25</v>
      </c>
      <c r="E37" s="222" t="s">
        <v>234</v>
      </c>
      <c r="F37" s="325" t="s">
        <v>90</v>
      </c>
      <c r="G37" s="297">
        <v>23.355</v>
      </c>
      <c r="H37" s="194">
        <f t="shared" si="1"/>
        <v>280.26</v>
      </c>
      <c r="I37" s="195">
        <f t="shared" si="2"/>
        <v>311.32</v>
      </c>
      <c r="J37" s="194">
        <f t="shared" si="3"/>
        <v>326.97000000000003</v>
      </c>
      <c r="K37" s="326">
        <v>0</v>
      </c>
      <c r="L37" s="189">
        <f t="shared" si="4"/>
        <v>268.64</v>
      </c>
      <c r="M37" s="189">
        <f t="shared" si="5"/>
        <v>186.84</v>
      </c>
      <c r="N37" s="189">
        <f t="shared" si="6"/>
        <v>207.55</v>
      </c>
      <c r="O37" s="189">
        <f t="shared" si="7"/>
        <v>217.98</v>
      </c>
    </row>
    <row r="38" spans="1:15" ht="14.4" customHeight="1">
      <c r="A38" s="293" t="s">
        <v>233</v>
      </c>
      <c r="B38" s="294">
        <f t="shared" si="8"/>
        <v>0.41</v>
      </c>
      <c r="C38" s="295">
        <v>16</v>
      </c>
      <c r="D38" s="189" t="s">
        <v>25</v>
      </c>
      <c r="E38" s="222" t="s">
        <v>234</v>
      </c>
      <c r="F38" s="325" t="s">
        <v>219</v>
      </c>
      <c r="G38" s="297">
        <v>27.527000000000001</v>
      </c>
      <c r="H38" s="194">
        <f t="shared" si="1"/>
        <v>330.32</v>
      </c>
      <c r="I38" s="195">
        <f t="shared" si="2"/>
        <v>366.93</v>
      </c>
      <c r="J38" s="194">
        <f t="shared" si="3"/>
        <v>385.38</v>
      </c>
      <c r="K38" s="326">
        <v>-1.4530976408910767E-5</v>
      </c>
      <c r="L38" s="189">
        <f t="shared" si="4"/>
        <v>316.62</v>
      </c>
      <c r="M38" s="189">
        <f t="shared" si="5"/>
        <v>220.21</v>
      </c>
      <c r="N38" s="189">
        <f t="shared" si="6"/>
        <v>244.62</v>
      </c>
      <c r="O38" s="189">
        <f t="shared" si="7"/>
        <v>256.92</v>
      </c>
    </row>
    <row r="39" spans="1:15">
      <c r="A39" s="293" t="s">
        <v>233</v>
      </c>
      <c r="B39" s="294">
        <f t="shared" si="8"/>
        <v>0.41</v>
      </c>
      <c r="C39" s="295">
        <v>16</v>
      </c>
      <c r="D39" s="189" t="s">
        <v>25</v>
      </c>
      <c r="E39" s="222" t="s">
        <v>234</v>
      </c>
      <c r="F39" s="325" t="s">
        <v>219</v>
      </c>
      <c r="G39" s="297">
        <v>27.527000000000001</v>
      </c>
      <c r="H39" s="194">
        <f t="shared" si="1"/>
        <v>330.32</v>
      </c>
      <c r="I39" s="195">
        <f t="shared" si="2"/>
        <v>366.93</v>
      </c>
      <c r="J39" s="194">
        <f t="shared" si="3"/>
        <v>385.38</v>
      </c>
      <c r="K39" s="326">
        <v>-1.4530976408910767E-5</v>
      </c>
      <c r="L39" s="189">
        <f t="shared" si="4"/>
        <v>316.62</v>
      </c>
      <c r="M39" s="189">
        <f t="shared" si="5"/>
        <v>220.21</v>
      </c>
      <c r="N39" s="189">
        <f t="shared" si="6"/>
        <v>244.62</v>
      </c>
      <c r="O39" s="189">
        <f t="shared" si="7"/>
        <v>256.92</v>
      </c>
    </row>
    <row r="40" spans="1:15">
      <c r="A40" s="293" t="s">
        <v>233</v>
      </c>
      <c r="B40" s="294">
        <f t="shared" si="8"/>
        <v>0.51</v>
      </c>
      <c r="C40" s="295">
        <v>20</v>
      </c>
      <c r="D40" s="189" t="s">
        <v>25</v>
      </c>
      <c r="E40" s="222" t="s">
        <v>234</v>
      </c>
      <c r="F40" s="325" t="s">
        <v>91</v>
      </c>
      <c r="G40" s="297">
        <v>36.094999999999999</v>
      </c>
      <c r="H40" s="194">
        <f t="shared" si="1"/>
        <v>433.14</v>
      </c>
      <c r="I40" s="195">
        <f t="shared" si="2"/>
        <v>481.15</v>
      </c>
      <c r="J40" s="194">
        <f t="shared" si="3"/>
        <v>505.33</v>
      </c>
      <c r="K40" s="326">
        <v>0</v>
      </c>
      <c r="L40" s="189">
        <f t="shared" si="4"/>
        <v>415.18</v>
      </c>
      <c r="M40" s="189">
        <f t="shared" si="5"/>
        <v>288.76</v>
      </c>
      <c r="N40" s="189">
        <f t="shared" si="6"/>
        <v>320.77</v>
      </c>
      <c r="O40" s="189">
        <f t="shared" si="7"/>
        <v>336.89</v>
      </c>
    </row>
    <row r="41" spans="1:15">
      <c r="A41" s="293" t="s">
        <v>233</v>
      </c>
      <c r="B41" s="294">
        <f t="shared" si="8"/>
        <v>0.61</v>
      </c>
      <c r="C41" s="295">
        <v>24</v>
      </c>
      <c r="D41" s="189" t="s">
        <v>25</v>
      </c>
      <c r="E41" s="222" t="s">
        <v>234</v>
      </c>
      <c r="F41" s="325" t="s">
        <v>91</v>
      </c>
      <c r="G41" s="297">
        <v>36.895000000000003</v>
      </c>
      <c r="H41" s="194">
        <f t="shared" si="1"/>
        <v>442.74</v>
      </c>
      <c r="I41" s="195">
        <f t="shared" si="2"/>
        <v>491.81</v>
      </c>
      <c r="J41" s="194">
        <f t="shared" si="3"/>
        <v>516.53</v>
      </c>
      <c r="K41" s="326">
        <v>0</v>
      </c>
      <c r="L41" s="189">
        <f t="shared" si="4"/>
        <v>424.38</v>
      </c>
      <c r="M41" s="189">
        <f t="shared" si="5"/>
        <v>295.16000000000003</v>
      </c>
      <c r="N41" s="189">
        <f t="shared" si="6"/>
        <v>327.87</v>
      </c>
      <c r="O41" s="189">
        <f t="shared" si="7"/>
        <v>344.35</v>
      </c>
    </row>
    <row r="42" spans="1:15">
      <c r="A42" s="293" t="s">
        <v>233</v>
      </c>
      <c r="B42" s="294">
        <f t="shared" si="8"/>
        <v>0.64</v>
      </c>
      <c r="C42" s="295">
        <v>25</v>
      </c>
      <c r="D42" s="189" t="s">
        <v>25</v>
      </c>
      <c r="E42" s="222" t="s">
        <v>234</v>
      </c>
      <c r="F42" s="325" t="s">
        <v>88</v>
      </c>
      <c r="G42" s="297">
        <v>45.750999999999998</v>
      </c>
      <c r="H42" s="194">
        <f t="shared" si="1"/>
        <v>549.01</v>
      </c>
      <c r="I42" s="195">
        <f t="shared" si="2"/>
        <v>609.86</v>
      </c>
      <c r="J42" s="194">
        <f t="shared" si="3"/>
        <v>640.51</v>
      </c>
      <c r="K42" s="326">
        <v>4.3715082578277276E-6</v>
      </c>
      <c r="L42" s="189">
        <f t="shared" si="4"/>
        <v>526.25</v>
      </c>
      <c r="M42" s="189">
        <f t="shared" si="5"/>
        <v>366.01</v>
      </c>
      <c r="N42" s="189">
        <f t="shared" si="6"/>
        <v>406.57</v>
      </c>
      <c r="O42" s="189">
        <f t="shared" si="7"/>
        <v>427.01</v>
      </c>
    </row>
    <row r="43" spans="1:15">
      <c r="A43" s="293" t="s">
        <v>233</v>
      </c>
      <c r="B43" s="294">
        <f t="shared" si="8"/>
        <v>0.71</v>
      </c>
      <c r="C43" s="295">
        <v>28</v>
      </c>
      <c r="D43" s="189" t="s">
        <v>25</v>
      </c>
      <c r="E43" s="222" t="s">
        <v>234</v>
      </c>
      <c r="F43" s="325" t="s">
        <v>88</v>
      </c>
      <c r="G43" s="297">
        <v>45.750999999999998</v>
      </c>
      <c r="H43" s="194">
        <f t="shared" si="1"/>
        <v>549.01</v>
      </c>
      <c r="I43" s="195">
        <f t="shared" si="2"/>
        <v>609.86</v>
      </c>
      <c r="J43" s="194">
        <f t="shared" si="3"/>
        <v>640.51</v>
      </c>
      <c r="K43" s="326">
        <v>4.3715082578277276E-6</v>
      </c>
      <c r="L43" s="189">
        <f t="shared" si="4"/>
        <v>526.25</v>
      </c>
      <c r="M43" s="189">
        <f t="shared" si="5"/>
        <v>366.01</v>
      </c>
      <c r="N43" s="189">
        <f t="shared" si="6"/>
        <v>406.57</v>
      </c>
      <c r="O43" s="189">
        <f t="shared" si="7"/>
        <v>427.01</v>
      </c>
    </row>
    <row r="44" spans="1:15">
      <c r="A44" s="293" t="s">
        <v>233</v>
      </c>
      <c r="B44" s="294">
        <f t="shared" si="8"/>
        <v>0.76</v>
      </c>
      <c r="C44" s="295">
        <v>30</v>
      </c>
      <c r="D44" s="189" t="s">
        <v>25</v>
      </c>
      <c r="E44" s="222" t="s">
        <v>234</v>
      </c>
      <c r="F44" s="325" t="s">
        <v>131</v>
      </c>
      <c r="G44" s="297">
        <v>48.662999999999997</v>
      </c>
      <c r="H44" s="194">
        <f t="shared" si="1"/>
        <v>583.96</v>
      </c>
      <c r="I44" s="195">
        <f t="shared" si="2"/>
        <v>648.67999999999995</v>
      </c>
      <c r="J44" s="194">
        <f t="shared" si="3"/>
        <v>681.28</v>
      </c>
      <c r="K44" s="326">
        <v>-4.109881799885251E-6</v>
      </c>
      <c r="L44" s="189">
        <f t="shared" si="4"/>
        <v>559.75</v>
      </c>
      <c r="M44" s="189">
        <f t="shared" si="5"/>
        <v>389.31</v>
      </c>
      <c r="N44" s="189">
        <f t="shared" si="6"/>
        <v>432.45</v>
      </c>
      <c r="O44" s="189">
        <f t="shared" si="7"/>
        <v>454.19</v>
      </c>
    </row>
    <row r="45" spans="1:15">
      <c r="A45" s="293" t="s">
        <v>233</v>
      </c>
      <c r="B45" s="294">
        <f t="shared" si="8"/>
        <v>0.97</v>
      </c>
      <c r="C45" s="295">
        <v>38</v>
      </c>
      <c r="D45" s="189" t="s">
        <v>25</v>
      </c>
      <c r="E45" s="222" t="s">
        <v>234</v>
      </c>
      <c r="F45" s="325" t="s">
        <v>133</v>
      </c>
      <c r="G45" s="297">
        <v>59.063000000000002</v>
      </c>
      <c r="H45" s="194">
        <f t="shared" si="1"/>
        <v>708.76</v>
      </c>
      <c r="I45" s="195">
        <f t="shared" si="2"/>
        <v>787.31</v>
      </c>
      <c r="J45" s="194">
        <f t="shared" si="3"/>
        <v>826.88</v>
      </c>
      <c r="K45" s="326">
        <v>0</v>
      </c>
      <c r="L45" s="189">
        <f t="shared" si="4"/>
        <v>679.38</v>
      </c>
      <c r="M45" s="189">
        <f t="shared" si="5"/>
        <v>472.51</v>
      </c>
      <c r="N45" s="189">
        <f t="shared" si="6"/>
        <v>524.87</v>
      </c>
      <c r="O45" s="189">
        <f t="shared" si="7"/>
        <v>551.25</v>
      </c>
    </row>
    <row r="46" spans="1:15">
      <c r="A46" s="293" t="s">
        <v>233</v>
      </c>
      <c r="B46" s="294">
        <f>ROUND(C46*0.0254,3)</f>
        <v>5.0999999999999997E-2</v>
      </c>
      <c r="C46" s="295">
        <v>2</v>
      </c>
      <c r="D46" s="192" t="s">
        <v>28</v>
      </c>
      <c r="E46" s="222" t="s">
        <v>234</v>
      </c>
      <c r="F46" s="325" t="s">
        <v>217</v>
      </c>
      <c r="G46" s="297">
        <v>15.829000000000001</v>
      </c>
      <c r="H46" s="194">
        <f t="shared" si="1"/>
        <v>189.95</v>
      </c>
      <c r="I46" s="195">
        <f t="shared" si="2"/>
        <v>211</v>
      </c>
      <c r="J46" s="194">
        <f t="shared" si="3"/>
        <v>221.61</v>
      </c>
      <c r="K46" s="326">
        <v>0.10000000000000009</v>
      </c>
      <c r="L46" s="189">
        <f t="shared" si="4"/>
        <v>182.07</v>
      </c>
      <c r="M46" s="189">
        <f t="shared" si="5"/>
        <v>126.63</v>
      </c>
      <c r="N46" s="189">
        <f t="shared" si="6"/>
        <v>140.66999999999999</v>
      </c>
      <c r="O46" s="189">
        <f t="shared" si="7"/>
        <v>147.74</v>
      </c>
    </row>
    <row r="47" spans="1:15">
      <c r="A47" s="293" t="s">
        <v>233</v>
      </c>
      <c r="B47" s="294">
        <f t="shared" ref="B47:B52" si="9">ROUND(C47*0.0254,3)</f>
        <v>5.0999999999999997E-2</v>
      </c>
      <c r="C47" s="295">
        <v>2</v>
      </c>
      <c r="D47" s="192" t="s">
        <v>28</v>
      </c>
      <c r="E47" s="222" t="s">
        <v>234</v>
      </c>
      <c r="F47" s="325" t="s">
        <v>120</v>
      </c>
      <c r="G47" s="297">
        <v>15.829000000000001</v>
      </c>
      <c r="H47" s="194">
        <f t="shared" si="1"/>
        <v>189.95</v>
      </c>
      <c r="I47" s="195">
        <f t="shared" si="2"/>
        <v>211</v>
      </c>
      <c r="J47" s="194">
        <f t="shared" si="3"/>
        <v>221.61</v>
      </c>
      <c r="K47" s="326">
        <v>0.10000000000000009</v>
      </c>
      <c r="L47" s="189">
        <f t="shared" si="4"/>
        <v>182.07</v>
      </c>
      <c r="M47" s="189">
        <f t="shared" si="5"/>
        <v>126.63</v>
      </c>
      <c r="N47" s="189">
        <f t="shared" si="6"/>
        <v>140.66999999999999</v>
      </c>
      <c r="O47" s="189">
        <f t="shared" si="7"/>
        <v>147.74</v>
      </c>
    </row>
    <row r="48" spans="1:15">
      <c r="A48" s="293" t="s">
        <v>233</v>
      </c>
      <c r="B48" s="294">
        <f t="shared" si="9"/>
        <v>7.5999999999999998E-2</v>
      </c>
      <c r="C48" s="295">
        <v>3</v>
      </c>
      <c r="D48" s="192" t="s">
        <v>28</v>
      </c>
      <c r="E48" s="222" t="s">
        <v>234</v>
      </c>
      <c r="F48" s="325" t="s">
        <v>81</v>
      </c>
      <c r="G48" s="297">
        <v>15.797000000000001</v>
      </c>
      <c r="H48" s="194">
        <f t="shared" si="1"/>
        <v>189.56</v>
      </c>
      <c r="I48" s="195">
        <f t="shared" si="2"/>
        <v>210.57</v>
      </c>
      <c r="J48" s="194">
        <f t="shared" si="3"/>
        <v>221.16</v>
      </c>
      <c r="K48" s="326">
        <v>9.9993036696608861E-2</v>
      </c>
      <c r="L48" s="189">
        <f t="shared" si="4"/>
        <v>181.7</v>
      </c>
      <c r="M48" s="189">
        <f t="shared" si="5"/>
        <v>126.37</v>
      </c>
      <c r="N48" s="189">
        <f t="shared" si="6"/>
        <v>140.38</v>
      </c>
      <c r="O48" s="189">
        <f t="shared" si="7"/>
        <v>147.44</v>
      </c>
    </row>
    <row r="49" spans="1:15">
      <c r="A49" s="293" t="s">
        <v>233</v>
      </c>
      <c r="B49" s="294">
        <f t="shared" si="9"/>
        <v>7.5999999999999998E-2</v>
      </c>
      <c r="C49" s="295">
        <v>3</v>
      </c>
      <c r="D49" s="192" t="s">
        <v>28</v>
      </c>
      <c r="E49" s="222" t="s">
        <v>234</v>
      </c>
      <c r="F49" s="325" t="s">
        <v>122</v>
      </c>
      <c r="G49" s="297">
        <v>15.098000000000001</v>
      </c>
      <c r="H49" s="194">
        <f t="shared" si="1"/>
        <v>181.18</v>
      </c>
      <c r="I49" s="195">
        <f t="shared" si="2"/>
        <v>201.26</v>
      </c>
      <c r="J49" s="194">
        <f t="shared" si="3"/>
        <v>211.37</v>
      </c>
      <c r="K49" s="326">
        <v>6.0029488169627276E-2</v>
      </c>
      <c r="L49" s="189">
        <f t="shared" si="4"/>
        <v>173.67</v>
      </c>
      <c r="M49" s="189">
        <f t="shared" si="5"/>
        <v>120.79</v>
      </c>
      <c r="N49" s="189">
        <f t="shared" si="6"/>
        <v>134.16999999999999</v>
      </c>
      <c r="O49" s="189">
        <f t="shared" si="7"/>
        <v>140.91</v>
      </c>
    </row>
    <row r="50" spans="1:15">
      <c r="A50" s="293" t="s">
        <v>233</v>
      </c>
      <c r="B50" s="294">
        <f t="shared" si="9"/>
        <v>8.8999999999999996E-2</v>
      </c>
      <c r="C50" s="295">
        <v>3.5</v>
      </c>
      <c r="D50" s="192" t="s">
        <v>28</v>
      </c>
      <c r="E50" s="222" t="s">
        <v>234</v>
      </c>
      <c r="F50" s="325" t="s">
        <v>122</v>
      </c>
      <c r="G50" s="297">
        <v>15.667</v>
      </c>
      <c r="H50" s="194">
        <f t="shared" si="1"/>
        <v>188</v>
      </c>
      <c r="I50" s="195">
        <f t="shared" si="2"/>
        <v>208.84</v>
      </c>
      <c r="J50" s="194">
        <f t="shared" si="3"/>
        <v>219.34</v>
      </c>
      <c r="K50" s="326">
        <v>9.9978937021694803E-2</v>
      </c>
      <c r="L50" s="189">
        <f t="shared" si="4"/>
        <v>180.21</v>
      </c>
      <c r="M50" s="189">
        <f t="shared" si="5"/>
        <v>125.33</v>
      </c>
      <c r="N50" s="189">
        <f t="shared" si="6"/>
        <v>139.22999999999999</v>
      </c>
      <c r="O50" s="189">
        <f t="shared" si="7"/>
        <v>146.22999999999999</v>
      </c>
    </row>
    <row r="51" spans="1:15">
      <c r="A51" s="293" t="s">
        <v>233</v>
      </c>
      <c r="B51" s="294">
        <f t="shared" si="9"/>
        <v>8.8999999999999996E-2</v>
      </c>
      <c r="C51" s="295">
        <v>3.5</v>
      </c>
      <c r="D51" s="192" t="s">
        <v>28</v>
      </c>
      <c r="E51" s="222" t="s">
        <v>234</v>
      </c>
      <c r="F51" s="325" t="s">
        <v>83</v>
      </c>
      <c r="G51" s="297">
        <v>15.667</v>
      </c>
      <c r="H51" s="194">
        <f t="shared" si="1"/>
        <v>188</v>
      </c>
      <c r="I51" s="195">
        <f t="shared" si="2"/>
        <v>208.84</v>
      </c>
      <c r="J51" s="194">
        <f t="shared" si="3"/>
        <v>219.34</v>
      </c>
      <c r="K51" s="326">
        <v>9.9978937021694803E-2</v>
      </c>
      <c r="L51" s="189">
        <f t="shared" si="4"/>
        <v>180.21</v>
      </c>
      <c r="M51" s="189">
        <f t="shared" si="5"/>
        <v>125.33</v>
      </c>
      <c r="N51" s="189">
        <f t="shared" si="6"/>
        <v>139.22999999999999</v>
      </c>
      <c r="O51" s="189">
        <f t="shared" si="7"/>
        <v>146.22999999999999</v>
      </c>
    </row>
    <row r="52" spans="1:15">
      <c r="A52" s="293" t="s">
        <v>233</v>
      </c>
      <c r="B52" s="294">
        <f t="shared" si="9"/>
        <v>8.8999999999999996E-2</v>
      </c>
      <c r="C52" s="295">
        <v>3.5</v>
      </c>
      <c r="D52" s="192" t="s">
        <v>28</v>
      </c>
      <c r="E52" s="222" t="s">
        <v>234</v>
      </c>
      <c r="F52" s="325" t="s">
        <v>183</v>
      </c>
      <c r="G52" s="297">
        <v>21.152999999999999</v>
      </c>
      <c r="H52" s="194">
        <f t="shared" si="1"/>
        <v>253.84</v>
      </c>
      <c r="I52" s="195">
        <f t="shared" si="2"/>
        <v>281.97000000000003</v>
      </c>
      <c r="J52" s="194">
        <f t="shared" si="3"/>
        <v>296.14</v>
      </c>
      <c r="K52" s="326">
        <v>9.9999999999999867E-2</v>
      </c>
      <c r="L52" s="189">
        <f t="shared" si="4"/>
        <v>243.32</v>
      </c>
      <c r="M52" s="189">
        <f t="shared" si="5"/>
        <v>169.23</v>
      </c>
      <c r="N52" s="189">
        <f t="shared" si="6"/>
        <v>187.98</v>
      </c>
      <c r="O52" s="189">
        <f t="shared" si="7"/>
        <v>197.43</v>
      </c>
    </row>
    <row r="53" spans="1:15">
      <c r="A53" s="293" t="s">
        <v>233</v>
      </c>
      <c r="B53" s="294">
        <f t="shared" si="8"/>
        <v>0.1</v>
      </c>
      <c r="C53" s="295">
        <v>4</v>
      </c>
      <c r="D53" s="192" t="s">
        <v>28</v>
      </c>
      <c r="E53" s="222" t="s">
        <v>234</v>
      </c>
      <c r="F53" s="325" t="s">
        <v>83</v>
      </c>
      <c r="G53" s="297">
        <v>15.981999999999999</v>
      </c>
      <c r="H53" s="194">
        <f t="shared" si="1"/>
        <v>191.78</v>
      </c>
      <c r="I53" s="195">
        <f t="shared" si="2"/>
        <v>213.04</v>
      </c>
      <c r="J53" s="194">
        <f t="shared" si="3"/>
        <v>223.75</v>
      </c>
      <c r="K53" s="326">
        <v>0.10000688278615177</v>
      </c>
      <c r="L53" s="189">
        <f t="shared" si="4"/>
        <v>183.83</v>
      </c>
      <c r="M53" s="189">
        <f t="shared" si="5"/>
        <v>127.85</v>
      </c>
      <c r="N53" s="189">
        <f t="shared" si="6"/>
        <v>142.03</v>
      </c>
      <c r="O53" s="189">
        <f t="shared" si="7"/>
        <v>149.16999999999999</v>
      </c>
    </row>
    <row r="54" spans="1:15">
      <c r="A54" s="293" t="s">
        <v>233</v>
      </c>
      <c r="B54" s="294">
        <f t="shared" si="8"/>
        <v>0.1</v>
      </c>
      <c r="C54" s="295">
        <v>4</v>
      </c>
      <c r="D54" s="192" t="s">
        <v>28</v>
      </c>
      <c r="E54" s="222" t="s">
        <v>234</v>
      </c>
      <c r="F54" s="325" t="s">
        <v>166</v>
      </c>
      <c r="G54" s="297">
        <v>18.742999999999999</v>
      </c>
      <c r="H54" s="194">
        <f t="shared" si="1"/>
        <v>224.92</v>
      </c>
      <c r="I54" s="195">
        <f t="shared" si="2"/>
        <v>249.84</v>
      </c>
      <c r="J54" s="194">
        <f t="shared" si="3"/>
        <v>262.39999999999998</v>
      </c>
      <c r="K54" s="326">
        <v>6.0004524375070645E-2</v>
      </c>
      <c r="L54" s="189">
        <f t="shared" si="4"/>
        <v>215.59</v>
      </c>
      <c r="M54" s="189">
        <f t="shared" si="5"/>
        <v>149.94999999999999</v>
      </c>
      <c r="N54" s="189">
        <f t="shared" si="6"/>
        <v>166.56</v>
      </c>
      <c r="O54" s="189">
        <f t="shared" si="7"/>
        <v>174.93</v>
      </c>
    </row>
    <row r="55" spans="1:15">
      <c r="A55" s="293" t="s">
        <v>233</v>
      </c>
      <c r="B55" s="294">
        <f t="shared" si="8"/>
        <v>0.1</v>
      </c>
      <c r="C55" s="295">
        <v>4</v>
      </c>
      <c r="D55" s="192" t="s">
        <v>28</v>
      </c>
      <c r="E55" s="222" t="s">
        <v>234</v>
      </c>
      <c r="F55" s="325" t="s">
        <v>85</v>
      </c>
      <c r="G55" s="297">
        <v>19.45</v>
      </c>
      <c r="H55" s="194">
        <f t="shared" si="1"/>
        <v>233.4</v>
      </c>
      <c r="I55" s="195">
        <f t="shared" si="2"/>
        <v>259.27</v>
      </c>
      <c r="J55" s="194">
        <f t="shared" si="3"/>
        <v>272.3</v>
      </c>
      <c r="K55" s="326">
        <v>9.9988689062323388E-2</v>
      </c>
      <c r="L55" s="189">
        <f t="shared" si="4"/>
        <v>223.73</v>
      </c>
      <c r="M55" s="189">
        <f t="shared" si="5"/>
        <v>155.6</v>
      </c>
      <c r="N55" s="189">
        <f t="shared" si="6"/>
        <v>172.85</v>
      </c>
      <c r="O55" s="189">
        <f t="shared" si="7"/>
        <v>181.53</v>
      </c>
    </row>
    <row r="56" spans="1:15">
      <c r="A56" s="293" t="s">
        <v>233</v>
      </c>
      <c r="B56" s="294">
        <f t="shared" si="8"/>
        <v>0.11</v>
      </c>
      <c r="C56" s="295">
        <v>4.5</v>
      </c>
      <c r="D56" s="192" t="s">
        <v>28</v>
      </c>
      <c r="E56" s="222" t="s">
        <v>234</v>
      </c>
      <c r="F56" s="325" t="s">
        <v>85</v>
      </c>
      <c r="G56" s="297">
        <v>19.45</v>
      </c>
      <c r="H56" s="194">
        <f t="shared" si="1"/>
        <v>233.4</v>
      </c>
      <c r="I56" s="195">
        <f t="shared" si="2"/>
        <v>259.27</v>
      </c>
      <c r="J56" s="194">
        <f t="shared" si="3"/>
        <v>272.3</v>
      </c>
      <c r="K56" s="326">
        <v>9.9988689062323388E-2</v>
      </c>
      <c r="L56" s="189">
        <f t="shared" si="4"/>
        <v>223.73</v>
      </c>
      <c r="M56" s="189">
        <f t="shared" si="5"/>
        <v>155.6</v>
      </c>
      <c r="N56" s="189">
        <f t="shared" si="6"/>
        <v>172.85</v>
      </c>
      <c r="O56" s="189">
        <f t="shared" si="7"/>
        <v>181.53</v>
      </c>
    </row>
    <row r="57" spans="1:15">
      <c r="A57" s="293" t="s">
        <v>233</v>
      </c>
      <c r="B57" s="294">
        <f t="shared" si="8"/>
        <v>0.11</v>
      </c>
      <c r="C57" s="295">
        <v>4.5</v>
      </c>
      <c r="D57" s="192" t="s">
        <v>28</v>
      </c>
      <c r="E57" s="222" t="s">
        <v>234</v>
      </c>
      <c r="F57" s="325" t="s">
        <v>84</v>
      </c>
      <c r="G57" s="297">
        <v>16.177</v>
      </c>
      <c r="H57" s="194">
        <f t="shared" si="1"/>
        <v>194.12</v>
      </c>
      <c r="I57" s="195">
        <f t="shared" si="2"/>
        <v>215.64</v>
      </c>
      <c r="J57" s="194">
        <f t="shared" si="3"/>
        <v>226.48</v>
      </c>
      <c r="K57" s="326">
        <v>7.9978636758128108E-2</v>
      </c>
      <c r="L57" s="189">
        <f t="shared" si="4"/>
        <v>186.07</v>
      </c>
      <c r="M57" s="189">
        <f t="shared" si="5"/>
        <v>129.41</v>
      </c>
      <c r="N57" s="189">
        <f t="shared" si="6"/>
        <v>143.76</v>
      </c>
      <c r="O57" s="189">
        <f t="shared" si="7"/>
        <v>150.99</v>
      </c>
    </row>
    <row r="58" spans="1:15">
      <c r="A58" s="293" t="s">
        <v>233</v>
      </c>
      <c r="B58" s="294">
        <f t="shared" si="8"/>
        <v>0.13</v>
      </c>
      <c r="C58" s="295">
        <v>5</v>
      </c>
      <c r="D58" s="192" t="s">
        <v>28</v>
      </c>
      <c r="E58" s="222" t="s">
        <v>234</v>
      </c>
      <c r="F58" s="325" t="s">
        <v>84</v>
      </c>
      <c r="G58" s="297">
        <v>16.177</v>
      </c>
      <c r="H58" s="194">
        <f t="shared" si="1"/>
        <v>194.12</v>
      </c>
      <c r="I58" s="195">
        <f t="shared" si="2"/>
        <v>215.64</v>
      </c>
      <c r="J58" s="194">
        <f t="shared" si="3"/>
        <v>226.48</v>
      </c>
      <c r="K58" s="326">
        <v>7.9978636758128108E-2</v>
      </c>
      <c r="L58" s="189">
        <f t="shared" si="4"/>
        <v>186.07</v>
      </c>
      <c r="M58" s="189">
        <f t="shared" si="5"/>
        <v>129.41</v>
      </c>
      <c r="N58" s="189">
        <f t="shared" si="6"/>
        <v>143.76</v>
      </c>
      <c r="O58" s="189">
        <f t="shared" si="7"/>
        <v>150.99</v>
      </c>
    </row>
    <row r="59" spans="1:15">
      <c r="A59" s="293" t="s">
        <v>233</v>
      </c>
      <c r="B59" s="294">
        <f t="shared" si="8"/>
        <v>0.13</v>
      </c>
      <c r="C59" s="295">
        <v>5</v>
      </c>
      <c r="D59" s="192" t="s">
        <v>28</v>
      </c>
      <c r="E59" s="222" t="s">
        <v>234</v>
      </c>
      <c r="F59" s="325" t="s">
        <v>117</v>
      </c>
      <c r="G59" s="297">
        <v>18.702000000000002</v>
      </c>
      <c r="H59" s="194">
        <f t="shared" si="1"/>
        <v>224.42</v>
      </c>
      <c r="I59" s="195">
        <f t="shared" si="2"/>
        <v>249.3</v>
      </c>
      <c r="J59" s="194">
        <f t="shared" si="3"/>
        <v>261.83</v>
      </c>
      <c r="K59" s="326">
        <v>7.9979211179765697E-2</v>
      </c>
      <c r="L59" s="189">
        <f t="shared" si="4"/>
        <v>215.11</v>
      </c>
      <c r="M59" s="189">
        <f t="shared" si="5"/>
        <v>149.61000000000001</v>
      </c>
      <c r="N59" s="189">
        <f t="shared" si="6"/>
        <v>166.2</v>
      </c>
      <c r="O59" s="189">
        <f t="shared" si="7"/>
        <v>174.55</v>
      </c>
    </row>
    <row r="60" spans="1:15">
      <c r="A60" s="293" t="s">
        <v>233</v>
      </c>
      <c r="B60" s="294">
        <f t="shared" si="8"/>
        <v>0.13</v>
      </c>
      <c r="C60" s="295">
        <v>5</v>
      </c>
      <c r="D60" s="192" t="s">
        <v>28</v>
      </c>
      <c r="E60" s="222" t="s">
        <v>234</v>
      </c>
      <c r="F60" s="325" t="s">
        <v>86</v>
      </c>
      <c r="G60" s="297">
        <v>20.43</v>
      </c>
      <c r="H60" s="194">
        <f t="shared" si="1"/>
        <v>245.16</v>
      </c>
      <c r="I60" s="195">
        <f t="shared" si="2"/>
        <v>272.33</v>
      </c>
      <c r="J60" s="194">
        <f t="shared" si="3"/>
        <v>286.02</v>
      </c>
      <c r="K60" s="326">
        <v>9.9983847520594304E-2</v>
      </c>
      <c r="L60" s="189">
        <f t="shared" si="4"/>
        <v>234.99</v>
      </c>
      <c r="M60" s="189">
        <f t="shared" si="5"/>
        <v>163.44</v>
      </c>
      <c r="N60" s="189">
        <f t="shared" si="6"/>
        <v>181.55</v>
      </c>
      <c r="O60" s="189">
        <f t="shared" si="7"/>
        <v>190.68</v>
      </c>
    </row>
    <row r="61" spans="1:15">
      <c r="A61" s="293" t="s">
        <v>233</v>
      </c>
      <c r="B61" s="294">
        <f t="shared" si="8"/>
        <v>0.15</v>
      </c>
      <c r="C61" s="295">
        <v>6</v>
      </c>
      <c r="D61" s="192" t="s">
        <v>28</v>
      </c>
      <c r="E61" s="222" t="s">
        <v>234</v>
      </c>
      <c r="F61" s="325" t="s">
        <v>117</v>
      </c>
      <c r="G61" s="297">
        <v>18.783999999999999</v>
      </c>
      <c r="H61" s="194">
        <f t="shared" si="1"/>
        <v>225.41</v>
      </c>
      <c r="I61" s="195">
        <f t="shared" si="2"/>
        <v>250.39</v>
      </c>
      <c r="J61" s="194">
        <f t="shared" si="3"/>
        <v>262.98</v>
      </c>
      <c r="K61" s="326">
        <v>7.9974702466509395E-2</v>
      </c>
      <c r="L61" s="189">
        <f t="shared" si="4"/>
        <v>216.07</v>
      </c>
      <c r="M61" s="189">
        <f t="shared" si="5"/>
        <v>150.27000000000001</v>
      </c>
      <c r="N61" s="189">
        <f t="shared" si="6"/>
        <v>166.93</v>
      </c>
      <c r="O61" s="189">
        <f t="shared" si="7"/>
        <v>175.32</v>
      </c>
    </row>
    <row r="62" spans="1:15">
      <c r="A62" s="293" t="s">
        <v>233</v>
      </c>
      <c r="B62" s="294">
        <f t="shared" si="8"/>
        <v>0.15</v>
      </c>
      <c r="C62" s="295">
        <v>6</v>
      </c>
      <c r="D62" s="192" t="s">
        <v>28</v>
      </c>
      <c r="E62" s="222" t="s">
        <v>234</v>
      </c>
      <c r="F62" s="325" t="s">
        <v>86</v>
      </c>
      <c r="G62" s="297">
        <v>19.687000000000001</v>
      </c>
      <c r="H62" s="194">
        <f t="shared" si="1"/>
        <v>236.24</v>
      </c>
      <c r="I62" s="195">
        <f t="shared" si="2"/>
        <v>262.43</v>
      </c>
      <c r="J62" s="194">
        <f t="shared" si="3"/>
        <v>275.62</v>
      </c>
      <c r="K62" s="326">
        <v>5.9979540192752978E-2</v>
      </c>
      <c r="L62" s="189">
        <f t="shared" si="4"/>
        <v>226.44</v>
      </c>
      <c r="M62" s="189">
        <f t="shared" si="5"/>
        <v>157.49</v>
      </c>
      <c r="N62" s="189">
        <f t="shared" si="6"/>
        <v>174.95</v>
      </c>
      <c r="O62" s="189">
        <f t="shared" si="7"/>
        <v>183.75</v>
      </c>
    </row>
    <row r="63" spans="1:15">
      <c r="A63" s="293" t="s">
        <v>233</v>
      </c>
      <c r="B63" s="294">
        <f t="shared" si="8"/>
        <v>0.18</v>
      </c>
      <c r="C63" s="295">
        <v>7</v>
      </c>
      <c r="D63" s="192" t="s">
        <v>28</v>
      </c>
      <c r="E63" s="222" t="s">
        <v>234</v>
      </c>
      <c r="F63" s="325" t="s">
        <v>117</v>
      </c>
      <c r="G63" s="297">
        <v>19.815000000000001</v>
      </c>
      <c r="H63" s="194">
        <f t="shared" si="1"/>
        <v>237.78</v>
      </c>
      <c r="I63" s="195">
        <f t="shared" si="2"/>
        <v>264.13</v>
      </c>
      <c r="J63" s="194">
        <f t="shared" si="3"/>
        <v>277.41000000000003</v>
      </c>
      <c r="K63" s="326">
        <v>8.0013081157682464E-2</v>
      </c>
      <c r="L63" s="189">
        <f t="shared" si="4"/>
        <v>227.92</v>
      </c>
      <c r="M63" s="189">
        <f t="shared" si="5"/>
        <v>158.52000000000001</v>
      </c>
      <c r="N63" s="189">
        <f t="shared" si="6"/>
        <v>176.09</v>
      </c>
      <c r="O63" s="189">
        <f t="shared" si="7"/>
        <v>184.94</v>
      </c>
    </row>
    <row r="64" spans="1:15">
      <c r="A64" s="293" t="s">
        <v>233</v>
      </c>
      <c r="B64" s="294">
        <f t="shared" si="8"/>
        <v>0.18</v>
      </c>
      <c r="C64" s="295">
        <v>7</v>
      </c>
      <c r="D64" s="192" t="s">
        <v>28</v>
      </c>
      <c r="E64" s="222" t="s">
        <v>234</v>
      </c>
      <c r="F64" s="325" t="s">
        <v>87</v>
      </c>
      <c r="G64" s="297">
        <v>20.178000000000001</v>
      </c>
      <c r="H64" s="194">
        <f t="shared" si="1"/>
        <v>242.14</v>
      </c>
      <c r="I64" s="195">
        <f t="shared" si="2"/>
        <v>268.97000000000003</v>
      </c>
      <c r="J64" s="194">
        <f t="shared" si="3"/>
        <v>282.49</v>
      </c>
      <c r="K64" s="326">
        <v>5.9991594872872422E-2</v>
      </c>
      <c r="L64" s="189">
        <f t="shared" si="4"/>
        <v>232.1</v>
      </c>
      <c r="M64" s="189">
        <f t="shared" si="5"/>
        <v>161.43</v>
      </c>
      <c r="N64" s="189">
        <f t="shared" si="6"/>
        <v>179.31</v>
      </c>
      <c r="O64" s="189">
        <f t="shared" si="7"/>
        <v>188.33</v>
      </c>
    </row>
    <row r="65" spans="1:15">
      <c r="A65" s="293" t="s">
        <v>233</v>
      </c>
      <c r="B65" s="294">
        <f t="shared" si="8"/>
        <v>0.2</v>
      </c>
      <c r="C65" s="295">
        <v>8</v>
      </c>
      <c r="D65" s="192" t="s">
        <v>28</v>
      </c>
      <c r="E65" s="222" t="s">
        <v>234</v>
      </c>
      <c r="F65" s="325" t="s">
        <v>87</v>
      </c>
      <c r="G65" s="297">
        <v>20.559000000000001</v>
      </c>
      <c r="H65" s="194">
        <f t="shared" si="1"/>
        <v>246.71</v>
      </c>
      <c r="I65" s="195">
        <f t="shared" si="2"/>
        <v>274.05</v>
      </c>
      <c r="J65" s="194">
        <f t="shared" si="3"/>
        <v>287.83</v>
      </c>
      <c r="K65" s="326">
        <v>8.0006303845345572E-2</v>
      </c>
      <c r="L65" s="189">
        <f t="shared" si="4"/>
        <v>236.48</v>
      </c>
      <c r="M65" s="189">
        <f t="shared" si="5"/>
        <v>164.47</v>
      </c>
      <c r="N65" s="189">
        <f t="shared" si="6"/>
        <v>182.7</v>
      </c>
      <c r="O65" s="189">
        <f t="shared" si="7"/>
        <v>191.89</v>
      </c>
    </row>
    <row r="66" spans="1:15">
      <c r="A66" s="293" t="s">
        <v>233</v>
      </c>
      <c r="B66" s="294">
        <f t="shared" si="8"/>
        <v>0.25</v>
      </c>
      <c r="C66" s="295">
        <v>10</v>
      </c>
      <c r="D66" s="192" t="s">
        <v>28</v>
      </c>
      <c r="E66" s="222" t="s">
        <v>234</v>
      </c>
      <c r="F66" s="325" t="s">
        <v>89</v>
      </c>
      <c r="G66" s="297">
        <v>20.759</v>
      </c>
      <c r="H66" s="194">
        <f t="shared" si="1"/>
        <v>249.11</v>
      </c>
      <c r="I66" s="195">
        <f t="shared" si="2"/>
        <v>276.72000000000003</v>
      </c>
      <c r="J66" s="194">
        <f t="shared" si="3"/>
        <v>290.63</v>
      </c>
      <c r="K66" s="326">
        <v>8.0016648457416295E-2</v>
      </c>
      <c r="L66" s="189">
        <f t="shared" si="4"/>
        <v>238.78</v>
      </c>
      <c r="M66" s="189">
        <f t="shared" si="5"/>
        <v>166.07</v>
      </c>
      <c r="N66" s="189">
        <f t="shared" si="6"/>
        <v>184.48</v>
      </c>
      <c r="O66" s="189">
        <f t="shared" si="7"/>
        <v>193.75</v>
      </c>
    </row>
    <row r="67" spans="1:15">
      <c r="A67" s="293" t="s">
        <v>233</v>
      </c>
      <c r="B67" s="294">
        <f t="shared" si="8"/>
        <v>0.3</v>
      </c>
      <c r="C67" s="295">
        <v>12</v>
      </c>
      <c r="D67" s="192" t="s">
        <v>28</v>
      </c>
      <c r="E67" s="222" t="s">
        <v>234</v>
      </c>
      <c r="F67" s="325" t="s">
        <v>167</v>
      </c>
      <c r="G67" s="297">
        <v>22.739000000000001</v>
      </c>
      <c r="H67" s="194">
        <f t="shared" si="1"/>
        <v>272.87</v>
      </c>
      <c r="I67" s="195">
        <f t="shared" si="2"/>
        <v>303.11</v>
      </c>
      <c r="J67" s="194">
        <f t="shared" si="3"/>
        <v>318.35000000000002</v>
      </c>
      <c r="K67" s="326">
        <v>7.998100213725956E-2</v>
      </c>
      <c r="L67" s="189">
        <f t="shared" si="4"/>
        <v>261.56</v>
      </c>
      <c r="M67" s="189">
        <f t="shared" si="5"/>
        <v>181.91</v>
      </c>
      <c r="N67" s="189">
        <f t="shared" si="6"/>
        <v>202.07</v>
      </c>
      <c r="O67" s="189">
        <f t="shared" si="7"/>
        <v>212.23</v>
      </c>
    </row>
    <row r="68" spans="1:15">
      <c r="A68" s="293" t="s">
        <v>233</v>
      </c>
      <c r="B68" s="294">
        <f t="shared" si="8"/>
        <v>0.38</v>
      </c>
      <c r="C68" s="295">
        <v>15</v>
      </c>
      <c r="D68" s="192" t="s">
        <v>28</v>
      </c>
      <c r="E68" s="222" t="s">
        <v>234</v>
      </c>
      <c r="F68" s="325" t="s">
        <v>90</v>
      </c>
      <c r="G68" s="297">
        <v>23.611999999999998</v>
      </c>
      <c r="H68" s="194">
        <f t="shared" si="1"/>
        <v>283.33999999999997</v>
      </c>
      <c r="I68" s="195">
        <f t="shared" si="2"/>
        <v>314.75</v>
      </c>
      <c r="J68" s="194">
        <f t="shared" si="3"/>
        <v>330.57</v>
      </c>
      <c r="K68" s="326">
        <v>0.10002329373398555</v>
      </c>
      <c r="L68" s="189">
        <f t="shared" si="4"/>
        <v>271.60000000000002</v>
      </c>
      <c r="M68" s="189">
        <f t="shared" si="5"/>
        <v>188.89</v>
      </c>
      <c r="N68" s="189">
        <f t="shared" si="6"/>
        <v>209.83</v>
      </c>
      <c r="O68" s="189">
        <f t="shared" si="7"/>
        <v>220.38</v>
      </c>
    </row>
    <row r="69" spans="1:15">
      <c r="A69" s="293" t="s">
        <v>233</v>
      </c>
      <c r="B69" s="294">
        <f t="shared" si="8"/>
        <v>0.41</v>
      </c>
      <c r="C69" s="295">
        <v>16</v>
      </c>
      <c r="D69" s="192" t="s">
        <v>28</v>
      </c>
      <c r="E69" s="222" t="s">
        <v>234</v>
      </c>
      <c r="F69" s="325" t="s">
        <v>219</v>
      </c>
      <c r="G69" s="297">
        <v>30.709</v>
      </c>
      <c r="H69" s="194">
        <f t="shared" si="1"/>
        <v>368.51</v>
      </c>
      <c r="I69" s="195">
        <f t="shared" si="2"/>
        <v>409.35</v>
      </c>
      <c r="J69" s="194">
        <f t="shared" si="3"/>
        <v>429.93</v>
      </c>
      <c r="K69" s="326">
        <v>0.10001074614034455</v>
      </c>
      <c r="L69" s="189">
        <f t="shared" si="4"/>
        <v>353.23</v>
      </c>
      <c r="M69" s="189">
        <f t="shared" si="5"/>
        <v>245.67</v>
      </c>
      <c r="N69" s="189">
        <f t="shared" si="6"/>
        <v>272.89999999999998</v>
      </c>
      <c r="O69" s="189">
        <f t="shared" si="7"/>
        <v>286.62</v>
      </c>
    </row>
    <row r="70" spans="1:15">
      <c r="A70" s="293" t="s">
        <v>233</v>
      </c>
      <c r="B70" s="294">
        <f t="shared" si="8"/>
        <v>0.41</v>
      </c>
      <c r="C70" s="295">
        <v>16</v>
      </c>
      <c r="D70" s="192" t="s">
        <v>28</v>
      </c>
      <c r="E70" s="222" t="s">
        <v>234</v>
      </c>
      <c r="F70" s="325" t="s">
        <v>219</v>
      </c>
      <c r="G70" s="297">
        <v>28.754999999999999</v>
      </c>
      <c r="H70" s="194">
        <f t="shared" si="1"/>
        <v>345.06</v>
      </c>
      <c r="I70" s="195">
        <f t="shared" si="2"/>
        <v>383.3</v>
      </c>
      <c r="J70" s="194">
        <f t="shared" si="3"/>
        <v>402.57</v>
      </c>
      <c r="K70" s="326">
        <v>3.00175520292294E-2</v>
      </c>
      <c r="L70" s="189">
        <f t="shared" si="4"/>
        <v>330.76</v>
      </c>
      <c r="M70" s="189">
        <f t="shared" si="5"/>
        <v>230.04</v>
      </c>
      <c r="N70" s="189">
        <f t="shared" si="6"/>
        <v>255.53</v>
      </c>
      <c r="O70" s="189">
        <f t="shared" si="7"/>
        <v>268.38</v>
      </c>
    </row>
    <row r="71" spans="1:15">
      <c r="A71" s="293" t="s">
        <v>233</v>
      </c>
      <c r="B71" s="294">
        <f t="shared" si="8"/>
        <v>0.51</v>
      </c>
      <c r="C71" s="295">
        <v>20</v>
      </c>
      <c r="D71" s="192" t="s">
        <v>28</v>
      </c>
      <c r="E71" s="222" t="s">
        <v>234</v>
      </c>
      <c r="F71" s="325" t="s">
        <v>91</v>
      </c>
      <c r="G71" s="297">
        <v>39.093000000000004</v>
      </c>
      <c r="H71" s="194">
        <f t="shared" si="1"/>
        <v>469.12</v>
      </c>
      <c r="I71" s="195">
        <f t="shared" si="2"/>
        <v>521.11</v>
      </c>
      <c r="J71" s="194">
        <f t="shared" si="3"/>
        <v>547.29999999999995</v>
      </c>
      <c r="K71" s="326">
        <v>3.0010012119934704E-2</v>
      </c>
      <c r="L71" s="189">
        <f t="shared" si="4"/>
        <v>449.67</v>
      </c>
      <c r="M71" s="189">
        <f t="shared" si="5"/>
        <v>312.75</v>
      </c>
      <c r="N71" s="189">
        <f t="shared" si="6"/>
        <v>347.41</v>
      </c>
      <c r="O71" s="189">
        <f t="shared" si="7"/>
        <v>364.87</v>
      </c>
    </row>
    <row r="72" spans="1:15">
      <c r="A72" s="293" t="s">
        <v>233</v>
      </c>
      <c r="B72" s="294">
        <f t="shared" si="8"/>
        <v>0.61</v>
      </c>
      <c r="C72" s="295">
        <v>24</v>
      </c>
      <c r="D72" s="192" t="s">
        <v>28</v>
      </c>
      <c r="E72" s="222" t="s">
        <v>234</v>
      </c>
      <c r="F72" s="325" t="s">
        <v>91</v>
      </c>
      <c r="G72" s="297">
        <v>39.917000000000002</v>
      </c>
      <c r="H72" s="194">
        <f t="shared" si="1"/>
        <v>479</v>
      </c>
      <c r="I72" s="195">
        <f t="shared" si="2"/>
        <v>532.09</v>
      </c>
      <c r="J72" s="194">
        <f t="shared" si="3"/>
        <v>558.84</v>
      </c>
      <c r="K72" s="326">
        <v>3.0009805439438653E-2</v>
      </c>
      <c r="L72" s="189">
        <f t="shared" si="4"/>
        <v>459.14</v>
      </c>
      <c r="M72" s="189">
        <f t="shared" si="5"/>
        <v>319.33</v>
      </c>
      <c r="N72" s="189">
        <f t="shared" si="6"/>
        <v>354.73</v>
      </c>
      <c r="O72" s="189">
        <f t="shared" si="7"/>
        <v>372.56</v>
      </c>
    </row>
    <row r="73" spans="1:15">
      <c r="A73" s="293" t="s">
        <v>233</v>
      </c>
      <c r="B73" s="294">
        <f t="shared" si="8"/>
        <v>0.64</v>
      </c>
      <c r="C73" s="295">
        <v>25</v>
      </c>
      <c r="D73" s="192" t="s">
        <v>28</v>
      </c>
      <c r="E73" s="222" t="s">
        <v>234</v>
      </c>
      <c r="F73" s="325" t="s">
        <v>88</v>
      </c>
      <c r="G73" s="297">
        <v>49.037999999999997</v>
      </c>
      <c r="H73" s="194">
        <f t="shared" si="1"/>
        <v>588.46</v>
      </c>
      <c r="I73" s="195">
        <f t="shared" si="2"/>
        <v>653.67999999999995</v>
      </c>
      <c r="J73" s="194">
        <f t="shared" si="3"/>
        <v>686.53</v>
      </c>
      <c r="K73" s="326">
        <v>2.9993698802772473E-2</v>
      </c>
      <c r="L73" s="189">
        <f t="shared" si="4"/>
        <v>564.05999999999995</v>
      </c>
      <c r="M73" s="189">
        <f t="shared" si="5"/>
        <v>392.31</v>
      </c>
      <c r="N73" s="189">
        <f t="shared" si="6"/>
        <v>435.79</v>
      </c>
      <c r="O73" s="189">
        <f t="shared" si="7"/>
        <v>457.69</v>
      </c>
    </row>
    <row r="74" spans="1:15">
      <c r="A74" s="293" t="s">
        <v>233</v>
      </c>
      <c r="B74" s="294">
        <f t="shared" si="8"/>
        <v>0.71</v>
      </c>
      <c r="C74" s="295">
        <v>28</v>
      </c>
      <c r="D74" s="192" t="s">
        <v>28</v>
      </c>
      <c r="E74" s="222" t="s">
        <v>234</v>
      </c>
      <c r="F74" s="325" t="s">
        <v>88</v>
      </c>
      <c r="G74" s="297">
        <v>49.436</v>
      </c>
      <c r="H74" s="194">
        <f t="shared" si="1"/>
        <v>593.23</v>
      </c>
      <c r="I74" s="195">
        <f t="shared" si="2"/>
        <v>658.98</v>
      </c>
      <c r="J74" s="194">
        <f t="shared" si="3"/>
        <v>692.1</v>
      </c>
      <c r="K74" s="326">
        <v>3.0002500208350602E-2</v>
      </c>
      <c r="L74" s="189">
        <f t="shared" si="4"/>
        <v>568.64</v>
      </c>
      <c r="M74" s="189">
        <f t="shared" si="5"/>
        <v>395.49</v>
      </c>
      <c r="N74" s="189">
        <f t="shared" si="6"/>
        <v>439.32</v>
      </c>
      <c r="O74" s="189">
        <f t="shared" si="7"/>
        <v>461.4</v>
      </c>
    </row>
    <row r="75" spans="1:15">
      <c r="A75" s="293" t="s">
        <v>233</v>
      </c>
      <c r="B75" s="294">
        <f t="shared" si="8"/>
        <v>0.76</v>
      </c>
      <c r="C75" s="295">
        <v>30</v>
      </c>
      <c r="D75" s="192" t="s">
        <v>28</v>
      </c>
      <c r="E75" s="222" t="s">
        <v>234</v>
      </c>
      <c r="F75" s="325" t="s">
        <v>131</v>
      </c>
      <c r="G75" s="297">
        <v>49.436</v>
      </c>
      <c r="H75" s="194">
        <f t="shared" si="1"/>
        <v>593.23</v>
      </c>
      <c r="I75" s="195">
        <f t="shared" si="2"/>
        <v>658.98</v>
      </c>
      <c r="J75" s="194">
        <f t="shared" si="3"/>
        <v>692.1</v>
      </c>
      <c r="K75" s="326">
        <v>3.0002500208350602E-2</v>
      </c>
      <c r="L75" s="189">
        <f t="shared" si="4"/>
        <v>568.64</v>
      </c>
      <c r="M75" s="189">
        <f t="shared" si="5"/>
        <v>395.49</v>
      </c>
      <c r="N75" s="189">
        <f t="shared" si="6"/>
        <v>439.32</v>
      </c>
      <c r="O75" s="189">
        <f t="shared" si="7"/>
        <v>461.4</v>
      </c>
    </row>
    <row r="76" spans="1:15">
      <c r="A76" s="293" t="s">
        <v>233</v>
      </c>
      <c r="B76" s="294">
        <f t="shared" si="8"/>
        <v>0.97</v>
      </c>
      <c r="C76" s="295">
        <v>38</v>
      </c>
      <c r="D76" s="192" t="s">
        <v>28</v>
      </c>
      <c r="E76" s="222" t="s">
        <v>234</v>
      </c>
      <c r="F76" s="325" t="s">
        <v>133</v>
      </c>
      <c r="G76" s="297">
        <v>63.594999999999999</v>
      </c>
      <c r="H76" s="194">
        <f t="shared" si="1"/>
        <v>763.14</v>
      </c>
      <c r="I76" s="195">
        <f t="shared" si="2"/>
        <v>847.72</v>
      </c>
      <c r="J76" s="194">
        <f t="shared" si="3"/>
        <v>890.33</v>
      </c>
      <c r="K76" s="326">
        <v>2.9995303111283844E-2</v>
      </c>
      <c r="L76" s="189">
        <f t="shared" si="4"/>
        <v>731.51</v>
      </c>
      <c r="M76" s="189">
        <f t="shared" si="5"/>
        <v>508.76</v>
      </c>
      <c r="N76" s="189">
        <f t="shared" si="6"/>
        <v>565.15</v>
      </c>
      <c r="O76" s="189">
        <f t="shared" si="7"/>
        <v>593.54999999999995</v>
      </c>
    </row>
    <row r="77" spans="1:15">
      <c r="A77" s="293" t="s">
        <v>233</v>
      </c>
      <c r="B77" s="294">
        <f>ROUND(C77*0.0254,3)</f>
        <v>5.0999999999999997E-2</v>
      </c>
      <c r="C77" s="295">
        <v>2</v>
      </c>
      <c r="D77" s="192" t="s">
        <v>138</v>
      </c>
      <c r="E77" s="327" t="s">
        <v>236</v>
      </c>
      <c r="F77" s="325" t="s">
        <v>217</v>
      </c>
      <c r="G77" s="297">
        <v>19.904</v>
      </c>
      <c r="H77" s="194">
        <f t="shared" si="1"/>
        <v>238.85</v>
      </c>
      <c r="I77" s="195">
        <f t="shared" si="2"/>
        <v>265.32</v>
      </c>
      <c r="J77" s="194">
        <f t="shared" si="3"/>
        <v>278.66000000000003</v>
      </c>
      <c r="K77" s="326">
        <v>3.0014489753674045E-2</v>
      </c>
      <c r="L77" s="189">
        <f t="shared" si="4"/>
        <v>228.95</v>
      </c>
      <c r="M77" s="189">
        <f t="shared" si="5"/>
        <v>159.22999999999999</v>
      </c>
      <c r="N77" s="189">
        <f t="shared" si="6"/>
        <v>176.88</v>
      </c>
      <c r="O77" s="189">
        <f t="shared" si="7"/>
        <v>185.77</v>
      </c>
    </row>
    <row r="78" spans="1:15">
      <c r="A78" s="293" t="s">
        <v>233</v>
      </c>
      <c r="B78" s="294">
        <f t="shared" ref="B78:B83" si="10">ROUND(C78*0.0254,3)</f>
        <v>5.0999999999999997E-2</v>
      </c>
      <c r="C78" s="295">
        <v>2</v>
      </c>
      <c r="D78" s="192" t="s">
        <v>138</v>
      </c>
      <c r="E78" s="327" t="s">
        <v>236</v>
      </c>
      <c r="F78" s="325" t="s">
        <v>120</v>
      </c>
      <c r="G78" s="297">
        <v>20.87</v>
      </c>
      <c r="H78" s="194">
        <f t="shared" si="1"/>
        <v>250.44</v>
      </c>
      <c r="I78" s="195">
        <f t="shared" si="2"/>
        <v>278.2</v>
      </c>
      <c r="J78" s="194">
        <f t="shared" si="3"/>
        <v>292.18</v>
      </c>
      <c r="K78" s="326">
        <v>8.0004139929621187E-2</v>
      </c>
      <c r="L78" s="189">
        <f t="shared" si="4"/>
        <v>240.05</v>
      </c>
      <c r="M78" s="189">
        <f t="shared" si="5"/>
        <v>166.96</v>
      </c>
      <c r="N78" s="189">
        <f t="shared" si="6"/>
        <v>185.47</v>
      </c>
      <c r="O78" s="189">
        <f t="shared" si="7"/>
        <v>194.79</v>
      </c>
    </row>
    <row r="79" spans="1:15">
      <c r="A79" s="293" t="s">
        <v>233</v>
      </c>
      <c r="B79" s="294">
        <f t="shared" si="10"/>
        <v>7.5999999999999998E-2</v>
      </c>
      <c r="C79" s="295">
        <v>3</v>
      </c>
      <c r="D79" s="192" t="s">
        <v>138</v>
      </c>
      <c r="E79" s="327" t="s">
        <v>236</v>
      </c>
      <c r="F79" s="325" t="s">
        <v>81</v>
      </c>
      <c r="G79" s="297">
        <v>20.765000000000001</v>
      </c>
      <c r="H79" s="194">
        <f t="shared" si="1"/>
        <v>249.18</v>
      </c>
      <c r="I79" s="195">
        <f t="shared" si="2"/>
        <v>276.8</v>
      </c>
      <c r="J79" s="194">
        <f t="shared" si="3"/>
        <v>290.70999999999998</v>
      </c>
      <c r="K79" s="326">
        <v>7.9991678368960262E-2</v>
      </c>
      <c r="L79" s="189">
        <f t="shared" si="4"/>
        <v>238.85</v>
      </c>
      <c r="M79" s="189">
        <f t="shared" si="5"/>
        <v>166.12</v>
      </c>
      <c r="N79" s="189">
        <f t="shared" si="6"/>
        <v>184.53</v>
      </c>
      <c r="O79" s="189">
        <f t="shared" si="7"/>
        <v>193.81</v>
      </c>
    </row>
    <row r="80" spans="1:15">
      <c r="A80" s="293" t="s">
        <v>233</v>
      </c>
      <c r="B80" s="294">
        <f t="shared" si="10"/>
        <v>7.5999999999999998E-2</v>
      </c>
      <c r="C80" s="295">
        <v>3</v>
      </c>
      <c r="D80" s="192" t="s">
        <v>138</v>
      </c>
      <c r="E80" s="327" t="s">
        <v>236</v>
      </c>
      <c r="F80" s="325" t="s">
        <v>122</v>
      </c>
      <c r="G80" s="297">
        <v>20.765000000000001</v>
      </c>
      <c r="H80" s="194">
        <f t="shared" si="1"/>
        <v>249.18</v>
      </c>
      <c r="I80" s="195">
        <f t="shared" si="2"/>
        <v>276.8</v>
      </c>
      <c r="J80" s="194">
        <f t="shared" ref="J80:J124" si="11">ROUND(G80*14,2)</f>
        <v>290.70999999999998</v>
      </c>
      <c r="K80" s="326">
        <v>7.9991678368960262E-2</v>
      </c>
      <c r="L80" s="189">
        <f t="shared" ref="L80:L124" si="12">ROUND(ROUND(ROUND(G80*12,2)*43/48,2)*1.07,2)</f>
        <v>238.85</v>
      </c>
      <c r="M80" s="189">
        <f t="shared" ref="M80:M124" si="13">ROUND(ROUND(G80*12,2)*2/3,2)</f>
        <v>166.12</v>
      </c>
      <c r="N80" s="189">
        <f t="shared" ref="N80:N124" si="14">ROUND(ROUND(G80*13.33,2)*2/3,2)</f>
        <v>184.53</v>
      </c>
      <c r="O80" s="189">
        <f t="shared" ref="O80:O124" si="15">ROUND(ROUND(G80*14,2)*2/3,2)</f>
        <v>193.81</v>
      </c>
    </row>
    <row r="81" spans="1:15">
      <c r="A81" s="293" t="s">
        <v>233</v>
      </c>
      <c r="B81" s="294">
        <f t="shared" si="10"/>
        <v>8.8999999999999996E-2</v>
      </c>
      <c r="C81" s="295">
        <v>3.5</v>
      </c>
      <c r="D81" s="192" t="s">
        <v>138</v>
      </c>
      <c r="E81" s="327" t="s">
        <v>236</v>
      </c>
      <c r="F81" s="325" t="s">
        <v>122</v>
      </c>
      <c r="G81" s="297">
        <v>21.524000000000001</v>
      </c>
      <c r="H81" s="194">
        <f t="shared" si="1"/>
        <v>258.29000000000002</v>
      </c>
      <c r="I81" s="195">
        <f t="shared" si="2"/>
        <v>286.91000000000003</v>
      </c>
      <c r="J81" s="194">
        <f t="shared" si="11"/>
        <v>301.33999999999997</v>
      </c>
      <c r="K81" s="326">
        <v>7.9979929754139478E-2</v>
      </c>
      <c r="L81" s="189">
        <f t="shared" si="12"/>
        <v>247.58</v>
      </c>
      <c r="M81" s="189">
        <f t="shared" si="13"/>
        <v>172.19</v>
      </c>
      <c r="N81" s="189">
        <f t="shared" si="14"/>
        <v>191.27</v>
      </c>
      <c r="O81" s="189">
        <f t="shared" si="15"/>
        <v>200.89</v>
      </c>
    </row>
    <row r="82" spans="1:15">
      <c r="A82" s="293" t="s">
        <v>233</v>
      </c>
      <c r="B82" s="294">
        <f t="shared" si="10"/>
        <v>8.8999999999999996E-2</v>
      </c>
      <c r="C82" s="295">
        <v>3.5</v>
      </c>
      <c r="D82" s="192" t="s">
        <v>138</v>
      </c>
      <c r="E82" s="327" t="s">
        <v>236</v>
      </c>
      <c r="F82" s="325" t="s">
        <v>83</v>
      </c>
      <c r="G82" s="297">
        <v>20.882000000000001</v>
      </c>
      <c r="H82" s="194">
        <f t="shared" si="1"/>
        <v>250.58</v>
      </c>
      <c r="I82" s="195">
        <f t="shared" ref="I82:I124" si="16">ROUND(G82*13.33,2)</f>
        <v>278.36</v>
      </c>
      <c r="J82" s="194">
        <f t="shared" si="11"/>
        <v>292.35000000000002</v>
      </c>
      <c r="K82" s="326">
        <v>8.00103439358677E-2</v>
      </c>
      <c r="L82" s="189">
        <f t="shared" si="12"/>
        <v>240.19</v>
      </c>
      <c r="M82" s="189">
        <f t="shared" si="13"/>
        <v>167.05</v>
      </c>
      <c r="N82" s="189">
        <f t="shared" si="14"/>
        <v>185.57</v>
      </c>
      <c r="O82" s="189">
        <f t="shared" si="15"/>
        <v>194.9</v>
      </c>
    </row>
    <row r="83" spans="1:15">
      <c r="A83" s="293" t="s">
        <v>233</v>
      </c>
      <c r="B83" s="294">
        <f t="shared" si="10"/>
        <v>8.8999999999999996E-2</v>
      </c>
      <c r="C83" s="295">
        <v>3.5</v>
      </c>
      <c r="D83" s="192" t="s">
        <v>138</v>
      </c>
      <c r="E83" s="327" t="s">
        <v>236</v>
      </c>
      <c r="F83" s="325" t="s">
        <v>183</v>
      </c>
      <c r="G83" s="297">
        <v>22.571999999999999</v>
      </c>
      <c r="H83" s="194">
        <f t="shared" si="1"/>
        <v>270.86</v>
      </c>
      <c r="I83" s="195">
        <f t="shared" si="16"/>
        <v>300.88</v>
      </c>
      <c r="J83" s="194">
        <f t="shared" si="11"/>
        <v>316.01</v>
      </c>
      <c r="K83" s="326">
        <v>8.0000000000000071E-2</v>
      </c>
      <c r="L83" s="189">
        <f t="shared" si="12"/>
        <v>259.64</v>
      </c>
      <c r="M83" s="189">
        <f t="shared" si="13"/>
        <v>180.57</v>
      </c>
      <c r="N83" s="189">
        <f t="shared" si="14"/>
        <v>200.59</v>
      </c>
      <c r="O83" s="189">
        <f t="shared" si="15"/>
        <v>210.67</v>
      </c>
    </row>
    <row r="84" spans="1:15">
      <c r="A84" s="293" t="s">
        <v>233</v>
      </c>
      <c r="B84" s="294">
        <f t="shared" ref="B84:B124" si="17">ROUND(C84*0.0254,2)</f>
        <v>0.1</v>
      </c>
      <c r="C84" s="295">
        <v>4</v>
      </c>
      <c r="D84" s="192" t="s">
        <v>138</v>
      </c>
      <c r="E84" s="327" t="s">
        <v>236</v>
      </c>
      <c r="F84" s="325" t="s">
        <v>122</v>
      </c>
      <c r="G84" s="297">
        <v>21.51</v>
      </c>
      <c r="H84" s="194">
        <f t="shared" si="1"/>
        <v>258.12</v>
      </c>
      <c r="I84" s="195">
        <f t="shared" si="16"/>
        <v>286.73</v>
      </c>
      <c r="J84" s="194">
        <f t="shared" si="11"/>
        <v>301.14</v>
      </c>
      <c r="K84" s="326">
        <v>7.9981924988703046E-2</v>
      </c>
      <c r="L84" s="189">
        <f t="shared" si="12"/>
        <v>247.42</v>
      </c>
      <c r="M84" s="189">
        <f t="shared" si="13"/>
        <v>172.08</v>
      </c>
      <c r="N84" s="189">
        <f t="shared" si="14"/>
        <v>191.15</v>
      </c>
      <c r="O84" s="189">
        <f t="shared" si="15"/>
        <v>200.76</v>
      </c>
    </row>
    <row r="85" spans="1:15">
      <c r="A85" s="293" t="s">
        <v>233</v>
      </c>
      <c r="B85" s="294">
        <f t="shared" si="17"/>
        <v>0.1</v>
      </c>
      <c r="C85" s="295">
        <v>4</v>
      </c>
      <c r="D85" s="192" t="s">
        <v>138</v>
      </c>
      <c r="E85" s="327" t="s">
        <v>236</v>
      </c>
      <c r="F85" s="325" t="s">
        <v>83</v>
      </c>
      <c r="G85" s="297">
        <v>21.12</v>
      </c>
      <c r="H85" s="194">
        <f t="shared" si="1"/>
        <v>253.44</v>
      </c>
      <c r="I85" s="195">
        <f t="shared" si="16"/>
        <v>281.52999999999997</v>
      </c>
      <c r="J85" s="194">
        <f t="shared" si="11"/>
        <v>295.68</v>
      </c>
      <c r="K85" s="326">
        <v>7.997545510329318E-2</v>
      </c>
      <c r="L85" s="189">
        <f t="shared" si="12"/>
        <v>242.93</v>
      </c>
      <c r="M85" s="189">
        <f t="shared" si="13"/>
        <v>168.96</v>
      </c>
      <c r="N85" s="189">
        <f t="shared" si="14"/>
        <v>187.69</v>
      </c>
      <c r="O85" s="189">
        <f t="shared" si="15"/>
        <v>197.12</v>
      </c>
    </row>
    <row r="86" spans="1:15" ht="14.4" customHeight="1">
      <c r="A86" s="293" t="s">
        <v>233</v>
      </c>
      <c r="B86" s="294">
        <f t="shared" si="17"/>
        <v>0.1</v>
      </c>
      <c r="C86" s="295">
        <v>4</v>
      </c>
      <c r="D86" s="192" t="s">
        <v>138</v>
      </c>
      <c r="E86" s="327" t="s">
        <v>236</v>
      </c>
      <c r="F86" s="325" t="s">
        <v>166</v>
      </c>
      <c r="G86" s="297">
        <v>22.436</v>
      </c>
      <c r="H86" s="194">
        <f t="shared" si="1"/>
        <v>269.23</v>
      </c>
      <c r="I86" s="195">
        <f t="shared" si="16"/>
        <v>299.07</v>
      </c>
      <c r="J86" s="194">
        <f t="shared" si="11"/>
        <v>314.10000000000002</v>
      </c>
      <c r="K86" s="326">
        <v>8.0003850967555579E-2</v>
      </c>
      <c r="L86" s="189">
        <f t="shared" si="12"/>
        <v>258.07</v>
      </c>
      <c r="M86" s="189">
        <f t="shared" si="13"/>
        <v>179.49</v>
      </c>
      <c r="N86" s="189">
        <f t="shared" si="14"/>
        <v>199.38</v>
      </c>
      <c r="O86" s="189">
        <f t="shared" si="15"/>
        <v>209.4</v>
      </c>
    </row>
    <row r="87" spans="1:15">
      <c r="A87" s="293" t="s">
        <v>233</v>
      </c>
      <c r="B87" s="294">
        <f t="shared" si="17"/>
        <v>0.13</v>
      </c>
      <c r="C87" s="295">
        <v>5</v>
      </c>
      <c r="D87" s="192" t="s">
        <v>138</v>
      </c>
      <c r="E87" s="327" t="s">
        <v>236</v>
      </c>
      <c r="F87" s="325" t="s">
        <v>166</v>
      </c>
      <c r="G87" s="297">
        <v>22.41</v>
      </c>
      <c r="H87" s="194">
        <f t="shared" si="1"/>
        <v>268.92</v>
      </c>
      <c r="I87" s="195">
        <f t="shared" si="16"/>
        <v>298.73</v>
      </c>
      <c r="J87" s="194">
        <f t="shared" si="11"/>
        <v>313.74</v>
      </c>
      <c r="K87" s="326">
        <v>8.0000000000000071E-2</v>
      </c>
      <c r="L87" s="189">
        <f t="shared" si="12"/>
        <v>257.77</v>
      </c>
      <c r="M87" s="189">
        <f t="shared" si="13"/>
        <v>179.28</v>
      </c>
      <c r="N87" s="189">
        <f t="shared" si="14"/>
        <v>199.15</v>
      </c>
      <c r="O87" s="189">
        <f t="shared" si="15"/>
        <v>209.16</v>
      </c>
    </row>
    <row r="88" spans="1:15">
      <c r="A88" s="293" t="s">
        <v>233</v>
      </c>
      <c r="B88" s="294">
        <f t="shared" si="17"/>
        <v>0.13</v>
      </c>
      <c r="C88" s="295">
        <v>5</v>
      </c>
      <c r="D88" s="192" t="s">
        <v>138</v>
      </c>
      <c r="E88" s="327" t="s">
        <v>236</v>
      </c>
      <c r="F88" s="325" t="s">
        <v>84</v>
      </c>
      <c r="G88" s="297">
        <v>21.591999999999999</v>
      </c>
      <c r="H88" s="194">
        <f t="shared" si="1"/>
        <v>259.10000000000002</v>
      </c>
      <c r="I88" s="195">
        <f t="shared" si="16"/>
        <v>287.82</v>
      </c>
      <c r="J88" s="194">
        <f t="shared" si="11"/>
        <v>302.29000000000002</v>
      </c>
      <c r="K88" s="326">
        <v>7.9977992297304068E-2</v>
      </c>
      <c r="L88" s="189">
        <f t="shared" si="12"/>
        <v>248.36</v>
      </c>
      <c r="M88" s="189">
        <f t="shared" si="13"/>
        <v>172.73</v>
      </c>
      <c r="N88" s="189">
        <f t="shared" si="14"/>
        <v>191.88</v>
      </c>
      <c r="O88" s="189">
        <f t="shared" si="15"/>
        <v>201.53</v>
      </c>
    </row>
    <row r="89" spans="1:15">
      <c r="A89" s="293" t="s">
        <v>233</v>
      </c>
      <c r="B89" s="294">
        <f t="shared" si="17"/>
        <v>0.13</v>
      </c>
      <c r="C89" s="295">
        <v>5</v>
      </c>
      <c r="D89" s="192" t="s">
        <v>138</v>
      </c>
      <c r="E89" s="327" t="s">
        <v>236</v>
      </c>
      <c r="F89" s="325" t="s">
        <v>117</v>
      </c>
      <c r="G89" s="297">
        <v>21.887</v>
      </c>
      <c r="H89" s="194">
        <f t="shared" si="1"/>
        <v>262.64</v>
      </c>
      <c r="I89" s="195">
        <f t="shared" si="16"/>
        <v>291.75</v>
      </c>
      <c r="J89" s="194">
        <f t="shared" si="11"/>
        <v>306.42</v>
      </c>
      <c r="K89" s="326">
        <v>7.9986183756044715E-2</v>
      </c>
      <c r="L89" s="189">
        <f t="shared" si="12"/>
        <v>251.75</v>
      </c>
      <c r="M89" s="189">
        <f t="shared" si="13"/>
        <v>175.09</v>
      </c>
      <c r="N89" s="189">
        <f t="shared" si="14"/>
        <v>194.5</v>
      </c>
      <c r="O89" s="189">
        <f t="shared" si="15"/>
        <v>204.28</v>
      </c>
    </row>
    <row r="90" spans="1:15">
      <c r="A90" s="293" t="s">
        <v>233</v>
      </c>
      <c r="B90" s="294">
        <f t="shared" si="17"/>
        <v>0.13</v>
      </c>
      <c r="C90" s="295">
        <v>5</v>
      </c>
      <c r="D90" s="192" t="s">
        <v>138</v>
      </c>
      <c r="E90" s="327" t="s">
        <v>236</v>
      </c>
      <c r="F90" s="325" t="s">
        <v>86</v>
      </c>
      <c r="G90" s="297">
        <v>22.082000000000001</v>
      </c>
      <c r="H90" s="194">
        <f t="shared" si="1"/>
        <v>264.98</v>
      </c>
      <c r="I90" s="195">
        <f t="shared" si="16"/>
        <v>294.35000000000002</v>
      </c>
      <c r="J90" s="194">
        <f t="shared" si="11"/>
        <v>309.14999999999998</v>
      </c>
      <c r="K90" s="326">
        <v>8.0015650983077391E-2</v>
      </c>
      <c r="L90" s="189">
        <f t="shared" si="12"/>
        <v>254</v>
      </c>
      <c r="M90" s="189">
        <f t="shared" si="13"/>
        <v>176.65</v>
      </c>
      <c r="N90" s="189">
        <f t="shared" si="14"/>
        <v>196.23</v>
      </c>
      <c r="O90" s="189">
        <f t="shared" si="15"/>
        <v>206.1</v>
      </c>
    </row>
    <row r="91" spans="1:15">
      <c r="A91" s="293" t="s">
        <v>233</v>
      </c>
      <c r="B91" s="294">
        <f t="shared" si="17"/>
        <v>0.15</v>
      </c>
      <c r="C91" s="295">
        <v>6</v>
      </c>
      <c r="D91" s="192" t="s">
        <v>138</v>
      </c>
      <c r="E91" s="327" t="s">
        <v>236</v>
      </c>
      <c r="F91" s="325" t="s">
        <v>117</v>
      </c>
      <c r="G91" s="297">
        <v>23.117999999999999</v>
      </c>
      <c r="H91" s="194">
        <f t="shared" si="1"/>
        <v>277.42</v>
      </c>
      <c r="I91" s="195">
        <f t="shared" si="16"/>
        <v>308.16000000000003</v>
      </c>
      <c r="J91" s="194">
        <f t="shared" si="11"/>
        <v>323.64999999999998</v>
      </c>
      <c r="K91" s="326">
        <v>7.9977576380453996E-2</v>
      </c>
      <c r="L91" s="189">
        <f t="shared" si="12"/>
        <v>265.92</v>
      </c>
      <c r="M91" s="189">
        <f t="shared" si="13"/>
        <v>184.95</v>
      </c>
      <c r="N91" s="189">
        <f t="shared" si="14"/>
        <v>205.44</v>
      </c>
      <c r="O91" s="189">
        <f t="shared" si="15"/>
        <v>215.77</v>
      </c>
    </row>
    <row r="92" spans="1:15">
      <c r="A92" s="293" t="s">
        <v>233</v>
      </c>
      <c r="B92" s="294">
        <f t="shared" si="17"/>
        <v>0.15</v>
      </c>
      <c r="C92" s="295">
        <v>6</v>
      </c>
      <c r="D92" s="192" t="s">
        <v>138</v>
      </c>
      <c r="E92" s="327" t="s">
        <v>236</v>
      </c>
      <c r="F92" s="325" t="s">
        <v>86</v>
      </c>
      <c r="G92" s="297">
        <v>24.332000000000001</v>
      </c>
      <c r="H92" s="194">
        <f t="shared" si="1"/>
        <v>291.98</v>
      </c>
      <c r="I92" s="195">
        <f t="shared" si="16"/>
        <v>324.35000000000002</v>
      </c>
      <c r="J92" s="194">
        <f t="shared" si="11"/>
        <v>340.65</v>
      </c>
      <c r="K92" s="326">
        <v>7.9982245894363091E-2</v>
      </c>
      <c r="L92" s="189">
        <f t="shared" si="12"/>
        <v>279.88</v>
      </c>
      <c r="M92" s="189">
        <f t="shared" si="13"/>
        <v>194.65</v>
      </c>
      <c r="N92" s="189">
        <f t="shared" si="14"/>
        <v>216.23</v>
      </c>
      <c r="O92" s="189">
        <f t="shared" si="15"/>
        <v>227.1</v>
      </c>
    </row>
    <row r="93" spans="1:15">
      <c r="A93" s="293" t="s">
        <v>233</v>
      </c>
      <c r="B93" s="294">
        <f t="shared" si="17"/>
        <v>0.18</v>
      </c>
      <c r="C93" s="295">
        <v>7</v>
      </c>
      <c r="D93" s="192" t="s">
        <v>138</v>
      </c>
      <c r="E93" s="327" t="s">
        <v>236</v>
      </c>
      <c r="F93" s="325" t="s">
        <v>117</v>
      </c>
      <c r="G93" s="297">
        <v>25.192</v>
      </c>
      <c r="H93" s="194">
        <f t="shared" si="1"/>
        <v>302.3</v>
      </c>
      <c r="I93" s="195">
        <f t="shared" si="16"/>
        <v>335.81</v>
      </c>
      <c r="J93" s="194">
        <f t="shared" si="11"/>
        <v>352.69</v>
      </c>
      <c r="K93" s="326">
        <v>7.9996570350681528E-2</v>
      </c>
      <c r="L93" s="189">
        <f t="shared" si="12"/>
        <v>289.77</v>
      </c>
      <c r="M93" s="189">
        <f t="shared" si="13"/>
        <v>201.53</v>
      </c>
      <c r="N93" s="189">
        <f t="shared" si="14"/>
        <v>223.87</v>
      </c>
      <c r="O93" s="189">
        <f t="shared" si="15"/>
        <v>235.13</v>
      </c>
    </row>
    <row r="94" spans="1:15">
      <c r="A94" s="293" t="s">
        <v>233</v>
      </c>
      <c r="B94" s="294">
        <f t="shared" si="17"/>
        <v>0.2</v>
      </c>
      <c r="C94" s="295">
        <v>8</v>
      </c>
      <c r="D94" s="192" t="s">
        <v>138</v>
      </c>
      <c r="E94" s="327" t="s">
        <v>236</v>
      </c>
      <c r="F94" s="325" t="s">
        <v>87</v>
      </c>
      <c r="G94" s="297">
        <v>25.526</v>
      </c>
      <c r="H94" s="194">
        <f t="shared" si="1"/>
        <v>306.31</v>
      </c>
      <c r="I94" s="195">
        <f t="shared" si="16"/>
        <v>340.26</v>
      </c>
      <c r="J94" s="194">
        <f t="shared" si="11"/>
        <v>357.36</v>
      </c>
      <c r="K94" s="326">
        <v>8.0008462026655236E-2</v>
      </c>
      <c r="L94" s="189">
        <f t="shared" si="12"/>
        <v>293.61</v>
      </c>
      <c r="M94" s="189">
        <f t="shared" si="13"/>
        <v>204.21</v>
      </c>
      <c r="N94" s="189">
        <f t="shared" si="14"/>
        <v>226.84</v>
      </c>
      <c r="O94" s="189">
        <f t="shared" si="15"/>
        <v>238.24</v>
      </c>
    </row>
    <row r="95" spans="1:15">
      <c r="A95" s="293" t="s">
        <v>233</v>
      </c>
      <c r="B95" s="294">
        <f>ROUND(C95*0.0254,3)</f>
        <v>5.0999999999999997E-2</v>
      </c>
      <c r="C95" s="295">
        <v>2</v>
      </c>
      <c r="D95" s="192" t="s">
        <v>29</v>
      </c>
      <c r="E95" s="325" t="s">
        <v>137</v>
      </c>
      <c r="F95" s="325" t="s">
        <v>217</v>
      </c>
      <c r="G95" s="297">
        <v>21.513999999999999</v>
      </c>
      <c r="H95" s="194">
        <f t="shared" si="1"/>
        <v>258.17</v>
      </c>
      <c r="I95" s="195">
        <f t="shared" si="16"/>
        <v>286.77999999999997</v>
      </c>
      <c r="J95" s="194">
        <f t="shared" si="11"/>
        <v>301.2</v>
      </c>
      <c r="K95" s="326">
        <v>8.0020080321284937E-2</v>
      </c>
      <c r="L95" s="189">
        <f t="shared" si="12"/>
        <v>247.47</v>
      </c>
      <c r="M95" s="189">
        <f t="shared" si="13"/>
        <v>172.11</v>
      </c>
      <c r="N95" s="189">
        <f t="shared" si="14"/>
        <v>191.19</v>
      </c>
      <c r="O95" s="189">
        <f t="shared" si="15"/>
        <v>200.8</v>
      </c>
    </row>
    <row r="96" spans="1:15">
      <c r="A96" s="293" t="s">
        <v>233</v>
      </c>
      <c r="B96" s="294">
        <f t="shared" ref="B96:B101" si="18">ROUND(C96*0.0254,3)</f>
        <v>5.0999999999999997E-2</v>
      </c>
      <c r="C96" s="295">
        <v>2</v>
      </c>
      <c r="D96" s="192" t="s">
        <v>29</v>
      </c>
      <c r="E96" s="325" t="s">
        <v>137</v>
      </c>
      <c r="F96" s="325" t="s">
        <v>120</v>
      </c>
      <c r="G96" s="297">
        <v>21.911999999999999</v>
      </c>
      <c r="H96" s="194">
        <f t="shared" si="1"/>
        <v>262.94</v>
      </c>
      <c r="I96" s="195">
        <f t="shared" si="16"/>
        <v>292.08999999999997</v>
      </c>
      <c r="J96" s="194">
        <f t="shared" si="11"/>
        <v>306.77</v>
      </c>
      <c r="K96" s="326">
        <v>9.9999999999999867E-2</v>
      </c>
      <c r="L96" s="189">
        <f t="shared" si="12"/>
        <v>252.04</v>
      </c>
      <c r="M96" s="189">
        <f t="shared" si="13"/>
        <v>175.29</v>
      </c>
      <c r="N96" s="189">
        <f t="shared" si="14"/>
        <v>194.73</v>
      </c>
      <c r="O96" s="189">
        <f t="shared" si="15"/>
        <v>204.51</v>
      </c>
    </row>
    <row r="97" spans="1:15">
      <c r="A97" s="293" t="s">
        <v>233</v>
      </c>
      <c r="B97" s="294">
        <f t="shared" si="18"/>
        <v>7.5999999999999998E-2</v>
      </c>
      <c r="C97" s="295">
        <v>3</v>
      </c>
      <c r="D97" s="192" t="s">
        <v>29</v>
      </c>
      <c r="E97" s="325" t="s">
        <v>137</v>
      </c>
      <c r="F97" s="325" t="s">
        <v>81</v>
      </c>
      <c r="G97" s="297">
        <v>21.568000000000001</v>
      </c>
      <c r="H97" s="194">
        <f t="shared" si="1"/>
        <v>258.82</v>
      </c>
      <c r="I97" s="195">
        <f t="shared" si="16"/>
        <v>287.5</v>
      </c>
      <c r="J97" s="194">
        <f t="shared" si="11"/>
        <v>301.95</v>
      </c>
      <c r="K97" s="326">
        <v>0.1000153006579283</v>
      </c>
      <c r="L97" s="189">
        <f t="shared" si="12"/>
        <v>248.09</v>
      </c>
      <c r="M97" s="189">
        <f t="shared" si="13"/>
        <v>172.55</v>
      </c>
      <c r="N97" s="189">
        <f t="shared" si="14"/>
        <v>191.67</v>
      </c>
      <c r="O97" s="189">
        <f t="shared" si="15"/>
        <v>201.3</v>
      </c>
    </row>
    <row r="98" spans="1:15">
      <c r="A98" s="293" t="s">
        <v>233</v>
      </c>
      <c r="B98" s="294">
        <f t="shared" si="18"/>
        <v>7.5999999999999998E-2</v>
      </c>
      <c r="C98" s="295">
        <v>3</v>
      </c>
      <c r="D98" s="192" t="s">
        <v>29</v>
      </c>
      <c r="E98" s="325" t="s">
        <v>137</v>
      </c>
      <c r="F98" s="325" t="s">
        <v>122</v>
      </c>
      <c r="G98" s="297">
        <v>21.765999999999998</v>
      </c>
      <c r="H98" s="194">
        <f t="shared" si="1"/>
        <v>261.19</v>
      </c>
      <c r="I98" s="195">
        <f t="shared" si="16"/>
        <v>290.14</v>
      </c>
      <c r="J98" s="194">
        <f t="shared" si="11"/>
        <v>304.72000000000003</v>
      </c>
      <c r="K98" s="326">
        <v>0.10001516146965184</v>
      </c>
      <c r="L98" s="189">
        <f t="shared" si="12"/>
        <v>250.36</v>
      </c>
      <c r="M98" s="189">
        <f t="shared" si="13"/>
        <v>174.13</v>
      </c>
      <c r="N98" s="189">
        <f t="shared" si="14"/>
        <v>193.43</v>
      </c>
      <c r="O98" s="189">
        <f t="shared" si="15"/>
        <v>203.15</v>
      </c>
    </row>
    <row r="99" spans="1:15">
      <c r="A99" s="293" t="s">
        <v>233</v>
      </c>
      <c r="B99" s="294">
        <f t="shared" si="18"/>
        <v>8.8999999999999996E-2</v>
      </c>
      <c r="C99" s="295">
        <v>3.5</v>
      </c>
      <c r="D99" s="192" t="s">
        <v>29</v>
      </c>
      <c r="E99" s="325" t="s">
        <v>137</v>
      </c>
      <c r="F99" s="325" t="s">
        <v>122</v>
      </c>
      <c r="G99" s="297">
        <v>21.37</v>
      </c>
      <c r="H99" s="194">
        <f t="shared" si="1"/>
        <v>256.44</v>
      </c>
      <c r="I99" s="195">
        <f t="shared" si="16"/>
        <v>284.86</v>
      </c>
      <c r="J99" s="194">
        <f t="shared" si="11"/>
        <v>299.18</v>
      </c>
      <c r="K99" s="326">
        <v>8.0002021529286926E-2</v>
      </c>
      <c r="L99" s="189">
        <f t="shared" si="12"/>
        <v>245.81</v>
      </c>
      <c r="M99" s="189">
        <f t="shared" si="13"/>
        <v>170.96</v>
      </c>
      <c r="N99" s="189">
        <f t="shared" si="14"/>
        <v>189.91</v>
      </c>
      <c r="O99" s="189">
        <f t="shared" si="15"/>
        <v>199.45</v>
      </c>
    </row>
    <row r="100" spans="1:15">
      <c r="A100" s="293" t="s">
        <v>233</v>
      </c>
      <c r="B100" s="294">
        <f t="shared" si="18"/>
        <v>8.8999999999999996E-2</v>
      </c>
      <c r="C100" s="295">
        <v>3.5</v>
      </c>
      <c r="D100" s="192" t="s">
        <v>29</v>
      </c>
      <c r="E100" s="325" t="s">
        <v>137</v>
      </c>
      <c r="F100" s="325" t="s">
        <v>83</v>
      </c>
      <c r="G100" s="297">
        <v>21.765999999999998</v>
      </c>
      <c r="H100" s="194">
        <f t="shared" ref="H100:H124" si="19">ROUND(G100*12,2)</f>
        <v>261.19</v>
      </c>
      <c r="I100" s="195">
        <f t="shared" si="16"/>
        <v>290.14</v>
      </c>
      <c r="J100" s="194">
        <f t="shared" si="11"/>
        <v>304.72000000000003</v>
      </c>
      <c r="K100" s="326">
        <v>0.10001516146965184</v>
      </c>
      <c r="L100" s="189">
        <f t="shared" si="12"/>
        <v>250.36</v>
      </c>
      <c r="M100" s="189">
        <f t="shared" si="13"/>
        <v>174.13</v>
      </c>
      <c r="N100" s="189">
        <f t="shared" si="14"/>
        <v>193.43</v>
      </c>
      <c r="O100" s="189">
        <f t="shared" si="15"/>
        <v>203.15</v>
      </c>
    </row>
    <row r="101" spans="1:15">
      <c r="A101" s="293" t="s">
        <v>233</v>
      </c>
      <c r="B101" s="294">
        <f t="shared" si="18"/>
        <v>8.8999999999999996E-2</v>
      </c>
      <c r="C101" s="295">
        <v>3.5</v>
      </c>
      <c r="D101" s="192" t="s">
        <v>29</v>
      </c>
      <c r="E101" s="325" t="s">
        <v>137</v>
      </c>
      <c r="F101" s="325" t="s">
        <v>183</v>
      </c>
      <c r="G101" s="297">
        <v>27.207000000000001</v>
      </c>
      <c r="H101" s="194">
        <f t="shared" si="19"/>
        <v>326.48</v>
      </c>
      <c r="I101" s="195">
        <f t="shared" si="16"/>
        <v>362.67</v>
      </c>
      <c r="J101" s="194">
        <f t="shared" si="11"/>
        <v>380.9</v>
      </c>
      <c r="K101" s="326">
        <v>9.9983827929166269E-2</v>
      </c>
      <c r="L101" s="189">
        <f t="shared" si="12"/>
        <v>312.94</v>
      </c>
      <c r="M101" s="189">
        <f t="shared" si="13"/>
        <v>217.65</v>
      </c>
      <c r="N101" s="189">
        <f t="shared" si="14"/>
        <v>241.78</v>
      </c>
      <c r="O101" s="189">
        <f t="shared" si="15"/>
        <v>253.93</v>
      </c>
    </row>
    <row r="102" spans="1:15">
      <c r="A102" s="293" t="s">
        <v>233</v>
      </c>
      <c r="B102" s="294">
        <f t="shared" si="17"/>
        <v>0.1</v>
      </c>
      <c r="C102" s="295">
        <v>4</v>
      </c>
      <c r="D102" s="192" t="s">
        <v>29</v>
      </c>
      <c r="E102" s="325" t="s">
        <v>137</v>
      </c>
      <c r="F102" s="325" t="s">
        <v>83</v>
      </c>
      <c r="G102" s="297">
        <v>22.492999999999999</v>
      </c>
      <c r="H102" s="194">
        <f t="shared" si="19"/>
        <v>269.92</v>
      </c>
      <c r="I102" s="195">
        <f t="shared" si="16"/>
        <v>299.83</v>
      </c>
      <c r="J102" s="194">
        <f t="shared" si="11"/>
        <v>314.89999999999998</v>
      </c>
      <c r="K102" s="326">
        <v>0.1000097809076681</v>
      </c>
      <c r="L102" s="189">
        <f t="shared" si="12"/>
        <v>258.73</v>
      </c>
      <c r="M102" s="189">
        <f t="shared" si="13"/>
        <v>179.95</v>
      </c>
      <c r="N102" s="189">
        <f t="shared" si="14"/>
        <v>199.89</v>
      </c>
      <c r="O102" s="189">
        <f t="shared" si="15"/>
        <v>209.93</v>
      </c>
    </row>
    <row r="103" spans="1:15">
      <c r="A103" s="293" t="s">
        <v>233</v>
      </c>
      <c r="B103" s="294">
        <f t="shared" si="17"/>
        <v>0.1</v>
      </c>
      <c r="C103" s="295">
        <v>4</v>
      </c>
      <c r="D103" s="192" t="s">
        <v>29</v>
      </c>
      <c r="E103" s="325" t="s">
        <v>137</v>
      </c>
      <c r="F103" s="325" t="s">
        <v>166</v>
      </c>
      <c r="G103" s="297">
        <v>26.349</v>
      </c>
      <c r="H103" s="194">
        <f t="shared" si="19"/>
        <v>316.19</v>
      </c>
      <c r="I103" s="195">
        <f t="shared" si="16"/>
        <v>351.23</v>
      </c>
      <c r="J103" s="194">
        <f t="shared" si="11"/>
        <v>368.89</v>
      </c>
      <c r="K103" s="326">
        <v>9.9983301327544405E-2</v>
      </c>
      <c r="L103" s="189">
        <f t="shared" si="12"/>
        <v>303.08</v>
      </c>
      <c r="M103" s="189">
        <f t="shared" si="13"/>
        <v>210.79</v>
      </c>
      <c r="N103" s="189">
        <f t="shared" si="14"/>
        <v>234.15</v>
      </c>
      <c r="O103" s="189">
        <f t="shared" si="15"/>
        <v>245.93</v>
      </c>
    </row>
    <row r="104" spans="1:15">
      <c r="A104" s="293" t="s">
        <v>233</v>
      </c>
      <c r="B104" s="294">
        <f t="shared" si="17"/>
        <v>0.11</v>
      </c>
      <c r="C104" s="295">
        <v>4.5</v>
      </c>
      <c r="D104" s="192" t="s">
        <v>29</v>
      </c>
      <c r="E104" s="325" t="s">
        <v>137</v>
      </c>
      <c r="F104" s="325" t="s">
        <v>85</v>
      </c>
      <c r="G104" s="297">
        <v>25.87</v>
      </c>
      <c r="H104" s="194">
        <f t="shared" si="19"/>
        <v>310.44</v>
      </c>
      <c r="I104" s="195">
        <f t="shared" si="16"/>
        <v>344.85</v>
      </c>
      <c r="J104" s="194">
        <f t="shared" si="11"/>
        <v>362.18</v>
      </c>
      <c r="K104" s="326">
        <v>7.9986641062035568E-2</v>
      </c>
      <c r="L104" s="189">
        <f t="shared" si="12"/>
        <v>297.57</v>
      </c>
      <c r="M104" s="189">
        <f t="shared" si="13"/>
        <v>206.96</v>
      </c>
      <c r="N104" s="189">
        <f t="shared" si="14"/>
        <v>229.9</v>
      </c>
      <c r="O104" s="189">
        <f t="shared" si="15"/>
        <v>241.45</v>
      </c>
    </row>
    <row r="105" spans="1:15">
      <c r="A105" s="293" t="s">
        <v>233</v>
      </c>
      <c r="B105" s="294">
        <f t="shared" si="17"/>
        <v>0.11</v>
      </c>
      <c r="C105" s="295">
        <v>4.5</v>
      </c>
      <c r="D105" s="192" t="s">
        <v>29</v>
      </c>
      <c r="E105" s="325" t="s">
        <v>137</v>
      </c>
      <c r="F105" s="325" t="s">
        <v>84</v>
      </c>
      <c r="G105" s="297">
        <v>22.492999999999999</v>
      </c>
      <c r="H105" s="194">
        <f t="shared" si="19"/>
        <v>269.92</v>
      </c>
      <c r="I105" s="195">
        <f t="shared" si="16"/>
        <v>299.83</v>
      </c>
      <c r="J105" s="194">
        <f t="shared" si="11"/>
        <v>314.89999999999998</v>
      </c>
      <c r="K105" s="326">
        <v>0.1000097809076681</v>
      </c>
      <c r="L105" s="189">
        <f t="shared" si="12"/>
        <v>258.73</v>
      </c>
      <c r="M105" s="189">
        <f t="shared" si="13"/>
        <v>179.95</v>
      </c>
      <c r="N105" s="189">
        <f t="shared" si="14"/>
        <v>199.89</v>
      </c>
      <c r="O105" s="189">
        <f t="shared" si="15"/>
        <v>209.93</v>
      </c>
    </row>
    <row r="106" spans="1:15">
      <c r="A106" s="293" t="s">
        <v>233</v>
      </c>
      <c r="B106" s="294">
        <f t="shared" si="17"/>
        <v>0.13</v>
      </c>
      <c r="C106" s="295">
        <v>5</v>
      </c>
      <c r="D106" s="192" t="s">
        <v>29</v>
      </c>
      <c r="E106" s="325" t="s">
        <v>137</v>
      </c>
      <c r="F106" s="325" t="s">
        <v>84</v>
      </c>
      <c r="G106" s="297">
        <v>22.492999999999999</v>
      </c>
      <c r="H106" s="194">
        <f t="shared" si="19"/>
        <v>269.92</v>
      </c>
      <c r="I106" s="195">
        <f t="shared" si="16"/>
        <v>299.83</v>
      </c>
      <c r="J106" s="194">
        <f t="shared" si="11"/>
        <v>314.89999999999998</v>
      </c>
      <c r="K106" s="326">
        <v>0.1000097809076681</v>
      </c>
      <c r="L106" s="189">
        <f t="shared" si="12"/>
        <v>258.73</v>
      </c>
      <c r="M106" s="189">
        <f t="shared" si="13"/>
        <v>179.95</v>
      </c>
      <c r="N106" s="189">
        <f t="shared" si="14"/>
        <v>199.89</v>
      </c>
      <c r="O106" s="189">
        <f t="shared" si="15"/>
        <v>209.93</v>
      </c>
    </row>
    <row r="107" spans="1:15">
      <c r="A107" s="293" t="s">
        <v>235</v>
      </c>
      <c r="B107" s="294">
        <f t="shared" si="17"/>
        <v>0.13</v>
      </c>
      <c r="C107" s="295">
        <v>5</v>
      </c>
      <c r="D107" s="192" t="s">
        <v>29</v>
      </c>
      <c r="E107" s="325" t="s">
        <v>137</v>
      </c>
      <c r="F107" s="325" t="s">
        <v>117</v>
      </c>
      <c r="G107" s="297">
        <v>25.23</v>
      </c>
      <c r="H107" s="194">
        <f t="shared" si="19"/>
        <v>302.76</v>
      </c>
      <c r="I107" s="195">
        <f t="shared" si="16"/>
        <v>336.32</v>
      </c>
      <c r="J107" s="194">
        <f t="shared" si="11"/>
        <v>353.22</v>
      </c>
      <c r="K107" s="326">
        <v>8.0005136766405638E-2</v>
      </c>
      <c r="L107" s="189">
        <f t="shared" si="12"/>
        <v>290.20999999999998</v>
      </c>
      <c r="M107" s="189">
        <f t="shared" si="13"/>
        <v>201.84</v>
      </c>
      <c r="N107" s="189">
        <f t="shared" si="14"/>
        <v>224.21</v>
      </c>
      <c r="O107" s="189">
        <f t="shared" si="15"/>
        <v>235.48</v>
      </c>
    </row>
    <row r="108" spans="1:15">
      <c r="A108" s="293" t="s">
        <v>233</v>
      </c>
      <c r="B108" s="294">
        <f t="shared" si="17"/>
        <v>0.13</v>
      </c>
      <c r="C108" s="295">
        <v>5</v>
      </c>
      <c r="D108" s="192" t="s">
        <v>29</v>
      </c>
      <c r="E108" s="325" t="s">
        <v>137</v>
      </c>
      <c r="F108" s="325" t="s">
        <v>86</v>
      </c>
      <c r="G108" s="297">
        <v>25.640999999999998</v>
      </c>
      <c r="H108" s="194">
        <f t="shared" si="19"/>
        <v>307.69</v>
      </c>
      <c r="I108" s="195">
        <f t="shared" si="16"/>
        <v>341.79</v>
      </c>
      <c r="J108" s="194">
        <f t="shared" si="11"/>
        <v>358.97</v>
      </c>
      <c r="K108" s="326">
        <v>7.9984836997725406E-2</v>
      </c>
      <c r="L108" s="189">
        <f t="shared" si="12"/>
        <v>294.93</v>
      </c>
      <c r="M108" s="189">
        <f t="shared" si="13"/>
        <v>205.13</v>
      </c>
      <c r="N108" s="189">
        <f t="shared" si="14"/>
        <v>227.86</v>
      </c>
      <c r="O108" s="189">
        <f t="shared" si="15"/>
        <v>239.31</v>
      </c>
    </row>
    <row r="109" spans="1:15">
      <c r="A109" s="293" t="s">
        <v>233</v>
      </c>
      <c r="B109" s="294">
        <f t="shared" si="17"/>
        <v>0.15</v>
      </c>
      <c r="C109" s="295">
        <v>6</v>
      </c>
      <c r="D109" s="192" t="s">
        <v>29</v>
      </c>
      <c r="E109" s="325" t="s">
        <v>137</v>
      </c>
      <c r="F109" s="325" t="s">
        <v>117</v>
      </c>
      <c r="G109" s="297">
        <v>25.931000000000001</v>
      </c>
      <c r="H109" s="194">
        <f t="shared" si="19"/>
        <v>311.17</v>
      </c>
      <c r="I109" s="195">
        <f t="shared" si="16"/>
        <v>345.66</v>
      </c>
      <c r="J109" s="194">
        <f t="shared" si="11"/>
        <v>363.03</v>
      </c>
      <c r="K109" s="326">
        <v>9.9983032154068008E-2</v>
      </c>
      <c r="L109" s="189">
        <f t="shared" si="12"/>
        <v>298.27</v>
      </c>
      <c r="M109" s="189">
        <f t="shared" si="13"/>
        <v>207.45</v>
      </c>
      <c r="N109" s="189">
        <f t="shared" si="14"/>
        <v>230.44</v>
      </c>
      <c r="O109" s="189">
        <f t="shared" si="15"/>
        <v>242.02</v>
      </c>
    </row>
    <row r="110" spans="1:15">
      <c r="A110" s="293" t="s">
        <v>233</v>
      </c>
      <c r="B110" s="294">
        <f t="shared" si="17"/>
        <v>0.15</v>
      </c>
      <c r="C110" s="295">
        <v>6</v>
      </c>
      <c r="D110" s="192" t="s">
        <v>29</v>
      </c>
      <c r="E110" s="325" t="s">
        <v>137</v>
      </c>
      <c r="F110" s="325" t="s">
        <v>86</v>
      </c>
      <c r="G110" s="297">
        <v>25.640999999999998</v>
      </c>
      <c r="H110" s="194">
        <f t="shared" si="19"/>
        <v>307.69</v>
      </c>
      <c r="I110" s="195">
        <f t="shared" si="16"/>
        <v>341.79</v>
      </c>
      <c r="J110" s="194">
        <f t="shared" si="11"/>
        <v>358.97</v>
      </c>
      <c r="K110" s="326">
        <v>7.9984836997725406E-2</v>
      </c>
      <c r="L110" s="189">
        <f t="shared" si="12"/>
        <v>294.93</v>
      </c>
      <c r="M110" s="189">
        <f t="shared" si="13"/>
        <v>205.13</v>
      </c>
      <c r="N110" s="189">
        <f t="shared" si="14"/>
        <v>227.86</v>
      </c>
      <c r="O110" s="189">
        <f t="shared" si="15"/>
        <v>239.31</v>
      </c>
    </row>
    <row r="111" spans="1:15">
      <c r="A111" s="293" t="s">
        <v>233</v>
      </c>
      <c r="B111" s="294">
        <f t="shared" si="17"/>
        <v>0.18</v>
      </c>
      <c r="C111" s="295">
        <v>7</v>
      </c>
      <c r="D111" s="192" t="s">
        <v>29</v>
      </c>
      <c r="E111" s="325" t="s">
        <v>137</v>
      </c>
      <c r="F111" s="325" t="s">
        <v>117</v>
      </c>
      <c r="G111" s="297">
        <v>26.375</v>
      </c>
      <c r="H111" s="194">
        <f t="shared" si="19"/>
        <v>316.5</v>
      </c>
      <c r="I111" s="195">
        <f t="shared" si="16"/>
        <v>351.58</v>
      </c>
      <c r="J111" s="194">
        <f t="shared" si="11"/>
        <v>369.25</v>
      </c>
      <c r="K111" s="326">
        <v>8.0013103476516134E-2</v>
      </c>
      <c r="L111" s="189">
        <f t="shared" si="12"/>
        <v>303.38</v>
      </c>
      <c r="M111" s="189">
        <f t="shared" si="13"/>
        <v>211</v>
      </c>
      <c r="N111" s="189">
        <f t="shared" si="14"/>
        <v>234.39</v>
      </c>
      <c r="O111" s="189">
        <f t="shared" si="15"/>
        <v>246.17</v>
      </c>
    </row>
    <row r="112" spans="1:15">
      <c r="A112" s="293" t="s">
        <v>233</v>
      </c>
      <c r="B112" s="294">
        <f t="shared" si="17"/>
        <v>0.18</v>
      </c>
      <c r="C112" s="295">
        <v>7</v>
      </c>
      <c r="D112" s="192" t="s">
        <v>29</v>
      </c>
      <c r="E112" s="325" t="s">
        <v>137</v>
      </c>
      <c r="F112" s="325" t="s">
        <v>87</v>
      </c>
      <c r="G112" s="297">
        <v>26.375</v>
      </c>
      <c r="H112" s="194">
        <f t="shared" si="19"/>
        <v>316.5</v>
      </c>
      <c r="I112" s="195">
        <f t="shared" si="16"/>
        <v>351.58</v>
      </c>
      <c r="J112" s="194">
        <f t="shared" si="11"/>
        <v>369.25</v>
      </c>
      <c r="K112" s="326">
        <v>8.0013103476516134E-2</v>
      </c>
      <c r="L112" s="189">
        <f t="shared" si="12"/>
        <v>303.38</v>
      </c>
      <c r="M112" s="189">
        <f t="shared" si="13"/>
        <v>211</v>
      </c>
      <c r="N112" s="189">
        <f t="shared" si="14"/>
        <v>234.39</v>
      </c>
      <c r="O112" s="189">
        <f t="shared" si="15"/>
        <v>246.17</v>
      </c>
    </row>
    <row r="113" spans="1:15">
      <c r="A113" s="293" t="s">
        <v>233</v>
      </c>
      <c r="B113" s="294">
        <f t="shared" si="17"/>
        <v>0.2</v>
      </c>
      <c r="C113" s="295">
        <v>8</v>
      </c>
      <c r="D113" s="192" t="s">
        <v>29</v>
      </c>
      <c r="E113" s="325" t="s">
        <v>137</v>
      </c>
      <c r="F113" s="325" t="s">
        <v>87</v>
      </c>
      <c r="G113" s="297">
        <v>26.564</v>
      </c>
      <c r="H113" s="194">
        <f t="shared" si="19"/>
        <v>318.77</v>
      </c>
      <c r="I113" s="195">
        <f t="shared" si="16"/>
        <v>354.1</v>
      </c>
      <c r="J113" s="194">
        <f t="shared" si="11"/>
        <v>371.9</v>
      </c>
      <c r="K113" s="326">
        <v>8.0013010245568283E-2</v>
      </c>
      <c r="L113" s="189">
        <f t="shared" si="12"/>
        <v>305.55</v>
      </c>
      <c r="M113" s="189">
        <f t="shared" si="13"/>
        <v>212.51</v>
      </c>
      <c r="N113" s="189">
        <f t="shared" si="14"/>
        <v>236.07</v>
      </c>
      <c r="O113" s="189">
        <f t="shared" si="15"/>
        <v>247.93</v>
      </c>
    </row>
    <row r="114" spans="1:15">
      <c r="A114" s="293" t="s">
        <v>233</v>
      </c>
      <c r="B114" s="294">
        <f t="shared" si="17"/>
        <v>0.25</v>
      </c>
      <c r="C114" s="295">
        <v>10</v>
      </c>
      <c r="D114" s="192" t="s">
        <v>29</v>
      </c>
      <c r="E114" s="325" t="s">
        <v>137</v>
      </c>
      <c r="F114" s="325" t="s">
        <v>89</v>
      </c>
      <c r="G114" s="297">
        <v>26.283000000000001</v>
      </c>
      <c r="H114" s="194">
        <f t="shared" si="19"/>
        <v>315.39999999999998</v>
      </c>
      <c r="I114" s="195">
        <f t="shared" si="16"/>
        <v>350.35</v>
      </c>
      <c r="J114" s="194">
        <f t="shared" si="11"/>
        <v>367.96</v>
      </c>
      <c r="K114" s="326">
        <v>8.0004930966469434E-2</v>
      </c>
      <c r="L114" s="189">
        <f t="shared" si="12"/>
        <v>302.33</v>
      </c>
      <c r="M114" s="189">
        <f t="shared" si="13"/>
        <v>210.27</v>
      </c>
      <c r="N114" s="189">
        <f t="shared" si="14"/>
        <v>233.57</v>
      </c>
      <c r="O114" s="189">
        <f t="shared" si="15"/>
        <v>245.31</v>
      </c>
    </row>
    <row r="115" spans="1:15">
      <c r="A115" s="293" t="s">
        <v>233</v>
      </c>
      <c r="B115" s="294">
        <f t="shared" si="17"/>
        <v>0.3</v>
      </c>
      <c r="C115" s="295">
        <v>12</v>
      </c>
      <c r="D115" s="192" t="s">
        <v>29</v>
      </c>
      <c r="E115" s="325" t="s">
        <v>137</v>
      </c>
      <c r="F115" s="325" t="s">
        <v>167</v>
      </c>
      <c r="G115" s="297">
        <v>26.812999999999999</v>
      </c>
      <c r="H115" s="194">
        <f t="shared" si="19"/>
        <v>321.76</v>
      </c>
      <c r="I115" s="195">
        <f t="shared" si="16"/>
        <v>357.42</v>
      </c>
      <c r="J115" s="194">
        <f t="shared" si="11"/>
        <v>375.38</v>
      </c>
      <c r="K115" s="326">
        <v>0.10002051282051272</v>
      </c>
      <c r="L115" s="189">
        <f t="shared" si="12"/>
        <v>308.42</v>
      </c>
      <c r="M115" s="189">
        <f t="shared" si="13"/>
        <v>214.51</v>
      </c>
      <c r="N115" s="189">
        <f t="shared" si="14"/>
        <v>238.28</v>
      </c>
      <c r="O115" s="189">
        <f t="shared" si="15"/>
        <v>250.25</v>
      </c>
    </row>
    <row r="116" spans="1:15">
      <c r="A116" s="293" t="s">
        <v>233</v>
      </c>
      <c r="B116" s="294">
        <f t="shared" si="17"/>
        <v>0.38</v>
      </c>
      <c r="C116" s="295">
        <v>15</v>
      </c>
      <c r="D116" s="192" t="s">
        <v>29</v>
      </c>
      <c r="E116" s="325" t="s">
        <v>137</v>
      </c>
      <c r="F116" s="325" t="s">
        <v>90</v>
      </c>
      <c r="G116" s="297">
        <v>27.25</v>
      </c>
      <c r="H116" s="194">
        <f t="shared" si="19"/>
        <v>327</v>
      </c>
      <c r="I116" s="195">
        <f t="shared" si="16"/>
        <v>363.24</v>
      </c>
      <c r="J116" s="194">
        <f t="shared" si="11"/>
        <v>381.5</v>
      </c>
      <c r="K116" s="326">
        <v>9.9987890041577598E-2</v>
      </c>
      <c r="L116" s="189">
        <f t="shared" si="12"/>
        <v>313.45</v>
      </c>
      <c r="M116" s="189">
        <f t="shared" si="13"/>
        <v>218</v>
      </c>
      <c r="N116" s="189">
        <f t="shared" si="14"/>
        <v>242.16</v>
      </c>
      <c r="O116" s="189">
        <f t="shared" si="15"/>
        <v>254.33</v>
      </c>
    </row>
    <row r="117" spans="1:15">
      <c r="A117" s="293" t="s">
        <v>233</v>
      </c>
      <c r="B117" s="294">
        <f t="shared" si="17"/>
        <v>0.41</v>
      </c>
      <c r="C117" s="295">
        <v>16</v>
      </c>
      <c r="D117" s="192" t="s">
        <v>29</v>
      </c>
      <c r="E117" s="325" t="s">
        <v>137</v>
      </c>
      <c r="F117" s="325" t="s">
        <v>219</v>
      </c>
      <c r="G117" s="297">
        <v>35.832000000000001</v>
      </c>
      <c r="H117" s="194">
        <f t="shared" si="19"/>
        <v>429.98</v>
      </c>
      <c r="I117" s="195">
        <f t="shared" si="16"/>
        <v>477.64</v>
      </c>
      <c r="J117" s="194">
        <f t="shared" si="11"/>
        <v>501.65</v>
      </c>
      <c r="K117" s="326">
        <v>5.9992900248491354E-2</v>
      </c>
      <c r="L117" s="189">
        <f t="shared" si="12"/>
        <v>412.15</v>
      </c>
      <c r="M117" s="189">
        <f t="shared" si="13"/>
        <v>286.64999999999998</v>
      </c>
      <c r="N117" s="189">
        <f t="shared" si="14"/>
        <v>318.43</v>
      </c>
      <c r="O117" s="189">
        <f t="shared" si="15"/>
        <v>334.43</v>
      </c>
    </row>
    <row r="118" spans="1:15">
      <c r="A118" s="293" t="s">
        <v>233</v>
      </c>
      <c r="B118" s="294">
        <f t="shared" si="17"/>
        <v>0.41</v>
      </c>
      <c r="C118" s="295">
        <v>16</v>
      </c>
      <c r="D118" s="192" t="s">
        <v>29</v>
      </c>
      <c r="E118" s="325" t="s">
        <v>137</v>
      </c>
      <c r="F118" s="325" t="s">
        <v>219</v>
      </c>
      <c r="G118" s="297">
        <v>35.832000000000001</v>
      </c>
      <c r="H118" s="194">
        <f t="shared" si="19"/>
        <v>429.98</v>
      </c>
      <c r="I118" s="195">
        <f t="shared" si="16"/>
        <v>477.64</v>
      </c>
      <c r="J118" s="194">
        <f t="shared" si="11"/>
        <v>501.65</v>
      </c>
      <c r="K118" s="326">
        <v>5.9992900248491354E-2</v>
      </c>
      <c r="L118" s="189">
        <f t="shared" si="12"/>
        <v>412.15</v>
      </c>
      <c r="M118" s="189">
        <f t="shared" si="13"/>
        <v>286.64999999999998</v>
      </c>
      <c r="N118" s="189">
        <f t="shared" si="14"/>
        <v>318.43</v>
      </c>
      <c r="O118" s="189">
        <f t="shared" si="15"/>
        <v>334.43</v>
      </c>
    </row>
    <row r="119" spans="1:15">
      <c r="A119" s="293" t="s">
        <v>233</v>
      </c>
      <c r="B119" s="294">
        <f t="shared" si="17"/>
        <v>0.51</v>
      </c>
      <c r="C119" s="295">
        <v>20</v>
      </c>
      <c r="D119" s="192" t="s">
        <v>29</v>
      </c>
      <c r="E119" s="325" t="s">
        <v>137</v>
      </c>
      <c r="F119" s="325" t="s">
        <v>91</v>
      </c>
      <c r="G119" s="297">
        <v>42.972999999999999</v>
      </c>
      <c r="H119" s="194">
        <f t="shared" si="19"/>
        <v>515.67999999999995</v>
      </c>
      <c r="I119" s="195">
        <f t="shared" si="16"/>
        <v>572.83000000000004</v>
      </c>
      <c r="J119" s="194">
        <f t="shared" si="11"/>
        <v>601.62</v>
      </c>
      <c r="K119" s="326">
        <v>5.9988653461927388E-2</v>
      </c>
      <c r="L119" s="189">
        <f t="shared" si="12"/>
        <v>494.3</v>
      </c>
      <c r="M119" s="189">
        <f t="shared" si="13"/>
        <v>343.79</v>
      </c>
      <c r="N119" s="189">
        <f t="shared" si="14"/>
        <v>381.89</v>
      </c>
      <c r="O119" s="189">
        <f t="shared" si="15"/>
        <v>401.08</v>
      </c>
    </row>
    <row r="120" spans="1:15">
      <c r="A120" s="293" t="s">
        <v>233</v>
      </c>
      <c r="B120" s="294">
        <f t="shared" si="17"/>
        <v>0.61</v>
      </c>
      <c r="C120" s="295">
        <v>24</v>
      </c>
      <c r="D120" s="192" t="s">
        <v>29</v>
      </c>
      <c r="E120" s="325" t="s">
        <v>137</v>
      </c>
      <c r="F120" s="325" t="s">
        <v>91</v>
      </c>
      <c r="G120" s="297">
        <v>43.290999999999997</v>
      </c>
      <c r="H120" s="194">
        <f t="shared" si="19"/>
        <v>519.49</v>
      </c>
      <c r="I120" s="195">
        <f t="shared" si="16"/>
        <v>577.07000000000005</v>
      </c>
      <c r="J120" s="194">
        <f t="shared" si="11"/>
        <v>606.07000000000005</v>
      </c>
      <c r="K120" s="326">
        <v>5.9988736808599175E-2</v>
      </c>
      <c r="L120" s="189">
        <f t="shared" si="12"/>
        <v>497.96</v>
      </c>
      <c r="M120" s="189">
        <f t="shared" si="13"/>
        <v>346.33</v>
      </c>
      <c r="N120" s="189">
        <f t="shared" si="14"/>
        <v>384.71</v>
      </c>
      <c r="O120" s="189">
        <f t="shared" si="15"/>
        <v>404.05</v>
      </c>
    </row>
    <row r="121" spans="1:15">
      <c r="A121" s="293" t="s">
        <v>233</v>
      </c>
      <c r="B121" s="294">
        <f t="shared" si="17"/>
        <v>0.64</v>
      </c>
      <c r="C121" s="295">
        <v>25</v>
      </c>
      <c r="D121" s="192" t="s">
        <v>29</v>
      </c>
      <c r="E121" s="325" t="s">
        <v>137</v>
      </c>
      <c r="F121" s="325" t="s">
        <v>88</v>
      </c>
      <c r="G121" s="297">
        <v>52.185000000000002</v>
      </c>
      <c r="H121" s="194">
        <f t="shared" si="19"/>
        <v>626.22</v>
      </c>
      <c r="I121" s="195">
        <f t="shared" si="16"/>
        <v>695.63</v>
      </c>
      <c r="J121" s="194">
        <f t="shared" si="11"/>
        <v>730.59</v>
      </c>
      <c r="K121" s="326">
        <v>6.0002843736669975E-2</v>
      </c>
      <c r="L121" s="189">
        <f t="shared" si="12"/>
        <v>600.26</v>
      </c>
      <c r="M121" s="189">
        <f t="shared" si="13"/>
        <v>417.48</v>
      </c>
      <c r="N121" s="189">
        <f t="shared" si="14"/>
        <v>463.75</v>
      </c>
      <c r="O121" s="189">
        <f t="shared" si="15"/>
        <v>487.06</v>
      </c>
    </row>
    <row r="122" spans="1:15">
      <c r="A122" s="293" t="s">
        <v>233</v>
      </c>
      <c r="B122" s="294">
        <f t="shared" si="17"/>
        <v>0.71</v>
      </c>
      <c r="C122" s="295">
        <v>28</v>
      </c>
      <c r="D122" s="192" t="s">
        <v>29</v>
      </c>
      <c r="E122" s="325" t="s">
        <v>137</v>
      </c>
      <c r="F122" s="325" t="s">
        <v>88</v>
      </c>
      <c r="G122" s="297">
        <v>52.185000000000002</v>
      </c>
      <c r="H122" s="194">
        <f t="shared" si="19"/>
        <v>626.22</v>
      </c>
      <c r="I122" s="195">
        <f t="shared" si="16"/>
        <v>695.63</v>
      </c>
      <c r="J122" s="194">
        <f t="shared" si="11"/>
        <v>730.59</v>
      </c>
      <c r="K122" s="326">
        <v>6.0002843736669975E-2</v>
      </c>
      <c r="L122" s="189">
        <f t="shared" si="12"/>
        <v>600.26</v>
      </c>
      <c r="M122" s="189">
        <f t="shared" si="13"/>
        <v>417.48</v>
      </c>
      <c r="N122" s="189">
        <f t="shared" si="14"/>
        <v>463.75</v>
      </c>
      <c r="O122" s="189">
        <f t="shared" si="15"/>
        <v>487.06</v>
      </c>
    </row>
    <row r="123" spans="1:15">
      <c r="A123" s="293" t="s">
        <v>233</v>
      </c>
      <c r="B123" s="294">
        <f t="shared" si="17"/>
        <v>0.76</v>
      </c>
      <c r="C123" s="295">
        <v>30</v>
      </c>
      <c r="D123" s="192" t="s">
        <v>29</v>
      </c>
      <c r="E123" s="325" t="s">
        <v>137</v>
      </c>
      <c r="F123" s="325" t="s">
        <v>131</v>
      </c>
      <c r="G123" s="297">
        <v>61.15</v>
      </c>
      <c r="H123" s="194">
        <f t="shared" si="19"/>
        <v>733.8</v>
      </c>
      <c r="I123" s="195">
        <f t="shared" si="16"/>
        <v>815.13</v>
      </c>
      <c r="J123" s="194">
        <f t="shared" si="11"/>
        <v>856.1</v>
      </c>
      <c r="K123" s="326">
        <v>5.9994106328762786E-2</v>
      </c>
      <c r="L123" s="189">
        <f t="shared" si="12"/>
        <v>703.38</v>
      </c>
      <c r="M123" s="189">
        <f t="shared" si="13"/>
        <v>489.2</v>
      </c>
      <c r="N123" s="189">
        <f t="shared" si="14"/>
        <v>543.41999999999996</v>
      </c>
      <c r="O123" s="189">
        <f t="shared" si="15"/>
        <v>570.73</v>
      </c>
    </row>
    <row r="124" spans="1:15">
      <c r="A124" s="293" t="s">
        <v>233</v>
      </c>
      <c r="B124" s="294">
        <f t="shared" si="17"/>
        <v>0.97</v>
      </c>
      <c r="C124" s="295">
        <v>38</v>
      </c>
      <c r="D124" s="192" t="s">
        <v>29</v>
      </c>
      <c r="E124" s="325" t="s">
        <v>137</v>
      </c>
      <c r="F124" s="325" t="s">
        <v>133</v>
      </c>
      <c r="G124" s="297">
        <v>74.912000000000006</v>
      </c>
      <c r="H124" s="194">
        <f t="shared" si="19"/>
        <v>898.94</v>
      </c>
      <c r="I124" s="195">
        <f t="shared" si="16"/>
        <v>998.58</v>
      </c>
      <c r="J124" s="194">
        <f t="shared" si="11"/>
        <v>1048.77</v>
      </c>
      <c r="K124" s="326">
        <v>5.9995472039846121E-2</v>
      </c>
      <c r="L124" s="189">
        <f t="shared" si="12"/>
        <v>861.67</v>
      </c>
      <c r="M124" s="189">
        <f t="shared" si="13"/>
        <v>599.29</v>
      </c>
      <c r="N124" s="189">
        <f t="shared" si="14"/>
        <v>665.72</v>
      </c>
      <c r="O124" s="189">
        <f t="shared" si="15"/>
        <v>699.18</v>
      </c>
    </row>
    <row r="126" spans="1:15" ht="22.2" customHeight="1">
      <c r="A126" s="328" t="s">
        <v>237</v>
      </c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</row>
    <row r="127" spans="1:15" ht="19.8" customHeight="1">
      <c r="A127" s="301" t="s">
        <v>13</v>
      </c>
      <c r="B127" s="301" t="s">
        <v>31</v>
      </c>
      <c r="C127" s="301" t="s">
        <v>32</v>
      </c>
      <c r="D127" s="301" t="s">
        <v>33</v>
      </c>
      <c r="E127" s="301" t="s">
        <v>34</v>
      </c>
      <c r="F127" s="302" t="s">
        <v>35</v>
      </c>
      <c r="G127" s="301" t="s">
        <v>36</v>
      </c>
      <c r="H127" s="329" t="s">
        <v>37</v>
      </c>
      <c r="I127" s="330" t="s">
        <v>38</v>
      </c>
      <c r="J127" s="331"/>
      <c r="K127" s="305" t="s">
        <v>23</v>
      </c>
    </row>
    <row r="128" spans="1:15" ht="15" customHeight="1">
      <c r="A128" s="189" t="s">
        <v>238</v>
      </c>
      <c r="B128" s="189">
        <v>1027</v>
      </c>
      <c r="C128" s="224">
        <v>72</v>
      </c>
      <c r="D128" s="189" t="s">
        <v>40</v>
      </c>
      <c r="E128" s="225" t="s">
        <v>41</v>
      </c>
      <c r="F128" s="189">
        <v>3937</v>
      </c>
      <c r="G128" s="308">
        <v>6.4260000000000002</v>
      </c>
      <c r="H128" s="332">
        <f>ROUND(G128*13.124,2)</f>
        <v>84.33</v>
      </c>
      <c r="I128" s="223">
        <f t="shared" ref="I128:I168" si="20">ROUND(G128*F128,2)</f>
        <v>25299.16</v>
      </c>
      <c r="J128" s="223"/>
      <c r="K128" s="312">
        <v>0</v>
      </c>
      <c r="L128" s="313"/>
      <c r="M128" s="314"/>
    </row>
    <row r="129" spans="1:13">
      <c r="A129" s="189" t="s">
        <v>238</v>
      </c>
      <c r="B129" s="189">
        <v>1035</v>
      </c>
      <c r="C129" s="224">
        <v>70</v>
      </c>
      <c r="D129" s="189" t="s">
        <v>40</v>
      </c>
      <c r="E129" s="225" t="s">
        <v>41</v>
      </c>
      <c r="F129" s="189">
        <v>3937</v>
      </c>
      <c r="G129" s="190">
        <v>5.867</v>
      </c>
      <c r="H129" s="332">
        <f>ROUND(G129*13.124,2)</f>
        <v>77</v>
      </c>
      <c r="I129" s="223">
        <f t="shared" si="20"/>
        <v>23098.38</v>
      </c>
      <c r="J129" s="223"/>
      <c r="K129" s="312">
        <v>-6.8173296519757898E-5</v>
      </c>
      <c r="L129" s="313"/>
      <c r="M129" s="314"/>
    </row>
    <row r="130" spans="1:13">
      <c r="A130" s="189" t="s">
        <v>238</v>
      </c>
      <c r="B130" s="189">
        <v>1035</v>
      </c>
      <c r="C130" s="224">
        <v>72</v>
      </c>
      <c r="D130" s="189" t="s">
        <v>40</v>
      </c>
      <c r="E130" s="225" t="s">
        <v>41</v>
      </c>
      <c r="F130" s="189">
        <v>3937</v>
      </c>
      <c r="G130" s="190">
        <v>5.7649999999999997</v>
      </c>
      <c r="H130" s="332">
        <f t="shared" ref="H130:H168" si="21">ROUND(G130*13.124,2)</f>
        <v>75.66</v>
      </c>
      <c r="I130" s="223">
        <f t="shared" si="20"/>
        <v>22696.81</v>
      </c>
      <c r="J130" s="223"/>
      <c r="K130" s="312">
        <v>-5.2035453488974426E-5</v>
      </c>
      <c r="L130" s="313"/>
      <c r="M130" s="314"/>
    </row>
    <row r="131" spans="1:13">
      <c r="A131" s="189" t="s">
        <v>238</v>
      </c>
      <c r="B131" s="189">
        <v>1035</v>
      </c>
      <c r="C131" s="224">
        <v>73</v>
      </c>
      <c r="D131" s="189" t="s">
        <v>40</v>
      </c>
      <c r="E131" s="225" t="s">
        <v>41</v>
      </c>
      <c r="F131" s="189">
        <v>3937</v>
      </c>
      <c r="G131" s="190">
        <v>5.944</v>
      </c>
      <c r="H131" s="332">
        <f t="shared" si="21"/>
        <v>78.010000000000005</v>
      </c>
      <c r="I131" s="223">
        <f t="shared" si="20"/>
        <v>23401.53</v>
      </c>
      <c r="J131" s="223"/>
      <c r="K131" s="312">
        <v>6.7299279897792275E-5</v>
      </c>
      <c r="L131" s="313"/>
      <c r="M131" s="314"/>
    </row>
    <row r="132" spans="1:13">
      <c r="A132" s="189" t="s">
        <v>238</v>
      </c>
      <c r="B132" s="189">
        <v>1035</v>
      </c>
      <c r="C132" s="224">
        <v>75</v>
      </c>
      <c r="D132" s="189" t="s">
        <v>40</v>
      </c>
      <c r="E132" s="225" t="s">
        <v>41</v>
      </c>
      <c r="F132" s="189">
        <v>3937</v>
      </c>
      <c r="G132" s="190">
        <v>6.1340000000000003</v>
      </c>
      <c r="H132" s="332">
        <f t="shared" si="21"/>
        <v>80.5</v>
      </c>
      <c r="I132" s="223">
        <f t="shared" si="20"/>
        <v>24149.56</v>
      </c>
      <c r="J132" s="223"/>
      <c r="K132" s="312">
        <v>-1.6302310037241696E-5</v>
      </c>
      <c r="L132" s="313"/>
      <c r="M132" s="314"/>
    </row>
    <row r="133" spans="1:13">
      <c r="A133" s="189" t="s">
        <v>238</v>
      </c>
      <c r="B133" s="189">
        <v>1035</v>
      </c>
      <c r="C133" s="224">
        <v>76</v>
      </c>
      <c r="D133" s="189" t="s">
        <v>40</v>
      </c>
      <c r="E133" s="225" t="s">
        <v>41</v>
      </c>
      <c r="F133" s="189">
        <v>3937</v>
      </c>
      <c r="G133" s="190">
        <v>6.2480000000000002</v>
      </c>
      <c r="H133" s="332">
        <f t="shared" si="21"/>
        <v>82</v>
      </c>
      <c r="I133" s="223">
        <f t="shared" si="20"/>
        <v>24598.38</v>
      </c>
      <c r="J133" s="223"/>
      <c r="K133" s="312">
        <v>-6.4016388195420326E-5</v>
      </c>
      <c r="L133" s="313"/>
      <c r="M133" s="314"/>
    </row>
    <row r="134" spans="1:13">
      <c r="A134" s="189" t="s">
        <v>238</v>
      </c>
      <c r="B134" s="189">
        <v>1035</v>
      </c>
      <c r="C134" s="224">
        <v>77</v>
      </c>
      <c r="D134" s="189" t="s">
        <v>40</v>
      </c>
      <c r="E134" s="225" t="s">
        <v>41</v>
      </c>
      <c r="F134" s="189">
        <v>3937</v>
      </c>
      <c r="G134" s="190">
        <v>6.2480000000000002</v>
      </c>
      <c r="H134" s="332">
        <f t="shared" si="21"/>
        <v>82</v>
      </c>
      <c r="I134" s="223">
        <f t="shared" si="20"/>
        <v>24598.38</v>
      </c>
      <c r="J134" s="223"/>
      <c r="K134" s="312">
        <v>-6.4016388195420326E-5</v>
      </c>
      <c r="L134" s="313"/>
      <c r="M134" s="314"/>
    </row>
    <row r="135" spans="1:13">
      <c r="A135" s="189" t="s">
        <v>238</v>
      </c>
      <c r="B135" s="189">
        <v>1037</v>
      </c>
      <c r="C135" s="224">
        <v>70</v>
      </c>
      <c r="D135" s="189" t="s">
        <v>40</v>
      </c>
      <c r="E135" s="225" t="s">
        <v>41</v>
      </c>
      <c r="F135" s="189">
        <v>3937</v>
      </c>
      <c r="G135" s="190">
        <v>5.3920000000000003</v>
      </c>
      <c r="H135" s="332">
        <f t="shared" si="21"/>
        <v>70.760000000000005</v>
      </c>
      <c r="I135" s="223">
        <f t="shared" si="20"/>
        <v>21228.3</v>
      </c>
      <c r="J135" s="223"/>
      <c r="K135" s="312">
        <v>0</v>
      </c>
      <c r="L135" s="313"/>
      <c r="M135" s="314"/>
    </row>
    <row r="136" spans="1:13">
      <c r="A136" s="189" t="s">
        <v>238</v>
      </c>
      <c r="B136" s="189">
        <v>1037</v>
      </c>
      <c r="C136" s="224">
        <v>74</v>
      </c>
      <c r="D136" s="189" t="s">
        <v>40</v>
      </c>
      <c r="E136" s="225" t="s">
        <v>41</v>
      </c>
      <c r="F136" s="189">
        <v>3937</v>
      </c>
      <c r="G136" s="190">
        <v>5.8390000000000004</v>
      </c>
      <c r="H136" s="332">
        <f t="shared" si="21"/>
        <v>76.63</v>
      </c>
      <c r="I136" s="223">
        <f t="shared" si="20"/>
        <v>22988.14</v>
      </c>
      <c r="J136" s="223"/>
      <c r="K136" s="312">
        <v>-3.4251267296836474E-5</v>
      </c>
      <c r="L136" s="313"/>
      <c r="M136" s="314"/>
    </row>
    <row r="137" spans="1:13">
      <c r="A137" s="189" t="s">
        <v>238</v>
      </c>
      <c r="B137" s="189">
        <v>1037</v>
      </c>
      <c r="C137" s="224">
        <v>77</v>
      </c>
      <c r="D137" s="189" t="s">
        <v>40</v>
      </c>
      <c r="E137" s="225" t="s">
        <v>41</v>
      </c>
      <c r="F137" s="189">
        <v>3937</v>
      </c>
      <c r="G137" s="190">
        <v>6.1210000000000004</v>
      </c>
      <c r="H137" s="332">
        <f t="shared" si="21"/>
        <v>80.33</v>
      </c>
      <c r="I137" s="223">
        <f t="shared" si="20"/>
        <v>24098.38</v>
      </c>
      <c r="J137" s="223"/>
      <c r="K137" s="312">
        <v>3.2675467259268842E-5</v>
      </c>
      <c r="L137" s="313"/>
      <c r="M137" s="314"/>
    </row>
    <row r="138" spans="1:13">
      <c r="A138" s="189" t="s">
        <v>238</v>
      </c>
      <c r="B138" s="189">
        <v>106</v>
      </c>
      <c r="C138" s="224">
        <v>72</v>
      </c>
      <c r="D138" s="189" t="s">
        <v>40</v>
      </c>
      <c r="E138" s="225" t="s">
        <v>41</v>
      </c>
      <c r="F138" s="189">
        <v>3937</v>
      </c>
      <c r="G138" s="190">
        <v>4.7830000000000004</v>
      </c>
      <c r="H138" s="332">
        <f t="shared" si="21"/>
        <v>62.77</v>
      </c>
      <c r="I138" s="223">
        <f t="shared" si="20"/>
        <v>18830.669999999998</v>
      </c>
      <c r="J138" s="223"/>
      <c r="K138" s="312">
        <v>0</v>
      </c>
      <c r="L138" s="313"/>
      <c r="M138" s="314"/>
    </row>
    <row r="139" spans="1:13">
      <c r="A139" s="189" t="s">
        <v>238</v>
      </c>
      <c r="B139" s="189">
        <v>106</v>
      </c>
      <c r="C139" s="224">
        <v>75</v>
      </c>
      <c r="D139" s="189" t="s">
        <v>40</v>
      </c>
      <c r="E139" s="225" t="s">
        <v>41</v>
      </c>
      <c r="F139" s="189">
        <v>3937</v>
      </c>
      <c r="G139" s="190">
        <v>4.8780000000000001</v>
      </c>
      <c r="H139" s="332">
        <f t="shared" si="21"/>
        <v>64.02</v>
      </c>
      <c r="I139" s="223">
        <f t="shared" si="20"/>
        <v>19204.689999999999</v>
      </c>
      <c r="J139" s="223"/>
      <c r="K139" s="312">
        <v>-6.149683291312158E-5</v>
      </c>
      <c r="L139" s="313"/>
      <c r="M139" s="314"/>
    </row>
    <row r="140" spans="1:13">
      <c r="A140" s="189" t="s">
        <v>238</v>
      </c>
      <c r="B140" s="189">
        <v>106</v>
      </c>
      <c r="C140" s="224">
        <v>77</v>
      </c>
      <c r="D140" s="189" t="s">
        <v>40</v>
      </c>
      <c r="E140" s="225" t="s">
        <v>41</v>
      </c>
      <c r="F140" s="189">
        <v>3937</v>
      </c>
      <c r="G140" s="190">
        <v>5.1050000000000004</v>
      </c>
      <c r="H140" s="332">
        <f t="shared" si="21"/>
        <v>67</v>
      </c>
      <c r="I140" s="223">
        <f t="shared" si="20"/>
        <v>20098.39</v>
      </c>
      <c r="J140" s="223"/>
      <c r="K140" s="312">
        <v>-7.8348415403328708E-5</v>
      </c>
      <c r="L140" s="313"/>
      <c r="M140" s="314"/>
    </row>
    <row r="141" spans="1:13">
      <c r="A141" s="189" t="s">
        <v>238</v>
      </c>
      <c r="B141" s="189">
        <v>106</v>
      </c>
      <c r="C141" s="224">
        <v>78</v>
      </c>
      <c r="D141" s="189" t="s">
        <v>40</v>
      </c>
      <c r="E141" s="225" t="s">
        <v>41</v>
      </c>
      <c r="F141" s="189">
        <v>3937</v>
      </c>
      <c r="G141" s="190">
        <v>5.5149999999999997</v>
      </c>
      <c r="H141" s="332">
        <f t="shared" si="21"/>
        <v>72.38</v>
      </c>
      <c r="I141" s="223">
        <f t="shared" si="20"/>
        <v>21712.560000000001</v>
      </c>
      <c r="J141" s="223"/>
      <c r="K141" s="312">
        <v>0</v>
      </c>
      <c r="L141" s="313"/>
      <c r="M141" s="314"/>
    </row>
    <row r="142" spans="1:13">
      <c r="A142" s="189" t="s">
        <v>238</v>
      </c>
      <c r="B142" s="189">
        <v>1067</v>
      </c>
      <c r="C142" s="224">
        <v>66</v>
      </c>
      <c r="D142" s="189" t="s">
        <v>40</v>
      </c>
      <c r="E142" s="225" t="s">
        <v>41</v>
      </c>
      <c r="F142" s="189">
        <v>3937</v>
      </c>
      <c r="G142" s="190">
        <v>5.1159999999999997</v>
      </c>
      <c r="H142" s="332">
        <f t="shared" si="21"/>
        <v>67.14</v>
      </c>
      <c r="I142" s="223">
        <f t="shared" si="20"/>
        <v>20141.689999999999</v>
      </c>
      <c r="J142" s="223"/>
      <c r="K142" s="312">
        <v>0</v>
      </c>
      <c r="L142" s="313"/>
      <c r="M142" s="314"/>
    </row>
    <row r="143" spans="1:13">
      <c r="A143" s="189" t="s">
        <v>238</v>
      </c>
      <c r="B143" s="189">
        <v>1067</v>
      </c>
      <c r="C143" s="224">
        <v>71</v>
      </c>
      <c r="D143" s="189" t="s">
        <v>40</v>
      </c>
      <c r="E143" s="225" t="s">
        <v>41</v>
      </c>
      <c r="F143" s="189">
        <v>3937</v>
      </c>
      <c r="G143" s="190">
        <v>5.1820000000000004</v>
      </c>
      <c r="H143" s="332">
        <f t="shared" si="21"/>
        <v>68.010000000000005</v>
      </c>
      <c r="I143" s="223">
        <f t="shared" si="20"/>
        <v>20401.53</v>
      </c>
      <c r="J143" s="223"/>
      <c r="K143" s="312">
        <v>7.719623282387289E-5</v>
      </c>
      <c r="L143" s="313"/>
      <c r="M143" s="314"/>
    </row>
    <row r="144" spans="1:13">
      <c r="A144" s="189" t="s">
        <v>238</v>
      </c>
      <c r="B144" s="189">
        <v>1067</v>
      </c>
      <c r="C144" s="224">
        <v>74</v>
      </c>
      <c r="D144" s="189" t="s">
        <v>40</v>
      </c>
      <c r="E144" s="225" t="s">
        <v>41</v>
      </c>
      <c r="F144" s="189">
        <v>3937</v>
      </c>
      <c r="G144" s="190">
        <v>5.4909999999999997</v>
      </c>
      <c r="H144" s="332">
        <f t="shared" si="21"/>
        <v>72.06</v>
      </c>
      <c r="I144" s="223">
        <f t="shared" si="20"/>
        <v>21618.07</v>
      </c>
      <c r="J144" s="223"/>
      <c r="K144" s="312">
        <v>0</v>
      </c>
      <c r="L144" s="313"/>
      <c r="M144" s="314"/>
    </row>
    <row r="145" spans="1:13">
      <c r="A145" s="189" t="s">
        <v>238</v>
      </c>
      <c r="B145" s="189">
        <v>1078</v>
      </c>
      <c r="C145" s="224">
        <v>64</v>
      </c>
      <c r="D145" s="189" t="s">
        <v>40</v>
      </c>
      <c r="E145" s="225" t="s">
        <v>41</v>
      </c>
      <c r="F145" s="189">
        <v>3937</v>
      </c>
      <c r="G145" s="190">
        <v>5.3339999999999996</v>
      </c>
      <c r="H145" s="332">
        <f t="shared" si="21"/>
        <v>70</v>
      </c>
      <c r="I145" s="223">
        <f t="shared" si="20"/>
        <v>20999.96</v>
      </c>
      <c r="J145" s="223"/>
      <c r="K145" s="312">
        <v>0</v>
      </c>
      <c r="L145" s="313"/>
      <c r="M145" s="314"/>
    </row>
    <row r="146" spans="1:13">
      <c r="A146" s="189" t="s">
        <v>238</v>
      </c>
      <c r="B146" s="189">
        <v>1078</v>
      </c>
      <c r="C146" s="224">
        <v>65</v>
      </c>
      <c r="D146" s="189" t="s">
        <v>40</v>
      </c>
      <c r="E146" s="225" t="s">
        <v>41</v>
      </c>
      <c r="F146" s="189">
        <v>3937</v>
      </c>
      <c r="G146" s="190">
        <v>5.03</v>
      </c>
      <c r="H146" s="332">
        <f t="shared" si="21"/>
        <v>66.010000000000005</v>
      </c>
      <c r="I146" s="223">
        <f t="shared" si="20"/>
        <v>19803.11</v>
      </c>
      <c r="J146" s="223"/>
      <c r="K146" s="312">
        <v>0</v>
      </c>
      <c r="L146" s="313"/>
      <c r="M146" s="314"/>
    </row>
    <row r="147" spans="1:13">
      <c r="A147" s="189" t="s">
        <v>238</v>
      </c>
      <c r="B147" s="189">
        <v>1078</v>
      </c>
      <c r="C147" s="224">
        <v>68</v>
      </c>
      <c r="D147" s="189" t="s">
        <v>40</v>
      </c>
      <c r="E147" s="225" t="s">
        <v>41</v>
      </c>
      <c r="F147" s="189">
        <v>3937</v>
      </c>
      <c r="G147" s="190">
        <v>4.7839999999999998</v>
      </c>
      <c r="H147" s="332">
        <f t="shared" si="21"/>
        <v>62.79</v>
      </c>
      <c r="I147" s="223">
        <f t="shared" si="20"/>
        <v>18834.61</v>
      </c>
      <c r="J147" s="223"/>
      <c r="K147" s="312">
        <v>0.12011238585811279</v>
      </c>
      <c r="L147" s="313"/>
      <c r="M147" s="314"/>
    </row>
    <row r="148" spans="1:13">
      <c r="A148" s="189" t="s">
        <v>238</v>
      </c>
      <c r="B148" s="189">
        <v>1078</v>
      </c>
      <c r="C148" s="224">
        <v>72</v>
      </c>
      <c r="D148" s="189" t="s">
        <v>40</v>
      </c>
      <c r="E148" s="225" t="s">
        <v>41</v>
      </c>
      <c r="F148" s="189">
        <v>3937</v>
      </c>
      <c r="G148" s="190">
        <v>5.6390000000000002</v>
      </c>
      <c r="H148" s="332">
        <f t="shared" si="21"/>
        <v>74.010000000000005</v>
      </c>
      <c r="I148" s="223">
        <f t="shared" si="20"/>
        <v>22200.74</v>
      </c>
      <c r="J148" s="223"/>
      <c r="K148" s="312">
        <v>3.5468539405725252E-5</v>
      </c>
      <c r="L148" s="313"/>
      <c r="M148" s="314"/>
    </row>
    <row r="149" spans="1:13">
      <c r="A149" s="189" t="s">
        <v>238</v>
      </c>
      <c r="B149" s="189">
        <v>1078</v>
      </c>
      <c r="C149" s="224">
        <v>74</v>
      </c>
      <c r="D149" s="189" t="s">
        <v>40</v>
      </c>
      <c r="E149" s="225" t="s">
        <v>41</v>
      </c>
      <c r="F149" s="189">
        <v>3937</v>
      </c>
      <c r="G149" s="190">
        <v>5.6130000000000004</v>
      </c>
      <c r="H149" s="332">
        <f t="shared" si="21"/>
        <v>73.67</v>
      </c>
      <c r="I149" s="223">
        <f t="shared" si="20"/>
        <v>22098.38</v>
      </c>
      <c r="J149" s="223"/>
      <c r="K149" s="312">
        <v>1.7816102193313199E-5</v>
      </c>
      <c r="L149" s="313"/>
      <c r="M149" s="314"/>
    </row>
    <row r="150" spans="1:13">
      <c r="A150" s="189" t="s">
        <v>238</v>
      </c>
      <c r="B150" s="189">
        <v>1078</v>
      </c>
      <c r="C150" s="224">
        <v>75</v>
      </c>
      <c r="D150" s="189" t="s">
        <v>40</v>
      </c>
      <c r="E150" s="225" t="s">
        <v>41</v>
      </c>
      <c r="F150" s="189">
        <v>3937</v>
      </c>
      <c r="G150" s="190">
        <v>5.7830000000000004</v>
      </c>
      <c r="H150" s="332">
        <f t="shared" si="21"/>
        <v>75.900000000000006</v>
      </c>
      <c r="I150" s="223">
        <f t="shared" si="20"/>
        <v>22767.67</v>
      </c>
      <c r="J150" s="223"/>
      <c r="K150" s="312">
        <v>0</v>
      </c>
      <c r="L150" s="313"/>
      <c r="M150" s="314"/>
    </row>
    <row r="151" spans="1:13">
      <c r="A151" s="189" t="s">
        <v>238</v>
      </c>
      <c r="B151" s="189">
        <v>1080</v>
      </c>
      <c r="C151" s="224">
        <v>64</v>
      </c>
      <c r="D151" s="189" t="s">
        <v>40</v>
      </c>
      <c r="E151" s="225" t="s">
        <v>41</v>
      </c>
      <c r="F151" s="189">
        <v>3937</v>
      </c>
      <c r="G151" s="190">
        <v>5.2590000000000003</v>
      </c>
      <c r="H151" s="332">
        <f t="shared" si="21"/>
        <v>69.02</v>
      </c>
      <c r="I151" s="223">
        <f t="shared" si="20"/>
        <v>20704.68</v>
      </c>
      <c r="J151" s="223"/>
      <c r="K151" s="312">
        <v>0</v>
      </c>
      <c r="L151" s="313"/>
      <c r="M151" s="314"/>
    </row>
    <row r="152" spans="1:13">
      <c r="A152" s="189" t="s">
        <v>238</v>
      </c>
      <c r="B152" s="189">
        <v>1080</v>
      </c>
      <c r="C152" s="224">
        <v>65</v>
      </c>
      <c r="D152" s="189" t="s">
        <v>40</v>
      </c>
      <c r="E152" s="225" t="s">
        <v>41</v>
      </c>
      <c r="F152" s="333">
        <v>3937</v>
      </c>
      <c r="G152" s="334">
        <v>5.1820000000000004</v>
      </c>
      <c r="H152" s="332">
        <f t="shared" si="21"/>
        <v>68.010000000000005</v>
      </c>
      <c r="I152" s="223">
        <f t="shared" si="20"/>
        <v>20401.53</v>
      </c>
      <c r="J152" s="223"/>
      <c r="K152" s="312">
        <v>0</v>
      </c>
      <c r="L152" s="313"/>
      <c r="M152" s="314"/>
    </row>
    <row r="153" spans="1:13">
      <c r="A153" s="189" t="s">
        <v>238</v>
      </c>
      <c r="B153" s="189">
        <v>1080</v>
      </c>
      <c r="C153" s="224">
        <v>68</v>
      </c>
      <c r="D153" s="189" t="s">
        <v>40</v>
      </c>
      <c r="E153" s="225" t="s">
        <v>41</v>
      </c>
      <c r="F153" s="189">
        <v>3937</v>
      </c>
      <c r="G153" s="190">
        <v>5.2930000000000001</v>
      </c>
      <c r="H153" s="332">
        <f t="shared" si="21"/>
        <v>69.47</v>
      </c>
      <c r="I153" s="223">
        <f t="shared" si="20"/>
        <v>20838.54</v>
      </c>
      <c r="J153" s="223"/>
      <c r="K153" s="312">
        <v>0</v>
      </c>
      <c r="L153" s="313"/>
      <c r="M153" s="314"/>
    </row>
    <row r="154" spans="1:13">
      <c r="A154" s="189" t="s">
        <v>238</v>
      </c>
      <c r="B154" s="189">
        <v>1080</v>
      </c>
      <c r="C154" s="224">
        <v>70</v>
      </c>
      <c r="D154" s="189" t="s">
        <v>40</v>
      </c>
      <c r="E154" s="225" t="s">
        <v>41</v>
      </c>
      <c r="F154" s="189">
        <v>3937</v>
      </c>
      <c r="G154" s="190">
        <v>5.4550000000000001</v>
      </c>
      <c r="H154" s="332">
        <f t="shared" si="21"/>
        <v>71.59</v>
      </c>
      <c r="I154" s="223">
        <f t="shared" si="20"/>
        <v>21476.34</v>
      </c>
      <c r="J154" s="223"/>
      <c r="K154" s="312">
        <v>0</v>
      </c>
      <c r="L154" s="313"/>
      <c r="M154" s="314"/>
    </row>
    <row r="155" spans="1:13">
      <c r="A155" s="189" t="s">
        <v>238</v>
      </c>
      <c r="B155" s="189">
        <v>1080</v>
      </c>
      <c r="C155" s="224">
        <v>72</v>
      </c>
      <c r="D155" s="189" t="s">
        <v>40</v>
      </c>
      <c r="E155" s="225" t="s">
        <v>41</v>
      </c>
      <c r="F155" s="189">
        <v>3937</v>
      </c>
      <c r="G155" s="190">
        <v>5.4550000000000001</v>
      </c>
      <c r="H155" s="332">
        <f t="shared" si="21"/>
        <v>71.59</v>
      </c>
      <c r="I155" s="223">
        <f t="shared" si="20"/>
        <v>21476.34</v>
      </c>
      <c r="J155" s="223"/>
      <c r="K155" s="312">
        <v>0</v>
      </c>
      <c r="L155" s="313"/>
      <c r="M155" s="314"/>
    </row>
    <row r="156" spans="1:13">
      <c r="A156" s="189" t="s">
        <v>238</v>
      </c>
      <c r="B156" s="222" t="s">
        <v>42</v>
      </c>
      <c r="C156" s="224">
        <v>54</v>
      </c>
      <c r="D156" s="189" t="s">
        <v>40</v>
      </c>
      <c r="E156" s="225" t="s">
        <v>41</v>
      </c>
      <c r="F156" s="189">
        <v>3937</v>
      </c>
      <c r="G156" s="190">
        <v>6.2480000000000002</v>
      </c>
      <c r="H156" s="332">
        <f t="shared" si="21"/>
        <v>82</v>
      </c>
      <c r="I156" s="223">
        <f t="shared" si="20"/>
        <v>24598.38</v>
      </c>
      <c r="J156" s="223"/>
      <c r="K156" s="312">
        <v>-6.4016388195420326E-5</v>
      </c>
      <c r="L156" s="313"/>
      <c r="M156" s="314"/>
    </row>
    <row r="157" spans="1:13">
      <c r="A157" s="189" t="s">
        <v>238</v>
      </c>
      <c r="B157" s="222" t="s">
        <v>42</v>
      </c>
      <c r="C157" s="224">
        <v>56.999999999999993</v>
      </c>
      <c r="D157" s="189" t="s">
        <v>40</v>
      </c>
      <c r="E157" s="225" t="s">
        <v>41</v>
      </c>
      <c r="F157" s="189">
        <v>3937</v>
      </c>
      <c r="G157" s="190">
        <v>5.5250000000000004</v>
      </c>
      <c r="H157" s="332">
        <f t="shared" si="21"/>
        <v>72.510000000000005</v>
      </c>
      <c r="I157" s="223">
        <f t="shared" si="20"/>
        <v>21751.93</v>
      </c>
      <c r="J157" s="223"/>
      <c r="K157" s="312">
        <v>0</v>
      </c>
      <c r="L157" s="313"/>
      <c r="M157" s="314"/>
    </row>
    <row r="158" spans="1:13">
      <c r="A158" s="189" t="s">
        <v>238</v>
      </c>
      <c r="B158" s="222" t="s">
        <v>42</v>
      </c>
      <c r="C158" s="224">
        <v>59</v>
      </c>
      <c r="D158" s="189" t="s">
        <v>40</v>
      </c>
      <c r="E158" s="225" t="s">
        <v>41</v>
      </c>
      <c r="F158" s="189">
        <v>3937</v>
      </c>
      <c r="G158" s="190">
        <v>6.23</v>
      </c>
      <c r="H158" s="332">
        <f t="shared" si="21"/>
        <v>81.760000000000005</v>
      </c>
      <c r="I158" s="223">
        <f t="shared" si="20"/>
        <v>24527.51</v>
      </c>
      <c r="J158" s="223"/>
      <c r="K158" s="312">
        <v>-1.6051106723757869E-5</v>
      </c>
      <c r="L158" s="313"/>
      <c r="M158" s="314"/>
    </row>
    <row r="159" spans="1:13">
      <c r="A159" s="189" t="s">
        <v>238</v>
      </c>
      <c r="B159" s="222" t="s">
        <v>42</v>
      </c>
      <c r="C159" s="224">
        <v>60</v>
      </c>
      <c r="D159" s="189" t="s">
        <v>40</v>
      </c>
      <c r="E159" s="225" t="s">
        <v>41</v>
      </c>
      <c r="F159" s="189">
        <v>3937</v>
      </c>
      <c r="G159" s="190">
        <v>6.5529999999999999</v>
      </c>
      <c r="H159" s="332">
        <f t="shared" si="21"/>
        <v>86</v>
      </c>
      <c r="I159" s="223">
        <f t="shared" si="20"/>
        <v>25799.16</v>
      </c>
      <c r="J159" s="223"/>
      <c r="K159" s="312">
        <v>-3.0519440883947091E-5</v>
      </c>
      <c r="L159" s="313"/>
      <c r="M159" s="314"/>
    </row>
    <row r="160" spans="1:13">
      <c r="A160" s="189" t="s">
        <v>238</v>
      </c>
      <c r="B160" s="222" t="s">
        <v>42</v>
      </c>
      <c r="C160" s="224">
        <v>61</v>
      </c>
      <c r="D160" s="189" t="s">
        <v>40</v>
      </c>
      <c r="E160" s="225" t="s">
        <v>41</v>
      </c>
      <c r="F160" s="189">
        <v>3937</v>
      </c>
      <c r="G160" s="190">
        <v>5.7039999999999997</v>
      </c>
      <c r="H160" s="332">
        <f t="shared" si="21"/>
        <v>74.86</v>
      </c>
      <c r="I160" s="223">
        <f t="shared" si="20"/>
        <v>22456.65</v>
      </c>
      <c r="J160" s="223"/>
      <c r="K160" s="312">
        <v>0</v>
      </c>
      <c r="L160" s="313"/>
      <c r="M160" s="314"/>
    </row>
    <row r="161" spans="1:13">
      <c r="A161" s="189" t="s">
        <v>238</v>
      </c>
      <c r="B161" s="189">
        <v>2116</v>
      </c>
      <c r="C161" s="224">
        <v>53</v>
      </c>
      <c r="D161" s="189" t="s">
        <v>43</v>
      </c>
      <c r="E161" s="225" t="s">
        <v>41</v>
      </c>
      <c r="F161" s="189">
        <v>2624.6</v>
      </c>
      <c r="G161" s="190">
        <v>6.085</v>
      </c>
      <c r="H161" s="332">
        <f t="shared" si="21"/>
        <v>79.86</v>
      </c>
      <c r="I161" s="223">
        <f t="shared" si="20"/>
        <v>15970.69</v>
      </c>
      <c r="J161" s="223"/>
      <c r="K161" s="312">
        <v>-4.9299130692070925E-5</v>
      </c>
      <c r="L161" s="313"/>
      <c r="M161" s="314"/>
    </row>
    <row r="162" spans="1:13">
      <c r="A162" s="189" t="s">
        <v>238</v>
      </c>
      <c r="B162" s="189">
        <v>2116</v>
      </c>
      <c r="C162" s="224">
        <v>54</v>
      </c>
      <c r="D162" s="189" t="s">
        <v>43</v>
      </c>
      <c r="E162" s="225" t="s">
        <v>41</v>
      </c>
      <c r="F162" s="189">
        <v>2624.6</v>
      </c>
      <c r="G162" s="190">
        <v>6.6289999999999996</v>
      </c>
      <c r="H162" s="332">
        <f t="shared" si="21"/>
        <v>87</v>
      </c>
      <c r="I162" s="223">
        <f t="shared" si="20"/>
        <v>17398.47</v>
      </c>
      <c r="J162" s="223"/>
      <c r="K162" s="312">
        <v>-6.0337285425648979E-5</v>
      </c>
      <c r="L162" s="313"/>
      <c r="M162" s="314"/>
    </row>
    <row r="163" spans="1:13">
      <c r="A163" s="189" t="s">
        <v>238</v>
      </c>
      <c r="B163" s="189">
        <v>2116</v>
      </c>
      <c r="C163" s="224">
        <v>55.000000000000007</v>
      </c>
      <c r="D163" s="189" t="s">
        <v>43</v>
      </c>
      <c r="E163" s="225" t="s">
        <v>41</v>
      </c>
      <c r="F163" s="189">
        <v>2624.6</v>
      </c>
      <c r="G163" s="190">
        <v>6.5590000000000002</v>
      </c>
      <c r="H163" s="332">
        <f t="shared" si="21"/>
        <v>86.08</v>
      </c>
      <c r="I163" s="223">
        <f t="shared" si="20"/>
        <v>17214.75</v>
      </c>
      <c r="J163" s="223"/>
      <c r="K163" s="312">
        <v>6.0988625621316572E-5</v>
      </c>
      <c r="L163" s="313"/>
      <c r="M163" s="314"/>
    </row>
    <row r="164" spans="1:13">
      <c r="A164" s="189" t="s">
        <v>238</v>
      </c>
      <c r="B164" s="189">
        <v>2116</v>
      </c>
      <c r="C164" s="224">
        <v>56.000000000000007</v>
      </c>
      <c r="D164" s="189" t="s">
        <v>43</v>
      </c>
      <c r="E164" s="225" t="s">
        <v>41</v>
      </c>
      <c r="F164" s="189">
        <v>2624.6</v>
      </c>
      <c r="G164" s="190">
        <v>6.5590000000000002</v>
      </c>
      <c r="H164" s="332">
        <f t="shared" si="21"/>
        <v>86.08</v>
      </c>
      <c r="I164" s="223">
        <f t="shared" si="20"/>
        <v>17214.75</v>
      </c>
      <c r="J164" s="223"/>
      <c r="K164" s="312">
        <v>6.0988625621316572E-5</v>
      </c>
      <c r="L164" s="313"/>
      <c r="M164" s="314"/>
    </row>
    <row r="165" spans="1:13">
      <c r="A165" s="189" t="s">
        <v>238</v>
      </c>
      <c r="B165" s="189">
        <v>2116</v>
      </c>
      <c r="C165" s="224">
        <v>56.999999999999993</v>
      </c>
      <c r="D165" s="189" t="s">
        <v>43</v>
      </c>
      <c r="E165" s="225" t="s">
        <v>41</v>
      </c>
      <c r="F165" s="189">
        <v>2624.6</v>
      </c>
      <c r="G165" s="190">
        <v>5.3440000000000003</v>
      </c>
      <c r="H165" s="332">
        <f t="shared" si="21"/>
        <v>70.13</v>
      </c>
      <c r="I165" s="223">
        <f t="shared" si="20"/>
        <v>14025.86</v>
      </c>
      <c r="J165" s="223"/>
      <c r="K165" s="312">
        <v>0</v>
      </c>
      <c r="L165" s="313"/>
      <c r="M165" s="314"/>
    </row>
    <row r="166" spans="1:13">
      <c r="A166" s="189" t="s">
        <v>238</v>
      </c>
      <c r="B166" s="189">
        <v>2116</v>
      </c>
      <c r="C166" s="224">
        <v>57.999999999999993</v>
      </c>
      <c r="D166" s="189" t="s">
        <v>43</v>
      </c>
      <c r="E166" s="225" t="s">
        <v>41</v>
      </c>
      <c r="F166" s="189">
        <v>2624.6</v>
      </c>
      <c r="G166" s="190">
        <v>6.782</v>
      </c>
      <c r="H166" s="332">
        <f t="shared" si="21"/>
        <v>89.01</v>
      </c>
      <c r="I166" s="223">
        <f t="shared" si="20"/>
        <v>17800.04</v>
      </c>
      <c r="J166" s="223"/>
      <c r="K166" s="312">
        <v>2.9490695685474577E-5</v>
      </c>
      <c r="L166" s="313"/>
      <c r="M166" s="314"/>
    </row>
    <row r="167" spans="1:13">
      <c r="A167" s="189" t="s">
        <v>238</v>
      </c>
      <c r="B167" s="189">
        <v>2116</v>
      </c>
      <c r="C167" s="224">
        <v>59</v>
      </c>
      <c r="D167" s="189" t="s">
        <v>43</v>
      </c>
      <c r="E167" s="225" t="s">
        <v>41</v>
      </c>
      <c r="F167" s="189">
        <v>2624.6</v>
      </c>
      <c r="G167" s="190">
        <v>5.8570000000000002</v>
      </c>
      <c r="H167" s="332">
        <f t="shared" si="21"/>
        <v>76.87</v>
      </c>
      <c r="I167" s="223">
        <f t="shared" si="20"/>
        <v>15372.28</v>
      </c>
      <c r="J167" s="223"/>
      <c r="K167" s="312">
        <v>8.0029503964595294E-2</v>
      </c>
      <c r="L167" s="313"/>
      <c r="M167" s="314"/>
    </row>
    <row r="168" spans="1:13">
      <c r="A168" s="189" t="s">
        <v>238</v>
      </c>
      <c r="B168" s="189">
        <v>2116</v>
      </c>
      <c r="C168" s="224">
        <v>60</v>
      </c>
      <c r="D168" s="189" t="s">
        <v>43</v>
      </c>
      <c r="E168" s="225" t="s">
        <v>41</v>
      </c>
      <c r="F168" s="189">
        <v>2624.6</v>
      </c>
      <c r="G168" s="190">
        <v>5.8570000000000002</v>
      </c>
      <c r="H168" s="332">
        <f t="shared" si="21"/>
        <v>76.87</v>
      </c>
      <c r="I168" s="223">
        <f t="shared" si="20"/>
        <v>15372.28</v>
      </c>
      <c r="J168" s="223"/>
      <c r="K168" s="312">
        <v>8.0029503964595294E-2</v>
      </c>
      <c r="L168" s="313"/>
      <c r="M168" s="314"/>
    </row>
    <row r="170" spans="1:13" ht="15.6">
      <c r="A170" s="235" t="s">
        <v>45</v>
      </c>
      <c r="B170" s="235"/>
      <c r="C170" s="315"/>
      <c r="D170" s="315"/>
      <c r="E170" s="315"/>
      <c r="F170" s="315"/>
      <c r="G170" s="315"/>
      <c r="H170" s="315"/>
      <c r="I170" s="315"/>
      <c r="J170" s="315"/>
      <c r="K170" s="316"/>
    </row>
    <row r="171" spans="1:13" ht="15.6">
      <c r="A171" s="315" t="s">
        <v>46</v>
      </c>
      <c r="B171" s="315"/>
      <c r="C171" s="315"/>
      <c r="D171" s="315"/>
      <c r="E171" s="315"/>
      <c r="F171" s="315"/>
      <c r="G171" s="315"/>
      <c r="H171" s="315"/>
      <c r="I171" s="315"/>
      <c r="J171" s="315"/>
      <c r="K171" s="316"/>
    </row>
    <row r="172" spans="1:13" ht="15.6">
      <c r="A172" s="317" t="s">
        <v>223</v>
      </c>
      <c r="B172" s="317"/>
      <c r="C172" s="315"/>
      <c r="D172" s="315"/>
      <c r="E172" s="315"/>
      <c r="F172" s="315"/>
      <c r="G172" s="315"/>
      <c r="H172" s="315"/>
      <c r="I172" s="315"/>
      <c r="J172" s="315"/>
      <c r="K172" s="316"/>
    </row>
    <row r="173" spans="1:13" ht="15.6">
      <c r="A173" s="317" t="s">
        <v>224</v>
      </c>
      <c r="B173" s="317"/>
      <c r="C173" s="315"/>
      <c r="D173" s="315"/>
      <c r="E173" s="315"/>
      <c r="F173" s="315"/>
      <c r="G173" s="315"/>
      <c r="H173" s="315"/>
      <c r="I173" s="315"/>
      <c r="J173" s="315"/>
      <c r="K173" s="316"/>
    </row>
    <row r="174" spans="1:13" ht="15.6">
      <c r="A174" s="317" t="s">
        <v>225</v>
      </c>
      <c r="B174" s="317"/>
      <c r="C174" s="315"/>
      <c r="D174" s="315"/>
      <c r="E174" s="315"/>
      <c r="F174" s="315"/>
      <c r="G174" s="315"/>
      <c r="H174" s="315"/>
      <c r="I174" s="315"/>
      <c r="J174" s="315"/>
      <c r="K174" s="316"/>
    </row>
    <row r="175" spans="1:13" ht="15.6">
      <c r="A175" s="317" t="s">
        <v>226</v>
      </c>
      <c r="B175" s="317"/>
      <c r="C175" s="315"/>
      <c r="D175" s="315"/>
      <c r="E175" s="315"/>
      <c r="F175" s="315"/>
      <c r="G175" s="315"/>
      <c r="H175" s="315"/>
      <c r="I175" s="315"/>
      <c r="J175" s="315"/>
      <c r="K175" s="316"/>
    </row>
    <row r="176" spans="1:13" ht="15.6">
      <c r="A176" s="317" t="s">
        <v>227</v>
      </c>
      <c r="B176" s="317"/>
      <c r="C176" s="315"/>
      <c r="D176" s="315"/>
      <c r="E176" s="315"/>
      <c r="F176" s="315"/>
      <c r="G176" s="315"/>
      <c r="H176" s="315"/>
      <c r="I176" s="315"/>
      <c r="J176" s="315"/>
      <c r="K176" s="316"/>
    </row>
    <row r="177" spans="1:11" ht="15.6">
      <c r="A177" s="317" t="s">
        <v>228</v>
      </c>
      <c r="B177" s="317"/>
      <c r="C177" s="315"/>
      <c r="D177" s="315"/>
      <c r="E177" s="315"/>
      <c r="F177" s="315"/>
      <c r="G177" s="315"/>
      <c r="H177" s="315"/>
      <c r="I177" s="315"/>
      <c r="J177" s="315"/>
      <c r="K177" s="316"/>
    </row>
    <row r="178" spans="1:11" ht="15.6">
      <c r="A178" s="318" t="s">
        <v>229</v>
      </c>
      <c r="B178" s="318"/>
      <c r="C178" s="315"/>
      <c r="D178" s="315"/>
      <c r="E178" s="315"/>
      <c r="F178" s="315"/>
      <c r="G178" s="315"/>
      <c r="H178" s="315"/>
      <c r="I178" s="315"/>
      <c r="J178" s="315"/>
      <c r="K178" s="316"/>
    </row>
    <row r="179" spans="1:11" ht="14.4">
      <c r="A179" s="319" t="s">
        <v>230</v>
      </c>
      <c r="B179" s="319"/>
      <c r="C179" s="320"/>
      <c r="D179" s="320"/>
      <c r="E179" s="320"/>
      <c r="F179" s="320"/>
      <c r="G179" s="320"/>
      <c r="H179" s="320"/>
      <c r="I179" s="320"/>
      <c r="J179" s="320"/>
      <c r="K179" s="320"/>
    </row>
    <row r="180" spans="1:11" ht="14.4">
      <c r="A180" s="319" t="s">
        <v>231</v>
      </c>
      <c r="B180" s="319"/>
      <c r="C180" s="320"/>
      <c r="D180" s="320"/>
      <c r="E180" s="320"/>
      <c r="F180" s="320"/>
      <c r="G180" s="320"/>
      <c r="H180" s="320"/>
      <c r="I180" s="320"/>
      <c r="J180" s="320"/>
      <c r="K180" s="320"/>
    </row>
    <row r="181" spans="1:11" ht="14.4">
      <c r="A181" s="319"/>
      <c r="B181" s="319"/>
      <c r="C181" s="320"/>
      <c r="D181" s="320"/>
      <c r="E181" s="320"/>
      <c r="F181" s="320"/>
      <c r="G181" s="320"/>
      <c r="H181" s="320"/>
      <c r="I181" s="320"/>
      <c r="J181" s="320"/>
    </row>
    <row r="182" spans="1:11" ht="15.6">
      <c r="A182" s="321" t="s">
        <v>52</v>
      </c>
      <c r="B182" s="321"/>
      <c r="C182" s="322"/>
      <c r="D182" s="322"/>
      <c r="E182" s="322"/>
      <c r="F182" s="322"/>
      <c r="G182" s="322"/>
      <c r="H182" s="323" t="s">
        <v>53</v>
      </c>
      <c r="I182" s="322"/>
      <c r="J182" s="322"/>
      <c r="K182" s="322"/>
    </row>
  </sheetData>
  <mergeCells count="49">
    <mergeCell ref="I168:J168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A126:K126"/>
    <mergeCell ref="I127:J127"/>
    <mergeCell ref="I128:J128"/>
    <mergeCell ref="I129:J129"/>
    <mergeCell ref="I130:J130"/>
    <mergeCell ref="I131:J131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E76C-3EC2-49D9-A68F-D2DA776F4D3D}">
  <dimension ref="A1:O383"/>
  <sheetViews>
    <sheetView workbookViewId="0">
      <selection activeCell="S12" sqref="S12"/>
    </sheetView>
  </sheetViews>
  <sheetFormatPr defaultColWidth="9" defaultRowHeight="13.8"/>
  <cols>
    <col min="1" max="11" width="8.09765625" style="1" customWidth="1"/>
    <col min="12" max="15" width="7.19921875" style="1" hidden="1" customWidth="1"/>
    <col min="16" max="16384" width="9" style="1"/>
  </cols>
  <sheetData>
    <row r="1" spans="1:15" ht="16.350000000000001" customHeight="1">
      <c r="C1" s="110"/>
      <c r="D1" s="110"/>
      <c r="E1" s="110"/>
      <c r="F1" s="110"/>
      <c r="G1" s="110"/>
      <c r="H1" s="110"/>
      <c r="I1" s="110"/>
      <c r="J1" s="110"/>
      <c r="K1" s="110"/>
    </row>
    <row r="2" spans="1:15" ht="74.400000000000006" customHeight="1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</row>
    <row r="3" spans="1:15" ht="21" customHeight="1">
      <c r="A3" s="107" t="s">
        <v>0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5" ht="15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5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5" ht="15" customHeight="1">
      <c r="A6" s="4" t="s">
        <v>3</v>
      </c>
      <c r="B6" s="4" t="s">
        <v>4</v>
      </c>
      <c r="D6" s="5"/>
      <c r="E6" s="5"/>
      <c r="F6" s="5"/>
      <c r="G6" s="5"/>
      <c r="H6" s="5"/>
      <c r="I6" s="4" t="s">
        <v>5</v>
      </c>
      <c r="J6" s="4"/>
      <c r="K6" s="4"/>
    </row>
    <row r="7" spans="1:15" ht="15" customHeight="1">
      <c r="A7" s="4"/>
      <c r="B7" s="4" t="s">
        <v>6</v>
      </c>
      <c r="D7" s="5"/>
      <c r="E7" s="5"/>
      <c r="F7" s="5"/>
      <c r="G7" s="5"/>
      <c r="H7" s="5"/>
      <c r="I7" s="7" t="s">
        <v>7</v>
      </c>
      <c r="J7" s="7"/>
      <c r="K7" s="7"/>
    </row>
    <row r="8" spans="1:15" ht="15" customHeight="1">
      <c r="A8" s="4" t="s">
        <v>8</v>
      </c>
      <c r="B8" s="4" t="s">
        <v>9</v>
      </c>
      <c r="D8" s="5"/>
      <c r="E8" s="5"/>
      <c r="F8" s="5"/>
      <c r="G8" s="5"/>
      <c r="H8" s="5"/>
      <c r="I8" s="7" t="s">
        <v>80</v>
      </c>
      <c r="J8" s="7"/>
      <c r="K8" s="7"/>
    </row>
    <row r="9" spans="1:15" ht="15" customHeight="1">
      <c r="A9" s="4"/>
      <c r="B9" s="4" t="s">
        <v>10</v>
      </c>
      <c r="D9" s="5"/>
      <c r="E9" s="5"/>
      <c r="F9" s="5"/>
      <c r="G9" s="5"/>
      <c r="H9" s="5"/>
      <c r="I9" s="8" t="s">
        <v>11</v>
      </c>
      <c r="J9" s="4"/>
      <c r="K9" s="4"/>
    </row>
    <row r="10" spans="1:15" ht="15" customHeight="1">
      <c r="A10" s="5"/>
      <c r="B10" s="5"/>
      <c r="C10" s="5"/>
      <c r="D10" s="5"/>
      <c r="E10" s="5"/>
      <c r="F10" s="5"/>
      <c r="G10" s="5"/>
      <c r="H10" s="5"/>
      <c r="I10" s="335"/>
      <c r="K10" s="7"/>
    </row>
    <row r="11" spans="1:15" ht="28.2" customHeight="1">
      <c r="A11" s="102" t="s">
        <v>239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5" ht="22.8" customHeight="1">
      <c r="A12" s="159" t="s">
        <v>13</v>
      </c>
      <c r="B12" s="159" t="s">
        <v>14</v>
      </c>
      <c r="C12" s="159" t="s">
        <v>15</v>
      </c>
      <c r="D12" s="159" t="s">
        <v>16</v>
      </c>
      <c r="E12" s="159" t="s">
        <v>17</v>
      </c>
      <c r="F12" s="159" t="s">
        <v>18</v>
      </c>
      <c r="G12" s="159" t="s">
        <v>19</v>
      </c>
      <c r="H12" s="159" t="s">
        <v>20</v>
      </c>
      <c r="I12" s="159" t="s">
        <v>21</v>
      </c>
      <c r="J12" s="159" t="s">
        <v>22</v>
      </c>
      <c r="K12" s="159" t="s">
        <v>23</v>
      </c>
      <c r="L12" s="78" t="s">
        <v>72</v>
      </c>
      <c r="M12" s="79" t="s">
        <v>73</v>
      </c>
      <c r="N12" s="79" t="s">
        <v>74</v>
      </c>
      <c r="O12" s="79" t="s">
        <v>75</v>
      </c>
    </row>
    <row r="13" spans="1:15">
      <c r="A13" s="9" t="s">
        <v>240</v>
      </c>
      <c r="B13" s="64">
        <f t="shared" ref="B13:B76" si="0">ROUND(C13*0.0254,3)</f>
        <v>5.0999999999999997E-2</v>
      </c>
      <c r="C13" s="31">
        <v>2</v>
      </c>
      <c r="D13" s="13" t="s">
        <v>25</v>
      </c>
      <c r="E13" s="13" t="s">
        <v>241</v>
      </c>
      <c r="F13" s="32" t="s">
        <v>217</v>
      </c>
      <c r="G13" s="336">
        <v>14.341000000000001</v>
      </c>
      <c r="H13" s="15">
        <f t="shared" ref="H13:H76" si="1">ROUND(G13*12,2)</f>
        <v>172.09</v>
      </c>
      <c r="I13" s="68">
        <f t="shared" ref="I13:I76" si="2">ROUND(G13*13.33,2)</f>
        <v>191.17</v>
      </c>
      <c r="J13" s="15">
        <f t="shared" ref="J13:J76" si="3">ROUND(G13*14,2)</f>
        <v>200.77</v>
      </c>
      <c r="K13" s="337"/>
      <c r="L13" s="63">
        <f t="shared" ref="L13:L76" si="4">ROUND(ROUND(ROUND(G13*12,2)*43/48,2)*1.07,2)</f>
        <v>164.95</v>
      </c>
      <c r="M13" s="63">
        <f t="shared" ref="M13:M76" si="5">ROUND(ROUND(G13*12,2)*2/3,2)</f>
        <v>114.73</v>
      </c>
      <c r="N13" s="63">
        <f t="shared" ref="N13:N76" si="6">ROUND(ROUND(G13*13.33,2)*2/3,2)</f>
        <v>127.45</v>
      </c>
      <c r="O13" s="63">
        <f t="shared" ref="O13:O76" si="7">ROUND(ROUND(G13*14,2)*2/3,2)</f>
        <v>133.85</v>
      </c>
    </row>
    <row r="14" spans="1:15">
      <c r="A14" s="9" t="s">
        <v>240</v>
      </c>
      <c r="B14" s="64">
        <f t="shared" si="0"/>
        <v>6.4000000000000001E-2</v>
      </c>
      <c r="C14" s="31">
        <v>2.5</v>
      </c>
      <c r="D14" s="13" t="s">
        <v>25</v>
      </c>
      <c r="E14" s="13" t="s">
        <v>241</v>
      </c>
      <c r="F14" s="32" t="s">
        <v>122</v>
      </c>
      <c r="G14" s="336">
        <v>14.341000000000001</v>
      </c>
      <c r="H14" s="15">
        <f t="shared" si="1"/>
        <v>172.09</v>
      </c>
      <c r="I14" s="68">
        <f t="shared" si="2"/>
        <v>191.17</v>
      </c>
      <c r="J14" s="15">
        <f t="shared" si="3"/>
        <v>200.77</v>
      </c>
      <c r="K14" s="337"/>
      <c r="L14" s="63">
        <f t="shared" si="4"/>
        <v>164.95</v>
      </c>
      <c r="M14" s="63">
        <f t="shared" si="5"/>
        <v>114.73</v>
      </c>
      <c r="N14" s="63">
        <f t="shared" si="6"/>
        <v>127.45</v>
      </c>
      <c r="O14" s="63">
        <f t="shared" si="7"/>
        <v>133.85</v>
      </c>
    </row>
    <row r="15" spans="1:15">
      <c r="A15" s="9" t="s">
        <v>240</v>
      </c>
      <c r="B15" s="64">
        <f t="shared" si="0"/>
        <v>7.5999999999999998E-2</v>
      </c>
      <c r="C15" s="31">
        <v>3</v>
      </c>
      <c r="D15" s="13" t="s">
        <v>25</v>
      </c>
      <c r="E15" s="13" t="s">
        <v>241</v>
      </c>
      <c r="F15" s="32" t="s">
        <v>217</v>
      </c>
      <c r="G15" s="336">
        <v>15.051000000000002</v>
      </c>
      <c r="H15" s="15">
        <f t="shared" si="1"/>
        <v>180.61</v>
      </c>
      <c r="I15" s="68">
        <f t="shared" si="2"/>
        <v>200.63</v>
      </c>
      <c r="J15" s="15">
        <f t="shared" si="3"/>
        <v>210.71</v>
      </c>
      <c r="K15" s="337"/>
      <c r="L15" s="63">
        <f t="shared" si="4"/>
        <v>173.13</v>
      </c>
      <c r="M15" s="63">
        <f t="shared" si="5"/>
        <v>120.41</v>
      </c>
      <c r="N15" s="63">
        <f t="shared" si="6"/>
        <v>133.75</v>
      </c>
      <c r="O15" s="63">
        <f t="shared" si="7"/>
        <v>140.47</v>
      </c>
    </row>
    <row r="16" spans="1:15">
      <c r="A16" s="9" t="s">
        <v>240</v>
      </c>
      <c r="B16" s="64">
        <f t="shared" si="0"/>
        <v>7.5999999999999998E-2</v>
      </c>
      <c r="C16" s="31">
        <v>3</v>
      </c>
      <c r="D16" s="13" t="s">
        <v>25</v>
      </c>
      <c r="E16" s="13" t="s">
        <v>241</v>
      </c>
      <c r="F16" s="32" t="s">
        <v>81</v>
      </c>
      <c r="G16" s="336">
        <v>14.475999999999999</v>
      </c>
      <c r="H16" s="15">
        <f t="shared" si="1"/>
        <v>173.71</v>
      </c>
      <c r="I16" s="68">
        <f t="shared" si="2"/>
        <v>192.97</v>
      </c>
      <c r="J16" s="15">
        <f t="shared" si="3"/>
        <v>202.66</v>
      </c>
      <c r="K16" s="337"/>
      <c r="L16" s="63">
        <f t="shared" si="4"/>
        <v>166.51</v>
      </c>
      <c r="M16" s="63">
        <f t="shared" si="5"/>
        <v>115.81</v>
      </c>
      <c r="N16" s="63">
        <f t="shared" si="6"/>
        <v>128.65</v>
      </c>
      <c r="O16" s="63">
        <f t="shared" si="7"/>
        <v>135.11000000000001</v>
      </c>
    </row>
    <row r="17" spans="1:15">
      <c r="A17" s="9" t="s">
        <v>240</v>
      </c>
      <c r="B17" s="64">
        <f t="shared" si="0"/>
        <v>7.5999999999999998E-2</v>
      </c>
      <c r="C17" s="31">
        <v>3</v>
      </c>
      <c r="D17" s="13" t="s">
        <v>25</v>
      </c>
      <c r="E17" s="13" t="s">
        <v>241</v>
      </c>
      <c r="F17" s="32" t="s">
        <v>122</v>
      </c>
      <c r="G17" s="336">
        <v>14.341000000000001</v>
      </c>
      <c r="H17" s="15">
        <f t="shared" si="1"/>
        <v>172.09</v>
      </c>
      <c r="I17" s="68">
        <f t="shared" si="2"/>
        <v>191.17</v>
      </c>
      <c r="J17" s="15">
        <f t="shared" si="3"/>
        <v>200.77</v>
      </c>
      <c r="K17" s="337"/>
      <c r="L17" s="63">
        <f t="shared" si="4"/>
        <v>164.95</v>
      </c>
      <c r="M17" s="63">
        <f t="shared" si="5"/>
        <v>114.73</v>
      </c>
      <c r="N17" s="63">
        <f t="shared" si="6"/>
        <v>127.45</v>
      </c>
      <c r="O17" s="63">
        <f t="shared" si="7"/>
        <v>133.85</v>
      </c>
    </row>
    <row r="18" spans="1:15">
      <c r="A18" s="9" t="s">
        <v>240</v>
      </c>
      <c r="B18" s="64">
        <f t="shared" si="0"/>
        <v>7.5999999999999998E-2</v>
      </c>
      <c r="C18" s="31">
        <v>3</v>
      </c>
      <c r="D18" s="13" t="s">
        <v>25</v>
      </c>
      <c r="E18" s="13" t="s">
        <v>241</v>
      </c>
      <c r="F18" s="32" t="s">
        <v>123</v>
      </c>
      <c r="G18" s="336">
        <v>14.341000000000001</v>
      </c>
      <c r="H18" s="15">
        <f t="shared" si="1"/>
        <v>172.09</v>
      </c>
      <c r="I18" s="68">
        <f t="shared" si="2"/>
        <v>191.17</v>
      </c>
      <c r="J18" s="15">
        <f t="shared" si="3"/>
        <v>200.77</v>
      </c>
      <c r="K18" s="337"/>
      <c r="L18" s="63">
        <f t="shared" si="4"/>
        <v>164.95</v>
      </c>
      <c r="M18" s="63">
        <f t="shared" si="5"/>
        <v>114.73</v>
      </c>
      <c r="N18" s="63">
        <f t="shared" si="6"/>
        <v>127.45</v>
      </c>
      <c r="O18" s="63">
        <f t="shared" si="7"/>
        <v>133.85</v>
      </c>
    </row>
    <row r="19" spans="1:15">
      <c r="A19" s="9" t="s">
        <v>240</v>
      </c>
      <c r="B19" s="64">
        <f t="shared" si="0"/>
        <v>8.8999999999999996E-2</v>
      </c>
      <c r="C19" s="31">
        <v>3.5</v>
      </c>
      <c r="D19" s="13" t="s">
        <v>25</v>
      </c>
      <c r="E19" s="13" t="s">
        <v>241</v>
      </c>
      <c r="F19" s="32" t="s">
        <v>81</v>
      </c>
      <c r="G19" s="336">
        <v>14.475999999999999</v>
      </c>
      <c r="H19" s="15">
        <f t="shared" si="1"/>
        <v>173.71</v>
      </c>
      <c r="I19" s="68">
        <f t="shared" si="2"/>
        <v>192.97</v>
      </c>
      <c r="J19" s="15">
        <f t="shared" si="3"/>
        <v>202.66</v>
      </c>
      <c r="K19" s="337"/>
      <c r="L19" s="63">
        <f t="shared" si="4"/>
        <v>166.51</v>
      </c>
      <c r="M19" s="63">
        <f t="shared" si="5"/>
        <v>115.81</v>
      </c>
      <c r="N19" s="63">
        <f t="shared" si="6"/>
        <v>128.65</v>
      </c>
      <c r="O19" s="63">
        <f t="shared" si="7"/>
        <v>135.11000000000001</v>
      </c>
    </row>
    <row r="20" spans="1:15">
      <c r="A20" s="9" t="s">
        <v>240</v>
      </c>
      <c r="B20" s="64">
        <f t="shared" si="0"/>
        <v>8.8999999999999996E-2</v>
      </c>
      <c r="C20" s="31">
        <v>3.5</v>
      </c>
      <c r="D20" s="13" t="s">
        <v>25</v>
      </c>
      <c r="E20" s="13" t="s">
        <v>241</v>
      </c>
      <c r="F20" s="32" t="s">
        <v>122</v>
      </c>
      <c r="G20" s="336">
        <v>14.521999999999998</v>
      </c>
      <c r="H20" s="15">
        <f t="shared" si="1"/>
        <v>174.26</v>
      </c>
      <c r="I20" s="68">
        <f t="shared" si="2"/>
        <v>193.58</v>
      </c>
      <c r="J20" s="15">
        <f t="shared" si="3"/>
        <v>203.31</v>
      </c>
      <c r="K20" s="337"/>
      <c r="L20" s="63">
        <f t="shared" si="4"/>
        <v>167.04</v>
      </c>
      <c r="M20" s="63">
        <f t="shared" si="5"/>
        <v>116.17</v>
      </c>
      <c r="N20" s="63">
        <f t="shared" si="6"/>
        <v>129.05000000000001</v>
      </c>
      <c r="O20" s="63">
        <f t="shared" si="7"/>
        <v>135.54</v>
      </c>
    </row>
    <row r="21" spans="1:15">
      <c r="A21" s="9" t="s">
        <v>240</v>
      </c>
      <c r="B21" s="64">
        <f t="shared" si="0"/>
        <v>8.8999999999999996E-2</v>
      </c>
      <c r="C21" s="31">
        <v>3.5</v>
      </c>
      <c r="D21" s="13" t="s">
        <v>25</v>
      </c>
      <c r="E21" s="13" t="s">
        <v>241</v>
      </c>
      <c r="F21" s="32" t="s">
        <v>123</v>
      </c>
      <c r="G21" s="336">
        <v>14.521999999999998</v>
      </c>
      <c r="H21" s="15">
        <f t="shared" si="1"/>
        <v>174.26</v>
      </c>
      <c r="I21" s="68">
        <f t="shared" si="2"/>
        <v>193.58</v>
      </c>
      <c r="J21" s="15">
        <f t="shared" si="3"/>
        <v>203.31</v>
      </c>
      <c r="K21" s="337"/>
      <c r="L21" s="63">
        <f t="shared" si="4"/>
        <v>167.04</v>
      </c>
      <c r="M21" s="63">
        <f t="shared" si="5"/>
        <v>116.17</v>
      </c>
      <c r="N21" s="63">
        <f t="shared" si="6"/>
        <v>129.05000000000001</v>
      </c>
      <c r="O21" s="63">
        <f t="shared" si="7"/>
        <v>135.54</v>
      </c>
    </row>
    <row r="22" spans="1:15">
      <c r="A22" s="9" t="s">
        <v>240</v>
      </c>
      <c r="B22" s="64">
        <f t="shared" si="0"/>
        <v>0.10199999999999999</v>
      </c>
      <c r="C22" s="31">
        <v>4</v>
      </c>
      <c r="D22" s="13" t="s">
        <v>25</v>
      </c>
      <c r="E22" s="13" t="s">
        <v>241</v>
      </c>
      <c r="F22" s="32" t="s">
        <v>122</v>
      </c>
      <c r="G22" s="336">
        <v>14.733000000000001</v>
      </c>
      <c r="H22" s="15">
        <f t="shared" si="1"/>
        <v>176.8</v>
      </c>
      <c r="I22" s="68">
        <f t="shared" si="2"/>
        <v>196.39</v>
      </c>
      <c r="J22" s="15">
        <f t="shared" si="3"/>
        <v>206.26</v>
      </c>
      <c r="K22" s="337"/>
      <c r="L22" s="63">
        <f t="shared" si="4"/>
        <v>169.47</v>
      </c>
      <c r="M22" s="63">
        <f t="shared" si="5"/>
        <v>117.87</v>
      </c>
      <c r="N22" s="63">
        <f t="shared" si="6"/>
        <v>130.93</v>
      </c>
      <c r="O22" s="63">
        <f t="shared" si="7"/>
        <v>137.51</v>
      </c>
    </row>
    <row r="23" spans="1:15">
      <c r="A23" s="9" t="s">
        <v>240</v>
      </c>
      <c r="B23" s="64">
        <f t="shared" si="0"/>
        <v>0.10199999999999999</v>
      </c>
      <c r="C23" s="31">
        <v>4</v>
      </c>
      <c r="D23" s="13" t="s">
        <v>25</v>
      </c>
      <c r="E23" s="13" t="s">
        <v>241</v>
      </c>
      <c r="F23" s="32" t="s">
        <v>83</v>
      </c>
      <c r="G23" s="336">
        <v>14.733000000000001</v>
      </c>
      <c r="H23" s="15">
        <f t="shared" si="1"/>
        <v>176.8</v>
      </c>
      <c r="I23" s="68">
        <f t="shared" si="2"/>
        <v>196.39</v>
      </c>
      <c r="J23" s="15">
        <f t="shared" si="3"/>
        <v>206.26</v>
      </c>
      <c r="K23" s="337"/>
      <c r="L23" s="63">
        <f t="shared" si="4"/>
        <v>169.47</v>
      </c>
      <c r="M23" s="63">
        <f t="shared" si="5"/>
        <v>117.87</v>
      </c>
      <c r="N23" s="63">
        <f t="shared" si="6"/>
        <v>130.93</v>
      </c>
      <c r="O23" s="63">
        <f t="shared" si="7"/>
        <v>137.51</v>
      </c>
    </row>
    <row r="24" spans="1:15">
      <c r="A24" s="9" t="s">
        <v>240</v>
      </c>
      <c r="B24" s="64">
        <f t="shared" si="0"/>
        <v>0.10199999999999999</v>
      </c>
      <c r="C24" s="31">
        <v>4</v>
      </c>
      <c r="D24" s="13" t="s">
        <v>25</v>
      </c>
      <c r="E24" s="13" t="s">
        <v>241</v>
      </c>
      <c r="F24" s="32" t="s">
        <v>84</v>
      </c>
      <c r="G24" s="336">
        <v>14.552</v>
      </c>
      <c r="H24" s="15">
        <f t="shared" si="1"/>
        <v>174.62</v>
      </c>
      <c r="I24" s="68">
        <f t="shared" si="2"/>
        <v>193.98</v>
      </c>
      <c r="J24" s="15">
        <f t="shared" si="3"/>
        <v>203.73</v>
      </c>
      <c r="K24" s="337"/>
      <c r="L24" s="63">
        <f t="shared" si="4"/>
        <v>167.38</v>
      </c>
      <c r="M24" s="63">
        <f t="shared" si="5"/>
        <v>116.41</v>
      </c>
      <c r="N24" s="63">
        <f t="shared" si="6"/>
        <v>129.32</v>
      </c>
      <c r="O24" s="63">
        <f t="shared" si="7"/>
        <v>135.82</v>
      </c>
    </row>
    <row r="25" spans="1:15">
      <c r="A25" s="9" t="s">
        <v>240</v>
      </c>
      <c r="B25" s="64">
        <f t="shared" si="0"/>
        <v>0.10199999999999999</v>
      </c>
      <c r="C25" s="31">
        <v>4</v>
      </c>
      <c r="D25" s="13" t="s">
        <v>25</v>
      </c>
      <c r="E25" s="13" t="s">
        <v>241</v>
      </c>
      <c r="F25" s="32" t="s">
        <v>166</v>
      </c>
      <c r="G25" s="336">
        <v>17.486000000000001</v>
      </c>
      <c r="H25" s="15">
        <f t="shared" si="1"/>
        <v>209.83</v>
      </c>
      <c r="I25" s="68">
        <f t="shared" si="2"/>
        <v>233.09</v>
      </c>
      <c r="J25" s="15">
        <f t="shared" si="3"/>
        <v>244.8</v>
      </c>
      <c r="K25" s="337"/>
      <c r="L25" s="63">
        <f t="shared" si="4"/>
        <v>201.13</v>
      </c>
      <c r="M25" s="63">
        <f t="shared" si="5"/>
        <v>139.88999999999999</v>
      </c>
      <c r="N25" s="63">
        <f t="shared" si="6"/>
        <v>155.38999999999999</v>
      </c>
      <c r="O25" s="63">
        <f t="shared" si="7"/>
        <v>163.19999999999999</v>
      </c>
    </row>
    <row r="26" spans="1:15">
      <c r="A26" s="9" t="s">
        <v>240</v>
      </c>
      <c r="B26" s="64">
        <f t="shared" si="0"/>
        <v>0.10199999999999999</v>
      </c>
      <c r="C26" s="31">
        <v>4</v>
      </c>
      <c r="D26" s="13" t="s">
        <v>25</v>
      </c>
      <c r="E26" s="13" t="s">
        <v>241</v>
      </c>
      <c r="F26" s="32" t="s">
        <v>85</v>
      </c>
      <c r="G26" s="336">
        <v>17.428999999999998</v>
      </c>
      <c r="H26" s="15">
        <f t="shared" si="1"/>
        <v>209.15</v>
      </c>
      <c r="I26" s="68">
        <f t="shared" si="2"/>
        <v>232.33</v>
      </c>
      <c r="J26" s="15">
        <f t="shared" si="3"/>
        <v>244.01</v>
      </c>
      <c r="K26" s="337"/>
      <c r="L26" s="63">
        <f t="shared" si="4"/>
        <v>200.48</v>
      </c>
      <c r="M26" s="63">
        <f t="shared" si="5"/>
        <v>139.43</v>
      </c>
      <c r="N26" s="63">
        <f t="shared" si="6"/>
        <v>154.88999999999999</v>
      </c>
      <c r="O26" s="63">
        <f t="shared" si="7"/>
        <v>162.66999999999999</v>
      </c>
    </row>
    <row r="27" spans="1:15">
      <c r="A27" s="9" t="s">
        <v>240</v>
      </c>
      <c r="B27" s="64">
        <f t="shared" si="0"/>
        <v>0.127</v>
      </c>
      <c r="C27" s="31">
        <v>5</v>
      </c>
      <c r="D27" s="13" t="s">
        <v>25</v>
      </c>
      <c r="E27" s="13" t="s">
        <v>241</v>
      </c>
      <c r="F27" s="32" t="s">
        <v>86</v>
      </c>
      <c r="G27" s="336">
        <v>17.459</v>
      </c>
      <c r="H27" s="15">
        <f t="shared" si="1"/>
        <v>209.51</v>
      </c>
      <c r="I27" s="68">
        <f t="shared" si="2"/>
        <v>232.73</v>
      </c>
      <c r="J27" s="15">
        <f t="shared" si="3"/>
        <v>244.43</v>
      </c>
      <c r="K27" s="337"/>
      <c r="L27" s="63">
        <f t="shared" si="4"/>
        <v>200.83</v>
      </c>
      <c r="M27" s="63">
        <f t="shared" si="5"/>
        <v>139.66999999999999</v>
      </c>
      <c r="N27" s="63">
        <f t="shared" si="6"/>
        <v>155.15</v>
      </c>
      <c r="O27" s="63">
        <f t="shared" si="7"/>
        <v>162.94999999999999</v>
      </c>
    </row>
    <row r="28" spans="1:15">
      <c r="A28" s="9" t="s">
        <v>240</v>
      </c>
      <c r="B28" s="64">
        <f t="shared" si="0"/>
        <v>0.127</v>
      </c>
      <c r="C28" s="31">
        <v>5</v>
      </c>
      <c r="D28" s="13" t="s">
        <v>25</v>
      </c>
      <c r="E28" s="13" t="s">
        <v>241</v>
      </c>
      <c r="F28" s="32" t="s">
        <v>84</v>
      </c>
      <c r="G28" s="336">
        <v>14.733000000000001</v>
      </c>
      <c r="H28" s="15">
        <f t="shared" si="1"/>
        <v>176.8</v>
      </c>
      <c r="I28" s="68">
        <f t="shared" si="2"/>
        <v>196.39</v>
      </c>
      <c r="J28" s="15">
        <f t="shared" si="3"/>
        <v>206.26</v>
      </c>
      <c r="K28" s="337"/>
      <c r="L28" s="63">
        <f t="shared" si="4"/>
        <v>169.47</v>
      </c>
      <c r="M28" s="63">
        <f t="shared" si="5"/>
        <v>117.87</v>
      </c>
      <c r="N28" s="63">
        <f t="shared" si="6"/>
        <v>130.93</v>
      </c>
      <c r="O28" s="63">
        <f t="shared" si="7"/>
        <v>137.51</v>
      </c>
    </row>
    <row r="29" spans="1:15">
      <c r="A29" s="9" t="s">
        <v>240</v>
      </c>
      <c r="B29" s="64">
        <f t="shared" si="0"/>
        <v>0.127</v>
      </c>
      <c r="C29" s="31">
        <v>5</v>
      </c>
      <c r="D29" s="13" t="s">
        <v>25</v>
      </c>
      <c r="E29" s="13" t="s">
        <v>241</v>
      </c>
      <c r="F29" s="32" t="s">
        <v>166</v>
      </c>
      <c r="G29" s="336">
        <v>17.486000000000001</v>
      </c>
      <c r="H29" s="15">
        <f t="shared" si="1"/>
        <v>209.83</v>
      </c>
      <c r="I29" s="68">
        <f t="shared" si="2"/>
        <v>233.09</v>
      </c>
      <c r="J29" s="15">
        <f t="shared" si="3"/>
        <v>244.8</v>
      </c>
      <c r="K29" s="337"/>
      <c r="L29" s="63">
        <f t="shared" si="4"/>
        <v>201.13</v>
      </c>
      <c r="M29" s="63">
        <f t="shared" si="5"/>
        <v>139.88999999999999</v>
      </c>
      <c r="N29" s="63">
        <f t="shared" si="6"/>
        <v>155.38999999999999</v>
      </c>
      <c r="O29" s="63">
        <f t="shared" si="7"/>
        <v>163.19999999999999</v>
      </c>
    </row>
    <row r="30" spans="1:15">
      <c r="A30" s="9" t="s">
        <v>240</v>
      </c>
      <c r="B30" s="64">
        <f t="shared" si="0"/>
        <v>0.127</v>
      </c>
      <c r="C30" s="31">
        <v>5</v>
      </c>
      <c r="D30" s="13" t="s">
        <v>25</v>
      </c>
      <c r="E30" s="13" t="s">
        <v>241</v>
      </c>
      <c r="F30" s="32" t="s">
        <v>117</v>
      </c>
      <c r="G30" s="336">
        <v>17.486000000000001</v>
      </c>
      <c r="H30" s="15">
        <f t="shared" si="1"/>
        <v>209.83</v>
      </c>
      <c r="I30" s="68">
        <f t="shared" si="2"/>
        <v>233.09</v>
      </c>
      <c r="J30" s="15">
        <f t="shared" si="3"/>
        <v>244.8</v>
      </c>
      <c r="K30" s="337"/>
      <c r="L30" s="63">
        <f t="shared" si="4"/>
        <v>201.13</v>
      </c>
      <c r="M30" s="63">
        <f t="shared" si="5"/>
        <v>139.88999999999999</v>
      </c>
      <c r="N30" s="63">
        <f t="shared" si="6"/>
        <v>155.38999999999999</v>
      </c>
      <c r="O30" s="63">
        <f t="shared" si="7"/>
        <v>163.19999999999999</v>
      </c>
    </row>
    <row r="31" spans="1:15">
      <c r="A31" s="9" t="s">
        <v>240</v>
      </c>
      <c r="B31" s="64">
        <f t="shared" si="0"/>
        <v>0.127</v>
      </c>
      <c r="C31" s="31">
        <v>5</v>
      </c>
      <c r="D31" s="13" t="s">
        <v>25</v>
      </c>
      <c r="E31" s="13" t="s">
        <v>241</v>
      </c>
      <c r="F31" s="32" t="s">
        <v>86</v>
      </c>
      <c r="G31" s="336">
        <v>17.495999999999999</v>
      </c>
      <c r="H31" s="15">
        <f t="shared" si="1"/>
        <v>209.95</v>
      </c>
      <c r="I31" s="68">
        <f t="shared" si="2"/>
        <v>233.22</v>
      </c>
      <c r="J31" s="15">
        <f t="shared" si="3"/>
        <v>244.94</v>
      </c>
      <c r="K31" s="337"/>
      <c r="L31" s="63">
        <f t="shared" si="4"/>
        <v>201.25</v>
      </c>
      <c r="M31" s="63">
        <f t="shared" si="5"/>
        <v>139.97</v>
      </c>
      <c r="N31" s="63">
        <f t="shared" si="6"/>
        <v>155.47999999999999</v>
      </c>
      <c r="O31" s="63">
        <f t="shared" si="7"/>
        <v>163.29</v>
      </c>
    </row>
    <row r="32" spans="1:15">
      <c r="A32" s="9" t="s">
        <v>240</v>
      </c>
      <c r="B32" s="64">
        <f t="shared" si="0"/>
        <v>0.152</v>
      </c>
      <c r="C32" s="31">
        <v>6</v>
      </c>
      <c r="D32" s="13" t="s">
        <v>25</v>
      </c>
      <c r="E32" s="13" t="s">
        <v>241</v>
      </c>
      <c r="F32" s="32" t="s">
        <v>117</v>
      </c>
      <c r="G32" s="336">
        <v>17.64</v>
      </c>
      <c r="H32" s="15">
        <f t="shared" si="1"/>
        <v>211.68</v>
      </c>
      <c r="I32" s="68">
        <f t="shared" si="2"/>
        <v>235.14</v>
      </c>
      <c r="J32" s="15">
        <f t="shared" si="3"/>
        <v>246.96</v>
      </c>
      <c r="K32" s="337"/>
      <c r="L32" s="63">
        <f t="shared" si="4"/>
        <v>202.9</v>
      </c>
      <c r="M32" s="63">
        <f t="shared" si="5"/>
        <v>141.12</v>
      </c>
      <c r="N32" s="63">
        <f t="shared" si="6"/>
        <v>156.76</v>
      </c>
      <c r="O32" s="63">
        <f t="shared" si="7"/>
        <v>164.64</v>
      </c>
    </row>
    <row r="33" spans="1:15">
      <c r="A33" s="9" t="s">
        <v>240</v>
      </c>
      <c r="B33" s="64">
        <f t="shared" si="0"/>
        <v>0.152</v>
      </c>
      <c r="C33" s="31">
        <v>6</v>
      </c>
      <c r="D33" s="13" t="s">
        <v>25</v>
      </c>
      <c r="E33" s="13" t="s">
        <v>241</v>
      </c>
      <c r="F33" s="32" t="s">
        <v>86</v>
      </c>
      <c r="G33" s="336">
        <v>17.495999999999999</v>
      </c>
      <c r="H33" s="15">
        <f t="shared" si="1"/>
        <v>209.95</v>
      </c>
      <c r="I33" s="68">
        <f t="shared" si="2"/>
        <v>233.22</v>
      </c>
      <c r="J33" s="15">
        <f t="shared" si="3"/>
        <v>244.94</v>
      </c>
      <c r="K33" s="337"/>
      <c r="L33" s="63">
        <f t="shared" si="4"/>
        <v>201.25</v>
      </c>
      <c r="M33" s="63">
        <f t="shared" si="5"/>
        <v>139.97</v>
      </c>
      <c r="N33" s="63">
        <f t="shared" si="6"/>
        <v>155.47999999999999</v>
      </c>
      <c r="O33" s="63">
        <f t="shared" si="7"/>
        <v>163.29</v>
      </c>
    </row>
    <row r="34" spans="1:15">
      <c r="A34" s="9" t="s">
        <v>240</v>
      </c>
      <c r="B34" s="64">
        <f t="shared" si="0"/>
        <v>0.17799999999999999</v>
      </c>
      <c r="C34" s="31">
        <v>7</v>
      </c>
      <c r="D34" s="13" t="s">
        <v>25</v>
      </c>
      <c r="E34" s="13" t="s">
        <v>241</v>
      </c>
      <c r="F34" s="32" t="s">
        <v>117</v>
      </c>
      <c r="G34" s="336">
        <v>17.794</v>
      </c>
      <c r="H34" s="15">
        <f t="shared" si="1"/>
        <v>213.53</v>
      </c>
      <c r="I34" s="68">
        <f t="shared" si="2"/>
        <v>237.19</v>
      </c>
      <c r="J34" s="15">
        <f t="shared" si="3"/>
        <v>249.12</v>
      </c>
      <c r="K34" s="337"/>
      <c r="L34" s="63">
        <f t="shared" si="4"/>
        <v>204.68</v>
      </c>
      <c r="M34" s="63">
        <f t="shared" si="5"/>
        <v>142.35</v>
      </c>
      <c r="N34" s="63">
        <f t="shared" si="6"/>
        <v>158.13</v>
      </c>
      <c r="O34" s="63">
        <f t="shared" si="7"/>
        <v>166.08</v>
      </c>
    </row>
    <row r="35" spans="1:15">
      <c r="A35" s="9" t="s">
        <v>240</v>
      </c>
      <c r="B35" s="64">
        <f t="shared" si="0"/>
        <v>0.17799999999999999</v>
      </c>
      <c r="C35" s="31">
        <v>7</v>
      </c>
      <c r="D35" s="13" t="s">
        <v>25</v>
      </c>
      <c r="E35" s="13" t="s">
        <v>241</v>
      </c>
      <c r="F35" s="32" t="s">
        <v>87</v>
      </c>
      <c r="G35" s="336">
        <v>17.738</v>
      </c>
      <c r="H35" s="15">
        <f t="shared" si="1"/>
        <v>212.86</v>
      </c>
      <c r="I35" s="68">
        <f t="shared" si="2"/>
        <v>236.45</v>
      </c>
      <c r="J35" s="15">
        <f t="shared" si="3"/>
        <v>248.33</v>
      </c>
      <c r="K35" s="337"/>
      <c r="L35" s="63">
        <f t="shared" si="4"/>
        <v>204.04</v>
      </c>
      <c r="M35" s="63">
        <f t="shared" si="5"/>
        <v>141.91</v>
      </c>
      <c r="N35" s="63">
        <f t="shared" si="6"/>
        <v>157.63</v>
      </c>
      <c r="O35" s="63">
        <f t="shared" si="7"/>
        <v>165.55</v>
      </c>
    </row>
    <row r="36" spans="1:15">
      <c r="A36" s="9" t="s">
        <v>240</v>
      </c>
      <c r="B36" s="64">
        <f t="shared" si="0"/>
        <v>0.20300000000000001</v>
      </c>
      <c r="C36" s="31">
        <v>8</v>
      </c>
      <c r="D36" s="13" t="s">
        <v>25</v>
      </c>
      <c r="E36" s="13" t="s">
        <v>241</v>
      </c>
      <c r="F36" s="32" t="s">
        <v>87</v>
      </c>
      <c r="G36" s="336">
        <v>18.036999999999999</v>
      </c>
      <c r="H36" s="15">
        <f t="shared" si="1"/>
        <v>216.44</v>
      </c>
      <c r="I36" s="68">
        <f t="shared" si="2"/>
        <v>240.43</v>
      </c>
      <c r="J36" s="15">
        <f t="shared" si="3"/>
        <v>252.52</v>
      </c>
      <c r="K36" s="337"/>
      <c r="L36" s="63">
        <f t="shared" si="4"/>
        <v>207.46</v>
      </c>
      <c r="M36" s="63">
        <f t="shared" si="5"/>
        <v>144.29</v>
      </c>
      <c r="N36" s="63">
        <f t="shared" si="6"/>
        <v>160.29</v>
      </c>
      <c r="O36" s="63">
        <f t="shared" si="7"/>
        <v>168.35</v>
      </c>
    </row>
    <row r="37" spans="1:15">
      <c r="A37" s="9" t="s">
        <v>240</v>
      </c>
      <c r="B37" s="64">
        <f t="shared" si="0"/>
        <v>0.254</v>
      </c>
      <c r="C37" s="31">
        <v>10</v>
      </c>
      <c r="D37" s="13" t="s">
        <v>25</v>
      </c>
      <c r="E37" s="13" t="s">
        <v>241</v>
      </c>
      <c r="F37" s="32" t="s">
        <v>89</v>
      </c>
      <c r="G37" s="336">
        <v>18.907999999999998</v>
      </c>
      <c r="H37" s="15">
        <f t="shared" si="1"/>
        <v>226.9</v>
      </c>
      <c r="I37" s="68">
        <f t="shared" si="2"/>
        <v>252.04</v>
      </c>
      <c r="J37" s="15">
        <f t="shared" si="3"/>
        <v>264.70999999999998</v>
      </c>
      <c r="K37" s="337"/>
      <c r="L37" s="63">
        <f t="shared" si="4"/>
        <v>217.49</v>
      </c>
      <c r="M37" s="63">
        <f t="shared" si="5"/>
        <v>151.27000000000001</v>
      </c>
      <c r="N37" s="63">
        <f t="shared" si="6"/>
        <v>168.03</v>
      </c>
      <c r="O37" s="63">
        <f t="shared" si="7"/>
        <v>176.47</v>
      </c>
    </row>
    <row r="38" spans="1:15">
      <c r="A38" s="9" t="s">
        <v>242</v>
      </c>
      <c r="B38" s="64">
        <f t="shared" si="0"/>
        <v>5.0999999999999997E-2</v>
      </c>
      <c r="C38" s="31">
        <v>2</v>
      </c>
      <c r="D38" s="12" t="s">
        <v>28</v>
      </c>
      <c r="E38" s="13" t="s">
        <v>241</v>
      </c>
      <c r="F38" s="32" t="s">
        <v>217</v>
      </c>
      <c r="G38" s="336">
        <v>18.327000000000002</v>
      </c>
      <c r="H38" s="15">
        <f t="shared" si="1"/>
        <v>219.92</v>
      </c>
      <c r="I38" s="68">
        <f t="shared" si="2"/>
        <v>244.3</v>
      </c>
      <c r="J38" s="15">
        <f t="shared" si="3"/>
        <v>256.58</v>
      </c>
      <c r="K38" s="337"/>
      <c r="L38" s="63">
        <f t="shared" si="4"/>
        <v>210.8</v>
      </c>
      <c r="M38" s="63">
        <f t="shared" si="5"/>
        <v>146.61000000000001</v>
      </c>
      <c r="N38" s="63">
        <f t="shared" si="6"/>
        <v>162.87</v>
      </c>
      <c r="O38" s="63">
        <f t="shared" si="7"/>
        <v>171.05</v>
      </c>
    </row>
    <row r="39" spans="1:15">
      <c r="A39" s="9" t="s">
        <v>240</v>
      </c>
      <c r="B39" s="64">
        <f t="shared" si="0"/>
        <v>6.4000000000000001E-2</v>
      </c>
      <c r="C39" s="31">
        <v>2.5</v>
      </c>
      <c r="D39" s="12" t="s">
        <v>28</v>
      </c>
      <c r="E39" s="13" t="s">
        <v>241</v>
      </c>
      <c r="F39" s="32" t="s">
        <v>122</v>
      </c>
      <c r="G39" s="336">
        <v>18.327000000000002</v>
      </c>
      <c r="H39" s="15">
        <f t="shared" si="1"/>
        <v>219.92</v>
      </c>
      <c r="I39" s="68">
        <f t="shared" si="2"/>
        <v>244.3</v>
      </c>
      <c r="J39" s="15">
        <f t="shared" si="3"/>
        <v>256.58</v>
      </c>
      <c r="K39" s="337"/>
      <c r="L39" s="63">
        <f t="shared" si="4"/>
        <v>210.8</v>
      </c>
      <c r="M39" s="63">
        <f t="shared" si="5"/>
        <v>146.61000000000001</v>
      </c>
      <c r="N39" s="63">
        <f t="shared" si="6"/>
        <v>162.87</v>
      </c>
      <c r="O39" s="63">
        <f t="shared" si="7"/>
        <v>171.05</v>
      </c>
    </row>
    <row r="40" spans="1:15">
      <c r="A40" s="9" t="s">
        <v>240</v>
      </c>
      <c r="B40" s="64">
        <f t="shared" si="0"/>
        <v>7.5999999999999998E-2</v>
      </c>
      <c r="C40" s="31">
        <v>3</v>
      </c>
      <c r="D40" s="12" t="s">
        <v>28</v>
      </c>
      <c r="E40" s="13" t="s">
        <v>241</v>
      </c>
      <c r="F40" s="32" t="s">
        <v>81</v>
      </c>
      <c r="G40" s="336">
        <v>18.585000000000001</v>
      </c>
      <c r="H40" s="15">
        <f t="shared" si="1"/>
        <v>223.02</v>
      </c>
      <c r="I40" s="68">
        <f t="shared" si="2"/>
        <v>247.74</v>
      </c>
      <c r="J40" s="15">
        <f t="shared" si="3"/>
        <v>260.19</v>
      </c>
      <c r="K40" s="337"/>
      <c r="L40" s="63">
        <f t="shared" si="4"/>
        <v>213.78</v>
      </c>
      <c r="M40" s="63">
        <f t="shared" si="5"/>
        <v>148.68</v>
      </c>
      <c r="N40" s="63">
        <f t="shared" si="6"/>
        <v>165.16</v>
      </c>
      <c r="O40" s="63">
        <f t="shared" si="7"/>
        <v>173.46</v>
      </c>
    </row>
    <row r="41" spans="1:15">
      <c r="A41" s="9" t="s">
        <v>240</v>
      </c>
      <c r="B41" s="64">
        <f t="shared" si="0"/>
        <v>7.5999999999999998E-2</v>
      </c>
      <c r="C41" s="31">
        <v>3</v>
      </c>
      <c r="D41" s="12" t="s">
        <v>28</v>
      </c>
      <c r="E41" s="13" t="s">
        <v>241</v>
      </c>
      <c r="F41" s="32" t="s">
        <v>122</v>
      </c>
      <c r="G41" s="336">
        <v>18.327000000000002</v>
      </c>
      <c r="H41" s="15">
        <f t="shared" si="1"/>
        <v>219.92</v>
      </c>
      <c r="I41" s="68">
        <f t="shared" si="2"/>
        <v>244.3</v>
      </c>
      <c r="J41" s="15">
        <f t="shared" si="3"/>
        <v>256.58</v>
      </c>
      <c r="K41" s="337"/>
      <c r="L41" s="63">
        <f t="shared" si="4"/>
        <v>210.8</v>
      </c>
      <c r="M41" s="63">
        <f t="shared" si="5"/>
        <v>146.61000000000001</v>
      </c>
      <c r="N41" s="63">
        <f t="shared" si="6"/>
        <v>162.87</v>
      </c>
      <c r="O41" s="63">
        <f t="shared" si="7"/>
        <v>171.05</v>
      </c>
    </row>
    <row r="42" spans="1:15">
      <c r="A42" s="9" t="s">
        <v>240</v>
      </c>
      <c r="B42" s="64">
        <f t="shared" si="0"/>
        <v>7.5999999999999998E-2</v>
      </c>
      <c r="C42" s="31">
        <v>3</v>
      </c>
      <c r="D42" s="12" t="s">
        <v>28</v>
      </c>
      <c r="E42" s="13" t="s">
        <v>241</v>
      </c>
      <c r="F42" s="32" t="s">
        <v>123</v>
      </c>
      <c r="G42" s="336">
        <v>18.327000000000002</v>
      </c>
      <c r="H42" s="15">
        <f t="shared" si="1"/>
        <v>219.92</v>
      </c>
      <c r="I42" s="68">
        <f t="shared" si="2"/>
        <v>244.3</v>
      </c>
      <c r="J42" s="15">
        <f t="shared" si="3"/>
        <v>256.58</v>
      </c>
      <c r="K42" s="337"/>
      <c r="L42" s="63">
        <f t="shared" si="4"/>
        <v>210.8</v>
      </c>
      <c r="M42" s="63">
        <f t="shared" si="5"/>
        <v>146.61000000000001</v>
      </c>
      <c r="N42" s="63">
        <f t="shared" si="6"/>
        <v>162.87</v>
      </c>
      <c r="O42" s="63">
        <f t="shared" si="7"/>
        <v>171.05</v>
      </c>
    </row>
    <row r="43" spans="1:15">
      <c r="A43" s="9" t="s">
        <v>240</v>
      </c>
      <c r="B43" s="64">
        <f t="shared" si="0"/>
        <v>7.5999999999999998E-2</v>
      </c>
      <c r="C43" s="31">
        <v>3</v>
      </c>
      <c r="D43" s="12" t="s">
        <v>28</v>
      </c>
      <c r="E43" s="13" t="s">
        <v>241</v>
      </c>
      <c r="F43" s="32" t="s">
        <v>140</v>
      </c>
      <c r="G43" s="336">
        <v>22.956000000000003</v>
      </c>
      <c r="H43" s="15">
        <f t="shared" si="1"/>
        <v>275.47000000000003</v>
      </c>
      <c r="I43" s="68">
        <f t="shared" si="2"/>
        <v>306</v>
      </c>
      <c r="J43" s="15">
        <f t="shared" si="3"/>
        <v>321.38</v>
      </c>
      <c r="K43" s="337"/>
      <c r="L43" s="63">
        <f t="shared" si="4"/>
        <v>264.05</v>
      </c>
      <c r="M43" s="63">
        <f t="shared" si="5"/>
        <v>183.65</v>
      </c>
      <c r="N43" s="63">
        <f t="shared" si="6"/>
        <v>204</v>
      </c>
      <c r="O43" s="63">
        <f t="shared" si="7"/>
        <v>214.25</v>
      </c>
    </row>
    <row r="44" spans="1:15">
      <c r="A44" s="9" t="s">
        <v>240</v>
      </c>
      <c r="B44" s="64">
        <f t="shared" si="0"/>
        <v>8.8999999999999996E-2</v>
      </c>
      <c r="C44" s="31">
        <v>3.5</v>
      </c>
      <c r="D44" s="12" t="s">
        <v>28</v>
      </c>
      <c r="E44" s="13" t="s">
        <v>241</v>
      </c>
      <c r="F44" s="32" t="s">
        <v>81</v>
      </c>
      <c r="G44" s="336">
        <v>18.445</v>
      </c>
      <c r="H44" s="15">
        <f t="shared" si="1"/>
        <v>221.34</v>
      </c>
      <c r="I44" s="68">
        <f t="shared" si="2"/>
        <v>245.87</v>
      </c>
      <c r="J44" s="15">
        <f t="shared" si="3"/>
        <v>258.23</v>
      </c>
      <c r="K44" s="337"/>
      <c r="L44" s="63">
        <f t="shared" si="4"/>
        <v>212.16</v>
      </c>
      <c r="M44" s="63">
        <f t="shared" si="5"/>
        <v>147.56</v>
      </c>
      <c r="N44" s="63">
        <f t="shared" si="6"/>
        <v>163.91</v>
      </c>
      <c r="O44" s="63">
        <f t="shared" si="7"/>
        <v>172.15</v>
      </c>
    </row>
    <row r="45" spans="1:15">
      <c r="A45" s="9" t="s">
        <v>240</v>
      </c>
      <c r="B45" s="64">
        <f t="shared" si="0"/>
        <v>8.8999999999999996E-2</v>
      </c>
      <c r="C45" s="31">
        <v>3.5</v>
      </c>
      <c r="D45" s="12" t="s">
        <v>28</v>
      </c>
      <c r="E45" s="13" t="s">
        <v>241</v>
      </c>
      <c r="F45" s="32" t="s">
        <v>122</v>
      </c>
      <c r="G45" s="336">
        <v>18.37</v>
      </c>
      <c r="H45" s="15">
        <f t="shared" si="1"/>
        <v>220.44</v>
      </c>
      <c r="I45" s="68">
        <f t="shared" si="2"/>
        <v>244.87</v>
      </c>
      <c r="J45" s="15">
        <f t="shared" si="3"/>
        <v>257.18</v>
      </c>
      <c r="K45" s="337"/>
      <c r="L45" s="63">
        <f t="shared" si="4"/>
        <v>211.3</v>
      </c>
      <c r="M45" s="63">
        <f t="shared" si="5"/>
        <v>146.96</v>
      </c>
      <c r="N45" s="63">
        <f t="shared" si="6"/>
        <v>163.25</v>
      </c>
      <c r="O45" s="63">
        <f t="shared" si="7"/>
        <v>171.45</v>
      </c>
    </row>
    <row r="46" spans="1:15">
      <c r="A46" s="9" t="s">
        <v>240</v>
      </c>
      <c r="B46" s="64">
        <f t="shared" si="0"/>
        <v>8.8999999999999996E-2</v>
      </c>
      <c r="C46" s="31">
        <v>3.5</v>
      </c>
      <c r="D46" s="12" t="s">
        <v>28</v>
      </c>
      <c r="E46" s="13" t="s">
        <v>241</v>
      </c>
      <c r="F46" s="32" t="s">
        <v>123</v>
      </c>
      <c r="G46" s="336">
        <v>18.509</v>
      </c>
      <c r="H46" s="15">
        <f t="shared" si="1"/>
        <v>222.11</v>
      </c>
      <c r="I46" s="68">
        <f t="shared" si="2"/>
        <v>246.72</v>
      </c>
      <c r="J46" s="15">
        <f t="shared" si="3"/>
        <v>259.13</v>
      </c>
      <c r="K46" s="337"/>
      <c r="L46" s="63">
        <f t="shared" si="4"/>
        <v>212.9</v>
      </c>
      <c r="M46" s="63">
        <f t="shared" si="5"/>
        <v>148.07</v>
      </c>
      <c r="N46" s="63">
        <f t="shared" si="6"/>
        <v>164.48</v>
      </c>
      <c r="O46" s="63">
        <f t="shared" si="7"/>
        <v>172.75</v>
      </c>
    </row>
    <row r="47" spans="1:15">
      <c r="A47" s="9" t="s">
        <v>240</v>
      </c>
      <c r="B47" s="64">
        <f t="shared" si="0"/>
        <v>0.10199999999999999</v>
      </c>
      <c r="C47" s="31">
        <v>4</v>
      </c>
      <c r="D47" s="12" t="s">
        <v>28</v>
      </c>
      <c r="E47" s="13" t="s">
        <v>241</v>
      </c>
      <c r="F47" s="32" t="s">
        <v>123</v>
      </c>
      <c r="G47" s="336">
        <v>19.215</v>
      </c>
      <c r="H47" s="15">
        <f t="shared" si="1"/>
        <v>230.58</v>
      </c>
      <c r="I47" s="68">
        <f t="shared" si="2"/>
        <v>256.14</v>
      </c>
      <c r="J47" s="15">
        <f t="shared" si="3"/>
        <v>269.01</v>
      </c>
      <c r="K47" s="337"/>
      <c r="L47" s="63">
        <f t="shared" si="4"/>
        <v>221.02</v>
      </c>
      <c r="M47" s="63">
        <f t="shared" si="5"/>
        <v>153.72</v>
      </c>
      <c r="N47" s="63">
        <f t="shared" si="6"/>
        <v>170.76</v>
      </c>
      <c r="O47" s="63">
        <f t="shared" si="7"/>
        <v>179.34</v>
      </c>
    </row>
    <row r="48" spans="1:15">
      <c r="A48" s="9" t="s">
        <v>240</v>
      </c>
      <c r="B48" s="64">
        <f t="shared" si="0"/>
        <v>0.10199999999999999</v>
      </c>
      <c r="C48" s="31">
        <v>4</v>
      </c>
      <c r="D48" s="12" t="s">
        <v>28</v>
      </c>
      <c r="E48" s="13" t="s">
        <v>241</v>
      </c>
      <c r="F48" s="32" t="s">
        <v>122</v>
      </c>
      <c r="G48" s="336">
        <v>18.304000000000002</v>
      </c>
      <c r="H48" s="15">
        <f t="shared" si="1"/>
        <v>219.65</v>
      </c>
      <c r="I48" s="68">
        <f t="shared" si="2"/>
        <v>243.99</v>
      </c>
      <c r="J48" s="15">
        <f t="shared" si="3"/>
        <v>256.26</v>
      </c>
      <c r="K48" s="337"/>
      <c r="L48" s="63">
        <f t="shared" si="4"/>
        <v>210.54</v>
      </c>
      <c r="M48" s="63">
        <f t="shared" si="5"/>
        <v>146.43</v>
      </c>
      <c r="N48" s="63">
        <f t="shared" si="6"/>
        <v>162.66</v>
      </c>
      <c r="O48" s="63">
        <f t="shared" si="7"/>
        <v>170.84</v>
      </c>
    </row>
    <row r="49" spans="1:15">
      <c r="A49" s="9" t="s">
        <v>240</v>
      </c>
      <c r="B49" s="64">
        <f t="shared" si="0"/>
        <v>0.10199999999999999</v>
      </c>
      <c r="C49" s="31">
        <v>4</v>
      </c>
      <c r="D49" s="12" t="s">
        <v>28</v>
      </c>
      <c r="E49" s="13" t="s">
        <v>241</v>
      </c>
      <c r="F49" s="32" t="s">
        <v>83</v>
      </c>
      <c r="G49" s="336">
        <v>18.304000000000002</v>
      </c>
      <c r="H49" s="15">
        <f t="shared" si="1"/>
        <v>219.65</v>
      </c>
      <c r="I49" s="68">
        <f t="shared" si="2"/>
        <v>243.99</v>
      </c>
      <c r="J49" s="15">
        <f t="shared" si="3"/>
        <v>256.26</v>
      </c>
      <c r="K49" s="337"/>
      <c r="L49" s="63">
        <f t="shared" si="4"/>
        <v>210.54</v>
      </c>
      <c r="M49" s="63">
        <f t="shared" si="5"/>
        <v>146.43</v>
      </c>
      <c r="N49" s="63">
        <f t="shared" si="6"/>
        <v>162.66</v>
      </c>
      <c r="O49" s="63">
        <f t="shared" si="7"/>
        <v>170.84</v>
      </c>
    </row>
    <row r="50" spans="1:15">
      <c r="A50" s="9" t="s">
        <v>240</v>
      </c>
      <c r="B50" s="64">
        <f t="shared" si="0"/>
        <v>0.10199999999999999</v>
      </c>
      <c r="C50" s="31">
        <v>4</v>
      </c>
      <c r="D50" s="12" t="s">
        <v>28</v>
      </c>
      <c r="E50" s="13" t="s">
        <v>241</v>
      </c>
      <c r="F50" s="32" t="s">
        <v>84</v>
      </c>
      <c r="G50" s="336">
        <v>18.54</v>
      </c>
      <c r="H50" s="15">
        <f t="shared" si="1"/>
        <v>222.48</v>
      </c>
      <c r="I50" s="68">
        <f t="shared" si="2"/>
        <v>247.14</v>
      </c>
      <c r="J50" s="15">
        <f t="shared" si="3"/>
        <v>259.56</v>
      </c>
      <c r="K50" s="337"/>
      <c r="L50" s="63">
        <f t="shared" si="4"/>
        <v>213.26</v>
      </c>
      <c r="M50" s="63">
        <f t="shared" si="5"/>
        <v>148.32</v>
      </c>
      <c r="N50" s="63">
        <f t="shared" si="6"/>
        <v>164.76</v>
      </c>
      <c r="O50" s="63">
        <f t="shared" si="7"/>
        <v>173.04</v>
      </c>
    </row>
    <row r="51" spans="1:15">
      <c r="A51" s="9" t="s">
        <v>240</v>
      </c>
      <c r="B51" s="64">
        <f t="shared" si="0"/>
        <v>0.10199999999999999</v>
      </c>
      <c r="C51" s="31">
        <v>4</v>
      </c>
      <c r="D51" s="12" t="s">
        <v>65</v>
      </c>
      <c r="E51" s="13" t="s">
        <v>241</v>
      </c>
      <c r="F51" s="32" t="s">
        <v>166</v>
      </c>
      <c r="G51" s="336">
        <v>20.900000000000002</v>
      </c>
      <c r="H51" s="15">
        <f t="shared" si="1"/>
        <v>250.8</v>
      </c>
      <c r="I51" s="68">
        <f t="shared" si="2"/>
        <v>278.60000000000002</v>
      </c>
      <c r="J51" s="15">
        <f t="shared" si="3"/>
        <v>292.60000000000002</v>
      </c>
      <c r="K51" s="337"/>
      <c r="L51" s="63">
        <f t="shared" si="4"/>
        <v>240.41</v>
      </c>
      <c r="M51" s="63">
        <f t="shared" si="5"/>
        <v>167.2</v>
      </c>
      <c r="N51" s="63">
        <f t="shared" si="6"/>
        <v>185.73</v>
      </c>
      <c r="O51" s="63">
        <f t="shared" si="7"/>
        <v>195.07</v>
      </c>
    </row>
    <row r="52" spans="1:15">
      <c r="A52" s="9" t="s">
        <v>240</v>
      </c>
      <c r="B52" s="64">
        <f t="shared" si="0"/>
        <v>0.10199999999999999</v>
      </c>
      <c r="C52" s="31">
        <v>4</v>
      </c>
      <c r="D52" s="12" t="s">
        <v>28</v>
      </c>
      <c r="E52" s="13" t="s">
        <v>241</v>
      </c>
      <c r="F52" s="32" t="s">
        <v>85</v>
      </c>
      <c r="G52" s="336">
        <v>21.209000000000003</v>
      </c>
      <c r="H52" s="15">
        <f t="shared" si="1"/>
        <v>254.51</v>
      </c>
      <c r="I52" s="68">
        <f t="shared" si="2"/>
        <v>282.72000000000003</v>
      </c>
      <c r="J52" s="15">
        <f t="shared" si="3"/>
        <v>296.93</v>
      </c>
      <c r="K52" s="337"/>
      <c r="L52" s="63">
        <f t="shared" si="4"/>
        <v>243.96</v>
      </c>
      <c r="M52" s="63">
        <f t="shared" si="5"/>
        <v>169.67</v>
      </c>
      <c r="N52" s="63">
        <f t="shared" si="6"/>
        <v>188.48</v>
      </c>
      <c r="O52" s="63">
        <f t="shared" si="7"/>
        <v>197.95</v>
      </c>
    </row>
    <row r="53" spans="1:15">
      <c r="A53" s="9" t="s">
        <v>240</v>
      </c>
      <c r="B53" s="64">
        <f t="shared" si="0"/>
        <v>0.127</v>
      </c>
      <c r="C53" s="31">
        <v>5</v>
      </c>
      <c r="D53" s="12" t="s">
        <v>28</v>
      </c>
      <c r="E53" s="13" t="s">
        <v>241</v>
      </c>
      <c r="F53" s="32" t="s">
        <v>86</v>
      </c>
      <c r="G53" s="336">
        <v>21.358000000000001</v>
      </c>
      <c r="H53" s="15">
        <f t="shared" si="1"/>
        <v>256.3</v>
      </c>
      <c r="I53" s="68">
        <f t="shared" si="2"/>
        <v>284.7</v>
      </c>
      <c r="J53" s="15">
        <f t="shared" si="3"/>
        <v>299.01</v>
      </c>
      <c r="K53" s="337"/>
      <c r="L53" s="63">
        <f t="shared" si="4"/>
        <v>245.67</v>
      </c>
      <c r="M53" s="63">
        <f t="shared" si="5"/>
        <v>170.87</v>
      </c>
      <c r="N53" s="63">
        <f t="shared" si="6"/>
        <v>189.8</v>
      </c>
      <c r="O53" s="63">
        <f t="shared" si="7"/>
        <v>199.34</v>
      </c>
    </row>
    <row r="54" spans="1:15">
      <c r="A54" s="9" t="s">
        <v>240</v>
      </c>
      <c r="B54" s="64">
        <f t="shared" si="0"/>
        <v>0.127</v>
      </c>
      <c r="C54" s="31">
        <v>5</v>
      </c>
      <c r="D54" s="12" t="s">
        <v>28</v>
      </c>
      <c r="E54" s="13" t="s">
        <v>241</v>
      </c>
      <c r="F54" s="32" t="s">
        <v>84</v>
      </c>
      <c r="G54" s="336">
        <v>18.722000000000001</v>
      </c>
      <c r="H54" s="15">
        <f t="shared" si="1"/>
        <v>224.66</v>
      </c>
      <c r="I54" s="68">
        <f t="shared" si="2"/>
        <v>249.56</v>
      </c>
      <c r="J54" s="15">
        <f t="shared" si="3"/>
        <v>262.11</v>
      </c>
      <c r="K54" s="337"/>
      <c r="L54" s="63">
        <f t="shared" si="4"/>
        <v>215.35</v>
      </c>
      <c r="M54" s="63">
        <f t="shared" si="5"/>
        <v>149.77000000000001</v>
      </c>
      <c r="N54" s="63">
        <f t="shared" si="6"/>
        <v>166.37</v>
      </c>
      <c r="O54" s="63">
        <f t="shared" si="7"/>
        <v>174.74</v>
      </c>
    </row>
    <row r="55" spans="1:15">
      <c r="A55" s="9" t="s">
        <v>240</v>
      </c>
      <c r="B55" s="64">
        <f t="shared" si="0"/>
        <v>0.127</v>
      </c>
      <c r="C55" s="31">
        <v>5</v>
      </c>
      <c r="D55" s="12" t="s">
        <v>28</v>
      </c>
      <c r="E55" s="13" t="s">
        <v>241</v>
      </c>
      <c r="F55" s="32" t="s">
        <v>166</v>
      </c>
      <c r="G55" s="336">
        <v>21.284000000000002</v>
      </c>
      <c r="H55" s="15">
        <f t="shared" si="1"/>
        <v>255.41</v>
      </c>
      <c r="I55" s="68">
        <f t="shared" si="2"/>
        <v>283.72000000000003</v>
      </c>
      <c r="J55" s="15">
        <f t="shared" si="3"/>
        <v>297.98</v>
      </c>
      <c r="K55" s="337"/>
      <c r="L55" s="63">
        <f t="shared" si="4"/>
        <v>244.82</v>
      </c>
      <c r="M55" s="63">
        <f t="shared" si="5"/>
        <v>170.27</v>
      </c>
      <c r="N55" s="63">
        <f t="shared" si="6"/>
        <v>189.15</v>
      </c>
      <c r="O55" s="63">
        <f t="shared" si="7"/>
        <v>198.65</v>
      </c>
    </row>
    <row r="56" spans="1:15" s="33" customFormat="1">
      <c r="A56" s="87" t="s">
        <v>240</v>
      </c>
      <c r="B56" s="64">
        <f t="shared" si="0"/>
        <v>0.127</v>
      </c>
      <c r="C56" s="42">
        <v>5</v>
      </c>
      <c r="D56" s="155" t="s">
        <v>28</v>
      </c>
      <c r="E56" s="13" t="s">
        <v>241</v>
      </c>
      <c r="F56" s="117" t="s">
        <v>117</v>
      </c>
      <c r="G56" s="338">
        <v>21.42</v>
      </c>
      <c r="H56" s="120">
        <f t="shared" si="1"/>
        <v>257.04000000000002</v>
      </c>
      <c r="I56" s="68">
        <f t="shared" si="2"/>
        <v>285.52999999999997</v>
      </c>
      <c r="J56" s="120">
        <f t="shared" si="3"/>
        <v>299.88</v>
      </c>
      <c r="K56" s="337"/>
      <c r="L56" s="63">
        <f t="shared" si="4"/>
        <v>246.39</v>
      </c>
      <c r="M56" s="63">
        <f t="shared" si="5"/>
        <v>171.36</v>
      </c>
      <c r="N56" s="63">
        <f t="shared" si="6"/>
        <v>190.35</v>
      </c>
      <c r="O56" s="63">
        <f t="shared" si="7"/>
        <v>199.92</v>
      </c>
    </row>
    <row r="57" spans="1:15" s="33" customFormat="1">
      <c r="A57" s="87" t="s">
        <v>240</v>
      </c>
      <c r="B57" s="64">
        <f t="shared" si="0"/>
        <v>0.127</v>
      </c>
      <c r="C57" s="42">
        <v>5</v>
      </c>
      <c r="D57" s="155" t="s">
        <v>28</v>
      </c>
      <c r="E57" s="13" t="s">
        <v>241</v>
      </c>
      <c r="F57" s="117" t="s">
        <v>86</v>
      </c>
      <c r="G57" s="338">
        <v>21.356000000000002</v>
      </c>
      <c r="H57" s="120">
        <f t="shared" si="1"/>
        <v>256.27</v>
      </c>
      <c r="I57" s="68">
        <f t="shared" si="2"/>
        <v>284.68</v>
      </c>
      <c r="J57" s="120">
        <f t="shared" si="3"/>
        <v>298.98</v>
      </c>
      <c r="K57" s="337"/>
      <c r="L57" s="63">
        <f t="shared" si="4"/>
        <v>245.65</v>
      </c>
      <c r="M57" s="63">
        <f t="shared" si="5"/>
        <v>170.85</v>
      </c>
      <c r="N57" s="63">
        <f t="shared" si="6"/>
        <v>189.79</v>
      </c>
      <c r="O57" s="63">
        <f t="shared" si="7"/>
        <v>199.32</v>
      </c>
    </row>
    <row r="58" spans="1:15" s="33" customFormat="1">
      <c r="A58" s="87" t="s">
        <v>240</v>
      </c>
      <c r="B58" s="64">
        <f t="shared" si="0"/>
        <v>0.127</v>
      </c>
      <c r="C58" s="42">
        <v>5</v>
      </c>
      <c r="D58" s="155" t="s">
        <v>28</v>
      </c>
      <c r="E58" s="13" t="s">
        <v>241</v>
      </c>
      <c r="F58" s="117" t="s">
        <v>85</v>
      </c>
      <c r="G58" s="338">
        <v>22.215</v>
      </c>
      <c r="H58" s="120">
        <f t="shared" si="1"/>
        <v>266.58</v>
      </c>
      <c r="I58" s="68">
        <f t="shared" si="2"/>
        <v>296.13</v>
      </c>
      <c r="J58" s="120">
        <f t="shared" si="3"/>
        <v>311.01</v>
      </c>
      <c r="K58" s="337"/>
      <c r="L58" s="63">
        <f t="shared" si="4"/>
        <v>255.53</v>
      </c>
      <c r="M58" s="63">
        <f t="shared" si="5"/>
        <v>177.72</v>
      </c>
      <c r="N58" s="63">
        <f t="shared" si="6"/>
        <v>197.42</v>
      </c>
      <c r="O58" s="63">
        <f t="shared" si="7"/>
        <v>207.34</v>
      </c>
    </row>
    <row r="59" spans="1:15" s="33" customFormat="1">
      <c r="A59" s="87" t="s">
        <v>240</v>
      </c>
      <c r="B59" s="64">
        <f t="shared" si="0"/>
        <v>0.152</v>
      </c>
      <c r="C59" s="42">
        <v>6</v>
      </c>
      <c r="D59" s="155" t="s">
        <v>28</v>
      </c>
      <c r="E59" s="13" t="s">
        <v>241</v>
      </c>
      <c r="F59" s="117" t="s">
        <v>117</v>
      </c>
      <c r="G59" s="338">
        <v>21.44</v>
      </c>
      <c r="H59" s="120">
        <f t="shared" si="1"/>
        <v>257.27999999999997</v>
      </c>
      <c r="I59" s="68">
        <f t="shared" si="2"/>
        <v>285.8</v>
      </c>
      <c r="J59" s="120">
        <f t="shared" si="3"/>
        <v>300.16000000000003</v>
      </c>
      <c r="K59" s="337"/>
      <c r="L59" s="63">
        <f t="shared" si="4"/>
        <v>246.61</v>
      </c>
      <c r="M59" s="63">
        <f t="shared" si="5"/>
        <v>171.52</v>
      </c>
      <c r="N59" s="63">
        <f t="shared" si="6"/>
        <v>190.53</v>
      </c>
      <c r="O59" s="63">
        <f t="shared" si="7"/>
        <v>200.11</v>
      </c>
    </row>
    <row r="60" spans="1:15" s="33" customFormat="1">
      <c r="A60" s="87" t="s">
        <v>240</v>
      </c>
      <c r="B60" s="64">
        <f t="shared" si="0"/>
        <v>0.152</v>
      </c>
      <c r="C60" s="42">
        <v>6</v>
      </c>
      <c r="D60" s="155" t="s">
        <v>28</v>
      </c>
      <c r="E60" s="13" t="s">
        <v>241</v>
      </c>
      <c r="F60" s="117" t="s">
        <v>86</v>
      </c>
      <c r="G60" s="338">
        <v>21.221</v>
      </c>
      <c r="H60" s="120">
        <f t="shared" si="1"/>
        <v>254.65</v>
      </c>
      <c r="I60" s="68">
        <f t="shared" si="2"/>
        <v>282.88</v>
      </c>
      <c r="J60" s="120">
        <f t="shared" si="3"/>
        <v>297.08999999999997</v>
      </c>
      <c r="K60" s="337"/>
      <c r="L60" s="63">
        <f t="shared" si="4"/>
        <v>244.09</v>
      </c>
      <c r="M60" s="63">
        <f t="shared" si="5"/>
        <v>169.77</v>
      </c>
      <c r="N60" s="63">
        <f t="shared" si="6"/>
        <v>188.59</v>
      </c>
      <c r="O60" s="63">
        <f t="shared" si="7"/>
        <v>198.06</v>
      </c>
    </row>
    <row r="61" spans="1:15" s="33" customFormat="1">
      <c r="A61" s="87" t="s">
        <v>240</v>
      </c>
      <c r="B61" s="64">
        <f t="shared" si="0"/>
        <v>0.17799999999999999</v>
      </c>
      <c r="C61" s="42">
        <v>7</v>
      </c>
      <c r="D61" s="155" t="s">
        <v>28</v>
      </c>
      <c r="E61" s="13" t="s">
        <v>241</v>
      </c>
      <c r="F61" s="117" t="s">
        <v>117</v>
      </c>
      <c r="G61" s="338">
        <v>21.792000000000002</v>
      </c>
      <c r="H61" s="120">
        <f t="shared" si="1"/>
        <v>261.5</v>
      </c>
      <c r="I61" s="68">
        <f t="shared" si="2"/>
        <v>290.49</v>
      </c>
      <c r="J61" s="120">
        <f t="shared" si="3"/>
        <v>305.08999999999997</v>
      </c>
      <c r="K61" s="337"/>
      <c r="L61" s="63">
        <f t="shared" si="4"/>
        <v>250.66</v>
      </c>
      <c r="M61" s="63">
        <f t="shared" si="5"/>
        <v>174.33</v>
      </c>
      <c r="N61" s="63">
        <f t="shared" si="6"/>
        <v>193.66</v>
      </c>
      <c r="O61" s="63">
        <f t="shared" si="7"/>
        <v>203.39</v>
      </c>
    </row>
    <row r="62" spans="1:15" s="33" customFormat="1">
      <c r="A62" s="87" t="s">
        <v>240</v>
      </c>
      <c r="B62" s="64">
        <f t="shared" si="0"/>
        <v>0.17799999999999999</v>
      </c>
      <c r="C62" s="42">
        <v>7</v>
      </c>
      <c r="D62" s="155" t="s">
        <v>28</v>
      </c>
      <c r="E62" s="13" t="s">
        <v>241</v>
      </c>
      <c r="F62" s="117" t="s">
        <v>87</v>
      </c>
      <c r="G62" s="338">
        <v>21.857000000000003</v>
      </c>
      <c r="H62" s="120">
        <f t="shared" si="1"/>
        <v>262.27999999999997</v>
      </c>
      <c r="I62" s="68">
        <f t="shared" si="2"/>
        <v>291.35000000000002</v>
      </c>
      <c r="J62" s="120">
        <f t="shared" si="3"/>
        <v>306</v>
      </c>
      <c r="K62" s="337"/>
      <c r="L62" s="63">
        <f t="shared" si="4"/>
        <v>251.41</v>
      </c>
      <c r="M62" s="63">
        <f t="shared" si="5"/>
        <v>174.85</v>
      </c>
      <c r="N62" s="63">
        <f t="shared" si="6"/>
        <v>194.23</v>
      </c>
      <c r="O62" s="63">
        <f t="shared" si="7"/>
        <v>204</v>
      </c>
    </row>
    <row r="63" spans="1:15" s="33" customFormat="1">
      <c r="A63" s="87" t="s">
        <v>240</v>
      </c>
      <c r="B63" s="64">
        <f t="shared" si="0"/>
        <v>0.20300000000000001</v>
      </c>
      <c r="C63" s="42">
        <v>8</v>
      </c>
      <c r="D63" s="155" t="s">
        <v>28</v>
      </c>
      <c r="E63" s="13" t="s">
        <v>241</v>
      </c>
      <c r="F63" s="117" t="s">
        <v>87</v>
      </c>
      <c r="G63" s="338">
        <v>22.167000000000002</v>
      </c>
      <c r="H63" s="120">
        <f t="shared" si="1"/>
        <v>266</v>
      </c>
      <c r="I63" s="68">
        <f t="shared" si="2"/>
        <v>295.49</v>
      </c>
      <c r="J63" s="120">
        <f t="shared" si="3"/>
        <v>310.33999999999997</v>
      </c>
      <c r="K63" s="337"/>
      <c r="L63" s="63">
        <f t="shared" si="4"/>
        <v>254.97</v>
      </c>
      <c r="M63" s="63">
        <f t="shared" si="5"/>
        <v>177.33</v>
      </c>
      <c r="N63" s="63">
        <f t="shared" si="6"/>
        <v>196.99</v>
      </c>
      <c r="O63" s="63">
        <f t="shared" si="7"/>
        <v>206.89</v>
      </c>
    </row>
    <row r="64" spans="1:15" s="33" customFormat="1">
      <c r="A64" s="87" t="s">
        <v>240</v>
      </c>
      <c r="B64" s="64">
        <f t="shared" si="0"/>
        <v>0.254</v>
      </c>
      <c r="C64" s="42">
        <v>10</v>
      </c>
      <c r="D64" s="155" t="s">
        <v>28</v>
      </c>
      <c r="E64" s="13" t="s">
        <v>241</v>
      </c>
      <c r="F64" s="117" t="s">
        <v>89</v>
      </c>
      <c r="G64" s="338">
        <v>22.215</v>
      </c>
      <c r="H64" s="120">
        <f t="shared" si="1"/>
        <v>266.58</v>
      </c>
      <c r="I64" s="68">
        <f t="shared" si="2"/>
        <v>296.13</v>
      </c>
      <c r="J64" s="120">
        <f t="shared" si="3"/>
        <v>311.01</v>
      </c>
      <c r="K64" s="337"/>
      <c r="L64" s="63">
        <f t="shared" si="4"/>
        <v>255.53</v>
      </c>
      <c r="M64" s="63">
        <f t="shared" si="5"/>
        <v>177.72</v>
      </c>
      <c r="N64" s="63">
        <f t="shared" si="6"/>
        <v>197.42</v>
      </c>
      <c r="O64" s="63">
        <f t="shared" si="7"/>
        <v>207.34</v>
      </c>
    </row>
    <row r="65" spans="1:15">
      <c r="A65" s="9" t="s">
        <v>240</v>
      </c>
      <c r="B65" s="64">
        <f t="shared" si="0"/>
        <v>5.0999999999999997E-2</v>
      </c>
      <c r="C65" s="31">
        <v>2</v>
      </c>
      <c r="D65" s="13" t="s">
        <v>25</v>
      </c>
      <c r="E65" s="13" t="s">
        <v>243</v>
      </c>
      <c r="F65" s="32" t="s">
        <v>217</v>
      </c>
      <c r="G65" s="336">
        <v>14.021000000000001</v>
      </c>
      <c r="H65" s="15">
        <f t="shared" si="1"/>
        <v>168.25</v>
      </c>
      <c r="I65" s="68">
        <f t="shared" si="2"/>
        <v>186.9</v>
      </c>
      <c r="J65" s="15">
        <f t="shared" si="3"/>
        <v>196.29</v>
      </c>
      <c r="K65" s="337"/>
      <c r="L65" s="63">
        <f t="shared" si="4"/>
        <v>161.27000000000001</v>
      </c>
      <c r="M65" s="63">
        <f t="shared" si="5"/>
        <v>112.17</v>
      </c>
      <c r="N65" s="63">
        <f t="shared" si="6"/>
        <v>124.6</v>
      </c>
      <c r="O65" s="63">
        <f t="shared" si="7"/>
        <v>130.86000000000001</v>
      </c>
    </row>
    <row r="66" spans="1:15">
      <c r="A66" s="9" t="s">
        <v>240</v>
      </c>
      <c r="B66" s="64">
        <f t="shared" si="0"/>
        <v>6.4000000000000001E-2</v>
      </c>
      <c r="C66" s="31">
        <v>2.5</v>
      </c>
      <c r="D66" s="13" t="s">
        <v>25</v>
      </c>
      <c r="E66" s="13" t="s">
        <v>243</v>
      </c>
      <c r="F66" s="32" t="s">
        <v>122</v>
      </c>
      <c r="G66" s="336">
        <v>14.021000000000001</v>
      </c>
      <c r="H66" s="15">
        <f t="shared" si="1"/>
        <v>168.25</v>
      </c>
      <c r="I66" s="68">
        <f t="shared" si="2"/>
        <v>186.9</v>
      </c>
      <c r="J66" s="15">
        <f t="shared" si="3"/>
        <v>196.29</v>
      </c>
      <c r="K66" s="337"/>
      <c r="L66" s="63">
        <f t="shared" si="4"/>
        <v>161.27000000000001</v>
      </c>
      <c r="M66" s="63">
        <f t="shared" si="5"/>
        <v>112.17</v>
      </c>
      <c r="N66" s="63">
        <f t="shared" si="6"/>
        <v>124.6</v>
      </c>
      <c r="O66" s="63">
        <f t="shared" si="7"/>
        <v>130.86000000000001</v>
      </c>
    </row>
    <row r="67" spans="1:15">
      <c r="A67" s="9" t="s">
        <v>240</v>
      </c>
      <c r="B67" s="64">
        <f t="shared" si="0"/>
        <v>7.5999999999999998E-2</v>
      </c>
      <c r="C67" s="31">
        <v>3</v>
      </c>
      <c r="D67" s="13" t="s">
        <v>25</v>
      </c>
      <c r="E67" s="13" t="s">
        <v>243</v>
      </c>
      <c r="F67" s="32" t="s">
        <v>217</v>
      </c>
      <c r="G67" s="336">
        <v>14.731000000000002</v>
      </c>
      <c r="H67" s="15">
        <f t="shared" si="1"/>
        <v>176.77</v>
      </c>
      <c r="I67" s="68">
        <f t="shared" si="2"/>
        <v>196.36</v>
      </c>
      <c r="J67" s="15">
        <f t="shared" si="3"/>
        <v>206.23</v>
      </c>
      <c r="K67" s="337"/>
      <c r="L67" s="63">
        <f t="shared" si="4"/>
        <v>169.45</v>
      </c>
      <c r="M67" s="63">
        <f t="shared" si="5"/>
        <v>117.85</v>
      </c>
      <c r="N67" s="63">
        <f t="shared" si="6"/>
        <v>130.91</v>
      </c>
      <c r="O67" s="63">
        <f t="shared" si="7"/>
        <v>137.49</v>
      </c>
    </row>
    <row r="68" spans="1:15">
      <c r="A68" s="9" t="s">
        <v>240</v>
      </c>
      <c r="B68" s="64">
        <f t="shared" si="0"/>
        <v>7.5999999999999998E-2</v>
      </c>
      <c r="C68" s="31">
        <v>3</v>
      </c>
      <c r="D68" s="13" t="s">
        <v>25</v>
      </c>
      <c r="E68" s="13" t="s">
        <v>243</v>
      </c>
      <c r="F68" s="32" t="s">
        <v>81</v>
      </c>
      <c r="G68" s="336">
        <v>14.155999999999999</v>
      </c>
      <c r="H68" s="15">
        <f t="shared" si="1"/>
        <v>169.87</v>
      </c>
      <c r="I68" s="68">
        <f t="shared" si="2"/>
        <v>188.7</v>
      </c>
      <c r="J68" s="15">
        <f t="shared" si="3"/>
        <v>198.18</v>
      </c>
      <c r="K68" s="337"/>
      <c r="L68" s="63">
        <f t="shared" si="4"/>
        <v>162.83000000000001</v>
      </c>
      <c r="M68" s="63">
        <f t="shared" si="5"/>
        <v>113.25</v>
      </c>
      <c r="N68" s="63">
        <f t="shared" si="6"/>
        <v>125.8</v>
      </c>
      <c r="O68" s="63">
        <f t="shared" si="7"/>
        <v>132.12</v>
      </c>
    </row>
    <row r="69" spans="1:15">
      <c r="A69" s="9" t="s">
        <v>240</v>
      </c>
      <c r="B69" s="64">
        <f t="shared" si="0"/>
        <v>7.5999999999999998E-2</v>
      </c>
      <c r="C69" s="31">
        <v>3</v>
      </c>
      <c r="D69" s="13" t="s">
        <v>25</v>
      </c>
      <c r="E69" s="13" t="s">
        <v>243</v>
      </c>
      <c r="F69" s="32" t="s">
        <v>122</v>
      </c>
      <c r="G69" s="336">
        <v>14.021000000000001</v>
      </c>
      <c r="H69" s="15">
        <f t="shared" si="1"/>
        <v>168.25</v>
      </c>
      <c r="I69" s="68">
        <f t="shared" si="2"/>
        <v>186.9</v>
      </c>
      <c r="J69" s="15">
        <f t="shared" si="3"/>
        <v>196.29</v>
      </c>
      <c r="K69" s="337"/>
      <c r="L69" s="63">
        <f t="shared" si="4"/>
        <v>161.27000000000001</v>
      </c>
      <c r="M69" s="63">
        <f t="shared" si="5"/>
        <v>112.17</v>
      </c>
      <c r="N69" s="63">
        <f t="shared" si="6"/>
        <v>124.6</v>
      </c>
      <c r="O69" s="63">
        <f t="shared" si="7"/>
        <v>130.86000000000001</v>
      </c>
    </row>
    <row r="70" spans="1:15">
      <c r="A70" s="9" t="s">
        <v>240</v>
      </c>
      <c r="B70" s="64">
        <f t="shared" si="0"/>
        <v>7.5999999999999998E-2</v>
      </c>
      <c r="C70" s="31">
        <v>3</v>
      </c>
      <c r="D70" s="13" t="s">
        <v>25</v>
      </c>
      <c r="E70" s="13" t="s">
        <v>243</v>
      </c>
      <c r="F70" s="32" t="s">
        <v>123</v>
      </c>
      <c r="G70" s="336">
        <v>14.021000000000001</v>
      </c>
      <c r="H70" s="15">
        <f t="shared" si="1"/>
        <v>168.25</v>
      </c>
      <c r="I70" s="68">
        <f t="shared" si="2"/>
        <v>186.9</v>
      </c>
      <c r="J70" s="15">
        <f t="shared" si="3"/>
        <v>196.29</v>
      </c>
      <c r="K70" s="337"/>
      <c r="L70" s="63">
        <f t="shared" si="4"/>
        <v>161.27000000000001</v>
      </c>
      <c r="M70" s="63">
        <f t="shared" si="5"/>
        <v>112.17</v>
      </c>
      <c r="N70" s="63">
        <f t="shared" si="6"/>
        <v>124.6</v>
      </c>
      <c r="O70" s="63">
        <f t="shared" si="7"/>
        <v>130.86000000000001</v>
      </c>
    </row>
    <row r="71" spans="1:15">
      <c r="A71" s="9" t="s">
        <v>240</v>
      </c>
      <c r="B71" s="64">
        <f t="shared" si="0"/>
        <v>8.8999999999999996E-2</v>
      </c>
      <c r="C71" s="31">
        <v>3.5</v>
      </c>
      <c r="D71" s="13" t="s">
        <v>25</v>
      </c>
      <c r="E71" s="13" t="s">
        <v>243</v>
      </c>
      <c r="F71" s="32" t="s">
        <v>81</v>
      </c>
      <c r="G71" s="336">
        <v>14.155999999999999</v>
      </c>
      <c r="H71" s="15">
        <f t="shared" si="1"/>
        <v>169.87</v>
      </c>
      <c r="I71" s="68">
        <f t="shared" si="2"/>
        <v>188.7</v>
      </c>
      <c r="J71" s="15">
        <f t="shared" si="3"/>
        <v>198.18</v>
      </c>
      <c r="K71" s="337"/>
      <c r="L71" s="63">
        <f t="shared" si="4"/>
        <v>162.83000000000001</v>
      </c>
      <c r="M71" s="63">
        <f t="shared" si="5"/>
        <v>113.25</v>
      </c>
      <c r="N71" s="63">
        <f t="shared" si="6"/>
        <v>125.8</v>
      </c>
      <c r="O71" s="63">
        <f t="shared" si="7"/>
        <v>132.12</v>
      </c>
    </row>
    <row r="72" spans="1:15">
      <c r="A72" s="9" t="s">
        <v>240</v>
      </c>
      <c r="B72" s="64">
        <f t="shared" si="0"/>
        <v>8.8999999999999996E-2</v>
      </c>
      <c r="C72" s="31">
        <v>3.5</v>
      </c>
      <c r="D72" s="13" t="s">
        <v>25</v>
      </c>
      <c r="E72" s="13" t="s">
        <v>243</v>
      </c>
      <c r="F72" s="32" t="s">
        <v>122</v>
      </c>
      <c r="G72" s="336">
        <v>14.201999999999998</v>
      </c>
      <c r="H72" s="15">
        <f t="shared" si="1"/>
        <v>170.42</v>
      </c>
      <c r="I72" s="68">
        <f t="shared" si="2"/>
        <v>189.31</v>
      </c>
      <c r="J72" s="15">
        <f t="shared" si="3"/>
        <v>198.83</v>
      </c>
      <c r="K72" s="337"/>
      <c r="L72" s="63">
        <f t="shared" si="4"/>
        <v>163.36000000000001</v>
      </c>
      <c r="M72" s="63">
        <f t="shared" si="5"/>
        <v>113.61</v>
      </c>
      <c r="N72" s="63">
        <f t="shared" si="6"/>
        <v>126.21</v>
      </c>
      <c r="O72" s="63">
        <f t="shared" si="7"/>
        <v>132.55000000000001</v>
      </c>
    </row>
    <row r="73" spans="1:15">
      <c r="A73" s="9" t="s">
        <v>240</v>
      </c>
      <c r="B73" s="64">
        <f t="shared" si="0"/>
        <v>8.8999999999999996E-2</v>
      </c>
      <c r="C73" s="31">
        <v>3.5</v>
      </c>
      <c r="D73" s="13" t="s">
        <v>25</v>
      </c>
      <c r="E73" s="13" t="s">
        <v>243</v>
      </c>
      <c r="F73" s="32" t="s">
        <v>123</v>
      </c>
      <c r="G73" s="336">
        <v>14.201999999999998</v>
      </c>
      <c r="H73" s="15">
        <f t="shared" si="1"/>
        <v>170.42</v>
      </c>
      <c r="I73" s="68">
        <f t="shared" si="2"/>
        <v>189.31</v>
      </c>
      <c r="J73" s="15">
        <f t="shared" si="3"/>
        <v>198.83</v>
      </c>
      <c r="K73" s="337"/>
      <c r="L73" s="63">
        <f t="shared" si="4"/>
        <v>163.36000000000001</v>
      </c>
      <c r="M73" s="63">
        <f t="shared" si="5"/>
        <v>113.61</v>
      </c>
      <c r="N73" s="63">
        <f t="shared" si="6"/>
        <v>126.21</v>
      </c>
      <c r="O73" s="63">
        <f t="shared" si="7"/>
        <v>132.55000000000001</v>
      </c>
    </row>
    <row r="74" spans="1:15">
      <c r="A74" s="9" t="s">
        <v>240</v>
      </c>
      <c r="B74" s="64">
        <f t="shared" si="0"/>
        <v>0.10199999999999999</v>
      </c>
      <c r="C74" s="31">
        <v>4</v>
      </c>
      <c r="D74" s="13" t="s">
        <v>25</v>
      </c>
      <c r="E74" s="13" t="s">
        <v>243</v>
      </c>
      <c r="F74" s="32" t="s">
        <v>122</v>
      </c>
      <c r="G74" s="336">
        <v>14.413</v>
      </c>
      <c r="H74" s="15">
        <f t="shared" si="1"/>
        <v>172.96</v>
      </c>
      <c r="I74" s="68">
        <f t="shared" si="2"/>
        <v>192.13</v>
      </c>
      <c r="J74" s="15">
        <f t="shared" si="3"/>
        <v>201.78</v>
      </c>
      <c r="K74" s="337"/>
      <c r="L74" s="63">
        <f t="shared" si="4"/>
        <v>165.79</v>
      </c>
      <c r="M74" s="63">
        <f t="shared" si="5"/>
        <v>115.31</v>
      </c>
      <c r="N74" s="63">
        <f t="shared" si="6"/>
        <v>128.09</v>
      </c>
      <c r="O74" s="63">
        <f t="shared" si="7"/>
        <v>134.52000000000001</v>
      </c>
    </row>
    <row r="75" spans="1:15">
      <c r="A75" s="9" t="s">
        <v>240</v>
      </c>
      <c r="B75" s="64">
        <f t="shared" si="0"/>
        <v>0.10199999999999999</v>
      </c>
      <c r="C75" s="31">
        <v>4</v>
      </c>
      <c r="D75" s="13" t="s">
        <v>25</v>
      </c>
      <c r="E75" s="13" t="s">
        <v>243</v>
      </c>
      <c r="F75" s="32" t="s">
        <v>83</v>
      </c>
      <c r="G75" s="336">
        <v>14.413</v>
      </c>
      <c r="H75" s="15">
        <f t="shared" si="1"/>
        <v>172.96</v>
      </c>
      <c r="I75" s="68">
        <f t="shared" si="2"/>
        <v>192.13</v>
      </c>
      <c r="J75" s="15">
        <f t="shared" si="3"/>
        <v>201.78</v>
      </c>
      <c r="K75" s="337"/>
      <c r="L75" s="63">
        <f t="shared" si="4"/>
        <v>165.79</v>
      </c>
      <c r="M75" s="63">
        <f t="shared" si="5"/>
        <v>115.31</v>
      </c>
      <c r="N75" s="63">
        <f t="shared" si="6"/>
        <v>128.09</v>
      </c>
      <c r="O75" s="63">
        <f t="shared" si="7"/>
        <v>134.52000000000001</v>
      </c>
    </row>
    <row r="76" spans="1:15">
      <c r="A76" s="9" t="s">
        <v>240</v>
      </c>
      <c r="B76" s="64">
        <f t="shared" si="0"/>
        <v>0.10199999999999999</v>
      </c>
      <c r="C76" s="31">
        <v>4</v>
      </c>
      <c r="D76" s="13" t="s">
        <v>25</v>
      </c>
      <c r="E76" s="13" t="s">
        <v>243</v>
      </c>
      <c r="F76" s="32" t="s">
        <v>84</v>
      </c>
      <c r="G76" s="336">
        <v>14.231999999999999</v>
      </c>
      <c r="H76" s="15">
        <f t="shared" si="1"/>
        <v>170.78</v>
      </c>
      <c r="I76" s="68">
        <f t="shared" si="2"/>
        <v>189.71</v>
      </c>
      <c r="J76" s="15">
        <f t="shared" si="3"/>
        <v>199.25</v>
      </c>
      <c r="K76" s="337"/>
      <c r="L76" s="63">
        <f t="shared" si="4"/>
        <v>163.69999999999999</v>
      </c>
      <c r="M76" s="63">
        <f t="shared" si="5"/>
        <v>113.85</v>
      </c>
      <c r="N76" s="63">
        <f t="shared" si="6"/>
        <v>126.47</v>
      </c>
      <c r="O76" s="63">
        <f t="shared" si="7"/>
        <v>132.83000000000001</v>
      </c>
    </row>
    <row r="77" spans="1:15">
      <c r="A77" s="9" t="s">
        <v>240</v>
      </c>
      <c r="B77" s="64">
        <f t="shared" ref="B77:B253" si="8">ROUND(C77*0.0254,3)</f>
        <v>0.10199999999999999</v>
      </c>
      <c r="C77" s="31">
        <v>4</v>
      </c>
      <c r="D77" s="13" t="s">
        <v>25</v>
      </c>
      <c r="E77" s="13" t="s">
        <v>243</v>
      </c>
      <c r="F77" s="32" t="s">
        <v>166</v>
      </c>
      <c r="G77" s="336">
        <v>17.166</v>
      </c>
      <c r="H77" s="15">
        <f t="shared" ref="H77:H140" si="9">ROUND(G77*12,2)</f>
        <v>205.99</v>
      </c>
      <c r="I77" s="68">
        <f t="shared" ref="I77:I140" si="10">ROUND(G77*13.33,2)</f>
        <v>228.82</v>
      </c>
      <c r="J77" s="15">
        <f t="shared" ref="J77:J140" si="11">ROUND(G77*14,2)</f>
        <v>240.32</v>
      </c>
      <c r="K77" s="337"/>
      <c r="L77" s="63">
        <f t="shared" ref="L77:L140" si="12">ROUND(ROUND(ROUND(G77*12,2)*43/48,2)*1.07,2)</f>
        <v>197.45</v>
      </c>
      <c r="M77" s="63">
        <f t="shared" ref="M77:M140" si="13">ROUND(ROUND(G77*12,2)*2/3,2)</f>
        <v>137.33000000000001</v>
      </c>
      <c r="N77" s="63">
        <f t="shared" ref="N77:N140" si="14">ROUND(ROUND(G77*13.33,2)*2/3,2)</f>
        <v>152.55000000000001</v>
      </c>
      <c r="O77" s="63">
        <f t="shared" ref="O77:O140" si="15">ROUND(ROUND(G77*14,2)*2/3,2)</f>
        <v>160.21</v>
      </c>
    </row>
    <row r="78" spans="1:15">
      <c r="A78" s="9" t="s">
        <v>240</v>
      </c>
      <c r="B78" s="64">
        <f t="shared" si="8"/>
        <v>0.10199999999999999</v>
      </c>
      <c r="C78" s="31">
        <v>4</v>
      </c>
      <c r="D78" s="13" t="s">
        <v>25</v>
      </c>
      <c r="E78" s="13" t="s">
        <v>243</v>
      </c>
      <c r="F78" s="32" t="s">
        <v>85</v>
      </c>
      <c r="G78" s="336">
        <v>17.108999999999998</v>
      </c>
      <c r="H78" s="15">
        <f t="shared" si="9"/>
        <v>205.31</v>
      </c>
      <c r="I78" s="68">
        <f t="shared" si="10"/>
        <v>228.06</v>
      </c>
      <c r="J78" s="15">
        <f t="shared" si="11"/>
        <v>239.53</v>
      </c>
      <c r="K78" s="337"/>
      <c r="L78" s="63">
        <f t="shared" si="12"/>
        <v>196.79</v>
      </c>
      <c r="M78" s="63">
        <f t="shared" si="13"/>
        <v>136.87</v>
      </c>
      <c r="N78" s="63">
        <f t="shared" si="14"/>
        <v>152.04</v>
      </c>
      <c r="O78" s="63">
        <f t="shared" si="15"/>
        <v>159.69</v>
      </c>
    </row>
    <row r="79" spans="1:15">
      <c r="A79" s="9" t="s">
        <v>240</v>
      </c>
      <c r="B79" s="64">
        <f t="shared" si="8"/>
        <v>0.127</v>
      </c>
      <c r="C79" s="31">
        <v>5</v>
      </c>
      <c r="D79" s="13" t="s">
        <v>25</v>
      </c>
      <c r="E79" s="13" t="s">
        <v>243</v>
      </c>
      <c r="F79" s="32" t="s">
        <v>86</v>
      </c>
      <c r="G79" s="336">
        <v>17.138999999999999</v>
      </c>
      <c r="H79" s="15">
        <f t="shared" si="9"/>
        <v>205.67</v>
      </c>
      <c r="I79" s="68">
        <f t="shared" si="10"/>
        <v>228.46</v>
      </c>
      <c r="J79" s="15">
        <f t="shared" si="11"/>
        <v>239.95</v>
      </c>
      <c r="K79" s="337"/>
      <c r="L79" s="63">
        <f t="shared" si="12"/>
        <v>197.15</v>
      </c>
      <c r="M79" s="63">
        <f t="shared" si="13"/>
        <v>137.11000000000001</v>
      </c>
      <c r="N79" s="63">
        <f t="shared" si="14"/>
        <v>152.31</v>
      </c>
      <c r="O79" s="63">
        <f t="shared" si="15"/>
        <v>159.97</v>
      </c>
    </row>
    <row r="80" spans="1:15">
      <c r="A80" s="9" t="s">
        <v>240</v>
      </c>
      <c r="B80" s="64">
        <f t="shared" si="8"/>
        <v>0.127</v>
      </c>
      <c r="C80" s="31">
        <v>5</v>
      </c>
      <c r="D80" s="13" t="s">
        <v>25</v>
      </c>
      <c r="E80" s="13" t="s">
        <v>243</v>
      </c>
      <c r="F80" s="32" t="s">
        <v>84</v>
      </c>
      <c r="G80" s="336">
        <v>14.413</v>
      </c>
      <c r="H80" s="15">
        <f t="shared" si="9"/>
        <v>172.96</v>
      </c>
      <c r="I80" s="68">
        <f t="shared" si="10"/>
        <v>192.13</v>
      </c>
      <c r="J80" s="15">
        <f t="shared" si="11"/>
        <v>201.78</v>
      </c>
      <c r="K80" s="337"/>
      <c r="L80" s="63">
        <f t="shared" si="12"/>
        <v>165.79</v>
      </c>
      <c r="M80" s="63">
        <f t="shared" si="13"/>
        <v>115.31</v>
      </c>
      <c r="N80" s="63">
        <f t="shared" si="14"/>
        <v>128.09</v>
      </c>
      <c r="O80" s="63">
        <f t="shared" si="15"/>
        <v>134.52000000000001</v>
      </c>
    </row>
    <row r="81" spans="1:15">
      <c r="A81" s="9" t="s">
        <v>240</v>
      </c>
      <c r="B81" s="64">
        <f t="shared" si="8"/>
        <v>0.127</v>
      </c>
      <c r="C81" s="31">
        <v>5</v>
      </c>
      <c r="D81" s="13" t="s">
        <v>25</v>
      </c>
      <c r="E81" s="13" t="s">
        <v>243</v>
      </c>
      <c r="F81" s="32" t="s">
        <v>166</v>
      </c>
      <c r="G81" s="336">
        <v>17.166</v>
      </c>
      <c r="H81" s="15">
        <f t="shared" si="9"/>
        <v>205.99</v>
      </c>
      <c r="I81" s="68">
        <f t="shared" si="10"/>
        <v>228.82</v>
      </c>
      <c r="J81" s="15">
        <f t="shared" si="11"/>
        <v>240.32</v>
      </c>
      <c r="K81" s="337"/>
      <c r="L81" s="63">
        <f t="shared" si="12"/>
        <v>197.45</v>
      </c>
      <c r="M81" s="63">
        <f t="shared" si="13"/>
        <v>137.33000000000001</v>
      </c>
      <c r="N81" s="63">
        <f t="shared" si="14"/>
        <v>152.55000000000001</v>
      </c>
      <c r="O81" s="63">
        <f t="shared" si="15"/>
        <v>160.21</v>
      </c>
    </row>
    <row r="82" spans="1:15">
      <c r="A82" s="9" t="s">
        <v>240</v>
      </c>
      <c r="B82" s="64">
        <f t="shared" si="8"/>
        <v>0.127</v>
      </c>
      <c r="C82" s="31">
        <v>5</v>
      </c>
      <c r="D82" s="13" t="s">
        <v>25</v>
      </c>
      <c r="E82" s="13" t="s">
        <v>243</v>
      </c>
      <c r="F82" s="32" t="s">
        <v>117</v>
      </c>
      <c r="G82" s="336">
        <v>17.166</v>
      </c>
      <c r="H82" s="15">
        <f t="shared" si="9"/>
        <v>205.99</v>
      </c>
      <c r="I82" s="68">
        <f t="shared" si="10"/>
        <v>228.82</v>
      </c>
      <c r="J82" s="15">
        <f t="shared" si="11"/>
        <v>240.32</v>
      </c>
      <c r="K82" s="337"/>
      <c r="L82" s="63">
        <f t="shared" si="12"/>
        <v>197.45</v>
      </c>
      <c r="M82" s="63">
        <f t="shared" si="13"/>
        <v>137.33000000000001</v>
      </c>
      <c r="N82" s="63">
        <f t="shared" si="14"/>
        <v>152.55000000000001</v>
      </c>
      <c r="O82" s="63">
        <f t="shared" si="15"/>
        <v>160.21</v>
      </c>
    </row>
    <row r="83" spans="1:15">
      <c r="A83" s="9" t="s">
        <v>240</v>
      </c>
      <c r="B83" s="64">
        <f t="shared" si="8"/>
        <v>0.127</v>
      </c>
      <c r="C83" s="31">
        <v>5</v>
      </c>
      <c r="D83" s="13" t="s">
        <v>25</v>
      </c>
      <c r="E83" s="13" t="s">
        <v>243</v>
      </c>
      <c r="F83" s="32" t="s">
        <v>86</v>
      </c>
      <c r="G83" s="336">
        <v>17.175999999999998</v>
      </c>
      <c r="H83" s="15">
        <f t="shared" si="9"/>
        <v>206.11</v>
      </c>
      <c r="I83" s="68">
        <f t="shared" si="10"/>
        <v>228.96</v>
      </c>
      <c r="J83" s="15">
        <f t="shared" si="11"/>
        <v>240.46</v>
      </c>
      <c r="K83" s="337"/>
      <c r="L83" s="63">
        <f t="shared" si="12"/>
        <v>197.56</v>
      </c>
      <c r="M83" s="63">
        <f t="shared" si="13"/>
        <v>137.41</v>
      </c>
      <c r="N83" s="63">
        <f t="shared" si="14"/>
        <v>152.63999999999999</v>
      </c>
      <c r="O83" s="63">
        <f t="shared" si="15"/>
        <v>160.31</v>
      </c>
    </row>
    <row r="84" spans="1:15">
      <c r="A84" s="9" t="s">
        <v>240</v>
      </c>
      <c r="B84" s="64">
        <f t="shared" si="8"/>
        <v>0.152</v>
      </c>
      <c r="C84" s="31">
        <v>6</v>
      </c>
      <c r="D84" s="13" t="s">
        <v>25</v>
      </c>
      <c r="E84" s="13" t="s">
        <v>243</v>
      </c>
      <c r="F84" s="32" t="s">
        <v>117</v>
      </c>
      <c r="G84" s="336">
        <v>17.32</v>
      </c>
      <c r="H84" s="15">
        <f t="shared" si="9"/>
        <v>207.84</v>
      </c>
      <c r="I84" s="68">
        <f t="shared" si="10"/>
        <v>230.88</v>
      </c>
      <c r="J84" s="15">
        <f t="shared" si="11"/>
        <v>242.48</v>
      </c>
      <c r="K84" s="337"/>
      <c r="L84" s="63">
        <f t="shared" si="12"/>
        <v>199.22</v>
      </c>
      <c r="M84" s="63">
        <f t="shared" si="13"/>
        <v>138.56</v>
      </c>
      <c r="N84" s="63">
        <f t="shared" si="14"/>
        <v>153.91999999999999</v>
      </c>
      <c r="O84" s="63">
        <f t="shared" si="15"/>
        <v>161.65</v>
      </c>
    </row>
    <row r="85" spans="1:15">
      <c r="A85" s="9" t="s">
        <v>240</v>
      </c>
      <c r="B85" s="64">
        <f t="shared" si="8"/>
        <v>0.152</v>
      </c>
      <c r="C85" s="31">
        <v>6</v>
      </c>
      <c r="D85" s="13" t="s">
        <v>25</v>
      </c>
      <c r="E85" s="13" t="s">
        <v>243</v>
      </c>
      <c r="F85" s="32" t="s">
        <v>86</v>
      </c>
      <c r="G85" s="336">
        <v>17.175999999999998</v>
      </c>
      <c r="H85" s="15">
        <f t="shared" si="9"/>
        <v>206.11</v>
      </c>
      <c r="I85" s="68">
        <f t="shared" si="10"/>
        <v>228.96</v>
      </c>
      <c r="J85" s="15">
        <f t="shared" si="11"/>
        <v>240.46</v>
      </c>
      <c r="K85" s="337"/>
      <c r="L85" s="63">
        <f t="shared" si="12"/>
        <v>197.56</v>
      </c>
      <c r="M85" s="63">
        <f t="shared" si="13"/>
        <v>137.41</v>
      </c>
      <c r="N85" s="63">
        <f t="shared" si="14"/>
        <v>152.63999999999999</v>
      </c>
      <c r="O85" s="63">
        <f t="shared" si="15"/>
        <v>160.31</v>
      </c>
    </row>
    <row r="86" spans="1:15">
      <c r="A86" s="9" t="s">
        <v>240</v>
      </c>
      <c r="B86" s="64">
        <f t="shared" si="8"/>
        <v>0.17799999999999999</v>
      </c>
      <c r="C86" s="31">
        <v>7</v>
      </c>
      <c r="D86" s="13" t="s">
        <v>25</v>
      </c>
      <c r="E86" s="13" t="s">
        <v>243</v>
      </c>
      <c r="F86" s="32" t="s">
        <v>117</v>
      </c>
      <c r="G86" s="336">
        <v>17.474</v>
      </c>
      <c r="H86" s="15">
        <f t="shared" si="9"/>
        <v>209.69</v>
      </c>
      <c r="I86" s="68">
        <f t="shared" si="10"/>
        <v>232.93</v>
      </c>
      <c r="J86" s="15">
        <f t="shared" si="11"/>
        <v>244.64</v>
      </c>
      <c r="K86" s="337"/>
      <c r="L86" s="63">
        <f t="shared" si="12"/>
        <v>201</v>
      </c>
      <c r="M86" s="63">
        <f t="shared" si="13"/>
        <v>139.79</v>
      </c>
      <c r="N86" s="63">
        <f t="shared" si="14"/>
        <v>155.29</v>
      </c>
      <c r="O86" s="63">
        <f t="shared" si="15"/>
        <v>163.09</v>
      </c>
    </row>
    <row r="87" spans="1:15">
      <c r="A87" s="9" t="s">
        <v>240</v>
      </c>
      <c r="B87" s="64">
        <f t="shared" si="8"/>
        <v>0.17799999999999999</v>
      </c>
      <c r="C87" s="31">
        <v>7</v>
      </c>
      <c r="D87" s="13" t="s">
        <v>25</v>
      </c>
      <c r="E87" s="13" t="s">
        <v>243</v>
      </c>
      <c r="F87" s="32" t="s">
        <v>87</v>
      </c>
      <c r="G87" s="336">
        <v>17.417999999999999</v>
      </c>
      <c r="H87" s="15">
        <f t="shared" si="9"/>
        <v>209.02</v>
      </c>
      <c r="I87" s="68">
        <f t="shared" si="10"/>
        <v>232.18</v>
      </c>
      <c r="J87" s="15">
        <f t="shared" si="11"/>
        <v>243.85</v>
      </c>
      <c r="K87" s="337"/>
      <c r="L87" s="63">
        <f t="shared" si="12"/>
        <v>200.36</v>
      </c>
      <c r="M87" s="63">
        <f t="shared" si="13"/>
        <v>139.35</v>
      </c>
      <c r="N87" s="63">
        <f t="shared" si="14"/>
        <v>154.79</v>
      </c>
      <c r="O87" s="63">
        <f t="shared" si="15"/>
        <v>162.57</v>
      </c>
    </row>
    <row r="88" spans="1:15">
      <c r="A88" s="9" t="s">
        <v>240</v>
      </c>
      <c r="B88" s="64">
        <f t="shared" si="8"/>
        <v>0.20300000000000001</v>
      </c>
      <c r="C88" s="31">
        <v>8</v>
      </c>
      <c r="D88" s="13" t="s">
        <v>25</v>
      </c>
      <c r="E88" s="13" t="s">
        <v>243</v>
      </c>
      <c r="F88" s="32" t="s">
        <v>87</v>
      </c>
      <c r="G88" s="336">
        <v>17.716999999999999</v>
      </c>
      <c r="H88" s="15">
        <f t="shared" si="9"/>
        <v>212.6</v>
      </c>
      <c r="I88" s="68">
        <f t="shared" si="10"/>
        <v>236.17</v>
      </c>
      <c r="J88" s="15">
        <f t="shared" si="11"/>
        <v>248.04</v>
      </c>
      <c r="K88" s="337"/>
      <c r="L88" s="63">
        <f t="shared" si="12"/>
        <v>203.78</v>
      </c>
      <c r="M88" s="63">
        <f t="shared" si="13"/>
        <v>141.72999999999999</v>
      </c>
      <c r="N88" s="63">
        <f t="shared" si="14"/>
        <v>157.44999999999999</v>
      </c>
      <c r="O88" s="63">
        <f t="shared" si="15"/>
        <v>165.36</v>
      </c>
    </row>
    <row r="89" spans="1:15">
      <c r="A89" s="9" t="s">
        <v>240</v>
      </c>
      <c r="B89" s="64">
        <f t="shared" si="8"/>
        <v>0.254</v>
      </c>
      <c r="C89" s="31">
        <v>10</v>
      </c>
      <c r="D89" s="13" t="s">
        <v>25</v>
      </c>
      <c r="E89" s="13" t="s">
        <v>243</v>
      </c>
      <c r="F89" s="32" t="s">
        <v>89</v>
      </c>
      <c r="G89" s="336">
        <v>18.587999999999997</v>
      </c>
      <c r="H89" s="15">
        <f t="shared" si="9"/>
        <v>223.06</v>
      </c>
      <c r="I89" s="68">
        <f t="shared" si="10"/>
        <v>247.78</v>
      </c>
      <c r="J89" s="15">
        <f t="shared" si="11"/>
        <v>260.23</v>
      </c>
      <c r="K89" s="337"/>
      <c r="L89" s="63">
        <f t="shared" si="12"/>
        <v>213.81</v>
      </c>
      <c r="M89" s="63">
        <f t="shared" si="13"/>
        <v>148.71</v>
      </c>
      <c r="N89" s="63">
        <f t="shared" si="14"/>
        <v>165.19</v>
      </c>
      <c r="O89" s="63">
        <f t="shared" si="15"/>
        <v>173.49</v>
      </c>
    </row>
    <row r="90" spans="1:15">
      <c r="A90" s="9" t="s">
        <v>242</v>
      </c>
      <c r="B90" s="64">
        <f t="shared" si="8"/>
        <v>5.0999999999999997E-2</v>
      </c>
      <c r="C90" s="31">
        <v>2</v>
      </c>
      <c r="D90" s="12" t="s">
        <v>28</v>
      </c>
      <c r="E90" s="13" t="s">
        <v>243</v>
      </c>
      <c r="F90" s="32" t="s">
        <v>217</v>
      </c>
      <c r="G90" s="336">
        <v>17.727</v>
      </c>
      <c r="H90" s="15">
        <f t="shared" si="9"/>
        <v>212.72</v>
      </c>
      <c r="I90" s="68">
        <f t="shared" si="10"/>
        <v>236.3</v>
      </c>
      <c r="J90" s="15">
        <f t="shared" si="11"/>
        <v>248.18</v>
      </c>
      <c r="K90" s="337"/>
      <c r="L90" s="63">
        <f t="shared" si="12"/>
        <v>203.9</v>
      </c>
      <c r="M90" s="63">
        <f t="shared" si="13"/>
        <v>141.81</v>
      </c>
      <c r="N90" s="63">
        <f t="shared" si="14"/>
        <v>157.53</v>
      </c>
      <c r="O90" s="63">
        <f t="shared" si="15"/>
        <v>165.45</v>
      </c>
    </row>
    <row r="91" spans="1:15">
      <c r="A91" s="9" t="s">
        <v>240</v>
      </c>
      <c r="B91" s="64">
        <f t="shared" si="8"/>
        <v>6.4000000000000001E-2</v>
      </c>
      <c r="C91" s="31">
        <v>2.5</v>
      </c>
      <c r="D91" s="12" t="s">
        <v>28</v>
      </c>
      <c r="E91" s="13" t="s">
        <v>243</v>
      </c>
      <c r="F91" s="32" t="s">
        <v>122</v>
      </c>
      <c r="G91" s="336">
        <v>17.727</v>
      </c>
      <c r="H91" s="15">
        <f t="shared" si="9"/>
        <v>212.72</v>
      </c>
      <c r="I91" s="68">
        <f t="shared" si="10"/>
        <v>236.3</v>
      </c>
      <c r="J91" s="15">
        <f t="shared" si="11"/>
        <v>248.18</v>
      </c>
      <c r="K91" s="337"/>
      <c r="L91" s="63">
        <f t="shared" si="12"/>
        <v>203.9</v>
      </c>
      <c r="M91" s="63">
        <f t="shared" si="13"/>
        <v>141.81</v>
      </c>
      <c r="N91" s="63">
        <f t="shared" si="14"/>
        <v>157.53</v>
      </c>
      <c r="O91" s="63">
        <f t="shared" si="15"/>
        <v>165.45</v>
      </c>
    </row>
    <row r="92" spans="1:15">
      <c r="A92" s="9" t="s">
        <v>240</v>
      </c>
      <c r="B92" s="64">
        <f t="shared" si="8"/>
        <v>7.5999999999999998E-2</v>
      </c>
      <c r="C92" s="31">
        <v>3</v>
      </c>
      <c r="D92" s="12" t="s">
        <v>28</v>
      </c>
      <c r="E92" s="13" t="s">
        <v>243</v>
      </c>
      <c r="F92" s="32" t="s">
        <v>81</v>
      </c>
      <c r="G92" s="336">
        <v>17.984999999999999</v>
      </c>
      <c r="H92" s="15">
        <f t="shared" si="9"/>
        <v>215.82</v>
      </c>
      <c r="I92" s="68">
        <f t="shared" si="10"/>
        <v>239.74</v>
      </c>
      <c r="J92" s="15">
        <f t="shared" si="11"/>
        <v>251.79</v>
      </c>
      <c r="K92" s="337"/>
      <c r="L92" s="63">
        <f t="shared" si="12"/>
        <v>206.87</v>
      </c>
      <c r="M92" s="63">
        <f t="shared" si="13"/>
        <v>143.88</v>
      </c>
      <c r="N92" s="63">
        <f t="shared" si="14"/>
        <v>159.83000000000001</v>
      </c>
      <c r="O92" s="63">
        <f t="shared" si="15"/>
        <v>167.86</v>
      </c>
    </row>
    <row r="93" spans="1:15">
      <c r="A93" s="9" t="s">
        <v>240</v>
      </c>
      <c r="B93" s="64">
        <f t="shared" si="8"/>
        <v>7.5999999999999998E-2</v>
      </c>
      <c r="C93" s="31">
        <v>3</v>
      </c>
      <c r="D93" s="12" t="s">
        <v>28</v>
      </c>
      <c r="E93" s="13" t="s">
        <v>243</v>
      </c>
      <c r="F93" s="32" t="s">
        <v>122</v>
      </c>
      <c r="G93" s="336">
        <v>17.727</v>
      </c>
      <c r="H93" s="15">
        <f t="shared" si="9"/>
        <v>212.72</v>
      </c>
      <c r="I93" s="68">
        <f t="shared" si="10"/>
        <v>236.3</v>
      </c>
      <c r="J93" s="15">
        <f t="shared" si="11"/>
        <v>248.18</v>
      </c>
      <c r="K93" s="337"/>
      <c r="L93" s="63">
        <f t="shared" si="12"/>
        <v>203.9</v>
      </c>
      <c r="M93" s="63">
        <f t="shared" si="13"/>
        <v>141.81</v>
      </c>
      <c r="N93" s="63">
        <f t="shared" si="14"/>
        <v>157.53</v>
      </c>
      <c r="O93" s="63">
        <f t="shared" si="15"/>
        <v>165.45</v>
      </c>
    </row>
    <row r="94" spans="1:15">
      <c r="A94" s="9" t="s">
        <v>240</v>
      </c>
      <c r="B94" s="64">
        <f t="shared" si="8"/>
        <v>7.5999999999999998E-2</v>
      </c>
      <c r="C94" s="31">
        <v>3</v>
      </c>
      <c r="D94" s="12" t="s">
        <v>28</v>
      </c>
      <c r="E94" s="13" t="s">
        <v>243</v>
      </c>
      <c r="F94" s="32" t="s">
        <v>123</v>
      </c>
      <c r="G94" s="336">
        <v>17.727</v>
      </c>
      <c r="H94" s="15">
        <f t="shared" si="9"/>
        <v>212.72</v>
      </c>
      <c r="I94" s="68">
        <f t="shared" si="10"/>
        <v>236.3</v>
      </c>
      <c r="J94" s="15">
        <f t="shared" si="11"/>
        <v>248.18</v>
      </c>
      <c r="K94" s="337"/>
      <c r="L94" s="63">
        <f t="shared" si="12"/>
        <v>203.9</v>
      </c>
      <c r="M94" s="63">
        <f t="shared" si="13"/>
        <v>141.81</v>
      </c>
      <c r="N94" s="63">
        <f t="shared" si="14"/>
        <v>157.53</v>
      </c>
      <c r="O94" s="63">
        <f t="shared" si="15"/>
        <v>165.45</v>
      </c>
    </row>
    <row r="95" spans="1:15">
      <c r="A95" s="9" t="s">
        <v>240</v>
      </c>
      <c r="B95" s="64">
        <f t="shared" si="8"/>
        <v>7.5999999999999998E-2</v>
      </c>
      <c r="C95" s="31">
        <v>3</v>
      </c>
      <c r="D95" s="12" t="s">
        <v>28</v>
      </c>
      <c r="E95" s="13" t="s">
        <v>243</v>
      </c>
      <c r="F95" s="32" t="s">
        <v>140</v>
      </c>
      <c r="G95" s="336">
        <v>22.356000000000002</v>
      </c>
      <c r="H95" s="15">
        <f t="shared" si="9"/>
        <v>268.27</v>
      </c>
      <c r="I95" s="68">
        <f t="shared" si="10"/>
        <v>298.01</v>
      </c>
      <c r="J95" s="15">
        <f t="shared" si="11"/>
        <v>312.98</v>
      </c>
      <c r="K95" s="337"/>
      <c r="L95" s="63">
        <f t="shared" si="12"/>
        <v>257.14999999999998</v>
      </c>
      <c r="M95" s="63">
        <f t="shared" si="13"/>
        <v>178.85</v>
      </c>
      <c r="N95" s="63">
        <f t="shared" si="14"/>
        <v>198.67</v>
      </c>
      <c r="O95" s="63">
        <f t="shared" si="15"/>
        <v>208.65</v>
      </c>
    </row>
    <row r="96" spans="1:15">
      <c r="A96" s="9" t="s">
        <v>240</v>
      </c>
      <c r="B96" s="64">
        <f t="shared" si="8"/>
        <v>8.8999999999999996E-2</v>
      </c>
      <c r="C96" s="31">
        <v>3.5</v>
      </c>
      <c r="D96" s="12" t="s">
        <v>28</v>
      </c>
      <c r="E96" s="13" t="s">
        <v>243</v>
      </c>
      <c r="F96" s="32" t="s">
        <v>81</v>
      </c>
      <c r="G96" s="336">
        <v>17.844999999999999</v>
      </c>
      <c r="H96" s="15">
        <f t="shared" si="9"/>
        <v>214.14</v>
      </c>
      <c r="I96" s="68">
        <f t="shared" si="10"/>
        <v>237.87</v>
      </c>
      <c r="J96" s="15">
        <f t="shared" si="11"/>
        <v>249.83</v>
      </c>
      <c r="K96" s="337"/>
      <c r="L96" s="63">
        <f t="shared" si="12"/>
        <v>205.26</v>
      </c>
      <c r="M96" s="63">
        <f t="shared" si="13"/>
        <v>142.76</v>
      </c>
      <c r="N96" s="63">
        <f t="shared" si="14"/>
        <v>158.58000000000001</v>
      </c>
      <c r="O96" s="63">
        <f t="shared" si="15"/>
        <v>166.55</v>
      </c>
    </row>
    <row r="97" spans="1:15">
      <c r="A97" s="9" t="s">
        <v>240</v>
      </c>
      <c r="B97" s="64">
        <f t="shared" si="8"/>
        <v>8.8999999999999996E-2</v>
      </c>
      <c r="C97" s="31">
        <v>3.5</v>
      </c>
      <c r="D97" s="12" t="s">
        <v>28</v>
      </c>
      <c r="E97" s="13" t="s">
        <v>243</v>
      </c>
      <c r="F97" s="32" t="s">
        <v>122</v>
      </c>
      <c r="G97" s="336">
        <v>17.77</v>
      </c>
      <c r="H97" s="15">
        <f t="shared" si="9"/>
        <v>213.24</v>
      </c>
      <c r="I97" s="68">
        <f t="shared" si="10"/>
        <v>236.87</v>
      </c>
      <c r="J97" s="15">
        <f t="shared" si="11"/>
        <v>248.78</v>
      </c>
      <c r="K97" s="337"/>
      <c r="L97" s="63">
        <f t="shared" si="12"/>
        <v>204.4</v>
      </c>
      <c r="M97" s="63">
        <f t="shared" si="13"/>
        <v>142.16</v>
      </c>
      <c r="N97" s="63">
        <f t="shared" si="14"/>
        <v>157.91</v>
      </c>
      <c r="O97" s="63">
        <f t="shared" si="15"/>
        <v>165.85</v>
      </c>
    </row>
    <row r="98" spans="1:15">
      <c r="A98" s="9" t="s">
        <v>240</v>
      </c>
      <c r="B98" s="64">
        <f t="shared" si="8"/>
        <v>8.8999999999999996E-2</v>
      </c>
      <c r="C98" s="31">
        <v>3.5</v>
      </c>
      <c r="D98" s="12" t="s">
        <v>28</v>
      </c>
      <c r="E98" s="13" t="s">
        <v>243</v>
      </c>
      <c r="F98" s="32" t="s">
        <v>123</v>
      </c>
      <c r="G98" s="336">
        <v>17.908999999999999</v>
      </c>
      <c r="H98" s="15">
        <f t="shared" si="9"/>
        <v>214.91</v>
      </c>
      <c r="I98" s="68">
        <f t="shared" si="10"/>
        <v>238.73</v>
      </c>
      <c r="J98" s="15">
        <f t="shared" si="11"/>
        <v>250.73</v>
      </c>
      <c r="K98" s="337"/>
      <c r="L98" s="63">
        <f t="shared" si="12"/>
        <v>206</v>
      </c>
      <c r="M98" s="63">
        <f t="shared" si="13"/>
        <v>143.27000000000001</v>
      </c>
      <c r="N98" s="63">
        <f t="shared" si="14"/>
        <v>159.15</v>
      </c>
      <c r="O98" s="63">
        <f t="shared" si="15"/>
        <v>167.15</v>
      </c>
    </row>
    <row r="99" spans="1:15">
      <c r="A99" s="9" t="s">
        <v>240</v>
      </c>
      <c r="B99" s="64">
        <f t="shared" si="8"/>
        <v>0.10199999999999999</v>
      </c>
      <c r="C99" s="31">
        <v>4</v>
      </c>
      <c r="D99" s="12" t="s">
        <v>28</v>
      </c>
      <c r="E99" s="13" t="s">
        <v>243</v>
      </c>
      <c r="F99" s="32" t="s">
        <v>123</v>
      </c>
      <c r="G99" s="336">
        <v>18.615000000000002</v>
      </c>
      <c r="H99" s="15">
        <f t="shared" si="9"/>
        <v>223.38</v>
      </c>
      <c r="I99" s="68">
        <f t="shared" si="10"/>
        <v>248.14</v>
      </c>
      <c r="J99" s="15">
        <f t="shared" si="11"/>
        <v>260.61</v>
      </c>
      <c r="K99" s="337"/>
      <c r="L99" s="63">
        <f t="shared" si="12"/>
        <v>214.12</v>
      </c>
      <c r="M99" s="63">
        <f t="shared" si="13"/>
        <v>148.91999999999999</v>
      </c>
      <c r="N99" s="63">
        <f t="shared" si="14"/>
        <v>165.43</v>
      </c>
      <c r="O99" s="63">
        <f t="shared" si="15"/>
        <v>173.74</v>
      </c>
    </row>
    <row r="100" spans="1:15">
      <c r="A100" s="9" t="s">
        <v>240</v>
      </c>
      <c r="B100" s="64">
        <f t="shared" si="8"/>
        <v>0.10199999999999999</v>
      </c>
      <c r="C100" s="31">
        <v>4</v>
      </c>
      <c r="D100" s="12" t="s">
        <v>28</v>
      </c>
      <c r="E100" s="13" t="s">
        <v>243</v>
      </c>
      <c r="F100" s="32" t="s">
        <v>122</v>
      </c>
      <c r="G100" s="336">
        <v>17.704000000000001</v>
      </c>
      <c r="H100" s="15">
        <f t="shared" si="9"/>
        <v>212.45</v>
      </c>
      <c r="I100" s="68">
        <f t="shared" si="10"/>
        <v>235.99</v>
      </c>
      <c r="J100" s="15">
        <f t="shared" si="11"/>
        <v>247.86</v>
      </c>
      <c r="K100" s="337"/>
      <c r="L100" s="63">
        <f t="shared" si="12"/>
        <v>203.64</v>
      </c>
      <c r="M100" s="63">
        <f t="shared" si="13"/>
        <v>141.63</v>
      </c>
      <c r="N100" s="63">
        <f t="shared" si="14"/>
        <v>157.33000000000001</v>
      </c>
      <c r="O100" s="63">
        <f t="shared" si="15"/>
        <v>165.24</v>
      </c>
    </row>
    <row r="101" spans="1:15">
      <c r="A101" s="9" t="s">
        <v>240</v>
      </c>
      <c r="B101" s="64">
        <f t="shared" si="8"/>
        <v>0.10199999999999999</v>
      </c>
      <c r="C101" s="31">
        <v>4</v>
      </c>
      <c r="D101" s="12" t="s">
        <v>28</v>
      </c>
      <c r="E101" s="13" t="s">
        <v>243</v>
      </c>
      <c r="F101" s="32" t="s">
        <v>83</v>
      </c>
      <c r="G101" s="336">
        <v>17.704000000000001</v>
      </c>
      <c r="H101" s="15">
        <f t="shared" si="9"/>
        <v>212.45</v>
      </c>
      <c r="I101" s="68">
        <f t="shared" si="10"/>
        <v>235.99</v>
      </c>
      <c r="J101" s="15">
        <f t="shared" si="11"/>
        <v>247.86</v>
      </c>
      <c r="K101" s="337"/>
      <c r="L101" s="63">
        <f t="shared" si="12"/>
        <v>203.64</v>
      </c>
      <c r="M101" s="63">
        <f t="shared" si="13"/>
        <v>141.63</v>
      </c>
      <c r="N101" s="63">
        <f t="shared" si="14"/>
        <v>157.33000000000001</v>
      </c>
      <c r="O101" s="63">
        <f t="shared" si="15"/>
        <v>165.24</v>
      </c>
    </row>
    <row r="102" spans="1:15">
      <c r="A102" s="9" t="s">
        <v>240</v>
      </c>
      <c r="B102" s="64">
        <f t="shared" si="8"/>
        <v>0.10199999999999999</v>
      </c>
      <c r="C102" s="31">
        <v>4</v>
      </c>
      <c r="D102" s="12" t="s">
        <v>28</v>
      </c>
      <c r="E102" s="13" t="s">
        <v>243</v>
      </c>
      <c r="F102" s="32" t="s">
        <v>84</v>
      </c>
      <c r="G102" s="336">
        <v>17.939999999999998</v>
      </c>
      <c r="H102" s="15">
        <f t="shared" si="9"/>
        <v>215.28</v>
      </c>
      <c r="I102" s="68">
        <f t="shared" si="10"/>
        <v>239.14</v>
      </c>
      <c r="J102" s="15">
        <f t="shared" si="11"/>
        <v>251.16</v>
      </c>
      <c r="K102" s="337"/>
      <c r="L102" s="63">
        <f t="shared" si="12"/>
        <v>206.36</v>
      </c>
      <c r="M102" s="63">
        <f t="shared" si="13"/>
        <v>143.52000000000001</v>
      </c>
      <c r="N102" s="63">
        <f t="shared" si="14"/>
        <v>159.43</v>
      </c>
      <c r="O102" s="63">
        <f t="shared" si="15"/>
        <v>167.44</v>
      </c>
    </row>
    <row r="103" spans="1:15">
      <c r="A103" s="9" t="s">
        <v>240</v>
      </c>
      <c r="B103" s="64">
        <f t="shared" si="8"/>
        <v>0.10199999999999999</v>
      </c>
      <c r="C103" s="31">
        <v>4</v>
      </c>
      <c r="D103" s="12" t="s">
        <v>65</v>
      </c>
      <c r="E103" s="13" t="s">
        <v>243</v>
      </c>
      <c r="F103" s="32" t="s">
        <v>166</v>
      </c>
      <c r="G103" s="336">
        <v>20.3</v>
      </c>
      <c r="H103" s="15">
        <f t="shared" si="9"/>
        <v>243.6</v>
      </c>
      <c r="I103" s="68">
        <f t="shared" si="10"/>
        <v>270.60000000000002</v>
      </c>
      <c r="J103" s="15">
        <f t="shared" si="11"/>
        <v>284.2</v>
      </c>
      <c r="K103" s="337"/>
      <c r="L103" s="63">
        <f t="shared" si="12"/>
        <v>233.51</v>
      </c>
      <c r="M103" s="63">
        <f t="shared" si="13"/>
        <v>162.4</v>
      </c>
      <c r="N103" s="63">
        <f t="shared" si="14"/>
        <v>180.4</v>
      </c>
      <c r="O103" s="63">
        <f t="shared" si="15"/>
        <v>189.47</v>
      </c>
    </row>
    <row r="104" spans="1:15">
      <c r="A104" s="9" t="s">
        <v>240</v>
      </c>
      <c r="B104" s="64">
        <f t="shared" si="8"/>
        <v>0.10199999999999999</v>
      </c>
      <c r="C104" s="31">
        <v>4</v>
      </c>
      <c r="D104" s="12" t="s">
        <v>28</v>
      </c>
      <c r="E104" s="13" t="s">
        <v>243</v>
      </c>
      <c r="F104" s="32" t="s">
        <v>85</v>
      </c>
      <c r="G104" s="336">
        <v>20.609000000000002</v>
      </c>
      <c r="H104" s="15">
        <f t="shared" si="9"/>
        <v>247.31</v>
      </c>
      <c r="I104" s="68">
        <f t="shared" si="10"/>
        <v>274.72000000000003</v>
      </c>
      <c r="J104" s="15">
        <f t="shared" si="11"/>
        <v>288.52999999999997</v>
      </c>
      <c r="K104" s="337"/>
      <c r="L104" s="63">
        <f t="shared" si="12"/>
        <v>237.06</v>
      </c>
      <c r="M104" s="63">
        <f t="shared" si="13"/>
        <v>164.87</v>
      </c>
      <c r="N104" s="63">
        <f t="shared" si="14"/>
        <v>183.15</v>
      </c>
      <c r="O104" s="63">
        <f t="shared" si="15"/>
        <v>192.35</v>
      </c>
    </row>
    <row r="105" spans="1:15">
      <c r="A105" s="9" t="s">
        <v>240</v>
      </c>
      <c r="B105" s="64">
        <f t="shared" si="8"/>
        <v>0.127</v>
      </c>
      <c r="C105" s="31">
        <v>5</v>
      </c>
      <c r="D105" s="12" t="s">
        <v>28</v>
      </c>
      <c r="E105" s="13" t="s">
        <v>243</v>
      </c>
      <c r="F105" s="32" t="s">
        <v>86</v>
      </c>
      <c r="G105" s="336">
        <v>20.757999999999999</v>
      </c>
      <c r="H105" s="15">
        <f t="shared" si="9"/>
        <v>249.1</v>
      </c>
      <c r="I105" s="68">
        <f t="shared" si="10"/>
        <v>276.7</v>
      </c>
      <c r="J105" s="15">
        <f t="shared" si="11"/>
        <v>290.61</v>
      </c>
      <c r="K105" s="337"/>
      <c r="L105" s="63">
        <f t="shared" si="12"/>
        <v>238.77</v>
      </c>
      <c r="M105" s="63">
        <f t="shared" si="13"/>
        <v>166.07</v>
      </c>
      <c r="N105" s="63">
        <f t="shared" si="14"/>
        <v>184.47</v>
      </c>
      <c r="O105" s="63">
        <f t="shared" si="15"/>
        <v>193.74</v>
      </c>
    </row>
    <row r="106" spans="1:15">
      <c r="A106" s="9" t="s">
        <v>240</v>
      </c>
      <c r="B106" s="64">
        <f t="shared" si="8"/>
        <v>0.127</v>
      </c>
      <c r="C106" s="31">
        <v>5</v>
      </c>
      <c r="D106" s="12" t="s">
        <v>28</v>
      </c>
      <c r="E106" s="13" t="s">
        <v>243</v>
      </c>
      <c r="F106" s="32" t="s">
        <v>84</v>
      </c>
      <c r="G106" s="336">
        <v>18.122</v>
      </c>
      <c r="H106" s="15">
        <f t="shared" si="9"/>
        <v>217.46</v>
      </c>
      <c r="I106" s="68">
        <f t="shared" si="10"/>
        <v>241.57</v>
      </c>
      <c r="J106" s="15">
        <f t="shared" si="11"/>
        <v>253.71</v>
      </c>
      <c r="K106" s="337"/>
      <c r="L106" s="63">
        <f t="shared" si="12"/>
        <v>208.45</v>
      </c>
      <c r="M106" s="63">
        <f t="shared" si="13"/>
        <v>144.97</v>
      </c>
      <c r="N106" s="63">
        <f t="shared" si="14"/>
        <v>161.05000000000001</v>
      </c>
      <c r="O106" s="63">
        <f t="shared" si="15"/>
        <v>169.14</v>
      </c>
    </row>
    <row r="107" spans="1:15">
      <c r="A107" s="9" t="s">
        <v>240</v>
      </c>
      <c r="B107" s="64">
        <f t="shared" si="8"/>
        <v>0.127</v>
      </c>
      <c r="C107" s="31">
        <v>5</v>
      </c>
      <c r="D107" s="12" t="s">
        <v>28</v>
      </c>
      <c r="E107" s="13" t="s">
        <v>243</v>
      </c>
      <c r="F107" s="32" t="s">
        <v>166</v>
      </c>
      <c r="G107" s="336">
        <v>20.684000000000001</v>
      </c>
      <c r="H107" s="15">
        <f t="shared" si="9"/>
        <v>248.21</v>
      </c>
      <c r="I107" s="68">
        <f t="shared" si="10"/>
        <v>275.72000000000003</v>
      </c>
      <c r="J107" s="15">
        <f t="shared" si="11"/>
        <v>289.58</v>
      </c>
      <c r="K107" s="337"/>
      <c r="L107" s="63">
        <f t="shared" si="12"/>
        <v>237.91</v>
      </c>
      <c r="M107" s="63">
        <f t="shared" si="13"/>
        <v>165.47</v>
      </c>
      <c r="N107" s="63">
        <f t="shared" si="14"/>
        <v>183.81</v>
      </c>
      <c r="O107" s="63">
        <f t="shared" si="15"/>
        <v>193.05</v>
      </c>
    </row>
    <row r="108" spans="1:15" s="33" customFormat="1">
      <c r="A108" s="87" t="s">
        <v>240</v>
      </c>
      <c r="B108" s="64">
        <f t="shared" si="8"/>
        <v>0.127</v>
      </c>
      <c r="C108" s="42">
        <v>5</v>
      </c>
      <c r="D108" s="155" t="s">
        <v>28</v>
      </c>
      <c r="E108" s="13" t="s">
        <v>243</v>
      </c>
      <c r="F108" s="117" t="s">
        <v>117</v>
      </c>
      <c r="G108" s="338">
        <v>20.82</v>
      </c>
      <c r="H108" s="120">
        <f t="shared" si="9"/>
        <v>249.84</v>
      </c>
      <c r="I108" s="68">
        <f t="shared" si="10"/>
        <v>277.52999999999997</v>
      </c>
      <c r="J108" s="120">
        <f t="shared" si="11"/>
        <v>291.48</v>
      </c>
      <c r="K108" s="337"/>
      <c r="L108" s="63">
        <f t="shared" si="12"/>
        <v>239.49</v>
      </c>
      <c r="M108" s="63">
        <f t="shared" si="13"/>
        <v>166.56</v>
      </c>
      <c r="N108" s="63">
        <f t="shared" si="14"/>
        <v>185.02</v>
      </c>
      <c r="O108" s="63">
        <f t="shared" si="15"/>
        <v>194.32</v>
      </c>
    </row>
    <row r="109" spans="1:15" s="33" customFormat="1">
      <c r="A109" s="87" t="s">
        <v>240</v>
      </c>
      <c r="B109" s="64">
        <f t="shared" si="8"/>
        <v>0.127</v>
      </c>
      <c r="C109" s="42">
        <v>5</v>
      </c>
      <c r="D109" s="155" t="s">
        <v>28</v>
      </c>
      <c r="E109" s="13" t="s">
        <v>243</v>
      </c>
      <c r="F109" s="117" t="s">
        <v>86</v>
      </c>
      <c r="G109" s="338">
        <v>20.756</v>
      </c>
      <c r="H109" s="120">
        <f t="shared" si="9"/>
        <v>249.07</v>
      </c>
      <c r="I109" s="68">
        <f t="shared" si="10"/>
        <v>276.68</v>
      </c>
      <c r="J109" s="120">
        <f t="shared" si="11"/>
        <v>290.58</v>
      </c>
      <c r="K109" s="337"/>
      <c r="L109" s="63">
        <f t="shared" si="12"/>
        <v>238.75</v>
      </c>
      <c r="M109" s="63">
        <f t="shared" si="13"/>
        <v>166.05</v>
      </c>
      <c r="N109" s="63">
        <f t="shared" si="14"/>
        <v>184.45</v>
      </c>
      <c r="O109" s="63">
        <f t="shared" si="15"/>
        <v>193.72</v>
      </c>
    </row>
    <row r="110" spans="1:15" s="33" customFormat="1">
      <c r="A110" s="87" t="s">
        <v>240</v>
      </c>
      <c r="B110" s="64">
        <f t="shared" si="8"/>
        <v>0.127</v>
      </c>
      <c r="C110" s="42">
        <v>5</v>
      </c>
      <c r="D110" s="155" t="s">
        <v>28</v>
      </c>
      <c r="E110" s="13" t="s">
        <v>243</v>
      </c>
      <c r="F110" s="117" t="s">
        <v>85</v>
      </c>
      <c r="G110" s="338">
        <v>21.614999999999998</v>
      </c>
      <c r="H110" s="120">
        <f t="shared" si="9"/>
        <v>259.38</v>
      </c>
      <c r="I110" s="68">
        <f t="shared" si="10"/>
        <v>288.13</v>
      </c>
      <c r="J110" s="120">
        <f t="shared" si="11"/>
        <v>302.61</v>
      </c>
      <c r="K110" s="337"/>
      <c r="L110" s="63">
        <f t="shared" si="12"/>
        <v>248.63</v>
      </c>
      <c r="M110" s="63">
        <f t="shared" si="13"/>
        <v>172.92</v>
      </c>
      <c r="N110" s="63">
        <f t="shared" si="14"/>
        <v>192.09</v>
      </c>
      <c r="O110" s="63">
        <f t="shared" si="15"/>
        <v>201.74</v>
      </c>
    </row>
    <row r="111" spans="1:15" s="33" customFormat="1">
      <c r="A111" s="87" t="s">
        <v>240</v>
      </c>
      <c r="B111" s="64">
        <f t="shared" si="8"/>
        <v>0.152</v>
      </c>
      <c r="C111" s="42">
        <v>6</v>
      </c>
      <c r="D111" s="155" t="s">
        <v>28</v>
      </c>
      <c r="E111" s="13" t="s">
        <v>243</v>
      </c>
      <c r="F111" s="117" t="s">
        <v>117</v>
      </c>
      <c r="G111" s="338">
        <v>20.84</v>
      </c>
      <c r="H111" s="120">
        <f t="shared" si="9"/>
        <v>250.08</v>
      </c>
      <c r="I111" s="68">
        <f t="shared" si="10"/>
        <v>277.8</v>
      </c>
      <c r="J111" s="120">
        <f t="shared" si="11"/>
        <v>291.76</v>
      </c>
      <c r="K111" s="337"/>
      <c r="L111" s="63">
        <f t="shared" si="12"/>
        <v>239.71</v>
      </c>
      <c r="M111" s="63">
        <f t="shared" si="13"/>
        <v>166.72</v>
      </c>
      <c r="N111" s="63">
        <f t="shared" si="14"/>
        <v>185.2</v>
      </c>
      <c r="O111" s="63">
        <f t="shared" si="15"/>
        <v>194.51</v>
      </c>
    </row>
    <row r="112" spans="1:15" s="33" customFormat="1">
      <c r="A112" s="87" t="s">
        <v>240</v>
      </c>
      <c r="B112" s="64">
        <f t="shared" si="8"/>
        <v>0.152</v>
      </c>
      <c r="C112" s="42">
        <v>6</v>
      </c>
      <c r="D112" s="155" t="s">
        <v>28</v>
      </c>
      <c r="E112" s="13" t="s">
        <v>243</v>
      </c>
      <c r="F112" s="117" t="s">
        <v>86</v>
      </c>
      <c r="G112" s="338">
        <v>20.620999999999999</v>
      </c>
      <c r="H112" s="120">
        <f t="shared" si="9"/>
        <v>247.45</v>
      </c>
      <c r="I112" s="68">
        <f t="shared" si="10"/>
        <v>274.88</v>
      </c>
      <c r="J112" s="120">
        <f t="shared" si="11"/>
        <v>288.69</v>
      </c>
      <c r="K112" s="337"/>
      <c r="L112" s="63">
        <f t="shared" si="12"/>
        <v>237.19</v>
      </c>
      <c r="M112" s="63">
        <f t="shared" si="13"/>
        <v>164.97</v>
      </c>
      <c r="N112" s="63">
        <f t="shared" si="14"/>
        <v>183.25</v>
      </c>
      <c r="O112" s="63">
        <f t="shared" si="15"/>
        <v>192.46</v>
      </c>
    </row>
    <row r="113" spans="1:15" s="33" customFormat="1">
      <c r="A113" s="87" t="s">
        <v>240</v>
      </c>
      <c r="B113" s="64">
        <f t="shared" si="8"/>
        <v>0.17799999999999999</v>
      </c>
      <c r="C113" s="42">
        <v>7</v>
      </c>
      <c r="D113" s="155" t="s">
        <v>28</v>
      </c>
      <c r="E113" s="13" t="s">
        <v>243</v>
      </c>
      <c r="F113" s="117" t="s">
        <v>117</v>
      </c>
      <c r="G113" s="338">
        <v>21.192</v>
      </c>
      <c r="H113" s="120">
        <f t="shared" si="9"/>
        <v>254.3</v>
      </c>
      <c r="I113" s="68">
        <f t="shared" si="10"/>
        <v>282.49</v>
      </c>
      <c r="J113" s="120">
        <f t="shared" si="11"/>
        <v>296.69</v>
      </c>
      <c r="K113" s="337"/>
      <c r="L113" s="63">
        <f t="shared" si="12"/>
        <v>243.76</v>
      </c>
      <c r="M113" s="63">
        <f t="shared" si="13"/>
        <v>169.53</v>
      </c>
      <c r="N113" s="63">
        <f t="shared" si="14"/>
        <v>188.33</v>
      </c>
      <c r="O113" s="63">
        <f t="shared" si="15"/>
        <v>197.79</v>
      </c>
    </row>
    <row r="114" spans="1:15" s="33" customFormat="1">
      <c r="A114" s="87" t="s">
        <v>240</v>
      </c>
      <c r="B114" s="64">
        <f t="shared" si="8"/>
        <v>0.17799999999999999</v>
      </c>
      <c r="C114" s="42">
        <v>7</v>
      </c>
      <c r="D114" s="155" t="s">
        <v>28</v>
      </c>
      <c r="E114" s="13" t="s">
        <v>243</v>
      </c>
      <c r="F114" s="117" t="s">
        <v>87</v>
      </c>
      <c r="G114" s="338">
        <v>21.257000000000001</v>
      </c>
      <c r="H114" s="120">
        <f t="shared" si="9"/>
        <v>255.08</v>
      </c>
      <c r="I114" s="68">
        <f t="shared" si="10"/>
        <v>283.36</v>
      </c>
      <c r="J114" s="120">
        <f t="shared" si="11"/>
        <v>297.60000000000002</v>
      </c>
      <c r="K114" s="337"/>
      <c r="L114" s="63">
        <f t="shared" si="12"/>
        <v>244.51</v>
      </c>
      <c r="M114" s="63">
        <f t="shared" si="13"/>
        <v>170.05</v>
      </c>
      <c r="N114" s="63">
        <f t="shared" si="14"/>
        <v>188.91</v>
      </c>
      <c r="O114" s="63">
        <f t="shared" si="15"/>
        <v>198.4</v>
      </c>
    </row>
    <row r="115" spans="1:15" s="33" customFormat="1">
      <c r="A115" s="87" t="s">
        <v>240</v>
      </c>
      <c r="B115" s="64">
        <f t="shared" si="8"/>
        <v>0.20300000000000001</v>
      </c>
      <c r="C115" s="42">
        <v>8</v>
      </c>
      <c r="D115" s="155" t="s">
        <v>28</v>
      </c>
      <c r="E115" s="13" t="s">
        <v>243</v>
      </c>
      <c r="F115" s="117" t="s">
        <v>87</v>
      </c>
      <c r="G115" s="338">
        <v>21.567</v>
      </c>
      <c r="H115" s="120">
        <f t="shared" si="9"/>
        <v>258.8</v>
      </c>
      <c r="I115" s="68">
        <f t="shared" si="10"/>
        <v>287.49</v>
      </c>
      <c r="J115" s="120">
        <f t="shared" si="11"/>
        <v>301.94</v>
      </c>
      <c r="K115" s="337"/>
      <c r="L115" s="63">
        <f t="shared" si="12"/>
        <v>248.07</v>
      </c>
      <c r="M115" s="63">
        <f t="shared" si="13"/>
        <v>172.53</v>
      </c>
      <c r="N115" s="63">
        <f t="shared" si="14"/>
        <v>191.66</v>
      </c>
      <c r="O115" s="63">
        <f t="shared" si="15"/>
        <v>201.29</v>
      </c>
    </row>
    <row r="116" spans="1:15" s="33" customFormat="1">
      <c r="A116" s="87" t="s">
        <v>240</v>
      </c>
      <c r="B116" s="64">
        <f t="shared" si="8"/>
        <v>0.254</v>
      </c>
      <c r="C116" s="42">
        <v>10</v>
      </c>
      <c r="D116" s="155" t="s">
        <v>28</v>
      </c>
      <c r="E116" s="13" t="s">
        <v>243</v>
      </c>
      <c r="F116" s="117" t="s">
        <v>89</v>
      </c>
      <c r="G116" s="338">
        <v>21.614999999999998</v>
      </c>
      <c r="H116" s="120">
        <f t="shared" si="9"/>
        <v>259.38</v>
      </c>
      <c r="I116" s="68">
        <f t="shared" si="10"/>
        <v>288.13</v>
      </c>
      <c r="J116" s="120">
        <f t="shared" si="11"/>
        <v>302.61</v>
      </c>
      <c r="K116" s="337"/>
      <c r="L116" s="63">
        <f t="shared" si="12"/>
        <v>248.63</v>
      </c>
      <c r="M116" s="63">
        <f t="shared" si="13"/>
        <v>172.92</v>
      </c>
      <c r="N116" s="63">
        <f t="shared" si="14"/>
        <v>192.09</v>
      </c>
      <c r="O116" s="63">
        <f t="shared" si="15"/>
        <v>201.74</v>
      </c>
    </row>
    <row r="117" spans="1:15">
      <c r="A117" s="9" t="s">
        <v>240</v>
      </c>
      <c r="B117" s="64">
        <f t="shared" si="8"/>
        <v>5.0999999999999997E-2</v>
      </c>
      <c r="C117" s="31">
        <v>2</v>
      </c>
      <c r="D117" s="13" t="s">
        <v>25</v>
      </c>
      <c r="E117" s="13" t="s">
        <v>244</v>
      </c>
      <c r="F117" s="32" t="s">
        <v>217</v>
      </c>
      <c r="G117" s="336">
        <v>12.941000000000001</v>
      </c>
      <c r="H117" s="15">
        <f t="shared" si="9"/>
        <v>155.29</v>
      </c>
      <c r="I117" s="68">
        <f t="shared" si="10"/>
        <v>172.5</v>
      </c>
      <c r="J117" s="15">
        <f t="shared" si="11"/>
        <v>181.17</v>
      </c>
      <c r="K117" s="337"/>
      <c r="L117" s="63">
        <f t="shared" si="12"/>
        <v>148.85</v>
      </c>
      <c r="M117" s="63">
        <f t="shared" si="13"/>
        <v>103.53</v>
      </c>
      <c r="N117" s="63">
        <f t="shared" si="14"/>
        <v>115</v>
      </c>
      <c r="O117" s="63">
        <f t="shared" si="15"/>
        <v>120.78</v>
      </c>
    </row>
    <row r="118" spans="1:15">
      <c r="A118" s="9" t="s">
        <v>240</v>
      </c>
      <c r="B118" s="64">
        <f t="shared" si="8"/>
        <v>6.4000000000000001E-2</v>
      </c>
      <c r="C118" s="31">
        <v>2.5</v>
      </c>
      <c r="D118" s="13" t="s">
        <v>25</v>
      </c>
      <c r="E118" s="13" t="s">
        <v>244</v>
      </c>
      <c r="F118" s="32" t="s">
        <v>122</v>
      </c>
      <c r="G118" s="336">
        <v>12.941000000000001</v>
      </c>
      <c r="H118" s="15">
        <f t="shared" si="9"/>
        <v>155.29</v>
      </c>
      <c r="I118" s="68">
        <f t="shared" si="10"/>
        <v>172.5</v>
      </c>
      <c r="J118" s="15">
        <f t="shared" si="11"/>
        <v>181.17</v>
      </c>
      <c r="K118" s="337"/>
      <c r="L118" s="63">
        <f t="shared" si="12"/>
        <v>148.85</v>
      </c>
      <c r="M118" s="63">
        <f t="shared" si="13"/>
        <v>103.53</v>
      </c>
      <c r="N118" s="63">
        <f t="shared" si="14"/>
        <v>115</v>
      </c>
      <c r="O118" s="63">
        <f t="shared" si="15"/>
        <v>120.78</v>
      </c>
    </row>
    <row r="119" spans="1:15">
      <c r="A119" s="9" t="s">
        <v>240</v>
      </c>
      <c r="B119" s="64">
        <f t="shared" si="8"/>
        <v>7.5999999999999998E-2</v>
      </c>
      <c r="C119" s="31">
        <v>3</v>
      </c>
      <c r="D119" s="13" t="s">
        <v>25</v>
      </c>
      <c r="E119" s="13" t="s">
        <v>244</v>
      </c>
      <c r="F119" s="32" t="s">
        <v>217</v>
      </c>
      <c r="G119" s="336">
        <v>13.651000000000002</v>
      </c>
      <c r="H119" s="15">
        <f t="shared" si="9"/>
        <v>163.81</v>
      </c>
      <c r="I119" s="68">
        <f t="shared" si="10"/>
        <v>181.97</v>
      </c>
      <c r="J119" s="15">
        <f t="shared" si="11"/>
        <v>191.11</v>
      </c>
      <c r="K119" s="337"/>
      <c r="L119" s="63">
        <f t="shared" si="12"/>
        <v>157.02000000000001</v>
      </c>
      <c r="M119" s="63">
        <f t="shared" si="13"/>
        <v>109.21</v>
      </c>
      <c r="N119" s="63">
        <f t="shared" si="14"/>
        <v>121.31</v>
      </c>
      <c r="O119" s="63">
        <f t="shared" si="15"/>
        <v>127.41</v>
      </c>
    </row>
    <row r="120" spans="1:15">
      <c r="A120" s="9" t="s">
        <v>240</v>
      </c>
      <c r="B120" s="64">
        <f t="shared" si="8"/>
        <v>7.5999999999999998E-2</v>
      </c>
      <c r="C120" s="31">
        <v>3</v>
      </c>
      <c r="D120" s="13" t="s">
        <v>25</v>
      </c>
      <c r="E120" s="13" t="s">
        <v>244</v>
      </c>
      <c r="F120" s="32" t="s">
        <v>81</v>
      </c>
      <c r="G120" s="336">
        <v>13.076000000000001</v>
      </c>
      <c r="H120" s="15">
        <f t="shared" si="9"/>
        <v>156.91</v>
      </c>
      <c r="I120" s="68">
        <f t="shared" si="10"/>
        <v>174.3</v>
      </c>
      <c r="J120" s="15">
        <f t="shared" si="11"/>
        <v>183.06</v>
      </c>
      <c r="K120" s="337"/>
      <c r="L120" s="63">
        <f t="shared" si="12"/>
        <v>150.41</v>
      </c>
      <c r="M120" s="63">
        <f t="shared" si="13"/>
        <v>104.61</v>
      </c>
      <c r="N120" s="63">
        <f t="shared" si="14"/>
        <v>116.2</v>
      </c>
      <c r="O120" s="63">
        <f t="shared" si="15"/>
        <v>122.04</v>
      </c>
    </row>
    <row r="121" spans="1:15">
      <c r="A121" s="9" t="s">
        <v>240</v>
      </c>
      <c r="B121" s="64">
        <f t="shared" si="8"/>
        <v>7.5999999999999998E-2</v>
      </c>
      <c r="C121" s="31">
        <v>3</v>
      </c>
      <c r="D121" s="13" t="s">
        <v>25</v>
      </c>
      <c r="E121" s="13" t="s">
        <v>244</v>
      </c>
      <c r="F121" s="32" t="s">
        <v>122</v>
      </c>
      <c r="G121" s="336">
        <v>12.941000000000001</v>
      </c>
      <c r="H121" s="15">
        <f t="shared" si="9"/>
        <v>155.29</v>
      </c>
      <c r="I121" s="68">
        <f t="shared" si="10"/>
        <v>172.5</v>
      </c>
      <c r="J121" s="15">
        <f t="shared" si="11"/>
        <v>181.17</v>
      </c>
      <c r="K121" s="337"/>
      <c r="L121" s="63">
        <f t="shared" si="12"/>
        <v>148.85</v>
      </c>
      <c r="M121" s="63">
        <f t="shared" si="13"/>
        <v>103.53</v>
      </c>
      <c r="N121" s="63">
        <f t="shared" si="14"/>
        <v>115</v>
      </c>
      <c r="O121" s="63">
        <f t="shared" si="15"/>
        <v>120.78</v>
      </c>
    </row>
    <row r="122" spans="1:15">
      <c r="A122" s="9" t="s">
        <v>240</v>
      </c>
      <c r="B122" s="64">
        <f t="shared" si="8"/>
        <v>7.5999999999999998E-2</v>
      </c>
      <c r="C122" s="31">
        <v>3</v>
      </c>
      <c r="D122" s="13" t="s">
        <v>25</v>
      </c>
      <c r="E122" s="13" t="s">
        <v>244</v>
      </c>
      <c r="F122" s="32" t="s">
        <v>123</v>
      </c>
      <c r="G122" s="336">
        <v>12.941000000000001</v>
      </c>
      <c r="H122" s="15">
        <f t="shared" si="9"/>
        <v>155.29</v>
      </c>
      <c r="I122" s="68">
        <f t="shared" si="10"/>
        <v>172.5</v>
      </c>
      <c r="J122" s="15">
        <f t="shared" si="11"/>
        <v>181.17</v>
      </c>
      <c r="K122" s="337"/>
      <c r="L122" s="63">
        <f t="shared" si="12"/>
        <v>148.85</v>
      </c>
      <c r="M122" s="63">
        <f t="shared" si="13"/>
        <v>103.53</v>
      </c>
      <c r="N122" s="63">
        <f t="shared" si="14"/>
        <v>115</v>
      </c>
      <c r="O122" s="63">
        <f t="shared" si="15"/>
        <v>120.78</v>
      </c>
    </row>
    <row r="123" spans="1:15">
      <c r="A123" s="9" t="s">
        <v>240</v>
      </c>
      <c r="B123" s="64">
        <f t="shared" si="8"/>
        <v>8.8999999999999996E-2</v>
      </c>
      <c r="C123" s="31">
        <v>3.5</v>
      </c>
      <c r="D123" s="13" t="s">
        <v>25</v>
      </c>
      <c r="E123" s="13" t="s">
        <v>244</v>
      </c>
      <c r="F123" s="32" t="s">
        <v>81</v>
      </c>
      <c r="G123" s="336">
        <v>13.076000000000001</v>
      </c>
      <c r="H123" s="15">
        <f t="shared" si="9"/>
        <v>156.91</v>
      </c>
      <c r="I123" s="68">
        <f t="shared" si="10"/>
        <v>174.3</v>
      </c>
      <c r="J123" s="15">
        <f t="shared" si="11"/>
        <v>183.06</v>
      </c>
      <c r="K123" s="337"/>
      <c r="L123" s="63">
        <f t="shared" si="12"/>
        <v>150.41</v>
      </c>
      <c r="M123" s="63">
        <f t="shared" si="13"/>
        <v>104.61</v>
      </c>
      <c r="N123" s="63">
        <f t="shared" si="14"/>
        <v>116.2</v>
      </c>
      <c r="O123" s="63">
        <f t="shared" si="15"/>
        <v>122.04</v>
      </c>
    </row>
    <row r="124" spans="1:15">
      <c r="A124" s="9" t="s">
        <v>240</v>
      </c>
      <c r="B124" s="64">
        <f t="shared" si="8"/>
        <v>8.8999999999999996E-2</v>
      </c>
      <c r="C124" s="31">
        <v>3.5</v>
      </c>
      <c r="D124" s="13" t="s">
        <v>25</v>
      </c>
      <c r="E124" s="13" t="s">
        <v>244</v>
      </c>
      <c r="F124" s="32" t="s">
        <v>122</v>
      </c>
      <c r="G124" s="336">
        <v>13.122</v>
      </c>
      <c r="H124" s="15">
        <f t="shared" si="9"/>
        <v>157.46</v>
      </c>
      <c r="I124" s="68">
        <f t="shared" si="10"/>
        <v>174.92</v>
      </c>
      <c r="J124" s="15">
        <f t="shared" si="11"/>
        <v>183.71</v>
      </c>
      <c r="K124" s="337"/>
      <c r="L124" s="63">
        <f t="shared" si="12"/>
        <v>150.93</v>
      </c>
      <c r="M124" s="63">
        <f t="shared" si="13"/>
        <v>104.97</v>
      </c>
      <c r="N124" s="63">
        <f t="shared" si="14"/>
        <v>116.61</v>
      </c>
      <c r="O124" s="63">
        <f t="shared" si="15"/>
        <v>122.47</v>
      </c>
    </row>
    <row r="125" spans="1:15">
      <c r="A125" s="9" t="s">
        <v>240</v>
      </c>
      <c r="B125" s="64">
        <f t="shared" si="8"/>
        <v>8.8999999999999996E-2</v>
      </c>
      <c r="C125" s="31">
        <v>3.5</v>
      </c>
      <c r="D125" s="13" t="s">
        <v>25</v>
      </c>
      <c r="E125" s="13" t="s">
        <v>244</v>
      </c>
      <c r="F125" s="32" t="s">
        <v>123</v>
      </c>
      <c r="G125" s="336">
        <v>13.122</v>
      </c>
      <c r="H125" s="15">
        <f t="shared" si="9"/>
        <v>157.46</v>
      </c>
      <c r="I125" s="68">
        <f t="shared" si="10"/>
        <v>174.92</v>
      </c>
      <c r="J125" s="15">
        <f t="shared" si="11"/>
        <v>183.71</v>
      </c>
      <c r="K125" s="337"/>
      <c r="L125" s="63">
        <f t="shared" si="12"/>
        <v>150.93</v>
      </c>
      <c r="M125" s="63">
        <f t="shared" si="13"/>
        <v>104.97</v>
      </c>
      <c r="N125" s="63">
        <f t="shared" si="14"/>
        <v>116.61</v>
      </c>
      <c r="O125" s="63">
        <f t="shared" si="15"/>
        <v>122.47</v>
      </c>
    </row>
    <row r="126" spans="1:15">
      <c r="A126" s="9" t="s">
        <v>240</v>
      </c>
      <c r="B126" s="64">
        <f t="shared" si="8"/>
        <v>0.10199999999999999</v>
      </c>
      <c r="C126" s="31">
        <v>4</v>
      </c>
      <c r="D126" s="13" t="s">
        <v>25</v>
      </c>
      <c r="E126" s="13" t="s">
        <v>244</v>
      </c>
      <c r="F126" s="32" t="s">
        <v>122</v>
      </c>
      <c r="G126" s="336">
        <v>13.333</v>
      </c>
      <c r="H126" s="15">
        <f t="shared" si="9"/>
        <v>160</v>
      </c>
      <c r="I126" s="68">
        <f t="shared" si="10"/>
        <v>177.73</v>
      </c>
      <c r="J126" s="15">
        <f t="shared" si="11"/>
        <v>186.66</v>
      </c>
      <c r="K126" s="337"/>
      <c r="L126" s="63">
        <f t="shared" si="12"/>
        <v>153.36000000000001</v>
      </c>
      <c r="M126" s="63">
        <f t="shared" si="13"/>
        <v>106.67</v>
      </c>
      <c r="N126" s="63">
        <f t="shared" si="14"/>
        <v>118.49</v>
      </c>
      <c r="O126" s="63">
        <f t="shared" si="15"/>
        <v>124.44</v>
      </c>
    </row>
    <row r="127" spans="1:15">
      <c r="A127" s="9" t="s">
        <v>240</v>
      </c>
      <c r="B127" s="64">
        <f t="shared" si="8"/>
        <v>0.10199999999999999</v>
      </c>
      <c r="C127" s="31">
        <v>4</v>
      </c>
      <c r="D127" s="13" t="s">
        <v>25</v>
      </c>
      <c r="E127" s="13" t="s">
        <v>244</v>
      </c>
      <c r="F127" s="32" t="s">
        <v>83</v>
      </c>
      <c r="G127" s="336">
        <v>13.333</v>
      </c>
      <c r="H127" s="15">
        <f t="shared" si="9"/>
        <v>160</v>
      </c>
      <c r="I127" s="68">
        <f t="shared" si="10"/>
        <v>177.73</v>
      </c>
      <c r="J127" s="15">
        <f t="shared" si="11"/>
        <v>186.66</v>
      </c>
      <c r="K127" s="337"/>
      <c r="L127" s="63">
        <f t="shared" si="12"/>
        <v>153.36000000000001</v>
      </c>
      <c r="M127" s="63">
        <f t="shared" si="13"/>
        <v>106.67</v>
      </c>
      <c r="N127" s="63">
        <f t="shared" si="14"/>
        <v>118.49</v>
      </c>
      <c r="O127" s="63">
        <f t="shared" si="15"/>
        <v>124.44</v>
      </c>
    </row>
    <row r="128" spans="1:15">
      <c r="A128" s="9" t="s">
        <v>240</v>
      </c>
      <c r="B128" s="64">
        <f t="shared" si="8"/>
        <v>0.10199999999999999</v>
      </c>
      <c r="C128" s="31">
        <v>4</v>
      </c>
      <c r="D128" s="13" t="s">
        <v>25</v>
      </c>
      <c r="E128" s="13" t="s">
        <v>244</v>
      </c>
      <c r="F128" s="32" t="s">
        <v>84</v>
      </c>
      <c r="G128" s="336">
        <v>13.152000000000001</v>
      </c>
      <c r="H128" s="15">
        <f t="shared" si="9"/>
        <v>157.82</v>
      </c>
      <c r="I128" s="68">
        <f t="shared" si="10"/>
        <v>175.32</v>
      </c>
      <c r="J128" s="15">
        <f t="shared" si="11"/>
        <v>184.13</v>
      </c>
      <c r="K128" s="337"/>
      <c r="L128" s="63">
        <f t="shared" si="12"/>
        <v>151.28</v>
      </c>
      <c r="M128" s="63">
        <f t="shared" si="13"/>
        <v>105.21</v>
      </c>
      <c r="N128" s="63">
        <f t="shared" si="14"/>
        <v>116.88</v>
      </c>
      <c r="O128" s="63">
        <f t="shared" si="15"/>
        <v>122.75</v>
      </c>
    </row>
    <row r="129" spans="1:15">
      <c r="A129" s="9" t="s">
        <v>240</v>
      </c>
      <c r="B129" s="64">
        <f t="shared" si="8"/>
        <v>0.10199999999999999</v>
      </c>
      <c r="C129" s="31">
        <v>4</v>
      </c>
      <c r="D129" s="13" t="s">
        <v>25</v>
      </c>
      <c r="E129" s="13" t="s">
        <v>244</v>
      </c>
      <c r="F129" s="32" t="s">
        <v>166</v>
      </c>
      <c r="G129" s="336">
        <v>16.085999999999999</v>
      </c>
      <c r="H129" s="15">
        <f t="shared" si="9"/>
        <v>193.03</v>
      </c>
      <c r="I129" s="68">
        <f t="shared" si="10"/>
        <v>214.43</v>
      </c>
      <c r="J129" s="15">
        <f t="shared" si="11"/>
        <v>225.2</v>
      </c>
      <c r="K129" s="337"/>
      <c r="L129" s="63">
        <f t="shared" si="12"/>
        <v>185.02</v>
      </c>
      <c r="M129" s="63">
        <f t="shared" si="13"/>
        <v>128.69</v>
      </c>
      <c r="N129" s="63">
        <f t="shared" si="14"/>
        <v>142.94999999999999</v>
      </c>
      <c r="O129" s="63">
        <f t="shared" si="15"/>
        <v>150.13</v>
      </c>
    </row>
    <row r="130" spans="1:15">
      <c r="A130" s="9" t="s">
        <v>240</v>
      </c>
      <c r="B130" s="64">
        <f t="shared" si="8"/>
        <v>0.10199999999999999</v>
      </c>
      <c r="C130" s="31">
        <v>4</v>
      </c>
      <c r="D130" s="13" t="s">
        <v>25</v>
      </c>
      <c r="E130" s="13" t="s">
        <v>244</v>
      </c>
      <c r="F130" s="32" t="s">
        <v>85</v>
      </c>
      <c r="G130" s="336">
        <v>16.029</v>
      </c>
      <c r="H130" s="15">
        <f t="shared" si="9"/>
        <v>192.35</v>
      </c>
      <c r="I130" s="68">
        <f t="shared" si="10"/>
        <v>213.67</v>
      </c>
      <c r="J130" s="15">
        <f t="shared" si="11"/>
        <v>224.41</v>
      </c>
      <c r="K130" s="337"/>
      <c r="L130" s="63">
        <f t="shared" si="12"/>
        <v>184.37</v>
      </c>
      <c r="M130" s="63">
        <f t="shared" si="13"/>
        <v>128.22999999999999</v>
      </c>
      <c r="N130" s="63">
        <f t="shared" si="14"/>
        <v>142.44999999999999</v>
      </c>
      <c r="O130" s="63">
        <f t="shared" si="15"/>
        <v>149.61000000000001</v>
      </c>
    </row>
    <row r="131" spans="1:15">
      <c r="A131" s="9" t="s">
        <v>240</v>
      </c>
      <c r="B131" s="64">
        <f t="shared" si="8"/>
        <v>0.127</v>
      </c>
      <c r="C131" s="31">
        <v>5</v>
      </c>
      <c r="D131" s="13" t="s">
        <v>25</v>
      </c>
      <c r="E131" s="13" t="s">
        <v>244</v>
      </c>
      <c r="F131" s="32" t="s">
        <v>86</v>
      </c>
      <c r="G131" s="336">
        <v>16.059000000000001</v>
      </c>
      <c r="H131" s="15">
        <f t="shared" si="9"/>
        <v>192.71</v>
      </c>
      <c r="I131" s="68">
        <f t="shared" si="10"/>
        <v>214.07</v>
      </c>
      <c r="J131" s="15">
        <f t="shared" si="11"/>
        <v>224.83</v>
      </c>
      <c r="K131" s="337"/>
      <c r="L131" s="63">
        <f t="shared" si="12"/>
        <v>184.72</v>
      </c>
      <c r="M131" s="63">
        <f t="shared" si="13"/>
        <v>128.47</v>
      </c>
      <c r="N131" s="63">
        <f t="shared" si="14"/>
        <v>142.71</v>
      </c>
      <c r="O131" s="63">
        <f t="shared" si="15"/>
        <v>149.88999999999999</v>
      </c>
    </row>
    <row r="132" spans="1:15">
      <c r="A132" s="9" t="s">
        <v>240</v>
      </c>
      <c r="B132" s="64">
        <f t="shared" si="8"/>
        <v>0.127</v>
      </c>
      <c r="C132" s="31">
        <v>5</v>
      </c>
      <c r="D132" s="13" t="s">
        <v>25</v>
      </c>
      <c r="E132" s="13" t="s">
        <v>244</v>
      </c>
      <c r="F132" s="32" t="s">
        <v>84</v>
      </c>
      <c r="G132" s="336">
        <v>13.333</v>
      </c>
      <c r="H132" s="15">
        <f t="shared" si="9"/>
        <v>160</v>
      </c>
      <c r="I132" s="68">
        <f t="shared" si="10"/>
        <v>177.73</v>
      </c>
      <c r="J132" s="15">
        <f t="shared" si="11"/>
        <v>186.66</v>
      </c>
      <c r="K132" s="337"/>
      <c r="L132" s="63">
        <f t="shared" si="12"/>
        <v>153.36000000000001</v>
      </c>
      <c r="M132" s="63">
        <f t="shared" si="13"/>
        <v>106.67</v>
      </c>
      <c r="N132" s="63">
        <f t="shared" si="14"/>
        <v>118.49</v>
      </c>
      <c r="O132" s="63">
        <f t="shared" si="15"/>
        <v>124.44</v>
      </c>
    </row>
    <row r="133" spans="1:15">
      <c r="A133" s="9" t="s">
        <v>240</v>
      </c>
      <c r="B133" s="64">
        <f t="shared" si="8"/>
        <v>0.127</v>
      </c>
      <c r="C133" s="31">
        <v>5</v>
      </c>
      <c r="D133" s="13" t="s">
        <v>25</v>
      </c>
      <c r="E133" s="13" t="s">
        <v>244</v>
      </c>
      <c r="F133" s="32" t="s">
        <v>166</v>
      </c>
      <c r="G133" s="336">
        <v>16.085999999999999</v>
      </c>
      <c r="H133" s="15">
        <f t="shared" si="9"/>
        <v>193.03</v>
      </c>
      <c r="I133" s="68">
        <f t="shared" si="10"/>
        <v>214.43</v>
      </c>
      <c r="J133" s="15">
        <f t="shared" si="11"/>
        <v>225.2</v>
      </c>
      <c r="K133" s="337"/>
      <c r="L133" s="63">
        <f t="shared" si="12"/>
        <v>185.02</v>
      </c>
      <c r="M133" s="63">
        <f t="shared" si="13"/>
        <v>128.69</v>
      </c>
      <c r="N133" s="63">
        <f t="shared" si="14"/>
        <v>142.94999999999999</v>
      </c>
      <c r="O133" s="63">
        <f t="shared" si="15"/>
        <v>150.13</v>
      </c>
    </row>
    <row r="134" spans="1:15">
      <c r="A134" s="9" t="s">
        <v>240</v>
      </c>
      <c r="B134" s="64">
        <f t="shared" si="8"/>
        <v>0.127</v>
      </c>
      <c r="C134" s="31">
        <v>5</v>
      </c>
      <c r="D134" s="13" t="s">
        <v>25</v>
      </c>
      <c r="E134" s="13" t="s">
        <v>244</v>
      </c>
      <c r="F134" s="32" t="s">
        <v>117</v>
      </c>
      <c r="G134" s="336">
        <v>16.085999999999999</v>
      </c>
      <c r="H134" s="15">
        <f t="shared" si="9"/>
        <v>193.03</v>
      </c>
      <c r="I134" s="68">
        <f t="shared" si="10"/>
        <v>214.43</v>
      </c>
      <c r="J134" s="15">
        <f t="shared" si="11"/>
        <v>225.2</v>
      </c>
      <c r="K134" s="337"/>
      <c r="L134" s="63">
        <f t="shared" si="12"/>
        <v>185.02</v>
      </c>
      <c r="M134" s="63">
        <f t="shared" si="13"/>
        <v>128.69</v>
      </c>
      <c r="N134" s="63">
        <f t="shared" si="14"/>
        <v>142.94999999999999</v>
      </c>
      <c r="O134" s="63">
        <f t="shared" si="15"/>
        <v>150.13</v>
      </c>
    </row>
    <row r="135" spans="1:15">
      <c r="A135" s="9" t="s">
        <v>240</v>
      </c>
      <c r="B135" s="64">
        <f t="shared" si="8"/>
        <v>0.127</v>
      </c>
      <c r="C135" s="31">
        <v>5</v>
      </c>
      <c r="D135" s="13" t="s">
        <v>25</v>
      </c>
      <c r="E135" s="13" t="s">
        <v>244</v>
      </c>
      <c r="F135" s="32" t="s">
        <v>86</v>
      </c>
      <c r="G135" s="336">
        <v>16.096</v>
      </c>
      <c r="H135" s="15">
        <f t="shared" si="9"/>
        <v>193.15</v>
      </c>
      <c r="I135" s="68">
        <f t="shared" si="10"/>
        <v>214.56</v>
      </c>
      <c r="J135" s="15">
        <f t="shared" si="11"/>
        <v>225.34</v>
      </c>
      <c r="K135" s="337"/>
      <c r="L135" s="63">
        <f t="shared" si="12"/>
        <v>185.14</v>
      </c>
      <c r="M135" s="63">
        <f t="shared" si="13"/>
        <v>128.77000000000001</v>
      </c>
      <c r="N135" s="63">
        <f t="shared" si="14"/>
        <v>143.04</v>
      </c>
      <c r="O135" s="63">
        <f t="shared" si="15"/>
        <v>150.22999999999999</v>
      </c>
    </row>
    <row r="136" spans="1:15">
      <c r="A136" s="9" t="s">
        <v>240</v>
      </c>
      <c r="B136" s="64">
        <f t="shared" si="8"/>
        <v>0.152</v>
      </c>
      <c r="C136" s="31">
        <v>6</v>
      </c>
      <c r="D136" s="13" t="s">
        <v>25</v>
      </c>
      <c r="E136" s="13" t="s">
        <v>244</v>
      </c>
      <c r="F136" s="32" t="s">
        <v>117</v>
      </c>
      <c r="G136" s="336">
        <v>16.239999999999998</v>
      </c>
      <c r="H136" s="15">
        <f t="shared" si="9"/>
        <v>194.88</v>
      </c>
      <c r="I136" s="68">
        <f t="shared" si="10"/>
        <v>216.48</v>
      </c>
      <c r="J136" s="15">
        <f t="shared" si="11"/>
        <v>227.36</v>
      </c>
      <c r="K136" s="337"/>
      <c r="L136" s="63">
        <f t="shared" si="12"/>
        <v>186.8</v>
      </c>
      <c r="M136" s="63">
        <f t="shared" si="13"/>
        <v>129.91999999999999</v>
      </c>
      <c r="N136" s="63">
        <f t="shared" si="14"/>
        <v>144.32</v>
      </c>
      <c r="O136" s="63">
        <f t="shared" si="15"/>
        <v>151.57</v>
      </c>
    </row>
    <row r="137" spans="1:15">
      <c r="A137" s="9" t="s">
        <v>240</v>
      </c>
      <c r="B137" s="64">
        <f t="shared" si="8"/>
        <v>0.152</v>
      </c>
      <c r="C137" s="31">
        <v>6</v>
      </c>
      <c r="D137" s="13" t="s">
        <v>25</v>
      </c>
      <c r="E137" s="13" t="s">
        <v>244</v>
      </c>
      <c r="F137" s="32" t="s">
        <v>86</v>
      </c>
      <c r="G137" s="336">
        <v>16.096</v>
      </c>
      <c r="H137" s="15">
        <f t="shared" si="9"/>
        <v>193.15</v>
      </c>
      <c r="I137" s="68">
        <f t="shared" si="10"/>
        <v>214.56</v>
      </c>
      <c r="J137" s="15">
        <f t="shared" si="11"/>
        <v>225.34</v>
      </c>
      <c r="K137" s="337"/>
      <c r="L137" s="63">
        <f t="shared" si="12"/>
        <v>185.14</v>
      </c>
      <c r="M137" s="63">
        <f t="shared" si="13"/>
        <v>128.77000000000001</v>
      </c>
      <c r="N137" s="63">
        <f t="shared" si="14"/>
        <v>143.04</v>
      </c>
      <c r="O137" s="63">
        <f t="shared" si="15"/>
        <v>150.22999999999999</v>
      </c>
    </row>
    <row r="138" spans="1:15">
      <c r="A138" s="9" t="s">
        <v>240</v>
      </c>
      <c r="B138" s="64">
        <f t="shared" si="8"/>
        <v>0.17799999999999999</v>
      </c>
      <c r="C138" s="31">
        <v>7</v>
      </c>
      <c r="D138" s="13" t="s">
        <v>25</v>
      </c>
      <c r="E138" s="13" t="s">
        <v>244</v>
      </c>
      <c r="F138" s="32" t="s">
        <v>117</v>
      </c>
      <c r="G138" s="336">
        <v>16.393999999999998</v>
      </c>
      <c r="H138" s="15">
        <f t="shared" si="9"/>
        <v>196.73</v>
      </c>
      <c r="I138" s="68">
        <f t="shared" si="10"/>
        <v>218.53</v>
      </c>
      <c r="J138" s="15">
        <f t="shared" si="11"/>
        <v>229.52</v>
      </c>
      <c r="K138" s="337"/>
      <c r="L138" s="63">
        <f t="shared" si="12"/>
        <v>188.58</v>
      </c>
      <c r="M138" s="63">
        <f t="shared" si="13"/>
        <v>131.15</v>
      </c>
      <c r="N138" s="63">
        <f t="shared" si="14"/>
        <v>145.69</v>
      </c>
      <c r="O138" s="63">
        <f t="shared" si="15"/>
        <v>153.01</v>
      </c>
    </row>
    <row r="139" spans="1:15">
      <c r="A139" s="9" t="s">
        <v>240</v>
      </c>
      <c r="B139" s="64">
        <f t="shared" si="8"/>
        <v>0.17799999999999999</v>
      </c>
      <c r="C139" s="31">
        <v>7</v>
      </c>
      <c r="D139" s="13" t="s">
        <v>25</v>
      </c>
      <c r="E139" s="13" t="s">
        <v>244</v>
      </c>
      <c r="F139" s="32" t="s">
        <v>87</v>
      </c>
      <c r="G139" s="336">
        <v>16.338000000000001</v>
      </c>
      <c r="H139" s="15">
        <f t="shared" si="9"/>
        <v>196.06</v>
      </c>
      <c r="I139" s="68">
        <f t="shared" si="10"/>
        <v>217.79</v>
      </c>
      <c r="J139" s="15">
        <f t="shared" si="11"/>
        <v>228.73</v>
      </c>
      <c r="K139" s="337"/>
      <c r="L139" s="63">
        <f t="shared" si="12"/>
        <v>187.93</v>
      </c>
      <c r="M139" s="63">
        <f t="shared" si="13"/>
        <v>130.71</v>
      </c>
      <c r="N139" s="63">
        <f t="shared" si="14"/>
        <v>145.19</v>
      </c>
      <c r="O139" s="63">
        <f t="shared" si="15"/>
        <v>152.49</v>
      </c>
    </row>
    <row r="140" spans="1:15">
      <c r="A140" s="9" t="s">
        <v>240</v>
      </c>
      <c r="B140" s="64">
        <f t="shared" si="8"/>
        <v>0.20300000000000001</v>
      </c>
      <c r="C140" s="31">
        <v>8</v>
      </c>
      <c r="D140" s="13" t="s">
        <v>25</v>
      </c>
      <c r="E140" s="13" t="s">
        <v>244</v>
      </c>
      <c r="F140" s="32" t="s">
        <v>87</v>
      </c>
      <c r="G140" s="336">
        <v>16.637</v>
      </c>
      <c r="H140" s="15">
        <f t="shared" si="9"/>
        <v>199.64</v>
      </c>
      <c r="I140" s="68">
        <f t="shared" si="10"/>
        <v>221.77</v>
      </c>
      <c r="J140" s="15">
        <f t="shared" si="11"/>
        <v>232.92</v>
      </c>
      <c r="K140" s="337"/>
      <c r="L140" s="63">
        <f t="shared" si="12"/>
        <v>191.36</v>
      </c>
      <c r="M140" s="63">
        <f t="shared" si="13"/>
        <v>133.09</v>
      </c>
      <c r="N140" s="63">
        <f t="shared" si="14"/>
        <v>147.85</v>
      </c>
      <c r="O140" s="63">
        <f t="shared" si="15"/>
        <v>155.28</v>
      </c>
    </row>
    <row r="141" spans="1:15">
      <c r="A141" s="9" t="s">
        <v>240</v>
      </c>
      <c r="B141" s="64">
        <f t="shared" si="8"/>
        <v>0.254</v>
      </c>
      <c r="C141" s="31">
        <v>10</v>
      </c>
      <c r="D141" s="13" t="s">
        <v>25</v>
      </c>
      <c r="E141" s="13" t="s">
        <v>244</v>
      </c>
      <c r="F141" s="32" t="s">
        <v>89</v>
      </c>
      <c r="G141" s="336">
        <v>17.507999999999999</v>
      </c>
      <c r="H141" s="15">
        <f t="shared" ref="H141:H204" si="16">ROUND(G141*12,2)</f>
        <v>210.1</v>
      </c>
      <c r="I141" s="68">
        <f t="shared" ref="I141:I204" si="17">ROUND(G141*13.33,2)</f>
        <v>233.38</v>
      </c>
      <c r="J141" s="15">
        <f t="shared" ref="J141:J204" si="18">ROUND(G141*14,2)</f>
        <v>245.11</v>
      </c>
      <c r="K141" s="337"/>
      <c r="L141" s="63">
        <f t="shared" ref="L141:L204" si="19">ROUND(ROUND(ROUND(G141*12,2)*43/48,2)*1.07,2)</f>
        <v>201.38</v>
      </c>
      <c r="M141" s="63">
        <f t="shared" ref="M141:M204" si="20">ROUND(ROUND(G141*12,2)*2/3,2)</f>
        <v>140.07</v>
      </c>
      <c r="N141" s="63">
        <f t="shared" ref="N141:N204" si="21">ROUND(ROUND(G141*13.33,2)*2/3,2)</f>
        <v>155.59</v>
      </c>
      <c r="O141" s="63">
        <f t="shared" ref="O141:O204" si="22">ROUND(ROUND(G141*14,2)*2/3,2)</f>
        <v>163.41</v>
      </c>
    </row>
    <row r="142" spans="1:15">
      <c r="A142" s="9" t="s">
        <v>240</v>
      </c>
      <c r="B142" s="64">
        <f t="shared" si="8"/>
        <v>0.30499999999999999</v>
      </c>
      <c r="C142" s="31">
        <v>12</v>
      </c>
      <c r="D142" s="13" t="s">
        <v>25</v>
      </c>
      <c r="E142" s="13" t="s">
        <v>244</v>
      </c>
      <c r="F142" s="32" t="s">
        <v>167</v>
      </c>
      <c r="G142" s="336">
        <v>22.85</v>
      </c>
      <c r="H142" s="15">
        <f t="shared" si="16"/>
        <v>274.2</v>
      </c>
      <c r="I142" s="68">
        <f t="shared" si="17"/>
        <v>304.58999999999997</v>
      </c>
      <c r="J142" s="15">
        <f t="shared" si="18"/>
        <v>319.89999999999998</v>
      </c>
      <c r="K142" s="337"/>
      <c r="L142" s="63">
        <f t="shared" si="19"/>
        <v>262.83</v>
      </c>
      <c r="M142" s="63">
        <f t="shared" si="20"/>
        <v>182.8</v>
      </c>
      <c r="N142" s="63">
        <f t="shared" si="21"/>
        <v>203.06</v>
      </c>
      <c r="O142" s="63">
        <f t="shared" si="22"/>
        <v>213.27</v>
      </c>
    </row>
    <row r="143" spans="1:15">
      <c r="A143" s="9" t="s">
        <v>240</v>
      </c>
      <c r="B143" s="64">
        <f t="shared" si="8"/>
        <v>0.38100000000000001</v>
      </c>
      <c r="C143" s="31">
        <v>15</v>
      </c>
      <c r="D143" s="13" t="s">
        <v>25</v>
      </c>
      <c r="E143" s="13" t="s">
        <v>244</v>
      </c>
      <c r="F143" s="32" t="s">
        <v>219</v>
      </c>
      <c r="G143" s="336">
        <v>28.152000000000001</v>
      </c>
      <c r="H143" s="15">
        <f t="shared" si="16"/>
        <v>337.82</v>
      </c>
      <c r="I143" s="68">
        <f t="shared" si="17"/>
        <v>375.27</v>
      </c>
      <c r="J143" s="15">
        <f t="shared" si="18"/>
        <v>394.13</v>
      </c>
      <c r="K143" s="337"/>
      <c r="L143" s="63">
        <f t="shared" si="19"/>
        <v>323.81</v>
      </c>
      <c r="M143" s="63">
        <f t="shared" si="20"/>
        <v>225.21</v>
      </c>
      <c r="N143" s="63">
        <f t="shared" si="21"/>
        <v>250.18</v>
      </c>
      <c r="O143" s="63">
        <f t="shared" si="22"/>
        <v>262.75</v>
      </c>
    </row>
    <row r="144" spans="1:15">
      <c r="A144" s="9" t="s">
        <v>240</v>
      </c>
      <c r="B144" s="64">
        <f t="shared" si="8"/>
        <v>0.40600000000000003</v>
      </c>
      <c r="C144" s="31">
        <v>16</v>
      </c>
      <c r="D144" s="13" t="s">
        <v>25</v>
      </c>
      <c r="E144" s="13" t="s">
        <v>244</v>
      </c>
      <c r="F144" s="32" t="s">
        <v>219</v>
      </c>
      <c r="G144" s="336">
        <v>28.724</v>
      </c>
      <c r="H144" s="15">
        <f t="shared" si="16"/>
        <v>344.69</v>
      </c>
      <c r="I144" s="68">
        <f t="shared" si="17"/>
        <v>382.89</v>
      </c>
      <c r="J144" s="15">
        <f t="shared" si="18"/>
        <v>402.14</v>
      </c>
      <c r="K144" s="337"/>
      <c r="L144" s="63">
        <f t="shared" si="19"/>
        <v>330.39</v>
      </c>
      <c r="M144" s="63">
        <f t="shared" si="20"/>
        <v>229.79</v>
      </c>
      <c r="N144" s="63">
        <f t="shared" si="21"/>
        <v>255.26</v>
      </c>
      <c r="O144" s="63">
        <f t="shared" si="22"/>
        <v>268.08999999999997</v>
      </c>
    </row>
    <row r="145" spans="1:15">
      <c r="A145" s="9" t="s">
        <v>240</v>
      </c>
      <c r="B145" s="64">
        <f t="shared" si="8"/>
        <v>0.40600000000000003</v>
      </c>
      <c r="C145" s="31">
        <v>16</v>
      </c>
      <c r="D145" s="13" t="s">
        <v>25</v>
      </c>
      <c r="E145" s="13" t="s">
        <v>244</v>
      </c>
      <c r="F145" s="32" t="s">
        <v>129</v>
      </c>
      <c r="G145" s="336">
        <v>28.724</v>
      </c>
      <c r="H145" s="15">
        <f t="shared" si="16"/>
        <v>344.69</v>
      </c>
      <c r="I145" s="68">
        <f t="shared" si="17"/>
        <v>382.89</v>
      </c>
      <c r="J145" s="15">
        <f t="shared" si="18"/>
        <v>402.14</v>
      </c>
      <c r="K145" s="337"/>
      <c r="L145" s="63">
        <f t="shared" si="19"/>
        <v>330.39</v>
      </c>
      <c r="M145" s="63">
        <f t="shared" si="20"/>
        <v>229.79</v>
      </c>
      <c r="N145" s="63">
        <f t="shared" si="21"/>
        <v>255.26</v>
      </c>
      <c r="O145" s="63">
        <f t="shared" si="22"/>
        <v>268.08999999999997</v>
      </c>
    </row>
    <row r="146" spans="1:15">
      <c r="A146" s="9" t="s">
        <v>240</v>
      </c>
      <c r="B146" s="64">
        <f t="shared" si="8"/>
        <v>0.50800000000000001</v>
      </c>
      <c r="C146" s="31">
        <v>20</v>
      </c>
      <c r="D146" s="13" t="s">
        <v>25</v>
      </c>
      <c r="E146" s="13" t="s">
        <v>244</v>
      </c>
      <c r="F146" s="32" t="s">
        <v>129</v>
      </c>
      <c r="G146" s="336">
        <v>30.44</v>
      </c>
      <c r="H146" s="15">
        <f t="shared" si="16"/>
        <v>365.28</v>
      </c>
      <c r="I146" s="68">
        <f t="shared" si="17"/>
        <v>405.77</v>
      </c>
      <c r="J146" s="15">
        <f t="shared" si="18"/>
        <v>426.16</v>
      </c>
      <c r="K146" s="337"/>
      <c r="L146" s="63">
        <f t="shared" si="19"/>
        <v>350.14</v>
      </c>
      <c r="M146" s="63">
        <f t="shared" si="20"/>
        <v>243.52</v>
      </c>
      <c r="N146" s="63">
        <f t="shared" si="21"/>
        <v>270.51</v>
      </c>
      <c r="O146" s="63">
        <f t="shared" si="22"/>
        <v>284.11</v>
      </c>
    </row>
    <row r="147" spans="1:15">
      <c r="A147" s="9" t="s">
        <v>240</v>
      </c>
      <c r="B147" s="64">
        <f t="shared" si="8"/>
        <v>0.50800000000000001</v>
      </c>
      <c r="C147" s="31">
        <v>20</v>
      </c>
      <c r="D147" s="13" t="s">
        <v>25</v>
      </c>
      <c r="E147" s="13" t="s">
        <v>244</v>
      </c>
      <c r="F147" s="32" t="s">
        <v>91</v>
      </c>
      <c r="G147" s="336">
        <v>33.533999999999999</v>
      </c>
      <c r="H147" s="15">
        <f t="shared" si="16"/>
        <v>402.41</v>
      </c>
      <c r="I147" s="68">
        <f t="shared" si="17"/>
        <v>447.01</v>
      </c>
      <c r="J147" s="15">
        <f t="shared" si="18"/>
        <v>469.48</v>
      </c>
      <c r="K147" s="337"/>
      <c r="L147" s="63">
        <f t="shared" si="19"/>
        <v>385.72</v>
      </c>
      <c r="M147" s="63">
        <f t="shared" si="20"/>
        <v>268.27</v>
      </c>
      <c r="N147" s="63">
        <f t="shared" si="21"/>
        <v>298.01</v>
      </c>
      <c r="O147" s="63">
        <f t="shared" si="22"/>
        <v>312.99</v>
      </c>
    </row>
    <row r="148" spans="1:15">
      <c r="A148" s="9" t="s">
        <v>240</v>
      </c>
      <c r="B148" s="64">
        <f t="shared" si="8"/>
        <v>0.61</v>
      </c>
      <c r="C148" s="31">
        <v>24</v>
      </c>
      <c r="D148" s="13" t="s">
        <v>25</v>
      </c>
      <c r="E148" s="13" t="s">
        <v>244</v>
      </c>
      <c r="F148" s="32" t="s">
        <v>91</v>
      </c>
      <c r="G148" s="336">
        <v>33.949999999999996</v>
      </c>
      <c r="H148" s="15">
        <f t="shared" si="16"/>
        <v>407.4</v>
      </c>
      <c r="I148" s="68">
        <f t="shared" si="17"/>
        <v>452.55</v>
      </c>
      <c r="J148" s="15">
        <f t="shared" si="18"/>
        <v>475.3</v>
      </c>
      <c r="K148" s="337"/>
      <c r="L148" s="63">
        <f t="shared" si="19"/>
        <v>390.51</v>
      </c>
      <c r="M148" s="63">
        <f t="shared" si="20"/>
        <v>271.60000000000002</v>
      </c>
      <c r="N148" s="63">
        <f t="shared" si="21"/>
        <v>301.7</v>
      </c>
      <c r="O148" s="63">
        <f t="shared" si="22"/>
        <v>316.87</v>
      </c>
    </row>
    <row r="149" spans="1:15">
      <c r="A149" s="9" t="s">
        <v>240</v>
      </c>
      <c r="B149" s="64">
        <f t="shared" si="8"/>
        <v>0.63500000000000001</v>
      </c>
      <c r="C149" s="31">
        <v>25</v>
      </c>
      <c r="D149" s="13" t="s">
        <v>25</v>
      </c>
      <c r="E149" s="13" t="s">
        <v>244</v>
      </c>
      <c r="F149" s="32" t="s">
        <v>88</v>
      </c>
      <c r="G149" s="336">
        <v>35.204999999999998</v>
      </c>
      <c r="H149" s="15">
        <f t="shared" si="16"/>
        <v>422.46</v>
      </c>
      <c r="I149" s="68">
        <f t="shared" si="17"/>
        <v>469.28</v>
      </c>
      <c r="J149" s="15">
        <f t="shared" si="18"/>
        <v>492.87</v>
      </c>
      <c r="K149" s="337"/>
      <c r="L149" s="63">
        <f t="shared" si="19"/>
        <v>404.94</v>
      </c>
      <c r="M149" s="63">
        <f t="shared" si="20"/>
        <v>281.64</v>
      </c>
      <c r="N149" s="63">
        <f t="shared" si="21"/>
        <v>312.85000000000002</v>
      </c>
      <c r="O149" s="63">
        <f t="shared" si="22"/>
        <v>328.58</v>
      </c>
    </row>
    <row r="150" spans="1:15">
      <c r="A150" s="9" t="s">
        <v>240</v>
      </c>
      <c r="B150" s="64">
        <f t="shared" si="8"/>
        <v>0.76200000000000001</v>
      </c>
      <c r="C150" s="31">
        <v>30</v>
      </c>
      <c r="D150" s="13" t="s">
        <v>25</v>
      </c>
      <c r="E150" s="13" t="s">
        <v>244</v>
      </c>
      <c r="F150" s="32" t="s">
        <v>131</v>
      </c>
      <c r="G150" s="336">
        <v>44.48</v>
      </c>
      <c r="H150" s="15">
        <f t="shared" si="16"/>
        <v>533.76</v>
      </c>
      <c r="I150" s="68">
        <f t="shared" si="17"/>
        <v>592.91999999999996</v>
      </c>
      <c r="J150" s="15">
        <f t="shared" si="18"/>
        <v>622.72</v>
      </c>
      <c r="K150" s="337"/>
      <c r="L150" s="63">
        <f t="shared" si="19"/>
        <v>511.63</v>
      </c>
      <c r="M150" s="63">
        <f t="shared" si="20"/>
        <v>355.84</v>
      </c>
      <c r="N150" s="63">
        <f t="shared" si="21"/>
        <v>395.28</v>
      </c>
      <c r="O150" s="63">
        <f t="shared" si="22"/>
        <v>415.15</v>
      </c>
    </row>
    <row r="151" spans="1:15">
      <c r="A151" s="9" t="s">
        <v>242</v>
      </c>
      <c r="B151" s="64">
        <f t="shared" si="8"/>
        <v>5.0999999999999997E-2</v>
      </c>
      <c r="C151" s="31">
        <v>2</v>
      </c>
      <c r="D151" s="12" t="s">
        <v>28</v>
      </c>
      <c r="E151" s="13" t="s">
        <v>244</v>
      </c>
      <c r="F151" s="32" t="s">
        <v>217</v>
      </c>
      <c r="G151" s="336">
        <v>16.027000000000001</v>
      </c>
      <c r="H151" s="15">
        <f t="shared" si="16"/>
        <v>192.32</v>
      </c>
      <c r="I151" s="68">
        <f t="shared" si="17"/>
        <v>213.64</v>
      </c>
      <c r="J151" s="15">
        <f t="shared" si="18"/>
        <v>224.38</v>
      </c>
      <c r="K151" s="337"/>
      <c r="L151" s="63">
        <f t="shared" si="19"/>
        <v>184.35</v>
      </c>
      <c r="M151" s="63">
        <f t="shared" si="20"/>
        <v>128.21</v>
      </c>
      <c r="N151" s="63">
        <f t="shared" si="21"/>
        <v>142.43</v>
      </c>
      <c r="O151" s="63">
        <f t="shared" si="22"/>
        <v>149.59</v>
      </c>
    </row>
    <row r="152" spans="1:15">
      <c r="A152" s="9" t="s">
        <v>240</v>
      </c>
      <c r="B152" s="64">
        <f t="shared" si="8"/>
        <v>6.4000000000000001E-2</v>
      </c>
      <c r="C152" s="31">
        <v>2.5</v>
      </c>
      <c r="D152" s="12" t="s">
        <v>28</v>
      </c>
      <c r="E152" s="13" t="s">
        <v>244</v>
      </c>
      <c r="F152" s="32" t="s">
        <v>122</v>
      </c>
      <c r="G152" s="336">
        <v>16.027000000000001</v>
      </c>
      <c r="H152" s="15">
        <f t="shared" si="16"/>
        <v>192.32</v>
      </c>
      <c r="I152" s="68">
        <f t="shared" si="17"/>
        <v>213.64</v>
      </c>
      <c r="J152" s="15">
        <f t="shared" si="18"/>
        <v>224.38</v>
      </c>
      <c r="K152" s="337"/>
      <c r="L152" s="63">
        <f t="shared" si="19"/>
        <v>184.35</v>
      </c>
      <c r="M152" s="63">
        <f t="shared" si="20"/>
        <v>128.21</v>
      </c>
      <c r="N152" s="63">
        <f t="shared" si="21"/>
        <v>142.43</v>
      </c>
      <c r="O152" s="63">
        <f t="shared" si="22"/>
        <v>149.59</v>
      </c>
    </row>
    <row r="153" spans="1:15">
      <c r="A153" s="9" t="s">
        <v>240</v>
      </c>
      <c r="B153" s="64">
        <f t="shared" si="8"/>
        <v>7.5999999999999998E-2</v>
      </c>
      <c r="C153" s="31">
        <v>3</v>
      </c>
      <c r="D153" s="12" t="s">
        <v>28</v>
      </c>
      <c r="E153" s="13" t="s">
        <v>244</v>
      </c>
      <c r="F153" s="32" t="s">
        <v>81</v>
      </c>
      <c r="G153" s="336">
        <v>16.285</v>
      </c>
      <c r="H153" s="15">
        <f t="shared" si="16"/>
        <v>195.42</v>
      </c>
      <c r="I153" s="68">
        <f t="shared" si="17"/>
        <v>217.08</v>
      </c>
      <c r="J153" s="15">
        <f t="shared" si="18"/>
        <v>227.99</v>
      </c>
      <c r="K153" s="337"/>
      <c r="L153" s="63">
        <f t="shared" si="19"/>
        <v>187.31</v>
      </c>
      <c r="M153" s="63">
        <f t="shared" si="20"/>
        <v>130.28</v>
      </c>
      <c r="N153" s="63">
        <f t="shared" si="21"/>
        <v>144.72</v>
      </c>
      <c r="O153" s="63">
        <f t="shared" si="22"/>
        <v>151.99</v>
      </c>
    </row>
    <row r="154" spans="1:15">
      <c r="A154" s="9" t="s">
        <v>240</v>
      </c>
      <c r="B154" s="64">
        <f t="shared" si="8"/>
        <v>7.5999999999999998E-2</v>
      </c>
      <c r="C154" s="31">
        <v>3</v>
      </c>
      <c r="D154" s="12" t="s">
        <v>28</v>
      </c>
      <c r="E154" s="13" t="s">
        <v>244</v>
      </c>
      <c r="F154" s="32" t="s">
        <v>122</v>
      </c>
      <c r="G154" s="336">
        <v>16.027000000000001</v>
      </c>
      <c r="H154" s="15">
        <f t="shared" si="16"/>
        <v>192.32</v>
      </c>
      <c r="I154" s="68">
        <f t="shared" si="17"/>
        <v>213.64</v>
      </c>
      <c r="J154" s="15">
        <f t="shared" si="18"/>
        <v>224.38</v>
      </c>
      <c r="K154" s="337"/>
      <c r="L154" s="63">
        <f t="shared" si="19"/>
        <v>184.35</v>
      </c>
      <c r="M154" s="63">
        <f t="shared" si="20"/>
        <v>128.21</v>
      </c>
      <c r="N154" s="63">
        <f t="shared" si="21"/>
        <v>142.43</v>
      </c>
      <c r="O154" s="63">
        <f t="shared" si="22"/>
        <v>149.59</v>
      </c>
    </row>
    <row r="155" spans="1:15">
      <c r="A155" s="9" t="s">
        <v>240</v>
      </c>
      <c r="B155" s="64">
        <f t="shared" si="8"/>
        <v>7.5999999999999998E-2</v>
      </c>
      <c r="C155" s="31">
        <v>3</v>
      </c>
      <c r="D155" s="12" t="s">
        <v>28</v>
      </c>
      <c r="E155" s="13" t="s">
        <v>244</v>
      </c>
      <c r="F155" s="32" t="s">
        <v>123</v>
      </c>
      <c r="G155" s="336">
        <v>16.027000000000001</v>
      </c>
      <c r="H155" s="15">
        <f t="shared" si="16"/>
        <v>192.32</v>
      </c>
      <c r="I155" s="68">
        <f t="shared" si="17"/>
        <v>213.64</v>
      </c>
      <c r="J155" s="15">
        <f t="shared" si="18"/>
        <v>224.38</v>
      </c>
      <c r="K155" s="337"/>
      <c r="L155" s="63">
        <f t="shared" si="19"/>
        <v>184.35</v>
      </c>
      <c r="M155" s="63">
        <f t="shared" si="20"/>
        <v>128.21</v>
      </c>
      <c r="N155" s="63">
        <f t="shared" si="21"/>
        <v>142.43</v>
      </c>
      <c r="O155" s="63">
        <f t="shared" si="22"/>
        <v>149.59</v>
      </c>
    </row>
    <row r="156" spans="1:15">
      <c r="A156" s="9" t="s">
        <v>240</v>
      </c>
      <c r="B156" s="64">
        <f t="shared" si="8"/>
        <v>7.5999999999999998E-2</v>
      </c>
      <c r="C156" s="31">
        <v>3</v>
      </c>
      <c r="D156" s="12" t="s">
        <v>28</v>
      </c>
      <c r="E156" s="13" t="s">
        <v>244</v>
      </c>
      <c r="F156" s="32" t="s">
        <v>140</v>
      </c>
      <c r="G156" s="336">
        <v>20.656000000000002</v>
      </c>
      <c r="H156" s="15">
        <f t="shared" si="16"/>
        <v>247.87</v>
      </c>
      <c r="I156" s="68">
        <f t="shared" si="17"/>
        <v>275.33999999999997</v>
      </c>
      <c r="J156" s="15">
        <f t="shared" si="18"/>
        <v>289.18</v>
      </c>
      <c r="K156" s="337"/>
      <c r="L156" s="63">
        <f t="shared" si="19"/>
        <v>237.59</v>
      </c>
      <c r="M156" s="63">
        <f t="shared" si="20"/>
        <v>165.25</v>
      </c>
      <c r="N156" s="63">
        <f t="shared" si="21"/>
        <v>183.56</v>
      </c>
      <c r="O156" s="63">
        <f t="shared" si="22"/>
        <v>192.79</v>
      </c>
    </row>
    <row r="157" spans="1:15">
      <c r="A157" s="9" t="s">
        <v>240</v>
      </c>
      <c r="B157" s="64">
        <f t="shared" si="8"/>
        <v>8.8999999999999996E-2</v>
      </c>
      <c r="C157" s="31">
        <v>3.5</v>
      </c>
      <c r="D157" s="12" t="s">
        <v>28</v>
      </c>
      <c r="E157" s="13" t="s">
        <v>244</v>
      </c>
      <c r="F157" s="32" t="s">
        <v>81</v>
      </c>
      <c r="G157" s="336">
        <v>16.145</v>
      </c>
      <c r="H157" s="15">
        <f t="shared" si="16"/>
        <v>193.74</v>
      </c>
      <c r="I157" s="68">
        <f t="shared" si="17"/>
        <v>215.21</v>
      </c>
      <c r="J157" s="15">
        <f t="shared" si="18"/>
        <v>226.03</v>
      </c>
      <c r="K157" s="337"/>
      <c r="L157" s="63">
        <f t="shared" si="19"/>
        <v>185.71</v>
      </c>
      <c r="M157" s="63">
        <f t="shared" si="20"/>
        <v>129.16</v>
      </c>
      <c r="N157" s="63">
        <f t="shared" si="21"/>
        <v>143.47</v>
      </c>
      <c r="O157" s="63">
        <f t="shared" si="22"/>
        <v>150.69</v>
      </c>
    </row>
    <row r="158" spans="1:15">
      <c r="A158" s="9" t="s">
        <v>240</v>
      </c>
      <c r="B158" s="64">
        <f t="shared" si="8"/>
        <v>8.8999999999999996E-2</v>
      </c>
      <c r="C158" s="31">
        <v>3.5</v>
      </c>
      <c r="D158" s="12" t="s">
        <v>28</v>
      </c>
      <c r="E158" s="13" t="s">
        <v>244</v>
      </c>
      <c r="F158" s="32" t="s">
        <v>122</v>
      </c>
      <c r="G158" s="336">
        <v>16.07</v>
      </c>
      <c r="H158" s="15">
        <f t="shared" si="16"/>
        <v>192.84</v>
      </c>
      <c r="I158" s="68">
        <f t="shared" si="17"/>
        <v>214.21</v>
      </c>
      <c r="J158" s="15">
        <f t="shared" si="18"/>
        <v>224.98</v>
      </c>
      <c r="K158" s="337"/>
      <c r="L158" s="63">
        <f t="shared" si="19"/>
        <v>184.84</v>
      </c>
      <c r="M158" s="63">
        <f t="shared" si="20"/>
        <v>128.56</v>
      </c>
      <c r="N158" s="63">
        <f t="shared" si="21"/>
        <v>142.81</v>
      </c>
      <c r="O158" s="63">
        <f t="shared" si="22"/>
        <v>149.99</v>
      </c>
    </row>
    <row r="159" spans="1:15">
      <c r="A159" s="9" t="s">
        <v>240</v>
      </c>
      <c r="B159" s="64">
        <f t="shared" si="8"/>
        <v>8.8999999999999996E-2</v>
      </c>
      <c r="C159" s="31">
        <v>3.5</v>
      </c>
      <c r="D159" s="12" t="s">
        <v>28</v>
      </c>
      <c r="E159" s="13" t="s">
        <v>244</v>
      </c>
      <c r="F159" s="32" t="s">
        <v>123</v>
      </c>
      <c r="G159" s="336">
        <v>16.209</v>
      </c>
      <c r="H159" s="15">
        <f t="shared" si="16"/>
        <v>194.51</v>
      </c>
      <c r="I159" s="68">
        <f t="shared" si="17"/>
        <v>216.07</v>
      </c>
      <c r="J159" s="15">
        <f t="shared" si="18"/>
        <v>226.93</v>
      </c>
      <c r="K159" s="337"/>
      <c r="L159" s="63">
        <f t="shared" si="19"/>
        <v>186.45</v>
      </c>
      <c r="M159" s="63">
        <f t="shared" si="20"/>
        <v>129.66999999999999</v>
      </c>
      <c r="N159" s="63">
        <f t="shared" si="21"/>
        <v>144.05000000000001</v>
      </c>
      <c r="O159" s="63">
        <f t="shared" si="22"/>
        <v>151.29</v>
      </c>
    </row>
    <row r="160" spans="1:15">
      <c r="A160" s="9" t="s">
        <v>240</v>
      </c>
      <c r="B160" s="64">
        <f t="shared" si="8"/>
        <v>0.10199999999999999</v>
      </c>
      <c r="C160" s="31">
        <v>4</v>
      </c>
      <c r="D160" s="12" t="s">
        <v>28</v>
      </c>
      <c r="E160" s="13" t="s">
        <v>244</v>
      </c>
      <c r="F160" s="32" t="s">
        <v>123</v>
      </c>
      <c r="G160" s="336">
        <v>16.914999999999999</v>
      </c>
      <c r="H160" s="15">
        <f t="shared" si="16"/>
        <v>202.98</v>
      </c>
      <c r="I160" s="68">
        <f t="shared" si="17"/>
        <v>225.48</v>
      </c>
      <c r="J160" s="15">
        <f t="shared" si="18"/>
        <v>236.81</v>
      </c>
      <c r="K160" s="337"/>
      <c r="L160" s="63">
        <f t="shared" si="19"/>
        <v>194.57</v>
      </c>
      <c r="M160" s="63">
        <f t="shared" si="20"/>
        <v>135.32</v>
      </c>
      <c r="N160" s="63">
        <f t="shared" si="21"/>
        <v>150.32</v>
      </c>
      <c r="O160" s="63">
        <f t="shared" si="22"/>
        <v>157.87</v>
      </c>
    </row>
    <row r="161" spans="1:15">
      <c r="A161" s="9" t="s">
        <v>240</v>
      </c>
      <c r="B161" s="64">
        <f t="shared" si="8"/>
        <v>0.10199999999999999</v>
      </c>
      <c r="C161" s="31">
        <v>4</v>
      </c>
      <c r="D161" s="12" t="s">
        <v>28</v>
      </c>
      <c r="E161" s="13" t="s">
        <v>244</v>
      </c>
      <c r="F161" s="32" t="s">
        <v>122</v>
      </c>
      <c r="G161" s="336">
        <v>16.004000000000001</v>
      </c>
      <c r="H161" s="15">
        <f t="shared" si="16"/>
        <v>192.05</v>
      </c>
      <c r="I161" s="68">
        <f t="shared" si="17"/>
        <v>213.33</v>
      </c>
      <c r="J161" s="15">
        <f t="shared" si="18"/>
        <v>224.06</v>
      </c>
      <c r="K161" s="337"/>
      <c r="L161" s="63">
        <f t="shared" si="19"/>
        <v>184.08</v>
      </c>
      <c r="M161" s="63">
        <f t="shared" si="20"/>
        <v>128.03</v>
      </c>
      <c r="N161" s="63">
        <f t="shared" si="21"/>
        <v>142.22</v>
      </c>
      <c r="O161" s="63">
        <f t="shared" si="22"/>
        <v>149.37</v>
      </c>
    </row>
    <row r="162" spans="1:15">
      <c r="A162" s="9" t="s">
        <v>240</v>
      </c>
      <c r="B162" s="64">
        <f t="shared" si="8"/>
        <v>0.10199999999999999</v>
      </c>
      <c r="C162" s="31">
        <v>4</v>
      </c>
      <c r="D162" s="12" t="s">
        <v>28</v>
      </c>
      <c r="E162" s="13" t="s">
        <v>244</v>
      </c>
      <c r="F162" s="32" t="s">
        <v>83</v>
      </c>
      <c r="G162" s="336">
        <v>16.004000000000001</v>
      </c>
      <c r="H162" s="15">
        <f t="shared" si="16"/>
        <v>192.05</v>
      </c>
      <c r="I162" s="68">
        <f t="shared" si="17"/>
        <v>213.33</v>
      </c>
      <c r="J162" s="15">
        <f t="shared" si="18"/>
        <v>224.06</v>
      </c>
      <c r="K162" s="337"/>
      <c r="L162" s="63">
        <f t="shared" si="19"/>
        <v>184.08</v>
      </c>
      <c r="M162" s="63">
        <f t="shared" si="20"/>
        <v>128.03</v>
      </c>
      <c r="N162" s="63">
        <f t="shared" si="21"/>
        <v>142.22</v>
      </c>
      <c r="O162" s="63">
        <f t="shared" si="22"/>
        <v>149.37</v>
      </c>
    </row>
    <row r="163" spans="1:15">
      <c r="A163" s="9" t="s">
        <v>240</v>
      </c>
      <c r="B163" s="64">
        <f t="shared" si="8"/>
        <v>0.10199999999999999</v>
      </c>
      <c r="C163" s="31">
        <v>4</v>
      </c>
      <c r="D163" s="12" t="s">
        <v>28</v>
      </c>
      <c r="E163" s="13" t="s">
        <v>244</v>
      </c>
      <c r="F163" s="32" t="s">
        <v>84</v>
      </c>
      <c r="G163" s="336">
        <v>16.239999999999998</v>
      </c>
      <c r="H163" s="15">
        <f t="shared" si="16"/>
        <v>194.88</v>
      </c>
      <c r="I163" s="68">
        <f t="shared" si="17"/>
        <v>216.48</v>
      </c>
      <c r="J163" s="15">
        <f t="shared" si="18"/>
        <v>227.36</v>
      </c>
      <c r="K163" s="337"/>
      <c r="L163" s="63">
        <f t="shared" si="19"/>
        <v>186.8</v>
      </c>
      <c r="M163" s="63">
        <f t="shared" si="20"/>
        <v>129.91999999999999</v>
      </c>
      <c r="N163" s="63">
        <f t="shared" si="21"/>
        <v>144.32</v>
      </c>
      <c r="O163" s="63">
        <f t="shared" si="22"/>
        <v>151.57</v>
      </c>
    </row>
    <row r="164" spans="1:15">
      <c r="A164" s="9" t="s">
        <v>240</v>
      </c>
      <c r="B164" s="64">
        <f t="shared" si="8"/>
        <v>0.10199999999999999</v>
      </c>
      <c r="C164" s="31">
        <v>4</v>
      </c>
      <c r="D164" s="12" t="s">
        <v>65</v>
      </c>
      <c r="E164" s="13" t="s">
        <v>244</v>
      </c>
      <c r="F164" s="32" t="s">
        <v>166</v>
      </c>
      <c r="G164" s="336">
        <v>18.600000000000001</v>
      </c>
      <c r="H164" s="15">
        <f t="shared" si="16"/>
        <v>223.2</v>
      </c>
      <c r="I164" s="68">
        <f t="shared" si="17"/>
        <v>247.94</v>
      </c>
      <c r="J164" s="15">
        <f t="shared" si="18"/>
        <v>260.39999999999998</v>
      </c>
      <c r="K164" s="337"/>
      <c r="L164" s="63">
        <f t="shared" si="19"/>
        <v>213.95</v>
      </c>
      <c r="M164" s="63">
        <f t="shared" si="20"/>
        <v>148.80000000000001</v>
      </c>
      <c r="N164" s="63">
        <f t="shared" si="21"/>
        <v>165.29</v>
      </c>
      <c r="O164" s="63">
        <f t="shared" si="22"/>
        <v>173.6</v>
      </c>
    </row>
    <row r="165" spans="1:15">
      <c r="A165" s="9" t="s">
        <v>240</v>
      </c>
      <c r="B165" s="64">
        <f t="shared" si="8"/>
        <v>0.10199999999999999</v>
      </c>
      <c r="C165" s="31">
        <v>4</v>
      </c>
      <c r="D165" s="12" t="s">
        <v>28</v>
      </c>
      <c r="E165" s="13" t="s">
        <v>244</v>
      </c>
      <c r="F165" s="32" t="s">
        <v>85</v>
      </c>
      <c r="G165" s="336">
        <v>18.909000000000002</v>
      </c>
      <c r="H165" s="15">
        <f t="shared" si="16"/>
        <v>226.91</v>
      </c>
      <c r="I165" s="68">
        <f t="shared" si="17"/>
        <v>252.06</v>
      </c>
      <c r="J165" s="15">
        <f t="shared" si="18"/>
        <v>264.73</v>
      </c>
      <c r="K165" s="337"/>
      <c r="L165" s="63">
        <f t="shared" si="19"/>
        <v>217.5</v>
      </c>
      <c r="M165" s="63">
        <f t="shared" si="20"/>
        <v>151.27000000000001</v>
      </c>
      <c r="N165" s="63">
        <f t="shared" si="21"/>
        <v>168.04</v>
      </c>
      <c r="O165" s="63">
        <f t="shared" si="22"/>
        <v>176.49</v>
      </c>
    </row>
    <row r="166" spans="1:15">
      <c r="A166" s="9" t="s">
        <v>240</v>
      </c>
      <c r="B166" s="64">
        <f t="shared" si="8"/>
        <v>0.127</v>
      </c>
      <c r="C166" s="31">
        <v>5</v>
      </c>
      <c r="D166" s="12" t="s">
        <v>28</v>
      </c>
      <c r="E166" s="13" t="s">
        <v>244</v>
      </c>
      <c r="F166" s="32" t="s">
        <v>86</v>
      </c>
      <c r="G166" s="336">
        <v>19.058</v>
      </c>
      <c r="H166" s="15">
        <f t="shared" si="16"/>
        <v>228.7</v>
      </c>
      <c r="I166" s="68">
        <f t="shared" si="17"/>
        <v>254.04</v>
      </c>
      <c r="J166" s="15">
        <f t="shared" si="18"/>
        <v>266.81</v>
      </c>
      <c r="K166" s="337"/>
      <c r="L166" s="63">
        <f t="shared" si="19"/>
        <v>219.22</v>
      </c>
      <c r="M166" s="63">
        <f t="shared" si="20"/>
        <v>152.47</v>
      </c>
      <c r="N166" s="63">
        <f t="shared" si="21"/>
        <v>169.36</v>
      </c>
      <c r="O166" s="63">
        <f t="shared" si="22"/>
        <v>177.87</v>
      </c>
    </row>
    <row r="167" spans="1:15">
      <c r="A167" s="9" t="s">
        <v>240</v>
      </c>
      <c r="B167" s="64">
        <f t="shared" si="8"/>
        <v>0.127</v>
      </c>
      <c r="C167" s="31">
        <v>5</v>
      </c>
      <c r="D167" s="12" t="s">
        <v>28</v>
      </c>
      <c r="E167" s="13" t="s">
        <v>244</v>
      </c>
      <c r="F167" s="32" t="s">
        <v>84</v>
      </c>
      <c r="G167" s="336">
        <v>16.422000000000001</v>
      </c>
      <c r="H167" s="15">
        <f t="shared" si="16"/>
        <v>197.06</v>
      </c>
      <c r="I167" s="68">
        <f t="shared" si="17"/>
        <v>218.91</v>
      </c>
      <c r="J167" s="15">
        <f t="shared" si="18"/>
        <v>229.91</v>
      </c>
      <c r="K167" s="337"/>
      <c r="L167" s="63">
        <f t="shared" si="19"/>
        <v>188.89</v>
      </c>
      <c r="M167" s="63">
        <f t="shared" si="20"/>
        <v>131.37</v>
      </c>
      <c r="N167" s="63">
        <f t="shared" si="21"/>
        <v>145.94</v>
      </c>
      <c r="O167" s="63">
        <f t="shared" si="22"/>
        <v>153.27000000000001</v>
      </c>
    </row>
    <row r="168" spans="1:15">
      <c r="A168" s="9" t="s">
        <v>240</v>
      </c>
      <c r="B168" s="64">
        <f t="shared" si="8"/>
        <v>0.127</v>
      </c>
      <c r="C168" s="31">
        <v>5</v>
      </c>
      <c r="D168" s="12" t="s">
        <v>28</v>
      </c>
      <c r="E168" s="13" t="s">
        <v>244</v>
      </c>
      <c r="F168" s="32" t="s">
        <v>166</v>
      </c>
      <c r="G168" s="336">
        <v>18.984000000000002</v>
      </c>
      <c r="H168" s="15">
        <f t="shared" si="16"/>
        <v>227.81</v>
      </c>
      <c r="I168" s="68">
        <f t="shared" si="17"/>
        <v>253.06</v>
      </c>
      <c r="J168" s="15">
        <f t="shared" si="18"/>
        <v>265.77999999999997</v>
      </c>
      <c r="K168" s="337"/>
      <c r="L168" s="63">
        <f t="shared" si="19"/>
        <v>218.37</v>
      </c>
      <c r="M168" s="63">
        <f t="shared" si="20"/>
        <v>151.87</v>
      </c>
      <c r="N168" s="63">
        <f t="shared" si="21"/>
        <v>168.71</v>
      </c>
      <c r="O168" s="63">
        <f t="shared" si="22"/>
        <v>177.19</v>
      </c>
    </row>
    <row r="169" spans="1:15" s="33" customFormat="1">
      <c r="A169" s="87" t="s">
        <v>240</v>
      </c>
      <c r="B169" s="64">
        <f t="shared" si="8"/>
        <v>0.127</v>
      </c>
      <c r="C169" s="42">
        <v>5</v>
      </c>
      <c r="D169" s="155" t="s">
        <v>28</v>
      </c>
      <c r="E169" s="13" t="s">
        <v>244</v>
      </c>
      <c r="F169" s="117" t="s">
        <v>117</v>
      </c>
      <c r="G169" s="338">
        <v>19.12</v>
      </c>
      <c r="H169" s="120">
        <f t="shared" si="16"/>
        <v>229.44</v>
      </c>
      <c r="I169" s="68">
        <f t="shared" si="17"/>
        <v>254.87</v>
      </c>
      <c r="J169" s="120">
        <f t="shared" si="18"/>
        <v>267.68</v>
      </c>
      <c r="K169" s="337"/>
      <c r="L169" s="63">
        <f t="shared" si="19"/>
        <v>219.93</v>
      </c>
      <c r="M169" s="63">
        <f t="shared" si="20"/>
        <v>152.96</v>
      </c>
      <c r="N169" s="63">
        <f t="shared" si="21"/>
        <v>169.91</v>
      </c>
      <c r="O169" s="63">
        <f t="shared" si="22"/>
        <v>178.45</v>
      </c>
    </row>
    <row r="170" spans="1:15" s="33" customFormat="1">
      <c r="A170" s="87" t="s">
        <v>240</v>
      </c>
      <c r="B170" s="64">
        <f t="shared" si="8"/>
        <v>0.127</v>
      </c>
      <c r="C170" s="42">
        <v>5</v>
      </c>
      <c r="D170" s="155" t="s">
        <v>28</v>
      </c>
      <c r="E170" s="13" t="s">
        <v>244</v>
      </c>
      <c r="F170" s="117" t="s">
        <v>86</v>
      </c>
      <c r="G170" s="338">
        <v>19.056000000000001</v>
      </c>
      <c r="H170" s="120">
        <f t="shared" si="16"/>
        <v>228.67</v>
      </c>
      <c r="I170" s="68">
        <f t="shared" si="17"/>
        <v>254.02</v>
      </c>
      <c r="J170" s="120">
        <f t="shared" si="18"/>
        <v>266.77999999999997</v>
      </c>
      <c r="K170" s="337"/>
      <c r="L170" s="63">
        <f t="shared" si="19"/>
        <v>219.19</v>
      </c>
      <c r="M170" s="63">
        <f t="shared" si="20"/>
        <v>152.44999999999999</v>
      </c>
      <c r="N170" s="63">
        <f t="shared" si="21"/>
        <v>169.35</v>
      </c>
      <c r="O170" s="63">
        <f t="shared" si="22"/>
        <v>177.85</v>
      </c>
    </row>
    <row r="171" spans="1:15" s="33" customFormat="1">
      <c r="A171" s="87" t="s">
        <v>240</v>
      </c>
      <c r="B171" s="64">
        <f t="shared" si="8"/>
        <v>0.127</v>
      </c>
      <c r="C171" s="42">
        <v>5</v>
      </c>
      <c r="D171" s="155" t="s">
        <v>28</v>
      </c>
      <c r="E171" s="13" t="s">
        <v>244</v>
      </c>
      <c r="F171" s="117" t="s">
        <v>85</v>
      </c>
      <c r="G171" s="338">
        <v>19.914999999999999</v>
      </c>
      <c r="H171" s="120">
        <f t="shared" si="16"/>
        <v>238.98</v>
      </c>
      <c r="I171" s="68">
        <f t="shared" si="17"/>
        <v>265.47000000000003</v>
      </c>
      <c r="J171" s="120">
        <f t="shared" si="18"/>
        <v>278.81</v>
      </c>
      <c r="K171" s="337"/>
      <c r="L171" s="63">
        <f t="shared" si="19"/>
        <v>229.08</v>
      </c>
      <c r="M171" s="63">
        <f t="shared" si="20"/>
        <v>159.32</v>
      </c>
      <c r="N171" s="63">
        <f t="shared" si="21"/>
        <v>176.98</v>
      </c>
      <c r="O171" s="63">
        <f t="shared" si="22"/>
        <v>185.87</v>
      </c>
    </row>
    <row r="172" spans="1:15" s="33" customFormat="1">
      <c r="A172" s="87" t="s">
        <v>240</v>
      </c>
      <c r="B172" s="64">
        <f t="shared" si="8"/>
        <v>0.152</v>
      </c>
      <c r="C172" s="42">
        <v>6</v>
      </c>
      <c r="D172" s="155" t="s">
        <v>28</v>
      </c>
      <c r="E172" s="13" t="s">
        <v>244</v>
      </c>
      <c r="F172" s="117" t="s">
        <v>117</v>
      </c>
      <c r="G172" s="338">
        <v>19.14</v>
      </c>
      <c r="H172" s="120">
        <f t="shared" si="16"/>
        <v>229.68</v>
      </c>
      <c r="I172" s="68">
        <f t="shared" si="17"/>
        <v>255.14</v>
      </c>
      <c r="J172" s="120">
        <f t="shared" si="18"/>
        <v>267.95999999999998</v>
      </c>
      <c r="K172" s="337"/>
      <c r="L172" s="63">
        <f t="shared" si="19"/>
        <v>220.16</v>
      </c>
      <c r="M172" s="63">
        <f t="shared" si="20"/>
        <v>153.12</v>
      </c>
      <c r="N172" s="63">
        <f t="shared" si="21"/>
        <v>170.09</v>
      </c>
      <c r="O172" s="63">
        <f t="shared" si="22"/>
        <v>178.64</v>
      </c>
    </row>
    <row r="173" spans="1:15" s="33" customFormat="1">
      <c r="A173" s="87" t="s">
        <v>240</v>
      </c>
      <c r="B173" s="64">
        <f t="shared" si="8"/>
        <v>0.152</v>
      </c>
      <c r="C173" s="42">
        <v>6</v>
      </c>
      <c r="D173" s="155" t="s">
        <v>28</v>
      </c>
      <c r="E173" s="13" t="s">
        <v>244</v>
      </c>
      <c r="F173" s="117" t="s">
        <v>86</v>
      </c>
      <c r="G173" s="338">
        <v>18.920999999999999</v>
      </c>
      <c r="H173" s="120">
        <f t="shared" si="16"/>
        <v>227.05</v>
      </c>
      <c r="I173" s="68">
        <f t="shared" si="17"/>
        <v>252.22</v>
      </c>
      <c r="J173" s="120">
        <f t="shared" si="18"/>
        <v>264.89</v>
      </c>
      <c r="K173" s="337"/>
      <c r="L173" s="63">
        <f t="shared" si="19"/>
        <v>217.64</v>
      </c>
      <c r="M173" s="63">
        <f t="shared" si="20"/>
        <v>151.37</v>
      </c>
      <c r="N173" s="63">
        <f t="shared" si="21"/>
        <v>168.15</v>
      </c>
      <c r="O173" s="63">
        <f t="shared" si="22"/>
        <v>176.59</v>
      </c>
    </row>
    <row r="174" spans="1:15" s="33" customFormat="1">
      <c r="A174" s="87" t="s">
        <v>240</v>
      </c>
      <c r="B174" s="64">
        <f t="shared" si="8"/>
        <v>0.17799999999999999</v>
      </c>
      <c r="C174" s="42">
        <v>7</v>
      </c>
      <c r="D174" s="155" t="s">
        <v>28</v>
      </c>
      <c r="E174" s="13" t="s">
        <v>244</v>
      </c>
      <c r="F174" s="117" t="s">
        <v>117</v>
      </c>
      <c r="G174" s="338">
        <v>19.492000000000001</v>
      </c>
      <c r="H174" s="120">
        <f t="shared" si="16"/>
        <v>233.9</v>
      </c>
      <c r="I174" s="68">
        <f t="shared" si="17"/>
        <v>259.83</v>
      </c>
      <c r="J174" s="120">
        <f t="shared" si="18"/>
        <v>272.89</v>
      </c>
      <c r="K174" s="337"/>
      <c r="L174" s="63">
        <f t="shared" si="19"/>
        <v>224.21</v>
      </c>
      <c r="M174" s="63">
        <f t="shared" si="20"/>
        <v>155.93</v>
      </c>
      <c r="N174" s="63">
        <f t="shared" si="21"/>
        <v>173.22</v>
      </c>
      <c r="O174" s="63">
        <f t="shared" si="22"/>
        <v>181.93</v>
      </c>
    </row>
    <row r="175" spans="1:15" s="33" customFormat="1">
      <c r="A175" s="87" t="s">
        <v>240</v>
      </c>
      <c r="B175" s="64">
        <f t="shared" si="8"/>
        <v>0.17799999999999999</v>
      </c>
      <c r="C175" s="42">
        <v>7</v>
      </c>
      <c r="D175" s="155" t="s">
        <v>28</v>
      </c>
      <c r="E175" s="13" t="s">
        <v>244</v>
      </c>
      <c r="F175" s="117" t="s">
        <v>87</v>
      </c>
      <c r="G175" s="338">
        <v>19.557000000000002</v>
      </c>
      <c r="H175" s="120">
        <f t="shared" si="16"/>
        <v>234.68</v>
      </c>
      <c r="I175" s="68">
        <f t="shared" si="17"/>
        <v>260.69</v>
      </c>
      <c r="J175" s="120">
        <f t="shared" si="18"/>
        <v>273.8</v>
      </c>
      <c r="K175" s="337"/>
      <c r="L175" s="63">
        <f t="shared" si="19"/>
        <v>224.95</v>
      </c>
      <c r="M175" s="63">
        <f t="shared" si="20"/>
        <v>156.44999999999999</v>
      </c>
      <c r="N175" s="63">
        <f t="shared" si="21"/>
        <v>173.79</v>
      </c>
      <c r="O175" s="63">
        <f t="shared" si="22"/>
        <v>182.53</v>
      </c>
    </row>
    <row r="176" spans="1:15" s="33" customFormat="1">
      <c r="A176" s="87" t="s">
        <v>240</v>
      </c>
      <c r="B176" s="64">
        <f t="shared" si="8"/>
        <v>0.20300000000000001</v>
      </c>
      <c r="C176" s="42">
        <v>8</v>
      </c>
      <c r="D176" s="155" t="s">
        <v>28</v>
      </c>
      <c r="E176" s="13" t="s">
        <v>244</v>
      </c>
      <c r="F176" s="117" t="s">
        <v>87</v>
      </c>
      <c r="G176" s="338">
        <v>19.867000000000001</v>
      </c>
      <c r="H176" s="120">
        <f t="shared" si="16"/>
        <v>238.4</v>
      </c>
      <c r="I176" s="68">
        <f t="shared" si="17"/>
        <v>264.83</v>
      </c>
      <c r="J176" s="120">
        <f t="shared" si="18"/>
        <v>278.14</v>
      </c>
      <c r="K176" s="337"/>
      <c r="L176" s="63">
        <f t="shared" si="19"/>
        <v>228.52</v>
      </c>
      <c r="M176" s="63">
        <f t="shared" si="20"/>
        <v>158.93</v>
      </c>
      <c r="N176" s="63">
        <f t="shared" si="21"/>
        <v>176.55</v>
      </c>
      <c r="O176" s="63">
        <f t="shared" si="22"/>
        <v>185.43</v>
      </c>
    </row>
    <row r="177" spans="1:15" s="33" customFormat="1">
      <c r="A177" s="87" t="s">
        <v>240</v>
      </c>
      <c r="B177" s="64">
        <f t="shared" si="8"/>
        <v>0.254</v>
      </c>
      <c r="C177" s="42">
        <v>10</v>
      </c>
      <c r="D177" s="155" t="s">
        <v>28</v>
      </c>
      <c r="E177" s="13" t="s">
        <v>244</v>
      </c>
      <c r="F177" s="117" t="s">
        <v>89</v>
      </c>
      <c r="G177" s="338">
        <v>19.914999999999999</v>
      </c>
      <c r="H177" s="120">
        <f t="shared" si="16"/>
        <v>238.98</v>
      </c>
      <c r="I177" s="68">
        <f t="shared" si="17"/>
        <v>265.47000000000003</v>
      </c>
      <c r="J177" s="120">
        <f t="shared" si="18"/>
        <v>278.81</v>
      </c>
      <c r="K177" s="337"/>
      <c r="L177" s="63">
        <f t="shared" si="19"/>
        <v>229.08</v>
      </c>
      <c r="M177" s="63">
        <f t="shared" si="20"/>
        <v>159.32</v>
      </c>
      <c r="N177" s="63">
        <f t="shared" si="21"/>
        <v>176.98</v>
      </c>
      <c r="O177" s="63">
        <f t="shared" si="22"/>
        <v>185.87</v>
      </c>
    </row>
    <row r="178" spans="1:15" s="33" customFormat="1">
      <c r="A178" s="87" t="s">
        <v>240</v>
      </c>
      <c r="B178" s="64">
        <f t="shared" si="8"/>
        <v>0.30499999999999999</v>
      </c>
      <c r="C178" s="42">
        <v>12</v>
      </c>
      <c r="D178" s="155" t="s">
        <v>28</v>
      </c>
      <c r="E178" s="13" t="s">
        <v>244</v>
      </c>
      <c r="F178" s="117" t="s">
        <v>167</v>
      </c>
      <c r="G178" s="338">
        <v>26.283000000000001</v>
      </c>
      <c r="H178" s="120">
        <f t="shared" si="16"/>
        <v>315.39999999999998</v>
      </c>
      <c r="I178" s="68">
        <f t="shared" si="17"/>
        <v>350.35</v>
      </c>
      <c r="J178" s="120">
        <f t="shared" si="18"/>
        <v>367.96</v>
      </c>
      <c r="K178" s="337"/>
      <c r="L178" s="63">
        <f t="shared" si="19"/>
        <v>302.33</v>
      </c>
      <c r="M178" s="63">
        <f t="shared" si="20"/>
        <v>210.27</v>
      </c>
      <c r="N178" s="63">
        <f t="shared" si="21"/>
        <v>233.57</v>
      </c>
      <c r="O178" s="63">
        <f t="shared" si="22"/>
        <v>245.31</v>
      </c>
    </row>
    <row r="179" spans="1:15" s="33" customFormat="1">
      <c r="A179" s="87" t="s">
        <v>240</v>
      </c>
      <c r="B179" s="64">
        <f t="shared" si="8"/>
        <v>0.38100000000000001</v>
      </c>
      <c r="C179" s="42">
        <v>15</v>
      </c>
      <c r="D179" s="155" t="s">
        <v>28</v>
      </c>
      <c r="E179" s="13" t="s">
        <v>244</v>
      </c>
      <c r="F179" s="117" t="s">
        <v>219</v>
      </c>
      <c r="G179" s="338">
        <v>31.46</v>
      </c>
      <c r="H179" s="120">
        <f t="shared" si="16"/>
        <v>377.52</v>
      </c>
      <c r="I179" s="68">
        <f t="shared" si="17"/>
        <v>419.36</v>
      </c>
      <c r="J179" s="120">
        <f t="shared" si="18"/>
        <v>440.44</v>
      </c>
      <c r="K179" s="337"/>
      <c r="L179" s="63">
        <f t="shared" si="19"/>
        <v>361.87</v>
      </c>
      <c r="M179" s="63">
        <f t="shared" si="20"/>
        <v>251.68</v>
      </c>
      <c r="N179" s="63">
        <f t="shared" si="21"/>
        <v>279.57</v>
      </c>
      <c r="O179" s="63">
        <f t="shared" si="22"/>
        <v>293.63</v>
      </c>
    </row>
    <row r="180" spans="1:15" s="33" customFormat="1">
      <c r="A180" s="87" t="s">
        <v>240</v>
      </c>
      <c r="B180" s="64">
        <f t="shared" si="8"/>
        <v>0.40600000000000003</v>
      </c>
      <c r="C180" s="42">
        <v>16</v>
      </c>
      <c r="D180" s="155" t="s">
        <v>28</v>
      </c>
      <c r="E180" s="13" t="s">
        <v>244</v>
      </c>
      <c r="F180" s="117" t="s">
        <v>129</v>
      </c>
      <c r="G180" s="338">
        <v>31.330000000000002</v>
      </c>
      <c r="H180" s="120">
        <f t="shared" si="16"/>
        <v>375.96</v>
      </c>
      <c r="I180" s="68">
        <f t="shared" si="17"/>
        <v>417.63</v>
      </c>
      <c r="J180" s="120">
        <f t="shared" si="18"/>
        <v>438.62</v>
      </c>
      <c r="K180" s="337"/>
      <c r="L180" s="63">
        <f t="shared" si="19"/>
        <v>360.38</v>
      </c>
      <c r="M180" s="63">
        <f t="shared" si="20"/>
        <v>250.64</v>
      </c>
      <c r="N180" s="63">
        <f t="shared" si="21"/>
        <v>278.42</v>
      </c>
      <c r="O180" s="63">
        <f t="shared" si="22"/>
        <v>292.41000000000003</v>
      </c>
    </row>
    <row r="181" spans="1:15" s="33" customFormat="1">
      <c r="A181" s="87" t="s">
        <v>240</v>
      </c>
      <c r="B181" s="64">
        <f t="shared" si="8"/>
        <v>0.45700000000000002</v>
      </c>
      <c r="C181" s="42">
        <v>18</v>
      </c>
      <c r="D181" s="155" t="s">
        <v>28</v>
      </c>
      <c r="E181" s="13" t="s">
        <v>244</v>
      </c>
      <c r="F181" s="117" t="s">
        <v>129</v>
      </c>
      <c r="G181" s="338">
        <v>33.045999999999999</v>
      </c>
      <c r="H181" s="120">
        <f t="shared" si="16"/>
        <v>396.55</v>
      </c>
      <c r="I181" s="68">
        <f t="shared" si="17"/>
        <v>440.5</v>
      </c>
      <c r="J181" s="120">
        <f t="shared" si="18"/>
        <v>462.64</v>
      </c>
      <c r="K181" s="337"/>
      <c r="L181" s="63">
        <f t="shared" si="19"/>
        <v>380.11</v>
      </c>
      <c r="M181" s="63">
        <f t="shared" si="20"/>
        <v>264.37</v>
      </c>
      <c r="N181" s="63">
        <f t="shared" si="21"/>
        <v>293.67</v>
      </c>
      <c r="O181" s="63">
        <f t="shared" si="22"/>
        <v>308.43</v>
      </c>
    </row>
    <row r="182" spans="1:15" s="33" customFormat="1">
      <c r="A182" s="87" t="s">
        <v>240</v>
      </c>
      <c r="B182" s="64">
        <f t="shared" si="8"/>
        <v>0.50800000000000001</v>
      </c>
      <c r="C182" s="42">
        <v>20</v>
      </c>
      <c r="D182" s="155" t="s">
        <v>28</v>
      </c>
      <c r="E182" s="13" t="s">
        <v>244</v>
      </c>
      <c r="F182" s="117" t="s">
        <v>129</v>
      </c>
      <c r="G182" s="338">
        <v>33.045999999999999</v>
      </c>
      <c r="H182" s="120">
        <f t="shared" si="16"/>
        <v>396.55</v>
      </c>
      <c r="I182" s="68">
        <f t="shared" si="17"/>
        <v>440.5</v>
      </c>
      <c r="J182" s="120">
        <f t="shared" si="18"/>
        <v>462.64</v>
      </c>
      <c r="K182" s="337"/>
      <c r="L182" s="63">
        <f t="shared" si="19"/>
        <v>380.11</v>
      </c>
      <c r="M182" s="63">
        <f t="shared" si="20"/>
        <v>264.37</v>
      </c>
      <c r="N182" s="63">
        <f t="shared" si="21"/>
        <v>293.67</v>
      </c>
      <c r="O182" s="63">
        <f t="shared" si="22"/>
        <v>308.43</v>
      </c>
    </row>
    <row r="183" spans="1:15" s="33" customFormat="1">
      <c r="A183" s="87" t="s">
        <v>240</v>
      </c>
      <c r="B183" s="64">
        <f t="shared" si="8"/>
        <v>0.50800000000000001</v>
      </c>
      <c r="C183" s="42">
        <v>20</v>
      </c>
      <c r="D183" s="155" t="s">
        <v>28</v>
      </c>
      <c r="E183" s="13" t="s">
        <v>244</v>
      </c>
      <c r="F183" s="117" t="s">
        <v>91</v>
      </c>
      <c r="G183" s="338">
        <v>36.14</v>
      </c>
      <c r="H183" s="120">
        <f t="shared" si="16"/>
        <v>433.68</v>
      </c>
      <c r="I183" s="68">
        <f t="shared" si="17"/>
        <v>481.75</v>
      </c>
      <c r="J183" s="120">
        <f t="shared" si="18"/>
        <v>505.96</v>
      </c>
      <c r="K183" s="337"/>
      <c r="L183" s="63">
        <f t="shared" si="19"/>
        <v>415.71</v>
      </c>
      <c r="M183" s="63">
        <f t="shared" si="20"/>
        <v>289.12</v>
      </c>
      <c r="N183" s="63">
        <f t="shared" si="21"/>
        <v>321.17</v>
      </c>
      <c r="O183" s="63">
        <f t="shared" si="22"/>
        <v>337.31</v>
      </c>
    </row>
    <row r="184" spans="1:15" s="33" customFormat="1">
      <c r="A184" s="87" t="s">
        <v>240</v>
      </c>
      <c r="B184" s="64">
        <f t="shared" si="8"/>
        <v>0.61</v>
      </c>
      <c r="C184" s="42">
        <v>24</v>
      </c>
      <c r="D184" s="155" t="s">
        <v>28</v>
      </c>
      <c r="E184" s="13" t="s">
        <v>244</v>
      </c>
      <c r="F184" s="117" t="s">
        <v>91</v>
      </c>
      <c r="G184" s="338">
        <v>36.555999999999997</v>
      </c>
      <c r="H184" s="120">
        <f t="shared" si="16"/>
        <v>438.67</v>
      </c>
      <c r="I184" s="68">
        <f t="shared" si="17"/>
        <v>487.29</v>
      </c>
      <c r="J184" s="120">
        <f t="shared" si="18"/>
        <v>511.78</v>
      </c>
      <c r="K184" s="337"/>
      <c r="L184" s="63">
        <f t="shared" si="19"/>
        <v>420.49</v>
      </c>
      <c r="M184" s="63">
        <f t="shared" si="20"/>
        <v>292.45</v>
      </c>
      <c r="N184" s="63">
        <f t="shared" si="21"/>
        <v>324.86</v>
      </c>
      <c r="O184" s="63">
        <f t="shared" si="22"/>
        <v>341.19</v>
      </c>
    </row>
    <row r="185" spans="1:15" s="33" customFormat="1">
      <c r="A185" s="87" t="s">
        <v>240</v>
      </c>
      <c r="B185" s="64">
        <f t="shared" si="8"/>
        <v>0.63500000000000001</v>
      </c>
      <c r="C185" s="42">
        <v>25</v>
      </c>
      <c r="D185" s="155" t="s">
        <v>28</v>
      </c>
      <c r="E185" s="13" t="s">
        <v>244</v>
      </c>
      <c r="F185" s="117" t="s">
        <v>88</v>
      </c>
      <c r="G185" s="338">
        <v>40.125</v>
      </c>
      <c r="H185" s="120">
        <f t="shared" si="16"/>
        <v>481.5</v>
      </c>
      <c r="I185" s="68">
        <f t="shared" si="17"/>
        <v>534.87</v>
      </c>
      <c r="J185" s="120">
        <f t="shared" si="18"/>
        <v>561.75</v>
      </c>
      <c r="K185" s="337"/>
      <c r="L185" s="63">
        <f t="shared" si="19"/>
        <v>461.53</v>
      </c>
      <c r="M185" s="63">
        <f t="shared" si="20"/>
        <v>321</v>
      </c>
      <c r="N185" s="63">
        <f t="shared" si="21"/>
        <v>356.58</v>
      </c>
      <c r="O185" s="63">
        <f t="shared" si="22"/>
        <v>374.5</v>
      </c>
    </row>
    <row r="186" spans="1:15" s="33" customFormat="1">
      <c r="A186" s="87" t="s">
        <v>240</v>
      </c>
      <c r="B186" s="64">
        <f t="shared" si="8"/>
        <v>0.76200000000000001</v>
      </c>
      <c r="C186" s="42">
        <v>30</v>
      </c>
      <c r="D186" s="155" t="s">
        <v>28</v>
      </c>
      <c r="E186" s="13" t="s">
        <v>244</v>
      </c>
      <c r="F186" s="117" t="s">
        <v>131</v>
      </c>
      <c r="G186" s="338">
        <v>47.085999999999999</v>
      </c>
      <c r="H186" s="120">
        <f t="shared" si="16"/>
        <v>565.03</v>
      </c>
      <c r="I186" s="68">
        <f t="shared" si="17"/>
        <v>627.66</v>
      </c>
      <c r="J186" s="120">
        <f t="shared" si="18"/>
        <v>659.2</v>
      </c>
      <c r="K186" s="337"/>
      <c r="L186" s="63">
        <f t="shared" si="19"/>
        <v>541.6</v>
      </c>
      <c r="M186" s="63">
        <f t="shared" si="20"/>
        <v>376.69</v>
      </c>
      <c r="N186" s="63">
        <f t="shared" si="21"/>
        <v>418.44</v>
      </c>
      <c r="O186" s="63">
        <f t="shared" si="22"/>
        <v>439.47</v>
      </c>
    </row>
    <row r="187" spans="1:15">
      <c r="A187" s="9" t="s">
        <v>240</v>
      </c>
      <c r="B187" s="64">
        <f t="shared" si="8"/>
        <v>5.0999999999999997E-2</v>
      </c>
      <c r="C187" s="31">
        <v>2</v>
      </c>
      <c r="D187" s="13" t="s">
        <v>25</v>
      </c>
      <c r="E187" s="13" t="s">
        <v>154</v>
      </c>
      <c r="F187" s="32" t="s">
        <v>217</v>
      </c>
      <c r="G187" s="336">
        <v>12.141</v>
      </c>
      <c r="H187" s="15">
        <f t="shared" si="16"/>
        <v>145.69</v>
      </c>
      <c r="I187" s="68">
        <f t="shared" si="17"/>
        <v>161.84</v>
      </c>
      <c r="J187" s="15">
        <f t="shared" si="18"/>
        <v>169.97</v>
      </c>
      <c r="K187" s="337">
        <v>6.9974442583943031E-2</v>
      </c>
      <c r="L187" s="63">
        <f t="shared" si="19"/>
        <v>139.65</v>
      </c>
      <c r="M187" s="63">
        <f t="shared" si="20"/>
        <v>97.13</v>
      </c>
      <c r="N187" s="63">
        <f t="shared" si="21"/>
        <v>107.89</v>
      </c>
      <c r="O187" s="63">
        <f t="shared" si="22"/>
        <v>113.31</v>
      </c>
    </row>
    <row r="188" spans="1:15">
      <c r="A188" s="9" t="s">
        <v>240</v>
      </c>
      <c r="B188" s="64">
        <f t="shared" si="8"/>
        <v>6.4000000000000001E-2</v>
      </c>
      <c r="C188" s="31">
        <v>2.5</v>
      </c>
      <c r="D188" s="13" t="s">
        <v>25</v>
      </c>
      <c r="E188" s="13" t="s">
        <v>154</v>
      </c>
      <c r="F188" s="32" t="s">
        <v>122</v>
      </c>
      <c r="G188" s="336">
        <v>12.141</v>
      </c>
      <c r="H188" s="15">
        <f t="shared" si="16"/>
        <v>145.69</v>
      </c>
      <c r="I188" s="68">
        <f t="shared" si="17"/>
        <v>161.84</v>
      </c>
      <c r="J188" s="15">
        <f t="shared" si="18"/>
        <v>169.97</v>
      </c>
      <c r="K188" s="337">
        <v>6.9974442583943031E-2</v>
      </c>
      <c r="L188" s="63">
        <f t="shared" si="19"/>
        <v>139.65</v>
      </c>
      <c r="M188" s="63">
        <f t="shared" si="20"/>
        <v>97.13</v>
      </c>
      <c r="N188" s="63">
        <f t="shared" si="21"/>
        <v>107.89</v>
      </c>
      <c r="O188" s="63">
        <f t="shared" si="22"/>
        <v>113.31</v>
      </c>
    </row>
    <row r="189" spans="1:15">
      <c r="A189" s="9" t="s">
        <v>240</v>
      </c>
      <c r="B189" s="64">
        <f t="shared" si="8"/>
        <v>7.5999999999999998E-2</v>
      </c>
      <c r="C189" s="31">
        <v>3</v>
      </c>
      <c r="D189" s="13" t="s">
        <v>25</v>
      </c>
      <c r="E189" s="13" t="s">
        <v>154</v>
      </c>
      <c r="F189" s="32" t="s">
        <v>217</v>
      </c>
      <c r="G189" s="336">
        <v>12.851000000000001</v>
      </c>
      <c r="H189" s="15">
        <f t="shared" si="16"/>
        <v>154.21</v>
      </c>
      <c r="I189" s="68">
        <f t="shared" si="17"/>
        <v>171.3</v>
      </c>
      <c r="J189" s="15">
        <f t="shared" si="18"/>
        <v>179.91</v>
      </c>
      <c r="K189" s="337">
        <v>7.0024979184013514E-2</v>
      </c>
      <c r="L189" s="63">
        <f t="shared" si="19"/>
        <v>147.82</v>
      </c>
      <c r="M189" s="63">
        <f t="shared" si="20"/>
        <v>102.81</v>
      </c>
      <c r="N189" s="63">
        <f t="shared" si="21"/>
        <v>114.2</v>
      </c>
      <c r="O189" s="63">
        <f t="shared" si="22"/>
        <v>119.94</v>
      </c>
    </row>
    <row r="190" spans="1:15">
      <c r="A190" s="9" t="s">
        <v>240</v>
      </c>
      <c r="B190" s="64">
        <f t="shared" si="8"/>
        <v>7.5999999999999998E-2</v>
      </c>
      <c r="C190" s="31">
        <v>3</v>
      </c>
      <c r="D190" s="13" t="s">
        <v>25</v>
      </c>
      <c r="E190" s="13" t="s">
        <v>154</v>
      </c>
      <c r="F190" s="32" t="s">
        <v>81</v>
      </c>
      <c r="G190" s="336">
        <v>12.276</v>
      </c>
      <c r="H190" s="15">
        <f t="shared" si="16"/>
        <v>147.31</v>
      </c>
      <c r="I190" s="68">
        <f t="shared" si="17"/>
        <v>163.63999999999999</v>
      </c>
      <c r="J190" s="15">
        <f t="shared" si="18"/>
        <v>171.86</v>
      </c>
      <c r="K190" s="337">
        <v>6.9990412272291413E-2</v>
      </c>
      <c r="L190" s="63">
        <f t="shared" si="19"/>
        <v>141.21</v>
      </c>
      <c r="M190" s="63">
        <f t="shared" si="20"/>
        <v>98.21</v>
      </c>
      <c r="N190" s="63">
        <f t="shared" si="21"/>
        <v>109.09</v>
      </c>
      <c r="O190" s="63">
        <f t="shared" si="22"/>
        <v>114.57</v>
      </c>
    </row>
    <row r="191" spans="1:15">
      <c r="A191" s="9" t="s">
        <v>240</v>
      </c>
      <c r="B191" s="64">
        <f t="shared" si="8"/>
        <v>7.5999999999999998E-2</v>
      </c>
      <c r="C191" s="31">
        <v>3</v>
      </c>
      <c r="D191" s="13" t="s">
        <v>25</v>
      </c>
      <c r="E191" s="13" t="s">
        <v>154</v>
      </c>
      <c r="F191" s="32" t="s">
        <v>122</v>
      </c>
      <c r="G191" s="336">
        <v>12.141</v>
      </c>
      <c r="H191" s="15">
        <f t="shared" si="16"/>
        <v>145.69</v>
      </c>
      <c r="I191" s="68">
        <f t="shared" si="17"/>
        <v>161.84</v>
      </c>
      <c r="J191" s="15">
        <f t="shared" si="18"/>
        <v>169.97</v>
      </c>
      <c r="K191" s="337">
        <v>6.9974442583943031E-2</v>
      </c>
      <c r="L191" s="63">
        <f t="shared" si="19"/>
        <v>139.65</v>
      </c>
      <c r="M191" s="63">
        <f t="shared" si="20"/>
        <v>97.13</v>
      </c>
      <c r="N191" s="63">
        <f t="shared" si="21"/>
        <v>107.89</v>
      </c>
      <c r="O191" s="63">
        <f t="shared" si="22"/>
        <v>113.31</v>
      </c>
    </row>
    <row r="192" spans="1:15">
      <c r="A192" s="9" t="s">
        <v>240</v>
      </c>
      <c r="B192" s="64">
        <f t="shared" si="8"/>
        <v>7.5999999999999998E-2</v>
      </c>
      <c r="C192" s="31">
        <v>3</v>
      </c>
      <c r="D192" s="13" t="s">
        <v>25</v>
      </c>
      <c r="E192" s="13" t="s">
        <v>154</v>
      </c>
      <c r="F192" s="32" t="s">
        <v>123</v>
      </c>
      <c r="G192" s="336">
        <v>12.141</v>
      </c>
      <c r="H192" s="15">
        <f t="shared" si="16"/>
        <v>145.69</v>
      </c>
      <c r="I192" s="68">
        <f t="shared" si="17"/>
        <v>161.84</v>
      </c>
      <c r="J192" s="15">
        <f t="shared" si="18"/>
        <v>169.97</v>
      </c>
      <c r="K192" s="337">
        <v>6.9974442583943031E-2</v>
      </c>
      <c r="L192" s="63">
        <f t="shared" si="19"/>
        <v>139.65</v>
      </c>
      <c r="M192" s="63">
        <f t="shared" si="20"/>
        <v>97.13</v>
      </c>
      <c r="N192" s="63">
        <f t="shared" si="21"/>
        <v>107.89</v>
      </c>
      <c r="O192" s="63">
        <f t="shared" si="22"/>
        <v>113.31</v>
      </c>
    </row>
    <row r="193" spans="1:15">
      <c r="A193" s="9" t="s">
        <v>240</v>
      </c>
      <c r="B193" s="64">
        <f t="shared" si="8"/>
        <v>8.8999999999999996E-2</v>
      </c>
      <c r="C193" s="31">
        <v>3.5</v>
      </c>
      <c r="D193" s="13" t="s">
        <v>25</v>
      </c>
      <c r="E193" s="13" t="s">
        <v>154</v>
      </c>
      <c r="F193" s="32" t="s">
        <v>81</v>
      </c>
      <c r="G193" s="336">
        <v>12.276</v>
      </c>
      <c r="H193" s="15">
        <f t="shared" si="16"/>
        <v>147.31</v>
      </c>
      <c r="I193" s="68">
        <f t="shared" si="17"/>
        <v>163.63999999999999</v>
      </c>
      <c r="J193" s="15">
        <f t="shared" si="18"/>
        <v>171.86</v>
      </c>
      <c r="K193" s="337">
        <v>6.9990412272291413E-2</v>
      </c>
      <c r="L193" s="63">
        <f t="shared" si="19"/>
        <v>141.21</v>
      </c>
      <c r="M193" s="63">
        <f t="shared" si="20"/>
        <v>98.21</v>
      </c>
      <c r="N193" s="63">
        <f t="shared" si="21"/>
        <v>109.09</v>
      </c>
      <c r="O193" s="63">
        <f t="shared" si="22"/>
        <v>114.57</v>
      </c>
    </row>
    <row r="194" spans="1:15">
      <c r="A194" s="9" t="s">
        <v>240</v>
      </c>
      <c r="B194" s="64">
        <f t="shared" si="8"/>
        <v>8.8999999999999996E-2</v>
      </c>
      <c r="C194" s="31">
        <v>3.5</v>
      </c>
      <c r="D194" s="13" t="s">
        <v>25</v>
      </c>
      <c r="E194" s="13" t="s">
        <v>154</v>
      </c>
      <c r="F194" s="32" t="s">
        <v>122</v>
      </c>
      <c r="G194" s="336">
        <v>12.321999999999999</v>
      </c>
      <c r="H194" s="15">
        <f t="shared" si="16"/>
        <v>147.86000000000001</v>
      </c>
      <c r="I194" s="68">
        <f t="shared" si="17"/>
        <v>164.25</v>
      </c>
      <c r="J194" s="15">
        <f t="shared" si="18"/>
        <v>172.51</v>
      </c>
      <c r="K194" s="337">
        <v>6.9989579715178829E-2</v>
      </c>
      <c r="L194" s="63">
        <f t="shared" si="19"/>
        <v>141.72999999999999</v>
      </c>
      <c r="M194" s="63">
        <f t="shared" si="20"/>
        <v>98.57</v>
      </c>
      <c r="N194" s="63">
        <f t="shared" si="21"/>
        <v>109.5</v>
      </c>
      <c r="O194" s="63">
        <f t="shared" si="22"/>
        <v>115.01</v>
      </c>
    </row>
    <row r="195" spans="1:15">
      <c r="A195" s="9" t="s">
        <v>240</v>
      </c>
      <c r="B195" s="64">
        <f t="shared" si="8"/>
        <v>8.8999999999999996E-2</v>
      </c>
      <c r="C195" s="31">
        <v>3.5</v>
      </c>
      <c r="D195" s="13" t="s">
        <v>25</v>
      </c>
      <c r="E195" s="13" t="s">
        <v>154</v>
      </c>
      <c r="F195" s="32" t="s">
        <v>123</v>
      </c>
      <c r="G195" s="336">
        <v>12.321999999999999</v>
      </c>
      <c r="H195" s="15">
        <f t="shared" si="16"/>
        <v>147.86000000000001</v>
      </c>
      <c r="I195" s="68">
        <f t="shared" si="17"/>
        <v>164.25</v>
      </c>
      <c r="J195" s="15">
        <f t="shared" si="18"/>
        <v>172.51</v>
      </c>
      <c r="K195" s="337">
        <v>6.9989579715178829E-2</v>
      </c>
      <c r="L195" s="63">
        <f t="shared" si="19"/>
        <v>141.72999999999999</v>
      </c>
      <c r="M195" s="63">
        <f t="shared" si="20"/>
        <v>98.57</v>
      </c>
      <c r="N195" s="63">
        <f t="shared" si="21"/>
        <v>109.5</v>
      </c>
      <c r="O195" s="63">
        <f t="shared" si="22"/>
        <v>115.01</v>
      </c>
    </row>
    <row r="196" spans="1:15">
      <c r="A196" s="9" t="s">
        <v>240</v>
      </c>
      <c r="B196" s="64">
        <f t="shared" si="8"/>
        <v>0.10199999999999999</v>
      </c>
      <c r="C196" s="31">
        <v>4</v>
      </c>
      <c r="D196" s="13" t="s">
        <v>25</v>
      </c>
      <c r="E196" s="13" t="s">
        <v>154</v>
      </c>
      <c r="F196" s="32" t="s">
        <v>122</v>
      </c>
      <c r="G196" s="336">
        <v>12.532999999999999</v>
      </c>
      <c r="H196" s="15">
        <f t="shared" si="16"/>
        <v>150.4</v>
      </c>
      <c r="I196" s="68">
        <f t="shared" si="17"/>
        <v>167.06</v>
      </c>
      <c r="J196" s="15">
        <f t="shared" si="18"/>
        <v>175.46</v>
      </c>
      <c r="K196" s="337">
        <v>7.0007683770169971E-2</v>
      </c>
      <c r="L196" s="63">
        <f t="shared" si="19"/>
        <v>144.16</v>
      </c>
      <c r="M196" s="63">
        <f t="shared" si="20"/>
        <v>100.27</v>
      </c>
      <c r="N196" s="63">
        <f t="shared" si="21"/>
        <v>111.37</v>
      </c>
      <c r="O196" s="63">
        <f t="shared" si="22"/>
        <v>116.97</v>
      </c>
    </row>
    <row r="197" spans="1:15">
      <c r="A197" s="9" t="s">
        <v>240</v>
      </c>
      <c r="B197" s="64">
        <f t="shared" si="8"/>
        <v>0.10199999999999999</v>
      </c>
      <c r="C197" s="31">
        <v>4</v>
      </c>
      <c r="D197" s="13" t="s">
        <v>25</v>
      </c>
      <c r="E197" s="13" t="s">
        <v>154</v>
      </c>
      <c r="F197" s="32" t="s">
        <v>83</v>
      </c>
      <c r="G197" s="336">
        <v>12.532999999999999</v>
      </c>
      <c r="H197" s="15">
        <f t="shared" si="16"/>
        <v>150.4</v>
      </c>
      <c r="I197" s="68">
        <f t="shared" si="17"/>
        <v>167.06</v>
      </c>
      <c r="J197" s="15">
        <f t="shared" si="18"/>
        <v>175.46</v>
      </c>
      <c r="K197" s="337">
        <v>7.0007683770169971E-2</v>
      </c>
      <c r="L197" s="63">
        <f t="shared" si="19"/>
        <v>144.16</v>
      </c>
      <c r="M197" s="63">
        <f t="shared" si="20"/>
        <v>100.27</v>
      </c>
      <c r="N197" s="63">
        <f t="shared" si="21"/>
        <v>111.37</v>
      </c>
      <c r="O197" s="63">
        <f t="shared" si="22"/>
        <v>116.97</v>
      </c>
    </row>
    <row r="198" spans="1:15">
      <c r="A198" s="9" t="s">
        <v>240</v>
      </c>
      <c r="B198" s="64">
        <f t="shared" si="8"/>
        <v>0.10199999999999999</v>
      </c>
      <c r="C198" s="31">
        <v>4</v>
      </c>
      <c r="D198" s="13" t="s">
        <v>25</v>
      </c>
      <c r="E198" s="13" t="s">
        <v>154</v>
      </c>
      <c r="F198" s="32" t="s">
        <v>84</v>
      </c>
      <c r="G198" s="336">
        <v>12.352</v>
      </c>
      <c r="H198" s="15">
        <f t="shared" si="16"/>
        <v>148.22</v>
      </c>
      <c r="I198" s="68">
        <f t="shared" si="17"/>
        <v>164.65</v>
      </c>
      <c r="J198" s="15">
        <f t="shared" si="18"/>
        <v>172.93</v>
      </c>
      <c r="K198" s="337">
        <v>6.9993069993069978E-2</v>
      </c>
      <c r="L198" s="63">
        <f t="shared" si="19"/>
        <v>142.07</v>
      </c>
      <c r="M198" s="63">
        <f t="shared" si="20"/>
        <v>98.81</v>
      </c>
      <c r="N198" s="63">
        <f t="shared" si="21"/>
        <v>109.77</v>
      </c>
      <c r="O198" s="63">
        <f t="shared" si="22"/>
        <v>115.29</v>
      </c>
    </row>
    <row r="199" spans="1:15">
      <c r="A199" s="9" t="s">
        <v>240</v>
      </c>
      <c r="B199" s="64">
        <f t="shared" si="8"/>
        <v>0.10199999999999999</v>
      </c>
      <c r="C199" s="31">
        <v>4</v>
      </c>
      <c r="D199" s="13" t="s">
        <v>25</v>
      </c>
      <c r="E199" s="13" t="s">
        <v>154</v>
      </c>
      <c r="F199" s="32" t="s">
        <v>166</v>
      </c>
      <c r="G199" s="336">
        <v>15.286</v>
      </c>
      <c r="H199" s="15">
        <f t="shared" si="16"/>
        <v>183.43</v>
      </c>
      <c r="I199" s="68">
        <f t="shared" si="17"/>
        <v>203.76</v>
      </c>
      <c r="J199" s="15">
        <f t="shared" si="18"/>
        <v>214</v>
      </c>
      <c r="K199" s="337">
        <v>5.0006869075422511E-2</v>
      </c>
      <c r="L199" s="63">
        <f t="shared" si="19"/>
        <v>175.82</v>
      </c>
      <c r="M199" s="63">
        <f t="shared" si="20"/>
        <v>122.29</v>
      </c>
      <c r="N199" s="63">
        <f t="shared" si="21"/>
        <v>135.84</v>
      </c>
      <c r="O199" s="63">
        <f t="shared" si="22"/>
        <v>142.66999999999999</v>
      </c>
    </row>
    <row r="200" spans="1:15">
      <c r="A200" s="9" t="s">
        <v>240</v>
      </c>
      <c r="B200" s="64">
        <f t="shared" si="8"/>
        <v>0.10199999999999999</v>
      </c>
      <c r="C200" s="31">
        <v>4</v>
      </c>
      <c r="D200" s="13" t="s">
        <v>25</v>
      </c>
      <c r="E200" s="13" t="s">
        <v>154</v>
      </c>
      <c r="F200" s="32" t="s">
        <v>85</v>
      </c>
      <c r="G200" s="336">
        <v>15.228999999999999</v>
      </c>
      <c r="H200" s="15">
        <f t="shared" si="16"/>
        <v>182.75</v>
      </c>
      <c r="I200" s="68">
        <f t="shared" si="17"/>
        <v>203</v>
      </c>
      <c r="J200" s="15">
        <f t="shared" si="18"/>
        <v>213.21</v>
      </c>
      <c r="K200" s="337">
        <v>4.998621070049647E-2</v>
      </c>
      <c r="L200" s="63">
        <f t="shared" si="19"/>
        <v>175.17</v>
      </c>
      <c r="M200" s="63">
        <f t="shared" si="20"/>
        <v>121.83</v>
      </c>
      <c r="N200" s="63">
        <f t="shared" si="21"/>
        <v>135.33000000000001</v>
      </c>
      <c r="O200" s="63">
        <f t="shared" si="22"/>
        <v>142.13999999999999</v>
      </c>
    </row>
    <row r="201" spans="1:15">
      <c r="A201" s="9" t="s">
        <v>240</v>
      </c>
      <c r="B201" s="64">
        <f t="shared" si="8"/>
        <v>0.127</v>
      </c>
      <c r="C201" s="31">
        <v>5</v>
      </c>
      <c r="D201" s="13" t="s">
        <v>25</v>
      </c>
      <c r="E201" s="13" t="s">
        <v>154</v>
      </c>
      <c r="F201" s="32" t="s">
        <v>86</v>
      </c>
      <c r="G201" s="336">
        <v>15.259</v>
      </c>
      <c r="H201" s="15">
        <f t="shared" si="16"/>
        <v>183.11</v>
      </c>
      <c r="I201" s="68">
        <f t="shared" si="17"/>
        <v>203.4</v>
      </c>
      <c r="J201" s="15">
        <f t="shared" si="18"/>
        <v>213.63</v>
      </c>
      <c r="K201" s="337">
        <v>5.0027525461051603E-2</v>
      </c>
      <c r="L201" s="63">
        <f t="shared" si="19"/>
        <v>175.52</v>
      </c>
      <c r="M201" s="63">
        <f t="shared" si="20"/>
        <v>122.07</v>
      </c>
      <c r="N201" s="63">
        <f t="shared" si="21"/>
        <v>135.6</v>
      </c>
      <c r="O201" s="63">
        <f t="shared" si="22"/>
        <v>142.41999999999999</v>
      </c>
    </row>
    <row r="202" spans="1:15">
      <c r="A202" s="9" t="s">
        <v>240</v>
      </c>
      <c r="B202" s="64">
        <f t="shared" si="8"/>
        <v>0.127</v>
      </c>
      <c r="C202" s="31">
        <v>5</v>
      </c>
      <c r="D202" s="13" t="s">
        <v>25</v>
      </c>
      <c r="E202" s="13" t="s">
        <v>154</v>
      </c>
      <c r="F202" s="32" t="s">
        <v>84</v>
      </c>
      <c r="G202" s="336">
        <v>12.532999999999999</v>
      </c>
      <c r="H202" s="15">
        <f t="shared" si="16"/>
        <v>150.4</v>
      </c>
      <c r="I202" s="68">
        <f t="shared" si="17"/>
        <v>167.06</v>
      </c>
      <c r="J202" s="15">
        <f t="shared" si="18"/>
        <v>175.46</v>
      </c>
      <c r="K202" s="337">
        <v>7.0007683770169971E-2</v>
      </c>
      <c r="L202" s="63">
        <f t="shared" si="19"/>
        <v>144.16</v>
      </c>
      <c r="M202" s="63">
        <f t="shared" si="20"/>
        <v>100.27</v>
      </c>
      <c r="N202" s="63">
        <f t="shared" si="21"/>
        <v>111.37</v>
      </c>
      <c r="O202" s="63">
        <f t="shared" si="22"/>
        <v>116.97</v>
      </c>
    </row>
    <row r="203" spans="1:15">
      <c r="A203" s="9" t="s">
        <v>240</v>
      </c>
      <c r="B203" s="64">
        <f t="shared" si="8"/>
        <v>0.127</v>
      </c>
      <c r="C203" s="31">
        <v>5</v>
      </c>
      <c r="D203" s="13" t="s">
        <v>25</v>
      </c>
      <c r="E203" s="13" t="s">
        <v>154</v>
      </c>
      <c r="F203" s="32" t="s">
        <v>166</v>
      </c>
      <c r="G203" s="336">
        <v>15.286</v>
      </c>
      <c r="H203" s="15">
        <f t="shared" si="16"/>
        <v>183.43</v>
      </c>
      <c r="I203" s="68">
        <f t="shared" si="17"/>
        <v>203.76</v>
      </c>
      <c r="J203" s="15">
        <f t="shared" si="18"/>
        <v>214</v>
      </c>
      <c r="K203" s="337">
        <v>5.0006869075422511E-2</v>
      </c>
      <c r="L203" s="63">
        <f t="shared" si="19"/>
        <v>175.82</v>
      </c>
      <c r="M203" s="63">
        <f t="shared" si="20"/>
        <v>122.29</v>
      </c>
      <c r="N203" s="63">
        <f t="shared" si="21"/>
        <v>135.84</v>
      </c>
      <c r="O203" s="63">
        <f t="shared" si="22"/>
        <v>142.66999999999999</v>
      </c>
    </row>
    <row r="204" spans="1:15">
      <c r="A204" s="9" t="s">
        <v>240</v>
      </c>
      <c r="B204" s="64">
        <f t="shared" si="8"/>
        <v>0.127</v>
      </c>
      <c r="C204" s="31">
        <v>5</v>
      </c>
      <c r="D204" s="13" t="s">
        <v>25</v>
      </c>
      <c r="E204" s="13" t="s">
        <v>154</v>
      </c>
      <c r="F204" s="32" t="s">
        <v>117</v>
      </c>
      <c r="G204" s="336">
        <v>15.286</v>
      </c>
      <c r="H204" s="15">
        <f t="shared" si="16"/>
        <v>183.43</v>
      </c>
      <c r="I204" s="68">
        <f t="shared" si="17"/>
        <v>203.76</v>
      </c>
      <c r="J204" s="15">
        <f t="shared" si="18"/>
        <v>214</v>
      </c>
      <c r="K204" s="337">
        <v>5.0006869075422511E-2</v>
      </c>
      <c r="L204" s="63">
        <f t="shared" si="19"/>
        <v>175.82</v>
      </c>
      <c r="M204" s="63">
        <f t="shared" si="20"/>
        <v>122.29</v>
      </c>
      <c r="N204" s="63">
        <f t="shared" si="21"/>
        <v>135.84</v>
      </c>
      <c r="O204" s="63">
        <f t="shared" si="22"/>
        <v>142.66999999999999</v>
      </c>
    </row>
    <row r="205" spans="1:15">
      <c r="A205" s="9" t="s">
        <v>240</v>
      </c>
      <c r="B205" s="64">
        <f t="shared" si="8"/>
        <v>0.127</v>
      </c>
      <c r="C205" s="31">
        <v>5</v>
      </c>
      <c r="D205" s="13" t="s">
        <v>25</v>
      </c>
      <c r="E205" s="13" t="s">
        <v>154</v>
      </c>
      <c r="F205" s="32" t="s">
        <v>86</v>
      </c>
      <c r="G205" s="336">
        <v>15.295999999999999</v>
      </c>
      <c r="H205" s="15">
        <f t="shared" ref="H205:H268" si="23">ROUND(G205*12,2)</f>
        <v>183.55</v>
      </c>
      <c r="I205" s="68">
        <f t="shared" ref="I205:I268" si="24">ROUND(G205*13.33,2)</f>
        <v>203.9</v>
      </c>
      <c r="J205" s="15">
        <f t="shared" ref="J205:J268" si="25">ROUND(G205*14,2)</f>
        <v>214.14</v>
      </c>
      <c r="K205" s="337">
        <v>4.9972542559033384E-2</v>
      </c>
      <c r="L205" s="63">
        <f t="shared" ref="L205:L268" si="26">ROUND(ROUND(ROUND(G205*12,2)*43/48,2)*1.07,2)</f>
        <v>175.94</v>
      </c>
      <c r="M205" s="63">
        <f t="shared" ref="M205:M268" si="27">ROUND(ROUND(G205*12,2)*2/3,2)</f>
        <v>122.37</v>
      </c>
      <c r="N205" s="63">
        <f t="shared" ref="N205:N268" si="28">ROUND(ROUND(G205*13.33,2)*2/3,2)</f>
        <v>135.93</v>
      </c>
      <c r="O205" s="63">
        <f t="shared" ref="O205:O268" si="29">ROUND(ROUND(G205*14,2)*2/3,2)</f>
        <v>142.76</v>
      </c>
    </row>
    <row r="206" spans="1:15">
      <c r="A206" s="9" t="s">
        <v>240</v>
      </c>
      <c r="B206" s="64">
        <f t="shared" si="8"/>
        <v>0.152</v>
      </c>
      <c r="C206" s="31">
        <v>6</v>
      </c>
      <c r="D206" s="13" t="s">
        <v>25</v>
      </c>
      <c r="E206" s="13" t="s">
        <v>154</v>
      </c>
      <c r="F206" s="32" t="s">
        <v>117</v>
      </c>
      <c r="G206" s="336">
        <v>15.44</v>
      </c>
      <c r="H206" s="15">
        <f t="shared" si="23"/>
        <v>185.28</v>
      </c>
      <c r="I206" s="68">
        <f t="shared" si="24"/>
        <v>205.82</v>
      </c>
      <c r="J206" s="15">
        <f t="shared" si="25"/>
        <v>216.16</v>
      </c>
      <c r="K206" s="337">
        <v>4.9982998979938742E-2</v>
      </c>
      <c r="L206" s="63">
        <f t="shared" si="26"/>
        <v>177.6</v>
      </c>
      <c r="M206" s="63">
        <f t="shared" si="27"/>
        <v>123.52</v>
      </c>
      <c r="N206" s="63">
        <f t="shared" si="28"/>
        <v>137.21</v>
      </c>
      <c r="O206" s="63">
        <f t="shared" si="29"/>
        <v>144.11000000000001</v>
      </c>
    </row>
    <row r="207" spans="1:15">
      <c r="A207" s="9" t="s">
        <v>240</v>
      </c>
      <c r="B207" s="64">
        <f t="shared" si="8"/>
        <v>0.152</v>
      </c>
      <c r="C207" s="31">
        <v>6</v>
      </c>
      <c r="D207" s="13" t="s">
        <v>25</v>
      </c>
      <c r="E207" s="13" t="s">
        <v>154</v>
      </c>
      <c r="F207" s="32" t="s">
        <v>86</v>
      </c>
      <c r="G207" s="336">
        <v>15.295999999999999</v>
      </c>
      <c r="H207" s="15">
        <f t="shared" si="23"/>
        <v>183.55</v>
      </c>
      <c r="I207" s="68">
        <f t="shared" si="24"/>
        <v>203.9</v>
      </c>
      <c r="J207" s="15">
        <f t="shared" si="25"/>
        <v>214.14</v>
      </c>
      <c r="K207" s="337">
        <v>4.9972542559033384E-2</v>
      </c>
      <c r="L207" s="63">
        <f t="shared" si="26"/>
        <v>175.94</v>
      </c>
      <c r="M207" s="63">
        <f t="shared" si="27"/>
        <v>122.37</v>
      </c>
      <c r="N207" s="63">
        <f t="shared" si="28"/>
        <v>135.93</v>
      </c>
      <c r="O207" s="63">
        <f t="shared" si="29"/>
        <v>142.76</v>
      </c>
    </row>
    <row r="208" spans="1:15">
      <c r="A208" s="9" t="s">
        <v>240</v>
      </c>
      <c r="B208" s="64">
        <f t="shared" si="8"/>
        <v>0.17799999999999999</v>
      </c>
      <c r="C208" s="31">
        <v>7</v>
      </c>
      <c r="D208" s="13" t="s">
        <v>25</v>
      </c>
      <c r="E208" s="13" t="s">
        <v>154</v>
      </c>
      <c r="F208" s="32" t="s">
        <v>117</v>
      </c>
      <c r="G208" s="336">
        <v>15.593999999999999</v>
      </c>
      <c r="H208" s="15">
        <f t="shared" si="23"/>
        <v>187.13</v>
      </c>
      <c r="I208" s="68">
        <f t="shared" si="24"/>
        <v>207.87</v>
      </c>
      <c r="J208" s="15">
        <f t="shared" si="25"/>
        <v>218.32</v>
      </c>
      <c r="K208" s="337">
        <v>5.0030300989832188E-2</v>
      </c>
      <c r="L208" s="63">
        <f t="shared" si="26"/>
        <v>179.37</v>
      </c>
      <c r="M208" s="63">
        <f t="shared" si="27"/>
        <v>124.75</v>
      </c>
      <c r="N208" s="63">
        <f t="shared" si="28"/>
        <v>138.58000000000001</v>
      </c>
      <c r="O208" s="63">
        <f t="shared" si="29"/>
        <v>145.55000000000001</v>
      </c>
    </row>
    <row r="209" spans="1:15">
      <c r="A209" s="9" t="s">
        <v>240</v>
      </c>
      <c r="B209" s="64">
        <f t="shared" si="8"/>
        <v>0.17799999999999999</v>
      </c>
      <c r="C209" s="31">
        <v>7</v>
      </c>
      <c r="D209" s="13" t="s">
        <v>25</v>
      </c>
      <c r="E209" s="13" t="s">
        <v>154</v>
      </c>
      <c r="F209" s="32" t="s">
        <v>87</v>
      </c>
      <c r="G209" s="336">
        <v>15.538</v>
      </c>
      <c r="H209" s="15">
        <f t="shared" si="23"/>
        <v>186.46</v>
      </c>
      <c r="I209" s="68">
        <f t="shared" si="24"/>
        <v>207.12</v>
      </c>
      <c r="J209" s="15">
        <f t="shared" si="25"/>
        <v>217.53</v>
      </c>
      <c r="K209" s="337">
        <v>5.0006757669955437E-2</v>
      </c>
      <c r="L209" s="63">
        <f t="shared" si="26"/>
        <v>178.73</v>
      </c>
      <c r="M209" s="63">
        <f t="shared" si="27"/>
        <v>124.31</v>
      </c>
      <c r="N209" s="63">
        <f t="shared" si="28"/>
        <v>138.08000000000001</v>
      </c>
      <c r="O209" s="63">
        <f t="shared" si="29"/>
        <v>145.02000000000001</v>
      </c>
    </row>
    <row r="210" spans="1:15">
      <c r="A210" s="9" t="s">
        <v>240</v>
      </c>
      <c r="B210" s="64">
        <f t="shared" si="8"/>
        <v>0.20300000000000001</v>
      </c>
      <c r="C210" s="31">
        <v>8</v>
      </c>
      <c r="D210" s="13" t="s">
        <v>25</v>
      </c>
      <c r="E210" s="13" t="s">
        <v>154</v>
      </c>
      <c r="F210" s="32" t="s">
        <v>87</v>
      </c>
      <c r="G210" s="336">
        <v>15.837</v>
      </c>
      <c r="H210" s="15">
        <f t="shared" si="23"/>
        <v>190.04</v>
      </c>
      <c r="I210" s="68">
        <f t="shared" si="24"/>
        <v>211.11</v>
      </c>
      <c r="J210" s="15">
        <f t="shared" si="25"/>
        <v>221.72</v>
      </c>
      <c r="K210" s="337">
        <v>4.9990055028840352E-2</v>
      </c>
      <c r="L210" s="63">
        <f t="shared" si="26"/>
        <v>182.16</v>
      </c>
      <c r="M210" s="63">
        <f t="shared" si="27"/>
        <v>126.69</v>
      </c>
      <c r="N210" s="63">
        <f t="shared" si="28"/>
        <v>140.74</v>
      </c>
      <c r="O210" s="63">
        <f t="shared" si="29"/>
        <v>147.81</v>
      </c>
    </row>
    <row r="211" spans="1:15">
      <c r="A211" s="9" t="s">
        <v>240</v>
      </c>
      <c r="B211" s="64">
        <f t="shared" si="8"/>
        <v>0.254</v>
      </c>
      <c r="C211" s="31">
        <v>10</v>
      </c>
      <c r="D211" s="13" t="s">
        <v>25</v>
      </c>
      <c r="E211" s="13" t="s">
        <v>154</v>
      </c>
      <c r="F211" s="32" t="s">
        <v>89</v>
      </c>
      <c r="G211" s="336">
        <v>16.707999999999998</v>
      </c>
      <c r="H211" s="15">
        <f t="shared" si="23"/>
        <v>200.5</v>
      </c>
      <c r="I211" s="68">
        <f t="shared" si="24"/>
        <v>222.72</v>
      </c>
      <c r="J211" s="15">
        <f t="shared" si="25"/>
        <v>233.91</v>
      </c>
      <c r="K211" s="337">
        <v>5.00251382604322E-2</v>
      </c>
      <c r="L211" s="63">
        <f t="shared" si="26"/>
        <v>192.18</v>
      </c>
      <c r="M211" s="63">
        <f t="shared" si="27"/>
        <v>133.66999999999999</v>
      </c>
      <c r="N211" s="63">
        <f t="shared" si="28"/>
        <v>148.47999999999999</v>
      </c>
      <c r="O211" s="63">
        <f t="shared" si="29"/>
        <v>155.94</v>
      </c>
    </row>
    <row r="212" spans="1:15">
      <c r="A212" s="9" t="s">
        <v>240</v>
      </c>
      <c r="B212" s="64">
        <f t="shared" si="8"/>
        <v>0.30499999999999999</v>
      </c>
      <c r="C212" s="31">
        <v>12</v>
      </c>
      <c r="D212" s="13" t="s">
        <v>25</v>
      </c>
      <c r="E212" s="13" t="s">
        <v>154</v>
      </c>
      <c r="F212" s="32" t="s">
        <v>167</v>
      </c>
      <c r="G212" s="336">
        <v>22.05</v>
      </c>
      <c r="H212" s="15">
        <f t="shared" si="23"/>
        <v>264.60000000000002</v>
      </c>
      <c r="I212" s="68">
        <f t="shared" si="24"/>
        <v>293.93</v>
      </c>
      <c r="J212" s="15">
        <f t="shared" si="25"/>
        <v>308.7</v>
      </c>
      <c r="K212" s="337">
        <v>5.0000000000000044E-2</v>
      </c>
      <c r="L212" s="63">
        <f t="shared" si="26"/>
        <v>253.63</v>
      </c>
      <c r="M212" s="63">
        <f t="shared" si="27"/>
        <v>176.4</v>
      </c>
      <c r="N212" s="63">
        <f t="shared" si="28"/>
        <v>195.95</v>
      </c>
      <c r="O212" s="63">
        <f t="shared" si="29"/>
        <v>205.8</v>
      </c>
    </row>
    <row r="213" spans="1:15">
      <c r="A213" s="9" t="s">
        <v>240</v>
      </c>
      <c r="B213" s="64">
        <f t="shared" si="8"/>
        <v>0.38100000000000001</v>
      </c>
      <c r="C213" s="31">
        <v>15</v>
      </c>
      <c r="D213" s="13" t="s">
        <v>25</v>
      </c>
      <c r="E213" s="13" t="s">
        <v>154</v>
      </c>
      <c r="F213" s="32" t="s">
        <v>219</v>
      </c>
      <c r="G213" s="336">
        <v>27.352</v>
      </c>
      <c r="H213" s="15">
        <f t="shared" si="23"/>
        <v>328.22</v>
      </c>
      <c r="I213" s="68">
        <f t="shared" si="24"/>
        <v>364.6</v>
      </c>
      <c r="J213" s="15">
        <f t="shared" si="25"/>
        <v>382.93</v>
      </c>
      <c r="K213" s="337">
        <v>4.0000000000000036E-2</v>
      </c>
      <c r="L213" s="63">
        <f t="shared" si="26"/>
        <v>314.61</v>
      </c>
      <c r="M213" s="63">
        <f t="shared" si="27"/>
        <v>218.81</v>
      </c>
      <c r="N213" s="63">
        <f t="shared" si="28"/>
        <v>243.07</v>
      </c>
      <c r="O213" s="63">
        <f t="shared" si="29"/>
        <v>255.29</v>
      </c>
    </row>
    <row r="214" spans="1:15">
      <c r="A214" s="9" t="s">
        <v>240</v>
      </c>
      <c r="B214" s="64">
        <f t="shared" si="8"/>
        <v>0.40600000000000003</v>
      </c>
      <c r="C214" s="31">
        <v>16</v>
      </c>
      <c r="D214" s="13" t="s">
        <v>25</v>
      </c>
      <c r="E214" s="13" t="s">
        <v>154</v>
      </c>
      <c r="F214" s="32" t="s">
        <v>219</v>
      </c>
      <c r="G214" s="336">
        <v>27.923999999999999</v>
      </c>
      <c r="H214" s="15">
        <f t="shared" si="23"/>
        <v>335.09</v>
      </c>
      <c r="I214" s="68">
        <f t="shared" si="24"/>
        <v>372.23</v>
      </c>
      <c r="J214" s="15">
        <f t="shared" si="25"/>
        <v>390.94</v>
      </c>
      <c r="K214" s="337">
        <v>4.0000000000000036E-2</v>
      </c>
      <c r="L214" s="63">
        <f t="shared" si="26"/>
        <v>321.19</v>
      </c>
      <c r="M214" s="63">
        <f t="shared" si="27"/>
        <v>223.39</v>
      </c>
      <c r="N214" s="63">
        <f t="shared" si="28"/>
        <v>248.15</v>
      </c>
      <c r="O214" s="63">
        <f t="shared" si="29"/>
        <v>260.63</v>
      </c>
    </row>
    <row r="215" spans="1:15">
      <c r="A215" s="9" t="s">
        <v>240</v>
      </c>
      <c r="B215" s="64">
        <f t="shared" si="8"/>
        <v>0.40600000000000003</v>
      </c>
      <c r="C215" s="31">
        <v>16</v>
      </c>
      <c r="D215" s="13" t="s">
        <v>25</v>
      </c>
      <c r="E215" s="13" t="s">
        <v>154</v>
      </c>
      <c r="F215" s="32" t="s">
        <v>129</v>
      </c>
      <c r="G215" s="336">
        <v>27.923999999999999</v>
      </c>
      <c r="H215" s="15">
        <f t="shared" si="23"/>
        <v>335.09</v>
      </c>
      <c r="I215" s="68">
        <f t="shared" si="24"/>
        <v>372.23</v>
      </c>
      <c r="J215" s="15">
        <f t="shared" si="25"/>
        <v>390.94</v>
      </c>
      <c r="K215" s="337">
        <v>4.0000000000000036E-2</v>
      </c>
      <c r="L215" s="63">
        <f t="shared" si="26"/>
        <v>321.19</v>
      </c>
      <c r="M215" s="63">
        <f t="shared" si="27"/>
        <v>223.39</v>
      </c>
      <c r="N215" s="63">
        <f t="shared" si="28"/>
        <v>248.15</v>
      </c>
      <c r="O215" s="63">
        <f t="shared" si="29"/>
        <v>260.63</v>
      </c>
    </row>
    <row r="216" spans="1:15">
      <c r="A216" s="9" t="s">
        <v>240</v>
      </c>
      <c r="B216" s="64">
        <f t="shared" si="8"/>
        <v>0.50800000000000001</v>
      </c>
      <c r="C216" s="31">
        <v>20</v>
      </c>
      <c r="D216" s="13" t="s">
        <v>25</v>
      </c>
      <c r="E216" s="13" t="s">
        <v>154</v>
      </c>
      <c r="F216" s="32" t="s">
        <v>129</v>
      </c>
      <c r="G216" s="336">
        <v>29.64</v>
      </c>
      <c r="H216" s="15">
        <f t="shared" si="23"/>
        <v>355.68</v>
      </c>
      <c r="I216" s="68">
        <f t="shared" si="24"/>
        <v>395.1</v>
      </c>
      <c r="J216" s="15">
        <f t="shared" si="25"/>
        <v>414.96</v>
      </c>
      <c r="K216" s="337">
        <v>4.0000000000000036E-2</v>
      </c>
      <c r="L216" s="63">
        <f t="shared" si="26"/>
        <v>340.93</v>
      </c>
      <c r="M216" s="63">
        <f t="shared" si="27"/>
        <v>237.12</v>
      </c>
      <c r="N216" s="63">
        <f t="shared" si="28"/>
        <v>263.39999999999998</v>
      </c>
      <c r="O216" s="63">
        <f t="shared" si="29"/>
        <v>276.64</v>
      </c>
    </row>
    <row r="217" spans="1:15">
      <c r="A217" s="9" t="s">
        <v>240</v>
      </c>
      <c r="B217" s="64">
        <f t="shared" si="8"/>
        <v>0.50800000000000001</v>
      </c>
      <c r="C217" s="31">
        <v>20</v>
      </c>
      <c r="D217" s="13" t="s">
        <v>25</v>
      </c>
      <c r="E217" s="13" t="s">
        <v>154</v>
      </c>
      <c r="F217" s="32" t="s">
        <v>91</v>
      </c>
      <c r="G217" s="336">
        <v>32.734000000000002</v>
      </c>
      <c r="H217" s="15">
        <f t="shared" si="23"/>
        <v>392.81</v>
      </c>
      <c r="I217" s="68">
        <f t="shared" si="24"/>
        <v>436.34</v>
      </c>
      <c r="J217" s="15">
        <f t="shared" si="25"/>
        <v>458.28</v>
      </c>
      <c r="K217" s="337">
        <v>4.0000000000000036E-2</v>
      </c>
      <c r="L217" s="63">
        <f t="shared" si="26"/>
        <v>376.52</v>
      </c>
      <c r="M217" s="63">
        <f t="shared" si="27"/>
        <v>261.87</v>
      </c>
      <c r="N217" s="63">
        <f t="shared" si="28"/>
        <v>290.89</v>
      </c>
      <c r="O217" s="63">
        <f t="shared" si="29"/>
        <v>305.52</v>
      </c>
    </row>
    <row r="218" spans="1:15">
      <c r="A218" s="9" t="s">
        <v>240</v>
      </c>
      <c r="B218" s="64">
        <f t="shared" si="8"/>
        <v>0.61</v>
      </c>
      <c r="C218" s="31">
        <v>24</v>
      </c>
      <c r="D218" s="13" t="s">
        <v>25</v>
      </c>
      <c r="E218" s="13" t="s">
        <v>154</v>
      </c>
      <c r="F218" s="32" t="s">
        <v>91</v>
      </c>
      <c r="G218" s="336">
        <v>33.15</v>
      </c>
      <c r="H218" s="15">
        <f t="shared" si="23"/>
        <v>397.8</v>
      </c>
      <c r="I218" s="68">
        <f t="shared" si="24"/>
        <v>441.89</v>
      </c>
      <c r="J218" s="15">
        <f t="shared" si="25"/>
        <v>464.1</v>
      </c>
      <c r="K218" s="337">
        <v>4.0000000000000036E-2</v>
      </c>
      <c r="L218" s="63">
        <f t="shared" si="26"/>
        <v>381.31</v>
      </c>
      <c r="M218" s="63">
        <f t="shared" si="27"/>
        <v>265.2</v>
      </c>
      <c r="N218" s="63">
        <f t="shared" si="28"/>
        <v>294.58999999999997</v>
      </c>
      <c r="O218" s="63">
        <f t="shared" si="29"/>
        <v>309.39999999999998</v>
      </c>
    </row>
    <row r="219" spans="1:15">
      <c r="A219" s="9" t="s">
        <v>240</v>
      </c>
      <c r="B219" s="64">
        <f t="shared" si="8"/>
        <v>0.63500000000000001</v>
      </c>
      <c r="C219" s="31">
        <v>25</v>
      </c>
      <c r="D219" s="13" t="s">
        <v>25</v>
      </c>
      <c r="E219" s="13" t="s">
        <v>154</v>
      </c>
      <c r="F219" s="32" t="s">
        <v>88</v>
      </c>
      <c r="G219" s="336">
        <v>34.405000000000001</v>
      </c>
      <c r="H219" s="15">
        <f t="shared" si="23"/>
        <v>412.86</v>
      </c>
      <c r="I219" s="68">
        <f t="shared" si="24"/>
        <v>458.62</v>
      </c>
      <c r="J219" s="15">
        <f t="shared" si="25"/>
        <v>481.67</v>
      </c>
      <c r="K219" s="337">
        <v>3.9991536182818477E-2</v>
      </c>
      <c r="L219" s="63">
        <f t="shared" si="26"/>
        <v>395.74</v>
      </c>
      <c r="M219" s="63">
        <f t="shared" si="27"/>
        <v>275.24</v>
      </c>
      <c r="N219" s="63">
        <f t="shared" si="28"/>
        <v>305.75</v>
      </c>
      <c r="O219" s="63">
        <f t="shared" si="29"/>
        <v>321.11</v>
      </c>
    </row>
    <row r="220" spans="1:15">
      <c r="A220" s="9" t="s">
        <v>240</v>
      </c>
      <c r="B220" s="64">
        <f t="shared" si="8"/>
        <v>0.76200000000000001</v>
      </c>
      <c r="C220" s="31">
        <v>30</v>
      </c>
      <c r="D220" s="13" t="s">
        <v>25</v>
      </c>
      <c r="E220" s="13" t="s">
        <v>154</v>
      </c>
      <c r="F220" s="32" t="s">
        <v>131</v>
      </c>
      <c r="G220" s="336">
        <v>43.68</v>
      </c>
      <c r="H220" s="15">
        <f t="shared" si="23"/>
        <v>524.16</v>
      </c>
      <c r="I220" s="68">
        <f t="shared" si="24"/>
        <v>582.25</v>
      </c>
      <c r="J220" s="15">
        <f t="shared" si="25"/>
        <v>611.52</v>
      </c>
      <c r="K220" s="337">
        <v>4.0000000000000036E-2</v>
      </c>
      <c r="L220" s="63">
        <f t="shared" si="26"/>
        <v>502.43</v>
      </c>
      <c r="M220" s="63">
        <f t="shared" si="27"/>
        <v>349.44</v>
      </c>
      <c r="N220" s="63">
        <f t="shared" si="28"/>
        <v>388.17</v>
      </c>
      <c r="O220" s="63">
        <f t="shared" si="29"/>
        <v>407.68</v>
      </c>
    </row>
    <row r="221" spans="1:15">
      <c r="A221" s="9" t="s">
        <v>242</v>
      </c>
      <c r="B221" s="64">
        <f t="shared" si="8"/>
        <v>5.0999999999999997E-2</v>
      </c>
      <c r="C221" s="31">
        <v>2</v>
      </c>
      <c r="D221" s="12" t="s">
        <v>28</v>
      </c>
      <c r="E221" s="13" t="s">
        <v>154</v>
      </c>
      <c r="F221" s="32" t="s">
        <v>217</v>
      </c>
      <c r="G221" s="336">
        <v>14.727</v>
      </c>
      <c r="H221" s="15">
        <f t="shared" si="23"/>
        <v>176.72</v>
      </c>
      <c r="I221" s="68">
        <f t="shared" si="24"/>
        <v>196.31</v>
      </c>
      <c r="J221" s="15">
        <f t="shared" si="25"/>
        <v>206.18</v>
      </c>
      <c r="K221" s="337">
        <v>6.9965126416739354E-2</v>
      </c>
      <c r="L221" s="63">
        <f t="shared" si="26"/>
        <v>169.39</v>
      </c>
      <c r="M221" s="63">
        <f t="shared" si="27"/>
        <v>117.81</v>
      </c>
      <c r="N221" s="63">
        <f t="shared" si="28"/>
        <v>130.87</v>
      </c>
      <c r="O221" s="63">
        <f t="shared" si="29"/>
        <v>137.44999999999999</v>
      </c>
    </row>
    <row r="222" spans="1:15">
      <c r="A222" s="9" t="s">
        <v>240</v>
      </c>
      <c r="B222" s="64">
        <f t="shared" si="8"/>
        <v>6.4000000000000001E-2</v>
      </c>
      <c r="C222" s="31">
        <v>2.5</v>
      </c>
      <c r="D222" s="12" t="s">
        <v>28</v>
      </c>
      <c r="E222" s="13" t="s">
        <v>154</v>
      </c>
      <c r="F222" s="32" t="s">
        <v>122</v>
      </c>
      <c r="G222" s="336">
        <v>14.727</v>
      </c>
      <c r="H222" s="15">
        <f t="shared" si="23"/>
        <v>176.72</v>
      </c>
      <c r="I222" s="68">
        <f t="shared" si="24"/>
        <v>196.31</v>
      </c>
      <c r="J222" s="15">
        <f t="shared" si="25"/>
        <v>206.18</v>
      </c>
      <c r="K222" s="337">
        <v>6.9965126416739354E-2</v>
      </c>
      <c r="L222" s="63">
        <f t="shared" si="26"/>
        <v>169.39</v>
      </c>
      <c r="M222" s="63">
        <f t="shared" si="27"/>
        <v>117.81</v>
      </c>
      <c r="N222" s="63">
        <f t="shared" si="28"/>
        <v>130.87</v>
      </c>
      <c r="O222" s="63">
        <f t="shared" si="29"/>
        <v>137.44999999999999</v>
      </c>
    </row>
    <row r="223" spans="1:15">
      <c r="A223" s="9" t="s">
        <v>240</v>
      </c>
      <c r="B223" s="64">
        <f t="shared" si="8"/>
        <v>7.5999999999999998E-2</v>
      </c>
      <c r="C223" s="31">
        <v>3</v>
      </c>
      <c r="D223" s="12" t="s">
        <v>28</v>
      </c>
      <c r="E223" s="13" t="s">
        <v>154</v>
      </c>
      <c r="F223" s="32" t="s">
        <v>81</v>
      </c>
      <c r="G223" s="336">
        <v>14.984999999999999</v>
      </c>
      <c r="H223" s="15">
        <f t="shared" si="23"/>
        <v>179.82</v>
      </c>
      <c r="I223" s="68">
        <f t="shared" si="24"/>
        <v>199.75</v>
      </c>
      <c r="J223" s="15">
        <f t="shared" si="25"/>
        <v>209.79</v>
      </c>
      <c r="K223" s="337">
        <v>6.9975008925383664E-2</v>
      </c>
      <c r="L223" s="63">
        <f t="shared" si="26"/>
        <v>172.37</v>
      </c>
      <c r="M223" s="63">
        <f t="shared" si="27"/>
        <v>119.88</v>
      </c>
      <c r="N223" s="63">
        <f t="shared" si="28"/>
        <v>133.16999999999999</v>
      </c>
      <c r="O223" s="63">
        <f t="shared" si="29"/>
        <v>139.86000000000001</v>
      </c>
    </row>
    <row r="224" spans="1:15">
      <c r="A224" s="9" t="s">
        <v>240</v>
      </c>
      <c r="B224" s="64">
        <f t="shared" si="8"/>
        <v>7.5999999999999998E-2</v>
      </c>
      <c r="C224" s="31">
        <v>3</v>
      </c>
      <c r="D224" s="12" t="s">
        <v>28</v>
      </c>
      <c r="E224" s="13" t="s">
        <v>154</v>
      </c>
      <c r="F224" s="32" t="s">
        <v>122</v>
      </c>
      <c r="G224" s="336">
        <v>14.727</v>
      </c>
      <c r="H224" s="15">
        <f t="shared" si="23"/>
        <v>176.72</v>
      </c>
      <c r="I224" s="68">
        <f t="shared" si="24"/>
        <v>196.31</v>
      </c>
      <c r="J224" s="15">
        <f t="shared" si="25"/>
        <v>206.18</v>
      </c>
      <c r="K224" s="337">
        <v>6.9965126416739354E-2</v>
      </c>
      <c r="L224" s="63">
        <f t="shared" si="26"/>
        <v>169.39</v>
      </c>
      <c r="M224" s="63">
        <f t="shared" si="27"/>
        <v>117.81</v>
      </c>
      <c r="N224" s="63">
        <f t="shared" si="28"/>
        <v>130.87</v>
      </c>
      <c r="O224" s="63">
        <f t="shared" si="29"/>
        <v>137.44999999999999</v>
      </c>
    </row>
    <row r="225" spans="1:15">
      <c r="A225" s="9" t="s">
        <v>240</v>
      </c>
      <c r="B225" s="64">
        <f t="shared" si="8"/>
        <v>7.5999999999999998E-2</v>
      </c>
      <c r="C225" s="31">
        <v>3</v>
      </c>
      <c r="D225" s="12" t="s">
        <v>28</v>
      </c>
      <c r="E225" s="13" t="s">
        <v>154</v>
      </c>
      <c r="F225" s="32" t="s">
        <v>123</v>
      </c>
      <c r="G225" s="336">
        <v>14.727</v>
      </c>
      <c r="H225" s="15">
        <f t="shared" si="23"/>
        <v>176.72</v>
      </c>
      <c r="I225" s="68">
        <f t="shared" si="24"/>
        <v>196.31</v>
      </c>
      <c r="J225" s="15">
        <f t="shared" si="25"/>
        <v>206.18</v>
      </c>
      <c r="K225" s="337">
        <v>6.9965126416739354E-2</v>
      </c>
      <c r="L225" s="63">
        <f t="shared" si="26"/>
        <v>169.39</v>
      </c>
      <c r="M225" s="63">
        <f t="shared" si="27"/>
        <v>117.81</v>
      </c>
      <c r="N225" s="63">
        <f t="shared" si="28"/>
        <v>130.87</v>
      </c>
      <c r="O225" s="63">
        <f t="shared" si="29"/>
        <v>137.44999999999999</v>
      </c>
    </row>
    <row r="226" spans="1:15">
      <c r="A226" s="9" t="s">
        <v>240</v>
      </c>
      <c r="B226" s="64">
        <f t="shared" si="8"/>
        <v>7.5999999999999998E-2</v>
      </c>
      <c r="C226" s="31">
        <v>3</v>
      </c>
      <c r="D226" s="12" t="s">
        <v>28</v>
      </c>
      <c r="E226" s="13" t="s">
        <v>154</v>
      </c>
      <c r="F226" s="32" t="s">
        <v>140</v>
      </c>
      <c r="G226" s="336">
        <v>19.356000000000002</v>
      </c>
      <c r="H226" s="15">
        <f t="shared" si="23"/>
        <v>232.27</v>
      </c>
      <c r="I226" s="68">
        <f t="shared" si="24"/>
        <v>258.02</v>
      </c>
      <c r="J226" s="15">
        <f t="shared" si="25"/>
        <v>270.98</v>
      </c>
      <c r="K226" s="337">
        <v>5.0016274275794803E-2</v>
      </c>
      <c r="L226" s="63">
        <f t="shared" si="26"/>
        <v>222.65</v>
      </c>
      <c r="M226" s="63">
        <f t="shared" si="27"/>
        <v>154.85</v>
      </c>
      <c r="N226" s="63">
        <f t="shared" si="28"/>
        <v>172.01</v>
      </c>
      <c r="O226" s="63">
        <f t="shared" si="29"/>
        <v>180.65</v>
      </c>
    </row>
    <row r="227" spans="1:15">
      <c r="A227" s="9" t="s">
        <v>240</v>
      </c>
      <c r="B227" s="64">
        <f t="shared" si="8"/>
        <v>8.8999999999999996E-2</v>
      </c>
      <c r="C227" s="31">
        <v>3.5</v>
      </c>
      <c r="D227" s="12" t="s">
        <v>28</v>
      </c>
      <c r="E227" s="13" t="s">
        <v>154</v>
      </c>
      <c r="F227" s="32" t="s">
        <v>81</v>
      </c>
      <c r="G227" s="336">
        <v>14.845000000000001</v>
      </c>
      <c r="H227" s="15">
        <f t="shared" si="23"/>
        <v>178.14</v>
      </c>
      <c r="I227" s="68">
        <f t="shared" si="24"/>
        <v>197.88</v>
      </c>
      <c r="J227" s="15">
        <f t="shared" si="25"/>
        <v>207.83</v>
      </c>
      <c r="K227" s="337">
        <v>6.9987026091970606E-2</v>
      </c>
      <c r="L227" s="63">
        <f t="shared" si="26"/>
        <v>170.75</v>
      </c>
      <c r="M227" s="63">
        <f t="shared" si="27"/>
        <v>118.76</v>
      </c>
      <c r="N227" s="63">
        <f t="shared" si="28"/>
        <v>131.91999999999999</v>
      </c>
      <c r="O227" s="63">
        <f t="shared" si="29"/>
        <v>138.55000000000001</v>
      </c>
    </row>
    <row r="228" spans="1:15">
      <c r="A228" s="9" t="s">
        <v>240</v>
      </c>
      <c r="B228" s="64">
        <f t="shared" si="8"/>
        <v>8.8999999999999996E-2</v>
      </c>
      <c r="C228" s="31">
        <v>3.5</v>
      </c>
      <c r="D228" s="12" t="s">
        <v>28</v>
      </c>
      <c r="E228" s="13" t="s">
        <v>154</v>
      </c>
      <c r="F228" s="32" t="s">
        <v>122</v>
      </c>
      <c r="G228" s="336">
        <v>14.77</v>
      </c>
      <c r="H228" s="15">
        <f t="shared" si="23"/>
        <v>177.24</v>
      </c>
      <c r="I228" s="68">
        <f t="shared" si="24"/>
        <v>196.88</v>
      </c>
      <c r="J228" s="15">
        <f t="shared" si="25"/>
        <v>206.78</v>
      </c>
      <c r="K228" s="337">
        <v>6.9979716024340721E-2</v>
      </c>
      <c r="L228" s="63">
        <f t="shared" si="26"/>
        <v>169.89</v>
      </c>
      <c r="M228" s="63">
        <f t="shared" si="27"/>
        <v>118.16</v>
      </c>
      <c r="N228" s="63">
        <f t="shared" si="28"/>
        <v>131.25</v>
      </c>
      <c r="O228" s="63">
        <f t="shared" si="29"/>
        <v>137.85</v>
      </c>
    </row>
    <row r="229" spans="1:15">
      <c r="A229" s="9" t="s">
        <v>240</v>
      </c>
      <c r="B229" s="64">
        <f t="shared" si="8"/>
        <v>8.8999999999999996E-2</v>
      </c>
      <c r="C229" s="31">
        <v>3.5</v>
      </c>
      <c r="D229" s="12" t="s">
        <v>28</v>
      </c>
      <c r="E229" s="13" t="s">
        <v>154</v>
      </c>
      <c r="F229" s="32" t="s">
        <v>123</v>
      </c>
      <c r="G229" s="336">
        <v>14.909000000000001</v>
      </c>
      <c r="H229" s="15">
        <f t="shared" si="23"/>
        <v>178.91</v>
      </c>
      <c r="I229" s="68">
        <f t="shared" si="24"/>
        <v>198.74</v>
      </c>
      <c r="J229" s="15">
        <f t="shared" si="25"/>
        <v>208.73</v>
      </c>
      <c r="K229" s="337">
        <v>6.997272857758019E-2</v>
      </c>
      <c r="L229" s="63">
        <f t="shared" si="26"/>
        <v>171.49</v>
      </c>
      <c r="M229" s="63">
        <f t="shared" si="27"/>
        <v>119.27</v>
      </c>
      <c r="N229" s="63">
        <f t="shared" si="28"/>
        <v>132.49</v>
      </c>
      <c r="O229" s="63">
        <f t="shared" si="29"/>
        <v>139.15</v>
      </c>
    </row>
    <row r="230" spans="1:15">
      <c r="A230" s="9" t="s">
        <v>240</v>
      </c>
      <c r="B230" s="64">
        <f t="shared" si="8"/>
        <v>0.10199999999999999</v>
      </c>
      <c r="C230" s="31">
        <v>4</v>
      </c>
      <c r="D230" s="12" t="s">
        <v>28</v>
      </c>
      <c r="E230" s="13" t="s">
        <v>154</v>
      </c>
      <c r="F230" s="32" t="s">
        <v>123</v>
      </c>
      <c r="G230" s="336">
        <v>15.615</v>
      </c>
      <c r="H230" s="15">
        <f t="shared" si="23"/>
        <v>187.38</v>
      </c>
      <c r="I230" s="68">
        <f t="shared" si="24"/>
        <v>208.15</v>
      </c>
      <c r="J230" s="15">
        <f t="shared" si="25"/>
        <v>218.61</v>
      </c>
      <c r="K230" s="337">
        <v>7.0033577742753428E-2</v>
      </c>
      <c r="L230" s="63">
        <f t="shared" si="26"/>
        <v>179.61</v>
      </c>
      <c r="M230" s="63">
        <f t="shared" si="27"/>
        <v>124.92</v>
      </c>
      <c r="N230" s="63">
        <f t="shared" si="28"/>
        <v>138.77000000000001</v>
      </c>
      <c r="O230" s="63">
        <f t="shared" si="29"/>
        <v>145.74</v>
      </c>
    </row>
    <row r="231" spans="1:15">
      <c r="A231" s="9" t="s">
        <v>240</v>
      </c>
      <c r="B231" s="64">
        <f t="shared" si="8"/>
        <v>0.10199999999999999</v>
      </c>
      <c r="C231" s="31">
        <v>4</v>
      </c>
      <c r="D231" s="12" t="s">
        <v>28</v>
      </c>
      <c r="E231" s="13" t="s">
        <v>154</v>
      </c>
      <c r="F231" s="32" t="s">
        <v>122</v>
      </c>
      <c r="G231" s="336">
        <v>14.704000000000001</v>
      </c>
      <c r="H231" s="15">
        <f t="shared" si="23"/>
        <v>176.45</v>
      </c>
      <c r="I231" s="68">
        <f t="shared" si="24"/>
        <v>196</v>
      </c>
      <c r="J231" s="15">
        <f t="shared" si="25"/>
        <v>205.86</v>
      </c>
      <c r="K231" s="337">
        <v>7.0004366176684485E-2</v>
      </c>
      <c r="L231" s="63">
        <f t="shared" si="26"/>
        <v>169.13</v>
      </c>
      <c r="M231" s="63">
        <f t="shared" si="27"/>
        <v>117.63</v>
      </c>
      <c r="N231" s="63">
        <f t="shared" si="28"/>
        <v>130.66999999999999</v>
      </c>
      <c r="O231" s="63">
        <f t="shared" si="29"/>
        <v>137.24</v>
      </c>
    </row>
    <row r="232" spans="1:15">
      <c r="A232" s="9" t="s">
        <v>240</v>
      </c>
      <c r="B232" s="64">
        <f t="shared" si="8"/>
        <v>0.10199999999999999</v>
      </c>
      <c r="C232" s="31">
        <v>4</v>
      </c>
      <c r="D232" s="12" t="s">
        <v>28</v>
      </c>
      <c r="E232" s="13" t="s">
        <v>154</v>
      </c>
      <c r="F232" s="32" t="s">
        <v>83</v>
      </c>
      <c r="G232" s="336">
        <v>14.704000000000001</v>
      </c>
      <c r="H232" s="15">
        <f t="shared" si="23"/>
        <v>176.45</v>
      </c>
      <c r="I232" s="68">
        <f t="shared" si="24"/>
        <v>196</v>
      </c>
      <c r="J232" s="15">
        <f t="shared" si="25"/>
        <v>205.86</v>
      </c>
      <c r="K232" s="337">
        <v>7.0004366176684485E-2</v>
      </c>
      <c r="L232" s="63">
        <f t="shared" si="26"/>
        <v>169.13</v>
      </c>
      <c r="M232" s="63">
        <f t="shared" si="27"/>
        <v>117.63</v>
      </c>
      <c r="N232" s="63">
        <f t="shared" si="28"/>
        <v>130.66999999999999</v>
      </c>
      <c r="O232" s="63">
        <f t="shared" si="29"/>
        <v>137.24</v>
      </c>
    </row>
    <row r="233" spans="1:15">
      <c r="A233" s="9" t="s">
        <v>240</v>
      </c>
      <c r="B233" s="64">
        <f t="shared" si="8"/>
        <v>0.10199999999999999</v>
      </c>
      <c r="C233" s="31">
        <v>4</v>
      </c>
      <c r="D233" s="12" t="s">
        <v>28</v>
      </c>
      <c r="E233" s="13" t="s">
        <v>154</v>
      </c>
      <c r="F233" s="32" t="s">
        <v>84</v>
      </c>
      <c r="G233" s="336">
        <v>14.94</v>
      </c>
      <c r="H233" s="15">
        <f t="shared" si="23"/>
        <v>179.28</v>
      </c>
      <c r="I233" s="68">
        <f t="shared" si="24"/>
        <v>199.15</v>
      </c>
      <c r="J233" s="15">
        <f t="shared" si="25"/>
        <v>209.16</v>
      </c>
      <c r="K233" s="337">
        <v>6.9970636682661347E-2</v>
      </c>
      <c r="L233" s="63">
        <f t="shared" si="26"/>
        <v>171.85</v>
      </c>
      <c r="M233" s="63">
        <f t="shared" si="27"/>
        <v>119.52</v>
      </c>
      <c r="N233" s="63">
        <f t="shared" si="28"/>
        <v>132.77000000000001</v>
      </c>
      <c r="O233" s="63">
        <f t="shared" si="29"/>
        <v>139.44</v>
      </c>
    </row>
    <row r="234" spans="1:15">
      <c r="A234" s="9" t="s">
        <v>240</v>
      </c>
      <c r="B234" s="64">
        <f t="shared" si="8"/>
        <v>0.10199999999999999</v>
      </c>
      <c r="C234" s="31">
        <v>4</v>
      </c>
      <c r="D234" s="12" t="s">
        <v>65</v>
      </c>
      <c r="E234" s="13" t="s">
        <v>154</v>
      </c>
      <c r="F234" s="32" t="s">
        <v>166</v>
      </c>
      <c r="G234" s="336">
        <v>17.3</v>
      </c>
      <c r="H234" s="15">
        <f t="shared" si="23"/>
        <v>207.6</v>
      </c>
      <c r="I234" s="68">
        <f t="shared" si="24"/>
        <v>230.61</v>
      </c>
      <c r="J234" s="15">
        <f t="shared" si="25"/>
        <v>242.2</v>
      </c>
      <c r="K234" s="337">
        <v>5.001213886865763E-2</v>
      </c>
      <c r="L234" s="63">
        <f t="shared" si="26"/>
        <v>199</v>
      </c>
      <c r="M234" s="63">
        <f t="shared" si="27"/>
        <v>138.4</v>
      </c>
      <c r="N234" s="63">
        <f t="shared" si="28"/>
        <v>153.74</v>
      </c>
      <c r="O234" s="63">
        <f t="shared" si="29"/>
        <v>161.47</v>
      </c>
    </row>
    <row r="235" spans="1:15">
      <c r="A235" s="9" t="s">
        <v>240</v>
      </c>
      <c r="B235" s="64">
        <f t="shared" si="8"/>
        <v>0.10199999999999999</v>
      </c>
      <c r="C235" s="31">
        <v>4</v>
      </c>
      <c r="D235" s="12" t="s">
        <v>28</v>
      </c>
      <c r="E235" s="13" t="s">
        <v>154</v>
      </c>
      <c r="F235" s="32" t="s">
        <v>85</v>
      </c>
      <c r="G235" s="336">
        <v>17.609000000000002</v>
      </c>
      <c r="H235" s="15">
        <f t="shared" si="23"/>
        <v>211.31</v>
      </c>
      <c r="I235" s="68">
        <f t="shared" si="24"/>
        <v>234.73</v>
      </c>
      <c r="J235" s="15">
        <f t="shared" si="25"/>
        <v>246.53</v>
      </c>
      <c r="K235" s="337">
        <v>5.0029815146094281E-2</v>
      </c>
      <c r="L235" s="63">
        <f t="shared" si="26"/>
        <v>202.55</v>
      </c>
      <c r="M235" s="63">
        <f t="shared" si="27"/>
        <v>140.87</v>
      </c>
      <c r="N235" s="63">
        <f t="shared" si="28"/>
        <v>156.49</v>
      </c>
      <c r="O235" s="63">
        <f t="shared" si="29"/>
        <v>164.35</v>
      </c>
    </row>
    <row r="236" spans="1:15">
      <c r="A236" s="9" t="s">
        <v>240</v>
      </c>
      <c r="B236" s="64">
        <f t="shared" si="8"/>
        <v>0.127</v>
      </c>
      <c r="C236" s="31">
        <v>5</v>
      </c>
      <c r="D236" s="12" t="s">
        <v>28</v>
      </c>
      <c r="E236" s="13" t="s">
        <v>154</v>
      </c>
      <c r="F236" s="32" t="s">
        <v>86</v>
      </c>
      <c r="G236" s="336">
        <v>17.757999999999999</v>
      </c>
      <c r="H236" s="15">
        <f t="shared" si="23"/>
        <v>213.1</v>
      </c>
      <c r="I236" s="68">
        <f t="shared" si="24"/>
        <v>236.71</v>
      </c>
      <c r="J236" s="15">
        <f t="shared" si="25"/>
        <v>248.61</v>
      </c>
      <c r="K236" s="337">
        <v>5.0023651844843808E-2</v>
      </c>
      <c r="L236" s="63">
        <f t="shared" si="26"/>
        <v>204.26</v>
      </c>
      <c r="M236" s="63">
        <f t="shared" si="27"/>
        <v>142.07</v>
      </c>
      <c r="N236" s="63">
        <f t="shared" si="28"/>
        <v>157.81</v>
      </c>
      <c r="O236" s="63">
        <f t="shared" si="29"/>
        <v>165.74</v>
      </c>
    </row>
    <row r="237" spans="1:15">
      <c r="A237" s="9" t="s">
        <v>240</v>
      </c>
      <c r="B237" s="64">
        <f t="shared" si="8"/>
        <v>0.127</v>
      </c>
      <c r="C237" s="31">
        <v>5</v>
      </c>
      <c r="D237" s="12" t="s">
        <v>28</v>
      </c>
      <c r="E237" s="13" t="s">
        <v>154</v>
      </c>
      <c r="F237" s="32" t="s">
        <v>84</v>
      </c>
      <c r="G237" s="336">
        <v>15.122</v>
      </c>
      <c r="H237" s="15">
        <f t="shared" si="23"/>
        <v>181.46</v>
      </c>
      <c r="I237" s="68">
        <f t="shared" si="24"/>
        <v>201.58</v>
      </c>
      <c r="J237" s="15">
        <f t="shared" si="25"/>
        <v>211.71</v>
      </c>
      <c r="K237" s="337">
        <v>6.9978065520413191E-2</v>
      </c>
      <c r="L237" s="63">
        <f t="shared" si="26"/>
        <v>173.94</v>
      </c>
      <c r="M237" s="63">
        <f t="shared" si="27"/>
        <v>120.97</v>
      </c>
      <c r="N237" s="63">
        <f t="shared" si="28"/>
        <v>134.38999999999999</v>
      </c>
      <c r="O237" s="63">
        <f t="shared" si="29"/>
        <v>141.13999999999999</v>
      </c>
    </row>
    <row r="238" spans="1:15">
      <c r="A238" s="9" t="s">
        <v>240</v>
      </c>
      <c r="B238" s="64">
        <f t="shared" si="8"/>
        <v>0.127</v>
      </c>
      <c r="C238" s="31">
        <v>5</v>
      </c>
      <c r="D238" s="12" t="s">
        <v>28</v>
      </c>
      <c r="E238" s="13" t="s">
        <v>154</v>
      </c>
      <c r="F238" s="32" t="s">
        <v>166</v>
      </c>
      <c r="G238" s="336">
        <v>17.684000000000001</v>
      </c>
      <c r="H238" s="15">
        <f t="shared" si="23"/>
        <v>212.21</v>
      </c>
      <c r="I238" s="68">
        <f t="shared" si="24"/>
        <v>235.73</v>
      </c>
      <c r="J238" s="15">
        <f t="shared" si="25"/>
        <v>247.58</v>
      </c>
      <c r="K238" s="337">
        <v>4.9994062462890509E-2</v>
      </c>
      <c r="L238" s="63">
        <f t="shared" si="26"/>
        <v>203.41</v>
      </c>
      <c r="M238" s="63">
        <f t="shared" si="27"/>
        <v>141.47</v>
      </c>
      <c r="N238" s="63">
        <f t="shared" si="28"/>
        <v>157.15</v>
      </c>
      <c r="O238" s="63">
        <f t="shared" si="29"/>
        <v>165.05</v>
      </c>
    </row>
    <row r="239" spans="1:15" s="33" customFormat="1">
      <c r="A239" s="87" t="s">
        <v>240</v>
      </c>
      <c r="B239" s="64">
        <f t="shared" si="8"/>
        <v>0.127</v>
      </c>
      <c r="C239" s="42">
        <v>5</v>
      </c>
      <c r="D239" s="155" t="s">
        <v>28</v>
      </c>
      <c r="E239" s="41" t="s">
        <v>154</v>
      </c>
      <c r="F239" s="117" t="s">
        <v>117</v>
      </c>
      <c r="G239" s="338">
        <v>17.82</v>
      </c>
      <c r="H239" s="120">
        <f t="shared" si="23"/>
        <v>213.84</v>
      </c>
      <c r="I239" s="68">
        <f t="shared" si="24"/>
        <v>237.54</v>
      </c>
      <c r="J239" s="120">
        <f t="shared" si="25"/>
        <v>249.48</v>
      </c>
      <c r="K239" s="337">
        <v>5.0026515821106621E-2</v>
      </c>
      <c r="L239" s="63">
        <f t="shared" si="26"/>
        <v>204.98</v>
      </c>
      <c r="M239" s="63">
        <f t="shared" si="27"/>
        <v>142.56</v>
      </c>
      <c r="N239" s="63">
        <f t="shared" si="28"/>
        <v>158.36000000000001</v>
      </c>
      <c r="O239" s="63">
        <f t="shared" si="29"/>
        <v>166.32</v>
      </c>
    </row>
    <row r="240" spans="1:15" s="33" customFormat="1">
      <c r="A240" s="87" t="s">
        <v>240</v>
      </c>
      <c r="B240" s="64">
        <f t="shared" si="8"/>
        <v>0.127</v>
      </c>
      <c r="C240" s="42">
        <v>5</v>
      </c>
      <c r="D240" s="155" t="s">
        <v>28</v>
      </c>
      <c r="E240" s="41" t="s">
        <v>154</v>
      </c>
      <c r="F240" s="117" t="s">
        <v>86</v>
      </c>
      <c r="G240" s="338">
        <v>17.756</v>
      </c>
      <c r="H240" s="120">
        <f t="shared" si="23"/>
        <v>213.07</v>
      </c>
      <c r="I240" s="68">
        <f t="shared" si="24"/>
        <v>236.69</v>
      </c>
      <c r="J240" s="120">
        <f t="shared" si="25"/>
        <v>248.58</v>
      </c>
      <c r="K240" s="337">
        <v>5.0029568302779381E-2</v>
      </c>
      <c r="L240" s="63">
        <f t="shared" si="26"/>
        <v>204.24</v>
      </c>
      <c r="M240" s="63">
        <f t="shared" si="27"/>
        <v>142.05000000000001</v>
      </c>
      <c r="N240" s="63">
        <f t="shared" si="28"/>
        <v>157.79</v>
      </c>
      <c r="O240" s="63">
        <f t="shared" si="29"/>
        <v>165.72</v>
      </c>
    </row>
    <row r="241" spans="1:15" s="33" customFormat="1">
      <c r="A241" s="87" t="s">
        <v>240</v>
      </c>
      <c r="B241" s="64">
        <f t="shared" si="8"/>
        <v>0.127</v>
      </c>
      <c r="C241" s="42">
        <v>5</v>
      </c>
      <c r="D241" s="155" t="s">
        <v>28</v>
      </c>
      <c r="E241" s="41" t="s">
        <v>154</v>
      </c>
      <c r="F241" s="117" t="s">
        <v>85</v>
      </c>
      <c r="G241" s="338">
        <v>18.614999999999998</v>
      </c>
      <c r="H241" s="120">
        <f t="shared" si="23"/>
        <v>223.38</v>
      </c>
      <c r="I241" s="68">
        <f t="shared" si="24"/>
        <v>248.14</v>
      </c>
      <c r="J241" s="120">
        <f t="shared" si="25"/>
        <v>260.61</v>
      </c>
      <c r="K241" s="337">
        <v>4.997461785774715E-2</v>
      </c>
      <c r="L241" s="63">
        <f t="shared" si="26"/>
        <v>214.12</v>
      </c>
      <c r="M241" s="63">
        <f t="shared" si="27"/>
        <v>148.91999999999999</v>
      </c>
      <c r="N241" s="63">
        <f t="shared" si="28"/>
        <v>165.43</v>
      </c>
      <c r="O241" s="63">
        <f t="shared" si="29"/>
        <v>173.74</v>
      </c>
    </row>
    <row r="242" spans="1:15" s="33" customFormat="1">
      <c r="A242" s="87" t="s">
        <v>240</v>
      </c>
      <c r="B242" s="64">
        <f t="shared" si="8"/>
        <v>0.152</v>
      </c>
      <c r="C242" s="42">
        <v>6</v>
      </c>
      <c r="D242" s="155" t="s">
        <v>28</v>
      </c>
      <c r="E242" s="41" t="s">
        <v>154</v>
      </c>
      <c r="F242" s="117" t="s">
        <v>117</v>
      </c>
      <c r="G242" s="338">
        <v>17.84</v>
      </c>
      <c r="H242" s="120">
        <f t="shared" si="23"/>
        <v>214.08</v>
      </c>
      <c r="I242" s="68">
        <f t="shared" si="24"/>
        <v>237.81</v>
      </c>
      <c r="J242" s="120">
        <f t="shared" si="25"/>
        <v>249.76</v>
      </c>
      <c r="K242" s="337">
        <v>5.0029429075927112E-2</v>
      </c>
      <c r="L242" s="63">
        <f t="shared" si="26"/>
        <v>205.2</v>
      </c>
      <c r="M242" s="63">
        <f t="shared" si="27"/>
        <v>142.72</v>
      </c>
      <c r="N242" s="63">
        <f t="shared" si="28"/>
        <v>158.54</v>
      </c>
      <c r="O242" s="63">
        <f t="shared" si="29"/>
        <v>166.51</v>
      </c>
    </row>
    <row r="243" spans="1:15" s="33" customFormat="1">
      <c r="A243" s="87" t="s">
        <v>240</v>
      </c>
      <c r="B243" s="64">
        <f t="shared" si="8"/>
        <v>0.152</v>
      </c>
      <c r="C243" s="42">
        <v>6</v>
      </c>
      <c r="D243" s="155" t="s">
        <v>28</v>
      </c>
      <c r="E243" s="41" t="s">
        <v>154</v>
      </c>
      <c r="F243" s="117" t="s">
        <v>86</v>
      </c>
      <c r="G243" s="338">
        <v>17.620999999999999</v>
      </c>
      <c r="H243" s="120">
        <f t="shared" si="23"/>
        <v>211.45</v>
      </c>
      <c r="I243" s="68">
        <f t="shared" si="24"/>
        <v>234.89</v>
      </c>
      <c r="J243" s="120">
        <f t="shared" si="25"/>
        <v>246.69</v>
      </c>
      <c r="K243" s="337">
        <v>4.9994041234656006E-2</v>
      </c>
      <c r="L243" s="63">
        <f t="shared" si="26"/>
        <v>202.68</v>
      </c>
      <c r="M243" s="63">
        <f t="shared" si="27"/>
        <v>140.97</v>
      </c>
      <c r="N243" s="63">
        <f t="shared" si="28"/>
        <v>156.59</v>
      </c>
      <c r="O243" s="63">
        <f t="shared" si="29"/>
        <v>164.46</v>
      </c>
    </row>
    <row r="244" spans="1:15" s="33" customFormat="1">
      <c r="A244" s="87" t="s">
        <v>240</v>
      </c>
      <c r="B244" s="64">
        <f t="shared" si="8"/>
        <v>0.17799999999999999</v>
      </c>
      <c r="C244" s="42">
        <v>7</v>
      </c>
      <c r="D244" s="155" t="s">
        <v>28</v>
      </c>
      <c r="E244" s="41" t="s">
        <v>154</v>
      </c>
      <c r="F244" s="117" t="s">
        <v>117</v>
      </c>
      <c r="G244" s="338">
        <v>18.192</v>
      </c>
      <c r="H244" s="120">
        <f t="shared" si="23"/>
        <v>218.3</v>
      </c>
      <c r="I244" s="68">
        <f t="shared" si="24"/>
        <v>242.5</v>
      </c>
      <c r="J244" s="120">
        <f t="shared" si="25"/>
        <v>254.69</v>
      </c>
      <c r="K244" s="337">
        <v>4.9982684982107894E-2</v>
      </c>
      <c r="L244" s="63">
        <f t="shared" si="26"/>
        <v>209.25</v>
      </c>
      <c r="M244" s="63">
        <f t="shared" si="27"/>
        <v>145.53</v>
      </c>
      <c r="N244" s="63">
        <f t="shared" si="28"/>
        <v>161.66999999999999</v>
      </c>
      <c r="O244" s="63">
        <f t="shared" si="29"/>
        <v>169.79</v>
      </c>
    </row>
    <row r="245" spans="1:15" s="33" customFormat="1">
      <c r="A245" s="87" t="s">
        <v>240</v>
      </c>
      <c r="B245" s="64">
        <f t="shared" si="8"/>
        <v>0.17799999999999999</v>
      </c>
      <c r="C245" s="42">
        <v>7</v>
      </c>
      <c r="D245" s="155" t="s">
        <v>28</v>
      </c>
      <c r="E245" s="41" t="s">
        <v>154</v>
      </c>
      <c r="F245" s="117" t="s">
        <v>87</v>
      </c>
      <c r="G245" s="338">
        <v>18.257000000000001</v>
      </c>
      <c r="H245" s="120">
        <f t="shared" si="23"/>
        <v>219.08</v>
      </c>
      <c r="I245" s="68">
        <f t="shared" si="24"/>
        <v>243.37</v>
      </c>
      <c r="J245" s="120">
        <f t="shared" si="25"/>
        <v>255.6</v>
      </c>
      <c r="K245" s="337">
        <v>4.9976995629169574E-2</v>
      </c>
      <c r="L245" s="63">
        <f t="shared" si="26"/>
        <v>210</v>
      </c>
      <c r="M245" s="63">
        <f t="shared" si="27"/>
        <v>146.05000000000001</v>
      </c>
      <c r="N245" s="63">
        <f t="shared" si="28"/>
        <v>162.25</v>
      </c>
      <c r="O245" s="63">
        <f t="shared" si="29"/>
        <v>170.4</v>
      </c>
    </row>
    <row r="246" spans="1:15" s="33" customFormat="1">
      <c r="A246" s="87" t="s">
        <v>240</v>
      </c>
      <c r="B246" s="64">
        <f t="shared" si="8"/>
        <v>0.20300000000000001</v>
      </c>
      <c r="C246" s="42">
        <v>8</v>
      </c>
      <c r="D246" s="155" t="s">
        <v>28</v>
      </c>
      <c r="E246" s="41" t="s">
        <v>154</v>
      </c>
      <c r="F246" s="117" t="s">
        <v>87</v>
      </c>
      <c r="G246" s="338">
        <v>18.567</v>
      </c>
      <c r="H246" s="120">
        <f t="shared" si="23"/>
        <v>222.8</v>
      </c>
      <c r="I246" s="68">
        <f t="shared" si="24"/>
        <v>247.5</v>
      </c>
      <c r="J246" s="120">
        <f t="shared" si="25"/>
        <v>259.94</v>
      </c>
      <c r="K246" s="337">
        <v>4.9991517276480213E-2</v>
      </c>
      <c r="L246" s="63">
        <f t="shared" si="26"/>
        <v>213.56</v>
      </c>
      <c r="M246" s="63">
        <f t="shared" si="27"/>
        <v>148.53</v>
      </c>
      <c r="N246" s="63">
        <f t="shared" si="28"/>
        <v>165</v>
      </c>
      <c r="O246" s="63">
        <f t="shared" si="29"/>
        <v>173.29</v>
      </c>
    </row>
    <row r="247" spans="1:15" s="33" customFormat="1">
      <c r="A247" s="87" t="s">
        <v>240</v>
      </c>
      <c r="B247" s="64">
        <f t="shared" si="8"/>
        <v>0.254</v>
      </c>
      <c r="C247" s="42">
        <v>10</v>
      </c>
      <c r="D247" s="155" t="s">
        <v>28</v>
      </c>
      <c r="E247" s="41" t="s">
        <v>154</v>
      </c>
      <c r="F247" s="117" t="s">
        <v>89</v>
      </c>
      <c r="G247" s="338">
        <v>18.614999999999998</v>
      </c>
      <c r="H247" s="120">
        <f t="shared" si="23"/>
        <v>223.38</v>
      </c>
      <c r="I247" s="68">
        <f t="shared" si="24"/>
        <v>248.14</v>
      </c>
      <c r="J247" s="120">
        <f t="shared" si="25"/>
        <v>260.61</v>
      </c>
      <c r="K247" s="337">
        <v>4.997461785774715E-2</v>
      </c>
      <c r="L247" s="63">
        <f t="shared" si="26"/>
        <v>214.12</v>
      </c>
      <c r="M247" s="63">
        <f t="shared" si="27"/>
        <v>148.91999999999999</v>
      </c>
      <c r="N247" s="63">
        <f t="shared" si="28"/>
        <v>165.43</v>
      </c>
      <c r="O247" s="63">
        <f t="shared" si="29"/>
        <v>173.74</v>
      </c>
    </row>
    <row r="248" spans="1:15" s="33" customFormat="1">
      <c r="A248" s="87" t="s">
        <v>240</v>
      </c>
      <c r="B248" s="64">
        <f t="shared" si="8"/>
        <v>0.30499999999999999</v>
      </c>
      <c r="C248" s="42">
        <v>12</v>
      </c>
      <c r="D248" s="155" t="s">
        <v>28</v>
      </c>
      <c r="E248" s="41" t="s">
        <v>154</v>
      </c>
      <c r="F248" s="117" t="s">
        <v>167</v>
      </c>
      <c r="G248" s="338">
        <v>24.983000000000001</v>
      </c>
      <c r="H248" s="120">
        <f t="shared" si="23"/>
        <v>299.8</v>
      </c>
      <c r="I248" s="68">
        <f t="shared" si="24"/>
        <v>333.02</v>
      </c>
      <c r="J248" s="120">
        <f t="shared" si="25"/>
        <v>349.76</v>
      </c>
      <c r="K248" s="337">
        <v>5.0014710208885038E-2</v>
      </c>
      <c r="L248" s="63">
        <f t="shared" si="26"/>
        <v>287.37</v>
      </c>
      <c r="M248" s="63">
        <f t="shared" si="27"/>
        <v>199.87</v>
      </c>
      <c r="N248" s="63">
        <f t="shared" si="28"/>
        <v>222.01</v>
      </c>
      <c r="O248" s="63">
        <f t="shared" si="29"/>
        <v>233.17</v>
      </c>
    </row>
    <row r="249" spans="1:15" s="33" customFormat="1">
      <c r="A249" s="87" t="s">
        <v>240</v>
      </c>
      <c r="B249" s="64">
        <f t="shared" si="8"/>
        <v>0.38100000000000001</v>
      </c>
      <c r="C249" s="42">
        <v>15</v>
      </c>
      <c r="D249" s="155" t="s">
        <v>28</v>
      </c>
      <c r="E249" s="41" t="s">
        <v>154</v>
      </c>
      <c r="F249" s="117" t="s">
        <v>219</v>
      </c>
      <c r="G249" s="338">
        <v>30.16</v>
      </c>
      <c r="H249" s="120">
        <f t="shared" si="23"/>
        <v>361.92</v>
      </c>
      <c r="I249" s="68">
        <f t="shared" si="24"/>
        <v>402.03</v>
      </c>
      <c r="J249" s="120">
        <f t="shared" si="25"/>
        <v>422.24</v>
      </c>
      <c r="K249" s="337">
        <v>4.0000000000000036E-2</v>
      </c>
      <c r="L249" s="63">
        <f t="shared" si="26"/>
        <v>346.92</v>
      </c>
      <c r="M249" s="63">
        <f t="shared" si="27"/>
        <v>241.28</v>
      </c>
      <c r="N249" s="63">
        <f t="shared" si="28"/>
        <v>268.02</v>
      </c>
      <c r="O249" s="63">
        <f t="shared" si="29"/>
        <v>281.49</v>
      </c>
    </row>
    <row r="250" spans="1:15" s="33" customFormat="1">
      <c r="A250" s="87" t="s">
        <v>240</v>
      </c>
      <c r="B250" s="64">
        <f t="shared" si="8"/>
        <v>0.40600000000000003</v>
      </c>
      <c r="C250" s="42">
        <v>16</v>
      </c>
      <c r="D250" s="155" t="s">
        <v>28</v>
      </c>
      <c r="E250" s="41" t="s">
        <v>154</v>
      </c>
      <c r="F250" s="117" t="s">
        <v>129</v>
      </c>
      <c r="G250" s="338">
        <v>30.03</v>
      </c>
      <c r="H250" s="120">
        <f t="shared" si="23"/>
        <v>360.36</v>
      </c>
      <c r="I250" s="68">
        <f t="shared" si="24"/>
        <v>400.3</v>
      </c>
      <c r="J250" s="120">
        <f t="shared" si="25"/>
        <v>420.42</v>
      </c>
      <c r="K250" s="337">
        <v>4.0000000000000036E-2</v>
      </c>
      <c r="L250" s="63">
        <f t="shared" si="26"/>
        <v>345.42</v>
      </c>
      <c r="M250" s="63">
        <f t="shared" si="27"/>
        <v>240.24</v>
      </c>
      <c r="N250" s="63">
        <f t="shared" si="28"/>
        <v>266.87</v>
      </c>
      <c r="O250" s="63">
        <f t="shared" si="29"/>
        <v>280.27999999999997</v>
      </c>
    </row>
    <row r="251" spans="1:15" s="33" customFormat="1">
      <c r="A251" s="87" t="s">
        <v>240</v>
      </c>
      <c r="B251" s="64">
        <f t="shared" si="8"/>
        <v>0.45700000000000002</v>
      </c>
      <c r="C251" s="42">
        <v>18</v>
      </c>
      <c r="D251" s="155" t="s">
        <v>28</v>
      </c>
      <c r="E251" s="41" t="s">
        <v>154</v>
      </c>
      <c r="F251" s="117" t="s">
        <v>129</v>
      </c>
      <c r="G251" s="338">
        <v>31.745999999999999</v>
      </c>
      <c r="H251" s="120">
        <f t="shared" si="23"/>
        <v>380.95</v>
      </c>
      <c r="I251" s="68">
        <f t="shared" si="24"/>
        <v>423.17</v>
      </c>
      <c r="J251" s="120">
        <f t="shared" si="25"/>
        <v>444.44</v>
      </c>
      <c r="K251" s="337">
        <v>4.0000000000000036E-2</v>
      </c>
      <c r="L251" s="63">
        <f t="shared" si="26"/>
        <v>365.16</v>
      </c>
      <c r="M251" s="63">
        <f t="shared" si="27"/>
        <v>253.97</v>
      </c>
      <c r="N251" s="63">
        <f t="shared" si="28"/>
        <v>282.11</v>
      </c>
      <c r="O251" s="63">
        <f t="shared" si="29"/>
        <v>296.29000000000002</v>
      </c>
    </row>
    <row r="252" spans="1:15" s="33" customFormat="1">
      <c r="A252" s="87" t="s">
        <v>240</v>
      </c>
      <c r="B252" s="64">
        <f t="shared" si="8"/>
        <v>0.50800000000000001</v>
      </c>
      <c r="C252" s="42">
        <v>20</v>
      </c>
      <c r="D252" s="155" t="s">
        <v>28</v>
      </c>
      <c r="E252" s="41" t="s">
        <v>154</v>
      </c>
      <c r="F252" s="117" t="s">
        <v>129</v>
      </c>
      <c r="G252" s="338">
        <v>31.745999999999999</v>
      </c>
      <c r="H252" s="120">
        <f t="shared" si="23"/>
        <v>380.95</v>
      </c>
      <c r="I252" s="68">
        <f t="shared" si="24"/>
        <v>423.17</v>
      </c>
      <c r="J252" s="120">
        <f t="shared" si="25"/>
        <v>444.44</v>
      </c>
      <c r="K252" s="337">
        <v>4.0000000000000036E-2</v>
      </c>
      <c r="L252" s="63">
        <f t="shared" si="26"/>
        <v>365.16</v>
      </c>
      <c r="M252" s="63">
        <f t="shared" si="27"/>
        <v>253.97</v>
      </c>
      <c r="N252" s="63">
        <f t="shared" si="28"/>
        <v>282.11</v>
      </c>
      <c r="O252" s="63">
        <f t="shared" si="29"/>
        <v>296.29000000000002</v>
      </c>
    </row>
    <row r="253" spans="1:15" s="33" customFormat="1">
      <c r="A253" s="87" t="s">
        <v>240</v>
      </c>
      <c r="B253" s="64">
        <f t="shared" si="8"/>
        <v>0.50800000000000001</v>
      </c>
      <c r="C253" s="42">
        <v>20</v>
      </c>
      <c r="D253" s="155" t="s">
        <v>28</v>
      </c>
      <c r="E253" s="41" t="s">
        <v>154</v>
      </c>
      <c r="F253" s="117" t="s">
        <v>91</v>
      </c>
      <c r="G253" s="338">
        <v>34.840000000000003</v>
      </c>
      <c r="H253" s="120">
        <f t="shared" si="23"/>
        <v>418.08</v>
      </c>
      <c r="I253" s="68">
        <f t="shared" si="24"/>
        <v>464.42</v>
      </c>
      <c r="J253" s="120">
        <f t="shared" si="25"/>
        <v>487.76</v>
      </c>
      <c r="K253" s="337">
        <v>4.0000000000000036E-2</v>
      </c>
      <c r="L253" s="63">
        <f t="shared" si="26"/>
        <v>400.75</v>
      </c>
      <c r="M253" s="63">
        <f t="shared" si="27"/>
        <v>278.72000000000003</v>
      </c>
      <c r="N253" s="63">
        <f t="shared" si="28"/>
        <v>309.61</v>
      </c>
      <c r="O253" s="63">
        <f t="shared" si="29"/>
        <v>325.17</v>
      </c>
    </row>
    <row r="254" spans="1:15" s="33" customFormat="1">
      <c r="A254" s="87" t="s">
        <v>240</v>
      </c>
      <c r="B254" s="64">
        <f t="shared" ref="B254:B317" si="30">ROUND(C254*0.0254,3)</f>
        <v>0.61</v>
      </c>
      <c r="C254" s="42">
        <v>24</v>
      </c>
      <c r="D254" s="155" t="s">
        <v>28</v>
      </c>
      <c r="E254" s="41" t="s">
        <v>154</v>
      </c>
      <c r="F254" s="117" t="s">
        <v>91</v>
      </c>
      <c r="G254" s="338">
        <v>35.256</v>
      </c>
      <c r="H254" s="120">
        <f t="shared" si="23"/>
        <v>423.07</v>
      </c>
      <c r="I254" s="68">
        <f t="shared" si="24"/>
        <v>469.96</v>
      </c>
      <c r="J254" s="120">
        <f t="shared" si="25"/>
        <v>493.58</v>
      </c>
      <c r="K254" s="337">
        <v>4.0000000000000036E-2</v>
      </c>
      <c r="L254" s="63">
        <f t="shared" si="26"/>
        <v>405.53</v>
      </c>
      <c r="M254" s="63">
        <f t="shared" si="27"/>
        <v>282.05</v>
      </c>
      <c r="N254" s="63">
        <f t="shared" si="28"/>
        <v>313.31</v>
      </c>
      <c r="O254" s="63">
        <f t="shared" si="29"/>
        <v>329.05</v>
      </c>
    </row>
    <row r="255" spans="1:15" s="33" customFormat="1">
      <c r="A255" s="87" t="s">
        <v>240</v>
      </c>
      <c r="B255" s="64">
        <f t="shared" si="30"/>
        <v>0.63500000000000001</v>
      </c>
      <c r="C255" s="42">
        <v>25</v>
      </c>
      <c r="D255" s="155" t="s">
        <v>28</v>
      </c>
      <c r="E255" s="41" t="s">
        <v>154</v>
      </c>
      <c r="F255" s="117" t="s">
        <v>88</v>
      </c>
      <c r="G255" s="338">
        <v>38.825000000000003</v>
      </c>
      <c r="H255" s="120">
        <f t="shared" si="23"/>
        <v>465.9</v>
      </c>
      <c r="I255" s="68">
        <f t="shared" si="24"/>
        <v>517.54</v>
      </c>
      <c r="J255" s="120">
        <f t="shared" si="25"/>
        <v>543.54999999999995</v>
      </c>
      <c r="K255" s="337">
        <v>3.9992499732133258E-2</v>
      </c>
      <c r="L255" s="63">
        <f t="shared" si="26"/>
        <v>446.59</v>
      </c>
      <c r="M255" s="63">
        <f t="shared" si="27"/>
        <v>310.60000000000002</v>
      </c>
      <c r="N255" s="63">
        <f t="shared" si="28"/>
        <v>345.03</v>
      </c>
      <c r="O255" s="63">
        <f t="shared" si="29"/>
        <v>362.37</v>
      </c>
    </row>
    <row r="256" spans="1:15" s="33" customFormat="1">
      <c r="A256" s="87" t="s">
        <v>240</v>
      </c>
      <c r="B256" s="64">
        <f t="shared" si="30"/>
        <v>0.76200000000000001</v>
      </c>
      <c r="C256" s="42">
        <v>30</v>
      </c>
      <c r="D256" s="155" t="s">
        <v>28</v>
      </c>
      <c r="E256" s="41" t="s">
        <v>154</v>
      </c>
      <c r="F256" s="117" t="s">
        <v>131</v>
      </c>
      <c r="G256" s="338">
        <v>45.786000000000001</v>
      </c>
      <c r="H256" s="120">
        <f t="shared" si="23"/>
        <v>549.42999999999995</v>
      </c>
      <c r="I256" s="68">
        <f t="shared" si="24"/>
        <v>610.33000000000004</v>
      </c>
      <c r="J256" s="120">
        <f t="shared" si="25"/>
        <v>641</v>
      </c>
      <c r="K256" s="337">
        <v>4.0000000000000036E-2</v>
      </c>
      <c r="L256" s="63">
        <f t="shared" si="26"/>
        <v>526.65</v>
      </c>
      <c r="M256" s="63">
        <f t="shared" si="27"/>
        <v>366.29</v>
      </c>
      <c r="N256" s="63">
        <f t="shared" si="28"/>
        <v>406.89</v>
      </c>
      <c r="O256" s="63">
        <f t="shared" si="29"/>
        <v>427.33</v>
      </c>
    </row>
    <row r="257" spans="1:15" s="33" customFormat="1">
      <c r="A257" s="87" t="s">
        <v>240</v>
      </c>
      <c r="B257" s="64">
        <f t="shared" si="30"/>
        <v>5.0999999999999997E-2</v>
      </c>
      <c r="C257" s="42">
        <v>2</v>
      </c>
      <c r="D257" s="155" t="s">
        <v>138</v>
      </c>
      <c r="E257" s="41" t="s">
        <v>245</v>
      </c>
      <c r="F257" s="117" t="s">
        <v>120</v>
      </c>
      <c r="G257" s="338">
        <v>21.479999999999997</v>
      </c>
      <c r="H257" s="120">
        <f t="shared" si="23"/>
        <v>257.76</v>
      </c>
      <c r="I257" s="68">
        <f t="shared" si="24"/>
        <v>286.33</v>
      </c>
      <c r="J257" s="120">
        <f t="shared" si="25"/>
        <v>300.72000000000003</v>
      </c>
      <c r="K257" s="337">
        <v>7.0015924384856376E-2</v>
      </c>
      <c r="L257" s="63">
        <f t="shared" si="26"/>
        <v>247.07</v>
      </c>
      <c r="M257" s="63">
        <f t="shared" si="27"/>
        <v>171.84</v>
      </c>
      <c r="N257" s="63">
        <f t="shared" si="28"/>
        <v>190.89</v>
      </c>
      <c r="O257" s="63">
        <f t="shared" si="29"/>
        <v>200.48</v>
      </c>
    </row>
    <row r="258" spans="1:15" s="33" customFormat="1">
      <c r="A258" s="87" t="s">
        <v>240</v>
      </c>
      <c r="B258" s="64">
        <f t="shared" si="30"/>
        <v>7.5999999999999998E-2</v>
      </c>
      <c r="C258" s="42">
        <v>3</v>
      </c>
      <c r="D258" s="155" t="s">
        <v>138</v>
      </c>
      <c r="E258" s="41" t="s">
        <v>245</v>
      </c>
      <c r="F258" s="117" t="s">
        <v>140</v>
      </c>
      <c r="G258" s="338">
        <v>27.895</v>
      </c>
      <c r="H258" s="120">
        <f t="shared" si="23"/>
        <v>334.74</v>
      </c>
      <c r="I258" s="68">
        <f t="shared" si="24"/>
        <v>371.84</v>
      </c>
      <c r="J258" s="120">
        <f t="shared" si="25"/>
        <v>390.53</v>
      </c>
      <c r="K258" s="337">
        <v>4.9984584553722788E-2</v>
      </c>
      <c r="L258" s="63">
        <f t="shared" si="26"/>
        <v>320.86</v>
      </c>
      <c r="M258" s="63">
        <f t="shared" si="27"/>
        <v>223.16</v>
      </c>
      <c r="N258" s="63">
        <f t="shared" si="28"/>
        <v>247.89</v>
      </c>
      <c r="O258" s="63">
        <f t="shared" si="29"/>
        <v>260.35000000000002</v>
      </c>
    </row>
    <row r="259" spans="1:15" s="33" customFormat="1">
      <c r="A259" s="87" t="s">
        <v>240</v>
      </c>
      <c r="B259" s="64">
        <f t="shared" si="30"/>
        <v>7.5999999999999998E-2</v>
      </c>
      <c r="C259" s="42">
        <v>3</v>
      </c>
      <c r="D259" s="155" t="s">
        <v>138</v>
      </c>
      <c r="E259" s="41" t="s">
        <v>245</v>
      </c>
      <c r="F259" s="117" t="s">
        <v>81</v>
      </c>
      <c r="G259" s="338">
        <v>20.29</v>
      </c>
      <c r="H259" s="120">
        <f t="shared" si="23"/>
        <v>243.48</v>
      </c>
      <c r="I259" s="68">
        <f t="shared" si="24"/>
        <v>270.47000000000003</v>
      </c>
      <c r="J259" s="120">
        <f t="shared" si="25"/>
        <v>284.06</v>
      </c>
      <c r="K259" s="337">
        <v>7.0008172160174409E-2</v>
      </c>
      <c r="L259" s="63">
        <f t="shared" si="26"/>
        <v>233.39</v>
      </c>
      <c r="M259" s="63">
        <f t="shared" si="27"/>
        <v>162.32</v>
      </c>
      <c r="N259" s="63">
        <f t="shared" si="28"/>
        <v>180.31</v>
      </c>
      <c r="O259" s="63">
        <f t="shared" si="29"/>
        <v>189.37</v>
      </c>
    </row>
    <row r="260" spans="1:15" s="33" customFormat="1">
      <c r="A260" s="87" t="s">
        <v>240</v>
      </c>
      <c r="B260" s="64">
        <f t="shared" si="30"/>
        <v>7.5999999999999998E-2</v>
      </c>
      <c r="C260" s="42">
        <v>3</v>
      </c>
      <c r="D260" s="155" t="s">
        <v>138</v>
      </c>
      <c r="E260" s="41" t="s">
        <v>245</v>
      </c>
      <c r="F260" s="117" t="s">
        <v>122</v>
      </c>
      <c r="G260" s="338">
        <v>20.29</v>
      </c>
      <c r="H260" s="120">
        <f t="shared" si="23"/>
        <v>243.48</v>
      </c>
      <c r="I260" s="68">
        <f t="shared" si="24"/>
        <v>270.47000000000003</v>
      </c>
      <c r="J260" s="120">
        <f t="shared" si="25"/>
        <v>284.06</v>
      </c>
      <c r="K260" s="337">
        <v>7.0008172160174409E-2</v>
      </c>
      <c r="L260" s="63">
        <f t="shared" si="26"/>
        <v>233.39</v>
      </c>
      <c r="M260" s="63">
        <f t="shared" si="27"/>
        <v>162.32</v>
      </c>
      <c r="N260" s="63">
        <f t="shared" si="28"/>
        <v>180.31</v>
      </c>
      <c r="O260" s="63">
        <f t="shared" si="29"/>
        <v>189.37</v>
      </c>
    </row>
    <row r="261" spans="1:15" s="33" customFormat="1">
      <c r="A261" s="87" t="s">
        <v>240</v>
      </c>
      <c r="B261" s="64">
        <f t="shared" si="30"/>
        <v>8.8999999999999996E-2</v>
      </c>
      <c r="C261" s="42">
        <v>3.5</v>
      </c>
      <c r="D261" s="155" t="s">
        <v>138</v>
      </c>
      <c r="E261" s="41" t="s">
        <v>245</v>
      </c>
      <c r="F261" s="117" t="s">
        <v>122</v>
      </c>
      <c r="G261" s="338">
        <v>20.802</v>
      </c>
      <c r="H261" s="120">
        <f t="shared" si="23"/>
        <v>249.62</v>
      </c>
      <c r="I261" s="68">
        <f t="shared" si="24"/>
        <v>277.29000000000002</v>
      </c>
      <c r="J261" s="120">
        <f t="shared" si="25"/>
        <v>291.23</v>
      </c>
      <c r="K261" s="337">
        <v>6.9979823723054224E-2</v>
      </c>
      <c r="L261" s="63">
        <f t="shared" si="26"/>
        <v>239.27</v>
      </c>
      <c r="M261" s="63">
        <f t="shared" si="27"/>
        <v>166.41</v>
      </c>
      <c r="N261" s="63">
        <f t="shared" si="28"/>
        <v>184.86</v>
      </c>
      <c r="O261" s="63">
        <f t="shared" si="29"/>
        <v>194.15</v>
      </c>
    </row>
    <row r="262" spans="1:15" s="33" customFormat="1">
      <c r="A262" s="87" t="s">
        <v>240</v>
      </c>
      <c r="B262" s="64">
        <f t="shared" si="30"/>
        <v>0.10199999999999999</v>
      </c>
      <c r="C262" s="42">
        <v>4</v>
      </c>
      <c r="D262" s="155" t="s">
        <v>138</v>
      </c>
      <c r="E262" s="41" t="s">
        <v>245</v>
      </c>
      <c r="F262" s="117" t="s">
        <v>122</v>
      </c>
      <c r="G262" s="338">
        <v>21.407</v>
      </c>
      <c r="H262" s="120">
        <f t="shared" si="23"/>
        <v>256.88</v>
      </c>
      <c r="I262" s="68">
        <f t="shared" si="24"/>
        <v>285.36</v>
      </c>
      <c r="J262" s="120">
        <f t="shared" si="25"/>
        <v>299.7</v>
      </c>
      <c r="K262" s="337">
        <v>7.0003608433424347E-2</v>
      </c>
      <c r="L262" s="63">
        <f t="shared" si="26"/>
        <v>246.23</v>
      </c>
      <c r="M262" s="63">
        <f t="shared" si="27"/>
        <v>171.25</v>
      </c>
      <c r="N262" s="63">
        <f t="shared" si="28"/>
        <v>190.24</v>
      </c>
      <c r="O262" s="63">
        <f t="shared" si="29"/>
        <v>199.8</v>
      </c>
    </row>
    <row r="263" spans="1:15" s="33" customFormat="1">
      <c r="A263" s="87" t="s">
        <v>240</v>
      </c>
      <c r="B263" s="64">
        <f t="shared" si="30"/>
        <v>0.10199999999999999</v>
      </c>
      <c r="C263" s="42">
        <v>4</v>
      </c>
      <c r="D263" s="155" t="s">
        <v>138</v>
      </c>
      <c r="E263" s="41" t="s">
        <v>245</v>
      </c>
      <c r="F263" s="117" t="s">
        <v>83</v>
      </c>
      <c r="G263" s="338">
        <v>20.623999999999999</v>
      </c>
      <c r="H263" s="120">
        <f t="shared" si="23"/>
        <v>247.49</v>
      </c>
      <c r="I263" s="68">
        <f t="shared" si="24"/>
        <v>274.92</v>
      </c>
      <c r="J263" s="120">
        <f t="shared" si="25"/>
        <v>288.74</v>
      </c>
      <c r="K263" s="337">
        <v>7.0016606846306173E-2</v>
      </c>
      <c r="L263" s="63">
        <f t="shared" si="26"/>
        <v>237.23</v>
      </c>
      <c r="M263" s="63">
        <f t="shared" si="27"/>
        <v>164.99</v>
      </c>
      <c r="N263" s="63">
        <f t="shared" si="28"/>
        <v>183.28</v>
      </c>
      <c r="O263" s="63">
        <f t="shared" si="29"/>
        <v>192.49</v>
      </c>
    </row>
    <row r="264" spans="1:15" s="33" customFormat="1">
      <c r="A264" s="87" t="s">
        <v>240</v>
      </c>
      <c r="B264" s="64">
        <f t="shared" si="30"/>
        <v>0.10199999999999999</v>
      </c>
      <c r="C264" s="42">
        <v>4</v>
      </c>
      <c r="D264" s="155" t="s">
        <v>138</v>
      </c>
      <c r="E264" s="41" t="s">
        <v>245</v>
      </c>
      <c r="F264" s="117" t="s">
        <v>166</v>
      </c>
      <c r="G264" s="338">
        <v>22.257999999999999</v>
      </c>
      <c r="H264" s="120">
        <f t="shared" si="23"/>
        <v>267.10000000000002</v>
      </c>
      <c r="I264" s="68">
        <f t="shared" si="24"/>
        <v>296.7</v>
      </c>
      <c r="J264" s="120">
        <f t="shared" si="25"/>
        <v>311.61</v>
      </c>
      <c r="K264" s="337">
        <v>5.0002429661305303E-2</v>
      </c>
      <c r="L264" s="63">
        <f t="shared" si="26"/>
        <v>256.02999999999997</v>
      </c>
      <c r="M264" s="63">
        <f t="shared" si="27"/>
        <v>178.07</v>
      </c>
      <c r="N264" s="63">
        <f t="shared" si="28"/>
        <v>197.8</v>
      </c>
      <c r="O264" s="63">
        <f t="shared" si="29"/>
        <v>207.74</v>
      </c>
    </row>
    <row r="265" spans="1:15" s="33" customFormat="1">
      <c r="A265" s="87" t="s">
        <v>240</v>
      </c>
      <c r="B265" s="64">
        <f t="shared" si="30"/>
        <v>0.10199999999999999</v>
      </c>
      <c r="C265" s="42">
        <v>4</v>
      </c>
      <c r="D265" s="155" t="s">
        <v>138</v>
      </c>
      <c r="E265" s="41" t="s">
        <v>245</v>
      </c>
      <c r="F265" s="117" t="s">
        <v>85</v>
      </c>
      <c r="G265" s="338">
        <v>22.257999999999999</v>
      </c>
      <c r="H265" s="120">
        <f t="shared" si="23"/>
        <v>267.10000000000002</v>
      </c>
      <c r="I265" s="68">
        <f t="shared" si="24"/>
        <v>296.7</v>
      </c>
      <c r="J265" s="120">
        <f t="shared" si="25"/>
        <v>311.61</v>
      </c>
      <c r="K265" s="337">
        <v>5.0002429661305303E-2</v>
      </c>
      <c r="L265" s="63">
        <f t="shared" si="26"/>
        <v>256.02999999999997</v>
      </c>
      <c r="M265" s="63">
        <f t="shared" si="27"/>
        <v>178.07</v>
      </c>
      <c r="N265" s="63">
        <f t="shared" si="28"/>
        <v>197.8</v>
      </c>
      <c r="O265" s="63">
        <f t="shared" si="29"/>
        <v>207.74</v>
      </c>
    </row>
    <row r="266" spans="1:15" s="33" customFormat="1">
      <c r="A266" s="87" t="s">
        <v>240</v>
      </c>
      <c r="B266" s="64">
        <f t="shared" si="30"/>
        <v>0.127</v>
      </c>
      <c r="C266" s="42">
        <v>5</v>
      </c>
      <c r="D266" s="155" t="s">
        <v>138</v>
      </c>
      <c r="E266" s="41" t="s">
        <v>245</v>
      </c>
      <c r="F266" s="117" t="s">
        <v>84</v>
      </c>
      <c r="G266" s="338">
        <v>22.014999999999997</v>
      </c>
      <c r="H266" s="120">
        <f t="shared" si="23"/>
        <v>264.18</v>
      </c>
      <c r="I266" s="68">
        <f t="shared" si="24"/>
        <v>293.45999999999998</v>
      </c>
      <c r="J266" s="120">
        <f t="shared" si="25"/>
        <v>308.20999999999998</v>
      </c>
      <c r="K266" s="337">
        <v>7.0015525617268537E-2</v>
      </c>
      <c r="L266" s="63">
        <f t="shared" si="26"/>
        <v>253.23</v>
      </c>
      <c r="M266" s="63">
        <f t="shared" si="27"/>
        <v>176.12</v>
      </c>
      <c r="N266" s="63">
        <f t="shared" si="28"/>
        <v>195.64</v>
      </c>
      <c r="O266" s="63">
        <f t="shared" si="29"/>
        <v>205.47</v>
      </c>
    </row>
    <row r="267" spans="1:15">
      <c r="A267" s="9" t="s">
        <v>240</v>
      </c>
      <c r="B267" s="64">
        <f t="shared" si="30"/>
        <v>0.127</v>
      </c>
      <c r="C267" s="31">
        <v>5</v>
      </c>
      <c r="D267" s="12" t="s">
        <v>138</v>
      </c>
      <c r="E267" s="41" t="s">
        <v>245</v>
      </c>
      <c r="F267" s="32" t="s">
        <v>86</v>
      </c>
      <c r="G267" s="336">
        <v>23.010999999999999</v>
      </c>
      <c r="H267" s="15">
        <f t="shared" si="23"/>
        <v>276.13</v>
      </c>
      <c r="I267" s="68">
        <f t="shared" si="24"/>
        <v>306.74</v>
      </c>
      <c r="J267" s="15">
        <f t="shared" si="25"/>
        <v>322.14999999999998</v>
      </c>
      <c r="K267" s="337">
        <v>5.0009391435011263E-2</v>
      </c>
      <c r="L267" s="63">
        <f t="shared" si="26"/>
        <v>264.69</v>
      </c>
      <c r="M267" s="63">
        <f t="shared" si="27"/>
        <v>184.09</v>
      </c>
      <c r="N267" s="63">
        <f t="shared" si="28"/>
        <v>204.49</v>
      </c>
      <c r="O267" s="63">
        <f t="shared" si="29"/>
        <v>214.77</v>
      </c>
    </row>
    <row r="268" spans="1:15">
      <c r="A268" s="9" t="s">
        <v>240</v>
      </c>
      <c r="B268" s="64">
        <f t="shared" si="30"/>
        <v>0.127</v>
      </c>
      <c r="C268" s="31">
        <v>5</v>
      </c>
      <c r="D268" s="12" t="s">
        <v>138</v>
      </c>
      <c r="E268" s="41" t="s">
        <v>245</v>
      </c>
      <c r="F268" s="32" t="s">
        <v>117</v>
      </c>
      <c r="G268" s="336">
        <v>23.299999999999997</v>
      </c>
      <c r="H268" s="15">
        <f t="shared" si="23"/>
        <v>279.60000000000002</v>
      </c>
      <c r="I268" s="68">
        <f t="shared" si="24"/>
        <v>310.58999999999997</v>
      </c>
      <c r="J268" s="15">
        <f t="shared" si="25"/>
        <v>326.2</v>
      </c>
      <c r="K268" s="337">
        <v>5.0020861341615985E-2</v>
      </c>
      <c r="L268" s="63">
        <f t="shared" si="26"/>
        <v>268.01</v>
      </c>
      <c r="M268" s="63">
        <f t="shared" si="27"/>
        <v>186.4</v>
      </c>
      <c r="N268" s="63">
        <f t="shared" si="28"/>
        <v>207.06</v>
      </c>
      <c r="O268" s="63">
        <f t="shared" si="29"/>
        <v>217.47</v>
      </c>
    </row>
    <row r="269" spans="1:15">
      <c r="A269" s="9" t="s">
        <v>240</v>
      </c>
      <c r="B269" s="64">
        <f t="shared" si="30"/>
        <v>0.14000000000000001</v>
      </c>
      <c r="C269" s="31">
        <v>5.5</v>
      </c>
      <c r="D269" s="12" t="s">
        <v>138</v>
      </c>
      <c r="E269" s="41" t="s">
        <v>245</v>
      </c>
      <c r="F269" s="32" t="s">
        <v>117</v>
      </c>
      <c r="G269" s="336">
        <v>23.855999999999998</v>
      </c>
      <c r="H269" s="15">
        <f t="shared" ref="H269:H329" si="31">ROUND(G269*12,2)</f>
        <v>286.27</v>
      </c>
      <c r="I269" s="68">
        <f t="shared" ref="I269:I329" si="32">ROUND(G269*13.33,2)</f>
        <v>318</v>
      </c>
      <c r="J269" s="15">
        <f t="shared" ref="J269:J329" si="33">ROUND(G269*14,2)</f>
        <v>333.98</v>
      </c>
      <c r="K269" s="337">
        <v>4.9997737658929564E-2</v>
      </c>
      <c r="L269" s="63">
        <f t="shared" ref="L269:L329" si="34">ROUND(ROUND(ROUND(G269*12,2)*43/48,2)*1.07,2)</f>
        <v>274.39999999999998</v>
      </c>
      <c r="M269" s="63">
        <f t="shared" ref="M269:M329" si="35">ROUND(ROUND(G269*12,2)*2/3,2)</f>
        <v>190.85</v>
      </c>
      <c r="N269" s="63">
        <f t="shared" ref="N269:N329" si="36">ROUND(ROUND(G269*13.33,2)*2/3,2)</f>
        <v>212</v>
      </c>
      <c r="O269" s="63">
        <f t="shared" ref="O269:O329" si="37">ROUND(ROUND(G269*14,2)*2/3,2)</f>
        <v>222.65</v>
      </c>
    </row>
    <row r="270" spans="1:15">
      <c r="A270" s="9" t="s">
        <v>240</v>
      </c>
      <c r="B270" s="64">
        <f t="shared" si="30"/>
        <v>0.152</v>
      </c>
      <c r="C270" s="31">
        <v>6</v>
      </c>
      <c r="D270" s="12" t="s">
        <v>138</v>
      </c>
      <c r="E270" s="41" t="s">
        <v>245</v>
      </c>
      <c r="F270" s="32" t="s">
        <v>117</v>
      </c>
      <c r="G270" s="336">
        <v>24.163</v>
      </c>
      <c r="H270" s="15">
        <f t="shared" si="31"/>
        <v>289.95999999999998</v>
      </c>
      <c r="I270" s="68">
        <f t="shared" si="32"/>
        <v>322.08999999999997</v>
      </c>
      <c r="J270" s="15">
        <f t="shared" si="33"/>
        <v>338.28</v>
      </c>
      <c r="K270" s="337">
        <v>5.001562988433883E-2</v>
      </c>
      <c r="L270" s="63">
        <f t="shared" si="34"/>
        <v>277.94</v>
      </c>
      <c r="M270" s="63">
        <f t="shared" si="35"/>
        <v>193.31</v>
      </c>
      <c r="N270" s="63">
        <f t="shared" si="36"/>
        <v>214.73</v>
      </c>
      <c r="O270" s="63">
        <f t="shared" si="37"/>
        <v>225.52</v>
      </c>
    </row>
    <row r="271" spans="1:15">
      <c r="A271" s="9" t="s">
        <v>240</v>
      </c>
      <c r="B271" s="64">
        <f t="shared" si="30"/>
        <v>0.152</v>
      </c>
      <c r="C271" s="31">
        <v>6</v>
      </c>
      <c r="D271" s="12" t="s">
        <v>138</v>
      </c>
      <c r="E271" s="41" t="s">
        <v>245</v>
      </c>
      <c r="F271" s="32" t="s">
        <v>86</v>
      </c>
      <c r="G271" s="336">
        <v>23.302999999999997</v>
      </c>
      <c r="H271" s="15">
        <f t="shared" si="31"/>
        <v>279.64</v>
      </c>
      <c r="I271" s="68">
        <f t="shared" si="32"/>
        <v>310.63</v>
      </c>
      <c r="J271" s="15">
        <f t="shared" si="33"/>
        <v>326.24</v>
      </c>
      <c r="K271" s="337">
        <v>5.0013905627143584E-2</v>
      </c>
      <c r="L271" s="63">
        <f t="shared" si="34"/>
        <v>268.05</v>
      </c>
      <c r="M271" s="63">
        <f t="shared" si="35"/>
        <v>186.43</v>
      </c>
      <c r="N271" s="63">
        <f t="shared" si="36"/>
        <v>207.09</v>
      </c>
      <c r="O271" s="63">
        <f t="shared" si="37"/>
        <v>217.49</v>
      </c>
    </row>
    <row r="272" spans="1:15">
      <c r="A272" s="9" t="s">
        <v>240</v>
      </c>
      <c r="B272" s="64">
        <f t="shared" si="30"/>
        <v>0.20300000000000001</v>
      </c>
      <c r="C272" s="31">
        <v>8</v>
      </c>
      <c r="D272" s="12" t="s">
        <v>138</v>
      </c>
      <c r="E272" s="41" t="s">
        <v>245</v>
      </c>
      <c r="F272" s="32" t="s">
        <v>87</v>
      </c>
      <c r="G272" s="336">
        <v>23.174999999999997</v>
      </c>
      <c r="H272" s="15">
        <f t="shared" si="31"/>
        <v>278.10000000000002</v>
      </c>
      <c r="I272" s="68">
        <f t="shared" si="32"/>
        <v>308.92</v>
      </c>
      <c r="J272" s="15">
        <f t="shared" si="33"/>
        <v>324.45</v>
      </c>
      <c r="K272" s="337">
        <v>5.0018646280066914E-2</v>
      </c>
      <c r="L272" s="63">
        <f t="shared" si="34"/>
        <v>266.57</v>
      </c>
      <c r="M272" s="63">
        <f t="shared" si="35"/>
        <v>185.4</v>
      </c>
      <c r="N272" s="63">
        <f t="shared" si="36"/>
        <v>205.95</v>
      </c>
      <c r="O272" s="63">
        <f t="shared" si="37"/>
        <v>216.3</v>
      </c>
    </row>
    <row r="273" spans="1:15">
      <c r="A273" s="9" t="s">
        <v>240</v>
      </c>
      <c r="B273" s="64">
        <f t="shared" si="30"/>
        <v>0.254</v>
      </c>
      <c r="C273" s="31">
        <v>10</v>
      </c>
      <c r="D273" s="12" t="s">
        <v>138</v>
      </c>
      <c r="E273" s="41" t="s">
        <v>245</v>
      </c>
      <c r="F273" s="32" t="s">
        <v>89</v>
      </c>
      <c r="G273" s="336">
        <v>23.479999999999997</v>
      </c>
      <c r="H273" s="15">
        <f t="shared" si="31"/>
        <v>281.76</v>
      </c>
      <c r="I273" s="68">
        <f t="shared" si="32"/>
        <v>312.99</v>
      </c>
      <c r="J273" s="15">
        <f t="shared" si="33"/>
        <v>328.72</v>
      </c>
      <c r="K273" s="337">
        <v>4.9993101227981507E-2</v>
      </c>
      <c r="L273" s="63">
        <f t="shared" si="34"/>
        <v>270.08</v>
      </c>
      <c r="M273" s="63">
        <f t="shared" si="35"/>
        <v>187.84</v>
      </c>
      <c r="N273" s="63">
        <f t="shared" si="36"/>
        <v>208.66</v>
      </c>
      <c r="O273" s="63">
        <f t="shared" si="37"/>
        <v>219.15</v>
      </c>
    </row>
    <row r="274" spans="1:15">
      <c r="A274" s="9" t="s">
        <v>240</v>
      </c>
      <c r="B274" s="64">
        <f t="shared" si="30"/>
        <v>0.50800000000000001</v>
      </c>
      <c r="C274" s="31">
        <v>20</v>
      </c>
      <c r="D274" s="12" t="s">
        <v>138</v>
      </c>
      <c r="E274" s="41" t="s">
        <v>245</v>
      </c>
      <c r="F274" s="32" t="s">
        <v>129</v>
      </c>
      <c r="G274" s="336">
        <v>38.692</v>
      </c>
      <c r="H274" s="15">
        <f t="shared" si="31"/>
        <v>464.3</v>
      </c>
      <c r="I274" s="68">
        <f t="shared" si="32"/>
        <v>515.76</v>
      </c>
      <c r="J274" s="15">
        <f t="shared" si="33"/>
        <v>541.69000000000005</v>
      </c>
      <c r="K274" s="337">
        <v>3.9995625905574261E-2</v>
      </c>
      <c r="L274" s="63">
        <f t="shared" si="34"/>
        <v>445.06</v>
      </c>
      <c r="M274" s="63">
        <f t="shared" si="35"/>
        <v>309.52999999999997</v>
      </c>
      <c r="N274" s="63">
        <f t="shared" si="36"/>
        <v>343.84</v>
      </c>
      <c r="O274" s="63">
        <f t="shared" si="37"/>
        <v>361.13</v>
      </c>
    </row>
    <row r="275" spans="1:15">
      <c r="A275" s="9" t="s">
        <v>240</v>
      </c>
      <c r="B275" s="64">
        <f t="shared" si="30"/>
        <v>0.63500000000000001</v>
      </c>
      <c r="C275" s="31">
        <v>25</v>
      </c>
      <c r="D275" s="12" t="s">
        <v>138</v>
      </c>
      <c r="E275" s="41" t="s">
        <v>245</v>
      </c>
      <c r="F275" s="32" t="s">
        <v>88</v>
      </c>
      <c r="G275" s="336">
        <v>43.949999999999996</v>
      </c>
      <c r="H275" s="15">
        <f t="shared" si="31"/>
        <v>527.4</v>
      </c>
      <c r="I275" s="68">
        <f t="shared" si="32"/>
        <v>585.85</v>
      </c>
      <c r="J275" s="15">
        <f t="shared" si="33"/>
        <v>615.29999999999995</v>
      </c>
      <c r="K275" s="337">
        <v>3.9990392698450838E-2</v>
      </c>
      <c r="L275" s="63">
        <f t="shared" si="34"/>
        <v>505.53</v>
      </c>
      <c r="M275" s="63">
        <f t="shared" si="35"/>
        <v>351.6</v>
      </c>
      <c r="N275" s="63">
        <f t="shared" si="36"/>
        <v>390.57</v>
      </c>
      <c r="O275" s="63">
        <f t="shared" si="37"/>
        <v>410.2</v>
      </c>
    </row>
    <row r="276" spans="1:15" s="33" customFormat="1">
      <c r="A276" s="87" t="s">
        <v>240</v>
      </c>
      <c r="B276" s="64">
        <f t="shared" si="30"/>
        <v>5.0999999999999997E-2</v>
      </c>
      <c r="C276" s="42">
        <v>2</v>
      </c>
      <c r="D276" s="155" t="s">
        <v>138</v>
      </c>
      <c r="E276" s="41" t="s">
        <v>156</v>
      </c>
      <c r="F276" s="117" t="s">
        <v>246</v>
      </c>
      <c r="G276" s="338">
        <v>20.83</v>
      </c>
      <c r="H276" s="120">
        <f t="shared" si="31"/>
        <v>249.96</v>
      </c>
      <c r="I276" s="68">
        <f t="shared" si="32"/>
        <v>277.66000000000003</v>
      </c>
      <c r="J276" s="120">
        <f t="shared" si="33"/>
        <v>291.62</v>
      </c>
      <c r="K276" s="337">
        <v>7.0015924384856376E-2</v>
      </c>
      <c r="L276" s="63">
        <f t="shared" si="34"/>
        <v>239.59</v>
      </c>
      <c r="M276" s="63">
        <f t="shared" si="35"/>
        <v>166.64</v>
      </c>
      <c r="N276" s="63">
        <f t="shared" si="36"/>
        <v>185.11</v>
      </c>
      <c r="O276" s="63">
        <f t="shared" si="37"/>
        <v>194.41</v>
      </c>
    </row>
    <row r="277" spans="1:15" s="33" customFormat="1">
      <c r="A277" s="87" t="s">
        <v>240</v>
      </c>
      <c r="B277" s="64">
        <f t="shared" si="30"/>
        <v>7.5999999999999998E-2</v>
      </c>
      <c r="C277" s="42">
        <v>3</v>
      </c>
      <c r="D277" s="155" t="s">
        <v>138</v>
      </c>
      <c r="E277" s="41" t="s">
        <v>156</v>
      </c>
      <c r="F277" s="117" t="s">
        <v>140</v>
      </c>
      <c r="G277" s="338">
        <v>27.245000000000001</v>
      </c>
      <c r="H277" s="120">
        <f t="shared" si="31"/>
        <v>326.94</v>
      </c>
      <c r="I277" s="68">
        <f t="shared" si="32"/>
        <v>363.18</v>
      </c>
      <c r="J277" s="120">
        <f t="shared" si="33"/>
        <v>381.43</v>
      </c>
      <c r="K277" s="337">
        <v>4.9984584553722788E-2</v>
      </c>
      <c r="L277" s="63">
        <f t="shared" si="34"/>
        <v>313.38</v>
      </c>
      <c r="M277" s="63">
        <f t="shared" si="35"/>
        <v>217.96</v>
      </c>
      <c r="N277" s="63">
        <f t="shared" si="36"/>
        <v>242.12</v>
      </c>
      <c r="O277" s="63">
        <f t="shared" si="37"/>
        <v>254.29</v>
      </c>
    </row>
    <row r="278" spans="1:15" s="33" customFormat="1">
      <c r="A278" s="87" t="s">
        <v>240</v>
      </c>
      <c r="B278" s="64">
        <f t="shared" si="30"/>
        <v>7.5999999999999998E-2</v>
      </c>
      <c r="C278" s="42">
        <v>3</v>
      </c>
      <c r="D278" s="155" t="s">
        <v>138</v>
      </c>
      <c r="E278" s="41" t="s">
        <v>156</v>
      </c>
      <c r="F278" s="117" t="s">
        <v>81</v>
      </c>
      <c r="G278" s="338">
        <v>19.64</v>
      </c>
      <c r="H278" s="120">
        <f t="shared" si="31"/>
        <v>235.68</v>
      </c>
      <c r="I278" s="68">
        <f t="shared" si="32"/>
        <v>261.8</v>
      </c>
      <c r="J278" s="120">
        <f t="shared" si="33"/>
        <v>274.95999999999998</v>
      </c>
      <c r="K278" s="337">
        <v>7.0008172160174409E-2</v>
      </c>
      <c r="L278" s="63">
        <f t="shared" si="34"/>
        <v>225.91</v>
      </c>
      <c r="M278" s="63">
        <f t="shared" si="35"/>
        <v>157.12</v>
      </c>
      <c r="N278" s="63">
        <f t="shared" si="36"/>
        <v>174.53</v>
      </c>
      <c r="O278" s="63">
        <f t="shared" si="37"/>
        <v>183.31</v>
      </c>
    </row>
    <row r="279" spans="1:15" s="33" customFormat="1">
      <c r="A279" s="87" t="s">
        <v>240</v>
      </c>
      <c r="B279" s="64">
        <f t="shared" si="30"/>
        <v>7.5999999999999998E-2</v>
      </c>
      <c r="C279" s="42">
        <v>3</v>
      </c>
      <c r="D279" s="155" t="s">
        <v>138</v>
      </c>
      <c r="E279" s="41" t="s">
        <v>156</v>
      </c>
      <c r="F279" s="117" t="s">
        <v>122</v>
      </c>
      <c r="G279" s="338">
        <v>19.64</v>
      </c>
      <c r="H279" s="120">
        <f t="shared" si="31"/>
        <v>235.68</v>
      </c>
      <c r="I279" s="68">
        <f t="shared" si="32"/>
        <v>261.8</v>
      </c>
      <c r="J279" s="120">
        <f t="shared" si="33"/>
        <v>274.95999999999998</v>
      </c>
      <c r="K279" s="337">
        <v>7.0008172160174409E-2</v>
      </c>
      <c r="L279" s="63">
        <f t="shared" si="34"/>
        <v>225.91</v>
      </c>
      <c r="M279" s="63">
        <f t="shared" si="35"/>
        <v>157.12</v>
      </c>
      <c r="N279" s="63">
        <f t="shared" si="36"/>
        <v>174.53</v>
      </c>
      <c r="O279" s="63">
        <f t="shared" si="37"/>
        <v>183.31</v>
      </c>
    </row>
    <row r="280" spans="1:15" s="33" customFormat="1">
      <c r="A280" s="87" t="s">
        <v>240</v>
      </c>
      <c r="B280" s="64">
        <f t="shared" si="30"/>
        <v>8.8999999999999996E-2</v>
      </c>
      <c r="C280" s="42">
        <v>3.5</v>
      </c>
      <c r="D280" s="155" t="s">
        <v>138</v>
      </c>
      <c r="E280" s="41" t="s">
        <v>156</v>
      </c>
      <c r="F280" s="117" t="s">
        <v>122</v>
      </c>
      <c r="G280" s="338">
        <v>20.152000000000001</v>
      </c>
      <c r="H280" s="120">
        <f t="shared" si="31"/>
        <v>241.82</v>
      </c>
      <c r="I280" s="68">
        <f t="shared" si="32"/>
        <v>268.63</v>
      </c>
      <c r="J280" s="120">
        <f t="shared" si="33"/>
        <v>282.13</v>
      </c>
      <c r="K280" s="337">
        <v>6.9979823723054224E-2</v>
      </c>
      <c r="L280" s="63">
        <f t="shared" si="34"/>
        <v>231.79</v>
      </c>
      <c r="M280" s="63">
        <f t="shared" si="35"/>
        <v>161.21</v>
      </c>
      <c r="N280" s="63">
        <f t="shared" si="36"/>
        <v>179.09</v>
      </c>
      <c r="O280" s="63">
        <f t="shared" si="37"/>
        <v>188.09</v>
      </c>
    </row>
    <row r="281" spans="1:15" s="33" customFormat="1">
      <c r="A281" s="87" t="s">
        <v>240</v>
      </c>
      <c r="B281" s="64">
        <f t="shared" si="30"/>
        <v>0.10199999999999999</v>
      </c>
      <c r="C281" s="42">
        <v>4</v>
      </c>
      <c r="D281" s="155" t="s">
        <v>138</v>
      </c>
      <c r="E281" s="41" t="s">
        <v>156</v>
      </c>
      <c r="F281" s="117" t="s">
        <v>122</v>
      </c>
      <c r="G281" s="338">
        <v>20.757000000000001</v>
      </c>
      <c r="H281" s="120">
        <f t="shared" si="31"/>
        <v>249.08</v>
      </c>
      <c r="I281" s="68">
        <f t="shared" si="32"/>
        <v>276.69</v>
      </c>
      <c r="J281" s="120">
        <f t="shared" si="33"/>
        <v>290.60000000000002</v>
      </c>
      <c r="K281" s="337">
        <v>7.0003608433424347E-2</v>
      </c>
      <c r="L281" s="63">
        <f t="shared" si="34"/>
        <v>238.75</v>
      </c>
      <c r="M281" s="63">
        <f t="shared" si="35"/>
        <v>166.05</v>
      </c>
      <c r="N281" s="63">
        <f t="shared" si="36"/>
        <v>184.46</v>
      </c>
      <c r="O281" s="63">
        <f t="shared" si="37"/>
        <v>193.73</v>
      </c>
    </row>
    <row r="282" spans="1:15" s="33" customFormat="1">
      <c r="A282" s="87" t="s">
        <v>240</v>
      </c>
      <c r="B282" s="64">
        <f t="shared" si="30"/>
        <v>0.10199999999999999</v>
      </c>
      <c r="C282" s="42">
        <v>4</v>
      </c>
      <c r="D282" s="155" t="s">
        <v>138</v>
      </c>
      <c r="E282" s="41" t="s">
        <v>156</v>
      </c>
      <c r="F282" s="117" t="s">
        <v>83</v>
      </c>
      <c r="G282" s="338">
        <v>19.974</v>
      </c>
      <c r="H282" s="120">
        <f t="shared" si="31"/>
        <v>239.69</v>
      </c>
      <c r="I282" s="68">
        <f t="shared" si="32"/>
        <v>266.25</v>
      </c>
      <c r="J282" s="120">
        <f t="shared" si="33"/>
        <v>279.64</v>
      </c>
      <c r="K282" s="337">
        <v>7.0016606846306173E-2</v>
      </c>
      <c r="L282" s="63">
        <f t="shared" si="34"/>
        <v>229.75</v>
      </c>
      <c r="M282" s="63">
        <f t="shared" si="35"/>
        <v>159.79</v>
      </c>
      <c r="N282" s="63">
        <f t="shared" si="36"/>
        <v>177.5</v>
      </c>
      <c r="O282" s="63">
        <f t="shared" si="37"/>
        <v>186.43</v>
      </c>
    </row>
    <row r="283" spans="1:15" s="33" customFormat="1">
      <c r="A283" s="87" t="s">
        <v>240</v>
      </c>
      <c r="B283" s="64">
        <f t="shared" si="30"/>
        <v>0.10199999999999999</v>
      </c>
      <c r="C283" s="42">
        <v>4</v>
      </c>
      <c r="D283" s="155" t="s">
        <v>138</v>
      </c>
      <c r="E283" s="41" t="s">
        <v>156</v>
      </c>
      <c r="F283" s="117" t="s">
        <v>166</v>
      </c>
      <c r="G283" s="338">
        <v>21.608000000000001</v>
      </c>
      <c r="H283" s="120">
        <f t="shared" si="31"/>
        <v>259.3</v>
      </c>
      <c r="I283" s="68">
        <f t="shared" si="32"/>
        <v>288.02999999999997</v>
      </c>
      <c r="J283" s="120">
        <f t="shared" si="33"/>
        <v>302.51</v>
      </c>
      <c r="K283" s="337">
        <v>5.0002429661305303E-2</v>
      </c>
      <c r="L283" s="63">
        <f t="shared" si="34"/>
        <v>248.55</v>
      </c>
      <c r="M283" s="63">
        <f t="shared" si="35"/>
        <v>172.87</v>
      </c>
      <c r="N283" s="63">
        <f t="shared" si="36"/>
        <v>192.02</v>
      </c>
      <c r="O283" s="63">
        <f t="shared" si="37"/>
        <v>201.67</v>
      </c>
    </row>
    <row r="284" spans="1:15" s="33" customFormat="1">
      <c r="A284" s="87" t="s">
        <v>240</v>
      </c>
      <c r="B284" s="64">
        <f t="shared" si="30"/>
        <v>0.10199999999999999</v>
      </c>
      <c r="C284" s="42">
        <v>4</v>
      </c>
      <c r="D284" s="155" t="s">
        <v>138</v>
      </c>
      <c r="E284" s="41" t="s">
        <v>156</v>
      </c>
      <c r="F284" s="117" t="s">
        <v>85</v>
      </c>
      <c r="G284" s="338">
        <v>21.608000000000001</v>
      </c>
      <c r="H284" s="120">
        <f t="shared" si="31"/>
        <v>259.3</v>
      </c>
      <c r="I284" s="68">
        <f t="shared" si="32"/>
        <v>288.02999999999997</v>
      </c>
      <c r="J284" s="120">
        <f t="shared" si="33"/>
        <v>302.51</v>
      </c>
      <c r="K284" s="337">
        <v>5.0002429661305303E-2</v>
      </c>
      <c r="L284" s="63">
        <f t="shared" si="34"/>
        <v>248.55</v>
      </c>
      <c r="M284" s="63">
        <f t="shared" si="35"/>
        <v>172.87</v>
      </c>
      <c r="N284" s="63">
        <f t="shared" si="36"/>
        <v>192.02</v>
      </c>
      <c r="O284" s="63">
        <f t="shared" si="37"/>
        <v>201.67</v>
      </c>
    </row>
    <row r="285" spans="1:15" s="33" customFormat="1">
      <c r="A285" s="87" t="s">
        <v>240</v>
      </c>
      <c r="B285" s="64">
        <f t="shared" si="30"/>
        <v>0.127</v>
      </c>
      <c r="C285" s="42">
        <v>5</v>
      </c>
      <c r="D285" s="155" t="s">
        <v>138</v>
      </c>
      <c r="E285" s="41" t="s">
        <v>156</v>
      </c>
      <c r="F285" s="117" t="s">
        <v>84</v>
      </c>
      <c r="G285" s="338">
        <v>21.364999999999998</v>
      </c>
      <c r="H285" s="120">
        <f t="shared" si="31"/>
        <v>256.38</v>
      </c>
      <c r="I285" s="68">
        <f t="shared" si="32"/>
        <v>284.8</v>
      </c>
      <c r="J285" s="120">
        <f t="shared" si="33"/>
        <v>299.11</v>
      </c>
      <c r="K285" s="337">
        <v>7.0015525617268537E-2</v>
      </c>
      <c r="L285" s="63">
        <f t="shared" si="34"/>
        <v>245.75</v>
      </c>
      <c r="M285" s="63">
        <f t="shared" si="35"/>
        <v>170.92</v>
      </c>
      <c r="N285" s="63">
        <f t="shared" si="36"/>
        <v>189.87</v>
      </c>
      <c r="O285" s="63">
        <f t="shared" si="37"/>
        <v>199.41</v>
      </c>
    </row>
    <row r="286" spans="1:15">
      <c r="A286" s="9" t="s">
        <v>240</v>
      </c>
      <c r="B286" s="64">
        <f t="shared" si="30"/>
        <v>0.127</v>
      </c>
      <c r="C286" s="31">
        <v>5</v>
      </c>
      <c r="D286" s="12" t="s">
        <v>138</v>
      </c>
      <c r="E286" s="13" t="s">
        <v>156</v>
      </c>
      <c r="F286" s="32" t="s">
        <v>86</v>
      </c>
      <c r="G286" s="336">
        <v>22.361000000000001</v>
      </c>
      <c r="H286" s="15">
        <f t="shared" si="31"/>
        <v>268.33</v>
      </c>
      <c r="I286" s="68">
        <f t="shared" si="32"/>
        <v>298.07</v>
      </c>
      <c r="J286" s="15">
        <f t="shared" si="33"/>
        <v>313.05</v>
      </c>
      <c r="K286" s="337">
        <v>5.0009391435011263E-2</v>
      </c>
      <c r="L286" s="63">
        <f t="shared" si="34"/>
        <v>257.20999999999998</v>
      </c>
      <c r="M286" s="63">
        <f t="shared" si="35"/>
        <v>178.89</v>
      </c>
      <c r="N286" s="63">
        <f t="shared" si="36"/>
        <v>198.71</v>
      </c>
      <c r="O286" s="63">
        <f t="shared" si="37"/>
        <v>208.7</v>
      </c>
    </row>
    <row r="287" spans="1:15">
      <c r="A287" s="9" t="s">
        <v>240</v>
      </c>
      <c r="B287" s="64">
        <f t="shared" si="30"/>
        <v>0.127</v>
      </c>
      <c r="C287" s="31">
        <v>5</v>
      </c>
      <c r="D287" s="12" t="s">
        <v>138</v>
      </c>
      <c r="E287" s="13" t="s">
        <v>156</v>
      </c>
      <c r="F287" s="32" t="s">
        <v>117</v>
      </c>
      <c r="G287" s="336">
        <v>22.65</v>
      </c>
      <c r="H287" s="15">
        <f t="shared" si="31"/>
        <v>271.8</v>
      </c>
      <c r="I287" s="68">
        <f t="shared" si="32"/>
        <v>301.92</v>
      </c>
      <c r="J287" s="15">
        <f t="shared" si="33"/>
        <v>317.10000000000002</v>
      </c>
      <c r="K287" s="337">
        <v>5.0020861341615985E-2</v>
      </c>
      <c r="L287" s="63">
        <f t="shared" si="34"/>
        <v>260.52999999999997</v>
      </c>
      <c r="M287" s="63">
        <f t="shared" si="35"/>
        <v>181.2</v>
      </c>
      <c r="N287" s="63">
        <f t="shared" si="36"/>
        <v>201.28</v>
      </c>
      <c r="O287" s="63">
        <f t="shared" si="37"/>
        <v>211.4</v>
      </c>
    </row>
    <row r="288" spans="1:15">
      <c r="A288" s="9" t="s">
        <v>240</v>
      </c>
      <c r="B288" s="64">
        <f t="shared" si="30"/>
        <v>0.14000000000000001</v>
      </c>
      <c r="C288" s="31">
        <v>5.5</v>
      </c>
      <c r="D288" s="12" t="s">
        <v>138</v>
      </c>
      <c r="E288" s="13" t="s">
        <v>156</v>
      </c>
      <c r="F288" s="32" t="s">
        <v>117</v>
      </c>
      <c r="G288" s="336">
        <v>23.206</v>
      </c>
      <c r="H288" s="15">
        <f t="shared" si="31"/>
        <v>278.47000000000003</v>
      </c>
      <c r="I288" s="68">
        <f t="shared" si="32"/>
        <v>309.33999999999997</v>
      </c>
      <c r="J288" s="15">
        <f t="shared" si="33"/>
        <v>324.88</v>
      </c>
      <c r="K288" s="337">
        <v>4.9997737658929564E-2</v>
      </c>
      <c r="L288" s="63">
        <f t="shared" si="34"/>
        <v>266.92</v>
      </c>
      <c r="M288" s="63">
        <f t="shared" si="35"/>
        <v>185.65</v>
      </c>
      <c r="N288" s="63">
        <f t="shared" si="36"/>
        <v>206.23</v>
      </c>
      <c r="O288" s="63">
        <f t="shared" si="37"/>
        <v>216.59</v>
      </c>
    </row>
    <row r="289" spans="1:15">
      <c r="A289" s="9" t="s">
        <v>240</v>
      </c>
      <c r="B289" s="64">
        <f t="shared" si="30"/>
        <v>0.152</v>
      </c>
      <c r="C289" s="31">
        <v>6</v>
      </c>
      <c r="D289" s="12" t="s">
        <v>138</v>
      </c>
      <c r="E289" s="13" t="s">
        <v>156</v>
      </c>
      <c r="F289" s="32" t="s">
        <v>117</v>
      </c>
      <c r="G289" s="336">
        <v>23.513000000000002</v>
      </c>
      <c r="H289" s="15">
        <f t="shared" si="31"/>
        <v>282.16000000000003</v>
      </c>
      <c r="I289" s="68">
        <f t="shared" si="32"/>
        <v>313.43</v>
      </c>
      <c r="J289" s="15">
        <f t="shared" si="33"/>
        <v>329.18</v>
      </c>
      <c r="K289" s="337">
        <v>5.001562988433883E-2</v>
      </c>
      <c r="L289" s="63">
        <f t="shared" si="34"/>
        <v>270.45999999999998</v>
      </c>
      <c r="M289" s="63">
        <f t="shared" si="35"/>
        <v>188.11</v>
      </c>
      <c r="N289" s="63">
        <f t="shared" si="36"/>
        <v>208.95</v>
      </c>
      <c r="O289" s="63">
        <f t="shared" si="37"/>
        <v>219.45</v>
      </c>
    </row>
    <row r="290" spans="1:15">
      <c r="A290" s="9" t="s">
        <v>240</v>
      </c>
      <c r="B290" s="64">
        <f t="shared" si="30"/>
        <v>0.152</v>
      </c>
      <c r="C290" s="31">
        <v>6</v>
      </c>
      <c r="D290" s="12" t="s">
        <v>138</v>
      </c>
      <c r="E290" s="13" t="s">
        <v>156</v>
      </c>
      <c r="F290" s="32" t="s">
        <v>86</v>
      </c>
      <c r="G290" s="336">
        <v>22.652999999999999</v>
      </c>
      <c r="H290" s="15">
        <f t="shared" si="31"/>
        <v>271.83999999999997</v>
      </c>
      <c r="I290" s="68">
        <f t="shared" si="32"/>
        <v>301.95999999999998</v>
      </c>
      <c r="J290" s="15">
        <f t="shared" si="33"/>
        <v>317.14</v>
      </c>
      <c r="K290" s="337">
        <v>5.0013905627143584E-2</v>
      </c>
      <c r="L290" s="63">
        <f t="shared" si="34"/>
        <v>260.57</v>
      </c>
      <c r="M290" s="63">
        <f t="shared" si="35"/>
        <v>181.23</v>
      </c>
      <c r="N290" s="63">
        <f t="shared" si="36"/>
        <v>201.31</v>
      </c>
      <c r="O290" s="63">
        <f t="shared" si="37"/>
        <v>211.43</v>
      </c>
    </row>
    <row r="291" spans="1:15">
      <c r="A291" s="9" t="s">
        <v>240</v>
      </c>
      <c r="B291" s="64">
        <f t="shared" si="30"/>
        <v>0.20300000000000001</v>
      </c>
      <c r="C291" s="31">
        <v>8</v>
      </c>
      <c r="D291" s="12" t="s">
        <v>138</v>
      </c>
      <c r="E291" s="13" t="s">
        <v>156</v>
      </c>
      <c r="F291" s="32" t="s">
        <v>87</v>
      </c>
      <c r="G291" s="336">
        <v>22.524999999999999</v>
      </c>
      <c r="H291" s="15">
        <f t="shared" si="31"/>
        <v>270.3</v>
      </c>
      <c r="I291" s="68">
        <f t="shared" si="32"/>
        <v>300.26</v>
      </c>
      <c r="J291" s="15">
        <f t="shared" si="33"/>
        <v>315.35000000000002</v>
      </c>
      <c r="K291" s="337">
        <v>5.0018646280066914E-2</v>
      </c>
      <c r="L291" s="63">
        <f t="shared" si="34"/>
        <v>259.08999999999997</v>
      </c>
      <c r="M291" s="63">
        <f t="shared" si="35"/>
        <v>180.2</v>
      </c>
      <c r="N291" s="63">
        <f t="shared" si="36"/>
        <v>200.17</v>
      </c>
      <c r="O291" s="63">
        <f t="shared" si="37"/>
        <v>210.23</v>
      </c>
    </row>
    <row r="292" spans="1:15">
      <c r="A292" s="9" t="s">
        <v>240</v>
      </c>
      <c r="B292" s="64">
        <f t="shared" si="30"/>
        <v>0.254</v>
      </c>
      <c r="C292" s="31">
        <v>10</v>
      </c>
      <c r="D292" s="12" t="s">
        <v>138</v>
      </c>
      <c r="E292" s="13" t="s">
        <v>156</v>
      </c>
      <c r="F292" s="32" t="s">
        <v>89</v>
      </c>
      <c r="G292" s="336">
        <v>22.83</v>
      </c>
      <c r="H292" s="15">
        <f t="shared" si="31"/>
        <v>273.95999999999998</v>
      </c>
      <c r="I292" s="68">
        <f t="shared" si="32"/>
        <v>304.32</v>
      </c>
      <c r="J292" s="15">
        <f t="shared" si="33"/>
        <v>319.62</v>
      </c>
      <c r="K292" s="337">
        <v>4.9993101227981507E-2</v>
      </c>
      <c r="L292" s="63">
        <f t="shared" si="34"/>
        <v>262.60000000000002</v>
      </c>
      <c r="M292" s="63">
        <f t="shared" si="35"/>
        <v>182.64</v>
      </c>
      <c r="N292" s="63">
        <f t="shared" si="36"/>
        <v>202.88</v>
      </c>
      <c r="O292" s="63">
        <f t="shared" si="37"/>
        <v>213.08</v>
      </c>
    </row>
    <row r="293" spans="1:15">
      <c r="A293" s="9" t="s">
        <v>240</v>
      </c>
      <c r="B293" s="64">
        <f t="shared" si="30"/>
        <v>0.50800000000000001</v>
      </c>
      <c r="C293" s="31">
        <v>20</v>
      </c>
      <c r="D293" s="12" t="s">
        <v>138</v>
      </c>
      <c r="E293" s="13" t="s">
        <v>156</v>
      </c>
      <c r="F293" s="32" t="s">
        <v>129</v>
      </c>
      <c r="G293" s="336">
        <v>38.042000000000002</v>
      </c>
      <c r="H293" s="15">
        <f t="shared" si="31"/>
        <v>456.5</v>
      </c>
      <c r="I293" s="68">
        <f t="shared" si="32"/>
        <v>507.1</v>
      </c>
      <c r="J293" s="15">
        <f t="shared" si="33"/>
        <v>532.59</v>
      </c>
      <c r="K293" s="337">
        <v>3.9995625905574261E-2</v>
      </c>
      <c r="L293" s="63">
        <f t="shared" si="34"/>
        <v>437.58</v>
      </c>
      <c r="M293" s="63">
        <f t="shared" si="35"/>
        <v>304.33</v>
      </c>
      <c r="N293" s="63">
        <f t="shared" si="36"/>
        <v>338.07</v>
      </c>
      <c r="O293" s="63">
        <f t="shared" si="37"/>
        <v>355.06</v>
      </c>
    </row>
    <row r="294" spans="1:15">
      <c r="A294" s="9" t="s">
        <v>240</v>
      </c>
      <c r="B294" s="64">
        <f t="shared" si="30"/>
        <v>0.63500000000000001</v>
      </c>
      <c r="C294" s="31">
        <v>25</v>
      </c>
      <c r="D294" s="12" t="s">
        <v>138</v>
      </c>
      <c r="E294" s="13" t="s">
        <v>156</v>
      </c>
      <c r="F294" s="32" t="s">
        <v>88</v>
      </c>
      <c r="G294" s="336">
        <v>43.3</v>
      </c>
      <c r="H294" s="15">
        <f t="shared" si="31"/>
        <v>519.6</v>
      </c>
      <c r="I294" s="68">
        <f t="shared" si="32"/>
        <v>577.19000000000005</v>
      </c>
      <c r="J294" s="15">
        <f t="shared" si="33"/>
        <v>606.20000000000005</v>
      </c>
      <c r="K294" s="337">
        <v>3.9990392698450838E-2</v>
      </c>
      <c r="L294" s="63">
        <f t="shared" si="34"/>
        <v>498.06</v>
      </c>
      <c r="M294" s="63">
        <f t="shared" si="35"/>
        <v>346.4</v>
      </c>
      <c r="N294" s="63">
        <f t="shared" si="36"/>
        <v>384.79</v>
      </c>
      <c r="O294" s="63">
        <f t="shared" si="37"/>
        <v>404.13</v>
      </c>
    </row>
    <row r="295" spans="1:15">
      <c r="A295" s="9" t="s">
        <v>240</v>
      </c>
      <c r="B295" s="64">
        <f t="shared" si="30"/>
        <v>5.0999999999999997E-2</v>
      </c>
      <c r="C295" s="31">
        <v>2</v>
      </c>
      <c r="D295" s="12" t="s">
        <v>29</v>
      </c>
      <c r="E295" s="13" t="s">
        <v>137</v>
      </c>
      <c r="F295" s="32" t="s">
        <v>217</v>
      </c>
      <c r="G295" s="336">
        <v>22.774000000000001</v>
      </c>
      <c r="H295" s="15">
        <f t="shared" si="31"/>
        <v>273.29000000000002</v>
      </c>
      <c r="I295" s="68">
        <f t="shared" si="32"/>
        <v>303.58</v>
      </c>
      <c r="J295" s="15">
        <f t="shared" si="33"/>
        <v>318.83999999999997</v>
      </c>
      <c r="K295" s="337">
        <v>7.0005638037962781E-2</v>
      </c>
      <c r="L295" s="63">
        <f t="shared" si="34"/>
        <v>261.95999999999998</v>
      </c>
      <c r="M295" s="63">
        <f t="shared" si="35"/>
        <v>182.19</v>
      </c>
      <c r="N295" s="63">
        <f t="shared" si="36"/>
        <v>202.39</v>
      </c>
      <c r="O295" s="63">
        <f t="shared" si="37"/>
        <v>212.56</v>
      </c>
    </row>
    <row r="296" spans="1:15">
      <c r="A296" s="9" t="s">
        <v>240</v>
      </c>
      <c r="B296" s="64">
        <f t="shared" si="30"/>
        <v>6.4000000000000001E-2</v>
      </c>
      <c r="C296" s="31">
        <v>2.5</v>
      </c>
      <c r="D296" s="12" t="s">
        <v>29</v>
      </c>
      <c r="E296" s="13" t="s">
        <v>137</v>
      </c>
      <c r="F296" s="32" t="s">
        <v>122</v>
      </c>
      <c r="G296" s="336">
        <v>22.774000000000001</v>
      </c>
      <c r="H296" s="15">
        <f t="shared" si="31"/>
        <v>273.29000000000002</v>
      </c>
      <c r="I296" s="68">
        <f t="shared" si="32"/>
        <v>303.58</v>
      </c>
      <c r="J296" s="15">
        <f t="shared" si="33"/>
        <v>318.83999999999997</v>
      </c>
      <c r="K296" s="337">
        <v>7.0005638037962781E-2</v>
      </c>
      <c r="L296" s="63">
        <f t="shared" si="34"/>
        <v>261.95999999999998</v>
      </c>
      <c r="M296" s="63">
        <f t="shared" si="35"/>
        <v>182.19</v>
      </c>
      <c r="N296" s="63">
        <f t="shared" si="36"/>
        <v>202.39</v>
      </c>
      <c r="O296" s="63">
        <f t="shared" si="37"/>
        <v>212.56</v>
      </c>
    </row>
    <row r="297" spans="1:15">
      <c r="A297" s="9" t="s">
        <v>240</v>
      </c>
      <c r="B297" s="64">
        <f t="shared" si="30"/>
        <v>7.5999999999999998E-2</v>
      </c>
      <c r="C297" s="31">
        <v>3</v>
      </c>
      <c r="D297" s="12" t="s">
        <v>29</v>
      </c>
      <c r="E297" s="13" t="s">
        <v>137</v>
      </c>
      <c r="F297" s="32" t="s">
        <v>81</v>
      </c>
      <c r="G297" s="336">
        <v>22.318999999999999</v>
      </c>
      <c r="H297" s="15">
        <f t="shared" si="31"/>
        <v>267.83</v>
      </c>
      <c r="I297" s="68">
        <f t="shared" si="32"/>
        <v>297.51</v>
      </c>
      <c r="J297" s="15">
        <f t="shared" si="33"/>
        <v>312.47000000000003</v>
      </c>
      <c r="K297" s="337">
        <v>6.9993767678220298E-2</v>
      </c>
      <c r="L297" s="63">
        <f t="shared" si="34"/>
        <v>256.73</v>
      </c>
      <c r="M297" s="63">
        <f t="shared" si="35"/>
        <v>178.55</v>
      </c>
      <c r="N297" s="63">
        <f t="shared" si="36"/>
        <v>198.34</v>
      </c>
      <c r="O297" s="63">
        <f t="shared" si="37"/>
        <v>208.31</v>
      </c>
    </row>
    <row r="298" spans="1:15">
      <c r="A298" s="9" t="s">
        <v>240</v>
      </c>
      <c r="B298" s="64">
        <f t="shared" si="30"/>
        <v>7.5999999999999998E-2</v>
      </c>
      <c r="C298" s="31">
        <v>3</v>
      </c>
      <c r="D298" s="12" t="s">
        <v>29</v>
      </c>
      <c r="E298" s="13" t="s">
        <v>137</v>
      </c>
      <c r="F298" s="32" t="s">
        <v>122</v>
      </c>
      <c r="G298" s="336">
        <v>22.774000000000001</v>
      </c>
      <c r="H298" s="15">
        <f t="shared" si="31"/>
        <v>273.29000000000002</v>
      </c>
      <c r="I298" s="68">
        <f t="shared" si="32"/>
        <v>303.58</v>
      </c>
      <c r="J298" s="15">
        <f t="shared" si="33"/>
        <v>318.83999999999997</v>
      </c>
      <c r="K298" s="337">
        <v>7.0005638037962781E-2</v>
      </c>
      <c r="L298" s="63">
        <f t="shared" si="34"/>
        <v>261.95999999999998</v>
      </c>
      <c r="M298" s="63">
        <f t="shared" si="35"/>
        <v>182.19</v>
      </c>
      <c r="N298" s="63">
        <f t="shared" si="36"/>
        <v>202.39</v>
      </c>
      <c r="O298" s="63">
        <f t="shared" si="37"/>
        <v>212.56</v>
      </c>
    </row>
    <row r="299" spans="1:15">
      <c r="A299" s="9" t="s">
        <v>240</v>
      </c>
      <c r="B299" s="64">
        <f t="shared" si="30"/>
        <v>7.5999999999999998E-2</v>
      </c>
      <c r="C299" s="31">
        <v>3</v>
      </c>
      <c r="D299" s="12" t="s">
        <v>29</v>
      </c>
      <c r="E299" s="13" t="s">
        <v>137</v>
      </c>
      <c r="F299" s="32" t="s">
        <v>123</v>
      </c>
      <c r="G299" s="336">
        <v>22.774000000000001</v>
      </c>
      <c r="H299" s="15">
        <f t="shared" si="31"/>
        <v>273.29000000000002</v>
      </c>
      <c r="I299" s="68">
        <f t="shared" si="32"/>
        <v>303.58</v>
      </c>
      <c r="J299" s="15">
        <f t="shared" si="33"/>
        <v>318.83999999999997</v>
      </c>
      <c r="K299" s="337">
        <v>7.0005638037962781E-2</v>
      </c>
      <c r="L299" s="63">
        <f t="shared" si="34"/>
        <v>261.95999999999998</v>
      </c>
      <c r="M299" s="63">
        <f t="shared" si="35"/>
        <v>182.19</v>
      </c>
      <c r="N299" s="63">
        <f t="shared" si="36"/>
        <v>202.39</v>
      </c>
      <c r="O299" s="63">
        <f t="shared" si="37"/>
        <v>212.56</v>
      </c>
    </row>
    <row r="300" spans="1:15">
      <c r="A300" s="9" t="s">
        <v>240</v>
      </c>
      <c r="B300" s="64">
        <f t="shared" si="30"/>
        <v>7.5999999999999998E-2</v>
      </c>
      <c r="C300" s="31">
        <v>3</v>
      </c>
      <c r="D300" s="12" t="s">
        <v>29</v>
      </c>
      <c r="E300" s="13" t="s">
        <v>137</v>
      </c>
      <c r="F300" s="32" t="s">
        <v>140</v>
      </c>
      <c r="G300" s="336">
        <v>25.238</v>
      </c>
      <c r="H300" s="15">
        <f t="shared" si="31"/>
        <v>302.86</v>
      </c>
      <c r="I300" s="68">
        <f t="shared" si="32"/>
        <v>336.42</v>
      </c>
      <c r="J300" s="15">
        <f t="shared" si="33"/>
        <v>353.33</v>
      </c>
      <c r="K300" s="337">
        <v>5.0008320852055199E-2</v>
      </c>
      <c r="L300" s="63">
        <f t="shared" si="34"/>
        <v>290.3</v>
      </c>
      <c r="M300" s="63">
        <f t="shared" si="35"/>
        <v>201.91</v>
      </c>
      <c r="N300" s="63">
        <f t="shared" si="36"/>
        <v>224.28</v>
      </c>
      <c r="O300" s="63">
        <f t="shared" si="37"/>
        <v>235.55</v>
      </c>
    </row>
    <row r="301" spans="1:15">
      <c r="A301" s="9" t="s">
        <v>240</v>
      </c>
      <c r="B301" s="64">
        <f t="shared" si="30"/>
        <v>8.8999999999999996E-2</v>
      </c>
      <c r="C301" s="31">
        <v>3.5</v>
      </c>
      <c r="D301" s="12" t="s">
        <v>29</v>
      </c>
      <c r="E301" s="13" t="s">
        <v>137</v>
      </c>
      <c r="F301" s="32" t="s">
        <v>81</v>
      </c>
      <c r="G301" s="336">
        <v>22.318999999999999</v>
      </c>
      <c r="H301" s="15">
        <f t="shared" si="31"/>
        <v>267.83</v>
      </c>
      <c r="I301" s="68">
        <f t="shared" si="32"/>
        <v>297.51</v>
      </c>
      <c r="J301" s="15">
        <f t="shared" si="33"/>
        <v>312.47000000000003</v>
      </c>
      <c r="K301" s="337">
        <v>6.9993767678220298E-2</v>
      </c>
      <c r="L301" s="63">
        <f t="shared" si="34"/>
        <v>256.73</v>
      </c>
      <c r="M301" s="63">
        <f t="shared" si="35"/>
        <v>178.55</v>
      </c>
      <c r="N301" s="63">
        <f t="shared" si="36"/>
        <v>198.34</v>
      </c>
      <c r="O301" s="63">
        <f t="shared" si="37"/>
        <v>208.31</v>
      </c>
    </row>
    <row r="302" spans="1:15">
      <c r="A302" s="9" t="s">
        <v>240</v>
      </c>
      <c r="B302" s="64">
        <f t="shared" si="30"/>
        <v>8.8999999999999996E-2</v>
      </c>
      <c r="C302" s="31">
        <v>3.5</v>
      </c>
      <c r="D302" s="12" t="s">
        <v>29</v>
      </c>
      <c r="E302" s="13" t="s">
        <v>137</v>
      </c>
      <c r="F302" s="32" t="s">
        <v>122</v>
      </c>
      <c r="G302" s="336">
        <v>22.957000000000001</v>
      </c>
      <c r="H302" s="15">
        <f t="shared" si="31"/>
        <v>275.48</v>
      </c>
      <c r="I302" s="68">
        <f t="shared" si="32"/>
        <v>306.02</v>
      </c>
      <c r="J302" s="15">
        <f t="shared" si="33"/>
        <v>321.39999999999998</v>
      </c>
      <c r="K302" s="337">
        <v>7.0006991377301375E-2</v>
      </c>
      <c r="L302" s="63">
        <f t="shared" si="34"/>
        <v>264.05</v>
      </c>
      <c r="M302" s="63">
        <f t="shared" si="35"/>
        <v>183.65</v>
      </c>
      <c r="N302" s="63">
        <f t="shared" si="36"/>
        <v>204.01</v>
      </c>
      <c r="O302" s="63">
        <f t="shared" si="37"/>
        <v>214.27</v>
      </c>
    </row>
    <row r="303" spans="1:15">
      <c r="A303" s="9" t="s">
        <v>240</v>
      </c>
      <c r="B303" s="64">
        <f t="shared" si="30"/>
        <v>8.8999999999999996E-2</v>
      </c>
      <c r="C303" s="31">
        <v>3.5</v>
      </c>
      <c r="D303" s="12" t="s">
        <v>29</v>
      </c>
      <c r="E303" s="13" t="s">
        <v>137</v>
      </c>
      <c r="F303" s="32" t="s">
        <v>123</v>
      </c>
      <c r="G303" s="336">
        <v>22.957000000000001</v>
      </c>
      <c r="H303" s="15">
        <f t="shared" si="31"/>
        <v>275.48</v>
      </c>
      <c r="I303" s="68">
        <f t="shared" si="32"/>
        <v>306.02</v>
      </c>
      <c r="J303" s="15">
        <f t="shared" si="33"/>
        <v>321.39999999999998</v>
      </c>
      <c r="K303" s="337">
        <v>7.0006991377301375E-2</v>
      </c>
      <c r="L303" s="63">
        <f t="shared" si="34"/>
        <v>264.05</v>
      </c>
      <c r="M303" s="63">
        <f t="shared" si="35"/>
        <v>183.65</v>
      </c>
      <c r="N303" s="63">
        <f t="shared" si="36"/>
        <v>204.01</v>
      </c>
      <c r="O303" s="63">
        <f t="shared" si="37"/>
        <v>214.27</v>
      </c>
    </row>
    <row r="304" spans="1:15">
      <c r="A304" s="9" t="s">
        <v>240</v>
      </c>
      <c r="B304" s="64">
        <f t="shared" si="30"/>
        <v>0.10199999999999999</v>
      </c>
      <c r="C304" s="31">
        <v>4</v>
      </c>
      <c r="D304" s="12" t="s">
        <v>29</v>
      </c>
      <c r="E304" s="13" t="s">
        <v>137</v>
      </c>
      <c r="F304" s="32" t="s">
        <v>122</v>
      </c>
      <c r="G304" s="336">
        <v>23.23</v>
      </c>
      <c r="H304" s="15">
        <f t="shared" si="31"/>
        <v>278.76</v>
      </c>
      <c r="I304" s="68">
        <f t="shared" si="32"/>
        <v>309.66000000000003</v>
      </c>
      <c r="J304" s="15">
        <f t="shared" si="33"/>
        <v>325.22000000000003</v>
      </c>
      <c r="K304" s="337">
        <v>7.0013818516812432E-2</v>
      </c>
      <c r="L304" s="63">
        <f t="shared" si="34"/>
        <v>267.2</v>
      </c>
      <c r="M304" s="63">
        <f t="shared" si="35"/>
        <v>185.84</v>
      </c>
      <c r="N304" s="63">
        <f t="shared" si="36"/>
        <v>206.44</v>
      </c>
      <c r="O304" s="63">
        <f t="shared" si="37"/>
        <v>216.81</v>
      </c>
    </row>
    <row r="305" spans="1:15">
      <c r="A305" s="9" t="s">
        <v>240</v>
      </c>
      <c r="B305" s="64">
        <f t="shared" si="30"/>
        <v>0.10199999999999999</v>
      </c>
      <c r="C305" s="31">
        <v>4</v>
      </c>
      <c r="D305" s="12" t="s">
        <v>29</v>
      </c>
      <c r="E305" s="13" t="s">
        <v>137</v>
      </c>
      <c r="F305" s="32" t="s">
        <v>83</v>
      </c>
      <c r="G305" s="336">
        <v>23.23</v>
      </c>
      <c r="H305" s="15">
        <f t="shared" si="31"/>
        <v>278.76</v>
      </c>
      <c r="I305" s="68">
        <f t="shared" si="32"/>
        <v>309.66000000000003</v>
      </c>
      <c r="J305" s="15">
        <f t="shared" si="33"/>
        <v>325.22000000000003</v>
      </c>
      <c r="K305" s="337">
        <v>7.0013818516812432E-2</v>
      </c>
      <c r="L305" s="63">
        <f t="shared" si="34"/>
        <v>267.2</v>
      </c>
      <c r="M305" s="63">
        <f t="shared" si="35"/>
        <v>185.84</v>
      </c>
      <c r="N305" s="63">
        <f t="shared" si="36"/>
        <v>206.44</v>
      </c>
      <c r="O305" s="63">
        <f t="shared" si="37"/>
        <v>216.81</v>
      </c>
    </row>
    <row r="306" spans="1:15">
      <c r="A306" s="9" t="s">
        <v>240</v>
      </c>
      <c r="B306" s="64">
        <f t="shared" si="30"/>
        <v>0.10199999999999999</v>
      </c>
      <c r="C306" s="31">
        <v>4</v>
      </c>
      <c r="D306" s="12" t="s">
        <v>29</v>
      </c>
      <c r="E306" s="13" t="s">
        <v>137</v>
      </c>
      <c r="F306" s="32" t="s">
        <v>84</v>
      </c>
      <c r="G306" s="336">
        <v>23.047000000000001</v>
      </c>
      <c r="H306" s="15">
        <f t="shared" si="31"/>
        <v>276.56</v>
      </c>
      <c r="I306" s="68">
        <f t="shared" si="32"/>
        <v>307.22000000000003</v>
      </c>
      <c r="J306" s="15">
        <f t="shared" si="33"/>
        <v>322.66000000000003</v>
      </c>
      <c r="K306" s="337">
        <v>7.0012535400900688E-2</v>
      </c>
      <c r="L306" s="63">
        <f t="shared" si="34"/>
        <v>265.08999999999997</v>
      </c>
      <c r="M306" s="63">
        <f t="shared" si="35"/>
        <v>184.37</v>
      </c>
      <c r="N306" s="63">
        <f t="shared" si="36"/>
        <v>204.81</v>
      </c>
      <c r="O306" s="63">
        <f t="shared" si="37"/>
        <v>215.11</v>
      </c>
    </row>
    <row r="307" spans="1:15">
      <c r="A307" s="9" t="s">
        <v>240</v>
      </c>
      <c r="B307" s="64">
        <f t="shared" si="30"/>
        <v>0.10199999999999999</v>
      </c>
      <c r="C307" s="31">
        <v>4</v>
      </c>
      <c r="D307" s="12" t="s">
        <v>29</v>
      </c>
      <c r="E307" s="13" t="s">
        <v>137</v>
      </c>
      <c r="F307" s="32" t="s">
        <v>166</v>
      </c>
      <c r="G307" s="336">
        <v>25.728999999999999</v>
      </c>
      <c r="H307" s="15">
        <f t="shared" si="31"/>
        <v>308.75</v>
      </c>
      <c r="I307" s="68">
        <f t="shared" si="32"/>
        <v>342.97</v>
      </c>
      <c r="J307" s="15">
        <f t="shared" si="33"/>
        <v>360.21</v>
      </c>
      <c r="K307" s="337">
        <v>4.9991838067254157E-2</v>
      </c>
      <c r="L307" s="63">
        <f t="shared" si="34"/>
        <v>295.95</v>
      </c>
      <c r="M307" s="63">
        <f t="shared" si="35"/>
        <v>205.83</v>
      </c>
      <c r="N307" s="63">
        <f t="shared" si="36"/>
        <v>228.65</v>
      </c>
      <c r="O307" s="63">
        <f t="shared" si="37"/>
        <v>240.14</v>
      </c>
    </row>
    <row r="308" spans="1:15">
      <c r="A308" s="9" t="s">
        <v>240</v>
      </c>
      <c r="B308" s="64">
        <f t="shared" si="30"/>
        <v>0.10199999999999999</v>
      </c>
      <c r="C308" s="31">
        <v>4</v>
      </c>
      <c r="D308" s="12" t="s">
        <v>29</v>
      </c>
      <c r="E308" s="13" t="s">
        <v>137</v>
      </c>
      <c r="F308" s="32" t="s">
        <v>85</v>
      </c>
      <c r="G308" s="336">
        <v>25.565000000000001</v>
      </c>
      <c r="H308" s="15">
        <f t="shared" si="31"/>
        <v>306.77999999999997</v>
      </c>
      <c r="I308" s="68">
        <f t="shared" si="32"/>
        <v>340.78</v>
      </c>
      <c r="J308" s="15">
        <f t="shared" si="33"/>
        <v>357.91</v>
      </c>
      <c r="K308" s="337">
        <v>4.9983571545917593E-2</v>
      </c>
      <c r="L308" s="63">
        <f t="shared" si="34"/>
        <v>294.06</v>
      </c>
      <c r="M308" s="63">
        <f t="shared" si="35"/>
        <v>204.52</v>
      </c>
      <c r="N308" s="63">
        <f t="shared" si="36"/>
        <v>227.19</v>
      </c>
      <c r="O308" s="63">
        <f t="shared" si="37"/>
        <v>238.61</v>
      </c>
    </row>
    <row r="309" spans="1:15">
      <c r="A309" s="9" t="s">
        <v>240</v>
      </c>
      <c r="B309" s="64">
        <f t="shared" si="30"/>
        <v>0.127</v>
      </c>
      <c r="C309" s="31">
        <v>5</v>
      </c>
      <c r="D309" s="12" t="s">
        <v>29</v>
      </c>
      <c r="E309" s="13" t="s">
        <v>137</v>
      </c>
      <c r="F309" s="32" t="s">
        <v>86</v>
      </c>
      <c r="G309" s="336">
        <v>26.67</v>
      </c>
      <c r="H309" s="15">
        <f t="shared" si="31"/>
        <v>320.04000000000002</v>
      </c>
      <c r="I309" s="68">
        <f t="shared" si="32"/>
        <v>355.51</v>
      </c>
      <c r="J309" s="15">
        <f t="shared" si="33"/>
        <v>373.38</v>
      </c>
      <c r="K309" s="337">
        <v>5.0000000000000044E-2</v>
      </c>
      <c r="L309" s="63">
        <f t="shared" si="34"/>
        <v>306.77</v>
      </c>
      <c r="M309" s="63">
        <f t="shared" si="35"/>
        <v>213.36</v>
      </c>
      <c r="N309" s="63">
        <f t="shared" si="36"/>
        <v>237.01</v>
      </c>
      <c r="O309" s="63">
        <f t="shared" si="37"/>
        <v>248.92</v>
      </c>
    </row>
    <row r="310" spans="1:15">
      <c r="A310" s="9" t="s">
        <v>240</v>
      </c>
      <c r="B310" s="64">
        <f t="shared" si="30"/>
        <v>0.127</v>
      </c>
      <c r="C310" s="31">
        <v>5</v>
      </c>
      <c r="D310" s="12" t="s">
        <v>29</v>
      </c>
      <c r="E310" s="13" t="s">
        <v>137</v>
      </c>
      <c r="F310" s="32" t="s">
        <v>84</v>
      </c>
      <c r="G310" s="336">
        <v>23.23</v>
      </c>
      <c r="H310" s="15">
        <f t="shared" si="31"/>
        <v>278.76</v>
      </c>
      <c r="I310" s="68">
        <f t="shared" si="32"/>
        <v>309.66000000000003</v>
      </c>
      <c r="J310" s="15">
        <f t="shared" si="33"/>
        <v>325.22000000000003</v>
      </c>
      <c r="K310" s="337">
        <v>7.0013818516812432E-2</v>
      </c>
      <c r="L310" s="63">
        <f t="shared" si="34"/>
        <v>267.2</v>
      </c>
      <c r="M310" s="63">
        <f t="shared" si="35"/>
        <v>185.84</v>
      </c>
      <c r="N310" s="63">
        <f t="shared" si="36"/>
        <v>206.44</v>
      </c>
      <c r="O310" s="63">
        <f t="shared" si="37"/>
        <v>216.81</v>
      </c>
    </row>
    <row r="311" spans="1:15">
      <c r="A311" s="9" t="s">
        <v>240</v>
      </c>
      <c r="B311" s="64">
        <f t="shared" si="30"/>
        <v>0.127</v>
      </c>
      <c r="C311" s="31">
        <v>5</v>
      </c>
      <c r="D311" s="12" t="s">
        <v>29</v>
      </c>
      <c r="E311" s="13" t="s">
        <v>137</v>
      </c>
      <c r="F311" s="32" t="s">
        <v>166</v>
      </c>
      <c r="G311" s="336">
        <v>25.728999999999999</v>
      </c>
      <c r="H311" s="15">
        <f t="shared" si="31"/>
        <v>308.75</v>
      </c>
      <c r="I311" s="68">
        <f t="shared" si="32"/>
        <v>342.97</v>
      </c>
      <c r="J311" s="15">
        <f t="shared" si="33"/>
        <v>360.21</v>
      </c>
      <c r="K311" s="337">
        <v>4.9991838067254157E-2</v>
      </c>
      <c r="L311" s="63">
        <f t="shared" si="34"/>
        <v>295.95</v>
      </c>
      <c r="M311" s="63">
        <f t="shared" si="35"/>
        <v>205.83</v>
      </c>
      <c r="N311" s="63">
        <f t="shared" si="36"/>
        <v>228.65</v>
      </c>
      <c r="O311" s="63">
        <f t="shared" si="37"/>
        <v>240.14</v>
      </c>
    </row>
    <row r="312" spans="1:15">
      <c r="A312" s="9" t="s">
        <v>240</v>
      </c>
      <c r="B312" s="64">
        <f t="shared" si="30"/>
        <v>0.127</v>
      </c>
      <c r="C312" s="31">
        <v>5</v>
      </c>
      <c r="D312" s="12" t="s">
        <v>29</v>
      </c>
      <c r="E312" s="13" t="s">
        <v>137</v>
      </c>
      <c r="F312" s="32" t="s">
        <v>117</v>
      </c>
      <c r="G312" s="336">
        <v>25.728999999999999</v>
      </c>
      <c r="H312" s="15">
        <f t="shared" si="31"/>
        <v>308.75</v>
      </c>
      <c r="I312" s="68">
        <f t="shared" si="32"/>
        <v>342.97</v>
      </c>
      <c r="J312" s="15">
        <f t="shared" si="33"/>
        <v>360.21</v>
      </c>
      <c r="K312" s="337">
        <v>4.9991838067254157E-2</v>
      </c>
      <c r="L312" s="63">
        <f t="shared" si="34"/>
        <v>295.95</v>
      </c>
      <c r="M312" s="63">
        <f t="shared" si="35"/>
        <v>205.83</v>
      </c>
      <c r="N312" s="63">
        <f t="shared" si="36"/>
        <v>228.65</v>
      </c>
      <c r="O312" s="63">
        <f t="shared" si="37"/>
        <v>240.14</v>
      </c>
    </row>
    <row r="313" spans="1:15">
      <c r="A313" s="9" t="s">
        <v>240</v>
      </c>
      <c r="B313" s="64">
        <f t="shared" si="30"/>
        <v>0.127</v>
      </c>
      <c r="C313" s="31">
        <v>5</v>
      </c>
      <c r="D313" s="12" t="s">
        <v>29</v>
      </c>
      <c r="E313" s="13" t="s">
        <v>137</v>
      </c>
      <c r="F313" s="32" t="s">
        <v>86</v>
      </c>
      <c r="G313" s="336">
        <v>26.67</v>
      </c>
      <c r="H313" s="15">
        <f t="shared" si="31"/>
        <v>320.04000000000002</v>
      </c>
      <c r="I313" s="68">
        <f t="shared" si="32"/>
        <v>355.51</v>
      </c>
      <c r="J313" s="15">
        <f t="shared" si="33"/>
        <v>373.38</v>
      </c>
      <c r="K313" s="337">
        <v>5.0000000000000044E-2</v>
      </c>
      <c r="L313" s="63">
        <f t="shared" si="34"/>
        <v>306.77</v>
      </c>
      <c r="M313" s="63">
        <f t="shared" si="35"/>
        <v>213.36</v>
      </c>
      <c r="N313" s="63">
        <f t="shared" si="36"/>
        <v>237.01</v>
      </c>
      <c r="O313" s="63">
        <f t="shared" si="37"/>
        <v>248.92</v>
      </c>
    </row>
    <row r="314" spans="1:15">
      <c r="A314" s="9" t="s">
        <v>240</v>
      </c>
      <c r="B314" s="64">
        <f t="shared" si="30"/>
        <v>0.152</v>
      </c>
      <c r="C314" s="31">
        <v>6</v>
      </c>
      <c r="D314" s="12" t="s">
        <v>29</v>
      </c>
      <c r="E314" s="13" t="s">
        <v>137</v>
      </c>
      <c r="F314" s="32" t="s">
        <v>117</v>
      </c>
      <c r="G314" s="336">
        <v>25.893000000000001</v>
      </c>
      <c r="H314" s="15">
        <f t="shared" si="31"/>
        <v>310.72000000000003</v>
      </c>
      <c r="I314" s="68">
        <f t="shared" si="32"/>
        <v>345.15</v>
      </c>
      <c r="J314" s="15">
        <f t="shared" si="33"/>
        <v>362.5</v>
      </c>
      <c r="K314" s="337">
        <v>5.0000000000000044E-2</v>
      </c>
      <c r="L314" s="63">
        <f t="shared" si="34"/>
        <v>297.83</v>
      </c>
      <c r="M314" s="63">
        <f t="shared" si="35"/>
        <v>207.15</v>
      </c>
      <c r="N314" s="63">
        <f t="shared" si="36"/>
        <v>230.1</v>
      </c>
      <c r="O314" s="63">
        <f t="shared" si="37"/>
        <v>241.67</v>
      </c>
    </row>
    <row r="315" spans="1:15">
      <c r="A315" s="9" t="s">
        <v>240</v>
      </c>
      <c r="B315" s="64">
        <f t="shared" si="30"/>
        <v>0.152</v>
      </c>
      <c r="C315" s="31">
        <v>6</v>
      </c>
      <c r="D315" s="12" t="s">
        <v>29</v>
      </c>
      <c r="E315" s="13" t="s">
        <v>137</v>
      </c>
      <c r="F315" s="32" t="s">
        <v>86</v>
      </c>
      <c r="G315" s="336">
        <v>26.67</v>
      </c>
      <c r="H315" s="15">
        <f t="shared" si="31"/>
        <v>320.04000000000002</v>
      </c>
      <c r="I315" s="68">
        <f t="shared" si="32"/>
        <v>355.51</v>
      </c>
      <c r="J315" s="15">
        <f t="shared" si="33"/>
        <v>373.38</v>
      </c>
      <c r="K315" s="337">
        <v>5.0000000000000044E-2</v>
      </c>
      <c r="L315" s="63">
        <f t="shared" si="34"/>
        <v>306.77</v>
      </c>
      <c r="M315" s="63">
        <f t="shared" si="35"/>
        <v>213.36</v>
      </c>
      <c r="N315" s="63">
        <f t="shared" si="36"/>
        <v>237.01</v>
      </c>
      <c r="O315" s="63">
        <f t="shared" si="37"/>
        <v>248.92</v>
      </c>
    </row>
    <row r="316" spans="1:15">
      <c r="A316" s="9" t="s">
        <v>240</v>
      </c>
      <c r="B316" s="64">
        <f t="shared" si="30"/>
        <v>0.17799999999999999</v>
      </c>
      <c r="C316" s="31">
        <v>7</v>
      </c>
      <c r="D316" s="12" t="s">
        <v>29</v>
      </c>
      <c r="E316" s="13" t="s">
        <v>137</v>
      </c>
      <c r="F316" s="32" t="s">
        <v>117</v>
      </c>
      <c r="G316" s="336">
        <v>26.056999999999999</v>
      </c>
      <c r="H316" s="15">
        <f t="shared" si="31"/>
        <v>312.68</v>
      </c>
      <c r="I316" s="68">
        <f t="shared" si="32"/>
        <v>347.34</v>
      </c>
      <c r="J316" s="15">
        <f t="shared" si="33"/>
        <v>364.8</v>
      </c>
      <c r="K316" s="337">
        <v>5.0008059316569931E-2</v>
      </c>
      <c r="L316" s="63">
        <f t="shared" si="34"/>
        <v>299.72000000000003</v>
      </c>
      <c r="M316" s="63">
        <f t="shared" si="35"/>
        <v>208.45</v>
      </c>
      <c r="N316" s="63">
        <f t="shared" si="36"/>
        <v>231.56</v>
      </c>
      <c r="O316" s="63">
        <f t="shared" si="37"/>
        <v>243.2</v>
      </c>
    </row>
    <row r="317" spans="1:15">
      <c r="A317" s="9" t="s">
        <v>240</v>
      </c>
      <c r="B317" s="64">
        <f t="shared" si="30"/>
        <v>0.17799999999999999</v>
      </c>
      <c r="C317" s="31">
        <v>7</v>
      </c>
      <c r="D317" s="12" t="s">
        <v>29</v>
      </c>
      <c r="E317" s="13" t="s">
        <v>137</v>
      </c>
      <c r="F317" s="32" t="s">
        <v>87</v>
      </c>
      <c r="G317" s="336">
        <v>26.545999999999999</v>
      </c>
      <c r="H317" s="15">
        <f t="shared" si="31"/>
        <v>318.55</v>
      </c>
      <c r="I317" s="68">
        <f t="shared" si="32"/>
        <v>353.86</v>
      </c>
      <c r="J317" s="15">
        <f t="shared" si="33"/>
        <v>371.64</v>
      </c>
      <c r="K317" s="337">
        <v>4.9996044616723356E-2</v>
      </c>
      <c r="L317" s="63">
        <f t="shared" si="34"/>
        <v>305.35000000000002</v>
      </c>
      <c r="M317" s="63">
        <f t="shared" si="35"/>
        <v>212.37</v>
      </c>
      <c r="N317" s="63">
        <f t="shared" si="36"/>
        <v>235.91</v>
      </c>
      <c r="O317" s="63">
        <f t="shared" si="37"/>
        <v>247.76</v>
      </c>
    </row>
    <row r="318" spans="1:15">
      <c r="A318" s="9" t="s">
        <v>240</v>
      </c>
      <c r="B318" s="64">
        <f t="shared" ref="B318:B342" si="38">ROUND(C318*0.0254,3)</f>
        <v>0.20300000000000001</v>
      </c>
      <c r="C318" s="31">
        <v>8</v>
      </c>
      <c r="D318" s="12" t="s">
        <v>29</v>
      </c>
      <c r="E318" s="13" t="s">
        <v>137</v>
      </c>
      <c r="F318" s="32" t="s">
        <v>87</v>
      </c>
      <c r="G318" s="336">
        <v>26.873000000000001</v>
      </c>
      <c r="H318" s="15">
        <f t="shared" si="31"/>
        <v>322.48</v>
      </c>
      <c r="I318" s="68">
        <f t="shared" si="32"/>
        <v>358.22</v>
      </c>
      <c r="J318" s="15">
        <f t="shared" si="33"/>
        <v>376.22</v>
      </c>
      <c r="K318" s="337">
        <v>5.0013675614425823E-2</v>
      </c>
      <c r="L318" s="63">
        <f t="shared" si="34"/>
        <v>309.11</v>
      </c>
      <c r="M318" s="63">
        <f t="shared" si="35"/>
        <v>214.99</v>
      </c>
      <c r="N318" s="63">
        <f t="shared" si="36"/>
        <v>238.81</v>
      </c>
      <c r="O318" s="63">
        <f t="shared" si="37"/>
        <v>250.81</v>
      </c>
    </row>
    <row r="319" spans="1:15">
      <c r="A319" s="9" t="s">
        <v>240</v>
      </c>
      <c r="B319" s="64">
        <f t="shared" si="38"/>
        <v>0.254</v>
      </c>
      <c r="C319" s="31">
        <v>10</v>
      </c>
      <c r="D319" s="12" t="s">
        <v>29</v>
      </c>
      <c r="E319" s="13" t="s">
        <v>137</v>
      </c>
      <c r="F319" s="32" t="s">
        <v>89</v>
      </c>
      <c r="G319" s="336">
        <v>26.545999999999999</v>
      </c>
      <c r="H319" s="15">
        <f t="shared" si="31"/>
        <v>318.55</v>
      </c>
      <c r="I319" s="68">
        <f t="shared" si="32"/>
        <v>353.86</v>
      </c>
      <c r="J319" s="15">
        <f t="shared" si="33"/>
        <v>371.64</v>
      </c>
      <c r="K319" s="337">
        <v>4.9996044616723356E-2</v>
      </c>
      <c r="L319" s="63">
        <f t="shared" si="34"/>
        <v>305.35000000000002</v>
      </c>
      <c r="M319" s="63">
        <f t="shared" si="35"/>
        <v>212.37</v>
      </c>
      <c r="N319" s="63">
        <f t="shared" si="36"/>
        <v>235.91</v>
      </c>
      <c r="O319" s="63">
        <f t="shared" si="37"/>
        <v>247.76</v>
      </c>
    </row>
    <row r="320" spans="1:15">
      <c r="A320" s="9" t="s">
        <v>240</v>
      </c>
      <c r="B320" s="64">
        <f t="shared" si="38"/>
        <v>0.30499999999999999</v>
      </c>
      <c r="C320" s="31">
        <v>12</v>
      </c>
      <c r="D320" s="12" t="s">
        <v>29</v>
      </c>
      <c r="E320" s="13" t="s">
        <v>137</v>
      </c>
      <c r="F320" s="32" t="s">
        <v>167</v>
      </c>
      <c r="G320" s="336">
        <v>32.283000000000001</v>
      </c>
      <c r="H320" s="15">
        <f t="shared" si="31"/>
        <v>387.4</v>
      </c>
      <c r="I320" s="68">
        <f t="shared" si="32"/>
        <v>430.33</v>
      </c>
      <c r="J320" s="15">
        <f t="shared" si="33"/>
        <v>451.96</v>
      </c>
      <c r="K320" s="337">
        <v>4.9990242633188187E-2</v>
      </c>
      <c r="L320" s="63">
        <f t="shared" si="34"/>
        <v>371.34</v>
      </c>
      <c r="M320" s="63">
        <f t="shared" si="35"/>
        <v>258.27</v>
      </c>
      <c r="N320" s="63">
        <f t="shared" si="36"/>
        <v>286.89</v>
      </c>
      <c r="O320" s="63">
        <f t="shared" si="37"/>
        <v>301.31</v>
      </c>
    </row>
    <row r="321" spans="1:15">
      <c r="A321" s="9" t="s">
        <v>240</v>
      </c>
      <c r="B321" s="64">
        <f t="shared" si="38"/>
        <v>0.35599999999999998</v>
      </c>
      <c r="C321" s="31">
        <v>14</v>
      </c>
      <c r="D321" s="12" t="s">
        <v>29</v>
      </c>
      <c r="E321" s="13" t="s">
        <v>137</v>
      </c>
      <c r="F321" s="32" t="s">
        <v>90</v>
      </c>
      <c r="G321" s="336">
        <v>35.432000000000002</v>
      </c>
      <c r="H321" s="15">
        <f t="shared" si="31"/>
        <v>425.18</v>
      </c>
      <c r="I321" s="68">
        <f t="shared" si="32"/>
        <v>472.31</v>
      </c>
      <c r="J321" s="15">
        <f t="shared" si="33"/>
        <v>496.05</v>
      </c>
      <c r="K321" s="337">
        <v>4.9992591495036542E-2</v>
      </c>
      <c r="L321" s="63">
        <f t="shared" si="34"/>
        <v>407.55</v>
      </c>
      <c r="M321" s="63">
        <f t="shared" si="35"/>
        <v>283.45</v>
      </c>
      <c r="N321" s="63">
        <f t="shared" si="36"/>
        <v>314.87</v>
      </c>
      <c r="O321" s="63">
        <f t="shared" si="37"/>
        <v>330.7</v>
      </c>
    </row>
    <row r="322" spans="1:15">
      <c r="A322" s="9" t="s">
        <v>240</v>
      </c>
      <c r="B322" s="64">
        <f t="shared" si="38"/>
        <v>0.38100000000000001</v>
      </c>
      <c r="C322" s="31">
        <v>15</v>
      </c>
      <c r="D322" s="12" t="s">
        <v>29</v>
      </c>
      <c r="E322" s="13" t="s">
        <v>137</v>
      </c>
      <c r="F322" s="32" t="s">
        <v>219</v>
      </c>
      <c r="G322" s="336">
        <v>40.457999999999998</v>
      </c>
      <c r="H322" s="15">
        <f t="shared" si="31"/>
        <v>485.5</v>
      </c>
      <c r="I322" s="68">
        <f t="shared" si="32"/>
        <v>539.30999999999995</v>
      </c>
      <c r="J322" s="15">
        <f t="shared" si="33"/>
        <v>566.41</v>
      </c>
      <c r="K322" s="337">
        <v>3.9997943550460047E-2</v>
      </c>
      <c r="L322" s="63">
        <f t="shared" si="34"/>
        <v>465.38</v>
      </c>
      <c r="M322" s="63">
        <f t="shared" si="35"/>
        <v>323.67</v>
      </c>
      <c r="N322" s="63">
        <f t="shared" si="36"/>
        <v>359.54</v>
      </c>
      <c r="O322" s="63">
        <f t="shared" si="37"/>
        <v>377.61</v>
      </c>
    </row>
    <row r="323" spans="1:15">
      <c r="A323" s="9" t="s">
        <v>242</v>
      </c>
      <c r="B323" s="64">
        <f t="shared" si="38"/>
        <v>0.40600000000000003</v>
      </c>
      <c r="C323" s="31">
        <v>16</v>
      </c>
      <c r="D323" s="12" t="s">
        <v>29</v>
      </c>
      <c r="E323" s="13" t="s">
        <v>137</v>
      </c>
      <c r="F323" s="32" t="s">
        <v>129</v>
      </c>
      <c r="G323" s="336">
        <v>38.531999999999996</v>
      </c>
      <c r="H323" s="15">
        <f t="shared" si="31"/>
        <v>462.38</v>
      </c>
      <c r="I323" s="68">
        <f t="shared" si="32"/>
        <v>513.63</v>
      </c>
      <c r="J323" s="15">
        <f t="shared" si="33"/>
        <v>539.45000000000005</v>
      </c>
      <c r="K323" s="337">
        <v>4.0000000000000036E-2</v>
      </c>
      <c r="L323" s="63">
        <f t="shared" si="34"/>
        <v>443.22</v>
      </c>
      <c r="M323" s="63">
        <f t="shared" si="35"/>
        <v>308.25</v>
      </c>
      <c r="N323" s="63">
        <f t="shared" si="36"/>
        <v>342.42</v>
      </c>
      <c r="O323" s="63">
        <f t="shared" si="37"/>
        <v>359.63</v>
      </c>
    </row>
    <row r="324" spans="1:15">
      <c r="A324" s="9" t="s">
        <v>240</v>
      </c>
      <c r="B324" s="64">
        <f t="shared" si="38"/>
        <v>0.50800000000000001</v>
      </c>
      <c r="C324" s="31">
        <v>20</v>
      </c>
      <c r="D324" s="12" t="s">
        <v>29</v>
      </c>
      <c r="E324" s="13" t="s">
        <v>137</v>
      </c>
      <c r="F324" s="32" t="s">
        <v>129</v>
      </c>
      <c r="G324" s="336">
        <v>40.247999999999998</v>
      </c>
      <c r="H324" s="15">
        <f t="shared" si="31"/>
        <v>482.98</v>
      </c>
      <c r="I324" s="68">
        <f t="shared" si="32"/>
        <v>536.51</v>
      </c>
      <c r="J324" s="15">
        <f t="shared" si="33"/>
        <v>563.47</v>
      </c>
      <c r="K324" s="337">
        <v>3.9999999999999813E-2</v>
      </c>
      <c r="L324" s="63">
        <f t="shared" si="34"/>
        <v>462.96</v>
      </c>
      <c r="M324" s="63">
        <f t="shared" si="35"/>
        <v>321.99</v>
      </c>
      <c r="N324" s="63">
        <f t="shared" si="36"/>
        <v>357.67</v>
      </c>
      <c r="O324" s="63">
        <f t="shared" si="37"/>
        <v>375.65</v>
      </c>
    </row>
    <row r="325" spans="1:15">
      <c r="A325" s="9" t="s">
        <v>240</v>
      </c>
      <c r="B325" s="64">
        <f t="shared" si="38"/>
        <v>0.50800000000000001</v>
      </c>
      <c r="C325" s="31">
        <v>20</v>
      </c>
      <c r="D325" s="12" t="s">
        <v>29</v>
      </c>
      <c r="E325" s="13" t="s">
        <v>137</v>
      </c>
      <c r="F325" s="32" t="s">
        <v>91</v>
      </c>
      <c r="G325" s="336">
        <v>43.368000000000002</v>
      </c>
      <c r="H325" s="15">
        <f t="shared" si="31"/>
        <v>520.41999999999996</v>
      </c>
      <c r="I325" s="68">
        <f t="shared" si="32"/>
        <v>578.1</v>
      </c>
      <c r="J325" s="15">
        <f t="shared" si="33"/>
        <v>607.15</v>
      </c>
      <c r="K325" s="337">
        <v>4.0000000000000036E-2</v>
      </c>
      <c r="L325" s="63">
        <f t="shared" si="34"/>
        <v>498.84</v>
      </c>
      <c r="M325" s="63">
        <f t="shared" si="35"/>
        <v>346.95</v>
      </c>
      <c r="N325" s="63">
        <f t="shared" si="36"/>
        <v>385.4</v>
      </c>
      <c r="O325" s="63">
        <f t="shared" si="37"/>
        <v>404.77</v>
      </c>
    </row>
    <row r="326" spans="1:15">
      <c r="A326" s="9" t="s">
        <v>240</v>
      </c>
      <c r="B326" s="64">
        <f t="shared" si="38"/>
        <v>0.59899999999999998</v>
      </c>
      <c r="C326" s="31">
        <v>23.6</v>
      </c>
      <c r="D326" s="12" t="s">
        <v>29</v>
      </c>
      <c r="E326" s="13" t="s">
        <v>137</v>
      </c>
      <c r="F326" s="32" t="s">
        <v>91</v>
      </c>
      <c r="G326" s="336">
        <v>43.758000000000003</v>
      </c>
      <c r="H326" s="15">
        <f t="shared" si="31"/>
        <v>525.1</v>
      </c>
      <c r="I326" s="68">
        <f t="shared" si="32"/>
        <v>583.29</v>
      </c>
      <c r="J326" s="15">
        <f t="shared" si="33"/>
        <v>612.61</v>
      </c>
      <c r="K326" s="337">
        <v>4.0000000000000036E-2</v>
      </c>
      <c r="L326" s="63">
        <f t="shared" si="34"/>
        <v>503.33</v>
      </c>
      <c r="M326" s="63">
        <f t="shared" si="35"/>
        <v>350.07</v>
      </c>
      <c r="N326" s="63">
        <f t="shared" si="36"/>
        <v>388.86</v>
      </c>
      <c r="O326" s="63">
        <f t="shared" si="37"/>
        <v>408.41</v>
      </c>
    </row>
    <row r="327" spans="1:15">
      <c r="A327" s="9" t="s">
        <v>240</v>
      </c>
      <c r="B327" s="64">
        <f t="shared" si="38"/>
        <v>0.61</v>
      </c>
      <c r="C327" s="31">
        <v>24</v>
      </c>
      <c r="D327" s="12" t="s">
        <v>29</v>
      </c>
      <c r="E327" s="13" t="s">
        <v>137</v>
      </c>
      <c r="F327" s="32" t="s">
        <v>91</v>
      </c>
      <c r="G327" s="336">
        <v>43.758000000000003</v>
      </c>
      <c r="H327" s="15">
        <f t="shared" si="31"/>
        <v>525.1</v>
      </c>
      <c r="I327" s="68">
        <f t="shared" si="32"/>
        <v>583.29</v>
      </c>
      <c r="J327" s="15">
        <f t="shared" si="33"/>
        <v>612.61</v>
      </c>
      <c r="K327" s="337">
        <v>4.0000000000000036E-2</v>
      </c>
      <c r="L327" s="63">
        <f t="shared" si="34"/>
        <v>503.33</v>
      </c>
      <c r="M327" s="63">
        <f t="shared" si="35"/>
        <v>350.07</v>
      </c>
      <c r="N327" s="63">
        <f t="shared" si="36"/>
        <v>388.86</v>
      </c>
      <c r="O327" s="63">
        <f t="shared" si="37"/>
        <v>408.41</v>
      </c>
    </row>
    <row r="328" spans="1:15">
      <c r="A328" s="9" t="s">
        <v>242</v>
      </c>
      <c r="B328" s="64">
        <f t="shared" si="38"/>
        <v>0.63500000000000001</v>
      </c>
      <c r="C328" s="31">
        <v>25</v>
      </c>
      <c r="D328" s="12" t="s">
        <v>29</v>
      </c>
      <c r="E328" s="13" t="s">
        <v>137</v>
      </c>
      <c r="F328" s="32" t="s">
        <v>88</v>
      </c>
      <c r="G328" s="336">
        <v>48.88</v>
      </c>
      <c r="H328" s="15">
        <f t="shared" si="31"/>
        <v>586.55999999999995</v>
      </c>
      <c r="I328" s="68">
        <f t="shared" si="32"/>
        <v>651.57000000000005</v>
      </c>
      <c r="J328" s="15">
        <f t="shared" si="33"/>
        <v>684.32</v>
      </c>
      <c r="K328" s="337">
        <v>4.0000000000000036E-2</v>
      </c>
      <c r="L328" s="63">
        <f t="shared" si="34"/>
        <v>562.24</v>
      </c>
      <c r="M328" s="63">
        <f t="shared" si="35"/>
        <v>391.04</v>
      </c>
      <c r="N328" s="63">
        <f t="shared" si="36"/>
        <v>434.38</v>
      </c>
      <c r="O328" s="63">
        <f t="shared" si="37"/>
        <v>456.21</v>
      </c>
    </row>
    <row r="329" spans="1:15">
      <c r="A329" s="9" t="s">
        <v>240</v>
      </c>
      <c r="B329" s="64">
        <f t="shared" si="38"/>
        <v>0.76200000000000001</v>
      </c>
      <c r="C329" s="31">
        <v>30</v>
      </c>
      <c r="D329" s="12" t="s">
        <v>29</v>
      </c>
      <c r="E329" s="13" t="s">
        <v>137</v>
      </c>
      <c r="F329" s="32" t="s">
        <v>131</v>
      </c>
      <c r="G329" s="336">
        <v>54.287999999999997</v>
      </c>
      <c r="H329" s="15">
        <f t="shared" si="31"/>
        <v>651.46</v>
      </c>
      <c r="I329" s="68">
        <f t="shared" si="32"/>
        <v>723.66</v>
      </c>
      <c r="J329" s="15">
        <f t="shared" si="33"/>
        <v>760.03</v>
      </c>
      <c r="K329" s="337">
        <v>3.9999999999999813E-2</v>
      </c>
      <c r="L329" s="63">
        <f t="shared" si="34"/>
        <v>624.45000000000005</v>
      </c>
      <c r="M329" s="63">
        <f t="shared" si="35"/>
        <v>434.31</v>
      </c>
      <c r="N329" s="63">
        <f t="shared" si="36"/>
        <v>482.44</v>
      </c>
      <c r="O329" s="63">
        <f t="shared" si="37"/>
        <v>506.69</v>
      </c>
    </row>
    <row r="331" spans="1:15" ht="22.2" customHeight="1">
      <c r="A331" s="267" t="s">
        <v>247</v>
      </c>
      <c r="B331" s="268"/>
      <c r="C331" s="268"/>
      <c r="D331" s="268"/>
      <c r="E331" s="268"/>
      <c r="F331" s="268"/>
      <c r="G331" s="268"/>
      <c r="H331" s="268"/>
      <c r="I331" s="268"/>
      <c r="J331" s="268"/>
      <c r="K331" s="269"/>
    </row>
    <row r="332" spans="1:15" ht="19.8" customHeight="1">
      <c r="A332" s="339" t="s">
        <v>13</v>
      </c>
      <c r="B332" s="339" t="s">
        <v>31</v>
      </c>
      <c r="C332" s="339" t="s">
        <v>32</v>
      </c>
      <c r="D332" s="339" t="s">
        <v>33</v>
      </c>
      <c r="E332" s="339" t="s">
        <v>34</v>
      </c>
      <c r="F332" s="340" t="s">
        <v>35</v>
      </c>
      <c r="G332" s="339" t="s">
        <v>36</v>
      </c>
      <c r="H332" s="341" t="s">
        <v>37</v>
      </c>
      <c r="I332" s="342" t="s">
        <v>38</v>
      </c>
      <c r="J332" s="343"/>
      <c r="K332" s="344" t="s">
        <v>23</v>
      </c>
    </row>
    <row r="333" spans="1:15" ht="15" customHeight="1">
      <c r="A333" s="13" t="s">
        <v>248</v>
      </c>
      <c r="B333" s="13">
        <v>1035</v>
      </c>
      <c r="C333" s="65">
        <v>68</v>
      </c>
      <c r="D333" s="13" t="s">
        <v>40</v>
      </c>
      <c r="E333" s="17" t="s">
        <v>41</v>
      </c>
      <c r="F333" s="13">
        <v>3937</v>
      </c>
      <c r="G333" s="81">
        <v>4.4690000000000003</v>
      </c>
      <c r="H333" s="19">
        <f t="shared" ref="H333:H367" si="39">ROUND(G333*13.124,2)</f>
        <v>58.65</v>
      </c>
      <c r="I333" s="101">
        <f t="shared" ref="I333:I367" si="40">ROUND(G333*F333,2)</f>
        <v>17594.45</v>
      </c>
      <c r="J333" s="101"/>
      <c r="K333" s="337">
        <v>7.9990333494441845E-2</v>
      </c>
      <c r="M333" s="345"/>
    </row>
    <row r="334" spans="1:15">
      <c r="A334" s="13" t="s">
        <v>248</v>
      </c>
      <c r="B334" s="13">
        <v>1035</v>
      </c>
      <c r="C334" s="65">
        <v>70</v>
      </c>
      <c r="D334" s="13" t="s">
        <v>40</v>
      </c>
      <c r="E334" s="17" t="s">
        <v>41</v>
      </c>
      <c r="F334" s="13">
        <v>3937</v>
      </c>
      <c r="G334" s="81">
        <v>4.5369999999999999</v>
      </c>
      <c r="H334" s="19">
        <f t="shared" si="39"/>
        <v>59.54</v>
      </c>
      <c r="I334" s="101">
        <f t="shared" si="40"/>
        <v>17862.169999999998</v>
      </c>
      <c r="J334" s="101"/>
      <c r="K334" s="337">
        <v>7.9980956915020274E-2</v>
      </c>
      <c r="M334" s="345"/>
    </row>
    <row r="335" spans="1:15">
      <c r="A335" s="13" t="s">
        <v>248</v>
      </c>
      <c r="B335" s="13">
        <v>1035</v>
      </c>
      <c r="C335" s="65">
        <v>73</v>
      </c>
      <c r="D335" s="13" t="s">
        <v>40</v>
      </c>
      <c r="E335" s="17" t="s">
        <v>41</v>
      </c>
      <c r="F335" s="13">
        <v>3937</v>
      </c>
      <c r="G335" s="81">
        <v>4.617</v>
      </c>
      <c r="H335" s="19">
        <f t="shared" si="39"/>
        <v>60.59</v>
      </c>
      <c r="I335" s="101">
        <f t="shared" si="40"/>
        <v>18177.13</v>
      </c>
      <c r="J335" s="101"/>
      <c r="K335" s="337">
        <v>7.9999999999999849E-2</v>
      </c>
      <c r="M335" s="345"/>
    </row>
    <row r="336" spans="1:15">
      <c r="A336" s="13" t="s">
        <v>248</v>
      </c>
      <c r="B336" s="13">
        <v>1035</v>
      </c>
      <c r="C336" s="65">
        <v>75</v>
      </c>
      <c r="D336" s="13" t="s">
        <v>40</v>
      </c>
      <c r="E336" s="17" t="s">
        <v>41</v>
      </c>
      <c r="F336" s="13">
        <v>3937</v>
      </c>
      <c r="G336" s="81">
        <v>4.8090000000000002</v>
      </c>
      <c r="H336" s="19">
        <f t="shared" si="39"/>
        <v>63.11</v>
      </c>
      <c r="I336" s="101">
        <f t="shared" si="40"/>
        <v>18933.03</v>
      </c>
      <c r="J336" s="101"/>
      <c r="K336" s="337">
        <v>7.9946103750280662E-2</v>
      </c>
      <c r="M336" s="345"/>
    </row>
    <row r="337" spans="1:13">
      <c r="A337" s="13" t="s">
        <v>248</v>
      </c>
      <c r="B337" s="13">
        <v>1035</v>
      </c>
      <c r="C337" s="65">
        <v>77</v>
      </c>
      <c r="D337" s="13" t="s">
        <v>40</v>
      </c>
      <c r="E337" s="17" t="s">
        <v>41</v>
      </c>
      <c r="F337" s="13">
        <v>3937</v>
      </c>
      <c r="G337" s="81">
        <v>4.8959999999999999</v>
      </c>
      <c r="H337" s="19">
        <f t="shared" si="39"/>
        <v>64.260000000000005</v>
      </c>
      <c r="I337" s="101">
        <f t="shared" si="40"/>
        <v>19275.55</v>
      </c>
      <c r="J337" s="101"/>
      <c r="K337" s="337">
        <v>8.0079417604235426E-2</v>
      </c>
      <c r="M337" s="345"/>
    </row>
    <row r="338" spans="1:13">
      <c r="A338" s="13" t="s">
        <v>248</v>
      </c>
      <c r="B338" s="13">
        <v>106</v>
      </c>
      <c r="C338" s="65">
        <v>73</v>
      </c>
      <c r="D338" s="13" t="s">
        <v>40</v>
      </c>
      <c r="E338" s="17" t="s">
        <v>41</v>
      </c>
      <c r="F338" s="13">
        <v>3937</v>
      </c>
      <c r="G338" s="81">
        <v>4.6669999999999998</v>
      </c>
      <c r="H338" s="19">
        <f t="shared" si="39"/>
        <v>61.25</v>
      </c>
      <c r="I338" s="101">
        <f t="shared" si="40"/>
        <v>18373.98</v>
      </c>
      <c r="J338" s="101"/>
      <c r="K338" s="337">
        <v>8.0074056931265902E-2</v>
      </c>
      <c r="M338" s="345"/>
    </row>
    <row r="339" spans="1:13">
      <c r="A339" s="13" t="s">
        <v>248</v>
      </c>
      <c r="B339" s="13">
        <v>106</v>
      </c>
      <c r="C339" s="65">
        <v>76</v>
      </c>
      <c r="D339" s="13" t="s">
        <v>40</v>
      </c>
      <c r="E339" s="17" t="s">
        <v>41</v>
      </c>
      <c r="F339" s="13">
        <v>3937</v>
      </c>
      <c r="G339" s="81">
        <v>4.7949999999999999</v>
      </c>
      <c r="H339" s="19">
        <f t="shared" si="39"/>
        <v>62.93</v>
      </c>
      <c r="I339" s="101">
        <f t="shared" si="40"/>
        <v>18877.919999999998</v>
      </c>
      <c r="J339" s="101"/>
      <c r="K339" s="337">
        <v>7.0073644275831404E-2</v>
      </c>
      <c r="M339" s="345"/>
    </row>
    <row r="340" spans="1:13">
      <c r="A340" s="13" t="s">
        <v>248</v>
      </c>
      <c r="B340" s="13">
        <v>106</v>
      </c>
      <c r="C340" s="65">
        <v>78</v>
      </c>
      <c r="D340" s="13" t="s">
        <v>40</v>
      </c>
      <c r="E340" s="17" t="s">
        <v>41</v>
      </c>
      <c r="F340" s="13">
        <v>3937</v>
      </c>
      <c r="G340" s="81">
        <v>4.8949999999999996</v>
      </c>
      <c r="H340" s="19">
        <f t="shared" si="39"/>
        <v>64.239999999999995</v>
      </c>
      <c r="I340" s="101">
        <f t="shared" si="40"/>
        <v>19271.62</v>
      </c>
      <c r="J340" s="101"/>
      <c r="K340" s="337">
        <v>3.9940514127894566E-2</v>
      </c>
      <c r="M340" s="345"/>
    </row>
    <row r="341" spans="1:13">
      <c r="A341" s="13" t="s">
        <v>249</v>
      </c>
      <c r="B341" s="13">
        <v>1067</v>
      </c>
      <c r="C341" s="65">
        <v>67</v>
      </c>
      <c r="D341" s="13" t="s">
        <v>40</v>
      </c>
      <c r="E341" s="17" t="s">
        <v>41</v>
      </c>
      <c r="F341" s="13">
        <v>3937</v>
      </c>
      <c r="G341" s="81">
        <v>4.7539999999999996</v>
      </c>
      <c r="H341" s="19">
        <f t="shared" si="39"/>
        <v>62.39</v>
      </c>
      <c r="I341" s="101">
        <f t="shared" si="40"/>
        <v>18716.5</v>
      </c>
      <c r="J341" s="101"/>
      <c r="K341" s="337"/>
      <c r="M341" s="345"/>
    </row>
    <row r="342" spans="1:13">
      <c r="A342" s="13" t="s">
        <v>249</v>
      </c>
      <c r="B342" s="13">
        <v>1067</v>
      </c>
      <c r="C342" s="65">
        <v>70</v>
      </c>
      <c r="D342" s="13" t="s">
        <v>40</v>
      </c>
      <c r="E342" s="17" t="s">
        <v>41</v>
      </c>
      <c r="F342" s="13">
        <v>3937</v>
      </c>
      <c r="G342" s="81">
        <v>4.851</v>
      </c>
      <c r="H342" s="19">
        <f t="shared" si="39"/>
        <v>63.66</v>
      </c>
      <c r="I342" s="101">
        <f t="shared" si="40"/>
        <v>19098.39</v>
      </c>
      <c r="J342" s="101"/>
      <c r="K342" s="337">
        <v>9.9999999999999867E-2</v>
      </c>
      <c r="M342" s="345"/>
    </row>
    <row r="343" spans="1:13">
      <c r="A343" s="13" t="s">
        <v>248</v>
      </c>
      <c r="B343" s="13">
        <v>1067</v>
      </c>
      <c r="C343" s="65">
        <v>73</v>
      </c>
      <c r="D343" s="13" t="s">
        <v>40</v>
      </c>
      <c r="E343" s="17" t="s">
        <v>41</v>
      </c>
      <c r="F343" s="13">
        <v>3937</v>
      </c>
      <c r="G343" s="81">
        <v>5.0119999999999996</v>
      </c>
      <c r="H343" s="19">
        <f t="shared" si="39"/>
        <v>65.78</v>
      </c>
      <c r="I343" s="101">
        <f t="shared" si="40"/>
        <v>19732.240000000002</v>
      </c>
      <c r="J343" s="101"/>
      <c r="K343" s="337">
        <v>7.9939668174962231E-2</v>
      </c>
      <c r="M343" s="345"/>
    </row>
    <row r="344" spans="1:13">
      <c r="A344" s="13" t="s">
        <v>248</v>
      </c>
      <c r="B344" s="13">
        <v>1067</v>
      </c>
      <c r="C344" s="65">
        <v>74</v>
      </c>
      <c r="D344" s="13" t="s">
        <v>40</v>
      </c>
      <c r="E344" s="17" t="s">
        <v>41</v>
      </c>
      <c r="F344" s="13">
        <v>3937</v>
      </c>
      <c r="G344" s="81">
        <v>5.0990000000000002</v>
      </c>
      <c r="H344" s="19">
        <f t="shared" si="39"/>
        <v>66.92</v>
      </c>
      <c r="I344" s="101">
        <f t="shared" si="40"/>
        <v>20074.759999999998</v>
      </c>
      <c r="J344" s="101"/>
      <c r="K344" s="337">
        <v>8.0067782249523489E-2</v>
      </c>
      <c r="M344" s="345"/>
    </row>
    <row r="345" spans="1:13">
      <c r="A345" s="13" t="s">
        <v>248</v>
      </c>
      <c r="B345" s="13">
        <v>1067</v>
      </c>
      <c r="C345" s="65">
        <v>76</v>
      </c>
      <c r="D345" s="13" t="s">
        <v>40</v>
      </c>
      <c r="E345" s="17" t="s">
        <v>41</v>
      </c>
      <c r="F345" s="13">
        <v>3937</v>
      </c>
      <c r="G345" s="81">
        <v>5.1849999999999996</v>
      </c>
      <c r="H345" s="19">
        <f t="shared" si="39"/>
        <v>68.05</v>
      </c>
      <c r="I345" s="101">
        <f t="shared" si="40"/>
        <v>20413.349999999999</v>
      </c>
      <c r="J345" s="101"/>
      <c r="K345" s="337">
        <v>7.9983336804832161E-2</v>
      </c>
      <c r="M345" s="345"/>
    </row>
    <row r="346" spans="1:13">
      <c r="A346" s="13" t="s">
        <v>248</v>
      </c>
      <c r="B346" s="13">
        <v>1080</v>
      </c>
      <c r="C346" s="65">
        <v>64</v>
      </c>
      <c r="D346" s="13" t="s">
        <v>40</v>
      </c>
      <c r="E346" s="17" t="s">
        <v>41</v>
      </c>
      <c r="F346" s="13">
        <v>3937</v>
      </c>
      <c r="G346" s="81">
        <v>4.4169999999999998</v>
      </c>
      <c r="H346" s="19">
        <f t="shared" si="39"/>
        <v>57.97</v>
      </c>
      <c r="I346" s="101">
        <f t="shared" si="40"/>
        <v>17389.73</v>
      </c>
      <c r="J346" s="101"/>
      <c r="K346" s="337">
        <v>7.9951100244498807E-2</v>
      </c>
      <c r="M346" s="345"/>
    </row>
    <row r="347" spans="1:13">
      <c r="A347" s="13" t="s">
        <v>248</v>
      </c>
      <c r="B347" s="13">
        <v>1080</v>
      </c>
      <c r="C347" s="65">
        <v>67</v>
      </c>
      <c r="D347" s="13" t="s">
        <v>40</v>
      </c>
      <c r="E347" s="17" t="s">
        <v>41</v>
      </c>
      <c r="F347" s="13">
        <v>3937</v>
      </c>
      <c r="G347" s="81">
        <v>4.5179999999999998</v>
      </c>
      <c r="H347" s="19">
        <f t="shared" si="39"/>
        <v>59.29</v>
      </c>
      <c r="I347" s="101">
        <f t="shared" si="40"/>
        <v>17787.37</v>
      </c>
      <c r="J347" s="101"/>
      <c r="K347" s="337">
        <v>8.0086062634472821E-2</v>
      </c>
      <c r="M347" s="345"/>
    </row>
    <row r="348" spans="1:13">
      <c r="A348" s="13" t="s">
        <v>248</v>
      </c>
      <c r="B348" s="13">
        <v>1080</v>
      </c>
      <c r="C348" s="65">
        <v>69</v>
      </c>
      <c r="D348" s="13" t="s">
        <v>40</v>
      </c>
      <c r="E348" s="17" t="s">
        <v>41</v>
      </c>
      <c r="F348" s="13">
        <v>3937</v>
      </c>
      <c r="G348" s="81">
        <v>4.5750000000000002</v>
      </c>
      <c r="H348" s="19">
        <f t="shared" si="39"/>
        <v>60.04</v>
      </c>
      <c r="I348" s="101">
        <f t="shared" si="40"/>
        <v>18011.78</v>
      </c>
      <c r="J348" s="101"/>
      <c r="K348" s="337">
        <v>8.0028328611898125E-2</v>
      </c>
      <c r="M348" s="345"/>
    </row>
    <row r="349" spans="1:13">
      <c r="A349" s="13" t="s">
        <v>248</v>
      </c>
      <c r="B349" s="13">
        <v>1080</v>
      </c>
      <c r="C349" s="65">
        <v>72</v>
      </c>
      <c r="D349" s="13" t="s">
        <v>40</v>
      </c>
      <c r="E349" s="17" t="s">
        <v>41</v>
      </c>
      <c r="F349" s="13">
        <v>3937</v>
      </c>
      <c r="G349" s="81">
        <v>4.6689999999999996</v>
      </c>
      <c r="H349" s="19">
        <f t="shared" si="39"/>
        <v>61.28</v>
      </c>
      <c r="I349" s="101">
        <f t="shared" si="40"/>
        <v>18381.849999999999</v>
      </c>
      <c r="J349" s="101"/>
      <c r="K349" s="337">
        <v>8.0037011334721075E-2</v>
      </c>
      <c r="M349" s="345"/>
    </row>
    <row r="350" spans="1:13">
      <c r="A350" s="13" t="s">
        <v>248</v>
      </c>
      <c r="B350" s="13">
        <v>1080</v>
      </c>
      <c r="C350" s="65">
        <v>74</v>
      </c>
      <c r="D350" s="13" t="s">
        <v>40</v>
      </c>
      <c r="E350" s="17" t="s">
        <v>41</v>
      </c>
      <c r="F350" s="13">
        <v>3937</v>
      </c>
      <c r="G350" s="81">
        <v>4.859</v>
      </c>
      <c r="H350" s="19">
        <f t="shared" si="39"/>
        <v>63.77</v>
      </c>
      <c r="I350" s="101">
        <f t="shared" si="40"/>
        <v>19129.88</v>
      </c>
      <c r="J350" s="101"/>
      <c r="K350" s="337">
        <v>8.0017781729273318E-2</v>
      </c>
      <c r="M350" s="345"/>
    </row>
    <row r="351" spans="1:13">
      <c r="A351" s="13" t="s">
        <v>248</v>
      </c>
      <c r="B351" s="13">
        <v>1078</v>
      </c>
      <c r="C351" s="65">
        <v>64</v>
      </c>
      <c r="D351" s="13" t="s">
        <v>40</v>
      </c>
      <c r="E351" s="17" t="s">
        <v>41</v>
      </c>
      <c r="F351" s="13">
        <v>3937</v>
      </c>
      <c r="G351" s="81">
        <v>4.806</v>
      </c>
      <c r="H351" s="19">
        <f t="shared" si="39"/>
        <v>63.07</v>
      </c>
      <c r="I351" s="101">
        <f t="shared" si="40"/>
        <v>18921.22</v>
      </c>
      <c r="J351" s="101"/>
      <c r="K351" s="337">
        <v>8.0000000000000071E-2</v>
      </c>
      <c r="M351" s="345"/>
    </row>
    <row r="352" spans="1:13">
      <c r="A352" s="13" t="s">
        <v>248</v>
      </c>
      <c r="B352" s="13">
        <v>1078</v>
      </c>
      <c r="C352" s="65">
        <v>67</v>
      </c>
      <c r="D352" s="13" t="s">
        <v>40</v>
      </c>
      <c r="E352" s="17" t="s">
        <v>41</v>
      </c>
      <c r="F352" s="13">
        <v>3937</v>
      </c>
      <c r="G352" s="81">
        <v>4.7889999999999997</v>
      </c>
      <c r="H352" s="19">
        <f t="shared" si="39"/>
        <v>62.85</v>
      </c>
      <c r="I352" s="101">
        <f t="shared" si="40"/>
        <v>18854.29</v>
      </c>
      <c r="J352" s="101"/>
      <c r="K352" s="337">
        <v>8.006314839873685E-2</v>
      </c>
      <c r="M352" s="345"/>
    </row>
    <row r="353" spans="1:13">
      <c r="A353" s="13" t="s">
        <v>248</v>
      </c>
      <c r="B353" s="13">
        <v>1078</v>
      </c>
      <c r="C353" s="65">
        <v>68</v>
      </c>
      <c r="D353" s="13" t="s">
        <v>40</v>
      </c>
      <c r="E353" s="17" t="s">
        <v>41</v>
      </c>
      <c r="F353" s="13">
        <v>3937</v>
      </c>
      <c r="G353" s="81">
        <v>4.984</v>
      </c>
      <c r="H353" s="19">
        <f t="shared" si="39"/>
        <v>65.41</v>
      </c>
      <c r="I353" s="101">
        <f t="shared" si="40"/>
        <v>19622.009999999998</v>
      </c>
      <c r="J353" s="101"/>
      <c r="K353" s="337">
        <v>7.9956663055254618E-2</v>
      </c>
      <c r="M353" s="345"/>
    </row>
    <row r="354" spans="1:13">
      <c r="A354" s="13" t="s">
        <v>248</v>
      </c>
      <c r="B354" s="13">
        <v>1078</v>
      </c>
      <c r="C354" s="65">
        <v>69</v>
      </c>
      <c r="D354" s="13" t="s">
        <v>40</v>
      </c>
      <c r="E354" s="17" t="s">
        <v>41</v>
      </c>
      <c r="F354" s="13">
        <v>3937</v>
      </c>
      <c r="G354" s="81">
        <v>4.984</v>
      </c>
      <c r="H354" s="19">
        <f t="shared" si="39"/>
        <v>65.41</v>
      </c>
      <c r="I354" s="101">
        <f t="shared" si="40"/>
        <v>19622.009999999998</v>
      </c>
      <c r="J354" s="101"/>
      <c r="K354" s="337">
        <v>7.9956663055254618E-2</v>
      </c>
      <c r="M354" s="345"/>
    </row>
    <row r="355" spans="1:13">
      <c r="A355" s="13" t="s">
        <v>248</v>
      </c>
      <c r="B355" s="13">
        <v>1078</v>
      </c>
      <c r="C355" s="65">
        <v>71</v>
      </c>
      <c r="D355" s="13" t="s">
        <v>40</v>
      </c>
      <c r="E355" s="17" t="s">
        <v>41</v>
      </c>
      <c r="F355" s="13">
        <v>3937</v>
      </c>
      <c r="G355" s="81">
        <v>5.0190000000000001</v>
      </c>
      <c r="H355" s="19">
        <f t="shared" si="39"/>
        <v>65.87</v>
      </c>
      <c r="I355" s="101">
        <f t="shared" si="40"/>
        <v>19759.8</v>
      </c>
      <c r="J355" s="101"/>
      <c r="K355" s="337">
        <v>5.0000000000000044E-2</v>
      </c>
      <c r="M355" s="345"/>
    </row>
    <row r="356" spans="1:13">
      <c r="A356" s="13" t="s">
        <v>248</v>
      </c>
      <c r="B356" s="13">
        <v>1078</v>
      </c>
      <c r="C356" s="65">
        <v>72</v>
      </c>
      <c r="D356" s="13" t="s">
        <v>40</v>
      </c>
      <c r="E356" s="17" t="s">
        <v>41</v>
      </c>
      <c r="F356" s="13">
        <v>3937</v>
      </c>
      <c r="G356" s="81">
        <v>5.0190000000000001</v>
      </c>
      <c r="H356" s="19">
        <f t="shared" si="39"/>
        <v>65.87</v>
      </c>
      <c r="I356" s="101">
        <f t="shared" si="40"/>
        <v>19759.8</v>
      </c>
      <c r="J356" s="101"/>
      <c r="K356" s="337">
        <v>5.0000000000000044E-2</v>
      </c>
      <c r="M356" s="345"/>
    </row>
    <row r="357" spans="1:13">
      <c r="A357" s="13" t="s">
        <v>248</v>
      </c>
      <c r="B357" s="13">
        <v>1078</v>
      </c>
      <c r="C357" s="65">
        <v>74</v>
      </c>
      <c r="D357" s="13" t="s">
        <v>40</v>
      </c>
      <c r="E357" s="17" t="s">
        <v>41</v>
      </c>
      <c r="F357" s="13">
        <v>3937</v>
      </c>
      <c r="G357" s="81">
        <v>5.516</v>
      </c>
      <c r="H357" s="19">
        <f t="shared" si="39"/>
        <v>72.39</v>
      </c>
      <c r="I357" s="101">
        <f t="shared" si="40"/>
        <v>21716.49</v>
      </c>
      <c r="J357" s="101"/>
      <c r="K357" s="337">
        <v>5.0066628593184781E-2</v>
      </c>
      <c r="M357" s="345"/>
    </row>
    <row r="358" spans="1:13">
      <c r="A358" s="13" t="s">
        <v>248</v>
      </c>
      <c r="B358" s="13">
        <v>3313</v>
      </c>
      <c r="C358" s="65">
        <v>55.000000000000007</v>
      </c>
      <c r="D358" s="13" t="s">
        <v>40</v>
      </c>
      <c r="E358" s="17" t="s">
        <v>41</v>
      </c>
      <c r="F358" s="13">
        <v>3937</v>
      </c>
      <c r="G358" s="81">
        <v>5.4249999999999998</v>
      </c>
      <c r="H358" s="19">
        <f t="shared" si="39"/>
        <v>71.2</v>
      </c>
      <c r="I358" s="101">
        <f t="shared" si="40"/>
        <v>21358.23</v>
      </c>
      <c r="J358" s="101"/>
      <c r="K358" s="337">
        <v>8.0031853474019643E-2</v>
      </c>
      <c r="M358" s="345"/>
    </row>
    <row r="359" spans="1:13">
      <c r="A359" s="13" t="s">
        <v>248</v>
      </c>
      <c r="B359" s="13">
        <v>3313</v>
      </c>
      <c r="C359" s="65">
        <v>56.999999999999993</v>
      </c>
      <c r="D359" s="13" t="s">
        <v>40</v>
      </c>
      <c r="E359" s="17" t="s">
        <v>41</v>
      </c>
      <c r="F359" s="13">
        <v>3937</v>
      </c>
      <c r="G359" s="81">
        <v>5.51</v>
      </c>
      <c r="H359" s="19">
        <f t="shared" si="39"/>
        <v>72.31</v>
      </c>
      <c r="I359" s="101">
        <f t="shared" si="40"/>
        <v>21692.87</v>
      </c>
      <c r="J359" s="101"/>
      <c r="K359" s="337">
        <v>7.9968639749117942E-2</v>
      </c>
      <c r="M359" s="345"/>
    </row>
    <row r="360" spans="1:13">
      <c r="A360" s="13" t="s">
        <v>248</v>
      </c>
      <c r="B360" s="13">
        <v>3313</v>
      </c>
      <c r="C360" s="65">
        <v>59</v>
      </c>
      <c r="D360" s="13" t="s">
        <v>40</v>
      </c>
      <c r="E360" s="17" t="s">
        <v>41</v>
      </c>
      <c r="F360" s="13">
        <v>3937</v>
      </c>
      <c r="G360" s="81">
        <v>5.5940000000000003</v>
      </c>
      <c r="H360" s="19">
        <f t="shared" si="39"/>
        <v>73.42</v>
      </c>
      <c r="I360" s="101">
        <f t="shared" si="40"/>
        <v>22023.58</v>
      </c>
      <c r="J360" s="101"/>
      <c r="K360" s="337">
        <v>7.9922779922779963E-2</v>
      </c>
      <c r="M360" s="345"/>
    </row>
    <row r="361" spans="1:13">
      <c r="A361" s="13" t="s">
        <v>248</v>
      </c>
      <c r="B361" s="13">
        <v>3313</v>
      </c>
      <c r="C361" s="65">
        <v>61</v>
      </c>
      <c r="D361" s="13" t="s">
        <v>40</v>
      </c>
      <c r="E361" s="17" t="s">
        <v>41</v>
      </c>
      <c r="F361" s="13">
        <v>3937</v>
      </c>
      <c r="G361" s="81">
        <v>5.68</v>
      </c>
      <c r="H361" s="19">
        <f t="shared" si="39"/>
        <v>74.540000000000006</v>
      </c>
      <c r="I361" s="101">
        <f t="shared" si="40"/>
        <v>22362.16</v>
      </c>
      <c r="J361" s="101"/>
      <c r="K361" s="337">
        <v>8.0053242061228325E-2</v>
      </c>
      <c r="M361" s="345"/>
    </row>
    <row r="362" spans="1:13">
      <c r="A362" s="13" t="s">
        <v>248</v>
      </c>
      <c r="B362" s="13">
        <v>2116</v>
      </c>
      <c r="C362" s="65">
        <v>54</v>
      </c>
      <c r="D362" s="13" t="s">
        <v>43</v>
      </c>
      <c r="E362" s="17" t="s">
        <v>41</v>
      </c>
      <c r="F362" s="13">
        <v>2624.6</v>
      </c>
      <c r="G362" s="81">
        <v>5.3289999999999997</v>
      </c>
      <c r="H362" s="19">
        <f t="shared" si="39"/>
        <v>69.94</v>
      </c>
      <c r="I362" s="101">
        <f t="shared" si="40"/>
        <v>13986.49</v>
      </c>
      <c r="J362" s="101"/>
      <c r="K362" s="337">
        <v>6.0075591804257034E-2</v>
      </c>
      <c r="M362" s="345"/>
    </row>
    <row r="363" spans="1:13">
      <c r="A363" s="13" t="s">
        <v>248</v>
      </c>
      <c r="B363" s="13">
        <v>2116</v>
      </c>
      <c r="C363" s="65">
        <v>55.500000000000007</v>
      </c>
      <c r="D363" s="13" t="s">
        <v>43</v>
      </c>
      <c r="E363" s="17" t="s">
        <v>41</v>
      </c>
      <c r="F363" s="13">
        <v>2624.6</v>
      </c>
      <c r="G363" s="81">
        <v>5.3289999999999997</v>
      </c>
      <c r="H363" s="19">
        <f t="shared" si="39"/>
        <v>69.94</v>
      </c>
      <c r="I363" s="101">
        <f t="shared" si="40"/>
        <v>13986.49</v>
      </c>
      <c r="J363" s="101"/>
      <c r="K363" s="337">
        <v>6.0075591804257034E-2</v>
      </c>
      <c r="M363" s="345"/>
    </row>
    <row r="364" spans="1:13">
      <c r="A364" s="13" t="s">
        <v>248</v>
      </c>
      <c r="B364" s="13">
        <v>2116</v>
      </c>
      <c r="C364" s="65">
        <v>56.000000000000007</v>
      </c>
      <c r="D364" s="13" t="s">
        <v>43</v>
      </c>
      <c r="E364" s="17" t="s">
        <v>41</v>
      </c>
      <c r="F364" s="13">
        <v>2624.6</v>
      </c>
      <c r="G364" s="81">
        <v>5.4710000000000001</v>
      </c>
      <c r="H364" s="19">
        <f t="shared" si="39"/>
        <v>71.8</v>
      </c>
      <c r="I364" s="101">
        <f t="shared" si="40"/>
        <v>14359.19</v>
      </c>
      <c r="J364" s="101"/>
      <c r="K364" s="337">
        <v>6.0065878705677367E-2</v>
      </c>
      <c r="M364" s="345"/>
    </row>
    <row r="365" spans="1:13">
      <c r="A365" s="13" t="s">
        <v>248</v>
      </c>
      <c r="B365" s="13">
        <v>2116</v>
      </c>
      <c r="C365" s="65">
        <v>56.999999999999993</v>
      </c>
      <c r="D365" s="13" t="s">
        <v>43</v>
      </c>
      <c r="E365" s="17" t="s">
        <v>41</v>
      </c>
      <c r="F365" s="13">
        <v>2624.6</v>
      </c>
      <c r="G365" s="81">
        <v>5.4710000000000001</v>
      </c>
      <c r="H365" s="19">
        <f t="shared" si="39"/>
        <v>71.8</v>
      </c>
      <c r="I365" s="101">
        <f t="shared" si="40"/>
        <v>14359.19</v>
      </c>
      <c r="J365" s="101"/>
      <c r="K365" s="337">
        <v>6.0065878705677367E-2</v>
      </c>
      <c r="M365" s="345"/>
    </row>
    <row r="366" spans="1:13">
      <c r="A366" s="13" t="s">
        <v>248</v>
      </c>
      <c r="B366" s="13">
        <v>2116</v>
      </c>
      <c r="C366" s="65">
        <v>57.999999999999993</v>
      </c>
      <c r="D366" s="13" t="s">
        <v>43</v>
      </c>
      <c r="E366" s="17" t="s">
        <v>41</v>
      </c>
      <c r="F366" s="13">
        <v>2624.6</v>
      </c>
      <c r="G366" s="81">
        <v>5.7649999999999997</v>
      </c>
      <c r="H366" s="19">
        <f t="shared" si="39"/>
        <v>75.66</v>
      </c>
      <c r="I366" s="101">
        <f t="shared" si="40"/>
        <v>15130.82</v>
      </c>
      <c r="J366" s="101"/>
      <c r="K366" s="337">
        <v>5.9937488508917003E-2</v>
      </c>
      <c r="M366" s="345"/>
    </row>
    <row r="367" spans="1:13">
      <c r="A367" s="13" t="s">
        <v>248</v>
      </c>
      <c r="B367" s="13">
        <v>2116</v>
      </c>
      <c r="C367" s="65">
        <v>59</v>
      </c>
      <c r="D367" s="13" t="s">
        <v>43</v>
      </c>
      <c r="E367" s="17" t="s">
        <v>41</v>
      </c>
      <c r="F367" s="13">
        <v>2624.6</v>
      </c>
      <c r="G367" s="81">
        <v>5.7649999999999997</v>
      </c>
      <c r="H367" s="19">
        <f t="shared" si="39"/>
        <v>75.66</v>
      </c>
      <c r="I367" s="101">
        <f t="shared" si="40"/>
        <v>15130.82</v>
      </c>
      <c r="J367" s="101"/>
      <c r="K367" s="337">
        <v>5.9937488508917003E-2</v>
      </c>
      <c r="M367" s="345"/>
    </row>
    <row r="369" spans="1:11" ht="15.6">
      <c r="A369" s="4" t="s">
        <v>45</v>
      </c>
      <c r="B369" s="4"/>
      <c r="C369" s="21"/>
      <c r="D369" s="21"/>
      <c r="E369" s="21"/>
      <c r="F369" s="21"/>
      <c r="G369" s="21"/>
      <c r="H369" s="21"/>
      <c r="I369" s="22"/>
      <c r="J369" s="22"/>
      <c r="K369" s="27"/>
    </row>
    <row r="370" spans="1:11" ht="15.6">
      <c r="A370" s="21" t="s">
        <v>46</v>
      </c>
      <c r="B370" s="21"/>
      <c r="C370" s="21"/>
      <c r="D370" s="21"/>
      <c r="E370" s="21"/>
      <c r="F370" s="21"/>
      <c r="G370" s="21"/>
      <c r="H370" s="21"/>
      <c r="I370" s="22"/>
      <c r="J370" s="22"/>
      <c r="K370" s="27"/>
    </row>
    <row r="371" spans="1:11" ht="15.6">
      <c r="A371" s="24" t="s">
        <v>161</v>
      </c>
      <c r="B371" s="24"/>
      <c r="C371" s="21"/>
      <c r="D371" s="21"/>
      <c r="E371" s="21"/>
      <c r="F371" s="21"/>
      <c r="G371" s="21"/>
      <c r="H371" s="21"/>
      <c r="I371" s="22"/>
      <c r="J371" s="22"/>
      <c r="K371" s="27"/>
    </row>
    <row r="372" spans="1:11" ht="15.6">
      <c r="A372" s="346" t="s">
        <v>250</v>
      </c>
      <c r="B372" s="346"/>
      <c r="C372" s="347"/>
      <c r="D372" s="347"/>
      <c r="E372" s="347"/>
      <c r="F372" s="347"/>
      <c r="G372" s="347"/>
      <c r="H372" s="347"/>
      <c r="I372" s="348"/>
      <c r="J372" s="22"/>
      <c r="K372" s="27"/>
    </row>
    <row r="373" spans="1:11" ht="15.6">
      <c r="A373" s="346" t="s">
        <v>251</v>
      </c>
      <c r="B373" s="346"/>
      <c r="C373" s="347"/>
      <c r="D373" s="347"/>
      <c r="E373" s="347"/>
      <c r="F373" s="347"/>
      <c r="G373" s="347"/>
      <c r="H373" s="347"/>
      <c r="I373" s="348"/>
      <c r="J373" s="22"/>
      <c r="K373" s="27"/>
    </row>
    <row r="374" spans="1:11" ht="15.6">
      <c r="A374" s="317" t="s">
        <v>252</v>
      </c>
      <c r="B374" s="317"/>
      <c r="C374" s="315"/>
      <c r="D374" s="315"/>
      <c r="E374" s="315"/>
      <c r="F374" s="315"/>
      <c r="G374" s="315"/>
      <c r="H374" s="315"/>
      <c r="I374" s="316"/>
      <c r="J374" s="22"/>
      <c r="K374" s="27"/>
    </row>
    <row r="375" spans="1:11" ht="15.6">
      <c r="A375" s="317" t="s">
        <v>253</v>
      </c>
      <c r="B375" s="317"/>
      <c r="C375" s="315"/>
      <c r="D375" s="315"/>
      <c r="E375" s="315"/>
      <c r="F375" s="315"/>
      <c r="G375" s="315"/>
      <c r="H375" s="315"/>
      <c r="I375" s="316"/>
      <c r="J375" s="22"/>
      <c r="K375" s="27"/>
    </row>
    <row r="376" spans="1:11" ht="15.6">
      <c r="A376" s="346" t="s">
        <v>254</v>
      </c>
      <c r="B376" s="346"/>
      <c r="C376" s="347"/>
      <c r="D376" s="347"/>
      <c r="E376" s="347"/>
      <c r="F376" s="347"/>
      <c r="G376" s="347"/>
      <c r="H376" s="347"/>
      <c r="I376" s="348"/>
      <c r="J376" s="22"/>
      <c r="K376" s="27"/>
    </row>
    <row r="377" spans="1:11" ht="15.6">
      <c r="A377" s="346" t="s">
        <v>255</v>
      </c>
      <c r="B377" s="346"/>
      <c r="C377" s="347"/>
      <c r="D377" s="347"/>
      <c r="E377" s="347"/>
      <c r="F377" s="347"/>
      <c r="G377" s="347"/>
      <c r="H377" s="347"/>
      <c r="I377" s="348"/>
      <c r="J377" s="22"/>
      <c r="K377" s="27"/>
    </row>
    <row r="378" spans="1:11" ht="15.6">
      <c r="A378" s="24" t="s">
        <v>210</v>
      </c>
      <c r="B378" s="24"/>
      <c r="C378" s="21"/>
      <c r="D378" s="21"/>
      <c r="E378" s="21"/>
      <c r="F378" s="21"/>
      <c r="G378" s="21"/>
      <c r="H378" s="21"/>
      <c r="I378" s="22"/>
      <c r="J378" s="22"/>
      <c r="K378" s="27"/>
    </row>
    <row r="379" spans="1:11" ht="15.6">
      <c r="A379" s="25" t="s">
        <v>211</v>
      </c>
      <c r="B379" s="25"/>
      <c r="C379" s="21"/>
      <c r="D379" s="21"/>
      <c r="E379" s="21"/>
      <c r="F379" s="21"/>
      <c r="G379" s="21"/>
      <c r="H379" s="21"/>
      <c r="I379" s="22"/>
      <c r="J379" s="22"/>
      <c r="K379" s="27"/>
    </row>
    <row r="380" spans="1:11" ht="14.4">
      <c r="A380" s="26" t="s">
        <v>212</v>
      </c>
      <c r="B380" s="26"/>
      <c r="C380" s="27"/>
      <c r="D380" s="27"/>
      <c r="E380" s="27"/>
      <c r="F380" s="27"/>
      <c r="G380" s="27"/>
      <c r="H380" s="27"/>
      <c r="I380" s="27"/>
      <c r="J380" s="27"/>
      <c r="K380" s="27"/>
    </row>
    <row r="381" spans="1:11" ht="14.4">
      <c r="A381" s="26" t="s">
        <v>213</v>
      </c>
      <c r="B381" s="26"/>
      <c r="C381" s="27"/>
      <c r="D381" s="27"/>
      <c r="E381" s="27"/>
      <c r="F381" s="27"/>
      <c r="G381" s="27"/>
      <c r="H381" s="27"/>
      <c r="I381" s="27"/>
      <c r="J381" s="27"/>
      <c r="K381" s="27"/>
    </row>
    <row r="382" spans="1:11">
      <c r="A382" s="279"/>
      <c r="B382" s="279"/>
    </row>
    <row r="383" spans="1:11" ht="15.6">
      <c r="A383" s="28" t="s">
        <v>52</v>
      </c>
      <c r="B383" s="28"/>
      <c r="C383" s="28"/>
      <c r="D383" s="29"/>
      <c r="E383" s="29"/>
      <c r="F383" s="29"/>
      <c r="G383" s="29"/>
      <c r="H383" s="29"/>
      <c r="I383" s="29"/>
      <c r="J383" s="30" t="s">
        <v>53</v>
      </c>
      <c r="K383" s="29"/>
    </row>
  </sheetData>
  <mergeCells count="42">
    <mergeCell ref="I362:J362"/>
    <mergeCell ref="I363:J363"/>
    <mergeCell ref="I364:J364"/>
    <mergeCell ref="I365:J365"/>
    <mergeCell ref="I366:J366"/>
    <mergeCell ref="I367:J367"/>
    <mergeCell ref="I356:J356"/>
    <mergeCell ref="I357:J357"/>
    <mergeCell ref="I358:J358"/>
    <mergeCell ref="I359:J359"/>
    <mergeCell ref="I360:J360"/>
    <mergeCell ref="I361:J361"/>
    <mergeCell ref="I350:J350"/>
    <mergeCell ref="I351:J351"/>
    <mergeCell ref="I352:J352"/>
    <mergeCell ref="I353:J353"/>
    <mergeCell ref="I354:J354"/>
    <mergeCell ref="I355:J355"/>
    <mergeCell ref="I344:J344"/>
    <mergeCell ref="I345:J345"/>
    <mergeCell ref="I346:J346"/>
    <mergeCell ref="I347:J347"/>
    <mergeCell ref="I348:J348"/>
    <mergeCell ref="I349:J349"/>
    <mergeCell ref="I338:J338"/>
    <mergeCell ref="I339:J339"/>
    <mergeCell ref="I340:J340"/>
    <mergeCell ref="I341:J341"/>
    <mergeCell ref="I342:J342"/>
    <mergeCell ref="I343:J343"/>
    <mergeCell ref="A331:K331"/>
    <mergeCell ref="I333:J333"/>
    <mergeCell ref="I334:J334"/>
    <mergeCell ref="I335:J335"/>
    <mergeCell ref="I336:J336"/>
    <mergeCell ref="I337:J337"/>
    <mergeCell ref="C1:K1"/>
    <mergeCell ref="A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21C5-2F52-4A36-88EB-4103173EE523}">
  <dimension ref="A1:N170"/>
  <sheetViews>
    <sheetView workbookViewId="0">
      <selection activeCell="S11" sqref="S11"/>
    </sheetView>
  </sheetViews>
  <sheetFormatPr defaultColWidth="10.296875" defaultRowHeight="13.8"/>
  <cols>
    <col min="1" max="9" width="8.09765625" style="207" customWidth="1"/>
    <col min="10" max="10" width="8.09765625" style="381" customWidth="1"/>
    <col min="11" max="11" width="8.09765625" style="207" customWidth="1"/>
    <col min="12" max="14" width="8.09765625" style="207" hidden="1" customWidth="1"/>
    <col min="15" max="16384" width="10.296875" style="207"/>
  </cols>
  <sheetData>
    <row r="1" spans="1:14" ht="16.350000000000001" customHeight="1">
      <c r="D1" s="233"/>
      <c r="E1" s="233"/>
      <c r="F1" s="233"/>
      <c r="G1" s="233"/>
      <c r="H1" s="233"/>
      <c r="I1" s="233"/>
      <c r="J1" s="234"/>
      <c r="K1" s="233"/>
      <c r="L1" s="233"/>
      <c r="M1" s="233"/>
      <c r="N1" s="233"/>
    </row>
    <row r="2" spans="1:14" ht="74.400000000000006" customHeight="1"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</row>
    <row r="3" spans="1:14" ht="23.4" customHeight="1">
      <c r="A3" s="350" t="s">
        <v>0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1"/>
      <c r="M3" s="351"/>
      <c r="N3" s="351"/>
    </row>
    <row r="4" spans="1:14" ht="15" customHeight="1">
      <c r="A4" s="109" t="s">
        <v>1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352"/>
      <c r="M4" s="352"/>
      <c r="N4" s="352"/>
    </row>
    <row r="5" spans="1:14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353"/>
      <c r="M5" s="353"/>
      <c r="N5" s="353"/>
    </row>
    <row r="6" spans="1:14" ht="15" customHeight="1">
      <c r="A6" s="4" t="s">
        <v>3</v>
      </c>
      <c r="B6" s="4" t="s">
        <v>4</v>
      </c>
      <c r="C6" s="5"/>
      <c r="D6" s="5"/>
      <c r="E6" s="5"/>
      <c r="F6" s="5"/>
      <c r="G6" s="5"/>
      <c r="H6" s="5"/>
      <c r="I6" s="7" t="s">
        <v>5</v>
      </c>
      <c r="J6" s="236"/>
      <c r="K6" s="236"/>
      <c r="L6" s="354"/>
      <c r="M6"/>
      <c r="N6"/>
    </row>
    <row r="7" spans="1:14" ht="15" customHeight="1">
      <c r="A7" s="4"/>
      <c r="B7" s="4" t="s">
        <v>6</v>
      </c>
      <c r="C7" s="5"/>
      <c r="D7" s="5"/>
      <c r="E7" s="5"/>
      <c r="F7" s="5"/>
      <c r="G7" s="5"/>
      <c r="H7" s="5"/>
      <c r="I7" s="7" t="s">
        <v>7</v>
      </c>
      <c r="J7" s="236"/>
      <c r="K7" s="236"/>
      <c r="L7"/>
      <c r="M7"/>
      <c r="N7"/>
    </row>
    <row r="8" spans="1:14" ht="15" customHeight="1">
      <c r="A8" s="4" t="s">
        <v>8</v>
      </c>
      <c r="B8" s="4" t="s">
        <v>173</v>
      </c>
      <c r="C8" s="5"/>
      <c r="D8" s="5"/>
      <c r="E8" s="5"/>
      <c r="F8" s="5"/>
      <c r="G8" s="5"/>
      <c r="H8" s="5"/>
      <c r="I8" s="7" t="s">
        <v>256</v>
      </c>
      <c r="J8" s="236"/>
      <c r="K8" s="236"/>
      <c r="L8"/>
      <c r="M8"/>
      <c r="N8"/>
    </row>
    <row r="9" spans="1:14" ht="15" customHeight="1">
      <c r="A9" s="4"/>
      <c r="B9" s="4" t="s">
        <v>174</v>
      </c>
      <c r="C9" s="5"/>
      <c r="D9" s="5"/>
      <c r="E9" s="5"/>
      <c r="F9" s="5"/>
      <c r="G9" s="5"/>
      <c r="H9" s="5"/>
      <c r="I9" s="335" t="s">
        <v>11</v>
      </c>
      <c r="J9" s="236"/>
      <c r="K9" s="236"/>
      <c r="L9"/>
      <c r="M9"/>
      <c r="N9"/>
    </row>
    <row r="10" spans="1:14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335"/>
      <c r="M10" s="236"/>
      <c r="N10" s="236"/>
    </row>
    <row r="11" spans="1:14" ht="28.2" customHeight="1">
      <c r="A11" s="355" t="s">
        <v>257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  <c r="M11" s="355"/>
      <c r="N11" s="355"/>
    </row>
    <row r="12" spans="1:14" ht="25.2" customHeight="1">
      <c r="A12" s="237" t="s">
        <v>177</v>
      </c>
      <c r="B12" s="78" t="s">
        <v>14</v>
      </c>
      <c r="C12" s="78" t="s">
        <v>15</v>
      </c>
      <c r="D12" s="237" t="s">
        <v>178</v>
      </c>
      <c r="E12" s="78" t="s">
        <v>17</v>
      </c>
      <c r="F12" s="78" t="s">
        <v>18</v>
      </c>
      <c r="G12" s="237" t="s">
        <v>179</v>
      </c>
      <c r="H12" s="237" t="s">
        <v>180</v>
      </c>
      <c r="I12" s="356" t="s">
        <v>21</v>
      </c>
      <c r="J12" s="237" t="s">
        <v>181</v>
      </c>
      <c r="K12" s="159" t="s">
        <v>23</v>
      </c>
      <c r="L12" s="79" t="s">
        <v>258</v>
      </c>
      <c r="M12" s="79" t="s">
        <v>259</v>
      </c>
      <c r="N12" s="79" t="s">
        <v>260</v>
      </c>
    </row>
    <row r="13" spans="1:14" ht="16.05" customHeight="1">
      <c r="A13" s="9" t="s">
        <v>261</v>
      </c>
      <c r="B13" s="64">
        <f t="shared" ref="B13:B125" si="0">ROUND(C13*0.0254,3)</f>
        <v>7.5999999999999998E-2</v>
      </c>
      <c r="C13" s="357">
        <v>3</v>
      </c>
      <c r="D13" s="358" t="s">
        <v>25</v>
      </c>
      <c r="E13" s="31" t="s">
        <v>262</v>
      </c>
      <c r="F13" s="359" t="s">
        <v>122</v>
      </c>
      <c r="G13" s="82">
        <v>16.704000000000001</v>
      </c>
      <c r="H13" s="11">
        <f t="shared" ref="H13:H76" si="1">ROUND(G13*12,2)</f>
        <v>200.45</v>
      </c>
      <c r="I13" s="360">
        <f t="shared" ref="I13:I76" si="2">ROUND(G13*13.33,2)</f>
        <v>222.66</v>
      </c>
      <c r="J13" s="11">
        <f t="shared" ref="J13:J76" si="3">ROUND(G13*14,2)</f>
        <v>233.86</v>
      </c>
      <c r="K13" s="361"/>
      <c r="L13" s="358">
        <f t="shared" ref="L13:L76" si="4">ROUND(ROUND(G13*12,2)*2/3,2)</f>
        <v>133.63</v>
      </c>
      <c r="M13" s="358">
        <f t="shared" ref="M13:M76" si="5">ROUND(ROUND(G13*13.33,2)*2/3,2)</f>
        <v>148.44</v>
      </c>
      <c r="N13" s="358">
        <f t="shared" ref="N13:N76" si="6">ROUND(ROUND(G13*14,2)*2/3,2)</f>
        <v>155.91</v>
      </c>
    </row>
    <row r="14" spans="1:14" ht="16.05" customHeight="1">
      <c r="A14" s="9" t="s">
        <v>261</v>
      </c>
      <c r="B14" s="64">
        <f t="shared" si="0"/>
        <v>0.10199999999999999</v>
      </c>
      <c r="C14" s="357">
        <v>4</v>
      </c>
      <c r="D14" s="358" t="s">
        <v>25</v>
      </c>
      <c r="E14" s="31" t="s">
        <v>262</v>
      </c>
      <c r="F14" s="359" t="s">
        <v>122</v>
      </c>
      <c r="G14" s="82">
        <v>17.052</v>
      </c>
      <c r="H14" s="11">
        <f t="shared" si="1"/>
        <v>204.62</v>
      </c>
      <c r="I14" s="360">
        <f t="shared" si="2"/>
        <v>227.3</v>
      </c>
      <c r="J14" s="11">
        <f t="shared" si="3"/>
        <v>238.73</v>
      </c>
      <c r="K14" s="361"/>
      <c r="L14" s="358">
        <f t="shared" si="4"/>
        <v>136.41</v>
      </c>
      <c r="M14" s="358">
        <f t="shared" si="5"/>
        <v>151.53</v>
      </c>
      <c r="N14" s="358">
        <f t="shared" si="6"/>
        <v>159.15</v>
      </c>
    </row>
    <row r="15" spans="1:14" ht="16.05" customHeight="1">
      <c r="A15" s="9" t="s">
        <v>261</v>
      </c>
      <c r="B15" s="64">
        <f t="shared" si="0"/>
        <v>0.10199999999999999</v>
      </c>
      <c r="C15" s="357">
        <v>4</v>
      </c>
      <c r="D15" s="358" t="s">
        <v>25</v>
      </c>
      <c r="E15" s="31" t="s">
        <v>262</v>
      </c>
      <c r="F15" s="359" t="s">
        <v>83</v>
      </c>
      <c r="G15" s="82">
        <v>17.853999999999999</v>
      </c>
      <c r="H15" s="11">
        <f t="shared" si="1"/>
        <v>214.25</v>
      </c>
      <c r="I15" s="360">
        <f t="shared" si="2"/>
        <v>237.99</v>
      </c>
      <c r="J15" s="11">
        <f t="shared" si="3"/>
        <v>249.96</v>
      </c>
      <c r="K15" s="361"/>
      <c r="L15" s="358">
        <f t="shared" si="4"/>
        <v>142.83000000000001</v>
      </c>
      <c r="M15" s="358">
        <f t="shared" si="5"/>
        <v>158.66</v>
      </c>
      <c r="N15" s="358">
        <f t="shared" si="6"/>
        <v>166.64</v>
      </c>
    </row>
    <row r="16" spans="1:14" ht="16.05" customHeight="1">
      <c r="A16" s="9" t="s">
        <v>261</v>
      </c>
      <c r="B16" s="64">
        <f t="shared" si="0"/>
        <v>0.10199999999999999</v>
      </c>
      <c r="C16" s="357">
        <v>4</v>
      </c>
      <c r="D16" s="358" t="s">
        <v>25</v>
      </c>
      <c r="E16" s="31" t="s">
        <v>262</v>
      </c>
      <c r="F16" s="359" t="s">
        <v>84</v>
      </c>
      <c r="G16" s="82">
        <v>17.693999999999999</v>
      </c>
      <c r="H16" s="11">
        <f t="shared" si="1"/>
        <v>212.33</v>
      </c>
      <c r="I16" s="360">
        <f t="shared" si="2"/>
        <v>235.86</v>
      </c>
      <c r="J16" s="11">
        <f t="shared" si="3"/>
        <v>247.72</v>
      </c>
      <c r="K16" s="361"/>
      <c r="L16" s="358">
        <f t="shared" si="4"/>
        <v>141.55000000000001</v>
      </c>
      <c r="M16" s="358">
        <f t="shared" si="5"/>
        <v>157.24</v>
      </c>
      <c r="N16" s="358">
        <f t="shared" si="6"/>
        <v>165.15</v>
      </c>
    </row>
    <row r="17" spans="1:14" ht="16.05" customHeight="1">
      <c r="A17" s="9" t="s">
        <v>261</v>
      </c>
      <c r="B17" s="64">
        <f t="shared" si="0"/>
        <v>0.10199999999999999</v>
      </c>
      <c r="C17" s="357">
        <v>4</v>
      </c>
      <c r="D17" s="358" t="s">
        <v>25</v>
      </c>
      <c r="E17" s="31" t="s">
        <v>262</v>
      </c>
      <c r="F17" s="359" t="s">
        <v>166</v>
      </c>
      <c r="G17" s="82">
        <v>23.533999999999999</v>
      </c>
      <c r="H17" s="11">
        <f t="shared" si="1"/>
        <v>282.41000000000003</v>
      </c>
      <c r="I17" s="360">
        <f t="shared" si="2"/>
        <v>313.70999999999998</v>
      </c>
      <c r="J17" s="11">
        <f t="shared" si="3"/>
        <v>329.48</v>
      </c>
      <c r="K17" s="361"/>
      <c r="L17" s="358">
        <f t="shared" si="4"/>
        <v>188.27</v>
      </c>
      <c r="M17" s="358">
        <f t="shared" si="5"/>
        <v>209.14</v>
      </c>
      <c r="N17" s="358">
        <f t="shared" si="6"/>
        <v>219.65</v>
      </c>
    </row>
    <row r="18" spans="1:14" ht="16.05" customHeight="1">
      <c r="A18" s="9" t="s">
        <v>261</v>
      </c>
      <c r="B18" s="64">
        <f t="shared" si="0"/>
        <v>0.10199999999999999</v>
      </c>
      <c r="C18" s="357">
        <v>4</v>
      </c>
      <c r="D18" s="358" t="s">
        <v>25</v>
      </c>
      <c r="E18" s="31" t="s">
        <v>262</v>
      </c>
      <c r="F18" s="359" t="s">
        <v>82</v>
      </c>
      <c r="G18" s="82">
        <v>23.526</v>
      </c>
      <c r="H18" s="11">
        <f t="shared" si="1"/>
        <v>282.31</v>
      </c>
      <c r="I18" s="360">
        <f t="shared" si="2"/>
        <v>313.60000000000002</v>
      </c>
      <c r="J18" s="11">
        <f t="shared" si="3"/>
        <v>329.36</v>
      </c>
      <c r="K18" s="361"/>
      <c r="L18" s="358">
        <f t="shared" si="4"/>
        <v>188.21</v>
      </c>
      <c r="M18" s="358">
        <f t="shared" si="5"/>
        <v>209.07</v>
      </c>
      <c r="N18" s="358">
        <f t="shared" si="6"/>
        <v>219.57</v>
      </c>
    </row>
    <row r="19" spans="1:14" ht="16.05" customHeight="1">
      <c r="A19" s="9" t="s">
        <v>263</v>
      </c>
      <c r="B19" s="64">
        <f t="shared" si="0"/>
        <v>0.127</v>
      </c>
      <c r="C19" s="357">
        <v>5</v>
      </c>
      <c r="D19" s="358" t="s">
        <v>25</v>
      </c>
      <c r="E19" s="31" t="s">
        <v>262</v>
      </c>
      <c r="F19" s="359" t="s">
        <v>84</v>
      </c>
      <c r="G19" s="82">
        <v>19.608000000000001</v>
      </c>
      <c r="H19" s="11">
        <f t="shared" si="1"/>
        <v>235.3</v>
      </c>
      <c r="I19" s="360">
        <f t="shared" si="2"/>
        <v>261.37</v>
      </c>
      <c r="J19" s="11">
        <f t="shared" si="3"/>
        <v>274.51</v>
      </c>
      <c r="K19" s="361"/>
      <c r="L19" s="358">
        <f t="shared" si="4"/>
        <v>156.87</v>
      </c>
      <c r="M19" s="358">
        <f t="shared" si="5"/>
        <v>174.25</v>
      </c>
      <c r="N19" s="358">
        <f t="shared" si="6"/>
        <v>183.01</v>
      </c>
    </row>
    <row r="20" spans="1:14" ht="16.05" customHeight="1">
      <c r="A20" s="9" t="s">
        <v>261</v>
      </c>
      <c r="B20" s="64">
        <f t="shared" si="0"/>
        <v>0.127</v>
      </c>
      <c r="C20" s="357">
        <v>5</v>
      </c>
      <c r="D20" s="358" t="s">
        <v>25</v>
      </c>
      <c r="E20" s="31" t="s">
        <v>262</v>
      </c>
      <c r="F20" s="359" t="s">
        <v>117</v>
      </c>
      <c r="G20" s="82">
        <v>23.500999999999998</v>
      </c>
      <c r="H20" s="11">
        <f t="shared" si="1"/>
        <v>282.01</v>
      </c>
      <c r="I20" s="360">
        <f t="shared" si="2"/>
        <v>313.27</v>
      </c>
      <c r="J20" s="11">
        <f t="shared" si="3"/>
        <v>329.01</v>
      </c>
      <c r="K20" s="361"/>
      <c r="L20" s="358">
        <f t="shared" si="4"/>
        <v>188.01</v>
      </c>
      <c r="M20" s="358">
        <f t="shared" si="5"/>
        <v>208.85</v>
      </c>
      <c r="N20" s="358">
        <f t="shared" si="6"/>
        <v>219.34</v>
      </c>
    </row>
    <row r="21" spans="1:14" ht="16.05" customHeight="1">
      <c r="A21" s="9" t="s">
        <v>261</v>
      </c>
      <c r="B21" s="64">
        <f t="shared" si="0"/>
        <v>0.152</v>
      </c>
      <c r="C21" s="357">
        <v>6</v>
      </c>
      <c r="D21" s="358" t="s">
        <v>25</v>
      </c>
      <c r="E21" s="31" t="s">
        <v>262</v>
      </c>
      <c r="F21" s="359" t="s">
        <v>117</v>
      </c>
      <c r="G21" s="82">
        <v>23.652999999999999</v>
      </c>
      <c r="H21" s="11">
        <f t="shared" si="1"/>
        <v>283.83999999999997</v>
      </c>
      <c r="I21" s="360">
        <f t="shared" si="2"/>
        <v>315.29000000000002</v>
      </c>
      <c r="J21" s="11">
        <f t="shared" si="3"/>
        <v>331.14</v>
      </c>
      <c r="K21" s="361"/>
      <c r="L21" s="358">
        <f t="shared" si="4"/>
        <v>189.23</v>
      </c>
      <c r="M21" s="358">
        <f t="shared" si="5"/>
        <v>210.19</v>
      </c>
      <c r="N21" s="358">
        <f t="shared" si="6"/>
        <v>220.76</v>
      </c>
    </row>
    <row r="22" spans="1:14" ht="16.05" customHeight="1">
      <c r="A22" s="9" t="s">
        <v>261</v>
      </c>
      <c r="B22" s="64">
        <f t="shared" si="0"/>
        <v>0.40600000000000003</v>
      </c>
      <c r="C22" s="357">
        <v>16</v>
      </c>
      <c r="D22" s="358" t="s">
        <v>25</v>
      </c>
      <c r="E22" s="31" t="s">
        <v>262</v>
      </c>
      <c r="F22" s="359" t="s">
        <v>219</v>
      </c>
      <c r="G22" s="82">
        <v>39.56</v>
      </c>
      <c r="H22" s="11">
        <f t="shared" si="1"/>
        <v>474.72</v>
      </c>
      <c r="I22" s="360">
        <f t="shared" si="2"/>
        <v>527.33000000000004</v>
      </c>
      <c r="J22" s="11">
        <f t="shared" si="3"/>
        <v>553.84</v>
      </c>
      <c r="K22" s="361"/>
      <c r="L22" s="358">
        <f t="shared" si="4"/>
        <v>316.48</v>
      </c>
      <c r="M22" s="358">
        <f t="shared" si="5"/>
        <v>351.55</v>
      </c>
      <c r="N22" s="358">
        <f t="shared" si="6"/>
        <v>369.23</v>
      </c>
    </row>
    <row r="23" spans="1:14" ht="16.05" customHeight="1">
      <c r="A23" s="9" t="s">
        <v>261</v>
      </c>
      <c r="B23" s="64">
        <f t="shared" si="0"/>
        <v>0.61</v>
      </c>
      <c r="C23" s="357">
        <v>24</v>
      </c>
      <c r="D23" s="358" t="s">
        <v>25</v>
      </c>
      <c r="E23" s="31" t="s">
        <v>262</v>
      </c>
      <c r="F23" s="359" t="s">
        <v>88</v>
      </c>
      <c r="G23" s="82">
        <v>48.028000000000006</v>
      </c>
      <c r="H23" s="11">
        <f t="shared" si="1"/>
        <v>576.34</v>
      </c>
      <c r="I23" s="360">
        <f t="shared" si="2"/>
        <v>640.21</v>
      </c>
      <c r="J23" s="11">
        <f t="shared" si="3"/>
        <v>672.39</v>
      </c>
      <c r="K23" s="361"/>
      <c r="L23" s="358">
        <f t="shared" si="4"/>
        <v>384.23</v>
      </c>
      <c r="M23" s="358">
        <f t="shared" si="5"/>
        <v>426.81</v>
      </c>
      <c r="N23" s="358">
        <f t="shared" si="6"/>
        <v>448.26</v>
      </c>
    </row>
    <row r="24" spans="1:14" ht="16.05" customHeight="1">
      <c r="A24" s="9" t="s">
        <v>261</v>
      </c>
      <c r="B24" s="64">
        <f>ROUND(C24*0.0254,3)</f>
        <v>7.5999999999999998E-2</v>
      </c>
      <c r="C24" s="357">
        <v>3</v>
      </c>
      <c r="D24" s="358" t="s">
        <v>28</v>
      </c>
      <c r="E24" s="31" t="s">
        <v>262</v>
      </c>
      <c r="F24" s="187" t="s">
        <v>217</v>
      </c>
      <c r="G24" s="362">
        <v>21.91</v>
      </c>
      <c r="H24" s="11">
        <f>ROUND(G24*12,2)</f>
        <v>262.92</v>
      </c>
      <c r="I24" s="360">
        <f>ROUND(G24*13.33,2)</f>
        <v>292.06</v>
      </c>
      <c r="J24" s="11">
        <f>ROUND(G24*14,2)</f>
        <v>306.74</v>
      </c>
      <c r="K24" s="361">
        <v>0.05</v>
      </c>
      <c r="L24" s="358">
        <f>ROUND(ROUND(G24*12,2)*2/3,2)</f>
        <v>175.28</v>
      </c>
      <c r="M24" s="358">
        <f>ROUND(ROUND(G24*13.33,2)*2/3,2)</f>
        <v>194.71</v>
      </c>
      <c r="N24" s="358">
        <f>ROUND(ROUND(G24*14,2)*2/3,2)</f>
        <v>204.49</v>
      </c>
    </row>
    <row r="25" spans="1:14" ht="16.05" customHeight="1">
      <c r="A25" s="9" t="s">
        <v>261</v>
      </c>
      <c r="B25" s="64">
        <f t="shared" si="0"/>
        <v>7.5999999999999998E-2</v>
      </c>
      <c r="C25" s="357">
        <v>3</v>
      </c>
      <c r="D25" s="358" t="s">
        <v>28</v>
      </c>
      <c r="E25" s="31" t="s">
        <v>262</v>
      </c>
      <c r="F25" s="359" t="s">
        <v>122</v>
      </c>
      <c r="G25" s="82">
        <v>21.515000000000001</v>
      </c>
      <c r="H25" s="11">
        <f t="shared" si="1"/>
        <v>258.18</v>
      </c>
      <c r="I25" s="360">
        <f t="shared" si="2"/>
        <v>286.79000000000002</v>
      </c>
      <c r="J25" s="11">
        <f t="shared" si="3"/>
        <v>301.20999999999998</v>
      </c>
      <c r="K25" s="361"/>
      <c r="L25" s="358">
        <f t="shared" si="4"/>
        <v>172.12</v>
      </c>
      <c r="M25" s="358">
        <f t="shared" si="5"/>
        <v>191.19</v>
      </c>
      <c r="N25" s="358">
        <f t="shared" si="6"/>
        <v>200.81</v>
      </c>
    </row>
    <row r="26" spans="1:14" ht="16.05" customHeight="1">
      <c r="A26" s="9" t="s">
        <v>261</v>
      </c>
      <c r="B26" s="64">
        <f t="shared" si="0"/>
        <v>0.10199999999999999</v>
      </c>
      <c r="C26" s="357">
        <v>4</v>
      </c>
      <c r="D26" s="358" t="s">
        <v>28</v>
      </c>
      <c r="E26" s="31" t="s">
        <v>262</v>
      </c>
      <c r="F26" s="359" t="s">
        <v>122</v>
      </c>
      <c r="G26" s="82">
        <v>21.725000000000001</v>
      </c>
      <c r="H26" s="11">
        <f t="shared" si="1"/>
        <v>260.7</v>
      </c>
      <c r="I26" s="360">
        <f t="shared" si="2"/>
        <v>289.58999999999997</v>
      </c>
      <c r="J26" s="11">
        <f t="shared" si="3"/>
        <v>304.14999999999998</v>
      </c>
      <c r="K26" s="361"/>
      <c r="L26" s="358">
        <f t="shared" si="4"/>
        <v>173.8</v>
      </c>
      <c r="M26" s="358">
        <f t="shared" si="5"/>
        <v>193.06</v>
      </c>
      <c r="N26" s="358">
        <f t="shared" si="6"/>
        <v>202.77</v>
      </c>
    </row>
    <row r="27" spans="1:14" ht="16.05" customHeight="1">
      <c r="A27" s="9" t="s">
        <v>261</v>
      </c>
      <c r="B27" s="64">
        <f t="shared" si="0"/>
        <v>0.10199999999999999</v>
      </c>
      <c r="C27" s="357">
        <v>4</v>
      </c>
      <c r="D27" s="358" t="s">
        <v>28</v>
      </c>
      <c r="E27" s="31" t="s">
        <v>262</v>
      </c>
      <c r="F27" s="359" t="s">
        <v>83</v>
      </c>
      <c r="G27" s="82">
        <v>22.593</v>
      </c>
      <c r="H27" s="11">
        <f t="shared" si="1"/>
        <v>271.12</v>
      </c>
      <c r="I27" s="360">
        <f t="shared" si="2"/>
        <v>301.16000000000003</v>
      </c>
      <c r="J27" s="11">
        <f t="shared" si="3"/>
        <v>316.3</v>
      </c>
      <c r="K27" s="361"/>
      <c r="L27" s="358">
        <f t="shared" si="4"/>
        <v>180.75</v>
      </c>
      <c r="M27" s="358">
        <f t="shared" si="5"/>
        <v>200.77</v>
      </c>
      <c r="N27" s="358">
        <f t="shared" si="6"/>
        <v>210.87</v>
      </c>
    </row>
    <row r="28" spans="1:14" ht="16.05" customHeight="1">
      <c r="A28" s="9" t="s">
        <v>261</v>
      </c>
      <c r="B28" s="64">
        <f t="shared" si="0"/>
        <v>0.10199999999999999</v>
      </c>
      <c r="C28" s="357">
        <v>4</v>
      </c>
      <c r="D28" s="358" t="s">
        <v>28</v>
      </c>
      <c r="E28" s="31" t="s">
        <v>262</v>
      </c>
      <c r="F28" s="359" t="s">
        <v>84</v>
      </c>
      <c r="G28" s="82">
        <v>22.419</v>
      </c>
      <c r="H28" s="11">
        <f t="shared" si="1"/>
        <v>269.02999999999997</v>
      </c>
      <c r="I28" s="360">
        <f t="shared" si="2"/>
        <v>298.85000000000002</v>
      </c>
      <c r="J28" s="11">
        <f t="shared" si="3"/>
        <v>313.87</v>
      </c>
      <c r="K28" s="361"/>
      <c r="L28" s="358">
        <f t="shared" si="4"/>
        <v>179.35</v>
      </c>
      <c r="M28" s="358">
        <f t="shared" si="5"/>
        <v>199.23</v>
      </c>
      <c r="N28" s="358">
        <f t="shared" si="6"/>
        <v>209.25</v>
      </c>
    </row>
    <row r="29" spans="1:14" ht="16.05" customHeight="1">
      <c r="A29" s="9" t="s">
        <v>261</v>
      </c>
      <c r="B29" s="64">
        <f t="shared" si="0"/>
        <v>0.10199999999999999</v>
      </c>
      <c r="C29" s="357">
        <v>4</v>
      </c>
      <c r="D29" s="358" t="s">
        <v>28</v>
      </c>
      <c r="E29" s="31" t="s">
        <v>262</v>
      </c>
      <c r="F29" s="359" t="s">
        <v>166</v>
      </c>
      <c r="G29" s="82">
        <v>26.858000000000001</v>
      </c>
      <c r="H29" s="11">
        <f t="shared" si="1"/>
        <v>322.3</v>
      </c>
      <c r="I29" s="360">
        <f t="shared" si="2"/>
        <v>358.02</v>
      </c>
      <c r="J29" s="11">
        <f t="shared" si="3"/>
        <v>376.01</v>
      </c>
      <c r="K29" s="361"/>
      <c r="L29" s="358">
        <f t="shared" si="4"/>
        <v>214.87</v>
      </c>
      <c r="M29" s="358">
        <f t="shared" si="5"/>
        <v>238.68</v>
      </c>
      <c r="N29" s="358">
        <f t="shared" si="6"/>
        <v>250.67</v>
      </c>
    </row>
    <row r="30" spans="1:14" ht="16.05" customHeight="1">
      <c r="A30" s="9" t="s">
        <v>261</v>
      </c>
      <c r="B30" s="64">
        <f t="shared" si="0"/>
        <v>0.10199999999999999</v>
      </c>
      <c r="C30" s="357">
        <v>4</v>
      </c>
      <c r="D30" s="358" t="s">
        <v>28</v>
      </c>
      <c r="E30" s="31" t="s">
        <v>262</v>
      </c>
      <c r="F30" s="359" t="s">
        <v>82</v>
      </c>
      <c r="G30" s="82">
        <v>26.974</v>
      </c>
      <c r="H30" s="11">
        <f t="shared" si="1"/>
        <v>323.69</v>
      </c>
      <c r="I30" s="360">
        <f t="shared" si="2"/>
        <v>359.56</v>
      </c>
      <c r="J30" s="11">
        <f t="shared" si="3"/>
        <v>377.64</v>
      </c>
      <c r="K30" s="361"/>
      <c r="L30" s="358">
        <f t="shared" si="4"/>
        <v>215.79</v>
      </c>
      <c r="M30" s="358">
        <f t="shared" si="5"/>
        <v>239.71</v>
      </c>
      <c r="N30" s="358">
        <f t="shared" si="6"/>
        <v>251.76</v>
      </c>
    </row>
    <row r="31" spans="1:14" ht="16.05" customHeight="1">
      <c r="A31" s="9" t="s">
        <v>261</v>
      </c>
      <c r="B31" s="64">
        <f t="shared" si="0"/>
        <v>0.127</v>
      </c>
      <c r="C31" s="357">
        <v>5</v>
      </c>
      <c r="D31" s="358" t="s">
        <v>28</v>
      </c>
      <c r="E31" s="31" t="s">
        <v>262</v>
      </c>
      <c r="F31" s="359" t="s">
        <v>84</v>
      </c>
      <c r="G31" s="82">
        <v>24.571999999999999</v>
      </c>
      <c r="H31" s="11">
        <f t="shared" si="1"/>
        <v>294.86</v>
      </c>
      <c r="I31" s="360">
        <f t="shared" si="2"/>
        <v>327.54000000000002</v>
      </c>
      <c r="J31" s="11">
        <f t="shared" si="3"/>
        <v>344.01</v>
      </c>
      <c r="K31" s="361"/>
      <c r="L31" s="358">
        <f t="shared" si="4"/>
        <v>196.57</v>
      </c>
      <c r="M31" s="358">
        <f t="shared" si="5"/>
        <v>218.36</v>
      </c>
      <c r="N31" s="358">
        <f t="shared" si="6"/>
        <v>229.34</v>
      </c>
    </row>
    <row r="32" spans="1:14" ht="16.05" customHeight="1">
      <c r="A32" s="9" t="s">
        <v>261</v>
      </c>
      <c r="B32" s="64">
        <f t="shared" si="0"/>
        <v>0.127</v>
      </c>
      <c r="C32" s="357">
        <v>5</v>
      </c>
      <c r="D32" s="358" t="s">
        <v>28</v>
      </c>
      <c r="E32" s="31" t="s">
        <v>262</v>
      </c>
      <c r="F32" s="359" t="s">
        <v>117</v>
      </c>
      <c r="G32" s="82">
        <v>28.091000000000001</v>
      </c>
      <c r="H32" s="11">
        <f t="shared" si="1"/>
        <v>337.09</v>
      </c>
      <c r="I32" s="360">
        <f t="shared" si="2"/>
        <v>374.45</v>
      </c>
      <c r="J32" s="11">
        <f t="shared" si="3"/>
        <v>393.27</v>
      </c>
      <c r="K32" s="361"/>
      <c r="L32" s="358">
        <f t="shared" si="4"/>
        <v>224.73</v>
      </c>
      <c r="M32" s="358">
        <f t="shared" si="5"/>
        <v>249.63</v>
      </c>
      <c r="N32" s="358">
        <f t="shared" si="6"/>
        <v>262.18</v>
      </c>
    </row>
    <row r="33" spans="1:14" ht="16.05" customHeight="1">
      <c r="A33" s="9" t="s">
        <v>261</v>
      </c>
      <c r="B33" s="64">
        <f t="shared" si="0"/>
        <v>0.152</v>
      </c>
      <c r="C33" s="357">
        <v>6</v>
      </c>
      <c r="D33" s="358" t="s">
        <v>28</v>
      </c>
      <c r="E33" s="31" t="s">
        <v>262</v>
      </c>
      <c r="F33" s="359" t="s">
        <v>117</v>
      </c>
      <c r="G33" s="82">
        <v>28.292999999999999</v>
      </c>
      <c r="H33" s="11">
        <f t="shared" si="1"/>
        <v>339.52</v>
      </c>
      <c r="I33" s="360">
        <f t="shared" si="2"/>
        <v>377.15</v>
      </c>
      <c r="J33" s="11">
        <f t="shared" si="3"/>
        <v>396.1</v>
      </c>
      <c r="K33" s="361"/>
      <c r="L33" s="358">
        <f t="shared" si="4"/>
        <v>226.35</v>
      </c>
      <c r="M33" s="358">
        <f t="shared" si="5"/>
        <v>251.43</v>
      </c>
      <c r="N33" s="358">
        <f t="shared" si="6"/>
        <v>264.07</v>
      </c>
    </row>
    <row r="34" spans="1:14" ht="16.05" customHeight="1">
      <c r="A34" s="9" t="s">
        <v>261</v>
      </c>
      <c r="B34" s="64">
        <f t="shared" si="0"/>
        <v>0.40600000000000003</v>
      </c>
      <c r="C34" s="357">
        <v>16</v>
      </c>
      <c r="D34" s="358" t="s">
        <v>28</v>
      </c>
      <c r="E34" s="31" t="s">
        <v>262</v>
      </c>
      <c r="F34" s="359" t="s">
        <v>219</v>
      </c>
      <c r="G34" s="82">
        <v>42.74</v>
      </c>
      <c r="H34" s="11">
        <f t="shared" si="1"/>
        <v>512.88</v>
      </c>
      <c r="I34" s="360">
        <f t="shared" si="2"/>
        <v>569.72</v>
      </c>
      <c r="J34" s="11">
        <f t="shared" si="3"/>
        <v>598.36</v>
      </c>
      <c r="K34" s="361"/>
      <c r="L34" s="358">
        <f t="shared" si="4"/>
        <v>341.92</v>
      </c>
      <c r="M34" s="358">
        <f t="shared" si="5"/>
        <v>379.81</v>
      </c>
      <c r="N34" s="358">
        <f t="shared" si="6"/>
        <v>398.91</v>
      </c>
    </row>
    <row r="35" spans="1:14" ht="16.05" customHeight="1">
      <c r="A35" s="9" t="s">
        <v>261</v>
      </c>
      <c r="B35" s="64">
        <f t="shared" si="0"/>
        <v>0.61</v>
      </c>
      <c r="C35" s="357">
        <v>24</v>
      </c>
      <c r="D35" s="358" t="s">
        <v>28</v>
      </c>
      <c r="E35" s="31" t="s">
        <v>262</v>
      </c>
      <c r="F35" s="359" t="s">
        <v>88</v>
      </c>
      <c r="G35" s="82">
        <v>52.994</v>
      </c>
      <c r="H35" s="11">
        <f t="shared" si="1"/>
        <v>635.92999999999995</v>
      </c>
      <c r="I35" s="360">
        <f t="shared" si="2"/>
        <v>706.41</v>
      </c>
      <c r="J35" s="11">
        <f t="shared" si="3"/>
        <v>741.92</v>
      </c>
      <c r="K35" s="361"/>
      <c r="L35" s="358">
        <f t="shared" si="4"/>
        <v>423.95</v>
      </c>
      <c r="M35" s="358">
        <f t="shared" si="5"/>
        <v>470.94</v>
      </c>
      <c r="N35" s="358">
        <f t="shared" si="6"/>
        <v>494.61</v>
      </c>
    </row>
    <row r="36" spans="1:14" ht="16.05" customHeight="1">
      <c r="A36" s="9" t="s">
        <v>261</v>
      </c>
      <c r="B36" s="64">
        <f t="shared" si="0"/>
        <v>0.68600000000000005</v>
      </c>
      <c r="C36" s="357">
        <v>27</v>
      </c>
      <c r="D36" s="358" t="s">
        <v>28</v>
      </c>
      <c r="E36" s="31" t="s">
        <v>262</v>
      </c>
      <c r="F36" s="359" t="s">
        <v>88</v>
      </c>
      <c r="G36" s="82">
        <v>65.692999999999998</v>
      </c>
      <c r="H36" s="11">
        <f t="shared" si="1"/>
        <v>788.32</v>
      </c>
      <c r="I36" s="360">
        <f t="shared" si="2"/>
        <v>875.69</v>
      </c>
      <c r="J36" s="11">
        <f t="shared" si="3"/>
        <v>919.7</v>
      </c>
      <c r="K36" s="361"/>
      <c r="L36" s="358">
        <f t="shared" si="4"/>
        <v>525.54999999999995</v>
      </c>
      <c r="M36" s="358">
        <f t="shared" si="5"/>
        <v>583.79</v>
      </c>
      <c r="N36" s="358">
        <f t="shared" si="6"/>
        <v>613.13</v>
      </c>
    </row>
    <row r="37" spans="1:14" ht="16.05" customHeight="1">
      <c r="A37" s="9" t="s">
        <v>263</v>
      </c>
      <c r="B37" s="64">
        <f t="shared" si="0"/>
        <v>7.5999999999999998E-2</v>
      </c>
      <c r="C37" s="357">
        <v>3</v>
      </c>
      <c r="D37" s="358" t="s">
        <v>25</v>
      </c>
      <c r="E37" s="31" t="s">
        <v>264</v>
      </c>
      <c r="F37" s="359" t="s">
        <v>122</v>
      </c>
      <c r="G37" s="82">
        <v>15.624000000000001</v>
      </c>
      <c r="H37" s="11">
        <f t="shared" si="1"/>
        <v>187.49</v>
      </c>
      <c r="I37" s="360">
        <f t="shared" si="2"/>
        <v>208.27</v>
      </c>
      <c r="J37" s="11">
        <f t="shared" si="3"/>
        <v>218.74</v>
      </c>
      <c r="K37" s="361"/>
      <c r="L37" s="358">
        <f t="shared" si="4"/>
        <v>124.99</v>
      </c>
      <c r="M37" s="358">
        <f t="shared" si="5"/>
        <v>138.85</v>
      </c>
      <c r="N37" s="358">
        <f t="shared" si="6"/>
        <v>145.83000000000001</v>
      </c>
    </row>
    <row r="38" spans="1:14" ht="16.05" customHeight="1">
      <c r="A38" s="9" t="s">
        <v>261</v>
      </c>
      <c r="B38" s="64">
        <f t="shared" si="0"/>
        <v>0.10199999999999999</v>
      </c>
      <c r="C38" s="357">
        <v>4</v>
      </c>
      <c r="D38" s="358" t="s">
        <v>25</v>
      </c>
      <c r="E38" s="31" t="s">
        <v>264</v>
      </c>
      <c r="F38" s="359" t="s">
        <v>122</v>
      </c>
      <c r="G38" s="82">
        <v>15.972000000000001</v>
      </c>
      <c r="H38" s="11">
        <f t="shared" si="1"/>
        <v>191.66</v>
      </c>
      <c r="I38" s="360">
        <f t="shared" si="2"/>
        <v>212.91</v>
      </c>
      <c r="J38" s="11">
        <f t="shared" si="3"/>
        <v>223.61</v>
      </c>
      <c r="K38" s="361"/>
      <c r="L38" s="358">
        <f t="shared" si="4"/>
        <v>127.77</v>
      </c>
      <c r="M38" s="358">
        <f t="shared" si="5"/>
        <v>141.94</v>
      </c>
      <c r="N38" s="358">
        <f t="shared" si="6"/>
        <v>149.07</v>
      </c>
    </row>
    <row r="39" spans="1:14" ht="16.05" customHeight="1">
      <c r="A39" s="9" t="s">
        <v>261</v>
      </c>
      <c r="B39" s="64">
        <f t="shared" si="0"/>
        <v>0.10199999999999999</v>
      </c>
      <c r="C39" s="357">
        <v>4</v>
      </c>
      <c r="D39" s="358" t="s">
        <v>25</v>
      </c>
      <c r="E39" s="31" t="s">
        <v>264</v>
      </c>
      <c r="F39" s="359" t="s">
        <v>83</v>
      </c>
      <c r="G39" s="82">
        <v>16.774000000000001</v>
      </c>
      <c r="H39" s="11">
        <f t="shared" si="1"/>
        <v>201.29</v>
      </c>
      <c r="I39" s="360">
        <f t="shared" si="2"/>
        <v>223.6</v>
      </c>
      <c r="J39" s="11">
        <f t="shared" si="3"/>
        <v>234.84</v>
      </c>
      <c r="K39" s="361"/>
      <c r="L39" s="358">
        <f t="shared" si="4"/>
        <v>134.19</v>
      </c>
      <c r="M39" s="358">
        <f t="shared" si="5"/>
        <v>149.07</v>
      </c>
      <c r="N39" s="358">
        <f t="shared" si="6"/>
        <v>156.56</v>
      </c>
    </row>
    <row r="40" spans="1:14" ht="16.05" customHeight="1">
      <c r="A40" s="9" t="s">
        <v>261</v>
      </c>
      <c r="B40" s="64">
        <f t="shared" si="0"/>
        <v>0.10199999999999999</v>
      </c>
      <c r="C40" s="357">
        <v>4</v>
      </c>
      <c r="D40" s="358" t="s">
        <v>25</v>
      </c>
      <c r="E40" s="31" t="s">
        <v>264</v>
      </c>
      <c r="F40" s="359" t="s">
        <v>84</v>
      </c>
      <c r="G40" s="82">
        <v>16.614000000000001</v>
      </c>
      <c r="H40" s="11">
        <f t="shared" si="1"/>
        <v>199.37</v>
      </c>
      <c r="I40" s="360">
        <f t="shared" si="2"/>
        <v>221.46</v>
      </c>
      <c r="J40" s="11">
        <f t="shared" si="3"/>
        <v>232.6</v>
      </c>
      <c r="K40" s="361"/>
      <c r="L40" s="358">
        <f t="shared" si="4"/>
        <v>132.91</v>
      </c>
      <c r="M40" s="358">
        <f t="shared" si="5"/>
        <v>147.63999999999999</v>
      </c>
      <c r="N40" s="358">
        <f t="shared" si="6"/>
        <v>155.07</v>
      </c>
    </row>
    <row r="41" spans="1:14" ht="16.05" customHeight="1">
      <c r="A41" s="9" t="s">
        <v>261</v>
      </c>
      <c r="B41" s="64">
        <f t="shared" si="0"/>
        <v>0.10199999999999999</v>
      </c>
      <c r="C41" s="357">
        <v>4</v>
      </c>
      <c r="D41" s="358" t="s">
        <v>25</v>
      </c>
      <c r="E41" s="31" t="s">
        <v>264</v>
      </c>
      <c r="F41" s="359" t="s">
        <v>166</v>
      </c>
      <c r="G41" s="82">
        <v>22.454000000000001</v>
      </c>
      <c r="H41" s="11">
        <f t="shared" si="1"/>
        <v>269.45</v>
      </c>
      <c r="I41" s="360">
        <f t="shared" si="2"/>
        <v>299.31</v>
      </c>
      <c r="J41" s="11">
        <f t="shared" si="3"/>
        <v>314.36</v>
      </c>
      <c r="K41" s="361"/>
      <c r="L41" s="358">
        <f t="shared" si="4"/>
        <v>179.63</v>
      </c>
      <c r="M41" s="358">
        <f t="shared" si="5"/>
        <v>199.54</v>
      </c>
      <c r="N41" s="358">
        <f t="shared" si="6"/>
        <v>209.57</v>
      </c>
    </row>
    <row r="42" spans="1:14" ht="16.05" customHeight="1">
      <c r="A42" s="9" t="s">
        <v>261</v>
      </c>
      <c r="B42" s="64">
        <f t="shared" si="0"/>
        <v>0.10199999999999999</v>
      </c>
      <c r="C42" s="357">
        <v>4</v>
      </c>
      <c r="D42" s="358" t="s">
        <v>25</v>
      </c>
      <c r="E42" s="31" t="s">
        <v>264</v>
      </c>
      <c r="F42" s="359" t="s">
        <v>82</v>
      </c>
      <c r="G42" s="82">
        <v>22.446000000000002</v>
      </c>
      <c r="H42" s="11">
        <f t="shared" si="1"/>
        <v>269.35000000000002</v>
      </c>
      <c r="I42" s="360">
        <f t="shared" si="2"/>
        <v>299.20999999999998</v>
      </c>
      <c r="J42" s="11">
        <f t="shared" si="3"/>
        <v>314.24</v>
      </c>
      <c r="K42" s="361"/>
      <c r="L42" s="358">
        <f t="shared" si="4"/>
        <v>179.57</v>
      </c>
      <c r="M42" s="358">
        <f t="shared" si="5"/>
        <v>199.47</v>
      </c>
      <c r="N42" s="358">
        <f t="shared" si="6"/>
        <v>209.49</v>
      </c>
    </row>
    <row r="43" spans="1:14" ht="16.05" customHeight="1">
      <c r="A43" s="9" t="s">
        <v>263</v>
      </c>
      <c r="B43" s="64">
        <f t="shared" si="0"/>
        <v>0.127</v>
      </c>
      <c r="C43" s="357">
        <v>5</v>
      </c>
      <c r="D43" s="358" t="s">
        <v>25</v>
      </c>
      <c r="E43" s="31" t="s">
        <v>264</v>
      </c>
      <c r="F43" s="359" t="s">
        <v>84</v>
      </c>
      <c r="G43" s="82">
        <v>18.528000000000002</v>
      </c>
      <c r="H43" s="11">
        <f t="shared" si="1"/>
        <v>222.34</v>
      </c>
      <c r="I43" s="360">
        <f t="shared" si="2"/>
        <v>246.98</v>
      </c>
      <c r="J43" s="11">
        <f t="shared" si="3"/>
        <v>259.39</v>
      </c>
      <c r="K43" s="361"/>
      <c r="L43" s="358">
        <f t="shared" si="4"/>
        <v>148.22999999999999</v>
      </c>
      <c r="M43" s="358">
        <f t="shared" si="5"/>
        <v>164.65</v>
      </c>
      <c r="N43" s="358">
        <f t="shared" si="6"/>
        <v>172.93</v>
      </c>
    </row>
    <row r="44" spans="1:14" ht="16.05" customHeight="1">
      <c r="A44" s="9" t="s">
        <v>261</v>
      </c>
      <c r="B44" s="64">
        <f t="shared" si="0"/>
        <v>0.127</v>
      </c>
      <c r="C44" s="357">
        <v>5</v>
      </c>
      <c r="D44" s="358" t="s">
        <v>25</v>
      </c>
      <c r="E44" s="31" t="s">
        <v>264</v>
      </c>
      <c r="F44" s="359" t="s">
        <v>117</v>
      </c>
      <c r="G44" s="82">
        <v>22.420999999999999</v>
      </c>
      <c r="H44" s="11">
        <f t="shared" si="1"/>
        <v>269.05</v>
      </c>
      <c r="I44" s="360">
        <f t="shared" si="2"/>
        <v>298.87</v>
      </c>
      <c r="J44" s="11">
        <f t="shared" si="3"/>
        <v>313.89</v>
      </c>
      <c r="K44" s="361"/>
      <c r="L44" s="358">
        <f t="shared" si="4"/>
        <v>179.37</v>
      </c>
      <c r="M44" s="358">
        <f t="shared" si="5"/>
        <v>199.25</v>
      </c>
      <c r="N44" s="358">
        <f t="shared" si="6"/>
        <v>209.26</v>
      </c>
    </row>
    <row r="45" spans="1:14" ht="16.05" customHeight="1">
      <c r="A45" s="9" t="s">
        <v>261</v>
      </c>
      <c r="B45" s="64">
        <f t="shared" si="0"/>
        <v>0.152</v>
      </c>
      <c r="C45" s="357">
        <v>6</v>
      </c>
      <c r="D45" s="358" t="s">
        <v>25</v>
      </c>
      <c r="E45" s="31" t="s">
        <v>264</v>
      </c>
      <c r="F45" s="359" t="s">
        <v>117</v>
      </c>
      <c r="G45" s="82">
        <v>22.573</v>
      </c>
      <c r="H45" s="11">
        <f t="shared" si="1"/>
        <v>270.88</v>
      </c>
      <c r="I45" s="360">
        <f t="shared" si="2"/>
        <v>300.89999999999998</v>
      </c>
      <c r="J45" s="11">
        <f t="shared" si="3"/>
        <v>316.02</v>
      </c>
      <c r="K45" s="361"/>
      <c r="L45" s="358">
        <f t="shared" si="4"/>
        <v>180.59</v>
      </c>
      <c r="M45" s="358">
        <f t="shared" si="5"/>
        <v>200.6</v>
      </c>
      <c r="N45" s="358">
        <f t="shared" si="6"/>
        <v>210.68</v>
      </c>
    </row>
    <row r="46" spans="1:14" ht="16.05" customHeight="1">
      <c r="A46" s="9" t="s">
        <v>263</v>
      </c>
      <c r="B46" s="64">
        <f t="shared" si="0"/>
        <v>0.17799999999999999</v>
      </c>
      <c r="C46" s="357">
        <v>7</v>
      </c>
      <c r="D46" s="358" t="s">
        <v>25</v>
      </c>
      <c r="E46" s="31" t="s">
        <v>244</v>
      </c>
      <c r="F46" s="359" t="s">
        <v>117</v>
      </c>
      <c r="G46" s="82">
        <v>22.718</v>
      </c>
      <c r="H46" s="11">
        <f t="shared" si="1"/>
        <v>272.62</v>
      </c>
      <c r="I46" s="360">
        <f t="shared" si="2"/>
        <v>302.83</v>
      </c>
      <c r="J46" s="11">
        <f t="shared" si="3"/>
        <v>318.05</v>
      </c>
      <c r="K46" s="361">
        <v>0.05</v>
      </c>
      <c r="L46" s="358">
        <f t="shared" si="4"/>
        <v>181.75</v>
      </c>
      <c r="M46" s="358">
        <f t="shared" si="5"/>
        <v>201.89</v>
      </c>
      <c r="N46" s="358">
        <f t="shared" si="6"/>
        <v>212.03</v>
      </c>
    </row>
    <row r="47" spans="1:14" ht="16.05" customHeight="1">
      <c r="A47" s="9" t="s">
        <v>261</v>
      </c>
      <c r="B47" s="64">
        <f t="shared" si="0"/>
        <v>0.40600000000000003</v>
      </c>
      <c r="C47" s="357">
        <v>16</v>
      </c>
      <c r="D47" s="358" t="s">
        <v>25</v>
      </c>
      <c r="E47" s="31" t="s">
        <v>264</v>
      </c>
      <c r="F47" s="359" t="s">
        <v>219</v>
      </c>
      <c r="G47" s="82">
        <v>38.479999999999997</v>
      </c>
      <c r="H47" s="11">
        <f t="shared" si="1"/>
        <v>461.76</v>
      </c>
      <c r="I47" s="360">
        <f t="shared" si="2"/>
        <v>512.94000000000005</v>
      </c>
      <c r="J47" s="11">
        <f t="shared" si="3"/>
        <v>538.72</v>
      </c>
      <c r="K47" s="361"/>
      <c r="L47" s="358">
        <f t="shared" si="4"/>
        <v>307.83999999999997</v>
      </c>
      <c r="M47" s="358">
        <f t="shared" si="5"/>
        <v>341.96</v>
      </c>
      <c r="N47" s="358">
        <f t="shared" si="6"/>
        <v>359.15</v>
      </c>
    </row>
    <row r="48" spans="1:14" ht="16.05" customHeight="1">
      <c r="A48" s="9" t="s">
        <v>261</v>
      </c>
      <c r="B48" s="64">
        <f t="shared" si="0"/>
        <v>0.61</v>
      </c>
      <c r="C48" s="357">
        <v>24</v>
      </c>
      <c r="D48" s="358" t="s">
        <v>25</v>
      </c>
      <c r="E48" s="31" t="s">
        <v>264</v>
      </c>
      <c r="F48" s="359" t="s">
        <v>88</v>
      </c>
      <c r="G48" s="82">
        <v>46.948</v>
      </c>
      <c r="H48" s="11">
        <f t="shared" si="1"/>
        <v>563.38</v>
      </c>
      <c r="I48" s="360">
        <f t="shared" si="2"/>
        <v>625.82000000000005</v>
      </c>
      <c r="J48" s="11">
        <f t="shared" si="3"/>
        <v>657.27</v>
      </c>
      <c r="K48" s="361"/>
      <c r="L48" s="358">
        <f t="shared" si="4"/>
        <v>375.59</v>
      </c>
      <c r="M48" s="358">
        <f t="shared" si="5"/>
        <v>417.21</v>
      </c>
      <c r="N48" s="358">
        <f t="shared" si="6"/>
        <v>438.18</v>
      </c>
    </row>
    <row r="49" spans="1:14" ht="16.05" customHeight="1">
      <c r="A49" s="9" t="s">
        <v>261</v>
      </c>
      <c r="B49" s="64">
        <f t="shared" si="0"/>
        <v>7.5999999999999998E-2</v>
      </c>
      <c r="C49" s="357">
        <v>3</v>
      </c>
      <c r="D49" s="358" t="s">
        <v>28</v>
      </c>
      <c r="E49" s="31" t="s">
        <v>264</v>
      </c>
      <c r="F49" s="359" t="s">
        <v>122</v>
      </c>
      <c r="G49" s="82">
        <v>18.634000000000004</v>
      </c>
      <c r="H49" s="11">
        <f t="shared" si="1"/>
        <v>223.61</v>
      </c>
      <c r="I49" s="360">
        <f t="shared" si="2"/>
        <v>248.39</v>
      </c>
      <c r="J49" s="11">
        <f t="shared" si="3"/>
        <v>260.88</v>
      </c>
      <c r="K49" s="361"/>
      <c r="L49" s="358">
        <f t="shared" si="4"/>
        <v>149.07</v>
      </c>
      <c r="M49" s="358">
        <f t="shared" si="5"/>
        <v>165.59</v>
      </c>
      <c r="N49" s="358">
        <f t="shared" si="6"/>
        <v>173.92</v>
      </c>
    </row>
    <row r="50" spans="1:14" ht="16.05" customHeight="1">
      <c r="A50" s="9" t="s">
        <v>261</v>
      </c>
      <c r="B50" s="64">
        <f t="shared" si="0"/>
        <v>0.10199999999999999</v>
      </c>
      <c r="C50" s="357">
        <v>4</v>
      </c>
      <c r="D50" s="358" t="s">
        <v>28</v>
      </c>
      <c r="E50" s="31" t="s">
        <v>264</v>
      </c>
      <c r="F50" s="359" t="s">
        <v>122</v>
      </c>
      <c r="G50" s="82">
        <v>20.025000000000002</v>
      </c>
      <c r="H50" s="11">
        <f t="shared" si="1"/>
        <v>240.3</v>
      </c>
      <c r="I50" s="360">
        <f t="shared" si="2"/>
        <v>266.93</v>
      </c>
      <c r="J50" s="11">
        <f t="shared" si="3"/>
        <v>280.35000000000002</v>
      </c>
      <c r="K50" s="361"/>
      <c r="L50" s="358">
        <f t="shared" si="4"/>
        <v>160.19999999999999</v>
      </c>
      <c r="M50" s="358">
        <f t="shared" si="5"/>
        <v>177.95</v>
      </c>
      <c r="N50" s="358">
        <f t="shared" si="6"/>
        <v>186.9</v>
      </c>
    </row>
    <row r="51" spans="1:14" ht="16.05" customHeight="1">
      <c r="A51" s="9" t="s">
        <v>261</v>
      </c>
      <c r="B51" s="64">
        <f t="shared" si="0"/>
        <v>0.10199999999999999</v>
      </c>
      <c r="C51" s="357">
        <v>4</v>
      </c>
      <c r="D51" s="358" t="s">
        <v>28</v>
      </c>
      <c r="E51" s="31" t="s">
        <v>264</v>
      </c>
      <c r="F51" s="359" t="s">
        <v>83</v>
      </c>
      <c r="G51" s="82">
        <v>20.893000000000001</v>
      </c>
      <c r="H51" s="11">
        <f t="shared" si="1"/>
        <v>250.72</v>
      </c>
      <c r="I51" s="360">
        <f t="shared" si="2"/>
        <v>278.5</v>
      </c>
      <c r="J51" s="11">
        <f t="shared" si="3"/>
        <v>292.5</v>
      </c>
      <c r="K51" s="361"/>
      <c r="L51" s="358">
        <f t="shared" si="4"/>
        <v>167.15</v>
      </c>
      <c r="M51" s="358">
        <f t="shared" si="5"/>
        <v>185.67</v>
      </c>
      <c r="N51" s="358">
        <f t="shared" si="6"/>
        <v>195</v>
      </c>
    </row>
    <row r="52" spans="1:14" ht="16.05" customHeight="1">
      <c r="A52" s="9" t="s">
        <v>261</v>
      </c>
      <c r="B52" s="64">
        <f t="shared" si="0"/>
        <v>0.10199999999999999</v>
      </c>
      <c r="C52" s="357">
        <v>4</v>
      </c>
      <c r="D52" s="358" t="s">
        <v>28</v>
      </c>
      <c r="E52" s="31" t="s">
        <v>264</v>
      </c>
      <c r="F52" s="359" t="s">
        <v>84</v>
      </c>
      <c r="G52" s="82">
        <v>20.719000000000001</v>
      </c>
      <c r="H52" s="11">
        <f t="shared" si="1"/>
        <v>248.63</v>
      </c>
      <c r="I52" s="360">
        <f t="shared" si="2"/>
        <v>276.18</v>
      </c>
      <c r="J52" s="11">
        <f t="shared" si="3"/>
        <v>290.07</v>
      </c>
      <c r="K52" s="361"/>
      <c r="L52" s="358">
        <f t="shared" si="4"/>
        <v>165.75</v>
      </c>
      <c r="M52" s="358">
        <f t="shared" si="5"/>
        <v>184.12</v>
      </c>
      <c r="N52" s="358">
        <f t="shared" si="6"/>
        <v>193.38</v>
      </c>
    </row>
    <row r="53" spans="1:14" ht="16.05" customHeight="1">
      <c r="A53" s="9" t="s">
        <v>261</v>
      </c>
      <c r="B53" s="64">
        <f t="shared" si="0"/>
        <v>0.10199999999999999</v>
      </c>
      <c r="C53" s="357">
        <v>4</v>
      </c>
      <c r="D53" s="358" t="s">
        <v>28</v>
      </c>
      <c r="E53" s="31" t="s">
        <v>264</v>
      </c>
      <c r="F53" s="359" t="s">
        <v>166</v>
      </c>
      <c r="G53" s="82">
        <v>25.158000000000001</v>
      </c>
      <c r="H53" s="11">
        <f t="shared" si="1"/>
        <v>301.89999999999998</v>
      </c>
      <c r="I53" s="360">
        <f t="shared" si="2"/>
        <v>335.36</v>
      </c>
      <c r="J53" s="11">
        <f t="shared" si="3"/>
        <v>352.21</v>
      </c>
      <c r="K53" s="361"/>
      <c r="L53" s="358">
        <f t="shared" si="4"/>
        <v>201.27</v>
      </c>
      <c r="M53" s="358">
        <f t="shared" si="5"/>
        <v>223.57</v>
      </c>
      <c r="N53" s="358">
        <f t="shared" si="6"/>
        <v>234.81</v>
      </c>
    </row>
    <row r="54" spans="1:14" ht="16.05" customHeight="1">
      <c r="A54" s="9" t="s">
        <v>261</v>
      </c>
      <c r="B54" s="64">
        <f t="shared" si="0"/>
        <v>0.10199999999999999</v>
      </c>
      <c r="C54" s="357">
        <v>4</v>
      </c>
      <c r="D54" s="358" t="s">
        <v>28</v>
      </c>
      <c r="E54" s="31" t="s">
        <v>264</v>
      </c>
      <c r="F54" s="359" t="s">
        <v>82</v>
      </c>
      <c r="G54" s="82">
        <v>25.274000000000001</v>
      </c>
      <c r="H54" s="11">
        <f t="shared" si="1"/>
        <v>303.29000000000002</v>
      </c>
      <c r="I54" s="360">
        <f t="shared" si="2"/>
        <v>336.9</v>
      </c>
      <c r="J54" s="11">
        <f t="shared" si="3"/>
        <v>353.84</v>
      </c>
      <c r="K54" s="361"/>
      <c r="L54" s="358">
        <f t="shared" si="4"/>
        <v>202.19</v>
      </c>
      <c r="M54" s="358">
        <f t="shared" si="5"/>
        <v>224.6</v>
      </c>
      <c r="N54" s="358">
        <f t="shared" si="6"/>
        <v>235.89</v>
      </c>
    </row>
    <row r="55" spans="1:14" ht="16.05" customHeight="1">
      <c r="A55" s="9" t="s">
        <v>261</v>
      </c>
      <c r="B55" s="64">
        <f t="shared" si="0"/>
        <v>0.127</v>
      </c>
      <c r="C55" s="357">
        <v>5</v>
      </c>
      <c r="D55" s="358" t="s">
        <v>28</v>
      </c>
      <c r="E55" s="31" t="s">
        <v>264</v>
      </c>
      <c r="F55" s="359" t="s">
        <v>84</v>
      </c>
      <c r="G55" s="82">
        <v>22.872</v>
      </c>
      <c r="H55" s="11">
        <f t="shared" si="1"/>
        <v>274.45999999999998</v>
      </c>
      <c r="I55" s="360">
        <f t="shared" si="2"/>
        <v>304.88</v>
      </c>
      <c r="J55" s="11">
        <f t="shared" si="3"/>
        <v>320.20999999999998</v>
      </c>
      <c r="K55" s="361"/>
      <c r="L55" s="358">
        <f t="shared" si="4"/>
        <v>182.97</v>
      </c>
      <c r="M55" s="358">
        <f t="shared" si="5"/>
        <v>203.25</v>
      </c>
      <c r="N55" s="358">
        <f t="shared" si="6"/>
        <v>213.47</v>
      </c>
    </row>
    <row r="56" spans="1:14" ht="16.05" customHeight="1">
      <c r="A56" s="9" t="s">
        <v>261</v>
      </c>
      <c r="B56" s="64">
        <f t="shared" si="0"/>
        <v>0.127</v>
      </c>
      <c r="C56" s="357">
        <v>5</v>
      </c>
      <c r="D56" s="358" t="s">
        <v>28</v>
      </c>
      <c r="E56" s="31" t="s">
        <v>264</v>
      </c>
      <c r="F56" s="359" t="s">
        <v>117</v>
      </c>
      <c r="G56" s="82">
        <v>26.391000000000002</v>
      </c>
      <c r="H56" s="11">
        <f t="shared" si="1"/>
        <v>316.69</v>
      </c>
      <c r="I56" s="360">
        <f t="shared" si="2"/>
        <v>351.79</v>
      </c>
      <c r="J56" s="11">
        <f t="shared" si="3"/>
        <v>369.47</v>
      </c>
      <c r="K56" s="361"/>
      <c r="L56" s="358">
        <f t="shared" si="4"/>
        <v>211.13</v>
      </c>
      <c r="M56" s="358">
        <f t="shared" si="5"/>
        <v>234.53</v>
      </c>
      <c r="N56" s="358">
        <f t="shared" si="6"/>
        <v>246.31</v>
      </c>
    </row>
    <row r="57" spans="1:14" ht="16.05" customHeight="1">
      <c r="A57" s="9" t="s">
        <v>261</v>
      </c>
      <c r="B57" s="64">
        <f t="shared" si="0"/>
        <v>0.152</v>
      </c>
      <c r="C57" s="357">
        <v>6</v>
      </c>
      <c r="D57" s="358" t="s">
        <v>28</v>
      </c>
      <c r="E57" s="31" t="s">
        <v>264</v>
      </c>
      <c r="F57" s="359" t="s">
        <v>117</v>
      </c>
      <c r="G57" s="82">
        <v>26.593</v>
      </c>
      <c r="H57" s="11">
        <f t="shared" si="1"/>
        <v>319.12</v>
      </c>
      <c r="I57" s="360">
        <f t="shared" si="2"/>
        <v>354.48</v>
      </c>
      <c r="J57" s="11">
        <f t="shared" si="3"/>
        <v>372.3</v>
      </c>
      <c r="K57" s="361"/>
      <c r="L57" s="358">
        <f t="shared" si="4"/>
        <v>212.75</v>
      </c>
      <c r="M57" s="358">
        <f t="shared" si="5"/>
        <v>236.32</v>
      </c>
      <c r="N57" s="358">
        <f t="shared" si="6"/>
        <v>248.2</v>
      </c>
    </row>
    <row r="58" spans="1:14" ht="16.05" customHeight="1">
      <c r="A58" s="9" t="s">
        <v>261</v>
      </c>
      <c r="B58" s="64">
        <f t="shared" si="0"/>
        <v>0.20300000000000001</v>
      </c>
      <c r="C58" s="357">
        <v>8</v>
      </c>
      <c r="D58" s="358" t="s">
        <v>28</v>
      </c>
      <c r="E58" s="31" t="s">
        <v>244</v>
      </c>
      <c r="F58" s="359" t="s">
        <v>87</v>
      </c>
      <c r="G58" s="82">
        <v>26.466000000000001</v>
      </c>
      <c r="H58" s="11">
        <f t="shared" si="1"/>
        <v>317.58999999999997</v>
      </c>
      <c r="I58" s="360">
        <f t="shared" si="2"/>
        <v>352.79</v>
      </c>
      <c r="J58" s="11">
        <f t="shared" si="3"/>
        <v>370.52</v>
      </c>
      <c r="K58" s="361">
        <v>4.9988098071887643E-2</v>
      </c>
      <c r="L58" s="358">
        <f t="shared" si="4"/>
        <v>211.73</v>
      </c>
      <c r="M58" s="358">
        <f t="shared" si="5"/>
        <v>235.19</v>
      </c>
      <c r="N58" s="358">
        <f t="shared" si="6"/>
        <v>247.01</v>
      </c>
    </row>
    <row r="59" spans="1:14" ht="16.05" customHeight="1">
      <c r="A59" s="9" t="s">
        <v>261</v>
      </c>
      <c r="B59" s="64">
        <f t="shared" si="0"/>
        <v>0.40600000000000003</v>
      </c>
      <c r="C59" s="357">
        <v>16</v>
      </c>
      <c r="D59" s="358" t="s">
        <v>28</v>
      </c>
      <c r="E59" s="31" t="s">
        <v>264</v>
      </c>
      <c r="F59" s="359" t="s">
        <v>219</v>
      </c>
      <c r="G59" s="82">
        <v>41.04</v>
      </c>
      <c r="H59" s="11">
        <f t="shared" si="1"/>
        <v>492.48</v>
      </c>
      <c r="I59" s="360">
        <f t="shared" si="2"/>
        <v>547.05999999999995</v>
      </c>
      <c r="J59" s="11">
        <f t="shared" si="3"/>
        <v>574.55999999999995</v>
      </c>
      <c r="K59" s="361"/>
      <c r="L59" s="358">
        <f t="shared" si="4"/>
        <v>328.32</v>
      </c>
      <c r="M59" s="358">
        <f t="shared" si="5"/>
        <v>364.71</v>
      </c>
      <c r="N59" s="358">
        <f t="shared" si="6"/>
        <v>383.04</v>
      </c>
    </row>
    <row r="60" spans="1:14" ht="16.05" customHeight="1">
      <c r="A60" s="9" t="s">
        <v>261</v>
      </c>
      <c r="B60" s="64">
        <f t="shared" si="0"/>
        <v>0.61</v>
      </c>
      <c r="C60" s="357">
        <v>24</v>
      </c>
      <c r="D60" s="358" t="s">
        <v>28</v>
      </c>
      <c r="E60" s="31" t="s">
        <v>264</v>
      </c>
      <c r="F60" s="359" t="s">
        <v>88</v>
      </c>
      <c r="G60" s="82">
        <v>51.293999999999997</v>
      </c>
      <c r="H60" s="11">
        <f t="shared" si="1"/>
        <v>615.53</v>
      </c>
      <c r="I60" s="360">
        <f t="shared" si="2"/>
        <v>683.75</v>
      </c>
      <c r="J60" s="11">
        <f t="shared" si="3"/>
        <v>718.12</v>
      </c>
      <c r="K60" s="361"/>
      <c r="L60" s="358">
        <f t="shared" si="4"/>
        <v>410.35</v>
      </c>
      <c r="M60" s="358">
        <f t="shared" si="5"/>
        <v>455.83</v>
      </c>
      <c r="N60" s="358">
        <f t="shared" si="6"/>
        <v>478.75</v>
      </c>
    </row>
    <row r="61" spans="1:14" ht="16.05" customHeight="1">
      <c r="A61" s="9" t="s">
        <v>261</v>
      </c>
      <c r="B61" s="64">
        <f t="shared" si="0"/>
        <v>0.68600000000000005</v>
      </c>
      <c r="C61" s="357">
        <v>27</v>
      </c>
      <c r="D61" s="358" t="s">
        <v>28</v>
      </c>
      <c r="E61" s="31" t="s">
        <v>264</v>
      </c>
      <c r="F61" s="359" t="s">
        <v>88</v>
      </c>
      <c r="G61" s="82">
        <v>63.992999999999995</v>
      </c>
      <c r="H61" s="11">
        <f t="shared" si="1"/>
        <v>767.92</v>
      </c>
      <c r="I61" s="360">
        <f t="shared" si="2"/>
        <v>853.03</v>
      </c>
      <c r="J61" s="11">
        <f t="shared" si="3"/>
        <v>895.9</v>
      </c>
      <c r="K61" s="361"/>
      <c r="L61" s="358">
        <f t="shared" si="4"/>
        <v>511.95</v>
      </c>
      <c r="M61" s="358">
        <f t="shared" si="5"/>
        <v>568.69000000000005</v>
      </c>
      <c r="N61" s="358">
        <f t="shared" si="6"/>
        <v>597.27</v>
      </c>
    </row>
    <row r="62" spans="1:14" ht="16.05" customHeight="1">
      <c r="A62" s="9" t="s">
        <v>261</v>
      </c>
      <c r="B62" s="64">
        <f t="shared" si="0"/>
        <v>7.5999999999999998E-2</v>
      </c>
      <c r="C62" s="357">
        <v>3</v>
      </c>
      <c r="D62" s="358" t="s">
        <v>25</v>
      </c>
      <c r="E62" s="31" t="s">
        <v>154</v>
      </c>
      <c r="F62" s="359" t="s">
        <v>122</v>
      </c>
      <c r="G62" s="82">
        <v>14.824</v>
      </c>
      <c r="H62" s="11">
        <f t="shared" si="1"/>
        <v>177.89</v>
      </c>
      <c r="I62" s="360">
        <f t="shared" si="2"/>
        <v>197.6</v>
      </c>
      <c r="J62" s="11">
        <f t="shared" si="3"/>
        <v>207.54</v>
      </c>
      <c r="K62" s="361">
        <v>7.0015879890284349E-2</v>
      </c>
      <c r="L62" s="358">
        <f t="shared" si="4"/>
        <v>118.59</v>
      </c>
      <c r="M62" s="358">
        <f t="shared" si="5"/>
        <v>131.72999999999999</v>
      </c>
      <c r="N62" s="358">
        <f t="shared" si="6"/>
        <v>138.36000000000001</v>
      </c>
    </row>
    <row r="63" spans="1:14" ht="16.05" customHeight="1">
      <c r="A63" s="9" t="s">
        <v>261</v>
      </c>
      <c r="B63" s="64">
        <f t="shared" si="0"/>
        <v>0.10199999999999999</v>
      </c>
      <c r="C63" s="357">
        <v>4</v>
      </c>
      <c r="D63" s="358" t="s">
        <v>25</v>
      </c>
      <c r="E63" s="31" t="s">
        <v>154</v>
      </c>
      <c r="F63" s="359" t="s">
        <v>122</v>
      </c>
      <c r="G63" s="82">
        <v>15.172000000000001</v>
      </c>
      <c r="H63" s="11">
        <f t="shared" si="1"/>
        <v>182.06</v>
      </c>
      <c r="I63" s="360">
        <f t="shared" si="2"/>
        <v>202.24</v>
      </c>
      <c r="J63" s="11">
        <f t="shared" si="3"/>
        <v>212.41</v>
      </c>
      <c r="K63" s="361">
        <v>7.0033147612666546E-2</v>
      </c>
      <c r="L63" s="358">
        <f t="shared" si="4"/>
        <v>121.37</v>
      </c>
      <c r="M63" s="358">
        <f t="shared" si="5"/>
        <v>134.83000000000001</v>
      </c>
      <c r="N63" s="358">
        <f t="shared" si="6"/>
        <v>141.61000000000001</v>
      </c>
    </row>
    <row r="64" spans="1:14" ht="16.05" customHeight="1">
      <c r="A64" s="9" t="s">
        <v>261</v>
      </c>
      <c r="B64" s="64">
        <f t="shared" si="0"/>
        <v>0.10199999999999999</v>
      </c>
      <c r="C64" s="357">
        <v>4</v>
      </c>
      <c r="D64" s="358" t="s">
        <v>25</v>
      </c>
      <c r="E64" s="31" t="s">
        <v>154</v>
      </c>
      <c r="F64" s="359" t="s">
        <v>83</v>
      </c>
      <c r="G64" s="82">
        <v>15.974</v>
      </c>
      <c r="H64" s="11">
        <f t="shared" si="1"/>
        <v>191.69</v>
      </c>
      <c r="I64" s="360">
        <f t="shared" si="2"/>
        <v>212.93</v>
      </c>
      <c r="J64" s="11">
        <f t="shared" si="3"/>
        <v>223.64</v>
      </c>
      <c r="K64" s="361">
        <v>6.9997990488311235E-2</v>
      </c>
      <c r="L64" s="358">
        <f t="shared" si="4"/>
        <v>127.79</v>
      </c>
      <c r="M64" s="358">
        <f t="shared" si="5"/>
        <v>141.94999999999999</v>
      </c>
      <c r="N64" s="358">
        <f t="shared" si="6"/>
        <v>149.09</v>
      </c>
    </row>
    <row r="65" spans="1:14" ht="16.05" customHeight="1">
      <c r="A65" s="9" t="s">
        <v>261</v>
      </c>
      <c r="B65" s="64">
        <f t="shared" si="0"/>
        <v>0.10199999999999999</v>
      </c>
      <c r="C65" s="357">
        <v>4</v>
      </c>
      <c r="D65" s="358" t="s">
        <v>25</v>
      </c>
      <c r="E65" s="31" t="s">
        <v>154</v>
      </c>
      <c r="F65" s="359" t="s">
        <v>84</v>
      </c>
      <c r="G65" s="82">
        <v>15.814</v>
      </c>
      <c r="H65" s="11">
        <f t="shared" si="1"/>
        <v>189.77</v>
      </c>
      <c r="I65" s="360">
        <f t="shared" si="2"/>
        <v>210.8</v>
      </c>
      <c r="J65" s="11">
        <f t="shared" si="3"/>
        <v>221.4</v>
      </c>
      <c r="K65" s="361">
        <v>7.0031801881047517E-2</v>
      </c>
      <c r="L65" s="358">
        <f t="shared" si="4"/>
        <v>126.51</v>
      </c>
      <c r="M65" s="358">
        <f t="shared" si="5"/>
        <v>140.53</v>
      </c>
      <c r="N65" s="358">
        <f t="shared" si="6"/>
        <v>147.6</v>
      </c>
    </row>
    <row r="66" spans="1:14" ht="16.05" customHeight="1">
      <c r="A66" s="9" t="s">
        <v>261</v>
      </c>
      <c r="B66" s="64">
        <f t="shared" si="0"/>
        <v>0.10199999999999999</v>
      </c>
      <c r="C66" s="357">
        <v>4</v>
      </c>
      <c r="D66" s="358" t="s">
        <v>25</v>
      </c>
      <c r="E66" s="31" t="s">
        <v>154</v>
      </c>
      <c r="F66" s="359" t="s">
        <v>166</v>
      </c>
      <c r="G66" s="82">
        <v>21.654</v>
      </c>
      <c r="H66" s="11">
        <f t="shared" si="1"/>
        <v>259.85000000000002</v>
      </c>
      <c r="I66" s="360">
        <f t="shared" si="2"/>
        <v>288.64999999999998</v>
      </c>
      <c r="J66" s="11">
        <f t="shared" si="3"/>
        <v>303.16000000000003</v>
      </c>
      <c r="K66" s="361">
        <v>4.9992726567424706E-2</v>
      </c>
      <c r="L66" s="358">
        <f t="shared" si="4"/>
        <v>173.23</v>
      </c>
      <c r="M66" s="358">
        <f t="shared" si="5"/>
        <v>192.43</v>
      </c>
      <c r="N66" s="358">
        <f t="shared" si="6"/>
        <v>202.11</v>
      </c>
    </row>
    <row r="67" spans="1:14" ht="16.05" customHeight="1">
      <c r="A67" s="9" t="s">
        <v>261</v>
      </c>
      <c r="B67" s="64">
        <f t="shared" si="0"/>
        <v>0.10199999999999999</v>
      </c>
      <c r="C67" s="357">
        <v>4</v>
      </c>
      <c r="D67" s="358" t="s">
        <v>25</v>
      </c>
      <c r="E67" s="31" t="s">
        <v>154</v>
      </c>
      <c r="F67" s="359" t="s">
        <v>82</v>
      </c>
      <c r="G67" s="82">
        <v>21.646000000000001</v>
      </c>
      <c r="H67" s="11">
        <f t="shared" si="1"/>
        <v>259.75</v>
      </c>
      <c r="I67" s="360">
        <f t="shared" si="2"/>
        <v>288.54000000000002</v>
      </c>
      <c r="J67" s="11">
        <f t="shared" si="3"/>
        <v>303.04000000000002</v>
      </c>
      <c r="K67" s="361">
        <v>5.0012127091923375E-2</v>
      </c>
      <c r="L67" s="358">
        <f t="shared" si="4"/>
        <v>173.17</v>
      </c>
      <c r="M67" s="358">
        <f t="shared" si="5"/>
        <v>192.36</v>
      </c>
      <c r="N67" s="358">
        <f t="shared" si="6"/>
        <v>202.03</v>
      </c>
    </row>
    <row r="68" spans="1:14" ht="16.05" customHeight="1">
      <c r="A68" s="9" t="s">
        <v>263</v>
      </c>
      <c r="B68" s="64">
        <f t="shared" si="0"/>
        <v>0.127</v>
      </c>
      <c r="C68" s="357">
        <v>5</v>
      </c>
      <c r="D68" s="358" t="s">
        <v>25</v>
      </c>
      <c r="E68" s="31" t="s">
        <v>154</v>
      </c>
      <c r="F68" s="359" t="s">
        <v>84</v>
      </c>
      <c r="G68" s="82">
        <v>17.728000000000002</v>
      </c>
      <c r="H68" s="11">
        <f t="shared" si="1"/>
        <v>212.74</v>
      </c>
      <c r="I68" s="360">
        <f t="shared" si="2"/>
        <v>236.31</v>
      </c>
      <c r="J68" s="11">
        <f t="shared" si="3"/>
        <v>248.19</v>
      </c>
      <c r="K68" s="361">
        <v>7.0014485755673483E-2</v>
      </c>
      <c r="L68" s="358">
        <f t="shared" si="4"/>
        <v>141.83000000000001</v>
      </c>
      <c r="M68" s="358">
        <f t="shared" si="5"/>
        <v>157.54</v>
      </c>
      <c r="N68" s="358">
        <f t="shared" si="6"/>
        <v>165.46</v>
      </c>
    </row>
    <row r="69" spans="1:14" ht="16.05" customHeight="1">
      <c r="A69" s="9" t="s">
        <v>261</v>
      </c>
      <c r="B69" s="64">
        <f t="shared" si="0"/>
        <v>0.127</v>
      </c>
      <c r="C69" s="357">
        <v>5</v>
      </c>
      <c r="D69" s="358" t="s">
        <v>25</v>
      </c>
      <c r="E69" s="31" t="s">
        <v>154</v>
      </c>
      <c r="F69" s="359" t="s">
        <v>117</v>
      </c>
      <c r="G69" s="82">
        <v>21.620999999999999</v>
      </c>
      <c r="H69" s="11">
        <f t="shared" si="1"/>
        <v>259.45</v>
      </c>
      <c r="I69" s="360">
        <f t="shared" si="2"/>
        <v>288.20999999999998</v>
      </c>
      <c r="J69" s="11">
        <f t="shared" si="3"/>
        <v>302.69</v>
      </c>
      <c r="K69" s="361">
        <v>5.0021854208148975E-2</v>
      </c>
      <c r="L69" s="358">
        <f t="shared" si="4"/>
        <v>172.97</v>
      </c>
      <c r="M69" s="358">
        <f t="shared" si="5"/>
        <v>192.14</v>
      </c>
      <c r="N69" s="358">
        <f t="shared" si="6"/>
        <v>201.79</v>
      </c>
    </row>
    <row r="70" spans="1:14" ht="16.05" customHeight="1">
      <c r="A70" s="9" t="s">
        <v>261</v>
      </c>
      <c r="B70" s="64">
        <f t="shared" si="0"/>
        <v>0.152</v>
      </c>
      <c r="C70" s="357">
        <v>6</v>
      </c>
      <c r="D70" s="358" t="s">
        <v>25</v>
      </c>
      <c r="E70" s="31" t="s">
        <v>154</v>
      </c>
      <c r="F70" s="359" t="s">
        <v>117</v>
      </c>
      <c r="G70" s="82">
        <v>21.773</v>
      </c>
      <c r="H70" s="11">
        <f t="shared" si="1"/>
        <v>261.27999999999997</v>
      </c>
      <c r="I70" s="360">
        <f t="shared" si="2"/>
        <v>290.23</v>
      </c>
      <c r="J70" s="11">
        <f t="shared" si="3"/>
        <v>304.82</v>
      </c>
      <c r="K70" s="361">
        <v>5.0009645061728447E-2</v>
      </c>
      <c r="L70" s="358">
        <f t="shared" si="4"/>
        <v>174.19</v>
      </c>
      <c r="M70" s="358">
        <f t="shared" si="5"/>
        <v>193.49</v>
      </c>
      <c r="N70" s="358">
        <f t="shared" si="6"/>
        <v>203.21</v>
      </c>
    </row>
    <row r="71" spans="1:14" ht="16.05" customHeight="1">
      <c r="A71" s="9" t="s">
        <v>261</v>
      </c>
      <c r="B71" s="64">
        <f t="shared" si="0"/>
        <v>0.40600000000000003</v>
      </c>
      <c r="C71" s="357">
        <v>16</v>
      </c>
      <c r="D71" s="358" t="s">
        <v>25</v>
      </c>
      <c r="E71" s="31" t="s">
        <v>154</v>
      </c>
      <c r="F71" s="359" t="s">
        <v>219</v>
      </c>
      <c r="G71" s="82">
        <v>37.68</v>
      </c>
      <c r="H71" s="11">
        <f t="shared" si="1"/>
        <v>452.16</v>
      </c>
      <c r="I71" s="360">
        <f t="shared" si="2"/>
        <v>502.27</v>
      </c>
      <c r="J71" s="11">
        <f t="shared" si="3"/>
        <v>527.52</v>
      </c>
      <c r="K71" s="361">
        <v>4.9991640193947307E-2</v>
      </c>
      <c r="L71" s="358">
        <f t="shared" si="4"/>
        <v>301.44</v>
      </c>
      <c r="M71" s="358">
        <f t="shared" si="5"/>
        <v>334.85</v>
      </c>
      <c r="N71" s="358">
        <f t="shared" si="6"/>
        <v>351.68</v>
      </c>
    </row>
    <row r="72" spans="1:14" ht="16.05" customHeight="1">
      <c r="A72" s="9" t="s">
        <v>261</v>
      </c>
      <c r="B72" s="64">
        <f t="shared" si="0"/>
        <v>0.61</v>
      </c>
      <c r="C72" s="357">
        <v>24</v>
      </c>
      <c r="D72" s="358" t="s">
        <v>25</v>
      </c>
      <c r="E72" s="31" t="s">
        <v>154</v>
      </c>
      <c r="F72" s="359" t="s">
        <v>88</v>
      </c>
      <c r="G72" s="82">
        <v>46.148000000000003</v>
      </c>
      <c r="H72" s="11">
        <f t="shared" si="1"/>
        <v>553.78</v>
      </c>
      <c r="I72" s="360">
        <f t="shared" si="2"/>
        <v>615.15</v>
      </c>
      <c r="J72" s="11">
        <f t="shared" si="3"/>
        <v>646.07000000000005</v>
      </c>
      <c r="K72" s="361">
        <v>5.0011376564277565E-2</v>
      </c>
      <c r="L72" s="358">
        <f t="shared" si="4"/>
        <v>369.19</v>
      </c>
      <c r="M72" s="358">
        <f t="shared" si="5"/>
        <v>410.1</v>
      </c>
      <c r="N72" s="358">
        <f t="shared" si="6"/>
        <v>430.71</v>
      </c>
    </row>
    <row r="73" spans="1:14" ht="16.05" customHeight="1">
      <c r="A73" s="9" t="s">
        <v>261</v>
      </c>
      <c r="B73" s="64">
        <f t="shared" si="0"/>
        <v>7.5999999999999998E-2</v>
      </c>
      <c r="C73" s="357">
        <v>3</v>
      </c>
      <c r="D73" s="358" t="s">
        <v>28</v>
      </c>
      <c r="E73" s="31" t="s">
        <v>154</v>
      </c>
      <c r="F73" s="359" t="s">
        <v>122</v>
      </c>
      <c r="G73" s="82">
        <v>18.515000000000001</v>
      </c>
      <c r="H73" s="11">
        <f t="shared" si="1"/>
        <v>222.18</v>
      </c>
      <c r="I73" s="360">
        <f t="shared" si="2"/>
        <v>246.8</v>
      </c>
      <c r="J73" s="11">
        <f t="shared" si="3"/>
        <v>259.20999999999998</v>
      </c>
      <c r="K73" s="361">
        <v>9.9988117870722482E-2</v>
      </c>
      <c r="L73" s="358">
        <f t="shared" si="4"/>
        <v>148.12</v>
      </c>
      <c r="M73" s="358">
        <f t="shared" si="5"/>
        <v>164.53</v>
      </c>
      <c r="N73" s="358">
        <f t="shared" si="6"/>
        <v>172.81</v>
      </c>
    </row>
    <row r="74" spans="1:14" ht="16.05" customHeight="1">
      <c r="A74" s="9" t="s">
        <v>261</v>
      </c>
      <c r="B74" s="64">
        <f t="shared" si="0"/>
        <v>0.10199999999999999</v>
      </c>
      <c r="C74" s="357">
        <v>4</v>
      </c>
      <c r="D74" s="358" t="s">
        <v>28</v>
      </c>
      <c r="E74" s="31" t="s">
        <v>154</v>
      </c>
      <c r="F74" s="359" t="s">
        <v>122</v>
      </c>
      <c r="G74" s="82">
        <v>18.725000000000001</v>
      </c>
      <c r="H74" s="11">
        <f t="shared" si="1"/>
        <v>224.7</v>
      </c>
      <c r="I74" s="360">
        <f t="shared" si="2"/>
        <v>249.6</v>
      </c>
      <c r="J74" s="11">
        <f t="shared" si="3"/>
        <v>262.14999999999998</v>
      </c>
      <c r="K74" s="361">
        <v>7.0000000000000062E-2</v>
      </c>
      <c r="L74" s="358">
        <f t="shared" si="4"/>
        <v>149.80000000000001</v>
      </c>
      <c r="M74" s="358">
        <f t="shared" si="5"/>
        <v>166.4</v>
      </c>
      <c r="N74" s="358">
        <f t="shared" si="6"/>
        <v>174.77</v>
      </c>
    </row>
    <row r="75" spans="1:14" ht="16.05" customHeight="1">
      <c r="A75" s="9" t="s">
        <v>261</v>
      </c>
      <c r="B75" s="64">
        <f t="shared" si="0"/>
        <v>0.10199999999999999</v>
      </c>
      <c r="C75" s="357">
        <v>4</v>
      </c>
      <c r="D75" s="358" t="s">
        <v>28</v>
      </c>
      <c r="E75" s="31" t="s">
        <v>154</v>
      </c>
      <c r="F75" s="359" t="s">
        <v>83</v>
      </c>
      <c r="G75" s="82">
        <v>19.593</v>
      </c>
      <c r="H75" s="11">
        <f t="shared" si="1"/>
        <v>235.12</v>
      </c>
      <c r="I75" s="360">
        <f t="shared" si="2"/>
        <v>261.17</v>
      </c>
      <c r="J75" s="11">
        <f t="shared" si="3"/>
        <v>274.3</v>
      </c>
      <c r="K75" s="361">
        <v>7.0012560755829734E-2</v>
      </c>
      <c r="L75" s="358">
        <f t="shared" si="4"/>
        <v>156.75</v>
      </c>
      <c r="M75" s="358">
        <f t="shared" si="5"/>
        <v>174.11</v>
      </c>
      <c r="N75" s="358">
        <f t="shared" si="6"/>
        <v>182.87</v>
      </c>
    </row>
    <row r="76" spans="1:14" ht="16.05" customHeight="1">
      <c r="A76" s="9" t="s">
        <v>261</v>
      </c>
      <c r="B76" s="64">
        <f t="shared" si="0"/>
        <v>0.10199999999999999</v>
      </c>
      <c r="C76" s="357">
        <v>4</v>
      </c>
      <c r="D76" s="358" t="s">
        <v>28</v>
      </c>
      <c r="E76" s="31" t="s">
        <v>154</v>
      </c>
      <c r="F76" s="359" t="s">
        <v>84</v>
      </c>
      <c r="G76" s="82">
        <v>19.419</v>
      </c>
      <c r="H76" s="11">
        <f t="shared" si="1"/>
        <v>233.03</v>
      </c>
      <c r="I76" s="360">
        <f t="shared" si="2"/>
        <v>258.86</v>
      </c>
      <c r="J76" s="11">
        <f t="shared" si="3"/>
        <v>271.87</v>
      </c>
      <c r="K76" s="361">
        <v>6.9976307234558277E-2</v>
      </c>
      <c r="L76" s="358">
        <f t="shared" si="4"/>
        <v>155.35</v>
      </c>
      <c r="M76" s="358">
        <f t="shared" si="5"/>
        <v>172.57</v>
      </c>
      <c r="N76" s="358">
        <f t="shared" si="6"/>
        <v>181.25</v>
      </c>
    </row>
    <row r="77" spans="1:14" ht="16.05" customHeight="1">
      <c r="A77" s="9" t="s">
        <v>261</v>
      </c>
      <c r="B77" s="64">
        <f t="shared" si="0"/>
        <v>0.10199999999999999</v>
      </c>
      <c r="C77" s="357">
        <v>4</v>
      </c>
      <c r="D77" s="358" t="s">
        <v>28</v>
      </c>
      <c r="E77" s="31" t="s">
        <v>154</v>
      </c>
      <c r="F77" s="359" t="s">
        <v>166</v>
      </c>
      <c r="G77" s="82">
        <v>23.858000000000001</v>
      </c>
      <c r="H77" s="11">
        <f t="shared" ref="H77:H140" si="7">ROUND(G77*12,2)</f>
        <v>286.3</v>
      </c>
      <c r="I77" s="360">
        <f t="shared" ref="I77:I140" si="8">ROUND(G77*13.33,2)</f>
        <v>318.02999999999997</v>
      </c>
      <c r="J77" s="11">
        <f t="shared" ref="J77:J140" si="9">ROUND(G77*14,2)</f>
        <v>334.01</v>
      </c>
      <c r="K77" s="361">
        <v>3.0004748953071703E-2</v>
      </c>
      <c r="L77" s="358">
        <f t="shared" ref="L77:L140" si="10">ROUND(ROUND(G77*12,2)*2/3,2)</f>
        <v>190.87</v>
      </c>
      <c r="M77" s="358">
        <f t="shared" ref="M77:M140" si="11">ROUND(ROUND(G77*13.33,2)*2/3,2)</f>
        <v>212.02</v>
      </c>
      <c r="N77" s="358">
        <f t="shared" ref="N77:N140" si="12">ROUND(ROUND(G77*14,2)*2/3,2)</f>
        <v>222.67</v>
      </c>
    </row>
    <row r="78" spans="1:14" ht="16.05" customHeight="1">
      <c r="A78" s="9" t="s">
        <v>261</v>
      </c>
      <c r="B78" s="64">
        <f t="shared" si="0"/>
        <v>0.10199999999999999</v>
      </c>
      <c r="C78" s="357">
        <v>4</v>
      </c>
      <c r="D78" s="358" t="s">
        <v>28</v>
      </c>
      <c r="E78" s="31" t="s">
        <v>265</v>
      </c>
      <c r="F78" s="359" t="s">
        <v>166</v>
      </c>
      <c r="G78" s="82">
        <v>24.012</v>
      </c>
      <c r="H78" s="11">
        <f t="shared" si="7"/>
        <v>288.14</v>
      </c>
      <c r="I78" s="360">
        <f t="shared" si="8"/>
        <v>320.08</v>
      </c>
      <c r="J78" s="11">
        <f t="shared" si="9"/>
        <v>336.17</v>
      </c>
      <c r="K78" s="361">
        <v>2.9983271136275969E-2</v>
      </c>
      <c r="L78" s="358">
        <f t="shared" si="10"/>
        <v>192.09</v>
      </c>
      <c r="M78" s="358">
        <f t="shared" si="11"/>
        <v>213.39</v>
      </c>
      <c r="N78" s="358">
        <f t="shared" si="12"/>
        <v>224.11</v>
      </c>
    </row>
    <row r="79" spans="1:14" ht="16.05" customHeight="1">
      <c r="A79" s="9" t="s">
        <v>261</v>
      </c>
      <c r="B79" s="64">
        <f t="shared" si="0"/>
        <v>0.10199999999999999</v>
      </c>
      <c r="C79" s="357">
        <v>4</v>
      </c>
      <c r="D79" s="358" t="s">
        <v>28</v>
      </c>
      <c r="E79" s="31" t="s">
        <v>154</v>
      </c>
      <c r="F79" s="359" t="s">
        <v>82</v>
      </c>
      <c r="G79" s="82">
        <v>23.974</v>
      </c>
      <c r="H79" s="11">
        <f t="shared" si="7"/>
        <v>287.69</v>
      </c>
      <c r="I79" s="360">
        <f t="shared" si="8"/>
        <v>319.57</v>
      </c>
      <c r="J79" s="11">
        <f t="shared" si="9"/>
        <v>335.64</v>
      </c>
      <c r="K79" s="361">
        <v>2.9987970441656575E-2</v>
      </c>
      <c r="L79" s="358">
        <f t="shared" si="10"/>
        <v>191.79</v>
      </c>
      <c r="M79" s="358">
        <f t="shared" si="11"/>
        <v>213.05</v>
      </c>
      <c r="N79" s="358">
        <f t="shared" si="12"/>
        <v>223.76</v>
      </c>
    </row>
    <row r="80" spans="1:14" ht="16.05" customHeight="1">
      <c r="A80" s="9" t="s">
        <v>261</v>
      </c>
      <c r="B80" s="64">
        <f t="shared" si="0"/>
        <v>0.127</v>
      </c>
      <c r="C80" s="357">
        <v>5</v>
      </c>
      <c r="D80" s="358" t="s">
        <v>28</v>
      </c>
      <c r="E80" s="31" t="s">
        <v>154</v>
      </c>
      <c r="F80" s="359" t="s">
        <v>84</v>
      </c>
      <c r="G80" s="82">
        <v>21.571999999999999</v>
      </c>
      <c r="H80" s="11">
        <f t="shared" si="7"/>
        <v>258.86</v>
      </c>
      <c r="I80" s="360">
        <f t="shared" si="8"/>
        <v>287.55</v>
      </c>
      <c r="J80" s="11">
        <f t="shared" si="9"/>
        <v>302.01</v>
      </c>
      <c r="K80" s="361">
        <v>6.9986607807152268E-2</v>
      </c>
      <c r="L80" s="358">
        <f t="shared" si="10"/>
        <v>172.57</v>
      </c>
      <c r="M80" s="358">
        <f t="shared" si="11"/>
        <v>191.7</v>
      </c>
      <c r="N80" s="358">
        <f t="shared" si="12"/>
        <v>201.34</v>
      </c>
    </row>
    <row r="81" spans="1:14" ht="16.05" customHeight="1">
      <c r="A81" s="9" t="s">
        <v>261</v>
      </c>
      <c r="B81" s="64">
        <f t="shared" si="0"/>
        <v>0.127</v>
      </c>
      <c r="C81" s="357">
        <v>5</v>
      </c>
      <c r="D81" s="358" t="s">
        <v>28</v>
      </c>
      <c r="E81" s="31" t="s">
        <v>154</v>
      </c>
      <c r="F81" s="359" t="s">
        <v>117</v>
      </c>
      <c r="G81" s="82">
        <v>25.091000000000001</v>
      </c>
      <c r="H81" s="11">
        <f t="shared" si="7"/>
        <v>301.08999999999997</v>
      </c>
      <c r="I81" s="360">
        <f t="shared" si="8"/>
        <v>334.46</v>
      </c>
      <c r="J81" s="11">
        <f t="shared" si="9"/>
        <v>351.27</v>
      </c>
      <c r="K81" s="361">
        <v>3.0008210180624051E-2</v>
      </c>
      <c r="L81" s="358">
        <f t="shared" si="10"/>
        <v>200.73</v>
      </c>
      <c r="M81" s="358">
        <f t="shared" si="11"/>
        <v>222.97</v>
      </c>
      <c r="N81" s="358">
        <f t="shared" si="12"/>
        <v>234.18</v>
      </c>
    </row>
    <row r="82" spans="1:14" ht="16.05" customHeight="1">
      <c r="A82" s="9" t="s">
        <v>261</v>
      </c>
      <c r="B82" s="64">
        <f t="shared" si="0"/>
        <v>0.152</v>
      </c>
      <c r="C82" s="357">
        <v>6</v>
      </c>
      <c r="D82" s="358" t="s">
        <v>28</v>
      </c>
      <c r="E82" s="31" t="s">
        <v>154</v>
      </c>
      <c r="F82" s="359" t="s">
        <v>117</v>
      </c>
      <c r="G82" s="82">
        <v>25.292999999999999</v>
      </c>
      <c r="H82" s="11">
        <f t="shared" si="7"/>
        <v>303.52</v>
      </c>
      <c r="I82" s="360">
        <f t="shared" si="8"/>
        <v>337.16</v>
      </c>
      <c r="J82" s="11">
        <f t="shared" si="9"/>
        <v>354.1</v>
      </c>
      <c r="K82" s="361">
        <v>3.0013031438344884E-2</v>
      </c>
      <c r="L82" s="358">
        <f t="shared" si="10"/>
        <v>202.35</v>
      </c>
      <c r="M82" s="358">
        <f t="shared" si="11"/>
        <v>224.77</v>
      </c>
      <c r="N82" s="358">
        <f t="shared" si="12"/>
        <v>236.07</v>
      </c>
    </row>
    <row r="83" spans="1:14" ht="16.05" customHeight="1">
      <c r="A83" s="9" t="s">
        <v>261</v>
      </c>
      <c r="B83" s="64">
        <f t="shared" si="0"/>
        <v>0.40600000000000003</v>
      </c>
      <c r="C83" s="357">
        <v>16</v>
      </c>
      <c r="D83" s="358" t="s">
        <v>28</v>
      </c>
      <c r="E83" s="31" t="s">
        <v>154</v>
      </c>
      <c r="F83" s="359" t="s">
        <v>219</v>
      </c>
      <c r="G83" s="82">
        <v>39.74</v>
      </c>
      <c r="H83" s="11">
        <f t="shared" si="7"/>
        <v>476.88</v>
      </c>
      <c r="I83" s="360">
        <f t="shared" si="8"/>
        <v>529.73</v>
      </c>
      <c r="J83" s="11">
        <f t="shared" si="9"/>
        <v>556.36</v>
      </c>
      <c r="K83" s="361">
        <v>2.9987300106264492E-2</v>
      </c>
      <c r="L83" s="358">
        <f t="shared" si="10"/>
        <v>317.92</v>
      </c>
      <c r="M83" s="358">
        <f t="shared" si="11"/>
        <v>353.15</v>
      </c>
      <c r="N83" s="358">
        <f t="shared" si="12"/>
        <v>370.91</v>
      </c>
    </row>
    <row r="84" spans="1:14" ht="16.05" customHeight="1">
      <c r="A84" s="9" t="s">
        <v>261</v>
      </c>
      <c r="B84" s="64">
        <f t="shared" si="0"/>
        <v>0.61</v>
      </c>
      <c r="C84" s="357">
        <v>24</v>
      </c>
      <c r="D84" s="358" t="s">
        <v>28</v>
      </c>
      <c r="E84" s="31" t="s">
        <v>154</v>
      </c>
      <c r="F84" s="359" t="s">
        <v>88</v>
      </c>
      <c r="G84" s="82">
        <v>49.994</v>
      </c>
      <c r="H84" s="11">
        <f t="shared" si="7"/>
        <v>599.92999999999995</v>
      </c>
      <c r="I84" s="360">
        <f t="shared" si="8"/>
        <v>666.42</v>
      </c>
      <c r="J84" s="11">
        <f t="shared" si="9"/>
        <v>699.92</v>
      </c>
      <c r="K84" s="361">
        <v>2.999711566195562E-2</v>
      </c>
      <c r="L84" s="358">
        <f t="shared" si="10"/>
        <v>399.95</v>
      </c>
      <c r="M84" s="358">
        <f t="shared" si="11"/>
        <v>444.28</v>
      </c>
      <c r="N84" s="358">
        <f t="shared" si="12"/>
        <v>466.61</v>
      </c>
    </row>
    <row r="85" spans="1:14" ht="16.05" customHeight="1">
      <c r="A85" s="9" t="s">
        <v>261</v>
      </c>
      <c r="B85" s="64">
        <f t="shared" si="0"/>
        <v>0.68600000000000005</v>
      </c>
      <c r="C85" s="357">
        <v>27</v>
      </c>
      <c r="D85" s="358" t="s">
        <v>28</v>
      </c>
      <c r="E85" s="31" t="s">
        <v>154</v>
      </c>
      <c r="F85" s="359" t="s">
        <v>88</v>
      </c>
      <c r="G85" s="82">
        <v>62.692999999999998</v>
      </c>
      <c r="H85" s="11">
        <f t="shared" si="7"/>
        <v>752.32</v>
      </c>
      <c r="I85" s="360">
        <f t="shared" si="8"/>
        <v>835.7</v>
      </c>
      <c r="J85" s="11">
        <f t="shared" si="9"/>
        <v>877.7</v>
      </c>
      <c r="K85" s="361">
        <v>2.9999835707361866E-2</v>
      </c>
      <c r="L85" s="358">
        <f t="shared" si="10"/>
        <v>501.55</v>
      </c>
      <c r="M85" s="358">
        <f t="shared" si="11"/>
        <v>557.13</v>
      </c>
      <c r="N85" s="358">
        <f t="shared" si="12"/>
        <v>585.13</v>
      </c>
    </row>
    <row r="86" spans="1:14" ht="16.05" customHeight="1">
      <c r="A86" s="9" t="s">
        <v>261</v>
      </c>
      <c r="B86" s="64">
        <f t="shared" si="0"/>
        <v>7.5999999999999998E-2</v>
      </c>
      <c r="C86" s="357">
        <v>3</v>
      </c>
      <c r="D86" s="358" t="s">
        <v>138</v>
      </c>
      <c r="E86" s="31" t="s">
        <v>266</v>
      </c>
      <c r="F86" s="359" t="s">
        <v>122</v>
      </c>
      <c r="G86" s="82">
        <v>25.094000000000001</v>
      </c>
      <c r="H86" s="11">
        <f t="shared" si="7"/>
        <v>301.13</v>
      </c>
      <c r="I86" s="360">
        <f t="shared" si="8"/>
        <v>334.5</v>
      </c>
      <c r="J86" s="11">
        <f t="shared" si="9"/>
        <v>351.32</v>
      </c>
      <c r="K86" s="71"/>
      <c r="L86" s="358">
        <f t="shared" si="10"/>
        <v>200.75</v>
      </c>
      <c r="M86" s="358">
        <f t="shared" si="11"/>
        <v>223</v>
      </c>
      <c r="N86" s="358">
        <f t="shared" si="12"/>
        <v>234.21</v>
      </c>
    </row>
    <row r="87" spans="1:14" ht="16.05" customHeight="1">
      <c r="A87" s="9" t="s">
        <v>261</v>
      </c>
      <c r="B87" s="64">
        <f t="shared" si="0"/>
        <v>0.10199999999999999</v>
      </c>
      <c r="C87" s="357">
        <v>4</v>
      </c>
      <c r="D87" s="358" t="s">
        <v>138</v>
      </c>
      <c r="E87" s="31" t="s">
        <v>266</v>
      </c>
      <c r="F87" s="359" t="s">
        <v>122</v>
      </c>
      <c r="G87" s="82">
        <v>25.510999999999999</v>
      </c>
      <c r="H87" s="11">
        <f t="shared" si="7"/>
        <v>306.13</v>
      </c>
      <c r="I87" s="360">
        <f t="shared" si="8"/>
        <v>340.06</v>
      </c>
      <c r="J87" s="11">
        <f t="shared" si="9"/>
        <v>357.15</v>
      </c>
      <c r="K87" s="71"/>
      <c r="L87" s="358">
        <f t="shared" si="10"/>
        <v>204.09</v>
      </c>
      <c r="M87" s="358">
        <f t="shared" si="11"/>
        <v>226.71</v>
      </c>
      <c r="N87" s="358">
        <f t="shared" si="12"/>
        <v>238.1</v>
      </c>
    </row>
    <row r="88" spans="1:14" ht="16.05" customHeight="1">
      <c r="A88" s="9" t="s">
        <v>261</v>
      </c>
      <c r="B88" s="64">
        <f t="shared" si="0"/>
        <v>0.10199999999999999</v>
      </c>
      <c r="C88" s="357">
        <v>4</v>
      </c>
      <c r="D88" s="358" t="s">
        <v>138</v>
      </c>
      <c r="E88" s="31" t="s">
        <v>266</v>
      </c>
      <c r="F88" s="359" t="s">
        <v>84</v>
      </c>
      <c r="G88" s="82">
        <v>25.364999999999998</v>
      </c>
      <c r="H88" s="11">
        <f t="shared" si="7"/>
        <v>304.38</v>
      </c>
      <c r="I88" s="360">
        <f t="shared" si="8"/>
        <v>338.12</v>
      </c>
      <c r="J88" s="11">
        <f t="shared" si="9"/>
        <v>355.11</v>
      </c>
      <c r="K88" s="71"/>
      <c r="L88" s="358">
        <f t="shared" si="10"/>
        <v>202.92</v>
      </c>
      <c r="M88" s="358">
        <f t="shared" si="11"/>
        <v>225.41</v>
      </c>
      <c r="N88" s="358">
        <f t="shared" si="12"/>
        <v>236.74</v>
      </c>
    </row>
    <row r="89" spans="1:14" ht="16.05" customHeight="1">
      <c r="A89" s="9" t="s">
        <v>261</v>
      </c>
      <c r="B89" s="64">
        <f t="shared" si="0"/>
        <v>0.10199999999999999</v>
      </c>
      <c r="C89" s="357">
        <v>4</v>
      </c>
      <c r="D89" s="358" t="s">
        <v>138</v>
      </c>
      <c r="E89" s="31" t="s">
        <v>266</v>
      </c>
      <c r="F89" s="359" t="s">
        <v>83</v>
      </c>
      <c r="G89" s="82">
        <v>25.943000000000001</v>
      </c>
      <c r="H89" s="11">
        <f t="shared" si="7"/>
        <v>311.32</v>
      </c>
      <c r="I89" s="360">
        <f t="shared" si="8"/>
        <v>345.82</v>
      </c>
      <c r="J89" s="11">
        <f t="shared" si="9"/>
        <v>363.2</v>
      </c>
      <c r="K89" s="71"/>
      <c r="L89" s="358">
        <f t="shared" si="10"/>
        <v>207.55</v>
      </c>
      <c r="M89" s="358">
        <f t="shared" si="11"/>
        <v>230.55</v>
      </c>
      <c r="N89" s="358">
        <f t="shared" si="12"/>
        <v>242.13</v>
      </c>
    </row>
    <row r="90" spans="1:14" ht="16.05" customHeight="1">
      <c r="A90" s="9" t="s">
        <v>261</v>
      </c>
      <c r="B90" s="64">
        <f t="shared" si="0"/>
        <v>0.10199999999999999</v>
      </c>
      <c r="C90" s="357">
        <v>4</v>
      </c>
      <c r="D90" s="358" t="s">
        <v>138</v>
      </c>
      <c r="E90" s="31" t="s">
        <v>266</v>
      </c>
      <c r="F90" s="359" t="s">
        <v>166</v>
      </c>
      <c r="G90" s="82">
        <v>28.337</v>
      </c>
      <c r="H90" s="11">
        <f t="shared" si="7"/>
        <v>340.04</v>
      </c>
      <c r="I90" s="360">
        <f t="shared" si="8"/>
        <v>377.73</v>
      </c>
      <c r="J90" s="11">
        <f t="shared" si="9"/>
        <v>396.72</v>
      </c>
      <c r="K90" s="71"/>
      <c r="L90" s="358">
        <f t="shared" si="10"/>
        <v>226.69</v>
      </c>
      <c r="M90" s="358">
        <f t="shared" si="11"/>
        <v>251.82</v>
      </c>
      <c r="N90" s="358">
        <f t="shared" si="12"/>
        <v>264.48</v>
      </c>
    </row>
    <row r="91" spans="1:14" ht="16.05" customHeight="1">
      <c r="A91" s="9" t="s">
        <v>261</v>
      </c>
      <c r="B91" s="64">
        <f t="shared" si="0"/>
        <v>0.10199999999999999</v>
      </c>
      <c r="C91" s="357">
        <v>4</v>
      </c>
      <c r="D91" s="358" t="s">
        <v>138</v>
      </c>
      <c r="E91" s="31" t="s">
        <v>266</v>
      </c>
      <c r="F91" s="359" t="s">
        <v>82</v>
      </c>
      <c r="G91" s="82">
        <v>28.151</v>
      </c>
      <c r="H91" s="11">
        <f t="shared" si="7"/>
        <v>337.81</v>
      </c>
      <c r="I91" s="360">
        <f t="shared" si="8"/>
        <v>375.25</v>
      </c>
      <c r="J91" s="11">
        <f t="shared" si="9"/>
        <v>394.11</v>
      </c>
      <c r="K91" s="71"/>
      <c r="L91" s="358">
        <f t="shared" si="10"/>
        <v>225.21</v>
      </c>
      <c r="M91" s="358">
        <f t="shared" si="11"/>
        <v>250.17</v>
      </c>
      <c r="N91" s="358">
        <f t="shared" si="12"/>
        <v>262.74</v>
      </c>
    </row>
    <row r="92" spans="1:14" ht="16.05" customHeight="1">
      <c r="A92" s="9" t="s">
        <v>261</v>
      </c>
      <c r="B92" s="64">
        <f t="shared" si="0"/>
        <v>0.127</v>
      </c>
      <c r="C92" s="357">
        <v>5</v>
      </c>
      <c r="D92" s="358" t="s">
        <v>138</v>
      </c>
      <c r="E92" s="31" t="s">
        <v>266</v>
      </c>
      <c r="F92" s="359" t="s">
        <v>84</v>
      </c>
      <c r="G92" s="82">
        <v>25.943000000000001</v>
      </c>
      <c r="H92" s="11">
        <f t="shared" si="7"/>
        <v>311.32</v>
      </c>
      <c r="I92" s="360">
        <f t="shared" si="8"/>
        <v>345.82</v>
      </c>
      <c r="J92" s="11">
        <f t="shared" si="9"/>
        <v>363.2</v>
      </c>
      <c r="K92" s="71"/>
      <c r="L92" s="358">
        <f t="shared" si="10"/>
        <v>207.55</v>
      </c>
      <c r="M92" s="358">
        <f t="shared" si="11"/>
        <v>230.55</v>
      </c>
      <c r="N92" s="358">
        <f t="shared" si="12"/>
        <v>242.13</v>
      </c>
    </row>
    <row r="93" spans="1:14" ht="16.05" customHeight="1">
      <c r="A93" s="9" t="s">
        <v>261</v>
      </c>
      <c r="B93" s="64">
        <f t="shared" si="0"/>
        <v>0.127</v>
      </c>
      <c r="C93" s="357">
        <v>5</v>
      </c>
      <c r="D93" s="358" t="s">
        <v>138</v>
      </c>
      <c r="E93" s="31" t="s">
        <v>266</v>
      </c>
      <c r="F93" s="359" t="s">
        <v>117</v>
      </c>
      <c r="G93" s="82">
        <v>30.033999999999999</v>
      </c>
      <c r="H93" s="11">
        <f t="shared" si="7"/>
        <v>360.41</v>
      </c>
      <c r="I93" s="360">
        <f t="shared" si="8"/>
        <v>400.35</v>
      </c>
      <c r="J93" s="11">
        <f t="shared" si="9"/>
        <v>420.48</v>
      </c>
      <c r="K93" s="71"/>
      <c r="L93" s="358">
        <f t="shared" si="10"/>
        <v>240.27</v>
      </c>
      <c r="M93" s="358">
        <f t="shared" si="11"/>
        <v>266.89999999999998</v>
      </c>
      <c r="N93" s="358">
        <f t="shared" si="12"/>
        <v>280.32</v>
      </c>
    </row>
    <row r="94" spans="1:14" ht="16.05" customHeight="1">
      <c r="A94" s="9" t="s">
        <v>261</v>
      </c>
      <c r="B94" s="64">
        <f t="shared" si="0"/>
        <v>0.152</v>
      </c>
      <c r="C94" s="357">
        <v>6</v>
      </c>
      <c r="D94" s="358" t="s">
        <v>138</v>
      </c>
      <c r="E94" s="31" t="s">
        <v>266</v>
      </c>
      <c r="F94" s="359" t="s">
        <v>117</v>
      </c>
      <c r="G94" s="82">
        <v>30.29</v>
      </c>
      <c r="H94" s="11">
        <f t="shared" si="7"/>
        <v>363.48</v>
      </c>
      <c r="I94" s="360">
        <f t="shared" si="8"/>
        <v>403.77</v>
      </c>
      <c r="J94" s="11">
        <f t="shared" si="9"/>
        <v>424.06</v>
      </c>
      <c r="K94" s="71"/>
      <c r="L94" s="358">
        <f t="shared" si="10"/>
        <v>242.32</v>
      </c>
      <c r="M94" s="358">
        <f t="shared" si="11"/>
        <v>269.18</v>
      </c>
      <c r="N94" s="358">
        <f t="shared" si="12"/>
        <v>282.70999999999998</v>
      </c>
    </row>
    <row r="95" spans="1:14" ht="16.05" customHeight="1">
      <c r="A95" s="9" t="s">
        <v>261</v>
      </c>
      <c r="B95" s="64">
        <f t="shared" si="0"/>
        <v>7.5999999999999998E-2</v>
      </c>
      <c r="C95" s="357">
        <v>3</v>
      </c>
      <c r="D95" s="358" t="s">
        <v>138</v>
      </c>
      <c r="E95" s="31" t="s">
        <v>245</v>
      </c>
      <c r="F95" s="359" t="s">
        <v>122</v>
      </c>
      <c r="G95" s="82">
        <v>24.244</v>
      </c>
      <c r="H95" s="11">
        <f t="shared" si="7"/>
        <v>290.93</v>
      </c>
      <c r="I95" s="360">
        <f t="shared" si="8"/>
        <v>323.17</v>
      </c>
      <c r="J95" s="11">
        <f t="shared" si="9"/>
        <v>339.42</v>
      </c>
      <c r="K95" s="71"/>
      <c r="L95" s="358">
        <f t="shared" si="10"/>
        <v>193.95</v>
      </c>
      <c r="M95" s="358">
        <f t="shared" si="11"/>
        <v>215.45</v>
      </c>
      <c r="N95" s="358">
        <f t="shared" si="12"/>
        <v>226.28</v>
      </c>
    </row>
    <row r="96" spans="1:14" ht="16.05" customHeight="1">
      <c r="A96" s="9" t="s">
        <v>261</v>
      </c>
      <c r="B96" s="64">
        <f t="shared" si="0"/>
        <v>0.10199999999999999</v>
      </c>
      <c r="C96" s="357">
        <v>4</v>
      </c>
      <c r="D96" s="358" t="s">
        <v>138</v>
      </c>
      <c r="E96" s="31" t="s">
        <v>245</v>
      </c>
      <c r="F96" s="359" t="s">
        <v>122</v>
      </c>
      <c r="G96" s="82">
        <v>24.660999999999998</v>
      </c>
      <c r="H96" s="11">
        <f t="shared" si="7"/>
        <v>295.93</v>
      </c>
      <c r="I96" s="360">
        <f t="shared" si="8"/>
        <v>328.73</v>
      </c>
      <c r="J96" s="11">
        <f t="shared" si="9"/>
        <v>345.25</v>
      </c>
      <c r="K96" s="71"/>
      <c r="L96" s="358">
        <f t="shared" si="10"/>
        <v>197.29</v>
      </c>
      <c r="M96" s="358">
        <f t="shared" si="11"/>
        <v>219.15</v>
      </c>
      <c r="N96" s="358">
        <f t="shared" si="12"/>
        <v>230.17</v>
      </c>
    </row>
    <row r="97" spans="1:14" ht="16.05" customHeight="1">
      <c r="A97" s="9" t="s">
        <v>261</v>
      </c>
      <c r="B97" s="64">
        <f t="shared" si="0"/>
        <v>0.10199999999999999</v>
      </c>
      <c r="C97" s="357">
        <v>4</v>
      </c>
      <c r="D97" s="358" t="s">
        <v>138</v>
      </c>
      <c r="E97" s="31" t="s">
        <v>245</v>
      </c>
      <c r="F97" s="359" t="s">
        <v>84</v>
      </c>
      <c r="G97" s="82">
        <v>24.514999999999997</v>
      </c>
      <c r="H97" s="11">
        <f t="shared" si="7"/>
        <v>294.18</v>
      </c>
      <c r="I97" s="360">
        <f t="shared" si="8"/>
        <v>326.77999999999997</v>
      </c>
      <c r="J97" s="11">
        <f t="shared" si="9"/>
        <v>343.21</v>
      </c>
      <c r="K97" s="71"/>
      <c r="L97" s="358">
        <f t="shared" si="10"/>
        <v>196.12</v>
      </c>
      <c r="M97" s="358">
        <f t="shared" si="11"/>
        <v>217.85</v>
      </c>
      <c r="N97" s="358">
        <f t="shared" si="12"/>
        <v>228.81</v>
      </c>
    </row>
    <row r="98" spans="1:14" ht="16.05" customHeight="1">
      <c r="A98" s="9" t="s">
        <v>261</v>
      </c>
      <c r="B98" s="64">
        <f t="shared" si="0"/>
        <v>0.10199999999999999</v>
      </c>
      <c r="C98" s="357">
        <v>4</v>
      </c>
      <c r="D98" s="358" t="s">
        <v>138</v>
      </c>
      <c r="E98" s="31" t="s">
        <v>245</v>
      </c>
      <c r="F98" s="359" t="s">
        <v>83</v>
      </c>
      <c r="G98" s="82">
        <v>22.385000000000005</v>
      </c>
      <c r="H98" s="11">
        <f t="shared" si="7"/>
        <v>268.62</v>
      </c>
      <c r="I98" s="360">
        <f t="shared" si="8"/>
        <v>298.39</v>
      </c>
      <c r="J98" s="11">
        <f t="shared" si="9"/>
        <v>313.39</v>
      </c>
      <c r="K98" s="71">
        <v>0.1</v>
      </c>
      <c r="L98" s="358">
        <f t="shared" si="10"/>
        <v>179.08</v>
      </c>
      <c r="M98" s="358">
        <f t="shared" si="11"/>
        <v>198.93</v>
      </c>
      <c r="N98" s="358">
        <f t="shared" si="12"/>
        <v>208.93</v>
      </c>
    </row>
    <row r="99" spans="1:14" ht="16.05" customHeight="1">
      <c r="A99" s="9" t="s">
        <v>261</v>
      </c>
      <c r="B99" s="64">
        <f t="shared" si="0"/>
        <v>0.10199999999999999</v>
      </c>
      <c r="C99" s="357">
        <v>4</v>
      </c>
      <c r="D99" s="358" t="s">
        <v>138</v>
      </c>
      <c r="E99" s="31" t="s">
        <v>245</v>
      </c>
      <c r="F99" s="359" t="s">
        <v>166</v>
      </c>
      <c r="G99" s="82">
        <v>27.486999999999998</v>
      </c>
      <c r="H99" s="11">
        <f t="shared" si="7"/>
        <v>329.84</v>
      </c>
      <c r="I99" s="360">
        <f t="shared" si="8"/>
        <v>366.4</v>
      </c>
      <c r="J99" s="11">
        <f t="shared" si="9"/>
        <v>384.82</v>
      </c>
      <c r="K99" s="71"/>
      <c r="L99" s="358">
        <f t="shared" si="10"/>
        <v>219.89</v>
      </c>
      <c r="M99" s="358">
        <f t="shared" si="11"/>
        <v>244.27</v>
      </c>
      <c r="N99" s="358">
        <f t="shared" si="12"/>
        <v>256.55</v>
      </c>
    </row>
    <row r="100" spans="1:14" ht="16.05" customHeight="1">
      <c r="A100" s="9" t="s">
        <v>261</v>
      </c>
      <c r="B100" s="64">
        <f t="shared" si="0"/>
        <v>0.10199999999999999</v>
      </c>
      <c r="C100" s="357">
        <v>4</v>
      </c>
      <c r="D100" s="358" t="s">
        <v>138</v>
      </c>
      <c r="E100" s="31" t="s">
        <v>245</v>
      </c>
      <c r="F100" s="359" t="s">
        <v>82</v>
      </c>
      <c r="G100" s="82">
        <v>27.300999999999998</v>
      </c>
      <c r="H100" s="11">
        <f t="shared" si="7"/>
        <v>327.61</v>
      </c>
      <c r="I100" s="360">
        <f t="shared" si="8"/>
        <v>363.92</v>
      </c>
      <c r="J100" s="11">
        <f t="shared" si="9"/>
        <v>382.21</v>
      </c>
      <c r="K100" s="71"/>
      <c r="L100" s="358">
        <f t="shared" si="10"/>
        <v>218.41</v>
      </c>
      <c r="M100" s="358">
        <f t="shared" si="11"/>
        <v>242.61</v>
      </c>
      <c r="N100" s="358">
        <f t="shared" si="12"/>
        <v>254.81</v>
      </c>
    </row>
    <row r="101" spans="1:14" ht="16.05" customHeight="1">
      <c r="A101" s="9" t="s">
        <v>261</v>
      </c>
      <c r="B101" s="64">
        <f t="shared" si="0"/>
        <v>0.127</v>
      </c>
      <c r="C101" s="357">
        <v>5</v>
      </c>
      <c r="D101" s="358" t="s">
        <v>138</v>
      </c>
      <c r="E101" s="31" t="s">
        <v>245</v>
      </c>
      <c r="F101" s="359" t="s">
        <v>84</v>
      </c>
      <c r="G101" s="82">
        <v>25.093</v>
      </c>
      <c r="H101" s="11">
        <f t="shared" si="7"/>
        <v>301.12</v>
      </c>
      <c r="I101" s="360">
        <f t="shared" si="8"/>
        <v>334.49</v>
      </c>
      <c r="J101" s="11">
        <f t="shared" si="9"/>
        <v>351.3</v>
      </c>
      <c r="K101" s="71"/>
      <c r="L101" s="358">
        <f t="shared" si="10"/>
        <v>200.75</v>
      </c>
      <c r="M101" s="358">
        <f t="shared" si="11"/>
        <v>222.99</v>
      </c>
      <c r="N101" s="358">
        <f t="shared" si="12"/>
        <v>234.2</v>
      </c>
    </row>
    <row r="102" spans="1:14" ht="16.05" customHeight="1">
      <c r="A102" s="9" t="s">
        <v>261</v>
      </c>
      <c r="B102" s="64">
        <f t="shared" si="0"/>
        <v>0.127</v>
      </c>
      <c r="C102" s="357">
        <v>5</v>
      </c>
      <c r="D102" s="358" t="s">
        <v>138</v>
      </c>
      <c r="E102" s="31" t="s">
        <v>245</v>
      </c>
      <c r="F102" s="359" t="s">
        <v>117</v>
      </c>
      <c r="G102" s="82">
        <v>29.183999999999997</v>
      </c>
      <c r="H102" s="11">
        <f t="shared" si="7"/>
        <v>350.21</v>
      </c>
      <c r="I102" s="360">
        <f t="shared" si="8"/>
        <v>389.02</v>
      </c>
      <c r="J102" s="11">
        <f t="shared" si="9"/>
        <v>408.58</v>
      </c>
      <c r="K102" s="71"/>
      <c r="L102" s="358">
        <f t="shared" si="10"/>
        <v>233.47</v>
      </c>
      <c r="M102" s="358">
        <f t="shared" si="11"/>
        <v>259.35000000000002</v>
      </c>
      <c r="N102" s="358">
        <f t="shared" si="12"/>
        <v>272.39</v>
      </c>
    </row>
    <row r="103" spans="1:14" ht="16.05" customHeight="1">
      <c r="A103" s="9" t="s">
        <v>261</v>
      </c>
      <c r="B103" s="64">
        <f t="shared" si="0"/>
        <v>0.152</v>
      </c>
      <c r="C103" s="357">
        <v>6</v>
      </c>
      <c r="D103" s="358" t="s">
        <v>138</v>
      </c>
      <c r="E103" s="31" t="s">
        <v>245</v>
      </c>
      <c r="F103" s="359" t="s">
        <v>117</v>
      </c>
      <c r="G103" s="82">
        <v>29.439999999999998</v>
      </c>
      <c r="H103" s="11">
        <f t="shared" si="7"/>
        <v>353.28</v>
      </c>
      <c r="I103" s="360">
        <f t="shared" si="8"/>
        <v>392.44</v>
      </c>
      <c r="J103" s="11">
        <f t="shared" si="9"/>
        <v>412.16</v>
      </c>
      <c r="K103" s="71"/>
      <c r="L103" s="358">
        <f t="shared" si="10"/>
        <v>235.52</v>
      </c>
      <c r="M103" s="358">
        <f t="shared" si="11"/>
        <v>261.63</v>
      </c>
      <c r="N103" s="358">
        <f t="shared" si="12"/>
        <v>274.77</v>
      </c>
    </row>
    <row r="104" spans="1:14" ht="16.05" customHeight="1">
      <c r="A104" s="9" t="s">
        <v>261</v>
      </c>
      <c r="B104" s="64">
        <f t="shared" si="0"/>
        <v>7.5999999999999998E-2</v>
      </c>
      <c r="C104" s="357">
        <v>3</v>
      </c>
      <c r="D104" s="358" t="s">
        <v>138</v>
      </c>
      <c r="E104" s="31" t="s">
        <v>156</v>
      </c>
      <c r="F104" s="359" t="s">
        <v>122</v>
      </c>
      <c r="G104" s="82">
        <v>23.594000000000001</v>
      </c>
      <c r="H104" s="11">
        <f t="shared" si="7"/>
        <v>283.13</v>
      </c>
      <c r="I104" s="360">
        <f t="shared" si="8"/>
        <v>314.51</v>
      </c>
      <c r="J104" s="11">
        <f t="shared" si="9"/>
        <v>330.32</v>
      </c>
      <c r="K104" s="71">
        <v>7.0022675736961526E-2</v>
      </c>
      <c r="L104" s="358">
        <f t="shared" si="10"/>
        <v>188.75</v>
      </c>
      <c r="M104" s="358">
        <f t="shared" si="11"/>
        <v>209.67</v>
      </c>
      <c r="N104" s="358">
        <f t="shared" si="12"/>
        <v>220.21</v>
      </c>
    </row>
    <row r="105" spans="1:14" ht="16.05" customHeight="1">
      <c r="A105" s="9" t="s">
        <v>261</v>
      </c>
      <c r="B105" s="64">
        <f t="shared" si="0"/>
        <v>0.10199999999999999</v>
      </c>
      <c r="C105" s="357">
        <v>4</v>
      </c>
      <c r="D105" s="358" t="s">
        <v>138</v>
      </c>
      <c r="E105" s="31" t="s">
        <v>156</v>
      </c>
      <c r="F105" s="359" t="s">
        <v>122</v>
      </c>
      <c r="G105" s="82">
        <v>24.010999999999999</v>
      </c>
      <c r="H105" s="11">
        <f t="shared" si="7"/>
        <v>288.13</v>
      </c>
      <c r="I105" s="360">
        <f t="shared" si="8"/>
        <v>320.07</v>
      </c>
      <c r="J105" s="11">
        <f t="shared" si="9"/>
        <v>336.15</v>
      </c>
      <c r="K105" s="71">
        <v>7.0008912655971312E-2</v>
      </c>
      <c r="L105" s="358">
        <f t="shared" si="10"/>
        <v>192.09</v>
      </c>
      <c r="M105" s="358">
        <f t="shared" si="11"/>
        <v>213.38</v>
      </c>
      <c r="N105" s="358">
        <f t="shared" si="12"/>
        <v>224.1</v>
      </c>
    </row>
    <row r="106" spans="1:14" ht="16.05" customHeight="1">
      <c r="A106" s="9" t="s">
        <v>261</v>
      </c>
      <c r="B106" s="64">
        <f t="shared" si="0"/>
        <v>0.10199999999999999</v>
      </c>
      <c r="C106" s="357">
        <v>4</v>
      </c>
      <c r="D106" s="358" t="s">
        <v>138</v>
      </c>
      <c r="E106" s="31" t="s">
        <v>156</v>
      </c>
      <c r="F106" s="359" t="s">
        <v>84</v>
      </c>
      <c r="G106" s="82">
        <v>23.864999999999998</v>
      </c>
      <c r="H106" s="11">
        <f t="shared" si="7"/>
        <v>286.38</v>
      </c>
      <c r="I106" s="360">
        <f t="shared" si="8"/>
        <v>318.12</v>
      </c>
      <c r="J106" s="11">
        <f t="shared" si="9"/>
        <v>334.11</v>
      </c>
      <c r="K106" s="71">
        <v>6.9987446197991465E-2</v>
      </c>
      <c r="L106" s="358">
        <f t="shared" si="10"/>
        <v>190.92</v>
      </c>
      <c r="M106" s="358">
        <f t="shared" si="11"/>
        <v>212.08</v>
      </c>
      <c r="N106" s="358">
        <f t="shared" si="12"/>
        <v>222.74</v>
      </c>
    </row>
    <row r="107" spans="1:14" ht="16.05" customHeight="1">
      <c r="A107" s="9" t="s">
        <v>261</v>
      </c>
      <c r="B107" s="64">
        <f t="shared" si="0"/>
        <v>0.10199999999999999</v>
      </c>
      <c r="C107" s="357">
        <v>4</v>
      </c>
      <c r="D107" s="358" t="s">
        <v>138</v>
      </c>
      <c r="E107" s="31" t="s">
        <v>139</v>
      </c>
      <c r="F107" s="359" t="s">
        <v>83</v>
      </c>
      <c r="G107" s="82">
        <v>24.443000000000001</v>
      </c>
      <c r="H107" s="11">
        <f t="shared" si="7"/>
        <v>293.32</v>
      </c>
      <c r="I107" s="360">
        <f t="shared" si="8"/>
        <v>325.83</v>
      </c>
      <c r="J107" s="11">
        <f t="shared" si="9"/>
        <v>342.2</v>
      </c>
      <c r="K107" s="71">
        <v>6.999649798634211E-2</v>
      </c>
      <c r="L107" s="358">
        <f t="shared" si="10"/>
        <v>195.55</v>
      </c>
      <c r="M107" s="358">
        <f t="shared" si="11"/>
        <v>217.22</v>
      </c>
      <c r="N107" s="358">
        <f t="shared" si="12"/>
        <v>228.13</v>
      </c>
    </row>
    <row r="108" spans="1:14" ht="16.05" customHeight="1">
      <c r="A108" s="9" t="s">
        <v>261</v>
      </c>
      <c r="B108" s="64">
        <f t="shared" si="0"/>
        <v>0.10199999999999999</v>
      </c>
      <c r="C108" s="357">
        <v>4</v>
      </c>
      <c r="D108" s="358" t="s">
        <v>138</v>
      </c>
      <c r="E108" s="31" t="s">
        <v>156</v>
      </c>
      <c r="F108" s="359" t="s">
        <v>166</v>
      </c>
      <c r="G108" s="82">
        <v>26.837</v>
      </c>
      <c r="H108" s="11">
        <f t="shared" si="7"/>
        <v>322.04000000000002</v>
      </c>
      <c r="I108" s="360">
        <f t="shared" si="8"/>
        <v>357.74</v>
      </c>
      <c r="J108" s="11">
        <f t="shared" si="9"/>
        <v>375.72</v>
      </c>
      <c r="K108" s="71">
        <v>3.9992249564037907E-2</v>
      </c>
      <c r="L108" s="358">
        <f t="shared" si="10"/>
        <v>214.69</v>
      </c>
      <c r="M108" s="358">
        <f t="shared" si="11"/>
        <v>238.49</v>
      </c>
      <c r="N108" s="358">
        <f t="shared" si="12"/>
        <v>250.48</v>
      </c>
    </row>
    <row r="109" spans="1:14" ht="16.05" customHeight="1">
      <c r="A109" s="9" t="s">
        <v>261</v>
      </c>
      <c r="B109" s="64">
        <f t="shared" si="0"/>
        <v>0.10199999999999999</v>
      </c>
      <c r="C109" s="357">
        <v>4</v>
      </c>
      <c r="D109" s="358" t="s">
        <v>138</v>
      </c>
      <c r="E109" s="31" t="s">
        <v>156</v>
      </c>
      <c r="F109" s="359" t="s">
        <v>82</v>
      </c>
      <c r="G109" s="82">
        <v>26.651</v>
      </c>
      <c r="H109" s="11">
        <f t="shared" si="7"/>
        <v>319.81</v>
      </c>
      <c r="I109" s="360">
        <f t="shared" si="8"/>
        <v>355.26</v>
      </c>
      <c r="J109" s="11">
        <f t="shared" si="9"/>
        <v>373.11</v>
      </c>
      <c r="K109" s="71">
        <v>3.9998439085303872E-2</v>
      </c>
      <c r="L109" s="358">
        <f t="shared" si="10"/>
        <v>213.21</v>
      </c>
      <c r="M109" s="358">
        <f t="shared" si="11"/>
        <v>236.84</v>
      </c>
      <c r="N109" s="358">
        <f t="shared" si="12"/>
        <v>248.74</v>
      </c>
    </row>
    <row r="110" spans="1:14" ht="16.05" customHeight="1">
      <c r="A110" s="9" t="s">
        <v>261</v>
      </c>
      <c r="B110" s="64">
        <f t="shared" si="0"/>
        <v>0.127</v>
      </c>
      <c r="C110" s="357">
        <v>5</v>
      </c>
      <c r="D110" s="358" t="s">
        <v>138</v>
      </c>
      <c r="E110" s="31" t="s">
        <v>156</v>
      </c>
      <c r="F110" s="359" t="s">
        <v>84</v>
      </c>
      <c r="G110" s="82">
        <v>24.443000000000001</v>
      </c>
      <c r="H110" s="11">
        <f t="shared" si="7"/>
        <v>293.32</v>
      </c>
      <c r="I110" s="360">
        <f t="shared" si="8"/>
        <v>325.83</v>
      </c>
      <c r="J110" s="11">
        <f t="shared" si="9"/>
        <v>342.2</v>
      </c>
      <c r="K110" s="71">
        <v>6.999649798634211E-2</v>
      </c>
      <c r="L110" s="358">
        <f t="shared" si="10"/>
        <v>195.55</v>
      </c>
      <c r="M110" s="358">
        <f t="shared" si="11"/>
        <v>217.22</v>
      </c>
      <c r="N110" s="358">
        <f t="shared" si="12"/>
        <v>228.13</v>
      </c>
    </row>
    <row r="111" spans="1:14" ht="16.05" customHeight="1">
      <c r="A111" s="9" t="s">
        <v>261</v>
      </c>
      <c r="B111" s="64">
        <f t="shared" si="0"/>
        <v>0.127</v>
      </c>
      <c r="C111" s="357">
        <v>5</v>
      </c>
      <c r="D111" s="358" t="s">
        <v>138</v>
      </c>
      <c r="E111" s="31" t="s">
        <v>156</v>
      </c>
      <c r="F111" s="359" t="s">
        <v>117</v>
      </c>
      <c r="G111" s="82">
        <v>28.533999999999999</v>
      </c>
      <c r="H111" s="11">
        <f t="shared" si="7"/>
        <v>342.41</v>
      </c>
      <c r="I111" s="360">
        <f t="shared" si="8"/>
        <v>380.36</v>
      </c>
      <c r="J111" s="11">
        <f t="shared" si="9"/>
        <v>399.48</v>
      </c>
      <c r="K111" s="71">
        <v>3.998250537595216E-2</v>
      </c>
      <c r="L111" s="358">
        <f t="shared" si="10"/>
        <v>228.27</v>
      </c>
      <c r="M111" s="358">
        <f t="shared" si="11"/>
        <v>253.57</v>
      </c>
      <c r="N111" s="358">
        <f t="shared" si="12"/>
        <v>266.32</v>
      </c>
    </row>
    <row r="112" spans="1:14" ht="16.05" customHeight="1">
      <c r="A112" s="9" t="s">
        <v>261</v>
      </c>
      <c r="B112" s="64">
        <f t="shared" si="0"/>
        <v>0.152</v>
      </c>
      <c r="C112" s="357">
        <v>6</v>
      </c>
      <c r="D112" s="358" t="s">
        <v>138</v>
      </c>
      <c r="E112" s="31" t="s">
        <v>156</v>
      </c>
      <c r="F112" s="359" t="s">
        <v>117</v>
      </c>
      <c r="G112" s="82">
        <v>28.79</v>
      </c>
      <c r="H112" s="11">
        <f t="shared" si="7"/>
        <v>345.48</v>
      </c>
      <c r="I112" s="360">
        <f t="shared" si="8"/>
        <v>383.77</v>
      </c>
      <c r="J112" s="11">
        <f t="shared" si="9"/>
        <v>403.06</v>
      </c>
      <c r="K112" s="71">
        <v>3.9988440559187932E-2</v>
      </c>
      <c r="L112" s="358">
        <f t="shared" si="10"/>
        <v>230.32</v>
      </c>
      <c r="M112" s="358">
        <f t="shared" si="11"/>
        <v>255.85</v>
      </c>
      <c r="N112" s="358">
        <f t="shared" si="12"/>
        <v>268.70999999999998</v>
      </c>
    </row>
    <row r="113" spans="1:14" ht="16.05" customHeight="1">
      <c r="A113" s="9" t="s">
        <v>261</v>
      </c>
      <c r="B113" s="64">
        <f t="shared" si="0"/>
        <v>7.5999999999999998E-2</v>
      </c>
      <c r="C113" s="357">
        <v>3</v>
      </c>
      <c r="D113" s="358" t="s">
        <v>29</v>
      </c>
      <c r="E113" s="31" t="s">
        <v>137</v>
      </c>
      <c r="F113" s="359" t="s">
        <v>122</v>
      </c>
      <c r="G113" s="82">
        <v>26.736999999999998</v>
      </c>
      <c r="H113" s="11">
        <f t="shared" si="7"/>
        <v>320.83999999999997</v>
      </c>
      <c r="I113" s="360">
        <f t="shared" si="8"/>
        <v>356.4</v>
      </c>
      <c r="J113" s="11">
        <f t="shared" si="9"/>
        <v>374.32</v>
      </c>
      <c r="K113" s="71">
        <v>0.10001645684193194</v>
      </c>
      <c r="L113" s="358">
        <f t="shared" si="10"/>
        <v>213.89</v>
      </c>
      <c r="M113" s="358">
        <f t="shared" si="11"/>
        <v>237.6</v>
      </c>
      <c r="N113" s="358">
        <f t="shared" si="12"/>
        <v>249.55</v>
      </c>
    </row>
    <row r="114" spans="1:14" ht="16.05" customHeight="1">
      <c r="A114" s="9" t="s">
        <v>261</v>
      </c>
      <c r="B114" s="64">
        <f t="shared" si="0"/>
        <v>0.10199999999999999</v>
      </c>
      <c r="C114" s="357">
        <v>4</v>
      </c>
      <c r="D114" s="358" t="s">
        <v>29</v>
      </c>
      <c r="E114" s="31" t="s">
        <v>137</v>
      </c>
      <c r="F114" s="359" t="s">
        <v>122</v>
      </c>
      <c r="G114" s="82">
        <v>27.181999999999999</v>
      </c>
      <c r="H114" s="11">
        <f t="shared" si="7"/>
        <v>326.18</v>
      </c>
      <c r="I114" s="360">
        <f t="shared" si="8"/>
        <v>362.34</v>
      </c>
      <c r="J114" s="11">
        <f t="shared" si="9"/>
        <v>380.55</v>
      </c>
      <c r="K114" s="71">
        <v>9.9995953219214062E-2</v>
      </c>
      <c r="L114" s="358">
        <f t="shared" si="10"/>
        <v>217.45</v>
      </c>
      <c r="M114" s="358">
        <f t="shared" si="11"/>
        <v>241.56</v>
      </c>
      <c r="N114" s="358">
        <f t="shared" si="12"/>
        <v>253.7</v>
      </c>
    </row>
    <row r="115" spans="1:14" ht="16.05" customHeight="1">
      <c r="A115" s="9" t="s">
        <v>261</v>
      </c>
      <c r="B115" s="64">
        <f t="shared" si="0"/>
        <v>0.10199999999999999</v>
      </c>
      <c r="C115" s="357">
        <v>4</v>
      </c>
      <c r="D115" s="358" t="s">
        <v>29</v>
      </c>
      <c r="E115" s="31" t="s">
        <v>137</v>
      </c>
      <c r="F115" s="359" t="s">
        <v>84</v>
      </c>
      <c r="G115" s="82">
        <v>27.895</v>
      </c>
      <c r="H115" s="11">
        <f t="shared" si="7"/>
        <v>334.74</v>
      </c>
      <c r="I115" s="360">
        <f t="shared" si="8"/>
        <v>371.84</v>
      </c>
      <c r="J115" s="11">
        <f t="shared" si="9"/>
        <v>390.53</v>
      </c>
      <c r="K115" s="71">
        <v>0.10000394337316121</v>
      </c>
      <c r="L115" s="358">
        <f t="shared" si="10"/>
        <v>223.16</v>
      </c>
      <c r="M115" s="358">
        <f t="shared" si="11"/>
        <v>247.89</v>
      </c>
      <c r="N115" s="358">
        <f t="shared" si="12"/>
        <v>260.35000000000002</v>
      </c>
    </row>
    <row r="116" spans="1:14" ht="16.05" customHeight="1">
      <c r="A116" s="9" t="s">
        <v>261</v>
      </c>
      <c r="B116" s="64">
        <f t="shared" si="0"/>
        <v>0.10199999999999999</v>
      </c>
      <c r="C116" s="357">
        <v>4</v>
      </c>
      <c r="D116" s="358" t="s">
        <v>29</v>
      </c>
      <c r="E116" s="31" t="s">
        <v>137</v>
      </c>
      <c r="F116" s="359" t="s">
        <v>166</v>
      </c>
      <c r="G116" s="82">
        <v>30.279</v>
      </c>
      <c r="H116" s="11">
        <f t="shared" si="7"/>
        <v>363.35</v>
      </c>
      <c r="I116" s="360">
        <f t="shared" si="8"/>
        <v>403.62</v>
      </c>
      <c r="J116" s="11">
        <f t="shared" si="9"/>
        <v>423.91</v>
      </c>
      <c r="K116" s="71">
        <v>4.0015113004052916E-2</v>
      </c>
      <c r="L116" s="358">
        <f t="shared" si="10"/>
        <v>242.23</v>
      </c>
      <c r="M116" s="358">
        <f t="shared" si="11"/>
        <v>269.08</v>
      </c>
      <c r="N116" s="358">
        <f t="shared" si="12"/>
        <v>282.61</v>
      </c>
    </row>
    <row r="117" spans="1:14" ht="16.05" customHeight="1">
      <c r="A117" s="9" t="s">
        <v>261</v>
      </c>
      <c r="B117" s="64">
        <f t="shared" si="0"/>
        <v>0.10199999999999999</v>
      </c>
      <c r="C117" s="357">
        <v>4</v>
      </c>
      <c r="D117" s="358" t="s">
        <v>29</v>
      </c>
      <c r="E117" s="31" t="s">
        <v>137</v>
      </c>
      <c r="F117" s="359" t="s">
        <v>82</v>
      </c>
      <c r="G117" s="82">
        <v>30.956</v>
      </c>
      <c r="H117" s="11">
        <f t="shared" si="7"/>
        <v>371.47</v>
      </c>
      <c r="I117" s="360">
        <f t="shared" si="8"/>
        <v>412.64</v>
      </c>
      <c r="J117" s="11">
        <f t="shared" si="9"/>
        <v>433.38</v>
      </c>
      <c r="K117" s="71">
        <v>4.0013438602385376E-2</v>
      </c>
      <c r="L117" s="358">
        <f t="shared" si="10"/>
        <v>247.65</v>
      </c>
      <c r="M117" s="358">
        <f t="shared" si="11"/>
        <v>275.08999999999997</v>
      </c>
      <c r="N117" s="358">
        <f t="shared" si="12"/>
        <v>288.92</v>
      </c>
    </row>
    <row r="118" spans="1:14" ht="16.05" customHeight="1">
      <c r="A118" s="9" t="s">
        <v>261</v>
      </c>
      <c r="B118" s="64">
        <f t="shared" si="0"/>
        <v>0.127</v>
      </c>
      <c r="C118" s="357">
        <v>5</v>
      </c>
      <c r="D118" s="358" t="s">
        <v>29</v>
      </c>
      <c r="E118" s="31" t="s">
        <v>137</v>
      </c>
      <c r="F118" s="359" t="s">
        <v>84</v>
      </c>
      <c r="G118" s="82">
        <v>29.931999999999999</v>
      </c>
      <c r="H118" s="11">
        <f t="shared" si="7"/>
        <v>359.18</v>
      </c>
      <c r="I118" s="360">
        <f t="shared" si="8"/>
        <v>398.99</v>
      </c>
      <c r="J118" s="11">
        <f t="shared" si="9"/>
        <v>419.05</v>
      </c>
      <c r="K118" s="71">
        <v>7.9992783691142044E-2</v>
      </c>
      <c r="L118" s="358">
        <f t="shared" si="10"/>
        <v>239.45</v>
      </c>
      <c r="M118" s="358">
        <f t="shared" si="11"/>
        <v>265.99</v>
      </c>
      <c r="N118" s="358">
        <f t="shared" si="12"/>
        <v>279.37</v>
      </c>
    </row>
    <row r="119" spans="1:14" ht="16.05" customHeight="1">
      <c r="A119" s="9" t="s">
        <v>261</v>
      </c>
      <c r="B119" s="64">
        <f t="shared" si="0"/>
        <v>0.127</v>
      </c>
      <c r="C119" s="357">
        <v>5</v>
      </c>
      <c r="D119" s="358" t="s">
        <v>29</v>
      </c>
      <c r="E119" s="31" t="s">
        <v>137</v>
      </c>
      <c r="F119" s="359" t="s">
        <v>117</v>
      </c>
      <c r="G119" s="82">
        <v>32.604999999999997</v>
      </c>
      <c r="H119" s="11">
        <f t="shared" si="7"/>
        <v>391.26</v>
      </c>
      <c r="I119" s="360">
        <f t="shared" si="8"/>
        <v>434.62</v>
      </c>
      <c r="J119" s="11">
        <f t="shared" si="9"/>
        <v>456.47</v>
      </c>
      <c r="K119" s="71">
        <v>3.9998724123632368E-2</v>
      </c>
      <c r="L119" s="358">
        <f t="shared" si="10"/>
        <v>260.83999999999997</v>
      </c>
      <c r="M119" s="358">
        <f t="shared" si="11"/>
        <v>289.75</v>
      </c>
      <c r="N119" s="358">
        <f t="shared" si="12"/>
        <v>304.31</v>
      </c>
    </row>
    <row r="120" spans="1:14" ht="16.05" customHeight="1">
      <c r="A120" s="9" t="s">
        <v>261</v>
      </c>
      <c r="B120" s="64">
        <f t="shared" si="0"/>
        <v>0.127</v>
      </c>
      <c r="C120" s="357">
        <v>5</v>
      </c>
      <c r="D120" s="201" t="s">
        <v>56</v>
      </c>
      <c r="E120" s="31" t="s">
        <v>137</v>
      </c>
      <c r="F120" s="359" t="s">
        <v>86</v>
      </c>
      <c r="G120" s="82">
        <v>43.831000000000003</v>
      </c>
      <c r="H120" s="11">
        <f t="shared" si="7"/>
        <v>525.97</v>
      </c>
      <c r="I120" s="360">
        <f t="shared" si="8"/>
        <v>584.27</v>
      </c>
      <c r="J120" s="11">
        <f t="shared" si="9"/>
        <v>613.63</v>
      </c>
      <c r="K120" s="71">
        <v>4.0004745521414087E-2</v>
      </c>
      <c r="L120" s="358">
        <f t="shared" si="10"/>
        <v>350.65</v>
      </c>
      <c r="M120" s="358">
        <f t="shared" si="11"/>
        <v>389.51</v>
      </c>
      <c r="N120" s="358">
        <f t="shared" si="12"/>
        <v>409.09</v>
      </c>
    </row>
    <row r="121" spans="1:14" ht="16.05" customHeight="1">
      <c r="A121" s="9" t="s">
        <v>261</v>
      </c>
      <c r="B121" s="64">
        <f t="shared" si="0"/>
        <v>0.127</v>
      </c>
      <c r="C121" s="357">
        <v>5</v>
      </c>
      <c r="D121" s="358" t="s">
        <v>29</v>
      </c>
      <c r="E121" s="31" t="s">
        <v>137</v>
      </c>
      <c r="F121" s="359" t="s">
        <v>86</v>
      </c>
      <c r="G121" s="82">
        <v>33.908999999999999</v>
      </c>
      <c r="H121" s="11">
        <f t="shared" si="7"/>
        <v>406.91</v>
      </c>
      <c r="I121" s="360">
        <f t="shared" si="8"/>
        <v>452.01</v>
      </c>
      <c r="J121" s="11">
        <f t="shared" si="9"/>
        <v>474.73</v>
      </c>
      <c r="K121" s="71">
        <v>3.9993865971476916E-2</v>
      </c>
      <c r="L121" s="358">
        <f t="shared" si="10"/>
        <v>271.27</v>
      </c>
      <c r="M121" s="358">
        <f t="shared" si="11"/>
        <v>301.33999999999997</v>
      </c>
      <c r="N121" s="358">
        <f t="shared" si="12"/>
        <v>316.49</v>
      </c>
    </row>
    <row r="122" spans="1:14" ht="16.05" customHeight="1">
      <c r="A122" s="9" t="s">
        <v>261</v>
      </c>
      <c r="B122" s="64">
        <f t="shared" si="0"/>
        <v>0.152</v>
      </c>
      <c r="C122" s="357">
        <v>6</v>
      </c>
      <c r="D122" s="358" t="s">
        <v>29</v>
      </c>
      <c r="E122" s="31" t="s">
        <v>137</v>
      </c>
      <c r="F122" s="359" t="s">
        <v>117</v>
      </c>
      <c r="G122" s="82">
        <v>32.762</v>
      </c>
      <c r="H122" s="11">
        <f t="shared" si="7"/>
        <v>393.14</v>
      </c>
      <c r="I122" s="360">
        <f t="shared" si="8"/>
        <v>436.72</v>
      </c>
      <c r="J122" s="11">
        <f t="shared" si="9"/>
        <v>458.67</v>
      </c>
      <c r="K122" s="71">
        <v>3.9997460478699898E-2</v>
      </c>
      <c r="L122" s="358">
        <f t="shared" si="10"/>
        <v>262.08999999999997</v>
      </c>
      <c r="M122" s="358">
        <f t="shared" si="11"/>
        <v>291.14999999999998</v>
      </c>
      <c r="N122" s="358">
        <f t="shared" si="12"/>
        <v>305.77999999999997</v>
      </c>
    </row>
    <row r="123" spans="1:14" ht="16.05" customHeight="1">
      <c r="A123" s="9" t="s">
        <v>261</v>
      </c>
      <c r="B123" s="64">
        <f t="shared" si="0"/>
        <v>0.254</v>
      </c>
      <c r="C123" s="357">
        <v>10</v>
      </c>
      <c r="D123" s="358" t="s">
        <v>29</v>
      </c>
      <c r="E123" s="31" t="s">
        <v>137</v>
      </c>
      <c r="F123" s="359" t="s">
        <v>89</v>
      </c>
      <c r="G123" s="82">
        <v>34.415999999999997</v>
      </c>
      <c r="H123" s="11">
        <f t="shared" si="7"/>
        <v>412.99</v>
      </c>
      <c r="I123" s="360">
        <f t="shared" si="8"/>
        <v>458.77</v>
      </c>
      <c r="J123" s="11">
        <f t="shared" si="9"/>
        <v>481.82</v>
      </c>
      <c r="K123" s="71">
        <v>4.000967001087874E-2</v>
      </c>
      <c r="L123" s="358">
        <f t="shared" si="10"/>
        <v>275.33</v>
      </c>
      <c r="M123" s="358">
        <f t="shared" si="11"/>
        <v>305.85000000000002</v>
      </c>
      <c r="N123" s="358">
        <f t="shared" si="12"/>
        <v>321.20999999999998</v>
      </c>
    </row>
    <row r="124" spans="1:14" ht="16.05" customHeight="1">
      <c r="A124" s="9" t="s">
        <v>261</v>
      </c>
      <c r="B124" s="64">
        <f t="shared" si="0"/>
        <v>0.40600000000000003</v>
      </c>
      <c r="C124" s="357">
        <v>16</v>
      </c>
      <c r="D124" s="358" t="s">
        <v>29</v>
      </c>
      <c r="E124" s="31" t="s">
        <v>137</v>
      </c>
      <c r="F124" s="359" t="s">
        <v>219</v>
      </c>
      <c r="G124" s="82">
        <v>45.831000000000003</v>
      </c>
      <c r="H124" s="11">
        <f t="shared" si="7"/>
        <v>549.97</v>
      </c>
      <c r="I124" s="360">
        <f t="shared" si="8"/>
        <v>610.92999999999995</v>
      </c>
      <c r="J124" s="11">
        <f t="shared" si="9"/>
        <v>641.63</v>
      </c>
      <c r="K124" s="71">
        <v>4.000635381682871E-2</v>
      </c>
      <c r="L124" s="358">
        <f t="shared" si="10"/>
        <v>366.65</v>
      </c>
      <c r="M124" s="358">
        <f t="shared" si="11"/>
        <v>407.29</v>
      </c>
      <c r="N124" s="358">
        <f t="shared" si="12"/>
        <v>427.75</v>
      </c>
    </row>
    <row r="125" spans="1:14" ht="16.05" customHeight="1">
      <c r="A125" s="9" t="s">
        <v>261</v>
      </c>
      <c r="B125" s="64">
        <f t="shared" si="0"/>
        <v>0.61</v>
      </c>
      <c r="C125" s="357">
        <v>24</v>
      </c>
      <c r="D125" s="358" t="s">
        <v>29</v>
      </c>
      <c r="E125" s="31" t="s">
        <v>137</v>
      </c>
      <c r="F125" s="359" t="s">
        <v>88</v>
      </c>
      <c r="G125" s="82">
        <v>58.594999999999999</v>
      </c>
      <c r="H125" s="11">
        <f t="shared" si="7"/>
        <v>703.14</v>
      </c>
      <c r="I125" s="360">
        <f t="shared" si="8"/>
        <v>781.07</v>
      </c>
      <c r="J125" s="11">
        <f t="shared" si="9"/>
        <v>820.33</v>
      </c>
      <c r="K125" s="71">
        <v>4.000638966294523E-2</v>
      </c>
      <c r="L125" s="358">
        <f t="shared" si="10"/>
        <v>468.76</v>
      </c>
      <c r="M125" s="358">
        <f t="shared" si="11"/>
        <v>520.71</v>
      </c>
      <c r="N125" s="358">
        <f t="shared" si="12"/>
        <v>546.89</v>
      </c>
    </row>
    <row r="126" spans="1:14" ht="19.95" customHeight="1">
      <c r="A126" s="363"/>
      <c r="B126" s="363"/>
      <c r="C126" s="363"/>
      <c r="D126" s="364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</row>
    <row r="127" spans="1:14" ht="24.6" customHeight="1">
      <c r="A127" s="365" t="s">
        <v>267</v>
      </c>
      <c r="B127" s="365"/>
      <c r="C127" s="365"/>
      <c r="D127" s="365"/>
      <c r="E127" s="365"/>
      <c r="F127" s="365"/>
      <c r="G127" s="365"/>
      <c r="H127" s="365"/>
      <c r="I127" s="365"/>
      <c r="J127" s="365"/>
      <c r="K127" s="365"/>
      <c r="L127" s="366"/>
      <c r="M127" s="366"/>
      <c r="N127" s="366"/>
    </row>
    <row r="128" spans="1:14" ht="19.95" customHeight="1">
      <c r="A128" s="193" t="s">
        <v>189</v>
      </c>
      <c r="B128" s="191" t="s">
        <v>31</v>
      </c>
      <c r="C128" s="193" t="s">
        <v>190</v>
      </c>
      <c r="D128" s="191" t="s">
        <v>33</v>
      </c>
      <c r="E128" s="191" t="s">
        <v>34</v>
      </c>
      <c r="F128" s="367" t="s">
        <v>35</v>
      </c>
      <c r="G128" s="191" t="s">
        <v>36</v>
      </c>
      <c r="H128" s="368" t="s">
        <v>37</v>
      </c>
      <c r="I128" s="369" t="s">
        <v>38</v>
      </c>
      <c r="J128" s="370"/>
      <c r="K128" s="188" t="s">
        <v>23</v>
      </c>
      <c r="L128" s="371"/>
      <c r="M128" s="371"/>
      <c r="N128" s="371"/>
    </row>
    <row r="129" spans="1:14" ht="17.399999999999999" customHeight="1">
      <c r="A129" s="63" t="s">
        <v>268</v>
      </c>
      <c r="B129" s="191">
        <v>106</v>
      </c>
      <c r="C129" s="65">
        <v>74</v>
      </c>
      <c r="D129" s="13" t="s">
        <v>40</v>
      </c>
      <c r="E129" s="17" t="s">
        <v>41</v>
      </c>
      <c r="F129" s="372">
        <v>3937</v>
      </c>
      <c r="G129" s="191">
        <v>8.0109999999999992</v>
      </c>
      <c r="H129" s="227">
        <f t="shared" ref="H129:H154" si="13">ROUND(G129*13.124,2)</f>
        <v>105.14</v>
      </c>
      <c r="I129" s="373">
        <f t="shared" ref="I129:I154" si="14">ROUND(G129*F129,2)</f>
        <v>31539.31</v>
      </c>
      <c r="J129" s="374"/>
      <c r="K129" s="228">
        <v>2.9958806640868918E-2</v>
      </c>
      <c r="L129" s="375"/>
      <c r="M129" s="371"/>
      <c r="N129" s="371"/>
    </row>
    <row r="130" spans="1:14" ht="17.399999999999999" customHeight="1">
      <c r="A130" s="63" t="s">
        <v>268</v>
      </c>
      <c r="B130" s="191">
        <v>106</v>
      </c>
      <c r="C130" s="65">
        <v>75</v>
      </c>
      <c r="D130" s="13" t="s">
        <v>40</v>
      </c>
      <c r="E130" s="17" t="s">
        <v>41</v>
      </c>
      <c r="F130" s="372">
        <v>3937</v>
      </c>
      <c r="G130" s="191">
        <v>8.0909999999999993</v>
      </c>
      <c r="H130" s="227">
        <f t="shared" si="13"/>
        <v>106.19</v>
      </c>
      <c r="I130" s="373">
        <f t="shared" si="14"/>
        <v>31854.27</v>
      </c>
      <c r="J130" s="374"/>
      <c r="K130" s="228">
        <v>3.0033370411568505E-2</v>
      </c>
      <c r="L130" s="375"/>
      <c r="M130" s="371"/>
      <c r="N130" s="371"/>
    </row>
    <row r="131" spans="1:14" ht="17.399999999999999" customHeight="1">
      <c r="A131" s="63" t="s">
        <v>268</v>
      </c>
      <c r="B131" s="191">
        <v>106</v>
      </c>
      <c r="C131" s="65">
        <v>77</v>
      </c>
      <c r="D131" s="13" t="s">
        <v>40</v>
      </c>
      <c r="E131" s="17" t="s">
        <v>41</v>
      </c>
      <c r="F131" s="372">
        <v>3937</v>
      </c>
      <c r="G131" s="191">
        <v>8.2149999999999999</v>
      </c>
      <c r="H131" s="227">
        <f t="shared" si="13"/>
        <v>107.81</v>
      </c>
      <c r="I131" s="373">
        <f t="shared" si="14"/>
        <v>32342.46</v>
      </c>
      <c r="J131" s="374"/>
      <c r="K131" s="228">
        <v>2.9945222154595275E-2</v>
      </c>
      <c r="L131" s="375"/>
      <c r="M131" s="371"/>
      <c r="N131" s="371"/>
    </row>
    <row r="132" spans="1:14" ht="17.399999999999999" customHeight="1">
      <c r="A132" s="63" t="s">
        <v>268</v>
      </c>
      <c r="B132" s="191">
        <v>1067</v>
      </c>
      <c r="C132" s="65">
        <v>75</v>
      </c>
      <c r="D132" s="13" t="s">
        <v>40</v>
      </c>
      <c r="E132" s="17" t="s">
        <v>41</v>
      </c>
      <c r="F132" s="372">
        <v>3937</v>
      </c>
      <c r="G132" s="191">
        <v>8.7260000000000009</v>
      </c>
      <c r="H132" s="227">
        <f t="shared" si="13"/>
        <v>114.52</v>
      </c>
      <c r="I132" s="373">
        <f t="shared" si="14"/>
        <v>34354.26</v>
      </c>
      <c r="J132" s="374"/>
      <c r="K132" s="228">
        <v>3.0025212010084568E-2</v>
      </c>
      <c r="L132" s="375"/>
      <c r="M132" s="371"/>
      <c r="N132" s="371"/>
    </row>
    <row r="133" spans="1:14" ht="16.2" customHeight="1">
      <c r="A133" s="63" t="s">
        <v>268</v>
      </c>
      <c r="B133" s="13">
        <v>1035</v>
      </c>
      <c r="C133" s="65">
        <v>72</v>
      </c>
      <c r="D133" s="13" t="s">
        <v>40</v>
      </c>
      <c r="E133" s="17" t="s">
        <v>41</v>
      </c>
      <c r="F133" s="372">
        <v>3937</v>
      </c>
      <c r="G133" s="18">
        <v>8.0050000000000008</v>
      </c>
      <c r="H133" s="227">
        <f t="shared" si="13"/>
        <v>105.06</v>
      </c>
      <c r="I133" s="373">
        <f t="shared" si="14"/>
        <v>31515.69</v>
      </c>
      <c r="J133" s="374"/>
      <c r="K133" s="228">
        <v>2.9981261711430118E-2</v>
      </c>
      <c r="L133" s="375"/>
      <c r="M133" s="371"/>
      <c r="N133" s="376"/>
    </row>
    <row r="134" spans="1:14" ht="16.05" customHeight="1">
      <c r="A134" s="63" t="s">
        <v>268</v>
      </c>
      <c r="B134" s="13">
        <v>1035</v>
      </c>
      <c r="C134" s="65">
        <v>74</v>
      </c>
      <c r="D134" s="13" t="s">
        <v>40</v>
      </c>
      <c r="E134" s="17" t="s">
        <v>41</v>
      </c>
      <c r="F134" s="372">
        <v>3937</v>
      </c>
      <c r="G134" s="18">
        <v>7.8090000000000002</v>
      </c>
      <c r="H134" s="227">
        <f t="shared" si="13"/>
        <v>102.49</v>
      </c>
      <c r="I134" s="373">
        <f t="shared" si="14"/>
        <v>30744.03</v>
      </c>
      <c r="J134" s="374"/>
      <c r="K134" s="228">
        <v>2.9965424510180361E-2</v>
      </c>
      <c r="L134" s="375"/>
      <c r="M134" s="371"/>
      <c r="N134" s="376"/>
    </row>
    <row r="135" spans="1:14" ht="16.05" customHeight="1">
      <c r="A135" s="63" t="s">
        <v>268</v>
      </c>
      <c r="B135" s="13">
        <v>1035</v>
      </c>
      <c r="C135" s="65">
        <v>75</v>
      </c>
      <c r="D135" s="13" t="s">
        <v>40</v>
      </c>
      <c r="E135" s="17" t="s">
        <v>41</v>
      </c>
      <c r="F135" s="372">
        <v>3937</v>
      </c>
      <c r="G135" s="18">
        <v>7.9580000000000002</v>
      </c>
      <c r="H135" s="227">
        <f t="shared" si="13"/>
        <v>104.44</v>
      </c>
      <c r="I135" s="373">
        <f t="shared" si="14"/>
        <v>31330.65</v>
      </c>
      <c r="J135" s="374"/>
      <c r="K135" s="228">
        <v>3.0032671525508814E-2</v>
      </c>
      <c r="L135" s="375"/>
      <c r="M135" s="371"/>
      <c r="N135" s="376"/>
    </row>
    <row r="136" spans="1:14" ht="16.05" customHeight="1">
      <c r="A136" s="63" t="s">
        <v>268</v>
      </c>
      <c r="B136" s="13">
        <v>1035</v>
      </c>
      <c r="C136" s="65">
        <v>77</v>
      </c>
      <c r="D136" s="13" t="s">
        <v>40</v>
      </c>
      <c r="E136" s="17" t="s">
        <v>41</v>
      </c>
      <c r="F136" s="372">
        <v>3937</v>
      </c>
      <c r="G136" s="18">
        <v>8.2409999999999997</v>
      </c>
      <c r="H136" s="227">
        <f t="shared" si="13"/>
        <v>108.15</v>
      </c>
      <c r="I136" s="373">
        <f t="shared" si="14"/>
        <v>32444.82</v>
      </c>
      <c r="J136" s="374"/>
      <c r="K136" s="228">
        <v>2.9972090765683745E-2</v>
      </c>
      <c r="L136" s="375"/>
      <c r="M136" s="371"/>
      <c r="N136" s="376"/>
    </row>
    <row r="137" spans="1:14" ht="16.05" customHeight="1">
      <c r="A137" s="63" t="s">
        <v>268</v>
      </c>
      <c r="B137" s="13">
        <v>1080</v>
      </c>
      <c r="C137" s="65">
        <v>65</v>
      </c>
      <c r="D137" s="13" t="s">
        <v>40</v>
      </c>
      <c r="E137" s="17" t="s">
        <v>41</v>
      </c>
      <c r="F137" s="372">
        <v>3937</v>
      </c>
      <c r="G137" s="18">
        <v>7.8940000000000001</v>
      </c>
      <c r="H137" s="227">
        <f t="shared" si="13"/>
        <v>103.6</v>
      </c>
      <c r="I137" s="373">
        <f t="shared" si="14"/>
        <v>31078.68</v>
      </c>
      <c r="J137" s="374"/>
      <c r="K137" s="228">
        <v>3.0022802128198744E-2</v>
      </c>
      <c r="L137" s="375"/>
      <c r="M137" s="371"/>
      <c r="N137" s="376"/>
    </row>
    <row r="138" spans="1:14" ht="16.05" customHeight="1">
      <c r="A138" s="63" t="s">
        <v>268</v>
      </c>
      <c r="B138" s="13">
        <v>1080</v>
      </c>
      <c r="C138" s="65">
        <v>68</v>
      </c>
      <c r="D138" s="13" t="s">
        <v>40</v>
      </c>
      <c r="E138" s="17" t="s">
        <v>41</v>
      </c>
      <c r="F138" s="372">
        <v>3937</v>
      </c>
      <c r="G138" s="18">
        <v>7.9779999999999998</v>
      </c>
      <c r="H138" s="227">
        <f t="shared" si="13"/>
        <v>104.7</v>
      </c>
      <c r="I138" s="373">
        <f t="shared" si="14"/>
        <v>31409.39</v>
      </c>
      <c r="J138" s="374"/>
      <c r="K138" s="228">
        <v>2.9957382802707544E-2</v>
      </c>
      <c r="L138" s="375"/>
      <c r="M138" s="371"/>
      <c r="N138" s="376"/>
    </row>
    <row r="139" spans="1:14" ht="16.05" customHeight="1">
      <c r="A139" s="63" t="s">
        <v>268</v>
      </c>
      <c r="B139" s="13">
        <v>1080</v>
      </c>
      <c r="C139" s="65">
        <v>71</v>
      </c>
      <c r="D139" s="13" t="s">
        <v>40</v>
      </c>
      <c r="E139" s="17" t="s">
        <v>41</v>
      </c>
      <c r="F139" s="372">
        <v>3937</v>
      </c>
      <c r="G139" s="18">
        <v>8.2050000000000001</v>
      </c>
      <c r="H139" s="227">
        <f t="shared" si="13"/>
        <v>107.68</v>
      </c>
      <c r="I139" s="373">
        <f t="shared" si="14"/>
        <v>32303.09</v>
      </c>
      <c r="J139" s="374"/>
      <c r="K139" s="228">
        <v>2.9981718464351159E-2</v>
      </c>
      <c r="L139" s="375"/>
      <c r="M139" s="371"/>
      <c r="N139" s="376"/>
    </row>
    <row r="140" spans="1:14" ht="16.05" customHeight="1">
      <c r="A140" s="63" t="s">
        <v>268</v>
      </c>
      <c r="B140" s="13">
        <v>1080</v>
      </c>
      <c r="C140" s="65">
        <v>75</v>
      </c>
      <c r="D140" s="13" t="s">
        <v>40</v>
      </c>
      <c r="E140" s="17" t="s">
        <v>41</v>
      </c>
      <c r="F140" s="372">
        <v>3937</v>
      </c>
      <c r="G140" s="18">
        <v>8.3580000000000005</v>
      </c>
      <c r="H140" s="227">
        <f t="shared" si="13"/>
        <v>109.69</v>
      </c>
      <c r="I140" s="373">
        <f t="shared" si="14"/>
        <v>32905.449999999997</v>
      </c>
      <c r="J140" s="374"/>
      <c r="K140" s="228">
        <v>3.0031107920555078E-2</v>
      </c>
      <c r="L140" s="375"/>
      <c r="M140" s="371"/>
      <c r="N140" s="376"/>
    </row>
    <row r="141" spans="1:14" ht="16.05" customHeight="1">
      <c r="A141" s="63" t="s">
        <v>268</v>
      </c>
      <c r="B141" s="13">
        <v>1080</v>
      </c>
      <c r="C141" s="65">
        <v>77</v>
      </c>
      <c r="D141" s="13" t="s">
        <v>40</v>
      </c>
      <c r="E141" s="17" t="s">
        <v>41</v>
      </c>
      <c r="F141" s="372">
        <v>3937</v>
      </c>
      <c r="G141" s="18">
        <v>8.4770000000000003</v>
      </c>
      <c r="H141" s="227">
        <f t="shared" si="13"/>
        <v>111.25</v>
      </c>
      <c r="I141" s="373">
        <f t="shared" si="14"/>
        <v>33373.949999999997</v>
      </c>
      <c r="J141" s="374"/>
      <c r="K141" s="228">
        <v>2.9963430458888718E-2</v>
      </c>
      <c r="L141" s="375"/>
      <c r="M141" s="371"/>
      <c r="N141" s="376"/>
    </row>
    <row r="142" spans="1:14" ht="16.05" customHeight="1">
      <c r="A142" s="63" t="s">
        <v>268</v>
      </c>
      <c r="B142" s="13">
        <v>1078</v>
      </c>
      <c r="C142" s="65">
        <v>62</v>
      </c>
      <c r="D142" s="13" t="s">
        <v>40</v>
      </c>
      <c r="E142" s="17" t="s">
        <v>41</v>
      </c>
      <c r="F142" s="372">
        <v>3937</v>
      </c>
      <c r="G142" s="18">
        <v>8.2409999999999997</v>
      </c>
      <c r="H142" s="227">
        <f t="shared" si="13"/>
        <v>108.15</v>
      </c>
      <c r="I142" s="373">
        <f t="shared" si="14"/>
        <v>32444.82</v>
      </c>
      <c r="J142" s="374"/>
      <c r="K142" s="228">
        <v>2.9972090765683745E-2</v>
      </c>
      <c r="L142" s="375"/>
      <c r="M142" s="371"/>
      <c r="N142" s="376"/>
    </row>
    <row r="143" spans="1:14" ht="16.05" customHeight="1">
      <c r="A143" s="63" t="s">
        <v>268</v>
      </c>
      <c r="B143" s="13">
        <v>1078</v>
      </c>
      <c r="C143" s="65">
        <v>64</v>
      </c>
      <c r="D143" s="13" t="s">
        <v>40</v>
      </c>
      <c r="E143" s="17" t="s">
        <v>41</v>
      </c>
      <c r="F143" s="372">
        <v>3937</v>
      </c>
      <c r="G143" s="18">
        <v>8.3190000000000008</v>
      </c>
      <c r="H143" s="227">
        <f t="shared" si="13"/>
        <v>109.18</v>
      </c>
      <c r="I143" s="373">
        <f t="shared" si="14"/>
        <v>32751.9</v>
      </c>
      <c r="J143" s="374"/>
      <c r="K143" s="228">
        <v>8.0051688904916499E-2</v>
      </c>
      <c r="L143" s="375"/>
      <c r="M143" s="371"/>
      <c r="N143" s="376"/>
    </row>
    <row r="144" spans="1:14" ht="16.05" customHeight="1">
      <c r="A144" s="63" t="s">
        <v>268</v>
      </c>
      <c r="B144" s="13">
        <v>1078</v>
      </c>
      <c r="C144" s="65">
        <v>65</v>
      </c>
      <c r="D144" s="13" t="s">
        <v>40</v>
      </c>
      <c r="E144" s="17" t="s">
        <v>41</v>
      </c>
      <c r="F144" s="372">
        <v>3937</v>
      </c>
      <c r="G144" s="18">
        <v>7.5579999999999998</v>
      </c>
      <c r="H144" s="227">
        <f t="shared" si="13"/>
        <v>99.19</v>
      </c>
      <c r="I144" s="373">
        <f t="shared" si="14"/>
        <v>29755.85</v>
      </c>
      <c r="J144" s="374"/>
      <c r="K144" s="228">
        <v>0.08</v>
      </c>
      <c r="L144" s="375"/>
      <c r="M144" s="371"/>
      <c r="N144" s="376"/>
    </row>
    <row r="145" spans="1:14" ht="16.05" customHeight="1">
      <c r="A145" s="63" t="s">
        <v>268</v>
      </c>
      <c r="B145" s="13">
        <v>1078</v>
      </c>
      <c r="C145" s="65">
        <v>68</v>
      </c>
      <c r="D145" s="13" t="s">
        <v>40</v>
      </c>
      <c r="E145" s="17" t="s">
        <v>41</v>
      </c>
      <c r="F145" s="372">
        <v>3937</v>
      </c>
      <c r="G145" s="18">
        <v>7.94</v>
      </c>
      <c r="H145" s="227">
        <f t="shared" si="13"/>
        <v>104.2</v>
      </c>
      <c r="I145" s="373">
        <f t="shared" si="14"/>
        <v>31259.78</v>
      </c>
      <c r="J145" s="374"/>
      <c r="K145" s="228">
        <v>2.9974910867555771E-2</v>
      </c>
      <c r="L145" s="375"/>
      <c r="M145" s="371"/>
      <c r="N145" s="376"/>
    </row>
    <row r="146" spans="1:14" ht="16.05" customHeight="1">
      <c r="A146" s="63" t="s">
        <v>268</v>
      </c>
      <c r="B146" s="13">
        <v>1078</v>
      </c>
      <c r="C146" s="65">
        <v>71</v>
      </c>
      <c r="D146" s="13" t="s">
        <v>40</v>
      </c>
      <c r="E146" s="17" t="s">
        <v>41</v>
      </c>
      <c r="F146" s="372">
        <v>3937</v>
      </c>
      <c r="G146" s="18">
        <v>8.4770000000000003</v>
      </c>
      <c r="H146" s="227">
        <f t="shared" si="13"/>
        <v>111.25</v>
      </c>
      <c r="I146" s="373">
        <f t="shared" si="14"/>
        <v>33373.949999999997</v>
      </c>
      <c r="J146" s="374"/>
      <c r="K146" s="228">
        <v>2.9963430458888718E-2</v>
      </c>
      <c r="L146" s="375"/>
      <c r="M146" s="371"/>
      <c r="N146" s="376"/>
    </row>
    <row r="147" spans="1:14" ht="16.05" customHeight="1">
      <c r="A147" s="63" t="s">
        <v>268</v>
      </c>
      <c r="B147" s="13">
        <v>1078</v>
      </c>
      <c r="C147" s="65">
        <v>73</v>
      </c>
      <c r="D147" s="13" t="s">
        <v>40</v>
      </c>
      <c r="E147" s="17" t="s">
        <v>41</v>
      </c>
      <c r="F147" s="372">
        <v>3937</v>
      </c>
      <c r="G147" s="18">
        <v>8.5549999999999997</v>
      </c>
      <c r="H147" s="227">
        <f t="shared" si="13"/>
        <v>112.28</v>
      </c>
      <c r="I147" s="373">
        <f t="shared" si="14"/>
        <v>33681.040000000001</v>
      </c>
      <c r="J147" s="374"/>
      <c r="K147" s="228">
        <v>3.0040911747515997E-2</v>
      </c>
      <c r="L147" s="375"/>
      <c r="M147" s="371"/>
      <c r="N147" s="376"/>
    </row>
    <row r="148" spans="1:14" ht="16.05" customHeight="1">
      <c r="A148" s="63" t="s">
        <v>268</v>
      </c>
      <c r="B148" s="13">
        <v>1078</v>
      </c>
      <c r="C148" s="65">
        <v>74</v>
      </c>
      <c r="D148" s="13" t="s">
        <v>40</v>
      </c>
      <c r="E148" s="17" t="s">
        <v>41</v>
      </c>
      <c r="F148" s="372">
        <v>3937</v>
      </c>
      <c r="G148" s="18">
        <v>8.5549999999999997</v>
      </c>
      <c r="H148" s="227">
        <f t="shared" si="13"/>
        <v>112.28</v>
      </c>
      <c r="I148" s="373">
        <f t="shared" si="14"/>
        <v>33681.040000000001</v>
      </c>
      <c r="J148" s="374"/>
      <c r="K148" s="228">
        <v>3.0040911747515997E-2</v>
      </c>
      <c r="L148" s="375"/>
      <c r="M148" s="371"/>
      <c r="N148" s="376"/>
    </row>
    <row r="149" spans="1:14" ht="16.05" customHeight="1">
      <c r="A149" s="63" t="s">
        <v>268</v>
      </c>
      <c r="B149" s="13">
        <v>1078</v>
      </c>
      <c r="C149" s="65">
        <v>75</v>
      </c>
      <c r="D149" s="13" t="s">
        <v>40</v>
      </c>
      <c r="E149" s="17" t="s">
        <v>41</v>
      </c>
      <c r="F149" s="372">
        <v>3937</v>
      </c>
      <c r="G149" s="18">
        <v>8.6329999999999991</v>
      </c>
      <c r="H149" s="227">
        <f t="shared" si="13"/>
        <v>113.3</v>
      </c>
      <c r="I149" s="373">
        <f t="shared" si="14"/>
        <v>33988.120000000003</v>
      </c>
      <c r="J149" s="374"/>
      <c r="K149" s="228">
        <v>3.0001158345882128E-2</v>
      </c>
      <c r="L149" s="375"/>
      <c r="M149" s="371"/>
      <c r="N149" s="376"/>
    </row>
    <row r="150" spans="1:14" ht="16.05" customHeight="1">
      <c r="A150" s="63" t="s">
        <v>268</v>
      </c>
      <c r="B150" s="13">
        <v>3313</v>
      </c>
      <c r="C150" s="65">
        <v>56.999999999999993</v>
      </c>
      <c r="D150" s="13" t="s">
        <v>40</v>
      </c>
      <c r="E150" s="17" t="s">
        <v>41</v>
      </c>
      <c r="F150" s="65">
        <v>3937</v>
      </c>
      <c r="G150" s="18">
        <v>9.6539999999999999</v>
      </c>
      <c r="H150" s="227">
        <f t="shared" si="13"/>
        <v>126.7</v>
      </c>
      <c r="I150" s="373">
        <f t="shared" si="14"/>
        <v>38007.800000000003</v>
      </c>
      <c r="J150" s="374"/>
      <c r="K150" s="228">
        <v>3.0039361922519214E-2</v>
      </c>
      <c r="L150" s="375"/>
      <c r="M150" s="371"/>
      <c r="N150" s="376"/>
    </row>
    <row r="151" spans="1:14" ht="16.05" customHeight="1">
      <c r="A151" s="63" t="s">
        <v>268</v>
      </c>
      <c r="B151" s="13">
        <v>2116</v>
      </c>
      <c r="C151" s="65">
        <v>54</v>
      </c>
      <c r="D151" s="13" t="s">
        <v>43</v>
      </c>
      <c r="E151" s="17" t="s">
        <v>41</v>
      </c>
      <c r="F151" s="65">
        <v>2624.6</v>
      </c>
      <c r="G151" s="18">
        <v>9.4969999999999999</v>
      </c>
      <c r="H151" s="227">
        <f t="shared" si="13"/>
        <v>124.64</v>
      </c>
      <c r="I151" s="373">
        <f t="shared" si="14"/>
        <v>24925.83</v>
      </c>
      <c r="J151" s="374"/>
      <c r="K151" s="228">
        <v>3.0009476676845281E-2</v>
      </c>
      <c r="L151" s="375"/>
      <c r="M151" s="371"/>
      <c r="N151" s="376"/>
    </row>
    <row r="152" spans="1:14" ht="16.05" customHeight="1">
      <c r="A152" s="63" t="s">
        <v>268</v>
      </c>
      <c r="B152" s="13">
        <v>2116</v>
      </c>
      <c r="C152" s="65">
        <v>55.000000000000007</v>
      </c>
      <c r="D152" s="13" t="s">
        <v>43</v>
      </c>
      <c r="E152" s="17" t="s">
        <v>41</v>
      </c>
      <c r="F152" s="65">
        <v>2624.6</v>
      </c>
      <c r="G152" s="18">
        <v>9.4969999999999999</v>
      </c>
      <c r="H152" s="227">
        <f t="shared" si="13"/>
        <v>124.64</v>
      </c>
      <c r="I152" s="373">
        <f t="shared" si="14"/>
        <v>24925.83</v>
      </c>
      <c r="J152" s="374"/>
      <c r="K152" s="228">
        <v>3.0009476676845281E-2</v>
      </c>
      <c r="L152" s="375"/>
      <c r="M152" s="371"/>
      <c r="N152" s="376"/>
    </row>
    <row r="153" spans="1:14" ht="16.05" customHeight="1">
      <c r="A153" s="63" t="s">
        <v>268</v>
      </c>
      <c r="B153" s="13">
        <v>2116</v>
      </c>
      <c r="C153" s="65">
        <v>56.000000000000007</v>
      </c>
      <c r="D153" s="13" t="s">
        <v>43</v>
      </c>
      <c r="E153" s="17" t="s">
        <v>41</v>
      </c>
      <c r="F153" s="65">
        <v>2624.6</v>
      </c>
      <c r="G153" s="18">
        <v>8.8829999999999991</v>
      </c>
      <c r="H153" s="227">
        <f t="shared" si="13"/>
        <v>116.58</v>
      </c>
      <c r="I153" s="373">
        <f t="shared" si="14"/>
        <v>23314.32</v>
      </c>
      <c r="J153" s="374"/>
      <c r="K153" s="228">
        <v>2.9944838455476797E-2</v>
      </c>
      <c r="L153" s="375"/>
      <c r="M153" s="371"/>
      <c r="N153" s="376"/>
    </row>
    <row r="154" spans="1:14" ht="16.05" customHeight="1">
      <c r="A154" s="63" t="s">
        <v>268</v>
      </c>
      <c r="B154" s="13">
        <v>2116</v>
      </c>
      <c r="C154" s="65">
        <v>57.999999999999993</v>
      </c>
      <c r="D154" s="13" t="s">
        <v>43</v>
      </c>
      <c r="E154" s="17" t="s">
        <v>41</v>
      </c>
      <c r="F154" s="65">
        <v>2624.6</v>
      </c>
      <c r="G154" s="18">
        <v>9.4760000000000009</v>
      </c>
      <c r="H154" s="227">
        <f t="shared" si="13"/>
        <v>124.36</v>
      </c>
      <c r="I154" s="373">
        <f t="shared" si="14"/>
        <v>24870.71</v>
      </c>
      <c r="J154" s="374"/>
      <c r="K154" s="228">
        <v>2.9970451667370002E-2</v>
      </c>
      <c r="L154" s="375"/>
      <c r="M154" s="371"/>
      <c r="N154" s="376"/>
    </row>
    <row r="156" spans="1:14" ht="15.6">
      <c r="A156" s="4" t="s">
        <v>45</v>
      </c>
      <c r="B156" s="4"/>
      <c r="C156" s="21"/>
      <c r="D156" s="21"/>
      <c r="E156" s="21"/>
      <c r="F156" s="21"/>
      <c r="G156" s="21"/>
      <c r="H156" s="21"/>
      <c r="I156" s="21"/>
      <c r="J156" s="377"/>
      <c r="K156" s="23"/>
    </row>
    <row r="157" spans="1:14" ht="15.6">
      <c r="A157" s="21" t="s">
        <v>46</v>
      </c>
      <c r="B157" s="21"/>
      <c r="C157" s="21"/>
      <c r="D157" s="21"/>
      <c r="E157" s="21"/>
      <c r="F157" s="21"/>
      <c r="G157" s="21"/>
      <c r="H157" s="21"/>
      <c r="I157" s="21"/>
      <c r="J157" s="377"/>
      <c r="K157" s="23"/>
    </row>
    <row r="158" spans="1:14" ht="15.6">
      <c r="A158" s="24" t="s">
        <v>161</v>
      </c>
      <c r="B158" s="24"/>
      <c r="C158" s="21"/>
      <c r="D158" s="21"/>
      <c r="E158" s="21"/>
      <c r="F158" s="21"/>
      <c r="G158" s="21"/>
      <c r="H158" s="21"/>
      <c r="I158" s="21"/>
      <c r="J158" s="377"/>
      <c r="K158" s="23"/>
    </row>
    <row r="159" spans="1:14" ht="15.6">
      <c r="A159" s="346" t="s">
        <v>250</v>
      </c>
      <c r="B159" s="346"/>
      <c r="C159" s="347"/>
      <c r="D159" s="347"/>
      <c r="E159" s="347"/>
      <c r="F159" s="347"/>
      <c r="G159" s="347"/>
      <c r="H159" s="347"/>
      <c r="I159" s="348"/>
      <c r="J159" s="377"/>
      <c r="K159" s="23"/>
    </row>
    <row r="160" spans="1:14" ht="15.6">
      <c r="A160" s="346" t="s">
        <v>251</v>
      </c>
      <c r="B160" s="346"/>
      <c r="C160" s="347"/>
      <c r="D160" s="347"/>
      <c r="E160" s="347"/>
      <c r="F160" s="347"/>
      <c r="G160" s="347"/>
      <c r="H160" s="347"/>
      <c r="I160" s="348"/>
      <c r="J160" s="377"/>
      <c r="K160" s="23"/>
    </row>
    <row r="161" spans="1:11" ht="15.6">
      <c r="A161" s="317" t="s">
        <v>252</v>
      </c>
      <c r="B161" s="317"/>
      <c r="C161" s="315"/>
      <c r="D161" s="315"/>
      <c r="E161" s="315"/>
      <c r="F161" s="315"/>
      <c r="G161" s="315"/>
      <c r="H161" s="315"/>
      <c r="I161" s="316"/>
      <c r="J161" s="377"/>
      <c r="K161" s="23"/>
    </row>
    <row r="162" spans="1:11" ht="15.6">
      <c r="A162" s="317" t="s">
        <v>253</v>
      </c>
      <c r="B162" s="317"/>
      <c r="C162" s="315"/>
      <c r="D162" s="315"/>
      <c r="E162" s="315"/>
      <c r="F162" s="315"/>
      <c r="G162" s="315"/>
      <c r="H162" s="315"/>
      <c r="I162" s="316"/>
      <c r="J162" s="377"/>
      <c r="K162" s="23"/>
    </row>
    <row r="163" spans="1:11" ht="15.6">
      <c r="A163" s="346" t="s">
        <v>254</v>
      </c>
      <c r="B163" s="346"/>
      <c r="C163" s="347"/>
      <c r="D163" s="347"/>
      <c r="E163" s="347"/>
      <c r="F163" s="347"/>
      <c r="G163" s="347"/>
      <c r="H163" s="347"/>
      <c r="I163" s="348"/>
      <c r="J163" s="377"/>
      <c r="K163" s="23"/>
    </row>
    <row r="164" spans="1:11" ht="15.6">
      <c r="A164" s="346" t="s">
        <v>255</v>
      </c>
      <c r="B164" s="346"/>
      <c r="C164" s="347"/>
      <c r="D164" s="347"/>
      <c r="E164" s="347"/>
      <c r="F164" s="347"/>
      <c r="G164" s="347"/>
      <c r="H164" s="347"/>
      <c r="I164" s="348"/>
      <c r="J164" s="377"/>
      <c r="K164" s="23"/>
    </row>
    <row r="165" spans="1:11" ht="15.6">
      <c r="A165" s="24" t="s">
        <v>228</v>
      </c>
      <c r="B165" s="24"/>
      <c r="C165" s="21"/>
      <c r="D165" s="21"/>
      <c r="E165" s="21"/>
      <c r="F165" s="21"/>
      <c r="G165" s="21"/>
      <c r="H165" s="21"/>
      <c r="I165" s="21"/>
      <c r="J165" s="377"/>
      <c r="K165" s="23"/>
    </row>
    <row r="166" spans="1:11" ht="15.6">
      <c r="A166" s="231" t="s">
        <v>229</v>
      </c>
      <c r="B166" s="231"/>
      <c r="C166" s="21"/>
      <c r="D166" s="21"/>
      <c r="E166" s="21"/>
      <c r="F166" s="21"/>
      <c r="G166" s="21"/>
      <c r="H166" s="21"/>
      <c r="I166" s="21"/>
      <c r="J166" s="377"/>
      <c r="K166" s="23"/>
    </row>
    <row r="167" spans="1:11" ht="15.6">
      <c r="A167" s="231" t="s">
        <v>230</v>
      </c>
      <c r="B167" s="231"/>
      <c r="C167" s="21"/>
      <c r="D167" s="21"/>
      <c r="E167" s="21"/>
      <c r="F167" s="21"/>
      <c r="G167" s="21"/>
      <c r="H167" s="21"/>
      <c r="I167" s="21"/>
      <c r="J167" s="377"/>
      <c r="K167" s="23"/>
    </row>
    <row r="168" spans="1:11" ht="14.4">
      <c r="A168" s="378" t="s">
        <v>231</v>
      </c>
      <c r="B168" s="378"/>
      <c r="C168" s="379"/>
      <c r="D168" s="379"/>
      <c r="E168" s="379"/>
      <c r="F168" s="379"/>
      <c r="G168" s="379"/>
      <c r="H168" s="379"/>
      <c r="I168" s="379"/>
      <c r="J168" s="380"/>
    </row>
    <row r="169" spans="1:11">
      <c r="A169" s="266"/>
      <c r="B169" s="266"/>
    </row>
    <row r="170" spans="1:11" ht="15.6">
      <c r="A170" s="28" t="s">
        <v>269</v>
      </c>
      <c r="B170" s="28"/>
      <c r="C170" s="28"/>
      <c r="D170" s="28"/>
      <c r="E170" s="29"/>
      <c r="F170" s="29"/>
      <c r="G170" s="29"/>
      <c r="H170" s="30" t="s">
        <v>270</v>
      </c>
      <c r="I170" s="29"/>
      <c r="J170" s="29"/>
    </row>
  </sheetData>
  <mergeCells count="33">
    <mergeCell ref="I152:J152"/>
    <mergeCell ref="I153:J153"/>
    <mergeCell ref="I154:J154"/>
    <mergeCell ref="I146:J146"/>
    <mergeCell ref="I147:J147"/>
    <mergeCell ref="I148:J148"/>
    <mergeCell ref="I149:J149"/>
    <mergeCell ref="I150:J150"/>
    <mergeCell ref="I151:J151"/>
    <mergeCell ref="I140:J140"/>
    <mergeCell ref="I141:J141"/>
    <mergeCell ref="I142:J142"/>
    <mergeCell ref="I143:J143"/>
    <mergeCell ref="I144:J144"/>
    <mergeCell ref="I145:J145"/>
    <mergeCell ref="I134:J134"/>
    <mergeCell ref="I135:J135"/>
    <mergeCell ref="I136:J136"/>
    <mergeCell ref="I137:J137"/>
    <mergeCell ref="I138:J138"/>
    <mergeCell ref="I139:J139"/>
    <mergeCell ref="I128:J128"/>
    <mergeCell ref="I129:J129"/>
    <mergeCell ref="I130:J130"/>
    <mergeCell ref="I131:J131"/>
    <mergeCell ref="I132:J132"/>
    <mergeCell ref="I133:J133"/>
    <mergeCell ref="D1:N1"/>
    <mergeCell ref="A3:K3"/>
    <mergeCell ref="A4:K4"/>
    <mergeCell ref="A5:K5"/>
    <mergeCell ref="A11:N11"/>
    <mergeCell ref="A127:K127"/>
  </mergeCells>
  <phoneticPr fontId="18" type="noConversion"/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BD0B-0136-4F31-9DF9-1C65D87DF734}">
  <dimension ref="A1:L120"/>
  <sheetViews>
    <sheetView workbookViewId="0">
      <selection activeCell="P12" sqref="P12"/>
    </sheetView>
  </sheetViews>
  <sheetFormatPr defaultColWidth="10.296875" defaultRowHeight="13.8"/>
  <cols>
    <col min="1" max="10" width="7.69921875" style="207" customWidth="1"/>
    <col min="11" max="11" width="7.8984375" style="207" customWidth="1"/>
    <col min="12" max="12" width="8.09765625" style="207" customWidth="1"/>
    <col min="13" max="16384" width="10.296875" style="207"/>
  </cols>
  <sheetData>
    <row r="1" spans="1:12" ht="16.350000000000001" customHeight="1">
      <c r="C1" s="233"/>
      <c r="D1" s="233"/>
      <c r="E1" s="233"/>
      <c r="F1" s="233"/>
      <c r="G1" s="233"/>
      <c r="H1" s="233"/>
      <c r="I1" s="233"/>
      <c r="J1" s="233"/>
      <c r="K1" s="233"/>
      <c r="L1" s="233"/>
    </row>
    <row r="2" spans="1:12" ht="73.95" customHeight="1">
      <c r="C2" s="233"/>
      <c r="D2" s="233"/>
      <c r="E2" s="233"/>
      <c r="F2" s="233"/>
      <c r="G2" s="233"/>
      <c r="H2" s="233"/>
      <c r="I2" s="233"/>
      <c r="J2" s="233"/>
      <c r="K2" s="233"/>
      <c r="L2" s="233"/>
    </row>
    <row r="3" spans="1:12" ht="19.8" customHeight="1">
      <c r="A3" s="179" t="s">
        <v>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</row>
    <row r="4" spans="1:12" ht="15" customHeight="1">
      <c r="A4" s="108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</row>
    <row r="5" spans="1:12" ht="15" customHeight="1">
      <c r="A5" s="109" t="s">
        <v>2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</row>
    <row r="6" spans="1:12" ht="15" customHeight="1">
      <c r="A6" s="4" t="s">
        <v>3</v>
      </c>
      <c r="B6" s="4" t="s">
        <v>4</v>
      </c>
      <c r="C6" s="5"/>
      <c r="D6" s="5"/>
      <c r="E6" s="5"/>
      <c r="F6" s="5"/>
      <c r="G6" s="5"/>
      <c r="H6" s="5"/>
      <c r="I6" s="4" t="s">
        <v>5</v>
      </c>
      <c r="J6" s="235"/>
      <c r="K6" s="354"/>
    </row>
    <row r="7" spans="1:12" ht="15" customHeight="1">
      <c r="A7" s="4"/>
      <c r="B7" s="4" t="s">
        <v>6</v>
      </c>
      <c r="C7" s="5"/>
      <c r="D7" s="5"/>
      <c r="E7" s="5"/>
      <c r="F7" s="5"/>
      <c r="G7" s="5"/>
      <c r="H7" s="5"/>
      <c r="I7" s="7" t="s">
        <v>7</v>
      </c>
      <c r="J7" s="235"/>
      <c r="K7" s="354"/>
    </row>
    <row r="8" spans="1:12" ht="15" customHeight="1">
      <c r="A8" s="4" t="s">
        <v>8</v>
      </c>
      <c r="B8" s="4" t="s">
        <v>173</v>
      </c>
      <c r="C8" s="5"/>
      <c r="D8" s="5"/>
      <c r="E8" s="5"/>
      <c r="F8" s="5"/>
      <c r="G8" s="5"/>
      <c r="H8" s="5"/>
      <c r="I8" s="7" t="s">
        <v>256</v>
      </c>
      <c r="J8" s="235"/>
      <c r="K8" s="354"/>
    </row>
    <row r="9" spans="1:12" ht="15" customHeight="1">
      <c r="A9" s="4"/>
      <c r="B9" s="4" t="s">
        <v>174</v>
      </c>
      <c r="C9" s="5"/>
      <c r="D9" s="5"/>
      <c r="E9" s="5"/>
      <c r="F9" s="5"/>
      <c r="G9" s="5"/>
      <c r="H9" s="5"/>
      <c r="I9" s="8" t="s">
        <v>11</v>
      </c>
      <c r="K9" s="235"/>
    </row>
    <row r="10" spans="1:12" ht="15" customHeight="1">
      <c r="A10" s="5"/>
      <c r="B10" s="5"/>
      <c r="C10" s="5"/>
      <c r="D10" s="5"/>
      <c r="E10" s="5"/>
      <c r="F10" s="5"/>
      <c r="G10" s="5"/>
      <c r="H10" s="5"/>
      <c r="I10" s="5"/>
      <c r="L10" s="354"/>
    </row>
    <row r="11" spans="1:12" ht="28.2" customHeight="1">
      <c r="A11" s="355" t="s">
        <v>271</v>
      </c>
      <c r="B11" s="355"/>
      <c r="C11" s="355"/>
      <c r="D11" s="355"/>
      <c r="E11" s="355"/>
      <c r="F11" s="355"/>
      <c r="G11" s="355"/>
      <c r="H11" s="355"/>
      <c r="I11" s="355"/>
      <c r="J11" s="355"/>
      <c r="K11" s="355"/>
      <c r="L11" s="355"/>
    </row>
    <row r="12" spans="1:12" ht="23.4" customHeight="1">
      <c r="A12" s="382" t="s">
        <v>177</v>
      </c>
      <c r="B12" s="187" t="s">
        <v>14</v>
      </c>
      <c r="C12" s="187" t="s">
        <v>15</v>
      </c>
      <c r="D12" s="382" t="s">
        <v>178</v>
      </c>
      <c r="E12" s="187" t="s">
        <v>17</v>
      </c>
      <c r="F12" s="187" t="s">
        <v>18</v>
      </c>
      <c r="G12" s="382" t="s">
        <v>179</v>
      </c>
      <c r="H12" s="382" t="s">
        <v>180</v>
      </c>
      <c r="I12" s="382" t="s">
        <v>21</v>
      </c>
      <c r="J12" s="382" t="s">
        <v>181</v>
      </c>
      <c r="K12" s="383" t="s">
        <v>23</v>
      </c>
    </row>
    <row r="13" spans="1:12" ht="15" customHeight="1">
      <c r="A13" s="9" t="s">
        <v>272</v>
      </c>
      <c r="B13" s="64">
        <f>ROUND(C13*0.0254,3)</f>
        <v>5.0999999999999997E-2</v>
      </c>
      <c r="C13" s="357">
        <v>2</v>
      </c>
      <c r="D13" s="63" t="s">
        <v>25</v>
      </c>
      <c r="E13" s="13" t="s">
        <v>273</v>
      </c>
      <c r="F13" s="32" t="s">
        <v>274</v>
      </c>
      <c r="G13" s="384">
        <v>16.152000000000001</v>
      </c>
      <c r="H13" s="15">
        <f>ROUND(G13*12,2)</f>
        <v>193.82</v>
      </c>
      <c r="I13" s="15">
        <f>ROUND(G13*13.33,2)</f>
        <v>215.31</v>
      </c>
      <c r="J13" s="15">
        <f>ROUND(G13*14,2)</f>
        <v>226.13</v>
      </c>
      <c r="K13" s="13"/>
    </row>
    <row r="14" spans="1:12" ht="15" customHeight="1">
      <c r="A14" s="9" t="s">
        <v>275</v>
      </c>
      <c r="B14" s="64">
        <f t="shared" ref="B14:B75" si="0">ROUND(C14*0.0254,3)</f>
        <v>6.4000000000000001E-2</v>
      </c>
      <c r="C14" s="357">
        <v>2.5</v>
      </c>
      <c r="D14" s="63" t="s">
        <v>25</v>
      </c>
      <c r="E14" s="13" t="s">
        <v>273</v>
      </c>
      <c r="F14" s="32" t="s">
        <v>276</v>
      </c>
      <c r="G14" s="384">
        <v>15.452</v>
      </c>
      <c r="H14" s="15">
        <f t="shared" ref="H14:H75" si="1">ROUND(G14*12,2)</f>
        <v>185.42</v>
      </c>
      <c r="I14" s="15">
        <f t="shared" ref="I14:I75" si="2">ROUND(G14*13.33,2)</f>
        <v>205.98</v>
      </c>
      <c r="J14" s="15">
        <f t="shared" ref="J14:J75" si="3">ROUND(G14*14,2)</f>
        <v>216.33</v>
      </c>
      <c r="K14" s="13"/>
    </row>
    <row r="15" spans="1:12" ht="15" customHeight="1">
      <c r="A15" s="9" t="s">
        <v>275</v>
      </c>
      <c r="B15" s="64">
        <f t="shared" si="0"/>
        <v>7.5999999999999998E-2</v>
      </c>
      <c r="C15" s="357">
        <v>3</v>
      </c>
      <c r="D15" s="63" t="s">
        <v>25</v>
      </c>
      <c r="E15" s="13" t="s">
        <v>273</v>
      </c>
      <c r="F15" s="32" t="s">
        <v>276</v>
      </c>
      <c r="G15" s="384">
        <v>15.829000000000001</v>
      </c>
      <c r="H15" s="15">
        <f t="shared" si="1"/>
        <v>189.95</v>
      </c>
      <c r="I15" s="15">
        <f t="shared" si="2"/>
        <v>211</v>
      </c>
      <c r="J15" s="15">
        <f t="shared" si="3"/>
        <v>221.61</v>
      </c>
      <c r="K15" s="13"/>
    </row>
    <row r="16" spans="1:12" ht="15" customHeight="1">
      <c r="A16" s="9" t="s">
        <v>275</v>
      </c>
      <c r="B16" s="64">
        <f t="shared" si="0"/>
        <v>8.8999999999999996E-2</v>
      </c>
      <c r="C16" s="357">
        <v>3.5</v>
      </c>
      <c r="D16" s="63" t="s">
        <v>25</v>
      </c>
      <c r="E16" s="13" t="s">
        <v>273</v>
      </c>
      <c r="F16" s="32" t="s">
        <v>277</v>
      </c>
      <c r="G16" s="384">
        <v>18.847999999999999</v>
      </c>
      <c r="H16" s="15">
        <f t="shared" si="1"/>
        <v>226.18</v>
      </c>
      <c r="I16" s="15">
        <f t="shared" si="2"/>
        <v>251.24</v>
      </c>
      <c r="J16" s="15">
        <f t="shared" si="3"/>
        <v>263.87</v>
      </c>
      <c r="K16" s="13"/>
    </row>
    <row r="17" spans="1:11" ht="15" customHeight="1">
      <c r="A17" s="9" t="s">
        <v>275</v>
      </c>
      <c r="B17" s="64">
        <f t="shared" si="0"/>
        <v>8.8999999999999996E-2</v>
      </c>
      <c r="C17" s="357">
        <v>3.5</v>
      </c>
      <c r="D17" s="63" t="s">
        <v>25</v>
      </c>
      <c r="E17" s="13" t="s">
        <v>273</v>
      </c>
      <c r="F17" s="32" t="s">
        <v>276</v>
      </c>
      <c r="G17" s="384">
        <v>17.012</v>
      </c>
      <c r="H17" s="15">
        <f t="shared" si="1"/>
        <v>204.14</v>
      </c>
      <c r="I17" s="15">
        <f t="shared" si="2"/>
        <v>226.77</v>
      </c>
      <c r="J17" s="15">
        <f t="shared" si="3"/>
        <v>238.17</v>
      </c>
      <c r="K17" s="13"/>
    </row>
    <row r="18" spans="1:11" ht="15" customHeight="1">
      <c r="A18" s="9" t="s">
        <v>275</v>
      </c>
      <c r="B18" s="64">
        <f t="shared" si="0"/>
        <v>0.10199999999999999</v>
      </c>
      <c r="C18" s="357">
        <v>4</v>
      </c>
      <c r="D18" s="63" t="s">
        <v>25</v>
      </c>
      <c r="E18" s="13" t="s">
        <v>273</v>
      </c>
      <c r="F18" s="32" t="s">
        <v>278</v>
      </c>
      <c r="G18" s="384">
        <v>17.198</v>
      </c>
      <c r="H18" s="15">
        <f t="shared" si="1"/>
        <v>206.38</v>
      </c>
      <c r="I18" s="15">
        <f t="shared" si="2"/>
        <v>229.25</v>
      </c>
      <c r="J18" s="15">
        <f t="shared" si="3"/>
        <v>240.77</v>
      </c>
      <c r="K18" s="250"/>
    </row>
    <row r="19" spans="1:11" ht="15" customHeight="1">
      <c r="A19" s="9" t="s">
        <v>275</v>
      </c>
      <c r="B19" s="64">
        <f t="shared" si="0"/>
        <v>0.10199999999999999</v>
      </c>
      <c r="C19" s="357">
        <v>4</v>
      </c>
      <c r="D19" s="63" t="s">
        <v>25</v>
      </c>
      <c r="E19" s="13" t="s">
        <v>273</v>
      </c>
      <c r="F19" s="32" t="s">
        <v>279</v>
      </c>
      <c r="G19" s="384">
        <v>19.48</v>
      </c>
      <c r="H19" s="15">
        <f t="shared" si="1"/>
        <v>233.76</v>
      </c>
      <c r="I19" s="15">
        <f t="shared" si="2"/>
        <v>259.67</v>
      </c>
      <c r="J19" s="15">
        <f t="shared" si="3"/>
        <v>272.72000000000003</v>
      </c>
      <c r="K19" s="13"/>
    </row>
    <row r="20" spans="1:11" ht="15" customHeight="1">
      <c r="A20" s="9" t="s">
        <v>275</v>
      </c>
      <c r="B20" s="64">
        <f t="shared" si="0"/>
        <v>0.127</v>
      </c>
      <c r="C20" s="357">
        <v>5</v>
      </c>
      <c r="D20" s="63" t="s">
        <v>25</v>
      </c>
      <c r="E20" s="13" t="s">
        <v>273</v>
      </c>
      <c r="F20" s="32" t="s">
        <v>280</v>
      </c>
      <c r="G20" s="384">
        <v>18.146999999999998</v>
      </c>
      <c r="H20" s="15">
        <f t="shared" si="1"/>
        <v>217.76</v>
      </c>
      <c r="I20" s="15">
        <f t="shared" si="2"/>
        <v>241.9</v>
      </c>
      <c r="J20" s="15">
        <f t="shared" si="3"/>
        <v>254.06</v>
      </c>
      <c r="K20" s="13"/>
    </row>
    <row r="21" spans="1:11" ht="15" customHeight="1">
      <c r="A21" s="9" t="s">
        <v>275</v>
      </c>
      <c r="B21" s="64">
        <f t="shared" si="0"/>
        <v>0.127</v>
      </c>
      <c r="C21" s="357">
        <v>5</v>
      </c>
      <c r="D21" s="63" t="s">
        <v>25</v>
      </c>
      <c r="E21" s="13" t="s">
        <v>273</v>
      </c>
      <c r="F21" s="32" t="s">
        <v>281</v>
      </c>
      <c r="G21" s="384">
        <v>20.573</v>
      </c>
      <c r="H21" s="15">
        <f t="shared" si="1"/>
        <v>246.88</v>
      </c>
      <c r="I21" s="15">
        <f t="shared" si="2"/>
        <v>274.24</v>
      </c>
      <c r="J21" s="15">
        <f t="shared" si="3"/>
        <v>288.02</v>
      </c>
      <c r="K21" s="13"/>
    </row>
    <row r="22" spans="1:11" ht="15" customHeight="1">
      <c r="A22" s="9" t="s">
        <v>275</v>
      </c>
      <c r="B22" s="64">
        <f t="shared" si="0"/>
        <v>0.152</v>
      </c>
      <c r="C22" s="357">
        <v>6</v>
      </c>
      <c r="D22" s="63" t="s">
        <v>25</v>
      </c>
      <c r="E22" s="13" t="s">
        <v>273</v>
      </c>
      <c r="F22" s="32" t="s">
        <v>281</v>
      </c>
      <c r="G22" s="384">
        <v>20.800999999999998</v>
      </c>
      <c r="H22" s="15">
        <f t="shared" si="1"/>
        <v>249.61</v>
      </c>
      <c r="I22" s="15">
        <f t="shared" si="2"/>
        <v>277.27999999999997</v>
      </c>
      <c r="J22" s="15">
        <f t="shared" si="3"/>
        <v>291.20999999999998</v>
      </c>
      <c r="K22" s="13"/>
    </row>
    <row r="23" spans="1:11" ht="15" customHeight="1">
      <c r="A23" s="9" t="s">
        <v>275</v>
      </c>
      <c r="B23" s="64">
        <f t="shared" si="0"/>
        <v>0.152</v>
      </c>
      <c r="C23" s="357">
        <v>6</v>
      </c>
      <c r="D23" s="63" t="s">
        <v>25</v>
      </c>
      <c r="E23" s="13" t="s">
        <v>273</v>
      </c>
      <c r="F23" s="32" t="s">
        <v>282</v>
      </c>
      <c r="G23" s="384">
        <v>21.48</v>
      </c>
      <c r="H23" s="15">
        <f t="shared" si="1"/>
        <v>257.76</v>
      </c>
      <c r="I23" s="15">
        <f t="shared" si="2"/>
        <v>286.33</v>
      </c>
      <c r="J23" s="15">
        <f t="shared" si="3"/>
        <v>300.72000000000003</v>
      </c>
      <c r="K23" s="13"/>
    </row>
    <row r="24" spans="1:11" ht="15" customHeight="1">
      <c r="A24" s="9" t="s">
        <v>275</v>
      </c>
      <c r="B24" s="64">
        <f t="shared" si="0"/>
        <v>0.17799999999999999</v>
      </c>
      <c r="C24" s="357">
        <v>7</v>
      </c>
      <c r="D24" s="63" t="s">
        <v>25</v>
      </c>
      <c r="E24" s="13" t="s">
        <v>273</v>
      </c>
      <c r="F24" s="32" t="s">
        <v>281</v>
      </c>
      <c r="G24" s="384">
        <v>22.369</v>
      </c>
      <c r="H24" s="15">
        <f t="shared" si="1"/>
        <v>268.43</v>
      </c>
      <c r="I24" s="15">
        <f t="shared" si="2"/>
        <v>298.18</v>
      </c>
      <c r="J24" s="15">
        <f t="shared" si="3"/>
        <v>313.17</v>
      </c>
      <c r="K24" s="13"/>
    </row>
    <row r="25" spans="1:11" ht="15" customHeight="1">
      <c r="A25" s="9" t="s">
        <v>275</v>
      </c>
      <c r="B25" s="64">
        <f t="shared" si="0"/>
        <v>0.20300000000000001</v>
      </c>
      <c r="C25" s="357">
        <v>8</v>
      </c>
      <c r="D25" s="63" t="s">
        <v>25</v>
      </c>
      <c r="E25" s="13" t="s">
        <v>273</v>
      </c>
      <c r="F25" s="32" t="s">
        <v>283</v>
      </c>
      <c r="G25" s="384">
        <v>22.5</v>
      </c>
      <c r="H25" s="15">
        <f t="shared" si="1"/>
        <v>270</v>
      </c>
      <c r="I25" s="15">
        <f t="shared" si="2"/>
        <v>299.93</v>
      </c>
      <c r="J25" s="15">
        <f t="shared" si="3"/>
        <v>315</v>
      </c>
      <c r="K25" s="13"/>
    </row>
    <row r="26" spans="1:11" ht="15" customHeight="1">
      <c r="A26" s="9" t="s">
        <v>275</v>
      </c>
      <c r="B26" s="64">
        <f t="shared" si="0"/>
        <v>0.254</v>
      </c>
      <c r="C26" s="357">
        <v>10</v>
      </c>
      <c r="D26" s="63" t="s">
        <v>25</v>
      </c>
      <c r="E26" s="13" t="s">
        <v>273</v>
      </c>
      <c r="F26" s="32" t="s">
        <v>284</v>
      </c>
      <c r="G26" s="384">
        <v>25.030999999999999</v>
      </c>
      <c r="H26" s="15">
        <f t="shared" si="1"/>
        <v>300.37</v>
      </c>
      <c r="I26" s="15">
        <f t="shared" si="2"/>
        <v>333.66</v>
      </c>
      <c r="J26" s="15">
        <f t="shared" si="3"/>
        <v>350.43</v>
      </c>
      <c r="K26" s="13"/>
    </row>
    <row r="27" spans="1:11" ht="15" customHeight="1">
      <c r="A27" s="9" t="s">
        <v>275</v>
      </c>
      <c r="B27" s="64">
        <f t="shared" si="0"/>
        <v>0.30499999999999999</v>
      </c>
      <c r="C27" s="357">
        <v>12</v>
      </c>
      <c r="D27" s="63" t="s">
        <v>25</v>
      </c>
      <c r="E27" s="13" t="s">
        <v>273</v>
      </c>
      <c r="F27" s="32" t="s">
        <v>285</v>
      </c>
      <c r="G27" s="384">
        <v>28.384</v>
      </c>
      <c r="H27" s="15">
        <f t="shared" si="1"/>
        <v>340.61</v>
      </c>
      <c r="I27" s="15">
        <f t="shared" si="2"/>
        <v>378.36</v>
      </c>
      <c r="J27" s="15">
        <f t="shared" si="3"/>
        <v>397.38</v>
      </c>
      <c r="K27" s="13"/>
    </row>
    <row r="28" spans="1:11" ht="15" customHeight="1">
      <c r="A28" s="9" t="s">
        <v>275</v>
      </c>
      <c r="B28" s="64">
        <f t="shared" si="0"/>
        <v>0.40600000000000003</v>
      </c>
      <c r="C28" s="357">
        <v>16</v>
      </c>
      <c r="D28" s="63" t="s">
        <v>25</v>
      </c>
      <c r="E28" s="13" t="s">
        <v>273</v>
      </c>
      <c r="F28" s="32" t="s">
        <v>286</v>
      </c>
      <c r="G28" s="384">
        <v>36.091999999999999</v>
      </c>
      <c r="H28" s="15">
        <f t="shared" si="1"/>
        <v>433.1</v>
      </c>
      <c r="I28" s="15">
        <f t="shared" si="2"/>
        <v>481.11</v>
      </c>
      <c r="J28" s="15">
        <f t="shared" si="3"/>
        <v>505.29</v>
      </c>
      <c r="K28" s="13"/>
    </row>
    <row r="29" spans="1:11" ht="15" customHeight="1">
      <c r="A29" s="9" t="s">
        <v>275</v>
      </c>
      <c r="B29" s="64">
        <f t="shared" si="0"/>
        <v>0.50800000000000001</v>
      </c>
      <c r="C29" s="31">
        <v>20</v>
      </c>
      <c r="D29" s="63" t="s">
        <v>25</v>
      </c>
      <c r="E29" s="13" t="s">
        <v>273</v>
      </c>
      <c r="F29" s="32" t="s">
        <v>287</v>
      </c>
      <c r="G29" s="384">
        <v>37.948</v>
      </c>
      <c r="H29" s="15">
        <f t="shared" si="1"/>
        <v>455.38</v>
      </c>
      <c r="I29" s="15">
        <f t="shared" si="2"/>
        <v>505.85</v>
      </c>
      <c r="J29" s="15">
        <f t="shared" si="3"/>
        <v>531.27</v>
      </c>
      <c r="K29" s="13"/>
    </row>
    <row r="30" spans="1:11" ht="15" customHeight="1">
      <c r="A30" s="9" t="s">
        <v>275</v>
      </c>
      <c r="B30" s="64">
        <f t="shared" si="0"/>
        <v>0.63500000000000001</v>
      </c>
      <c r="C30" s="31">
        <v>25</v>
      </c>
      <c r="D30" s="63" t="s">
        <v>25</v>
      </c>
      <c r="E30" s="13" t="s">
        <v>273</v>
      </c>
      <c r="F30" s="32" t="s">
        <v>288</v>
      </c>
      <c r="G30" s="384">
        <v>45.107999999999997</v>
      </c>
      <c r="H30" s="15">
        <f t="shared" si="1"/>
        <v>541.29999999999995</v>
      </c>
      <c r="I30" s="15">
        <f t="shared" si="2"/>
        <v>601.29</v>
      </c>
      <c r="J30" s="15">
        <f t="shared" si="3"/>
        <v>631.51</v>
      </c>
      <c r="K30" s="13"/>
    </row>
    <row r="31" spans="1:11" ht="15" customHeight="1">
      <c r="A31" s="385" t="s">
        <v>275</v>
      </c>
      <c r="B31" s="64">
        <f t="shared" si="0"/>
        <v>0.76200000000000001</v>
      </c>
      <c r="C31" s="386">
        <v>30</v>
      </c>
      <c r="D31" s="63" t="s">
        <v>25</v>
      </c>
      <c r="E31" s="13" t="s">
        <v>273</v>
      </c>
      <c r="F31" s="387" t="s">
        <v>289</v>
      </c>
      <c r="G31" s="388">
        <v>51.311</v>
      </c>
      <c r="H31" s="15">
        <f t="shared" si="1"/>
        <v>615.73</v>
      </c>
      <c r="I31" s="15">
        <f t="shared" si="2"/>
        <v>683.98</v>
      </c>
      <c r="J31" s="15">
        <f t="shared" si="3"/>
        <v>718.35</v>
      </c>
      <c r="K31" s="13"/>
    </row>
    <row r="32" spans="1:11" ht="15" customHeight="1">
      <c r="A32" s="9" t="s">
        <v>275</v>
      </c>
      <c r="B32" s="64">
        <f t="shared" si="0"/>
        <v>5.0999999999999997E-2</v>
      </c>
      <c r="C32" s="357">
        <v>2</v>
      </c>
      <c r="D32" s="201" t="s">
        <v>28</v>
      </c>
      <c r="E32" s="13" t="s">
        <v>273</v>
      </c>
      <c r="F32" s="32" t="s">
        <v>274</v>
      </c>
      <c r="G32" s="384">
        <v>18.852</v>
      </c>
      <c r="H32" s="15">
        <f t="shared" si="1"/>
        <v>226.22</v>
      </c>
      <c r="I32" s="15">
        <f t="shared" si="2"/>
        <v>251.3</v>
      </c>
      <c r="J32" s="15">
        <f t="shared" si="3"/>
        <v>263.93</v>
      </c>
      <c r="K32" s="13"/>
    </row>
    <row r="33" spans="1:11" ht="15" customHeight="1">
      <c r="A33" s="9" t="s">
        <v>275</v>
      </c>
      <c r="B33" s="64">
        <f t="shared" si="0"/>
        <v>6.4000000000000001E-2</v>
      </c>
      <c r="C33" s="357">
        <v>2.5</v>
      </c>
      <c r="D33" s="201" t="s">
        <v>28</v>
      </c>
      <c r="E33" s="13" t="s">
        <v>273</v>
      </c>
      <c r="F33" s="32" t="s">
        <v>276</v>
      </c>
      <c r="G33" s="384">
        <v>18.152000000000001</v>
      </c>
      <c r="H33" s="15">
        <f t="shared" si="1"/>
        <v>217.82</v>
      </c>
      <c r="I33" s="15">
        <f t="shared" si="2"/>
        <v>241.97</v>
      </c>
      <c r="J33" s="15">
        <f t="shared" si="3"/>
        <v>254.13</v>
      </c>
      <c r="K33" s="13"/>
    </row>
    <row r="34" spans="1:11" ht="15" customHeight="1">
      <c r="A34" s="9" t="s">
        <v>275</v>
      </c>
      <c r="B34" s="64">
        <f t="shared" si="0"/>
        <v>7.5999999999999998E-2</v>
      </c>
      <c r="C34" s="357">
        <v>3</v>
      </c>
      <c r="D34" s="201" t="s">
        <v>28</v>
      </c>
      <c r="E34" s="13" t="s">
        <v>273</v>
      </c>
      <c r="F34" s="32" t="s">
        <v>276</v>
      </c>
      <c r="G34" s="384">
        <v>18.529</v>
      </c>
      <c r="H34" s="15">
        <f t="shared" si="1"/>
        <v>222.35</v>
      </c>
      <c r="I34" s="15">
        <f t="shared" si="2"/>
        <v>246.99</v>
      </c>
      <c r="J34" s="15">
        <f t="shared" si="3"/>
        <v>259.41000000000003</v>
      </c>
      <c r="K34" s="13"/>
    </row>
    <row r="35" spans="1:11" ht="15" customHeight="1">
      <c r="A35" s="9" t="s">
        <v>275</v>
      </c>
      <c r="B35" s="64">
        <f t="shared" si="0"/>
        <v>8.8999999999999996E-2</v>
      </c>
      <c r="C35" s="357">
        <v>3.5</v>
      </c>
      <c r="D35" s="201" t="s">
        <v>28</v>
      </c>
      <c r="E35" s="13" t="s">
        <v>273</v>
      </c>
      <c r="F35" s="32" t="s">
        <v>277</v>
      </c>
      <c r="G35" s="384">
        <v>21.547999999999998</v>
      </c>
      <c r="H35" s="15">
        <f t="shared" si="1"/>
        <v>258.58</v>
      </c>
      <c r="I35" s="15">
        <f t="shared" si="2"/>
        <v>287.23</v>
      </c>
      <c r="J35" s="15">
        <f t="shared" si="3"/>
        <v>301.67</v>
      </c>
      <c r="K35" s="13"/>
    </row>
    <row r="36" spans="1:11" ht="15" customHeight="1">
      <c r="A36" s="9" t="s">
        <v>275</v>
      </c>
      <c r="B36" s="64">
        <f t="shared" si="0"/>
        <v>8.8999999999999996E-2</v>
      </c>
      <c r="C36" s="357">
        <v>3.5</v>
      </c>
      <c r="D36" s="201" t="s">
        <v>28</v>
      </c>
      <c r="E36" s="13" t="s">
        <v>273</v>
      </c>
      <c r="F36" s="32" t="s">
        <v>276</v>
      </c>
      <c r="G36" s="384">
        <v>19.712</v>
      </c>
      <c r="H36" s="15">
        <f t="shared" si="1"/>
        <v>236.54</v>
      </c>
      <c r="I36" s="15">
        <f t="shared" si="2"/>
        <v>262.76</v>
      </c>
      <c r="J36" s="15">
        <f t="shared" si="3"/>
        <v>275.97000000000003</v>
      </c>
      <c r="K36" s="13"/>
    </row>
    <row r="37" spans="1:11" ht="15" customHeight="1">
      <c r="A37" s="9" t="s">
        <v>275</v>
      </c>
      <c r="B37" s="64">
        <f t="shared" si="0"/>
        <v>0.10199999999999999</v>
      </c>
      <c r="C37" s="357">
        <v>4</v>
      </c>
      <c r="D37" s="201" t="s">
        <v>28</v>
      </c>
      <c r="E37" s="13" t="s">
        <v>273</v>
      </c>
      <c r="F37" s="32" t="s">
        <v>278</v>
      </c>
      <c r="G37" s="384">
        <v>19.898</v>
      </c>
      <c r="H37" s="15">
        <f t="shared" si="1"/>
        <v>238.78</v>
      </c>
      <c r="I37" s="15">
        <f t="shared" si="2"/>
        <v>265.24</v>
      </c>
      <c r="J37" s="15">
        <f t="shared" si="3"/>
        <v>278.57</v>
      </c>
      <c r="K37" s="13"/>
    </row>
    <row r="38" spans="1:11" ht="15" customHeight="1">
      <c r="A38" s="9" t="s">
        <v>275</v>
      </c>
      <c r="B38" s="64">
        <f t="shared" si="0"/>
        <v>0.10199999999999999</v>
      </c>
      <c r="C38" s="357">
        <v>4</v>
      </c>
      <c r="D38" s="201" t="s">
        <v>28</v>
      </c>
      <c r="E38" s="13" t="s">
        <v>273</v>
      </c>
      <c r="F38" s="32" t="s">
        <v>279</v>
      </c>
      <c r="G38" s="384">
        <v>22.18</v>
      </c>
      <c r="H38" s="15">
        <f t="shared" si="1"/>
        <v>266.16000000000003</v>
      </c>
      <c r="I38" s="15">
        <f t="shared" si="2"/>
        <v>295.66000000000003</v>
      </c>
      <c r="J38" s="15">
        <f t="shared" si="3"/>
        <v>310.52</v>
      </c>
      <c r="K38" s="13"/>
    </row>
    <row r="39" spans="1:11" ht="15" customHeight="1">
      <c r="A39" s="9" t="s">
        <v>275</v>
      </c>
      <c r="B39" s="64">
        <f t="shared" si="0"/>
        <v>0.127</v>
      </c>
      <c r="C39" s="357">
        <v>5</v>
      </c>
      <c r="D39" s="201" t="s">
        <v>28</v>
      </c>
      <c r="E39" s="13" t="s">
        <v>273</v>
      </c>
      <c r="F39" s="32" t="s">
        <v>280</v>
      </c>
      <c r="G39" s="384">
        <v>20.847000000000001</v>
      </c>
      <c r="H39" s="15">
        <f t="shared" si="1"/>
        <v>250.16</v>
      </c>
      <c r="I39" s="15">
        <f t="shared" si="2"/>
        <v>277.89</v>
      </c>
      <c r="J39" s="15">
        <f t="shared" si="3"/>
        <v>291.86</v>
      </c>
      <c r="K39" s="13"/>
    </row>
    <row r="40" spans="1:11" ht="15" customHeight="1">
      <c r="A40" s="9" t="s">
        <v>275</v>
      </c>
      <c r="B40" s="64">
        <f t="shared" si="0"/>
        <v>0.127</v>
      </c>
      <c r="C40" s="357">
        <v>5</v>
      </c>
      <c r="D40" s="201" t="s">
        <v>28</v>
      </c>
      <c r="E40" s="13" t="s">
        <v>273</v>
      </c>
      <c r="F40" s="32" t="s">
        <v>281</v>
      </c>
      <c r="G40" s="384">
        <v>23.332999999999998</v>
      </c>
      <c r="H40" s="15">
        <f t="shared" si="1"/>
        <v>280</v>
      </c>
      <c r="I40" s="15">
        <f t="shared" si="2"/>
        <v>311.02999999999997</v>
      </c>
      <c r="J40" s="15">
        <f t="shared" si="3"/>
        <v>326.66000000000003</v>
      </c>
      <c r="K40" s="13"/>
    </row>
    <row r="41" spans="1:11" ht="15" customHeight="1">
      <c r="A41" s="9" t="s">
        <v>275</v>
      </c>
      <c r="B41" s="64">
        <f t="shared" si="0"/>
        <v>0.152</v>
      </c>
      <c r="C41" s="357">
        <v>6</v>
      </c>
      <c r="D41" s="201" t="s">
        <v>28</v>
      </c>
      <c r="E41" s="13" t="s">
        <v>273</v>
      </c>
      <c r="F41" s="32" t="s">
        <v>281</v>
      </c>
      <c r="G41" s="384">
        <v>23.573</v>
      </c>
      <c r="H41" s="15">
        <f t="shared" si="1"/>
        <v>282.88</v>
      </c>
      <c r="I41" s="15">
        <f t="shared" si="2"/>
        <v>314.23</v>
      </c>
      <c r="J41" s="15">
        <f t="shared" si="3"/>
        <v>330.02</v>
      </c>
      <c r="K41" s="13"/>
    </row>
    <row r="42" spans="1:11" ht="15" customHeight="1">
      <c r="A42" s="9" t="s">
        <v>275</v>
      </c>
      <c r="B42" s="64">
        <f t="shared" si="0"/>
        <v>0.152</v>
      </c>
      <c r="C42" s="357">
        <v>6</v>
      </c>
      <c r="D42" s="201" t="s">
        <v>28</v>
      </c>
      <c r="E42" s="13" t="s">
        <v>273</v>
      </c>
      <c r="F42" s="32" t="s">
        <v>282</v>
      </c>
      <c r="G42" s="384">
        <v>24.18</v>
      </c>
      <c r="H42" s="15">
        <f t="shared" si="1"/>
        <v>290.16000000000003</v>
      </c>
      <c r="I42" s="15">
        <f t="shared" si="2"/>
        <v>322.32</v>
      </c>
      <c r="J42" s="15">
        <f t="shared" si="3"/>
        <v>338.52</v>
      </c>
      <c r="K42" s="13"/>
    </row>
    <row r="43" spans="1:11" ht="15" customHeight="1">
      <c r="A43" s="9" t="s">
        <v>275</v>
      </c>
      <c r="B43" s="64">
        <f t="shared" si="0"/>
        <v>0.17799999999999999</v>
      </c>
      <c r="C43" s="357">
        <v>7</v>
      </c>
      <c r="D43" s="201" t="s">
        <v>28</v>
      </c>
      <c r="E43" s="13" t="s">
        <v>273</v>
      </c>
      <c r="F43" s="32" t="s">
        <v>281</v>
      </c>
      <c r="G43" s="384">
        <v>21.962700000000002</v>
      </c>
      <c r="H43" s="15">
        <f t="shared" si="1"/>
        <v>263.55</v>
      </c>
      <c r="I43" s="15">
        <f t="shared" si="2"/>
        <v>292.76</v>
      </c>
      <c r="J43" s="15">
        <f t="shared" si="3"/>
        <v>307.48</v>
      </c>
      <c r="K43" s="13"/>
    </row>
    <row r="44" spans="1:11" ht="15" customHeight="1">
      <c r="A44" s="9" t="s">
        <v>275</v>
      </c>
      <c r="B44" s="64">
        <f t="shared" si="0"/>
        <v>0.20300000000000001</v>
      </c>
      <c r="C44" s="357">
        <v>8</v>
      </c>
      <c r="D44" s="201" t="s">
        <v>28</v>
      </c>
      <c r="E44" s="13" t="s">
        <v>273</v>
      </c>
      <c r="F44" s="32" t="s">
        <v>283</v>
      </c>
      <c r="G44" s="384">
        <v>25.22</v>
      </c>
      <c r="H44" s="15">
        <f t="shared" si="1"/>
        <v>302.64</v>
      </c>
      <c r="I44" s="15">
        <f t="shared" si="2"/>
        <v>336.18</v>
      </c>
      <c r="J44" s="15">
        <f t="shared" si="3"/>
        <v>353.08</v>
      </c>
      <c r="K44" s="13"/>
    </row>
    <row r="45" spans="1:11" ht="15" customHeight="1">
      <c r="A45" s="9" t="s">
        <v>275</v>
      </c>
      <c r="B45" s="64">
        <f t="shared" si="0"/>
        <v>0.254</v>
      </c>
      <c r="C45" s="357">
        <v>10</v>
      </c>
      <c r="D45" s="201" t="s">
        <v>28</v>
      </c>
      <c r="E45" s="13" t="s">
        <v>273</v>
      </c>
      <c r="F45" s="32" t="s">
        <v>284</v>
      </c>
      <c r="G45" s="384">
        <v>27.731000000000002</v>
      </c>
      <c r="H45" s="15">
        <f t="shared" si="1"/>
        <v>332.77</v>
      </c>
      <c r="I45" s="15">
        <f t="shared" si="2"/>
        <v>369.65</v>
      </c>
      <c r="J45" s="15">
        <f t="shared" si="3"/>
        <v>388.23</v>
      </c>
      <c r="K45" s="13"/>
    </row>
    <row r="46" spans="1:11" ht="15" customHeight="1">
      <c r="A46" s="9" t="s">
        <v>275</v>
      </c>
      <c r="B46" s="64">
        <f t="shared" si="0"/>
        <v>0.30499999999999999</v>
      </c>
      <c r="C46" s="357">
        <v>12</v>
      </c>
      <c r="D46" s="201" t="s">
        <v>28</v>
      </c>
      <c r="E46" s="13" t="s">
        <v>273</v>
      </c>
      <c r="F46" s="32" t="s">
        <v>285</v>
      </c>
      <c r="G46" s="384">
        <v>31.084</v>
      </c>
      <c r="H46" s="15">
        <f t="shared" si="1"/>
        <v>373.01</v>
      </c>
      <c r="I46" s="15">
        <f t="shared" si="2"/>
        <v>414.35</v>
      </c>
      <c r="J46" s="15">
        <f t="shared" si="3"/>
        <v>435.18</v>
      </c>
      <c r="K46" s="13"/>
    </row>
    <row r="47" spans="1:11" ht="15" customHeight="1">
      <c r="A47" s="9" t="s">
        <v>275</v>
      </c>
      <c r="B47" s="64">
        <f t="shared" si="0"/>
        <v>0.40600000000000003</v>
      </c>
      <c r="C47" s="357">
        <v>16</v>
      </c>
      <c r="D47" s="201" t="s">
        <v>28</v>
      </c>
      <c r="E47" s="13" t="s">
        <v>273</v>
      </c>
      <c r="F47" s="32" t="s">
        <v>286</v>
      </c>
      <c r="G47" s="384">
        <v>38.927</v>
      </c>
      <c r="H47" s="15">
        <f t="shared" si="1"/>
        <v>467.12</v>
      </c>
      <c r="I47" s="15">
        <f t="shared" si="2"/>
        <v>518.9</v>
      </c>
      <c r="J47" s="15">
        <f t="shared" si="3"/>
        <v>544.98</v>
      </c>
      <c r="K47" s="13"/>
    </row>
    <row r="48" spans="1:11" ht="15" customHeight="1">
      <c r="A48" s="9" t="s">
        <v>275</v>
      </c>
      <c r="B48" s="64">
        <f t="shared" si="0"/>
        <v>0.50800000000000001</v>
      </c>
      <c r="C48" s="31">
        <v>20</v>
      </c>
      <c r="D48" s="201" t="s">
        <v>28</v>
      </c>
      <c r="E48" s="13" t="s">
        <v>273</v>
      </c>
      <c r="F48" s="32" t="s">
        <v>287</v>
      </c>
      <c r="G48" s="384">
        <v>40.783000000000001</v>
      </c>
      <c r="H48" s="15">
        <f t="shared" si="1"/>
        <v>489.4</v>
      </c>
      <c r="I48" s="15">
        <f t="shared" si="2"/>
        <v>543.64</v>
      </c>
      <c r="J48" s="15">
        <f t="shared" si="3"/>
        <v>570.96</v>
      </c>
      <c r="K48" s="13"/>
    </row>
    <row r="49" spans="1:11" ht="15" customHeight="1">
      <c r="A49" s="9" t="s">
        <v>275</v>
      </c>
      <c r="B49" s="64">
        <f t="shared" si="0"/>
        <v>0.63500000000000001</v>
      </c>
      <c r="C49" s="31">
        <v>25</v>
      </c>
      <c r="D49" s="201" t="s">
        <v>28</v>
      </c>
      <c r="E49" s="13" t="s">
        <v>273</v>
      </c>
      <c r="F49" s="32" t="s">
        <v>288</v>
      </c>
      <c r="G49" s="384">
        <v>47.942999999999998</v>
      </c>
      <c r="H49" s="15">
        <f t="shared" si="1"/>
        <v>575.32000000000005</v>
      </c>
      <c r="I49" s="15">
        <f t="shared" si="2"/>
        <v>639.08000000000004</v>
      </c>
      <c r="J49" s="15">
        <f t="shared" si="3"/>
        <v>671.2</v>
      </c>
      <c r="K49" s="13"/>
    </row>
    <row r="50" spans="1:11" ht="15" customHeight="1">
      <c r="A50" s="385" t="s">
        <v>275</v>
      </c>
      <c r="B50" s="64">
        <f t="shared" si="0"/>
        <v>0.76200000000000001</v>
      </c>
      <c r="C50" s="386">
        <v>30</v>
      </c>
      <c r="D50" s="201" t="s">
        <v>28</v>
      </c>
      <c r="E50" s="13" t="s">
        <v>273</v>
      </c>
      <c r="F50" s="387" t="s">
        <v>289</v>
      </c>
      <c r="G50" s="388">
        <v>54.146000000000001</v>
      </c>
      <c r="H50" s="15">
        <f t="shared" si="1"/>
        <v>649.75</v>
      </c>
      <c r="I50" s="15">
        <f t="shared" si="2"/>
        <v>721.77</v>
      </c>
      <c r="J50" s="15">
        <f t="shared" si="3"/>
        <v>758.04</v>
      </c>
      <c r="K50" s="13"/>
    </row>
    <row r="51" spans="1:11" ht="15" customHeight="1">
      <c r="A51" s="9" t="s">
        <v>275</v>
      </c>
      <c r="B51" s="64">
        <f t="shared" si="0"/>
        <v>5.0999999999999997E-2</v>
      </c>
      <c r="C51" s="357">
        <v>2</v>
      </c>
      <c r="D51" s="201" t="s">
        <v>138</v>
      </c>
      <c r="E51" s="13" t="s">
        <v>290</v>
      </c>
      <c r="F51" s="32" t="s">
        <v>274</v>
      </c>
      <c r="G51" s="389">
        <v>22.81</v>
      </c>
      <c r="H51" s="15">
        <f t="shared" si="1"/>
        <v>273.72000000000003</v>
      </c>
      <c r="I51" s="15">
        <f t="shared" si="2"/>
        <v>304.06</v>
      </c>
      <c r="J51" s="15">
        <f t="shared" si="3"/>
        <v>319.33999999999997</v>
      </c>
      <c r="K51" s="13"/>
    </row>
    <row r="52" spans="1:11" ht="15" customHeight="1">
      <c r="A52" s="9" t="s">
        <v>275</v>
      </c>
      <c r="B52" s="64">
        <f t="shared" si="0"/>
        <v>6.4000000000000001E-2</v>
      </c>
      <c r="C52" s="357">
        <v>2.5</v>
      </c>
      <c r="D52" s="201" t="s">
        <v>138</v>
      </c>
      <c r="E52" s="13" t="s">
        <v>290</v>
      </c>
      <c r="F52" s="32" t="s">
        <v>276</v>
      </c>
      <c r="G52" s="389">
        <v>21.81</v>
      </c>
      <c r="H52" s="15">
        <f t="shared" si="1"/>
        <v>261.72000000000003</v>
      </c>
      <c r="I52" s="15">
        <f t="shared" si="2"/>
        <v>290.73</v>
      </c>
      <c r="J52" s="15">
        <f t="shared" si="3"/>
        <v>305.33999999999997</v>
      </c>
      <c r="K52" s="13"/>
    </row>
    <row r="53" spans="1:11" ht="15" customHeight="1">
      <c r="A53" s="9" t="s">
        <v>275</v>
      </c>
      <c r="B53" s="64">
        <f t="shared" si="0"/>
        <v>7.5999999999999998E-2</v>
      </c>
      <c r="C53" s="357">
        <v>3</v>
      </c>
      <c r="D53" s="201" t="s">
        <v>138</v>
      </c>
      <c r="E53" s="13" t="s">
        <v>290</v>
      </c>
      <c r="F53" s="32" t="s">
        <v>276</v>
      </c>
      <c r="G53" s="389">
        <v>21.81</v>
      </c>
      <c r="H53" s="15">
        <f t="shared" si="1"/>
        <v>261.72000000000003</v>
      </c>
      <c r="I53" s="15">
        <f t="shared" si="2"/>
        <v>290.73</v>
      </c>
      <c r="J53" s="15">
        <f t="shared" si="3"/>
        <v>305.33999999999997</v>
      </c>
      <c r="K53" s="13"/>
    </row>
    <row r="54" spans="1:11" ht="15" customHeight="1">
      <c r="A54" s="9" t="s">
        <v>275</v>
      </c>
      <c r="B54" s="64">
        <f t="shared" si="0"/>
        <v>8.8999999999999996E-2</v>
      </c>
      <c r="C54" s="357">
        <v>3.5</v>
      </c>
      <c r="D54" s="201" t="s">
        <v>138</v>
      </c>
      <c r="E54" s="13" t="s">
        <v>290</v>
      </c>
      <c r="F54" s="32" t="s">
        <v>277</v>
      </c>
      <c r="G54" s="389">
        <v>22.966999999999999</v>
      </c>
      <c r="H54" s="15">
        <f t="shared" si="1"/>
        <v>275.60000000000002</v>
      </c>
      <c r="I54" s="15">
        <f t="shared" si="2"/>
        <v>306.14999999999998</v>
      </c>
      <c r="J54" s="15">
        <f t="shared" si="3"/>
        <v>321.54000000000002</v>
      </c>
      <c r="K54" s="13"/>
    </row>
    <row r="55" spans="1:11" ht="15" customHeight="1">
      <c r="A55" s="9" t="s">
        <v>275</v>
      </c>
      <c r="B55" s="64">
        <f t="shared" si="0"/>
        <v>8.8999999999999996E-2</v>
      </c>
      <c r="C55" s="357">
        <v>3.5</v>
      </c>
      <c r="D55" s="201" t="s">
        <v>138</v>
      </c>
      <c r="E55" s="13" t="s">
        <v>290</v>
      </c>
      <c r="F55" s="32" t="s">
        <v>276</v>
      </c>
      <c r="G55" s="389">
        <v>22.131</v>
      </c>
      <c r="H55" s="15">
        <f t="shared" si="1"/>
        <v>265.57</v>
      </c>
      <c r="I55" s="15">
        <f t="shared" si="2"/>
        <v>295.01</v>
      </c>
      <c r="J55" s="15">
        <f t="shared" si="3"/>
        <v>309.83</v>
      </c>
      <c r="K55" s="13"/>
    </row>
    <row r="56" spans="1:11" ht="15" customHeight="1">
      <c r="A56" s="9" t="s">
        <v>275</v>
      </c>
      <c r="B56" s="64">
        <f t="shared" si="0"/>
        <v>0.10199999999999999</v>
      </c>
      <c r="C56" s="357">
        <v>4</v>
      </c>
      <c r="D56" s="201" t="s">
        <v>138</v>
      </c>
      <c r="E56" s="13" t="s">
        <v>290</v>
      </c>
      <c r="F56" s="32" t="s">
        <v>278</v>
      </c>
      <c r="G56" s="389">
        <v>22.96</v>
      </c>
      <c r="H56" s="15">
        <f t="shared" si="1"/>
        <v>275.52</v>
      </c>
      <c r="I56" s="15">
        <f t="shared" si="2"/>
        <v>306.06</v>
      </c>
      <c r="J56" s="15">
        <f t="shared" si="3"/>
        <v>321.44</v>
      </c>
      <c r="K56" s="13"/>
    </row>
    <row r="57" spans="1:11" ht="15" customHeight="1">
      <c r="A57" s="9" t="s">
        <v>275</v>
      </c>
      <c r="B57" s="64">
        <f t="shared" si="0"/>
        <v>0.10199999999999999</v>
      </c>
      <c r="C57" s="357">
        <v>4</v>
      </c>
      <c r="D57" s="201" t="s">
        <v>138</v>
      </c>
      <c r="E57" s="13" t="s">
        <v>290</v>
      </c>
      <c r="F57" s="32" t="s">
        <v>279</v>
      </c>
      <c r="G57" s="389">
        <v>24.553000000000001</v>
      </c>
      <c r="H57" s="15">
        <f t="shared" si="1"/>
        <v>294.64</v>
      </c>
      <c r="I57" s="15">
        <f t="shared" si="2"/>
        <v>327.29000000000002</v>
      </c>
      <c r="J57" s="15">
        <f t="shared" si="3"/>
        <v>343.74</v>
      </c>
      <c r="K57" s="13"/>
    </row>
    <row r="58" spans="1:11" ht="15" customHeight="1">
      <c r="A58" s="9" t="s">
        <v>275</v>
      </c>
      <c r="B58" s="64">
        <f t="shared" si="0"/>
        <v>0.127</v>
      </c>
      <c r="C58" s="357">
        <v>5</v>
      </c>
      <c r="D58" s="201" t="s">
        <v>138</v>
      </c>
      <c r="E58" s="13" t="s">
        <v>290</v>
      </c>
      <c r="F58" s="32" t="s">
        <v>280</v>
      </c>
      <c r="G58" s="389">
        <v>23.196000000000002</v>
      </c>
      <c r="H58" s="15">
        <f t="shared" si="1"/>
        <v>278.35000000000002</v>
      </c>
      <c r="I58" s="15">
        <f t="shared" si="2"/>
        <v>309.2</v>
      </c>
      <c r="J58" s="15">
        <f t="shared" si="3"/>
        <v>324.74</v>
      </c>
      <c r="K58" s="13"/>
    </row>
    <row r="59" spans="1:11" ht="15" customHeight="1">
      <c r="A59" s="9" t="s">
        <v>275</v>
      </c>
      <c r="B59" s="64">
        <f t="shared" si="0"/>
        <v>0.127</v>
      </c>
      <c r="C59" s="357">
        <v>5</v>
      </c>
      <c r="D59" s="201" t="s">
        <v>138</v>
      </c>
      <c r="E59" s="13" t="s">
        <v>290</v>
      </c>
      <c r="F59" s="32" t="s">
        <v>281</v>
      </c>
      <c r="G59" s="389">
        <v>23.937000000000001</v>
      </c>
      <c r="H59" s="15">
        <f t="shared" si="1"/>
        <v>287.24</v>
      </c>
      <c r="I59" s="15">
        <f t="shared" si="2"/>
        <v>319.08</v>
      </c>
      <c r="J59" s="15">
        <f t="shared" si="3"/>
        <v>335.12</v>
      </c>
      <c r="K59" s="13"/>
    </row>
    <row r="60" spans="1:11" ht="15" customHeight="1">
      <c r="A60" s="9" t="s">
        <v>275</v>
      </c>
      <c r="B60" s="64">
        <f t="shared" si="0"/>
        <v>0.152</v>
      </c>
      <c r="C60" s="357">
        <v>6</v>
      </c>
      <c r="D60" s="201" t="s">
        <v>138</v>
      </c>
      <c r="E60" s="13" t="s">
        <v>290</v>
      </c>
      <c r="F60" s="32" t="s">
        <v>281</v>
      </c>
      <c r="G60" s="389">
        <v>25.193000000000001</v>
      </c>
      <c r="H60" s="15">
        <f t="shared" si="1"/>
        <v>302.32</v>
      </c>
      <c r="I60" s="15">
        <f t="shared" si="2"/>
        <v>335.82</v>
      </c>
      <c r="J60" s="15">
        <f t="shared" si="3"/>
        <v>352.7</v>
      </c>
      <c r="K60" s="13"/>
    </row>
    <row r="61" spans="1:11" ht="15" customHeight="1">
      <c r="A61" s="9" t="s">
        <v>275</v>
      </c>
      <c r="B61" s="64">
        <f t="shared" si="0"/>
        <v>0.152</v>
      </c>
      <c r="C61" s="357">
        <v>6</v>
      </c>
      <c r="D61" s="201" t="s">
        <v>138</v>
      </c>
      <c r="E61" s="13" t="s">
        <v>290</v>
      </c>
      <c r="F61" s="32" t="s">
        <v>282</v>
      </c>
      <c r="G61" s="389">
        <v>25.332000000000001</v>
      </c>
      <c r="H61" s="15">
        <f t="shared" si="1"/>
        <v>303.98</v>
      </c>
      <c r="I61" s="15">
        <f t="shared" si="2"/>
        <v>337.68</v>
      </c>
      <c r="J61" s="15">
        <f t="shared" si="3"/>
        <v>354.65</v>
      </c>
      <c r="K61" s="13"/>
    </row>
    <row r="62" spans="1:11" ht="15" customHeight="1">
      <c r="A62" s="385" t="s">
        <v>275</v>
      </c>
      <c r="B62" s="64">
        <f t="shared" si="0"/>
        <v>0.40600000000000003</v>
      </c>
      <c r="C62" s="390">
        <v>16</v>
      </c>
      <c r="D62" s="201" t="s">
        <v>138</v>
      </c>
      <c r="E62" s="13" t="s">
        <v>290</v>
      </c>
      <c r="F62" s="32" t="s">
        <v>286</v>
      </c>
      <c r="G62" s="389">
        <v>46</v>
      </c>
      <c r="H62" s="15">
        <f t="shared" si="1"/>
        <v>552</v>
      </c>
      <c r="I62" s="15">
        <f t="shared" si="2"/>
        <v>613.17999999999995</v>
      </c>
      <c r="J62" s="15">
        <f t="shared" si="3"/>
        <v>644</v>
      </c>
      <c r="K62" s="13"/>
    </row>
    <row r="63" spans="1:11" ht="15" customHeight="1">
      <c r="A63" s="9" t="s">
        <v>275</v>
      </c>
      <c r="B63" s="64">
        <f t="shared" si="0"/>
        <v>5.0999999999999997E-2</v>
      </c>
      <c r="C63" s="357">
        <v>2</v>
      </c>
      <c r="D63" s="201" t="s">
        <v>29</v>
      </c>
      <c r="E63" s="13" t="s">
        <v>137</v>
      </c>
      <c r="F63" s="32" t="s">
        <v>274</v>
      </c>
      <c r="G63" s="384">
        <v>22.023</v>
      </c>
      <c r="H63" s="15">
        <f t="shared" si="1"/>
        <v>264.27999999999997</v>
      </c>
      <c r="I63" s="15">
        <f t="shared" si="2"/>
        <v>293.57</v>
      </c>
      <c r="J63" s="15">
        <f t="shared" si="3"/>
        <v>308.32</v>
      </c>
      <c r="K63" s="13"/>
    </row>
    <row r="64" spans="1:11" ht="15" customHeight="1">
      <c r="A64" s="9" t="s">
        <v>275</v>
      </c>
      <c r="B64" s="64">
        <f t="shared" si="0"/>
        <v>6.4000000000000001E-2</v>
      </c>
      <c r="C64" s="357">
        <v>2.5</v>
      </c>
      <c r="D64" s="201" t="s">
        <v>29</v>
      </c>
      <c r="E64" s="13" t="s">
        <v>137</v>
      </c>
      <c r="F64" s="32" t="s">
        <v>276</v>
      </c>
      <c r="G64" s="384">
        <v>23.001999999999999</v>
      </c>
      <c r="H64" s="15">
        <f t="shared" si="1"/>
        <v>276.02</v>
      </c>
      <c r="I64" s="15">
        <f t="shared" si="2"/>
        <v>306.62</v>
      </c>
      <c r="J64" s="15">
        <f t="shared" si="3"/>
        <v>322.02999999999997</v>
      </c>
      <c r="K64" s="13"/>
    </row>
    <row r="65" spans="1:12" ht="15" customHeight="1">
      <c r="A65" s="9" t="s">
        <v>275</v>
      </c>
      <c r="B65" s="64">
        <f t="shared" si="0"/>
        <v>7.5999999999999998E-2</v>
      </c>
      <c r="C65" s="357">
        <v>3</v>
      </c>
      <c r="D65" s="201" t="s">
        <v>29</v>
      </c>
      <c r="E65" s="13" t="s">
        <v>137</v>
      </c>
      <c r="F65" s="32" t="s">
        <v>276</v>
      </c>
      <c r="G65" s="384">
        <v>23.001999999999999</v>
      </c>
      <c r="H65" s="15">
        <f t="shared" si="1"/>
        <v>276.02</v>
      </c>
      <c r="I65" s="15">
        <f t="shared" si="2"/>
        <v>306.62</v>
      </c>
      <c r="J65" s="15">
        <f t="shared" si="3"/>
        <v>322.02999999999997</v>
      </c>
      <c r="K65" s="250"/>
    </row>
    <row r="66" spans="1:12" ht="15" customHeight="1">
      <c r="A66" s="9" t="s">
        <v>275</v>
      </c>
      <c r="B66" s="64">
        <f t="shared" si="0"/>
        <v>8.8999999999999996E-2</v>
      </c>
      <c r="C66" s="357">
        <v>3.5</v>
      </c>
      <c r="D66" s="201" t="s">
        <v>29</v>
      </c>
      <c r="E66" s="13" t="s">
        <v>137</v>
      </c>
      <c r="F66" s="32" t="s">
        <v>277</v>
      </c>
      <c r="G66" s="384">
        <v>24.695</v>
      </c>
      <c r="H66" s="15">
        <f t="shared" si="1"/>
        <v>296.33999999999997</v>
      </c>
      <c r="I66" s="15">
        <f t="shared" si="2"/>
        <v>329.18</v>
      </c>
      <c r="J66" s="15">
        <f t="shared" si="3"/>
        <v>345.73</v>
      </c>
      <c r="K66" s="250"/>
    </row>
    <row r="67" spans="1:12" ht="15" customHeight="1">
      <c r="A67" s="9" t="s">
        <v>275</v>
      </c>
      <c r="B67" s="64">
        <f t="shared" si="0"/>
        <v>8.8999999999999996E-2</v>
      </c>
      <c r="C67" s="357">
        <v>3.5</v>
      </c>
      <c r="D67" s="201" t="s">
        <v>29</v>
      </c>
      <c r="E67" s="13" t="s">
        <v>137</v>
      </c>
      <c r="F67" s="32" t="s">
        <v>276</v>
      </c>
      <c r="G67" s="384">
        <v>24.041</v>
      </c>
      <c r="H67" s="15">
        <f t="shared" si="1"/>
        <v>288.49</v>
      </c>
      <c r="I67" s="15">
        <f t="shared" si="2"/>
        <v>320.47000000000003</v>
      </c>
      <c r="J67" s="15">
        <f t="shared" si="3"/>
        <v>336.57</v>
      </c>
      <c r="K67" s="250"/>
    </row>
    <row r="68" spans="1:12" ht="15" customHeight="1">
      <c r="A68" s="9" t="s">
        <v>275</v>
      </c>
      <c r="B68" s="64">
        <f t="shared" si="0"/>
        <v>0.10199999999999999</v>
      </c>
      <c r="C68" s="357">
        <v>4</v>
      </c>
      <c r="D68" s="201" t="s">
        <v>29</v>
      </c>
      <c r="E68" s="13" t="s">
        <v>137</v>
      </c>
      <c r="F68" s="32" t="s">
        <v>278</v>
      </c>
      <c r="G68" s="384">
        <v>24.245999999999999</v>
      </c>
      <c r="H68" s="15">
        <f t="shared" si="1"/>
        <v>290.95</v>
      </c>
      <c r="I68" s="15">
        <f t="shared" si="2"/>
        <v>323.2</v>
      </c>
      <c r="J68" s="15">
        <f t="shared" si="3"/>
        <v>339.44</v>
      </c>
      <c r="K68" s="250"/>
    </row>
    <row r="69" spans="1:12" ht="15" customHeight="1">
      <c r="A69" s="9" t="s">
        <v>275</v>
      </c>
      <c r="B69" s="64">
        <f t="shared" si="0"/>
        <v>0.10199999999999999</v>
      </c>
      <c r="C69" s="357">
        <v>4</v>
      </c>
      <c r="D69" s="201" t="s">
        <v>29</v>
      </c>
      <c r="E69" s="13" t="s">
        <v>137</v>
      </c>
      <c r="F69" s="32" t="s">
        <v>279</v>
      </c>
      <c r="G69" s="384">
        <v>25.36</v>
      </c>
      <c r="H69" s="15">
        <f t="shared" si="1"/>
        <v>304.32</v>
      </c>
      <c r="I69" s="15">
        <f t="shared" si="2"/>
        <v>338.05</v>
      </c>
      <c r="J69" s="15">
        <f t="shared" si="3"/>
        <v>355.04</v>
      </c>
      <c r="K69" s="250"/>
    </row>
    <row r="70" spans="1:12" ht="15" customHeight="1">
      <c r="A70" s="9" t="s">
        <v>275</v>
      </c>
      <c r="B70" s="64">
        <f t="shared" si="0"/>
        <v>0.127</v>
      </c>
      <c r="C70" s="357">
        <v>5</v>
      </c>
      <c r="D70" s="201" t="s">
        <v>29</v>
      </c>
      <c r="E70" s="13" t="s">
        <v>137</v>
      </c>
      <c r="F70" s="32" t="s">
        <v>280</v>
      </c>
      <c r="G70" s="384">
        <v>25.027000000000001</v>
      </c>
      <c r="H70" s="15">
        <f t="shared" si="1"/>
        <v>300.32</v>
      </c>
      <c r="I70" s="15">
        <f t="shared" si="2"/>
        <v>333.61</v>
      </c>
      <c r="J70" s="15">
        <f t="shared" si="3"/>
        <v>350.38</v>
      </c>
      <c r="K70" s="250"/>
    </row>
    <row r="71" spans="1:12" ht="15" customHeight="1">
      <c r="A71" s="9" t="s">
        <v>275</v>
      </c>
      <c r="B71" s="64">
        <f t="shared" si="0"/>
        <v>0.127</v>
      </c>
      <c r="C71" s="357">
        <v>5</v>
      </c>
      <c r="D71" s="201" t="s">
        <v>29</v>
      </c>
      <c r="E71" s="13" t="s">
        <v>137</v>
      </c>
      <c r="F71" s="32" t="s">
        <v>281</v>
      </c>
      <c r="G71" s="384">
        <v>26.065000000000001</v>
      </c>
      <c r="H71" s="15">
        <f t="shared" si="1"/>
        <v>312.77999999999997</v>
      </c>
      <c r="I71" s="15">
        <f t="shared" si="2"/>
        <v>347.45</v>
      </c>
      <c r="J71" s="15">
        <f t="shared" si="3"/>
        <v>364.91</v>
      </c>
      <c r="K71" s="250"/>
    </row>
    <row r="72" spans="1:12" ht="15" customHeight="1">
      <c r="A72" s="9" t="s">
        <v>275</v>
      </c>
      <c r="B72" s="64">
        <f t="shared" si="0"/>
        <v>0.152</v>
      </c>
      <c r="C72" s="357">
        <v>6</v>
      </c>
      <c r="D72" s="201" t="s">
        <v>29</v>
      </c>
      <c r="E72" s="13" t="s">
        <v>137</v>
      </c>
      <c r="F72" s="32" t="s">
        <v>281</v>
      </c>
      <c r="G72" s="384">
        <v>27.649000000000001</v>
      </c>
      <c r="H72" s="15">
        <f t="shared" si="1"/>
        <v>331.79</v>
      </c>
      <c r="I72" s="15">
        <f t="shared" si="2"/>
        <v>368.56</v>
      </c>
      <c r="J72" s="15">
        <f t="shared" si="3"/>
        <v>387.09</v>
      </c>
      <c r="K72" s="250"/>
    </row>
    <row r="73" spans="1:12" ht="15" customHeight="1">
      <c r="A73" s="9" t="s">
        <v>275</v>
      </c>
      <c r="B73" s="64">
        <f t="shared" si="0"/>
        <v>0.152</v>
      </c>
      <c r="C73" s="357">
        <v>6</v>
      </c>
      <c r="D73" s="201" t="s">
        <v>29</v>
      </c>
      <c r="E73" s="13" t="s">
        <v>137</v>
      </c>
      <c r="F73" s="32" t="s">
        <v>282</v>
      </c>
      <c r="G73" s="384">
        <v>27.687999999999999</v>
      </c>
      <c r="H73" s="15">
        <f t="shared" si="1"/>
        <v>332.26</v>
      </c>
      <c r="I73" s="15">
        <f t="shared" si="2"/>
        <v>369.08</v>
      </c>
      <c r="J73" s="15">
        <f t="shared" si="3"/>
        <v>387.63</v>
      </c>
      <c r="K73" s="250"/>
    </row>
    <row r="74" spans="1:12" ht="15" customHeight="1">
      <c r="A74" s="9" t="s">
        <v>275</v>
      </c>
      <c r="B74" s="64">
        <f t="shared" si="0"/>
        <v>0.50800000000000001</v>
      </c>
      <c r="C74" s="357">
        <v>20</v>
      </c>
      <c r="D74" s="201" t="s">
        <v>29</v>
      </c>
      <c r="E74" s="13" t="s">
        <v>137</v>
      </c>
      <c r="F74" s="32" t="s">
        <v>287</v>
      </c>
      <c r="G74" s="384">
        <v>60.21</v>
      </c>
      <c r="H74" s="15">
        <f t="shared" si="1"/>
        <v>722.52</v>
      </c>
      <c r="I74" s="15">
        <f t="shared" si="2"/>
        <v>802.6</v>
      </c>
      <c r="J74" s="15">
        <f t="shared" si="3"/>
        <v>842.94</v>
      </c>
      <c r="K74" s="250"/>
    </row>
    <row r="75" spans="1:12" ht="15" customHeight="1">
      <c r="A75" s="9" t="s">
        <v>275</v>
      </c>
      <c r="B75" s="64">
        <f t="shared" si="0"/>
        <v>0.76200000000000001</v>
      </c>
      <c r="C75" s="357">
        <v>30</v>
      </c>
      <c r="D75" s="201" t="s">
        <v>56</v>
      </c>
      <c r="E75" s="13" t="s">
        <v>137</v>
      </c>
      <c r="F75" s="32" t="s">
        <v>289</v>
      </c>
      <c r="G75" s="384">
        <v>83.653999999999996</v>
      </c>
      <c r="H75" s="15">
        <f t="shared" si="1"/>
        <v>1003.85</v>
      </c>
      <c r="I75" s="15">
        <f t="shared" si="2"/>
        <v>1115.1099999999999</v>
      </c>
      <c r="J75" s="15">
        <f t="shared" si="3"/>
        <v>1171.1600000000001</v>
      </c>
      <c r="K75" s="250"/>
    </row>
    <row r="76" spans="1:12" ht="19.95" customHeight="1">
      <c r="A76" s="363"/>
      <c r="B76" s="363"/>
      <c r="C76" s="363"/>
      <c r="D76" s="364"/>
      <c r="E76" s="363"/>
      <c r="F76" s="363"/>
      <c r="G76" s="363"/>
      <c r="H76" s="363"/>
      <c r="I76" s="363"/>
      <c r="J76" s="363"/>
      <c r="K76" s="363"/>
      <c r="L76" s="363"/>
    </row>
    <row r="77" spans="1:12" ht="30" customHeight="1">
      <c r="A77" s="391" t="s">
        <v>291</v>
      </c>
      <c r="B77" s="392"/>
      <c r="C77" s="392"/>
      <c r="D77" s="392"/>
      <c r="E77" s="392"/>
      <c r="F77" s="392"/>
      <c r="G77" s="392"/>
      <c r="H77" s="392"/>
      <c r="I77" s="392"/>
      <c r="J77" s="392"/>
      <c r="K77" s="393"/>
    </row>
    <row r="78" spans="1:12" ht="19.95" customHeight="1">
      <c r="A78" s="394" t="s">
        <v>189</v>
      </c>
      <c r="B78" s="60" t="s">
        <v>31</v>
      </c>
      <c r="C78" s="394" t="s">
        <v>190</v>
      </c>
      <c r="D78" s="60" t="s">
        <v>33</v>
      </c>
      <c r="E78" s="60" t="s">
        <v>34</v>
      </c>
      <c r="F78" s="60" t="s">
        <v>35</v>
      </c>
      <c r="G78" s="60" t="s">
        <v>36</v>
      </c>
      <c r="H78" s="395" t="s">
        <v>37</v>
      </c>
      <c r="I78" s="396" t="s">
        <v>38</v>
      </c>
      <c r="J78" s="397"/>
      <c r="K78" s="60" t="s">
        <v>23</v>
      </c>
    </row>
    <row r="79" spans="1:12" ht="15" customHeight="1">
      <c r="A79" s="60" t="s">
        <v>292</v>
      </c>
      <c r="B79" s="60">
        <v>1027</v>
      </c>
      <c r="C79" s="67">
        <v>0.73</v>
      </c>
      <c r="D79" s="60" t="s">
        <v>40</v>
      </c>
      <c r="E79" s="272" t="s">
        <v>41</v>
      </c>
      <c r="F79" s="398">
        <v>3937</v>
      </c>
      <c r="G79" s="399">
        <v>5.827</v>
      </c>
      <c r="H79" s="400">
        <f>ROUND(G79*13.124,2)</f>
        <v>76.47</v>
      </c>
      <c r="I79" s="401">
        <f>ROUND(G79*F79,2)</f>
        <v>22940.9</v>
      </c>
      <c r="J79" s="402"/>
      <c r="K79" s="403"/>
    </row>
    <row r="80" spans="1:12" ht="15" customHeight="1">
      <c r="A80" s="60" t="s">
        <v>292</v>
      </c>
      <c r="B80" s="60">
        <v>1027</v>
      </c>
      <c r="C80" s="67">
        <v>0.77</v>
      </c>
      <c r="D80" s="60" t="s">
        <v>40</v>
      </c>
      <c r="E80" s="272" t="s">
        <v>41</v>
      </c>
      <c r="F80" s="398">
        <v>3937</v>
      </c>
      <c r="G80" s="399">
        <v>6.59</v>
      </c>
      <c r="H80" s="400">
        <f t="shared" ref="H80:H108" si="4">ROUND(G80*13.124,2)</f>
        <v>86.49</v>
      </c>
      <c r="I80" s="401">
        <f t="shared" ref="I80:I108" si="5">ROUND(G80*F80,2)</f>
        <v>25944.83</v>
      </c>
      <c r="J80" s="402"/>
      <c r="K80" s="403"/>
    </row>
    <row r="81" spans="1:11" ht="15" customHeight="1">
      <c r="A81" s="60" t="s">
        <v>292</v>
      </c>
      <c r="B81" s="60">
        <v>1037</v>
      </c>
      <c r="C81" s="67">
        <v>0.74</v>
      </c>
      <c r="D81" s="60" t="s">
        <v>40</v>
      </c>
      <c r="E81" s="272" t="s">
        <v>41</v>
      </c>
      <c r="F81" s="398">
        <v>3937</v>
      </c>
      <c r="G81" s="399">
        <v>6.31</v>
      </c>
      <c r="H81" s="400">
        <f t="shared" si="4"/>
        <v>82.81</v>
      </c>
      <c r="I81" s="401">
        <f t="shared" si="5"/>
        <v>24842.47</v>
      </c>
      <c r="J81" s="402"/>
      <c r="K81" s="403"/>
    </row>
    <row r="82" spans="1:11" ht="15" customHeight="1">
      <c r="A82" s="60" t="s">
        <v>292</v>
      </c>
      <c r="B82" s="60">
        <v>1035</v>
      </c>
      <c r="C82" s="67">
        <v>0.7</v>
      </c>
      <c r="D82" s="60" t="s">
        <v>40</v>
      </c>
      <c r="E82" s="272" t="s">
        <v>41</v>
      </c>
      <c r="F82" s="398">
        <v>3937</v>
      </c>
      <c r="G82" s="399">
        <v>4.7089999999999996</v>
      </c>
      <c r="H82" s="400">
        <f t="shared" si="4"/>
        <v>61.8</v>
      </c>
      <c r="I82" s="401">
        <f t="shared" si="5"/>
        <v>18539.330000000002</v>
      </c>
      <c r="J82" s="402"/>
      <c r="K82" s="403"/>
    </row>
    <row r="83" spans="1:11" ht="15" customHeight="1">
      <c r="A83" s="60" t="s">
        <v>292</v>
      </c>
      <c r="B83" s="60">
        <v>1035</v>
      </c>
      <c r="C83" s="67">
        <v>0.72</v>
      </c>
      <c r="D83" s="60" t="s">
        <v>40</v>
      </c>
      <c r="E83" s="272" t="s">
        <v>41</v>
      </c>
      <c r="F83" s="398">
        <v>3937</v>
      </c>
      <c r="G83" s="399">
        <v>5.0659999999999998</v>
      </c>
      <c r="H83" s="400">
        <f t="shared" si="4"/>
        <v>66.489999999999995</v>
      </c>
      <c r="I83" s="401">
        <f t="shared" si="5"/>
        <v>19944.84</v>
      </c>
      <c r="J83" s="402"/>
      <c r="K83" s="403"/>
    </row>
    <row r="84" spans="1:11" ht="15" customHeight="1">
      <c r="A84" s="60" t="s">
        <v>292</v>
      </c>
      <c r="B84" s="60">
        <v>1035</v>
      </c>
      <c r="C84" s="67">
        <v>0.74</v>
      </c>
      <c r="D84" s="60" t="s">
        <v>40</v>
      </c>
      <c r="E84" s="272" t="s">
        <v>41</v>
      </c>
      <c r="F84" s="398">
        <v>3937</v>
      </c>
      <c r="G84" s="399">
        <v>5.2279999999999998</v>
      </c>
      <c r="H84" s="400">
        <f t="shared" si="4"/>
        <v>68.61</v>
      </c>
      <c r="I84" s="401">
        <f t="shared" si="5"/>
        <v>20582.64</v>
      </c>
      <c r="J84" s="402"/>
      <c r="K84" s="403"/>
    </row>
    <row r="85" spans="1:11" ht="15" customHeight="1">
      <c r="A85" s="60" t="s">
        <v>292</v>
      </c>
      <c r="B85" s="60">
        <v>1035</v>
      </c>
      <c r="C85" s="67">
        <v>0.77</v>
      </c>
      <c r="D85" s="60" t="s">
        <v>40</v>
      </c>
      <c r="E85" s="272" t="s">
        <v>41</v>
      </c>
      <c r="F85" s="398">
        <v>3937</v>
      </c>
      <c r="G85" s="399">
        <v>5.71</v>
      </c>
      <c r="H85" s="400">
        <f t="shared" si="4"/>
        <v>74.94</v>
      </c>
      <c r="I85" s="401">
        <f t="shared" si="5"/>
        <v>22480.27</v>
      </c>
      <c r="J85" s="402"/>
      <c r="K85" s="403"/>
    </row>
    <row r="86" spans="1:11" ht="15" customHeight="1">
      <c r="A86" s="60" t="s">
        <v>292</v>
      </c>
      <c r="B86" s="60">
        <v>106</v>
      </c>
      <c r="C86" s="67">
        <v>0.72</v>
      </c>
      <c r="D86" s="60" t="s">
        <v>40</v>
      </c>
      <c r="E86" s="272" t="s">
        <v>41</v>
      </c>
      <c r="F86" s="398">
        <v>3937</v>
      </c>
      <c r="G86" s="399">
        <v>4.6989999999999998</v>
      </c>
      <c r="H86" s="400">
        <f t="shared" si="4"/>
        <v>61.67</v>
      </c>
      <c r="I86" s="401">
        <f t="shared" si="5"/>
        <v>18499.96</v>
      </c>
      <c r="J86" s="402"/>
      <c r="K86" s="403"/>
    </row>
    <row r="87" spans="1:11" ht="15" customHeight="1">
      <c r="A87" s="60" t="s">
        <v>292</v>
      </c>
      <c r="B87" s="60">
        <v>106</v>
      </c>
      <c r="C87" s="67">
        <v>0.75</v>
      </c>
      <c r="D87" s="60" t="s">
        <v>40</v>
      </c>
      <c r="E87" s="272" t="s">
        <v>41</v>
      </c>
      <c r="F87" s="398">
        <v>3937</v>
      </c>
      <c r="G87" s="399">
        <v>4.806</v>
      </c>
      <c r="H87" s="400">
        <f t="shared" si="4"/>
        <v>63.07</v>
      </c>
      <c r="I87" s="401">
        <f t="shared" si="5"/>
        <v>18921.22</v>
      </c>
      <c r="J87" s="402"/>
      <c r="K87" s="403"/>
    </row>
    <row r="88" spans="1:11" ht="15" customHeight="1">
      <c r="A88" s="60" t="s">
        <v>292</v>
      </c>
      <c r="B88" s="60">
        <v>106</v>
      </c>
      <c r="C88" s="67">
        <v>0.77</v>
      </c>
      <c r="D88" s="60" t="s">
        <v>40</v>
      </c>
      <c r="E88" s="272" t="s">
        <v>41</v>
      </c>
      <c r="F88" s="398">
        <v>3937</v>
      </c>
      <c r="G88" s="399">
        <v>5.2110000000000003</v>
      </c>
      <c r="H88" s="400">
        <f t="shared" si="4"/>
        <v>68.39</v>
      </c>
      <c r="I88" s="401">
        <f t="shared" si="5"/>
        <v>20515.71</v>
      </c>
      <c r="J88" s="402"/>
      <c r="K88" s="403"/>
    </row>
    <row r="89" spans="1:11" ht="15" customHeight="1">
      <c r="A89" s="60" t="s">
        <v>292</v>
      </c>
      <c r="B89" s="60">
        <v>106</v>
      </c>
      <c r="C89" s="67">
        <v>0.79</v>
      </c>
      <c r="D89" s="60" t="s">
        <v>40</v>
      </c>
      <c r="E89" s="272" t="s">
        <v>41</v>
      </c>
      <c r="F89" s="398">
        <v>3937</v>
      </c>
      <c r="G89" s="399">
        <v>5.6020000000000003</v>
      </c>
      <c r="H89" s="400">
        <f t="shared" si="4"/>
        <v>73.52</v>
      </c>
      <c r="I89" s="401">
        <f t="shared" si="5"/>
        <v>22055.07</v>
      </c>
      <c r="J89" s="402"/>
      <c r="K89" s="403"/>
    </row>
    <row r="90" spans="1:11" ht="15" customHeight="1">
      <c r="A90" s="60" t="s">
        <v>292</v>
      </c>
      <c r="B90" s="60">
        <v>1067</v>
      </c>
      <c r="C90" s="67">
        <v>0.71</v>
      </c>
      <c r="D90" s="60" t="s">
        <v>40</v>
      </c>
      <c r="E90" s="272" t="s">
        <v>41</v>
      </c>
      <c r="F90" s="398">
        <v>3937</v>
      </c>
      <c r="G90" s="399">
        <v>5.1909999999999998</v>
      </c>
      <c r="H90" s="400">
        <f t="shared" si="4"/>
        <v>68.13</v>
      </c>
      <c r="I90" s="401">
        <f t="shared" si="5"/>
        <v>20436.97</v>
      </c>
      <c r="J90" s="402"/>
      <c r="K90" s="403"/>
    </row>
    <row r="91" spans="1:11" ht="15" customHeight="1">
      <c r="A91" s="60" t="s">
        <v>292</v>
      </c>
      <c r="B91" s="60">
        <v>1067</v>
      </c>
      <c r="C91" s="67">
        <v>0.74</v>
      </c>
      <c r="D91" s="60" t="s">
        <v>40</v>
      </c>
      <c r="E91" s="272" t="s">
        <v>41</v>
      </c>
      <c r="F91" s="398">
        <v>3937</v>
      </c>
      <c r="G91" s="399">
        <v>5.6840000000000002</v>
      </c>
      <c r="H91" s="400">
        <f t="shared" si="4"/>
        <v>74.599999999999994</v>
      </c>
      <c r="I91" s="401">
        <f t="shared" si="5"/>
        <v>22377.91</v>
      </c>
      <c r="J91" s="402"/>
      <c r="K91" s="403"/>
    </row>
    <row r="92" spans="1:11" ht="15" customHeight="1">
      <c r="A92" s="60" t="s">
        <v>292</v>
      </c>
      <c r="B92" s="60">
        <v>1078</v>
      </c>
      <c r="C92" s="67">
        <v>0.65</v>
      </c>
      <c r="D92" s="60" t="s">
        <v>40</v>
      </c>
      <c r="E92" s="272" t="s">
        <v>41</v>
      </c>
      <c r="F92" s="398">
        <v>3937</v>
      </c>
      <c r="G92" s="399">
        <v>5.1120000000000001</v>
      </c>
      <c r="H92" s="400">
        <f t="shared" si="4"/>
        <v>67.09</v>
      </c>
      <c r="I92" s="401">
        <f t="shared" si="5"/>
        <v>20125.939999999999</v>
      </c>
      <c r="J92" s="402"/>
      <c r="K92" s="403"/>
    </row>
    <row r="93" spans="1:11" ht="15" customHeight="1">
      <c r="A93" s="60" t="s">
        <v>292</v>
      </c>
      <c r="B93" s="60">
        <v>1078</v>
      </c>
      <c r="C93" s="67">
        <v>0.68</v>
      </c>
      <c r="D93" s="60" t="s">
        <v>40</v>
      </c>
      <c r="E93" s="272" t="s">
        <v>41</v>
      </c>
      <c r="F93" s="398">
        <v>3937</v>
      </c>
      <c r="G93" s="399">
        <v>5.5010000000000003</v>
      </c>
      <c r="H93" s="400">
        <f t="shared" si="4"/>
        <v>72.2</v>
      </c>
      <c r="I93" s="401">
        <f t="shared" si="5"/>
        <v>21657.439999999999</v>
      </c>
      <c r="J93" s="402"/>
      <c r="K93" s="403"/>
    </row>
    <row r="94" spans="1:11" ht="15" customHeight="1">
      <c r="A94" s="60" t="s">
        <v>292</v>
      </c>
      <c r="B94" s="60">
        <v>1078</v>
      </c>
      <c r="C94" s="67">
        <v>0.69</v>
      </c>
      <c r="D94" s="60" t="s">
        <v>40</v>
      </c>
      <c r="E94" s="272" t="s">
        <v>41</v>
      </c>
      <c r="F94" s="398">
        <v>3937</v>
      </c>
      <c r="G94" s="399">
        <v>5.5010000000000003</v>
      </c>
      <c r="H94" s="400">
        <f t="shared" si="4"/>
        <v>72.2</v>
      </c>
      <c r="I94" s="401">
        <f t="shared" si="5"/>
        <v>21657.439999999999</v>
      </c>
      <c r="J94" s="402"/>
      <c r="K94" s="403"/>
    </row>
    <row r="95" spans="1:11" ht="15" customHeight="1">
      <c r="A95" s="60" t="s">
        <v>292</v>
      </c>
      <c r="B95" s="60">
        <v>1078</v>
      </c>
      <c r="C95" s="67">
        <v>0.71</v>
      </c>
      <c r="D95" s="60" t="s">
        <v>40</v>
      </c>
      <c r="E95" s="272" t="s">
        <v>41</v>
      </c>
      <c r="F95" s="398">
        <v>3937</v>
      </c>
      <c r="G95" s="399">
        <v>6.2060000000000004</v>
      </c>
      <c r="H95" s="400">
        <f t="shared" si="4"/>
        <v>81.45</v>
      </c>
      <c r="I95" s="401">
        <f t="shared" si="5"/>
        <v>24433.02</v>
      </c>
      <c r="J95" s="402"/>
      <c r="K95" s="403"/>
    </row>
    <row r="96" spans="1:11" ht="15" customHeight="1">
      <c r="A96" s="60" t="s">
        <v>292</v>
      </c>
      <c r="B96" s="60">
        <v>1078</v>
      </c>
      <c r="C96" s="67">
        <v>0.73</v>
      </c>
      <c r="D96" s="60" t="s">
        <v>40</v>
      </c>
      <c r="E96" s="272" t="s">
        <v>41</v>
      </c>
      <c r="F96" s="398">
        <v>3937</v>
      </c>
      <c r="G96" s="399">
        <v>6.5330000000000004</v>
      </c>
      <c r="H96" s="400">
        <f t="shared" si="4"/>
        <v>85.74</v>
      </c>
      <c r="I96" s="401">
        <f t="shared" si="5"/>
        <v>25720.42</v>
      </c>
      <c r="J96" s="402"/>
      <c r="K96" s="403"/>
    </row>
    <row r="97" spans="1:11" ht="14.4" customHeight="1">
      <c r="A97" s="60" t="s">
        <v>292</v>
      </c>
      <c r="B97" s="60">
        <v>1078</v>
      </c>
      <c r="C97" s="67">
        <v>0.75</v>
      </c>
      <c r="D97" s="60" t="s">
        <v>40</v>
      </c>
      <c r="E97" s="272" t="s">
        <v>41</v>
      </c>
      <c r="F97" s="398">
        <v>3937</v>
      </c>
      <c r="G97" s="399">
        <v>7.4329999999999998</v>
      </c>
      <c r="H97" s="400">
        <f t="shared" si="4"/>
        <v>97.55</v>
      </c>
      <c r="I97" s="401">
        <f t="shared" si="5"/>
        <v>29263.72</v>
      </c>
      <c r="J97" s="402"/>
      <c r="K97" s="403"/>
    </row>
    <row r="98" spans="1:11" ht="15" customHeight="1">
      <c r="A98" s="60" t="s">
        <v>292</v>
      </c>
      <c r="B98" s="60">
        <v>1080</v>
      </c>
      <c r="C98" s="67">
        <v>0.65</v>
      </c>
      <c r="D98" s="60" t="s">
        <v>40</v>
      </c>
      <c r="E98" s="272" t="s">
        <v>41</v>
      </c>
      <c r="F98" s="398">
        <v>3937</v>
      </c>
      <c r="G98" s="399">
        <v>5.3680000000000003</v>
      </c>
      <c r="H98" s="400">
        <f t="shared" si="4"/>
        <v>70.45</v>
      </c>
      <c r="I98" s="401">
        <f t="shared" si="5"/>
        <v>21133.82</v>
      </c>
      <c r="J98" s="402"/>
      <c r="K98" s="403"/>
    </row>
    <row r="99" spans="1:11" ht="15" customHeight="1">
      <c r="A99" s="60" t="s">
        <v>292</v>
      </c>
      <c r="B99" s="60">
        <v>1080</v>
      </c>
      <c r="C99" s="67">
        <v>0.68</v>
      </c>
      <c r="D99" s="60" t="s">
        <v>40</v>
      </c>
      <c r="E99" s="272" t="s">
        <v>41</v>
      </c>
      <c r="F99" s="398">
        <v>3937</v>
      </c>
      <c r="G99" s="399">
        <v>5.8339999999999996</v>
      </c>
      <c r="H99" s="400">
        <f t="shared" si="4"/>
        <v>76.569999999999993</v>
      </c>
      <c r="I99" s="401">
        <f t="shared" si="5"/>
        <v>22968.46</v>
      </c>
      <c r="J99" s="402"/>
      <c r="K99" s="403"/>
    </row>
    <row r="100" spans="1:11" ht="15" customHeight="1">
      <c r="A100" s="60" t="s">
        <v>292</v>
      </c>
      <c r="B100" s="60">
        <v>1080</v>
      </c>
      <c r="C100" s="67">
        <v>0.69</v>
      </c>
      <c r="D100" s="60" t="s">
        <v>40</v>
      </c>
      <c r="E100" s="272" t="s">
        <v>41</v>
      </c>
      <c r="F100" s="398">
        <v>3937</v>
      </c>
      <c r="G100" s="399">
        <v>5.8339999999999996</v>
      </c>
      <c r="H100" s="400">
        <f t="shared" si="4"/>
        <v>76.569999999999993</v>
      </c>
      <c r="I100" s="401">
        <f t="shared" si="5"/>
        <v>22968.46</v>
      </c>
      <c r="J100" s="402"/>
      <c r="K100" s="403"/>
    </row>
    <row r="101" spans="1:11" ht="15" customHeight="1">
      <c r="A101" s="60" t="s">
        <v>292</v>
      </c>
      <c r="B101" s="60">
        <v>1080</v>
      </c>
      <c r="C101" s="67">
        <v>0.71</v>
      </c>
      <c r="D101" s="60" t="s">
        <v>40</v>
      </c>
      <c r="E101" s="272" t="s">
        <v>41</v>
      </c>
      <c r="F101" s="398">
        <v>3937</v>
      </c>
      <c r="G101" s="399">
        <v>6.3860000000000001</v>
      </c>
      <c r="H101" s="400">
        <f t="shared" si="4"/>
        <v>83.81</v>
      </c>
      <c r="I101" s="401">
        <f t="shared" si="5"/>
        <v>25141.68</v>
      </c>
      <c r="J101" s="402"/>
      <c r="K101" s="403"/>
    </row>
    <row r="102" spans="1:11" ht="15" customHeight="1">
      <c r="A102" s="60" t="s">
        <v>292</v>
      </c>
      <c r="B102" s="60">
        <v>1080</v>
      </c>
      <c r="C102" s="67">
        <v>0.73</v>
      </c>
      <c r="D102" s="60" t="s">
        <v>40</v>
      </c>
      <c r="E102" s="272" t="s">
        <v>41</v>
      </c>
      <c r="F102" s="398">
        <v>3937</v>
      </c>
      <c r="G102" s="399">
        <v>6.516</v>
      </c>
      <c r="H102" s="400">
        <f t="shared" si="4"/>
        <v>85.52</v>
      </c>
      <c r="I102" s="401">
        <f t="shared" si="5"/>
        <v>25653.49</v>
      </c>
      <c r="J102" s="402"/>
      <c r="K102" s="403"/>
    </row>
    <row r="103" spans="1:11" ht="15" customHeight="1">
      <c r="A103" s="60" t="s">
        <v>292</v>
      </c>
      <c r="B103" s="60">
        <v>1080</v>
      </c>
      <c r="C103" s="67">
        <v>0.75</v>
      </c>
      <c r="D103" s="60" t="s">
        <v>40</v>
      </c>
      <c r="E103" s="272" t="s">
        <v>41</v>
      </c>
      <c r="F103" s="398">
        <v>3937</v>
      </c>
      <c r="G103" s="399">
        <v>6.8339999999999996</v>
      </c>
      <c r="H103" s="400">
        <f t="shared" si="4"/>
        <v>89.69</v>
      </c>
      <c r="I103" s="401">
        <f t="shared" si="5"/>
        <v>26905.46</v>
      </c>
      <c r="J103" s="402"/>
      <c r="K103" s="403"/>
    </row>
    <row r="104" spans="1:11" ht="15" customHeight="1">
      <c r="A104" s="60" t="s">
        <v>292</v>
      </c>
      <c r="B104" s="60">
        <v>3313</v>
      </c>
      <c r="C104" s="67">
        <v>0.56000000000000005</v>
      </c>
      <c r="D104" s="60" t="s">
        <v>40</v>
      </c>
      <c r="E104" s="272" t="s">
        <v>41</v>
      </c>
      <c r="F104" s="398">
        <v>3937</v>
      </c>
      <c r="G104" s="399">
        <v>5.8250000000000002</v>
      </c>
      <c r="H104" s="400">
        <f t="shared" si="4"/>
        <v>76.45</v>
      </c>
      <c r="I104" s="401">
        <f t="shared" si="5"/>
        <v>22933.03</v>
      </c>
      <c r="J104" s="402"/>
      <c r="K104" s="403"/>
    </row>
    <row r="105" spans="1:11" ht="15" customHeight="1">
      <c r="A105" s="60" t="s">
        <v>292</v>
      </c>
      <c r="B105" s="60">
        <v>3313</v>
      </c>
      <c r="C105" s="67">
        <v>0.59</v>
      </c>
      <c r="D105" s="60" t="s">
        <v>40</v>
      </c>
      <c r="E105" s="272" t="s">
        <v>41</v>
      </c>
      <c r="F105" s="398">
        <v>3937</v>
      </c>
      <c r="G105" s="399">
        <v>6.2549999999999999</v>
      </c>
      <c r="H105" s="400">
        <f t="shared" si="4"/>
        <v>82.09</v>
      </c>
      <c r="I105" s="401">
        <f t="shared" si="5"/>
        <v>24625.94</v>
      </c>
      <c r="J105" s="402"/>
      <c r="K105" s="403"/>
    </row>
    <row r="106" spans="1:11" ht="15" customHeight="1">
      <c r="A106" s="60" t="s">
        <v>292</v>
      </c>
      <c r="B106" s="60">
        <v>2116</v>
      </c>
      <c r="C106" s="404">
        <v>0.55500000000000005</v>
      </c>
      <c r="D106" s="60" t="s">
        <v>43</v>
      </c>
      <c r="E106" s="272" t="s">
        <v>41</v>
      </c>
      <c r="F106" s="405">
        <v>2624.6</v>
      </c>
      <c r="G106" s="399">
        <v>6.51</v>
      </c>
      <c r="H106" s="400">
        <f t="shared" si="4"/>
        <v>85.44</v>
      </c>
      <c r="I106" s="401">
        <f t="shared" si="5"/>
        <v>17086.150000000001</v>
      </c>
      <c r="J106" s="402"/>
      <c r="K106" s="403"/>
    </row>
    <row r="107" spans="1:11" ht="15" customHeight="1">
      <c r="A107" s="60" t="s">
        <v>292</v>
      </c>
      <c r="B107" s="60">
        <v>2116</v>
      </c>
      <c r="C107" s="404">
        <v>0.57499999999999996</v>
      </c>
      <c r="D107" s="60" t="s">
        <v>43</v>
      </c>
      <c r="E107" s="272" t="s">
        <v>41</v>
      </c>
      <c r="F107" s="405">
        <v>2624.6</v>
      </c>
      <c r="G107" s="399">
        <v>7.1109999999999998</v>
      </c>
      <c r="H107" s="400">
        <f t="shared" si="4"/>
        <v>93.32</v>
      </c>
      <c r="I107" s="401">
        <f t="shared" si="5"/>
        <v>18663.53</v>
      </c>
      <c r="J107" s="402"/>
      <c r="K107" s="403"/>
    </row>
    <row r="108" spans="1:11" ht="15" customHeight="1">
      <c r="A108" s="406" t="s">
        <v>292</v>
      </c>
      <c r="B108" s="406">
        <v>2116</v>
      </c>
      <c r="C108" s="407">
        <v>0.6</v>
      </c>
      <c r="D108" s="406" t="s">
        <v>43</v>
      </c>
      <c r="E108" s="408" t="s">
        <v>41</v>
      </c>
      <c r="F108" s="405">
        <v>2624.6</v>
      </c>
      <c r="G108" s="409">
        <v>7.875</v>
      </c>
      <c r="H108" s="400">
        <f t="shared" si="4"/>
        <v>103.35</v>
      </c>
      <c r="I108" s="401">
        <f t="shared" si="5"/>
        <v>20668.73</v>
      </c>
      <c r="J108" s="402"/>
      <c r="K108" s="403"/>
    </row>
    <row r="110" spans="1:11" ht="15.6">
      <c r="A110" s="4" t="s">
        <v>45</v>
      </c>
      <c r="B110" s="4"/>
      <c r="C110" s="21"/>
      <c r="D110" s="21"/>
      <c r="E110" s="21"/>
      <c r="F110" s="21"/>
      <c r="G110" s="21"/>
      <c r="H110" s="21"/>
      <c r="I110" s="22"/>
      <c r="J110" s="23"/>
    </row>
    <row r="111" spans="1:11" ht="15.6">
      <c r="A111" s="21" t="s">
        <v>46</v>
      </c>
      <c r="B111" s="21"/>
      <c r="C111" s="21"/>
      <c r="D111" s="21"/>
      <c r="E111" s="21"/>
      <c r="F111" s="21"/>
      <c r="G111" s="21"/>
      <c r="H111" s="21"/>
      <c r="I111" s="22"/>
      <c r="J111" s="23"/>
    </row>
    <row r="112" spans="1:11" ht="15.6">
      <c r="A112" s="24" t="s">
        <v>293</v>
      </c>
      <c r="B112" s="24"/>
      <c r="C112" s="21"/>
      <c r="D112" s="21"/>
      <c r="E112" s="21"/>
      <c r="F112" s="21"/>
      <c r="G112" s="21"/>
      <c r="H112" s="21"/>
      <c r="I112" s="22"/>
      <c r="J112" s="23"/>
    </row>
    <row r="113" spans="1:12" ht="15.6">
      <c r="A113" s="24" t="s">
        <v>294</v>
      </c>
      <c r="B113" s="24"/>
      <c r="C113" s="21"/>
      <c r="D113" s="21"/>
      <c r="E113" s="21"/>
      <c r="F113" s="21"/>
      <c r="G113" s="21"/>
      <c r="H113" s="21"/>
      <c r="I113" s="22"/>
      <c r="J113" s="23"/>
    </row>
    <row r="114" spans="1:12" ht="15.6">
      <c r="A114" s="24" t="s">
        <v>49</v>
      </c>
      <c r="B114" s="24"/>
      <c r="C114" s="21"/>
      <c r="D114" s="21"/>
      <c r="E114" s="21"/>
      <c r="F114" s="21"/>
      <c r="G114" s="21"/>
      <c r="H114" s="21"/>
      <c r="I114" s="22"/>
      <c r="J114" s="23"/>
    </row>
    <row r="115" spans="1:12" ht="15.6">
      <c r="A115" s="231" t="s">
        <v>50</v>
      </c>
      <c r="B115" s="231"/>
      <c r="C115" s="21"/>
      <c r="D115" s="21"/>
      <c r="E115" s="21"/>
      <c r="F115" s="21"/>
      <c r="G115" s="21"/>
      <c r="H115" s="21"/>
      <c r="I115" s="22"/>
      <c r="J115" s="23"/>
    </row>
    <row r="116" spans="1:12" ht="14.4">
      <c r="A116" s="378" t="s">
        <v>295</v>
      </c>
      <c r="B116" s="378"/>
      <c r="C116" s="379"/>
      <c r="D116" s="379"/>
      <c r="E116" s="379"/>
      <c r="F116" s="379"/>
      <c r="G116" s="379"/>
      <c r="H116" s="379"/>
      <c r="I116" s="379"/>
    </row>
    <row r="117" spans="1:12" ht="14.4">
      <c r="A117" s="378" t="s">
        <v>296</v>
      </c>
      <c r="B117" s="378"/>
      <c r="C117" s="379"/>
      <c r="D117" s="379"/>
      <c r="E117" s="379"/>
      <c r="F117" s="379"/>
      <c r="G117" s="379"/>
      <c r="H117" s="379"/>
      <c r="I117" s="379"/>
    </row>
    <row r="118" spans="1:12" ht="14.4">
      <c r="A118" s="378"/>
      <c r="B118" s="378"/>
      <c r="C118" s="379"/>
      <c r="D118" s="379"/>
      <c r="E118" s="379"/>
      <c r="F118" s="379"/>
      <c r="G118" s="379"/>
      <c r="H118" s="379"/>
      <c r="I118" s="379"/>
    </row>
    <row r="119" spans="1:12" ht="15.6">
      <c r="A119" s="28" t="s">
        <v>297</v>
      </c>
      <c r="B119" s="28"/>
      <c r="C119" s="28"/>
      <c r="D119" s="29"/>
      <c r="E119" s="29"/>
      <c r="F119" s="29"/>
      <c r="G119" s="29"/>
      <c r="H119" s="29"/>
      <c r="I119" s="30" t="s">
        <v>298</v>
      </c>
      <c r="K119" s="29"/>
      <c r="L119" s="29"/>
    </row>
    <row r="120" spans="1:12" ht="15">
      <c r="A120" s="29"/>
      <c r="B120" s="29"/>
      <c r="C120" s="29"/>
      <c r="D120" s="29"/>
      <c r="E120" s="29"/>
      <c r="F120" s="410"/>
      <c r="G120" s="410"/>
      <c r="H120" s="177"/>
      <c r="I120" s="177"/>
      <c r="J120" s="177"/>
      <c r="K120" s="177"/>
      <c r="L120" s="177"/>
    </row>
  </sheetData>
  <mergeCells count="7">
    <mergeCell ref="A77:K77"/>
    <mergeCell ref="C1:L1"/>
    <mergeCell ref="C2:L2"/>
    <mergeCell ref="A3:L3"/>
    <mergeCell ref="A4:L4"/>
    <mergeCell ref="A5:L5"/>
    <mergeCell ref="A11:L11"/>
  </mergeCells>
  <phoneticPr fontId="18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2A08-0ACE-4B33-A6FD-E4C838FC9EF2}">
  <dimension ref="A1:K104"/>
  <sheetViews>
    <sheetView workbookViewId="0">
      <selection activeCell="Q9" sqref="Q9"/>
    </sheetView>
  </sheetViews>
  <sheetFormatPr defaultColWidth="9" defaultRowHeight="13.8"/>
  <cols>
    <col min="1" max="11" width="7.8984375" customWidth="1"/>
  </cols>
  <sheetData>
    <row r="1" spans="1:11">
      <c r="C1" s="178"/>
      <c r="D1" s="178"/>
      <c r="E1" s="178"/>
      <c r="F1" s="178"/>
      <c r="G1" s="178"/>
      <c r="H1" s="178"/>
      <c r="I1" s="178"/>
      <c r="J1" s="178"/>
      <c r="K1" s="178"/>
    </row>
    <row r="2" spans="1:11" ht="73.95" customHeight="1">
      <c r="C2" s="178"/>
      <c r="D2" s="178"/>
      <c r="E2" s="178"/>
      <c r="F2" s="178"/>
      <c r="G2" s="178"/>
      <c r="H2" s="178"/>
      <c r="I2" s="178"/>
      <c r="J2" s="178"/>
      <c r="K2" s="178"/>
    </row>
    <row r="3" spans="1:11" ht="21" customHeight="1">
      <c r="A3" s="179" t="s">
        <v>0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>
      <c r="A6" s="35" t="s">
        <v>3</v>
      </c>
      <c r="B6" s="35" t="s">
        <v>4</v>
      </c>
      <c r="C6" s="36"/>
      <c r="D6" s="36"/>
      <c r="E6" s="36"/>
      <c r="F6" s="36"/>
      <c r="G6" s="36"/>
      <c r="H6" s="36"/>
      <c r="I6" s="38" t="s">
        <v>5</v>
      </c>
      <c r="J6" s="182"/>
      <c r="K6" s="182"/>
    </row>
    <row r="7" spans="1:11">
      <c r="A7" s="35"/>
      <c r="B7" s="35" t="s">
        <v>6</v>
      </c>
      <c r="C7" s="36"/>
      <c r="D7" s="36"/>
      <c r="E7" s="36"/>
      <c r="F7" s="36"/>
      <c r="G7" s="36"/>
      <c r="H7" s="36"/>
      <c r="I7" s="38" t="s">
        <v>7</v>
      </c>
      <c r="J7" s="182"/>
      <c r="K7" s="182"/>
    </row>
    <row r="8" spans="1:11">
      <c r="A8" s="35" t="s">
        <v>8</v>
      </c>
      <c r="B8" s="35" t="s">
        <v>173</v>
      </c>
      <c r="C8" s="36"/>
      <c r="D8" s="36"/>
      <c r="E8" s="36"/>
      <c r="F8" s="36"/>
      <c r="G8" s="36"/>
      <c r="H8" s="36"/>
      <c r="I8" s="38" t="s">
        <v>256</v>
      </c>
      <c r="J8" s="182"/>
      <c r="K8" s="182"/>
    </row>
    <row r="9" spans="1:11">
      <c r="A9" s="35"/>
      <c r="B9" s="35" t="s">
        <v>174</v>
      </c>
      <c r="C9" s="36"/>
      <c r="D9" s="36"/>
      <c r="E9" s="36"/>
      <c r="F9" s="36"/>
      <c r="G9" s="36"/>
      <c r="H9" s="36"/>
      <c r="I9" s="183" t="s">
        <v>11</v>
      </c>
      <c r="K9" s="182"/>
    </row>
    <row r="10" spans="1:11">
      <c r="A10" s="36"/>
      <c r="B10" s="36"/>
      <c r="C10" s="36"/>
      <c r="D10" s="36"/>
      <c r="E10" s="36"/>
      <c r="F10" s="36"/>
      <c r="G10" s="36"/>
      <c r="H10" s="36"/>
      <c r="I10" s="36"/>
    </row>
    <row r="11" spans="1:11" ht="22.2">
      <c r="A11" s="411" t="s">
        <v>299</v>
      </c>
      <c r="B11" s="411"/>
      <c r="C11" s="411"/>
      <c r="D11" s="411"/>
      <c r="E11" s="411"/>
      <c r="F11" s="411"/>
      <c r="G11" s="411"/>
      <c r="H11" s="411"/>
      <c r="I11" s="411"/>
      <c r="J11" s="411"/>
      <c r="K11" s="411"/>
    </row>
    <row r="12" spans="1:11" ht="21" customHeight="1">
      <c r="A12" s="412" t="s">
        <v>177</v>
      </c>
      <c r="B12" s="211" t="s">
        <v>14</v>
      </c>
      <c r="C12" s="211" t="s">
        <v>15</v>
      </c>
      <c r="D12" s="412" t="s">
        <v>178</v>
      </c>
      <c r="E12" s="211" t="s">
        <v>17</v>
      </c>
      <c r="F12" s="211" t="s">
        <v>18</v>
      </c>
      <c r="G12" s="412" t="s">
        <v>179</v>
      </c>
      <c r="H12" s="412" t="s">
        <v>180</v>
      </c>
      <c r="I12" s="412" t="s">
        <v>21</v>
      </c>
      <c r="J12" s="412" t="s">
        <v>181</v>
      </c>
      <c r="K12" s="211" t="s">
        <v>23</v>
      </c>
    </row>
    <row r="13" spans="1:11" s="207" customFormat="1" ht="14.4" customHeight="1">
      <c r="A13" s="9" t="s">
        <v>300</v>
      </c>
      <c r="B13" s="64">
        <f>ROUND(C13*0.0254,2)</f>
        <v>0.1</v>
      </c>
      <c r="C13" s="69">
        <v>4</v>
      </c>
      <c r="D13" s="63" t="s">
        <v>25</v>
      </c>
      <c r="E13" s="60" t="s">
        <v>301</v>
      </c>
      <c r="F13" s="32" t="s">
        <v>279</v>
      </c>
      <c r="G13" s="413">
        <v>26.914999999999999</v>
      </c>
      <c r="H13" s="15">
        <f t="shared" ref="H13:H18" si="0">ROUND(G13*12,2)</f>
        <v>322.98</v>
      </c>
      <c r="I13" s="15">
        <f>ROUND(G13*13.33,2)</f>
        <v>358.78</v>
      </c>
      <c r="J13" s="15">
        <f t="shared" ref="J13:J18" si="1">ROUND(G13*14,2)</f>
        <v>376.81</v>
      </c>
      <c r="K13" s="228"/>
    </row>
    <row r="14" spans="1:11" s="207" customFormat="1" ht="14.4" customHeight="1">
      <c r="A14" s="9" t="s">
        <v>300</v>
      </c>
      <c r="B14" s="64">
        <f t="shared" ref="B14:B18" si="2">ROUND(C14*0.0254,2)</f>
        <v>0.13</v>
      </c>
      <c r="C14" s="202">
        <v>5</v>
      </c>
      <c r="D14" s="63" t="s">
        <v>25</v>
      </c>
      <c r="E14" s="60" t="s">
        <v>301</v>
      </c>
      <c r="F14" s="32" t="s">
        <v>281</v>
      </c>
      <c r="G14" s="413">
        <v>26.843</v>
      </c>
      <c r="H14" s="15">
        <f t="shared" si="0"/>
        <v>322.12</v>
      </c>
      <c r="I14" s="15">
        <f t="shared" ref="I14:I18" si="3">ROUND(G14*13.33,2)</f>
        <v>357.82</v>
      </c>
      <c r="J14" s="15">
        <f t="shared" si="1"/>
        <v>375.8</v>
      </c>
      <c r="K14" s="228"/>
    </row>
    <row r="15" spans="1:11" s="207" customFormat="1" ht="14.4" customHeight="1">
      <c r="A15" s="9" t="s">
        <v>300</v>
      </c>
      <c r="B15" s="64">
        <f t="shared" si="2"/>
        <v>0.15</v>
      </c>
      <c r="C15" s="202">
        <v>6</v>
      </c>
      <c r="D15" s="63" t="s">
        <v>25</v>
      </c>
      <c r="E15" s="60" t="s">
        <v>301</v>
      </c>
      <c r="F15" s="32" t="s">
        <v>281</v>
      </c>
      <c r="G15" s="413">
        <v>27.274999999999999</v>
      </c>
      <c r="H15" s="15">
        <f t="shared" si="0"/>
        <v>327.3</v>
      </c>
      <c r="I15" s="15">
        <f t="shared" si="3"/>
        <v>363.58</v>
      </c>
      <c r="J15" s="15">
        <f t="shared" si="1"/>
        <v>381.85</v>
      </c>
      <c r="K15" s="228"/>
    </row>
    <row r="16" spans="1:11" s="207" customFormat="1" ht="14.4" customHeight="1">
      <c r="A16" s="9" t="s">
        <v>300</v>
      </c>
      <c r="B16" s="64">
        <f t="shared" si="2"/>
        <v>0.1</v>
      </c>
      <c r="C16" s="202">
        <v>4</v>
      </c>
      <c r="D16" s="201" t="s">
        <v>28</v>
      </c>
      <c r="E16" s="60" t="s">
        <v>301</v>
      </c>
      <c r="F16" s="32" t="s">
        <v>279</v>
      </c>
      <c r="G16" s="413">
        <v>31.379000000000001</v>
      </c>
      <c r="H16" s="15">
        <f t="shared" si="0"/>
        <v>376.55</v>
      </c>
      <c r="I16" s="15">
        <f t="shared" si="3"/>
        <v>418.28</v>
      </c>
      <c r="J16" s="15">
        <f t="shared" si="1"/>
        <v>439.31</v>
      </c>
      <c r="K16" s="228"/>
    </row>
    <row r="17" spans="1:11" s="207" customFormat="1" ht="14.4" customHeight="1">
      <c r="A17" s="9" t="s">
        <v>300</v>
      </c>
      <c r="B17" s="64">
        <f t="shared" si="2"/>
        <v>0.13</v>
      </c>
      <c r="C17" s="202">
        <v>5</v>
      </c>
      <c r="D17" s="201" t="s">
        <v>28</v>
      </c>
      <c r="E17" s="60" t="s">
        <v>301</v>
      </c>
      <c r="F17" s="32" t="s">
        <v>281</v>
      </c>
      <c r="G17" s="413">
        <v>31.713000000000001</v>
      </c>
      <c r="H17" s="15">
        <f t="shared" si="0"/>
        <v>380.56</v>
      </c>
      <c r="I17" s="15">
        <f t="shared" si="3"/>
        <v>422.73</v>
      </c>
      <c r="J17" s="15">
        <f t="shared" si="1"/>
        <v>443.98</v>
      </c>
      <c r="K17" s="228"/>
    </row>
    <row r="18" spans="1:11" s="207" customFormat="1" ht="14.4" customHeight="1">
      <c r="A18" s="9" t="s">
        <v>300</v>
      </c>
      <c r="B18" s="64">
        <f t="shared" si="2"/>
        <v>0.15</v>
      </c>
      <c r="C18" s="202">
        <v>6</v>
      </c>
      <c r="D18" s="201" t="s">
        <v>28</v>
      </c>
      <c r="E18" s="60" t="s">
        <v>301</v>
      </c>
      <c r="F18" s="32" t="s">
        <v>281</v>
      </c>
      <c r="G18" s="413">
        <v>31.712</v>
      </c>
      <c r="H18" s="15">
        <f t="shared" si="0"/>
        <v>380.54</v>
      </c>
      <c r="I18" s="15">
        <f t="shared" si="3"/>
        <v>422.72</v>
      </c>
      <c r="J18" s="15">
        <f t="shared" si="1"/>
        <v>443.97</v>
      </c>
      <c r="K18" s="228"/>
    </row>
    <row r="19" spans="1:11" ht="16.2" customHeight="1">
      <c r="A19" s="9" t="s">
        <v>300</v>
      </c>
      <c r="B19" s="64">
        <f>ROUND(C19*0.0254,3)</f>
        <v>6.4000000000000001E-2</v>
      </c>
      <c r="C19" s="188">
        <v>2.5</v>
      </c>
      <c r="D19" s="63" t="s">
        <v>25</v>
      </c>
      <c r="E19" s="63" t="s">
        <v>273</v>
      </c>
      <c r="F19" s="32" t="s">
        <v>276</v>
      </c>
      <c r="G19" s="413">
        <v>19.478000000000002</v>
      </c>
      <c r="H19" s="15">
        <f>ROUND(G19*12,2)</f>
        <v>233.74</v>
      </c>
      <c r="I19" s="15">
        <f>ROUND(G19*13.33,2)</f>
        <v>259.64</v>
      </c>
      <c r="J19" s="15">
        <f>ROUND(G19*14,2)</f>
        <v>272.69</v>
      </c>
      <c r="K19" s="188"/>
    </row>
    <row r="20" spans="1:11" s="414" customFormat="1" ht="15" customHeight="1">
      <c r="A20" s="9" t="s">
        <v>300</v>
      </c>
      <c r="B20" s="64">
        <f t="shared" ref="B20:B66" si="4">ROUND(C20*0.0254,3)</f>
        <v>7.5999999999999998E-2</v>
      </c>
      <c r="C20" s="31">
        <v>3</v>
      </c>
      <c r="D20" s="63" t="s">
        <v>25</v>
      </c>
      <c r="E20" s="63" t="s">
        <v>273</v>
      </c>
      <c r="F20" s="32" t="s">
        <v>276</v>
      </c>
      <c r="G20" s="384">
        <v>19.029</v>
      </c>
      <c r="H20" s="15">
        <f t="shared" ref="H20:H66" si="5">ROUND(G20*12,2)</f>
        <v>228.35</v>
      </c>
      <c r="I20" s="15">
        <f t="shared" ref="I20:I66" si="6">ROUND(G20*13.33,2)</f>
        <v>253.66</v>
      </c>
      <c r="J20" s="15">
        <f t="shared" ref="J20:J66" si="7">ROUND(G20*14,2)</f>
        <v>266.41000000000003</v>
      </c>
      <c r="K20" s="188"/>
    </row>
    <row r="21" spans="1:11" s="414" customFormat="1" ht="15" customHeight="1">
      <c r="A21" s="9" t="s">
        <v>300</v>
      </c>
      <c r="B21" s="64">
        <f t="shared" si="4"/>
        <v>0.10199999999999999</v>
      </c>
      <c r="C21" s="31">
        <v>4</v>
      </c>
      <c r="D21" s="63" t="s">
        <v>25</v>
      </c>
      <c r="E21" s="63" t="s">
        <v>273</v>
      </c>
      <c r="F21" s="32" t="s">
        <v>278</v>
      </c>
      <c r="G21" s="384">
        <v>19.417999999999999</v>
      </c>
      <c r="H21" s="15">
        <f t="shared" si="5"/>
        <v>233.02</v>
      </c>
      <c r="I21" s="15">
        <f t="shared" si="6"/>
        <v>258.83999999999997</v>
      </c>
      <c r="J21" s="15">
        <f t="shared" si="7"/>
        <v>271.85000000000002</v>
      </c>
      <c r="K21" s="188"/>
    </row>
    <row r="22" spans="1:11" s="414" customFormat="1" ht="15" customHeight="1">
      <c r="A22" s="9" t="s">
        <v>300</v>
      </c>
      <c r="B22" s="64">
        <f t="shared" si="4"/>
        <v>0.10199999999999999</v>
      </c>
      <c r="C22" s="202">
        <v>4</v>
      </c>
      <c r="D22" s="63" t="s">
        <v>25</v>
      </c>
      <c r="E22" s="63" t="s">
        <v>273</v>
      </c>
      <c r="F22" s="32" t="s">
        <v>278</v>
      </c>
      <c r="G22" s="413">
        <v>19.398</v>
      </c>
      <c r="H22" s="15">
        <f t="shared" si="5"/>
        <v>232.78</v>
      </c>
      <c r="I22" s="15">
        <f t="shared" si="6"/>
        <v>258.58</v>
      </c>
      <c r="J22" s="15">
        <f t="shared" si="7"/>
        <v>271.57</v>
      </c>
      <c r="K22" s="188"/>
    </row>
    <row r="23" spans="1:11" s="414" customFormat="1" ht="15" customHeight="1">
      <c r="A23" s="9" t="s">
        <v>300</v>
      </c>
      <c r="B23" s="64">
        <f t="shared" si="4"/>
        <v>0.10199999999999999</v>
      </c>
      <c r="C23" s="31">
        <v>4</v>
      </c>
      <c r="D23" s="63" t="s">
        <v>25</v>
      </c>
      <c r="E23" s="63" t="s">
        <v>273</v>
      </c>
      <c r="F23" s="32" t="s">
        <v>279</v>
      </c>
      <c r="G23" s="384">
        <v>24.152999999999999</v>
      </c>
      <c r="H23" s="15">
        <f t="shared" si="5"/>
        <v>289.83999999999997</v>
      </c>
      <c r="I23" s="15">
        <f t="shared" si="6"/>
        <v>321.95999999999998</v>
      </c>
      <c r="J23" s="15">
        <f t="shared" si="7"/>
        <v>338.14</v>
      </c>
      <c r="K23" s="188"/>
    </row>
    <row r="24" spans="1:11" s="414" customFormat="1" ht="15" customHeight="1">
      <c r="A24" s="9" t="s">
        <v>300</v>
      </c>
      <c r="B24" s="64">
        <f t="shared" si="4"/>
        <v>0.127</v>
      </c>
      <c r="C24" s="31">
        <v>5</v>
      </c>
      <c r="D24" s="63" t="s">
        <v>25</v>
      </c>
      <c r="E24" s="63" t="s">
        <v>273</v>
      </c>
      <c r="F24" s="32" t="s">
        <v>279</v>
      </c>
      <c r="G24" s="384">
        <v>24.282</v>
      </c>
      <c r="H24" s="15">
        <f t="shared" si="5"/>
        <v>291.38</v>
      </c>
      <c r="I24" s="15">
        <f t="shared" si="6"/>
        <v>323.68</v>
      </c>
      <c r="J24" s="15">
        <f t="shared" si="7"/>
        <v>339.95</v>
      </c>
      <c r="K24" s="188"/>
    </row>
    <row r="25" spans="1:11" s="414" customFormat="1" ht="15" customHeight="1">
      <c r="A25" s="9" t="s">
        <v>300</v>
      </c>
      <c r="B25" s="64">
        <f t="shared" si="4"/>
        <v>0.127</v>
      </c>
      <c r="C25" s="31">
        <v>5</v>
      </c>
      <c r="D25" s="63" t="s">
        <v>25</v>
      </c>
      <c r="E25" s="63" t="s">
        <v>273</v>
      </c>
      <c r="F25" s="32" t="s">
        <v>281</v>
      </c>
      <c r="G25" s="384">
        <v>24.327999999999999</v>
      </c>
      <c r="H25" s="15">
        <f t="shared" si="5"/>
        <v>291.94</v>
      </c>
      <c r="I25" s="15">
        <f t="shared" si="6"/>
        <v>324.29000000000002</v>
      </c>
      <c r="J25" s="15">
        <f t="shared" si="7"/>
        <v>340.59</v>
      </c>
      <c r="K25" s="188"/>
    </row>
    <row r="26" spans="1:11" s="414" customFormat="1" ht="15" customHeight="1">
      <c r="A26" s="9" t="s">
        <v>300</v>
      </c>
      <c r="B26" s="64">
        <f t="shared" si="4"/>
        <v>0.152</v>
      </c>
      <c r="C26" s="31">
        <v>6</v>
      </c>
      <c r="D26" s="63" t="s">
        <v>25</v>
      </c>
      <c r="E26" s="63" t="s">
        <v>273</v>
      </c>
      <c r="F26" s="32" t="s">
        <v>281</v>
      </c>
      <c r="G26" s="384">
        <v>24.274999999999999</v>
      </c>
      <c r="H26" s="15">
        <f t="shared" si="5"/>
        <v>291.3</v>
      </c>
      <c r="I26" s="15">
        <f t="shared" si="6"/>
        <v>323.58999999999997</v>
      </c>
      <c r="J26" s="15">
        <f t="shared" si="7"/>
        <v>339.85</v>
      </c>
      <c r="K26" s="188"/>
    </row>
    <row r="27" spans="1:11" s="414" customFormat="1" ht="15" customHeight="1">
      <c r="A27" s="9" t="s">
        <v>300</v>
      </c>
      <c r="B27" s="64">
        <f t="shared" si="4"/>
        <v>0.20300000000000001</v>
      </c>
      <c r="C27" s="31">
        <v>8</v>
      </c>
      <c r="D27" s="63" t="s">
        <v>25</v>
      </c>
      <c r="E27" s="63" t="s">
        <v>273</v>
      </c>
      <c r="F27" s="32" t="s">
        <v>283</v>
      </c>
      <c r="G27" s="384">
        <v>27.032</v>
      </c>
      <c r="H27" s="15">
        <f t="shared" si="5"/>
        <v>324.38</v>
      </c>
      <c r="I27" s="15">
        <f t="shared" si="6"/>
        <v>360.34</v>
      </c>
      <c r="J27" s="15">
        <f t="shared" si="7"/>
        <v>378.45</v>
      </c>
      <c r="K27" s="188"/>
    </row>
    <row r="28" spans="1:11" s="379" customFormat="1" ht="15" customHeight="1">
      <c r="A28" s="9" t="s">
        <v>300</v>
      </c>
      <c r="B28" s="64">
        <f t="shared" si="4"/>
        <v>0.254</v>
      </c>
      <c r="C28" s="31">
        <v>10</v>
      </c>
      <c r="D28" s="63" t="s">
        <v>25</v>
      </c>
      <c r="E28" s="63" t="s">
        <v>273</v>
      </c>
      <c r="F28" s="32" t="s">
        <v>284</v>
      </c>
      <c r="G28" s="384">
        <v>28.852</v>
      </c>
      <c r="H28" s="15">
        <f t="shared" si="5"/>
        <v>346.22</v>
      </c>
      <c r="I28" s="15">
        <f t="shared" si="6"/>
        <v>384.6</v>
      </c>
      <c r="J28" s="15">
        <f t="shared" si="7"/>
        <v>403.93</v>
      </c>
      <c r="K28" s="188"/>
    </row>
    <row r="29" spans="1:11" s="379" customFormat="1" ht="15" customHeight="1">
      <c r="A29" s="9" t="s">
        <v>300</v>
      </c>
      <c r="B29" s="64">
        <f t="shared" si="4"/>
        <v>0.30499999999999999</v>
      </c>
      <c r="C29" s="31">
        <v>12</v>
      </c>
      <c r="D29" s="63" t="s">
        <v>25</v>
      </c>
      <c r="E29" s="63" t="s">
        <v>273</v>
      </c>
      <c r="F29" s="32" t="s">
        <v>285</v>
      </c>
      <c r="G29" s="384">
        <v>34.658000000000001</v>
      </c>
      <c r="H29" s="15">
        <f t="shared" si="5"/>
        <v>415.9</v>
      </c>
      <c r="I29" s="15">
        <f t="shared" si="6"/>
        <v>461.99</v>
      </c>
      <c r="J29" s="15">
        <f t="shared" si="7"/>
        <v>485.21</v>
      </c>
      <c r="K29" s="188"/>
    </row>
    <row r="30" spans="1:11" s="414" customFormat="1" ht="15" customHeight="1">
      <c r="A30" s="9" t="s">
        <v>300</v>
      </c>
      <c r="B30" s="64">
        <f t="shared" si="4"/>
        <v>0.40600000000000003</v>
      </c>
      <c r="C30" s="31">
        <v>16</v>
      </c>
      <c r="D30" s="63" t="s">
        <v>25</v>
      </c>
      <c r="E30" s="63" t="s">
        <v>273</v>
      </c>
      <c r="F30" s="32" t="s">
        <v>286</v>
      </c>
      <c r="G30" s="384">
        <v>45.661000000000001</v>
      </c>
      <c r="H30" s="15">
        <f t="shared" si="5"/>
        <v>547.92999999999995</v>
      </c>
      <c r="I30" s="15">
        <f t="shared" si="6"/>
        <v>608.66</v>
      </c>
      <c r="J30" s="15">
        <f t="shared" si="7"/>
        <v>639.25</v>
      </c>
      <c r="K30" s="188"/>
    </row>
    <row r="31" spans="1:11" s="414" customFormat="1" ht="15" customHeight="1">
      <c r="A31" s="9" t="s">
        <v>300</v>
      </c>
      <c r="B31" s="64">
        <f t="shared" si="4"/>
        <v>0.88900000000000001</v>
      </c>
      <c r="C31" s="31">
        <v>35</v>
      </c>
      <c r="D31" s="63" t="s">
        <v>25</v>
      </c>
      <c r="E31" s="63" t="s">
        <v>273</v>
      </c>
      <c r="F31" s="32" t="s">
        <v>302</v>
      </c>
      <c r="G31" s="384">
        <v>95.382000000000005</v>
      </c>
      <c r="H31" s="15">
        <f t="shared" si="5"/>
        <v>1144.58</v>
      </c>
      <c r="I31" s="15">
        <f t="shared" si="6"/>
        <v>1271.44</v>
      </c>
      <c r="J31" s="15">
        <f t="shared" si="7"/>
        <v>1335.35</v>
      </c>
      <c r="K31" s="188"/>
    </row>
    <row r="32" spans="1:11" s="414" customFormat="1" ht="15" customHeight="1">
      <c r="A32" s="9" t="s">
        <v>300</v>
      </c>
      <c r="B32" s="64">
        <f t="shared" si="4"/>
        <v>6.4000000000000001E-2</v>
      </c>
      <c r="C32" s="31">
        <v>2.5</v>
      </c>
      <c r="D32" s="201" t="s">
        <v>28</v>
      </c>
      <c r="E32" s="63" t="s">
        <v>273</v>
      </c>
      <c r="F32" s="32" t="s">
        <v>276</v>
      </c>
      <c r="G32" s="384">
        <v>23.347999999999999</v>
      </c>
      <c r="H32" s="15">
        <f t="shared" si="5"/>
        <v>280.18</v>
      </c>
      <c r="I32" s="15">
        <f t="shared" si="6"/>
        <v>311.23</v>
      </c>
      <c r="J32" s="15">
        <f t="shared" si="7"/>
        <v>326.87</v>
      </c>
      <c r="K32" s="188"/>
    </row>
    <row r="33" spans="1:11" s="414" customFormat="1" ht="15" customHeight="1">
      <c r="A33" s="9" t="s">
        <v>300</v>
      </c>
      <c r="B33" s="64">
        <f t="shared" si="4"/>
        <v>7.5999999999999998E-2</v>
      </c>
      <c r="C33" s="31">
        <v>3</v>
      </c>
      <c r="D33" s="201" t="s">
        <v>28</v>
      </c>
      <c r="E33" s="63" t="s">
        <v>273</v>
      </c>
      <c r="F33" s="32" t="s">
        <v>276</v>
      </c>
      <c r="G33" s="384">
        <v>23.381</v>
      </c>
      <c r="H33" s="15">
        <f t="shared" si="5"/>
        <v>280.57</v>
      </c>
      <c r="I33" s="15">
        <f t="shared" si="6"/>
        <v>311.67</v>
      </c>
      <c r="J33" s="15">
        <f t="shared" si="7"/>
        <v>327.33</v>
      </c>
      <c r="K33" s="188"/>
    </row>
    <row r="34" spans="1:11" s="414" customFormat="1" ht="15" customHeight="1">
      <c r="A34" s="9" t="s">
        <v>300</v>
      </c>
      <c r="B34" s="64">
        <f t="shared" si="4"/>
        <v>8.8999999999999996E-2</v>
      </c>
      <c r="C34" s="31">
        <v>3.5</v>
      </c>
      <c r="D34" s="201" t="s">
        <v>28</v>
      </c>
      <c r="E34" s="63" t="s">
        <v>273</v>
      </c>
      <c r="F34" s="32" t="s">
        <v>276</v>
      </c>
      <c r="G34" s="384">
        <v>25.65</v>
      </c>
      <c r="H34" s="15">
        <f t="shared" si="5"/>
        <v>307.8</v>
      </c>
      <c r="I34" s="15">
        <f t="shared" si="6"/>
        <v>341.91</v>
      </c>
      <c r="J34" s="15">
        <f t="shared" si="7"/>
        <v>359.1</v>
      </c>
      <c r="K34" s="188"/>
    </row>
    <row r="35" spans="1:11" s="414" customFormat="1" ht="15" customHeight="1">
      <c r="A35" s="9" t="s">
        <v>300</v>
      </c>
      <c r="B35" s="64">
        <f t="shared" si="4"/>
        <v>8.8999999999999996E-2</v>
      </c>
      <c r="C35" s="31">
        <v>3.5</v>
      </c>
      <c r="D35" s="201" t="s">
        <v>28</v>
      </c>
      <c r="E35" s="63" t="s">
        <v>273</v>
      </c>
      <c r="F35" s="32" t="s">
        <v>279</v>
      </c>
      <c r="G35" s="384">
        <v>27.337</v>
      </c>
      <c r="H35" s="15">
        <f t="shared" si="5"/>
        <v>328.04</v>
      </c>
      <c r="I35" s="15">
        <f t="shared" si="6"/>
        <v>364.4</v>
      </c>
      <c r="J35" s="15">
        <f t="shared" si="7"/>
        <v>382.72</v>
      </c>
      <c r="K35" s="188"/>
    </row>
    <row r="36" spans="1:11" s="414" customFormat="1" ht="15" customHeight="1">
      <c r="A36" s="9" t="s">
        <v>300</v>
      </c>
      <c r="B36" s="64">
        <f t="shared" si="4"/>
        <v>0.10199999999999999</v>
      </c>
      <c r="C36" s="31">
        <v>4</v>
      </c>
      <c r="D36" s="201" t="s">
        <v>28</v>
      </c>
      <c r="E36" s="63" t="s">
        <v>273</v>
      </c>
      <c r="F36" s="32" t="s">
        <v>278</v>
      </c>
      <c r="G36" s="384">
        <v>23.324999999999999</v>
      </c>
      <c r="H36" s="15">
        <f t="shared" si="5"/>
        <v>279.89999999999998</v>
      </c>
      <c r="I36" s="15">
        <f t="shared" si="6"/>
        <v>310.92</v>
      </c>
      <c r="J36" s="15">
        <f t="shared" si="7"/>
        <v>326.55</v>
      </c>
      <c r="K36" s="188"/>
    </row>
    <row r="37" spans="1:11" s="414" customFormat="1" ht="15" customHeight="1">
      <c r="A37" s="9" t="s">
        <v>300</v>
      </c>
      <c r="B37" s="64">
        <f t="shared" si="4"/>
        <v>0.10199999999999999</v>
      </c>
      <c r="C37" s="31">
        <v>4</v>
      </c>
      <c r="D37" s="201" t="s">
        <v>28</v>
      </c>
      <c r="E37" s="63" t="s">
        <v>273</v>
      </c>
      <c r="F37" s="32" t="s">
        <v>279</v>
      </c>
      <c r="G37" s="384">
        <v>27.337</v>
      </c>
      <c r="H37" s="15">
        <f t="shared" si="5"/>
        <v>328.04</v>
      </c>
      <c r="I37" s="15">
        <f t="shared" si="6"/>
        <v>364.4</v>
      </c>
      <c r="J37" s="15">
        <f t="shared" si="7"/>
        <v>382.72</v>
      </c>
      <c r="K37" s="188"/>
    </row>
    <row r="38" spans="1:11" s="414" customFormat="1" ht="15" customHeight="1">
      <c r="A38" s="9" t="s">
        <v>300</v>
      </c>
      <c r="B38" s="64">
        <f t="shared" si="4"/>
        <v>0.127</v>
      </c>
      <c r="C38" s="31">
        <v>5</v>
      </c>
      <c r="D38" s="201" t="s">
        <v>28</v>
      </c>
      <c r="E38" s="63" t="s">
        <v>273</v>
      </c>
      <c r="F38" s="32" t="s">
        <v>279</v>
      </c>
      <c r="G38" s="384">
        <v>27.315000000000001</v>
      </c>
      <c r="H38" s="15">
        <f t="shared" si="5"/>
        <v>327.78</v>
      </c>
      <c r="I38" s="15">
        <f t="shared" si="6"/>
        <v>364.11</v>
      </c>
      <c r="J38" s="15">
        <f t="shared" si="7"/>
        <v>382.41</v>
      </c>
      <c r="K38" s="188"/>
    </row>
    <row r="39" spans="1:11" s="414" customFormat="1" ht="15" customHeight="1">
      <c r="A39" s="9" t="s">
        <v>300</v>
      </c>
      <c r="B39" s="64">
        <f t="shared" si="4"/>
        <v>0.127</v>
      </c>
      <c r="C39" s="31">
        <v>5</v>
      </c>
      <c r="D39" s="201" t="s">
        <v>28</v>
      </c>
      <c r="E39" s="63" t="s">
        <v>273</v>
      </c>
      <c r="F39" s="32" t="s">
        <v>281</v>
      </c>
      <c r="G39" s="384">
        <v>27.262</v>
      </c>
      <c r="H39" s="15">
        <f t="shared" si="5"/>
        <v>327.14</v>
      </c>
      <c r="I39" s="15">
        <f t="shared" si="6"/>
        <v>363.4</v>
      </c>
      <c r="J39" s="15">
        <f t="shared" si="7"/>
        <v>381.67</v>
      </c>
      <c r="K39" s="188"/>
    </row>
    <row r="40" spans="1:11" s="414" customFormat="1" ht="15" customHeight="1">
      <c r="A40" s="9" t="s">
        <v>300</v>
      </c>
      <c r="B40" s="64">
        <f t="shared" si="4"/>
        <v>0.152</v>
      </c>
      <c r="C40" s="31">
        <v>6</v>
      </c>
      <c r="D40" s="201" t="s">
        <v>28</v>
      </c>
      <c r="E40" s="63" t="s">
        <v>273</v>
      </c>
      <c r="F40" s="32" t="s">
        <v>281</v>
      </c>
      <c r="G40" s="384">
        <v>28.178000000000001</v>
      </c>
      <c r="H40" s="15">
        <f t="shared" si="5"/>
        <v>338.14</v>
      </c>
      <c r="I40" s="15">
        <f t="shared" si="6"/>
        <v>375.61</v>
      </c>
      <c r="J40" s="15">
        <f t="shared" si="7"/>
        <v>394.49</v>
      </c>
      <c r="K40" s="188"/>
    </row>
    <row r="41" spans="1:11" s="414" customFormat="1" ht="15" customHeight="1">
      <c r="A41" s="9" t="s">
        <v>300</v>
      </c>
      <c r="B41" s="64">
        <f t="shared" si="4"/>
        <v>0.17799999999999999</v>
      </c>
      <c r="C41" s="31">
        <v>7</v>
      </c>
      <c r="D41" s="201" t="s">
        <v>28</v>
      </c>
      <c r="E41" s="63" t="s">
        <v>273</v>
      </c>
      <c r="F41" s="32" t="s">
        <v>281</v>
      </c>
      <c r="G41" s="384">
        <v>28.337</v>
      </c>
      <c r="H41" s="15">
        <f t="shared" si="5"/>
        <v>340.04</v>
      </c>
      <c r="I41" s="15">
        <f t="shared" si="6"/>
        <v>377.73</v>
      </c>
      <c r="J41" s="15">
        <f t="shared" si="7"/>
        <v>396.72</v>
      </c>
      <c r="K41" s="188"/>
    </row>
    <row r="42" spans="1:11" s="414" customFormat="1" ht="15" customHeight="1">
      <c r="A42" s="9" t="s">
        <v>300</v>
      </c>
      <c r="B42" s="64">
        <f t="shared" si="4"/>
        <v>0.20300000000000001</v>
      </c>
      <c r="C42" s="31">
        <v>8</v>
      </c>
      <c r="D42" s="201" t="s">
        <v>28</v>
      </c>
      <c r="E42" s="63" t="s">
        <v>273</v>
      </c>
      <c r="F42" s="32" t="s">
        <v>283</v>
      </c>
      <c r="G42" s="384">
        <v>33.209000000000003</v>
      </c>
      <c r="H42" s="15">
        <f t="shared" si="5"/>
        <v>398.51</v>
      </c>
      <c r="I42" s="15">
        <f t="shared" si="6"/>
        <v>442.68</v>
      </c>
      <c r="J42" s="15">
        <f t="shared" si="7"/>
        <v>464.93</v>
      </c>
      <c r="K42" s="188"/>
    </row>
    <row r="43" spans="1:11" s="414" customFormat="1" ht="15" customHeight="1">
      <c r="A43" s="9" t="s">
        <v>300</v>
      </c>
      <c r="B43" s="64">
        <f t="shared" si="4"/>
        <v>0.254</v>
      </c>
      <c r="C43" s="31">
        <v>10</v>
      </c>
      <c r="D43" s="201" t="s">
        <v>28</v>
      </c>
      <c r="E43" s="63" t="s">
        <v>273</v>
      </c>
      <c r="F43" s="32" t="s">
        <v>284</v>
      </c>
      <c r="G43" s="384">
        <v>33.048999999999999</v>
      </c>
      <c r="H43" s="15">
        <f t="shared" si="5"/>
        <v>396.59</v>
      </c>
      <c r="I43" s="15">
        <f t="shared" si="6"/>
        <v>440.54</v>
      </c>
      <c r="J43" s="15">
        <f t="shared" si="7"/>
        <v>462.69</v>
      </c>
      <c r="K43" s="188"/>
    </row>
    <row r="44" spans="1:11" s="414" customFormat="1" ht="15" customHeight="1">
      <c r="A44" s="9" t="s">
        <v>300</v>
      </c>
      <c r="B44" s="64">
        <f t="shared" si="4"/>
        <v>0.30499999999999999</v>
      </c>
      <c r="C44" s="31">
        <v>12</v>
      </c>
      <c r="D44" s="201" t="s">
        <v>28</v>
      </c>
      <c r="E44" s="63" t="s">
        <v>273</v>
      </c>
      <c r="F44" s="32" t="s">
        <v>285</v>
      </c>
      <c r="G44" s="384">
        <v>37.719000000000001</v>
      </c>
      <c r="H44" s="15">
        <f t="shared" si="5"/>
        <v>452.63</v>
      </c>
      <c r="I44" s="15">
        <f t="shared" si="6"/>
        <v>502.79</v>
      </c>
      <c r="J44" s="15">
        <f t="shared" si="7"/>
        <v>528.07000000000005</v>
      </c>
      <c r="K44" s="188"/>
    </row>
    <row r="45" spans="1:11" s="414" customFormat="1" ht="15" customHeight="1">
      <c r="A45" s="9" t="s">
        <v>300</v>
      </c>
      <c r="B45" s="64">
        <f t="shared" si="4"/>
        <v>0.40600000000000003</v>
      </c>
      <c r="C45" s="31">
        <v>16</v>
      </c>
      <c r="D45" s="201" t="s">
        <v>28</v>
      </c>
      <c r="E45" s="63" t="s">
        <v>273</v>
      </c>
      <c r="F45" s="32" t="s">
        <v>286</v>
      </c>
      <c r="G45" s="384">
        <v>48.734999999999999</v>
      </c>
      <c r="H45" s="15">
        <f t="shared" si="5"/>
        <v>584.82000000000005</v>
      </c>
      <c r="I45" s="15">
        <f t="shared" si="6"/>
        <v>649.64</v>
      </c>
      <c r="J45" s="15">
        <f t="shared" si="7"/>
        <v>682.29</v>
      </c>
      <c r="K45" s="188"/>
    </row>
    <row r="46" spans="1:11" s="414" customFormat="1" ht="15" customHeight="1">
      <c r="A46" s="9" t="s">
        <v>300</v>
      </c>
      <c r="B46" s="64">
        <f t="shared" si="4"/>
        <v>0.88900000000000001</v>
      </c>
      <c r="C46" s="31">
        <v>35</v>
      </c>
      <c r="D46" s="201" t="s">
        <v>28</v>
      </c>
      <c r="E46" s="63" t="s">
        <v>273</v>
      </c>
      <c r="F46" s="32" t="s">
        <v>302</v>
      </c>
      <c r="G46" s="384">
        <v>107.86499999999999</v>
      </c>
      <c r="H46" s="15">
        <f t="shared" si="5"/>
        <v>1294.3800000000001</v>
      </c>
      <c r="I46" s="15">
        <f t="shared" si="6"/>
        <v>1437.84</v>
      </c>
      <c r="J46" s="15">
        <f t="shared" si="7"/>
        <v>1510.11</v>
      </c>
      <c r="K46" s="188"/>
    </row>
    <row r="47" spans="1:11" s="414" customFormat="1" ht="15" customHeight="1">
      <c r="A47" s="9" t="s">
        <v>300</v>
      </c>
      <c r="B47" s="64">
        <f t="shared" si="4"/>
        <v>7.5999999999999998E-2</v>
      </c>
      <c r="C47" s="202">
        <v>3</v>
      </c>
      <c r="D47" s="201" t="s">
        <v>138</v>
      </c>
      <c r="E47" s="63" t="s">
        <v>290</v>
      </c>
      <c r="F47" s="32" t="s">
        <v>303</v>
      </c>
      <c r="G47" s="384">
        <v>25.785</v>
      </c>
      <c r="H47" s="15">
        <f t="shared" si="5"/>
        <v>309.42</v>
      </c>
      <c r="I47" s="15">
        <f t="shared" si="6"/>
        <v>343.71</v>
      </c>
      <c r="J47" s="15">
        <f t="shared" si="7"/>
        <v>360.99</v>
      </c>
      <c r="K47" s="188"/>
    </row>
    <row r="48" spans="1:11" s="414" customFormat="1" ht="15" customHeight="1">
      <c r="A48" s="9" t="s">
        <v>300</v>
      </c>
      <c r="B48" s="64">
        <f t="shared" si="4"/>
        <v>8.8999999999999996E-2</v>
      </c>
      <c r="C48" s="202">
        <v>3.5</v>
      </c>
      <c r="D48" s="201" t="s">
        <v>138</v>
      </c>
      <c r="E48" s="63" t="s">
        <v>290</v>
      </c>
      <c r="F48" s="32" t="s">
        <v>303</v>
      </c>
      <c r="G48" s="384">
        <v>27.882000000000001</v>
      </c>
      <c r="H48" s="15">
        <f t="shared" si="5"/>
        <v>334.58</v>
      </c>
      <c r="I48" s="15">
        <f t="shared" si="6"/>
        <v>371.67</v>
      </c>
      <c r="J48" s="15">
        <f t="shared" si="7"/>
        <v>390.35</v>
      </c>
      <c r="K48" s="188"/>
    </row>
    <row r="49" spans="1:11" s="414" customFormat="1" ht="15" customHeight="1">
      <c r="A49" s="9" t="s">
        <v>300</v>
      </c>
      <c r="B49" s="64">
        <f t="shared" si="4"/>
        <v>0.10199999999999999</v>
      </c>
      <c r="C49" s="202">
        <v>4</v>
      </c>
      <c r="D49" s="201" t="s">
        <v>138</v>
      </c>
      <c r="E49" s="63" t="s">
        <v>290</v>
      </c>
      <c r="F49" s="32" t="s">
        <v>304</v>
      </c>
      <c r="G49" s="384">
        <v>26.957999999999998</v>
      </c>
      <c r="H49" s="15">
        <f t="shared" si="5"/>
        <v>323.5</v>
      </c>
      <c r="I49" s="15">
        <f t="shared" si="6"/>
        <v>359.35</v>
      </c>
      <c r="J49" s="15">
        <f t="shared" si="7"/>
        <v>377.41</v>
      </c>
      <c r="K49" s="188"/>
    </row>
    <row r="50" spans="1:11" s="414" customFormat="1" ht="15" customHeight="1">
      <c r="A50" s="9" t="s">
        <v>300</v>
      </c>
      <c r="B50" s="64">
        <f t="shared" si="4"/>
        <v>0.10199999999999999</v>
      </c>
      <c r="C50" s="31">
        <v>4</v>
      </c>
      <c r="D50" s="201" t="s">
        <v>138</v>
      </c>
      <c r="E50" s="63" t="s">
        <v>290</v>
      </c>
      <c r="F50" s="32" t="s">
        <v>279</v>
      </c>
      <c r="G50" s="384">
        <v>30.95</v>
      </c>
      <c r="H50" s="15">
        <f t="shared" si="5"/>
        <v>371.4</v>
      </c>
      <c r="I50" s="15">
        <f t="shared" si="6"/>
        <v>412.56</v>
      </c>
      <c r="J50" s="15">
        <f t="shared" si="7"/>
        <v>433.3</v>
      </c>
      <c r="K50" s="188"/>
    </row>
    <row r="51" spans="1:11" s="414" customFormat="1" ht="15" customHeight="1">
      <c r="A51" s="9" t="s">
        <v>300</v>
      </c>
      <c r="B51" s="64">
        <f t="shared" si="4"/>
        <v>0.127</v>
      </c>
      <c r="C51" s="202">
        <v>5</v>
      </c>
      <c r="D51" s="201" t="s">
        <v>138</v>
      </c>
      <c r="E51" s="63" t="s">
        <v>290</v>
      </c>
      <c r="F51" s="32" t="s">
        <v>280</v>
      </c>
      <c r="G51" s="415">
        <v>27.376000000000001</v>
      </c>
      <c r="H51" s="15">
        <f t="shared" si="5"/>
        <v>328.51</v>
      </c>
      <c r="I51" s="15">
        <f t="shared" si="6"/>
        <v>364.92</v>
      </c>
      <c r="J51" s="15">
        <f t="shared" si="7"/>
        <v>383.26</v>
      </c>
      <c r="K51" s="188"/>
    </row>
    <row r="52" spans="1:11" s="414" customFormat="1" ht="15" customHeight="1">
      <c r="A52" s="9" t="s">
        <v>300</v>
      </c>
      <c r="B52" s="64">
        <f t="shared" si="4"/>
        <v>0.127</v>
      </c>
      <c r="C52" s="31">
        <v>5</v>
      </c>
      <c r="D52" s="201" t="s">
        <v>138</v>
      </c>
      <c r="E52" s="63" t="s">
        <v>290</v>
      </c>
      <c r="F52" s="32" t="s">
        <v>279</v>
      </c>
      <c r="G52" s="384">
        <v>32.540999999999997</v>
      </c>
      <c r="H52" s="15">
        <f t="shared" si="5"/>
        <v>390.49</v>
      </c>
      <c r="I52" s="15">
        <f t="shared" si="6"/>
        <v>433.77</v>
      </c>
      <c r="J52" s="15">
        <f t="shared" si="7"/>
        <v>455.57</v>
      </c>
      <c r="K52" s="188"/>
    </row>
    <row r="53" spans="1:11" s="414" customFormat="1" ht="15" customHeight="1">
      <c r="A53" s="9" t="s">
        <v>300</v>
      </c>
      <c r="B53" s="64">
        <f t="shared" si="4"/>
        <v>0.127</v>
      </c>
      <c r="C53" s="202">
        <v>5</v>
      </c>
      <c r="D53" s="201" t="s">
        <v>138</v>
      </c>
      <c r="E53" s="63" t="s">
        <v>290</v>
      </c>
      <c r="F53" s="32" t="s">
        <v>305</v>
      </c>
      <c r="G53" s="384">
        <v>30.664999999999999</v>
      </c>
      <c r="H53" s="15">
        <f t="shared" si="5"/>
        <v>367.98</v>
      </c>
      <c r="I53" s="15">
        <f t="shared" si="6"/>
        <v>408.76</v>
      </c>
      <c r="J53" s="15">
        <f t="shared" si="7"/>
        <v>429.31</v>
      </c>
      <c r="K53" s="188"/>
    </row>
    <row r="54" spans="1:11" s="414" customFormat="1" ht="15" customHeight="1">
      <c r="A54" s="9" t="s">
        <v>300</v>
      </c>
      <c r="B54" s="64">
        <f t="shared" si="4"/>
        <v>6.4000000000000001E-2</v>
      </c>
      <c r="C54" s="31">
        <v>2.5</v>
      </c>
      <c r="D54" s="201" t="s">
        <v>29</v>
      </c>
      <c r="E54" s="63" t="s">
        <v>137</v>
      </c>
      <c r="F54" s="32" t="s">
        <v>276</v>
      </c>
      <c r="G54" s="384">
        <v>25.65</v>
      </c>
      <c r="H54" s="15">
        <f t="shared" si="5"/>
        <v>307.8</v>
      </c>
      <c r="I54" s="15">
        <f t="shared" si="6"/>
        <v>341.91</v>
      </c>
      <c r="J54" s="15">
        <f t="shared" si="7"/>
        <v>359.1</v>
      </c>
      <c r="K54" s="188"/>
    </row>
    <row r="55" spans="1:11" s="414" customFormat="1" ht="15" customHeight="1">
      <c r="A55" s="9" t="s">
        <v>300</v>
      </c>
      <c r="B55" s="64">
        <f t="shared" si="4"/>
        <v>7.5999999999999998E-2</v>
      </c>
      <c r="C55" s="31">
        <v>3</v>
      </c>
      <c r="D55" s="201" t="s">
        <v>29</v>
      </c>
      <c r="E55" s="63" t="s">
        <v>137</v>
      </c>
      <c r="F55" s="32" t="s">
        <v>276</v>
      </c>
      <c r="G55" s="384">
        <v>25.521999999999998</v>
      </c>
      <c r="H55" s="15">
        <f t="shared" si="5"/>
        <v>306.26</v>
      </c>
      <c r="I55" s="15">
        <f t="shared" si="6"/>
        <v>340.21</v>
      </c>
      <c r="J55" s="15">
        <f t="shared" si="7"/>
        <v>357.31</v>
      </c>
      <c r="K55" s="188"/>
    </row>
    <row r="56" spans="1:11" s="414" customFormat="1" ht="16.2" customHeight="1">
      <c r="A56" s="9" t="s">
        <v>300</v>
      </c>
      <c r="B56" s="64">
        <f t="shared" si="4"/>
        <v>8.8999999999999996E-2</v>
      </c>
      <c r="C56" s="31">
        <v>3.5</v>
      </c>
      <c r="D56" s="201" t="s">
        <v>29</v>
      </c>
      <c r="E56" s="63" t="s">
        <v>137</v>
      </c>
      <c r="F56" s="32" t="s">
        <v>279</v>
      </c>
      <c r="G56" s="384">
        <v>33.326999999999998</v>
      </c>
      <c r="H56" s="15">
        <f t="shared" si="5"/>
        <v>399.92</v>
      </c>
      <c r="I56" s="15">
        <f t="shared" si="6"/>
        <v>444.25</v>
      </c>
      <c r="J56" s="15">
        <f t="shared" si="7"/>
        <v>466.58</v>
      </c>
      <c r="K56" s="188"/>
    </row>
    <row r="57" spans="1:11" s="414" customFormat="1" ht="15" customHeight="1">
      <c r="A57" s="9" t="s">
        <v>300</v>
      </c>
      <c r="B57" s="64">
        <f t="shared" si="4"/>
        <v>0.10199999999999999</v>
      </c>
      <c r="C57" s="31">
        <v>4</v>
      </c>
      <c r="D57" s="201" t="s">
        <v>29</v>
      </c>
      <c r="E57" s="63" t="s">
        <v>137</v>
      </c>
      <c r="F57" s="32" t="s">
        <v>278</v>
      </c>
      <c r="G57" s="384">
        <v>28.5</v>
      </c>
      <c r="H57" s="15">
        <f t="shared" si="5"/>
        <v>342</v>
      </c>
      <c r="I57" s="15">
        <f t="shared" si="6"/>
        <v>379.91</v>
      </c>
      <c r="J57" s="15">
        <f t="shared" si="7"/>
        <v>399</v>
      </c>
      <c r="K57" s="188"/>
    </row>
    <row r="58" spans="1:11" s="414" customFormat="1" ht="15" customHeight="1">
      <c r="A58" s="9" t="s">
        <v>300</v>
      </c>
      <c r="B58" s="64">
        <f t="shared" si="4"/>
        <v>0.10199999999999999</v>
      </c>
      <c r="C58" s="31">
        <v>4</v>
      </c>
      <c r="D58" s="201" t="s">
        <v>29</v>
      </c>
      <c r="E58" s="63" t="s">
        <v>137</v>
      </c>
      <c r="F58" s="32" t="s">
        <v>279</v>
      </c>
      <c r="G58" s="384">
        <v>33.326999999999998</v>
      </c>
      <c r="H58" s="15">
        <f t="shared" si="5"/>
        <v>399.92</v>
      </c>
      <c r="I58" s="15">
        <f t="shared" si="6"/>
        <v>444.25</v>
      </c>
      <c r="J58" s="15">
        <f t="shared" si="7"/>
        <v>466.58</v>
      </c>
      <c r="K58" s="188"/>
    </row>
    <row r="59" spans="1:11" s="414" customFormat="1" ht="15" customHeight="1">
      <c r="A59" s="9" t="s">
        <v>300</v>
      </c>
      <c r="B59" s="64">
        <f t="shared" si="4"/>
        <v>0.127</v>
      </c>
      <c r="C59" s="31">
        <v>5</v>
      </c>
      <c r="D59" s="201" t="s">
        <v>29</v>
      </c>
      <c r="E59" s="63" t="s">
        <v>137</v>
      </c>
      <c r="F59" s="32" t="s">
        <v>279</v>
      </c>
      <c r="G59" s="384">
        <v>33.326999999999998</v>
      </c>
      <c r="H59" s="15">
        <f t="shared" si="5"/>
        <v>399.92</v>
      </c>
      <c r="I59" s="15">
        <f t="shared" si="6"/>
        <v>444.25</v>
      </c>
      <c r="J59" s="15">
        <f t="shared" si="7"/>
        <v>466.58</v>
      </c>
      <c r="K59" s="188"/>
    </row>
    <row r="60" spans="1:11" s="414" customFormat="1" ht="15" customHeight="1">
      <c r="A60" s="9" t="s">
        <v>300</v>
      </c>
      <c r="B60" s="64">
        <f t="shared" si="4"/>
        <v>0.127</v>
      </c>
      <c r="C60" s="31">
        <v>5</v>
      </c>
      <c r="D60" s="201" t="s">
        <v>29</v>
      </c>
      <c r="E60" s="63" t="s">
        <v>137</v>
      </c>
      <c r="F60" s="32" t="s">
        <v>281</v>
      </c>
      <c r="G60" s="384">
        <v>33.137999999999998</v>
      </c>
      <c r="H60" s="15">
        <f t="shared" si="5"/>
        <v>397.66</v>
      </c>
      <c r="I60" s="15">
        <f t="shared" si="6"/>
        <v>441.73</v>
      </c>
      <c r="J60" s="15">
        <f t="shared" si="7"/>
        <v>463.93</v>
      </c>
      <c r="K60" s="188"/>
    </row>
    <row r="61" spans="1:11" s="414" customFormat="1" ht="15" customHeight="1">
      <c r="A61" s="9" t="s">
        <v>300</v>
      </c>
      <c r="B61" s="64">
        <f t="shared" si="4"/>
        <v>0.152</v>
      </c>
      <c r="C61" s="31">
        <v>6</v>
      </c>
      <c r="D61" s="201" t="s">
        <v>29</v>
      </c>
      <c r="E61" s="63" t="s">
        <v>137</v>
      </c>
      <c r="F61" s="32" t="s">
        <v>281</v>
      </c>
      <c r="G61" s="384">
        <v>34.137999999999998</v>
      </c>
      <c r="H61" s="15">
        <f t="shared" si="5"/>
        <v>409.66</v>
      </c>
      <c r="I61" s="15">
        <f t="shared" si="6"/>
        <v>455.06</v>
      </c>
      <c r="J61" s="15">
        <f t="shared" si="7"/>
        <v>477.93</v>
      </c>
      <c r="K61" s="188"/>
    </row>
    <row r="62" spans="1:11" s="414" customFormat="1" ht="15" customHeight="1">
      <c r="A62" s="9" t="s">
        <v>300</v>
      </c>
      <c r="B62" s="64">
        <f t="shared" si="4"/>
        <v>0.20300000000000001</v>
      </c>
      <c r="C62" s="31">
        <v>8</v>
      </c>
      <c r="D62" s="201" t="s">
        <v>29</v>
      </c>
      <c r="E62" s="63" t="s">
        <v>137</v>
      </c>
      <c r="F62" s="32" t="s">
        <v>283</v>
      </c>
      <c r="G62" s="384">
        <v>35.262</v>
      </c>
      <c r="H62" s="15">
        <f t="shared" si="5"/>
        <v>423.14</v>
      </c>
      <c r="I62" s="15">
        <f t="shared" si="6"/>
        <v>470.04</v>
      </c>
      <c r="J62" s="15">
        <f t="shared" si="7"/>
        <v>493.67</v>
      </c>
      <c r="K62" s="188"/>
    </row>
    <row r="63" spans="1:11" s="414" customFormat="1" ht="15" customHeight="1">
      <c r="A63" s="9" t="s">
        <v>300</v>
      </c>
      <c r="B63" s="64">
        <f t="shared" si="4"/>
        <v>0.254</v>
      </c>
      <c r="C63" s="31">
        <v>10</v>
      </c>
      <c r="D63" s="201" t="s">
        <v>29</v>
      </c>
      <c r="E63" s="63" t="s">
        <v>137</v>
      </c>
      <c r="F63" s="32" t="s">
        <v>284</v>
      </c>
      <c r="G63" s="384">
        <v>42.18</v>
      </c>
      <c r="H63" s="15">
        <f t="shared" si="5"/>
        <v>506.16</v>
      </c>
      <c r="I63" s="15">
        <f t="shared" si="6"/>
        <v>562.26</v>
      </c>
      <c r="J63" s="15">
        <f t="shared" si="7"/>
        <v>590.52</v>
      </c>
      <c r="K63" s="188"/>
    </row>
    <row r="64" spans="1:11" s="414" customFormat="1" ht="15" customHeight="1">
      <c r="A64" s="9" t="s">
        <v>300</v>
      </c>
      <c r="B64" s="64">
        <f t="shared" si="4"/>
        <v>0.30499999999999999</v>
      </c>
      <c r="C64" s="31">
        <v>12</v>
      </c>
      <c r="D64" s="201" t="s">
        <v>29</v>
      </c>
      <c r="E64" s="63" t="s">
        <v>137</v>
      </c>
      <c r="F64" s="32" t="s">
        <v>285</v>
      </c>
      <c r="G64" s="384">
        <v>52.25</v>
      </c>
      <c r="H64" s="15">
        <f t="shared" si="5"/>
        <v>627</v>
      </c>
      <c r="I64" s="15">
        <f t="shared" si="6"/>
        <v>696.49</v>
      </c>
      <c r="J64" s="15">
        <f t="shared" si="7"/>
        <v>731.5</v>
      </c>
      <c r="K64" s="188"/>
    </row>
    <row r="65" spans="1:11" s="414" customFormat="1" ht="15" customHeight="1">
      <c r="A65" s="9" t="s">
        <v>300</v>
      </c>
      <c r="B65" s="64">
        <f t="shared" si="4"/>
        <v>0.40600000000000003</v>
      </c>
      <c r="C65" s="31">
        <v>16</v>
      </c>
      <c r="D65" s="201" t="s">
        <v>29</v>
      </c>
      <c r="E65" s="63" t="s">
        <v>137</v>
      </c>
      <c r="F65" s="32" t="s">
        <v>286</v>
      </c>
      <c r="G65" s="384">
        <v>61.75</v>
      </c>
      <c r="H65" s="15">
        <f t="shared" si="5"/>
        <v>741</v>
      </c>
      <c r="I65" s="15">
        <f t="shared" si="6"/>
        <v>823.13</v>
      </c>
      <c r="J65" s="15">
        <f t="shared" si="7"/>
        <v>864.5</v>
      </c>
      <c r="K65" s="188"/>
    </row>
    <row r="66" spans="1:11">
      <c r="A66" s="9" t="s">
        <v>300</v>
      </c>
      <c r="B66" s="64">
        <f t="shared" si="4"/>
        <v>0.88900000000000001</v>
      </c>
      <c r="C66" s="31">
        <v>35</v>
      </c>
      <c r="D66" s="201" t="s">
        <v>29</v>
      </c>
      <c r="E66" s="63" t="s">
        <v>137</v>
      </c>
      <c r="F66" s="32" t="s">
        <v>302</v>
      </c>
      <c r="G66" s="384">
        <v>123.405</v>
      </c>
      <c r="H66" s="15">
        <f t="shared" si="5"/>
        <v>1480.86</v>
      </c>
      <c r="I66" s="15">
        <f t="shared" si="6"/>
        <v>1644.99</v>
      </c>
      <c r="J66" s="15">
        <f t="shared" si="7"/>
        <v>1727.67</v>
      </c>
      <c r="K66" s="188"/>
    </row>
    <row r="67" spans="1:11" ht="22.2" customHeight="1"/>
    <row r="68" spans="1:11" ht="20.399999999999999" customHeight="1">
      <c r="A68" s="245" t="s">
        <v>306</v>
      </c>
      <c r="B68" s="246"/>
      <c r="C68" s="246"/>
      <c r="D68" s="246"/>
      <c r="E68" s="246"/>
      <c r="F68" s="246"/>
      <c r="G68" s="246"/>
      <c r="H68" s="246"/>
      <c r="I68" s="246"/>
      <c r="J68" s="246"/>
      <c r="K68" s="247"/>
    </row>
    <row r="69" spans="1:11" ht="15.6" customHeight="1">
      <c r="A69" s="208" t="s">
        <v>189</v>
      </c>
      <c r="B69" s="118" t="s">
        <v>31</v>
      </c>
      <c r="C69" s="208" t="s">
        <v>190</v>
      </c>
      <c r="D69" s="118" t="s">
        <v>33</v>
      </c>
      <c r="E69" s="118" t="s">
        <v>34</v>
      </c>
      <c r="F69" s="209" t="s">
        <v>35</v>
      </c>
      <c r="G69" s="118" t="s">
        <v>36</v>
      </c>
      <c r="H69" s="416" t="s">
        <v>37</v>
      </c>
      <c r="I69" s="417" t="s">
        <v>38</v>
      </c>
      <c r="J69" s="418"/>
      <c r="K69" s="211" t="s">
        <v>23</v>
      </c>
    </row>
    <row r="70" spans="1:11" ht="15.6" customHeight="1">
      <c r="A70" s="13" t="s">
        <v>307</v>
      </c>
      <c r="B70" s="13">
        <v>1067</v>
      </c>
      <c r="C70" s="16">
        <v>0.74</v>
      </c>
      <c r="D70" s="13" t="s">
        <v>40</v>
      </c>
      <c r="E70" s="17" t="s">
        <v>41</v>
      </c>
      <c r="F70" s="372">
        <v>3937</v>
      </c>
      <c r="G70" s="18">
        <v>8.1210000000000004</v>
      </c>
      <c r="H70" s="419">
        <f t="shared" ref="H70:H93" si="8">ROUND(G70*13.124,2)</f>
        <v>106.58</v>
      </c>
      <c r="I70" s="218">
        <f t="shared" ref="I70:I93" si="9">ROUND(G70*F70,2)</f>
        <v>31972.38</v>
      </c>
      <c r="J70" s="218"/>
      <c r="K70" s="420"/>
    </row>
    <row r="71" spans="1:11" s="414" customFormat="1" ht="15" customHeight="1">
      <c r="A71" s="13" t="s">
        <v>307</v>
      </c>
      <c r="B71" s="13">
        <v>1067</v>
      </c>
      <c r="C71" s="16">
        <v>0.76</v>
      </c>
      <c r="D71" s="13" t="s">
        <v>40</v>
      </c>
      <c r="E71" s="17" t="s">
        <v>41</v>
      </c>
      <c r="F71" s="372">
        <v>3937</v>
      </c>
      <c r="G71" s="18">
        <v>8.5429999999999993</v>
      </c>
      <c r="H71" s="419">
        <f t="shared" si="8"/>
        <v>112.12</v>
      </c>
      <c r="I71" s="218">
        <f t="shared" si="9"/>
        <v>33633.79</v>
      </c>
      <c r="J71" s="218"/>
      <c r="K71" s="188"/>
    </row>
    <row r="72" spans="1:11" s="414" customFormat="1" ht="15" customHeight="1">
      <c r="A72" s="13" t="s">
        <v>307</v>
      </c>
      <c r="B72" s="13">
        <v>1035</v>
      </c>
      <c r="C72" s="16">
        <v>0.7</v>
      </c>
      <c r="D72" s="13" t="s">
        <v>40</v>
      </c>
      <c r="E72" s="17" t="s">
        <v>41</v>
      </c>
      <c r="F72" s="372">
        <v>3937</v>
      </c>
      <c r="G72" s="18">
        <v>7.6589999999999998</v>
      </c>
      <c r="H72" s="419">
        <f t="shared" si="8"/>
        <v>100.52</v>
      </c>
      <c r="I72" s="218">
        <f t="shared" si="9"/>
        <v>30153.48</v>
      </c>
      <c r="J72" s="218"/>
      <c r="K72" s="420"/>
    </row>
    <row r="73" spans="1:11" s="414" customFormat="1" ht="15" customHeight="1">
      <c r="A73" s="13" t="s">
        <v>307</v>
      </c>
      <c r="B73" s="13">
        <v>1035</v>
      </c>
      <c r="C73" s="16">
        <v>0.72</v>
      </c>
      <c r="D73" s="13" t="s">
        <v>40</v>
      </c>
      <c r="E73" s="17" t="s">
        <v>41</v>
      </c>
      <c r="F73" s="372">
        <v>3937</v>
      </c>
      <c r="G73" s="18">
        <v>7.9930000000000003</v>
      </c>
      <c r="H73" s="419">
        <f t="shared" si="8"/>
        <v>104.9</v>
      </c>
      <c r="I73" s="218">
        <f t="shared" si="9"/>
        <v>31468.44</v>
      </c>
      <c r="J73" s="218"/>
      <c r="K73" s="420"/>
    </row>
    <row r="74" spans="1:11" s="414" customFormat="1" ht="15" customHeight="1">
      <c r="A74" s="13" t="s">
        <v>307</v>
      </c>
      <c r="B74" s="13">
        <v>1035</v>
      </c>
      <c r="C74" s="16">
        <v>0.74</v>
      </c>
      <c r="D74" s="13" t="s">
        <v>40</v>
      </c>
      <c r="E74" s="17" t="s">
        <v>41</v>
      </c>
      <c r="F74" s="372">
        <v>3937</v>
      </c>
      <c r="G74" s="18">
        <v>8.1489999999999991</v>
      </c>
      <c r="H74" s="419">
        <f t="shared" si="8"/>
        <v>106.95</v>
      </c>
      <c r="I74" s="218">
        <f t="shared" si="9"/>
        <v>32082.61</v>
      </c>
      <c r="J74" s="218"/>
      <c r="K74" s="420"/>
    </row>
    <row r="75" spans="1:11" s="414" customFormat="1" ht="15" customHeight="1">
      <c r="A75" s="13" t="s">
        <v>307</v>
      </c>
      <c r="B75" s="13">
        <v>1035</v>
      </c>
      <c r="C75" s="16">
        <v>0.77</v>
      </c>
      <c r="D75" s="13" t="s">
        <v>40</v>
      </c>
      <c r="E75" s="17" t="s">
        <v>41</v>
      </c>
      <c r="F75" s="372">
        <v>3937</v>
      </c>
      <c r="G75" s="18">
        <v>8.3209999999999997</v>
      </c>
      <c r="H75" s="419">
        <f t="shared" si="8"/>
        <v>109.2</v>
      </c>
      <c r="I75" s="218">
        <f t="shared" si="9"/>
        <v>32759.78</v>
      </c>
      <c r="J75" s="218"/>
      <c r="K75" s="420"/>
    </row>
    <row r="76" spans="1:11" s="414" customFormat="1" ht="15" customHeight="1">
      <c r="A76" s="13" t="s">
        <v>307</v>
      </c>
      <c r="B76" s="13">
        <v>1035</v>
      </c>
      <c r="C76" s="16">
        <v>0.79</v>
      </c>
      <c r="D76" s="13" t="s">
        <v>40</v>
      </c>
      <c r="E76" s="17" t="s">
        <v>41</v>
      </c>
      <c r="F76" s="372">
        <v>3937</v>
      </c>
      <c r="G76" s="18">
        <v>9.1530000000000005</v>
      </c>
      <c r="H76" s="419">
        <f t="shared" si="8"/>
        <v>120.12</v>
      </c>
      <c r="I76" s="218">
        <f t="shared" si="9"/>
        <v>36035.360000000001</v>
      </c>
      <c r="J76" s="218"/>
      <c r="K76" s="420"/>
    </row>
    <row r="77" spans="1:11" s="414" customFormat="1" ht="15" customHeight="1">
      <c r="A77" s="13" t="s">
        <v>307</v>
      </c>
      <c r="B77" s="13">
        <v>1080</v>
      </c>
      <c r="C77" s="16">
        <v>0.66</v>
      </c>
      <c r="D77" s="13" t="s">
        <v>40</v>
      </c>
      <c r="E77" s="17" t="s">
        <v>41</v>
      </c>
      <c r="F77" s="372">
        <v>3937</v>
      </c>
      <c r="G77" s="18">
        <v>7.7329999999999997</v>
      </c>
      <c r="H77" s="419">
        <f t="shared" si="8"/>
        <v>101.49</v>
      </c>
      <c r="I77" s="218">
        <f t="shared" si="9"/>
        <v>30444.82</v>
      </c>
      <c r="J77" s="218"/>
      <c r="K77" s="420"/>
    </row>
    <row r="78" spans="1:11" s="414" customFormat="1" ht="15" customHeight="1">
      <c r="A78" s="13" t="s">
        <v>307</v>
      </c>
      <c r="B78" s="13">
        <v>1080</v>
      </c>
      <c r="C78" s="16">
        <v>0.68</v>
      </c>
      <c r="D78" s="13" t="s">
        <v>40</v>
      </c>
      <c r="E78" s="17" t="s">
        <v>41</v>
      </c>
      <c r="F78" s="372">
        <v>3937</v>
      </c>
      <c r="G78" s="18">
        <v>7.9450000000000003</v>
      </c>
      <c r="H78" s="419">
        <f t="shared" si="8"/>
        <v>104.27</v>
      </c>
      <c r="I78" s="218">
        <f t="shared" si="9"/>
        <v>31279.47</v>
      </c>
      <c r="J78" s="218"/>
      <c r="K78" s="420"/>
    </row>
    <row r="79" spans="1:11" s="414" customFormat="1" ht="15" customHeight="1">
      <c r="A79" s="13" t="s">
        <v>307</v>
      </c>
      <c r="B79" s="13">
        <v>1080</v>
      </c>
      <c r="C79" s="16">
        <v>0.71</v>
      </c>
      <c r="D79" s="13" t="s">
        <v>40</v>
      </c>
      <c r="E79" s="17" t="s">
        <v>41</v>
      </c>
      <c r="F79" s="372">
        <v>3937</v>
      </c>
      <c r="G79" s="18">
        <v>8.1959999999999997</v>
      </c>
      <c r="H79" s="419">
        <f t="shared" si="8"/>
        <v>107.56</v>
      </c>
      <c r="I79" s="218">
        <f t="shared" si="9"/>
        <v>32267.65</v>
      </c>
      <c r="J79" s="218"/>
      <c r="K79" s="420"/>
    </row>
    <row r="80" spans="1:11" s="414" customFormat="1" ht="15" customHeight="1">
      <c r="A80" s="13" t="s">
        <v>307</v>
      </c>
      <c r="B80" s="13">
        <v>1080</v>
      </c>
      <c r="C80" s="16">
        <v>0.72</v>
      </c>
      <c r="D80" s="13" t="s">
        <v>40</v>
      </c>
      <c r="E80" s="17" t="s">
        <v>41</v>
      </c>
      <c r="F80" s="372">
        <v>3937</v>
      </c>
      <c r="G80" s="18">
        <v>8.36</v>
      </c>
      <c r="H80" s="419">
        <f t="shared" si="8"/>
        <v>109.72</v>
      </c>
      <c r="I80" s="218">
        <f t="shared" si="9"/>
        <v>32913.32</v>
      </c>
      <c r="J80" s="218"/>
      <c r="K80" s="420"/>
    </row>
    <row r="81" spans="1:11" s="414" customFormat="1" ht="15" customHeight="1">
      <c r="A81" s="13" t="s">
        <v>307</v>
      </c>
      <c r="B81" s="13">
        <v>1080</v>
      </c>
      <c r="C81" s="16">
        <v>0.73</v>
      </c>
      <c r="D81" s="13" t="s">
        <v>40</v>
      </c>
      <c r="E81" s="17" t="s">
        <v>41</v>
      </c>
      <c r="F81" s="372">
        <v>3937</v>
      </c>
      <c r="G81" s="18">
        <v>8.5229999999999997</v>
      </c>
      <c r="H81" s="419">
        <f t="shared" si="8"/>
        <v>111.86</v>
      </c>
      <c r="I81" s="218">
        <f t="shared" si="9"/>
        <v>33555.050000000003</v>
      </c>
      <c r="J81" s="218"/>
      <c r="K81" s="420"/>
    </row>
    <row r="82" spans="1:11" s="414" customFormat="1" ht="15" customHeight="1">
      <c r="A82" s="13" t="s">
        <v>307</v>
      </c>
      <c r="B82" s="13">
        <v>1080</v>
      </c>
      <c r="C82" s="16">
        <v>0.75</v>
      </c>
      <c r="D82" s="13" t="s">
        <v>40</v>
      </c>
      <c r="E82" s="17" t="s">
        <v>41</v>
      </c>
      <c r="F82" s="372">
        <v>3937</v>
      </c>
      <c r="G82" s="18">
        <v>8.65</v>
      </c>
      <c r="H82" s="419">
        <f t="shared" si="8"/>
        <v>113.52</v>
      </c>
      <c r="I82" s="218">
        <f t="shared" si="9"/>
        <v>34055.050000000003</v>
      </c>
      <c r="J82" s="218"/>
      <c r="K82" s="420"/>
    </row>
    <row r="83" spans="1:11" s="414" customFormat="1" ht="15" customHeight="1">
      <c r="A83" s="13" t="s">
        <v>307</v>
      </c>
      <c r="B83" s="13">
        <v>1080</v>
      </c>
      <c r="C83" s="16">
        <v>0.78</v>
      </c>
      <c r="D83" s="13" t="s">
        <v>40</v>
      </c>
      <c r="E83" s="17" t="s">
        <v>41</v>
      </c>
      <c r="F83" s="372">
        <v>3937</v>
      </c>
      <c r="G83" s="18">
        <v>9.3420000000000005</v>
      </c>
      <c r="H83" s="419">
        <f t="shared" si="8"/>
        <v>122.6</v>
      </c>
      <c r="I83" s="218">
        <f t="shared" si="9"/>
        <v>36779.449999999997</v>
      </c>
      <c r="J83" s="218"/>
      <c r="K83" s="420"/>
    </row>
    <row r="84" spans="1:11" s="414" customFormat="1" ht="15" customHeight="1">
      <c r="A84" s="13" t="s">
        <v>307</v>
      </c>
      <c r="B84" s="13">
        <v>1078</v>
      </c>
      <c r="C84" s="16">
        <v>0.68</v>
      </c>
      <c r="D84" s="13" t="s">
        <v>40</v>
      </c>
      <c r="E84" s="17" t="s">
        <v>41</v>
      </c>
      <c r="F84" s="372">
        <v>3937</v>
      </c>
      <c r="G84" s="18">
        <v>8.1129999999999995</v>
      </c>
      <c r="H84" s="419">
        <f t="shared" si="8"/>
        <v>106.48</v>
      </c>
      <c r="I84" s="218">
        <f t="shared" si="9"/>
        <v>31940.880000000001</v>
      </c>
      <c r="J84" s="218"/>
      <c r="K84" s="420"/>
    </row>
    <row r="85" spans="1:11" s="414" customFormat="1" ht="15" customHeight="1">
      <c r="A85" s="13" t="s">
        <v>307</v>
      </c>
      <c r="B85" s="13">
        <v>1078</v>
      </c>
      <c r="C85" s="16">
        <v>0.7</v>
      </c>
      <c r="D85" s="13" t="s">
        <v>40</v>
      </c>
      <c r="E85" s="17" t="s">
        <v>41</v>
      </c>
      <c r="F85" s="372">
        <v>3937</v>
      </c>
      <c r="G85" s="18">
        <v>8.2230000000000008</v>
      </c>
      <c r="H85" s="419">
        <f t="shared" si="8"/>
        <v>107.92</v>
      </c>
      <c r="I85" s="218">
        <f t="shared" si="9"/>
        <v>32373.95</v>
      </c>
      <c r="J85" s="218"/>
      <c r="K85" s="420"/>
    </row>
    <row r="86" spans="1:11" s="414" customFormat="1" ht="15" customHeight="1">
      <c r="A86" s="13" t="s">
        <v>307</v>
      </c>
      <c r="B86" s="13">
        <v>1078</v>
      </c>
      <c r="C86" s="16">
        <v>0.71</v>
      </c>
      <c r="D86" s="13" t="s">
        <v>40</v>
      </c>
      <c r="E86" s="17" t="s">
        <v>41</v>
      </c>
      <c r="F86" s="372">
        <v>3937</v>
      </c>
      <c r="G86" s="18">
        <v>8.2230000000000008</v>
      </c>
      <c r="H86" s="419">
        <f t="shared" si="8"/>
        <v>107.92</v>
      </c>
      <c r="I86" s="218">
        <f t="shared" si="9"/>
        <v>32373.95</v>
      </c>
      <c r="J86" s="218"/>
      <c r="K86" s="420"/>
    </row>
    <row r="87" spans="1:11" s="414" customFormat="1" ht="15" customHeight="1">
      <c r="A87" s="13" t="s">
        <v>307</v>
      </c>
      <c r="B87" s="13">
        <v>1078</v>
      </c>
      <c r="C87" s="16">
        <v>0.72</v>
      </c>
      <c r="D87" s="13" t="s">
        <v>40</v>
      </c>
      <c r="E87" s="17" t="s">
        <v>41</v>
      </c>
      <c r="F87" s="372">
        <v>3937</v>
      </c>
      <c r="G87" s="18">
        <v>8.3629999999999995</v>
      </c>
      <c r="H87" s="419">
        <f t="shared" si="8"/>
        <v>109.76</v>
      </c>
      <c r="I87" s="218">
        <f t="shared" si="9"/>
        <v>32925.129999999997</v>
      </c>
      <c r="J87" s="218"/>
      <c r="K87" s="420"/>
    </row>
    <row r="88" spans="1:11" s="414" customFormat="1" ht="15" customHeight="1">
      <c r="A88" s="13" t="s">
        <v>307</v>
      </c>
      <c r="B88" s="13">
        <v>1078</v>
      </c>
      <c r="C88" s="16">
        <v>0.73</v>
      </c>
      <c r="D88" s="13" t="s">
        <v>40</v>
      </c>
      <c r="E88" s="17" t="s">
        <v>41</v>
      </c>
      <c r="F88" s="372">
        <v>3937</v>
      </c>
      <c r="G88" s="18">
        <v>8.5229999999999997</v>
      </c>
      <c r="H88" s="419">
        <f t="shared" si="8"/>
        <v>111.86</v>
      </c>
      <c r="I88" s="218">
        <f t="shared" si="9"/>
        <v>33555.050000000003</v>
      </c>
      <c r="J88" s="218"/>
      <c r="K88" s="420"/>
    </row>
    <row r="89" spans="1:11" s="414" customFormat="1" ht="15" customHeight="1">
      <c r="A89" s="13" t="s">
        <v>307</v>
      </c>
      <c r="B89" s="13">
        <v>1078</v>
      </c>
      <c r="C89" s="16">
        <v>0.75</v>
      </c>
      <c r="D89" s="13" t="s">
        <v>40</v>
      </c>
      <c r="E89" s="17" t="s">
        <v>41</v>
      </c>
      <c r="F89" s="372">
        <v>3937</v>
      </c>
      <c r="G89" s="18">
        <v>8.65</v>
      </c>
      <c r="H89" s="419">
        <f t="shared" si="8"/>
        <v>113.52</v>
      </c>
      <c r="I89" s="218">
        <f t="shared" si="9"/>
        <v>34055.050000000003</v>
      </c>
      <c r="J89" s="218"/>
      <c r="K89" s="420"/>
    </row>
    <row r="90" spans="1:11" s="414" customFormat="1" ht="15" customHeight="1">
      <c r="A90" s="13" t="s">
        <v>307</v>
      </c>
      <c r="B90" s="13">
        <v>3313</v>
      </c>
      <c r="C90" s="16">
        <v>0.59</v>
      </c>
      <c r="D90" s="13" t="s">
        <v>40</v>
      </c>
      <c r="E90" s="17" t="s">
        <v>41</v>
      </c>
      <c r="F90" s="13">
        <v>3937</v>
      </c>
      <c r="G90" s="421">
        <v>8.99</v>
      </c>
      <c r="H90" s="419">
        <f t="shared" si="8"/>
        <v>117.98</v>
      </c>
      <c r="I90" s="218">
        <f t="shared" si="9"/>
        <v>35393.629999999997</v>
      </c>
      <c r="J90" s="218"/>
      <c r="K90" s="420"/>
    </row>
    <row r="91" spans="1:11" s="414" customFormat="1" ht="15" customHeight="1">
      <c r="A91" s="13" t="s">
        <v>307</v>
      </c>
      <c r="B91" s="13">
        <v>3313</v>
      </c>
      <c r="C91" s="16">
        <v>0.62</v>
      </c>
      <c r="D91" s="13" t="s">
        <v>40</v>
      </c>
      <c r="E91" s="17" t="s">
        <v>41</v>
      </c>
      <c r="F91" s="372">
        <v>3937</v>
      </c>
      <c r="G91" s="18">
        <v>9.35</v>
      </c>
      <c r="H91" s="419">
        <f t="shared" si="8"/>
        <v>122.71</v>
      </c>
      <c r="I91" s="373">
        <f t="shared" si="9"/>
        <v>36810.949999999997</v>
      </c>
      <c r="J91" s="374"/>
      <c r="K91" s="420"/>
    </row>
    <row r="92" spans="1:11" s="379" customFormat="1" ht="15" customHeight="1">
      <c r="A92" s="13" t="s">
        <v>307</v>
      </c>
      <c r="B92" s="13">
        <v>2116</v>
      </c>
      <c r="C92" s="16">
        <v>0.56999999999999995</v>
      </c>
      <c r="D92" s="13" t="s">
        <v>308</v>
      </c>
      <c r="E92" s="17" t="s">
        <v>41</v>
      </c>
      <c r="F92" s="422">
        <v>2624.6</v>
      </c>
      <c r="G92" s="18">
        <v>8.8879999999999999</v>
      </c>
      <c r="H92" s="419">
        <f t="shared" si="8"/>
        <v>116.65</v>
      </c>
      <c r="I92" s="218">
        <f t="shared" si="9"/>
        <v>23327.439999999999</v>
      </c>
      <c r="J92" s="218"/>
      <c r="K92" s="420"/>
    </row>
    <row r="93" spans="1:11">
      <c r="A93" s="13" t="s">
        <v>307</v>
      </c>
      <c r="B93" s="13">
        <v>2116</v>
      </c>
      <c r="C93" s="16">
        <v>0.59</v>
      </c>
      <c r="D93" s="13" t="s">
        <v>308</v>
      </c>
      <c r="E93" s="17" t="s">
        <v>41</v>
      </c>
      <c r="F93" s="422">
        <v>2624.6</v>
      </c>
      <c r="G93" s="18">
        <v>9.4179999999999993</v>
      </c>
      <c r="H93" s="419">
        <f t="shared" si="8"/>
        <v>123.6</v>
      </c>
      <c r="I93" s="218">
        <f t="shared" si="9"/>
        <v>24718.48</v>
      </c>
      <c r="J93" s="218"/>
      <c r="K93" s="420"/>
    </row>
    <row r="95" spans="1:11" ht="15.6">
      <c r="A95" s="35" t="s">
        <v>45</v>
      </c>
      <c r="B95" s="35"/>
      <c r="C95" s="48"/>
      <c r="D95" s="48"/>
      <c r="E95" s="48"/>
      <c r="F95" s="48"/>
      <c r="G95" s="48"/>
      <c r="H95" s="48"/>
      <c r="I95" s="49"/>
      <c r="J95" s="50"/>
    </row>
    <row r="96" spans="1:11" ht="15.6">
      <c r="A96" s="48" t="s">
        <v>46</v>
      </c>
      <c r="B96" s="48"/>
      <c r="C96" s="48"/>
      <c r="D96" s="48"/>
      <c r="E96" s="48"/>
      <c r="F96" s="48"/>
      <c r="G96" s="48"/>
      <c r="H96" s="48"/>
      <c r="I96" s="49"/>
      <c r="J96" s="50"/>
    </row>
    <row r="97" spans="1:11" ht="15.6">
      <c r="A97" s="51" t="s">
        <v>293</v>
      </c>
      <c r="B97" s="51"/>
      <c r="C97" s="48"/>
      <c r="D97" s="48"/>
      <c r="E97" s="48"/>
      <c r="F97" s="48"/>
      <c r="G97" s="48"/>
      <c r="H97" s="48"/>
      <c r="I97" s="49"/>
      <c r="J97" s="50"/>
    </row>
    <row r="98" spans="1:11" ht="15.6">
      <c r="A98" s="51" t="s">
        <v>294</v>
      </c>
      <c r="B98" s="51"/>
      <c r="C98" s="48"/>
      <c r="D98" s="48"/>
      <c r="E98" s="48"/>
      <c r="F98" s="48"/>
      <c r="G98" s="48"/>
      <c r="H98" s="48"/>
      <c r="I98" s="49"/>
      <c r="J98" s="50"/>
    </row>
    <row r="99" spans="1:11" ht="15.6">
      <c r="A99" s="51" t="s">
        <v>49</v>
      </c>
      <c r="B99" s="51"/>
      <c r="C99" s="48"/>
      <c r="D99" s="48"/>
      <c r="E99" s="48"/>
      <c r="F99" s="48"/>
      <c r="G99" s="48"/>
      <c r="H99" s="48"/>
      <c r="I99" s="49"/>
      <c r="J99" s="50"/>
    </row>
    <row r="100" spans="1:11" ht="15.6">
      <c r="A100" s="423" t="s">
        <v>50</v>
      </c>
      <c r="B100" s="423"/>
      <c r="C100" s="48"/>
      <c r="D100" s="48"/>
      <c r="E100" s="48"/>
      <c r="F100" s="48"/>
      <c r="G100" s="48"/>
      <c r="H100" s="48"/>
      <c r="I100" s="49"/>
      <c r="J100" s="50"/>
    </row>
    <row r="101" spans="1:11" ht="14.4">
      <c r="A101" s="424" t="s">
        <v>295</v>
      </c>
      <c r="B101" s="424"/>
      <c r="C101" s="414"/>
      <c r="D101" s="414"/>
      <c r="E101" s="414"/>
      <c r="F101" s="414"/>
      <c r="G101" s="414"/>
      <c r="H101" s="414"/>
      <c r="I101" s="414"/>
    </row>
    <row r="102" spans="1:11" ht="14.4">
      <c r="A102" s="424" t="s">
        <v>309</v>
      </c>
      <c r="B102" s="424"/>
      <c r="C102" s="414"/>
      <c r="D102" s="414"/>
      <c r="E102" s="414"/>
      <c r="F102" s="414"/>
      <c r="G102" s="414"/>
      <c r="H102" s="414"/>
      <c r="I102" s="414"/>
    </row>
    <row r="103" spans="1:11" ht="14.4">
      <c r="A103" s="424"/>
      <c r="B103" s="424"/>
      <c r="C103" s="414"/>
      <c r="D103" s="414"/>
      <c r="E103" s="414"/>
      <c r="F103" s="414"/>
      <c r="G103" s="414"/>
      <c r="H103" s="414"/>
      <c r="I103" s="414"/>
    </row>
    <row r="104" spans="1:11" ht="15.6">
      <c r="A104" s="55" t="s">
        <v>310</v>
      </c>
      <c r="B104" s="55"/>
      <c r="C104" s="55"/>
      <c r="D104" s="56"/>
      <c r="E104" s="56"/>
      <c r="F104" s="56"/>
      <c r="G104" s="56"/>
      <c r="H104" s="57" t="s">
        <v>311</v>
      </c>
      <c r="I104" s="56"/>
      <c r="K104" s="56"/>
    </row>
  </sheetData>
  <mergeCells count="32">
    <mergeCell ref="I92:J92"/>
    <mergeCell ref="I93:J93"/>
    <mergeCell ref="I86:J86"/>
    <mergeCell ref="I87:J87"/>
    <mergeCell ref="I88:J88"/>
    <mergeCell ref="I89:J89"/>
    <mergeCell ref="I90:J90"/>
    <mergeCell ref="I91:J91"/>
    <mergeCell ref="I80:J80"/>
    <mergeCell ref="I81:J81"/>
    <mergeCell ref="I82:J82"/>
    <mergeCell ref="I83:J83"/>
    <mergeCell ref="I84:J84"/>
    <mergeCell ref="I85:J85"/>
    <mergeCell ref="I74:J74"/>
    <mergeCell ref="I75:J75"/>
    <mergeCell ref="I76:J76"/>
    <mergeCell ref="I77:J77"/>
    <mergeCell ref="I78:J78"/>
    <mergeCell ref="I79:J79"/>
    <mergeCell ref="A68:K68"/>
    <mergeCell ref="I69:J69"/>
    <mergeCell ref="I70:J70"/>
    <mergeCell ref="I71:J71"/>
    <mergeCell ref="I72:J72"/>
    <mergeCell ref="I73:J73"/>
    <mergeCell ref="C1:K1"/>
    <mergeCell ref="C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BAA41-5C06-4796-9623-745BF1344399}">
  <dimension ref="A1:K113"/>
  <sheetViews>
    <sheetView tabSelected="1" workbookViewId="0">
      <selection activeCell="N6" sqref="N6"/>
    </sheetView>
  </sheetViews>
  <sheetFormatPr defaultColWidth="9" defaultRowHeight="13.8"/>
  <cols>
    <col min="1" max="11" width="7.796875" customWidth="1"/>
  </cols>
  <sheetData>
    <row r="1" spans="1:11">
      <c r="C1" s="178"/>
      <c r="D1" s="178"/>
      <c r="E1" s="178"/>
      <c r="F1" s="178"/>
      <c r="G1" s="178"/>
      <c r="H1" s="178"/>
      <c r="I1" s="178"/>
      <c r="J1" s="178"/>
      <c r="K1" s="178"/>
    </row>
    <row r="2" spans="1:11" ht="73.95" customHeight="1">
      <c r="C2" s="178"/>
      <c r="D2" s="178"/>
      <c r="E2" s="178"/>
      <c r="F2" s="178"/>
      <c r="G2" s="178"/>
      <c r="H2" s="178"/>
      <c r="I2" s="178"/>
      <c r="J2" s="178"/>
      <c r="K2" s="178"/>
    </row>
    <row r="3" spans="1:11" ht="17.399999999999999">
      <c r="A3" s="350" t="s">
        <v>0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</row>
    <row r="4" spans="1:11" ht="13.8" customHeight="1">
      <c r="A4" s="99" t="s">
        <v>1</v>
      </c>
      <c r="B4" s="99"/>
      <c r="C4" s="99"/>
      <c r="D4" s="99"/>
      <c r="E4" s="99"/>
      <c r="F4" s="99"/>
      <c r="G4" s="99"/>
      <c r="H4" s="99"/>
      <c r="I4" s="99"/>
      <c r="J4" s="99"/>
      <c r="K4" s="99"/>
    </row>
    <row r="5" spans="1:11">
      <c r="A5" s="100" t="s">
        <v>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</row>
    <row r="6" spans="1:11" ht="14.4">
      <c r="A6" s="35" t="s">
        <v>3</v>
      </c>
      <c r="B6" s="35" t="s">
        <v>4</v>
      </c>
      <c r="C6" s="36"/>
      <c r="D6" s="36"/>
      <c r="E6" s="36"/>
      <c r="F6" s="36"/>
      <c r="G6" s="36"/>
      <c r="H6" s="36"/>
      <c r="I6" s="38" t="s">
        <v>5</v>
      </c>
      <c r="J6" s="182"/>
      <c r="K6" s="181"/>
    </row>
    <row r="7" spans="1:11" ht="14.4">
      <c r="A7" s="35"/>
      <c r="B7" s="35" t="s">
        <v>6</v>
      </c>
      <c r="C7" s="36"/>
      <c r="D7" s="36"/>
      <c r="E7" s="36"/>
      <c r="F7" s="36"/>
      <c r="G7" s="36"/>
      <c r="H7" s="36"/>
      <c r="I7" s="38" t="s">
        <v>7</v>
      </c>
      <c r="J7" s="182"/>
      <c r="K7" s="181"/>
    </row>
    <row r="8" spans="1:11" ht="14.4">
      <c r="A8" s="35" t="s">
        <v>8</v>
      </c>
      <c r="B8" s="35" t="s">
        <v>173</v>
      </c>
      <c r="C8" s="36"/>
      <c r="D8" s="36"/>
      <c r="E8" s="36"/>
      <c r="F8" s="36"/>
      <c r="G8" s="36"/>
      <c r="H8" s="36"/>
      <c r="I8" s="38" t="s">
        <v>256</v>
      </c>
      <c r="J8" s="182"/>
      <c r="K8" s="181"/>
    </row>
    <row r="9" spans="1:11">
      <c r="A9" s="35"/>
      <c r="B9" s="35" t="s">
        <v>174</v>
      </c>
      <c r="C9" s="36"/>
      <c r="D9" s="36"/>
      <c r="E9" s="36"/>
      <c r="F9" s="36"/>
      <c r="G9" s="36"/>
      <c r="H9" s="36"/>
      <c r="I9" s="183" t="s">
        <v>11</v>
      </c>
      <c r="K9" s="182"/>
    </row>
    <row r="10" spans="1:11">
      <c r="A10" s="36"/>
      <c r="B10" s="36"/>
      <c r="C10" s="36"/>
      <c r="D10" s="36"/>
      <c r="E10" s="36"/>
      <c r="F10" s="36"/>
      <c r="G10" s="36"/>
      <c r="H10" s="36"/>
      <c r="I10" s="36"/>
    </row>
    <row r="11" spans="1:11" ht="22.2" customHeight="1">
      <c r="A11" s="411" t="s">
        <v>312</v>
      </c>
      <c r="B11" s="411"/>
      <c r="C11" s="411"/>
      <c r="D11" s="411"/>
      <c r="E11" s="411"/>
      <c r="F11" s="411"/>
      <c r="G11" s="411"/>
      <c r="H11" s="411"/>
      <c r="I11" s="411"/>
      <c r="J11" s="411"/>
      <c r="K11" s="411"/>
    </row>
    <row r="12" spans="1:11" ht="21.6" customHeight="1">
      <c r="A12" s="412" t="s">
        <v>177</v>
      </c>
      <c r="B12" s="211" t="s">
        <v>14</v>
      </c>
      <c r="C12" s="211" t="s">
        <v>15</v>
      </c>
      <c r="D12" s="412" t="s">
        <v>178</v>
      </c>
      <c r="E12" s="211" t="s">
        <v>17</v>
      </c>
      <c r="F12" s="211" t="s">
        <v>18</v>
      </c>
      <c r="G12" s="412" t="s">
        <v>179</v>
      </c>
      <c r="H12" s="412" t="s">
        <v>180</v>
      </c>
      <c r="I12" s="412" t="s">
        <v>21</v>
      </c>
      <c r="J12" s="412" t="s">
        <v>181</v>
      </c>
      <c r="K12" s="211" t="s">
        <v>23</v>
      </c>
    </row>
    <row r="13" spans="1:11">
      <c r="A13" s="87" t="s">
        <v>313</v>
      </c>
      <c r="B13" s="64">
        <f>ROUND(C13*0.0254,3)</f>
        <v>6.4000000000000001E-2</v>
      </c>
      <c r="C13" s="9">
        <v>2.5</v>
      </c>
      <c r="D13" s="63" t="s">
        <v>25</v>
      </c>
      <c r="E13" s="425" t="s">
        <v>273</v>
      </c>
      <c r="F13" s="32" t="s">
        <v>276</v>
      </c>
      <c r="G13" s="66">
        <v>21.789000000000001</v>
      </c>
      <c r="H13" s="15">
        <f>ROUND(G13*12,2)</f>
        <v>261.47000000000003</v>
      </c>
      <c r="I13" s="15">
        <f>ROUND(G13*13.33,2)</f>
        <v>290.45</v>
      </c>
      <c r="J13" s="15">
        <f>ROUND(G13*14,2)</f>
        <v>305.05</v>
      </c>
      <c r="K13" s="63"/>
    </row>
    <row r="14" spans="1:11">
      <c r="A14" s="87" t="s">
        <v>313</v>
      </c>
      <c r="B14" s="64">
        <f t="shared" ref="B14:B74" si="0">ROUND(C14*0.0254,3)</f>
        <v>7.5999999999999998E-2</v>
      </c>
      <c r="C14" s="202">
        <v>3</v>
      </c>
      <c r="D14" s="63" t="s">
        <v>25</v>
      </c>
      <c r="E14" s="63" t="s">
        <v>273</v>
      </c>
      <c r="F14" s="13" t="s">
        <v>274</v>
      </c>
      <c r="G14" s="426">
        <v>21.122</v>
      </c>
      <c r="H14" s="15">
        <f t="shared" ref="H14:H74" si="1">ROUND(G14*12,2)</f>
        <v>253.46</v>
      </c>
      <c r="I14" s="15">
        <f t="shared" ref="I14:I74" si="2">ROUND(G14*13.33,2)</f>
        <v>281.56</v>
      </c>
      <c r="J14" s="15">
        <f t="shared" ref="J14:J74" si="3">ROUND(G14*14,2)</f>
        <v>295.70999999999998</v>
      </c>
      <c r="K14" s="63"/>
    </row>
    <row r="15" spans="1:11">
      <c r="A15" s="87" t="s">
        <v>313</v>
      </c>
      <c r="B15" s="64">
        <f t="shared" si="0"/>
        <v>7.5999999999999998E-2</v>
      </c>
      <c r="C15" s="31">
        <v>3</v>
      </c>
      <c r="D15" s="63" t="s">
        <v>25</v>
      </c>
      <c r="E15" s="425" t="s">
        <v>273</v>
      </c>
      <c r="F15" s="32" t="s">
        <v>276</v>
      </c>
      <c r="G15" s="66">
        <v>21.059000000000001</v>
      </c>
      <c r="H15" s="15">
        <f t="shared" si="1"/>
        <v>252.71</v>
      </c>
      <c r="I15" s="15">
        <f t="shared" si="2"/>
        <v>280.72000000000003</v>
      </c>
      <c r="J15" s="15">
        <f t="shared" si="3"/>
        <v>294.83</v>
      </c>
      <c r="K15" s="63"/>
    </row>
    <row r="16" spans="1:11">
      <c r="A16" s="87" t="s">
        <v>313</v>
      </c>
      <c r="B16" s="64">
        <f t="shared" si="0"/>
        <v>8.8999999999999996E-2</v>
      </c>
      <c r="C16" s="31">
        <v>3.5</v>
      </c>
      <c r="D16" s="63" t="s">
        <v>25</v>
      </c>
      <c r="E16" s="425" t="s">
        <v>273</v>
      </c>
      <c r="F16" s="32" t="s">
        <v>276</v>
      </c>
      <c r="G16" s="66">
        <v>21.748999999999999</v>
      </c>
      <c r="H16" s="15">
        <f t="shared" si="1"/>
        <v>260.99</v>
      </c>
      <c r="I16" s="15">
        <f t="shared" si="2"/>
        <v>289.91000000000003</v>
      </c>
      <c r="J16" s="15">
        <f t="shared" si="3"/>
        <v>304.49</v>
      </c>
      <c r="K16" s="63"/>
    </row>
    <row r="17" spans="1:11">
      <c r="A17" s="87" t="s">
        <v>313</v>
      </c>
      <c r="B17" s="64">
        <f t="shared" si="0"/>
        <v>8.8999999999999996E-2</v>
      </c>
      <c r="C17" s="31">
        <v>3.5</v>
      </c>
      <c r="D17" s="63" t="s">
        <v>25</v>
      </c>
      <c r="E17" s="425" t="s">
        <v>273</v>
      </c>
      <c r="F17" s="32" t="s">
        <v>314</v>
      </c>
      <c r="G17" s="66">
        <v>31.091000000000001</v>
      </c>
      <c r="H17" s="15">
        <f t="shared" si="1"/>
        <v>373.09</v>
      </c>
      <c r="I17" s="15">
        <f t="shared" si="2"/>
        <v>414.44</v>
      </c>
      <c r="J17" s="15">
        <f t="shared" si="3"/>
        <v>435.27</v>
      </c>
      <c r="K17" s="63"/>
    </row>
    <row r="18" spans="1:11">
      <c r="A18" s="87" t="s">
        <v>313</v>
      </c>
      <c r="B18" s="64">
        <f t="shared" si="0"/>
        <v>0.10199999999999999</v>
      </c>
      <c r="C18" s="31">
        <v>4</v>
      </c>
      <c r="D18" s="63" t="s">
        <v>25</v>
      </c>
      <c r="E18" s="425" t="s">
        <v>273</v>
      </c>
      <c r="F18" s="32" t="s">
        <v>278</v>
      </c>
      <c r="G18" s="66">
        <v>22.416</v>
      </c>
      <c r="H18" s="15">
        <f t="shared" si="1"/>
        <v>268.99</v>
      </c>
      <c r="I18" s="15">
        <f t="shared" si="2"/>
        <v>298.81</v>
      </c>
      <c r="J18" s="15">
        <f t="shared" si="3"/>
        <v>313.82</v>
      </c>
      <c r="K18" s="63"/>
    </row>
    <row r="19" spans="1:11">
      <c r="A19" s="87" t="s">
        <v>313</v>
      </c>
      <c r="B19" s="64">
        <f t="shared" si="0"/>
        <v>0.10199999999999999</v>
      </c>
      <c r="C19" s="31">
        <v>4</v>
      </c>
      <c r="D19" s="63" t="s">
        <v>25</v>
      </c>
      <c r="E19" s="425" t="s">
        <v>273</v>
      </c>
      <c r="F19" s="32" t="s">
        <v>279</v>
      </c>
      <c r="G19" s="66">
        <v>28.239000000000001</v>
      </c>
      <c r="H19" s="15">
        <f t="shared" si="1"/>
        <v>338.87</v>
      </c>
      <c r="I19" s="15">
        <f t="shared" si="2"/>
        <v>376.43</v>
      </c>
      <c r="J19" s="15">
        <f t="shared" si="3"/>
        <v>395.35</v>
      </c>
      <c r="K19" s="63"/>
    </row>
    <row r="20" spans="1:11">
      <c r="A20" s="87" t="s">
        <v>313</v>
      </c>
      <c r="B20" s="64">
        <f t="shared" si="0"/>
        <v>0.127</v>
      </c>
      <c r="C20" s="31">
        <v>5</v>
      </c>
      <c r="D20" s="63" t="s">
        <v>25</v>
      </c>
      <c r="E20" s="425" t="s">
        <v>273</v>
      </c>
      <c r="F20" s="13" t="s">
        <v>280</v>
      </c>
      <c r="G20" s="66">
        <v>23.196000000000002</v>
      </c>
      <c r="H20" s="15">
        <f t="shared" si="1"/>
        <v>278.35000000000002</v>
      </c>
      <c r="I20" s="15">
        <f t="shared" si="2"/>
        <v>309.2</v>
      </c>
      <c r="J20" s="15">
        <f t="shared" si="3"/>
        <v>324.74</v>
      </c>
      <c r="K20" s="63"/>
    </row>
    <row r="21" spans="1:11">
      <c r="A21" s="87" t="s">
        <v>313</v>
      </c>
      <c r="B21" s="64">
        <f t="shared" si="0"/>
        <v>0.127</v>
      </c>
      <c r="C21" s="31">
        <v>5</v>
      </c>
      <c r="D21" s="63" t="s">
        <v>25</v>
      </c>
      <c r="E21" s="425" t="s">
        <v>273</v>
      </c>
      <c r="F21" s="32" t="s">
        <v>281</v>
      </c>
      <c r="G21" s="66">
        <v>28.550999999999998</v>
      </c>
      <c r="H21" s="15">
        <f t="shared" si="1"/>
        <v>342.61</v>
      </c>
      <c r="I21" s="15">
        <f t="shared" si="2"/>
        <v>380.58</v>
      </c>
      <c r="J21" s="15">
        <f t="shared" si="3"/>
        <v>399.71</v>
      </c>
      <c r="K21" s="63"/>
    </row>
    <row r="22" spans="1:11">
      <c r="A22" s="87" t="s">
        <v>313</v>
      </c>
      <c r="B22" s="64">
        <f t="shared" si="0"/>
        <v>0.152</v>
      </c>
      <c r="C22" s="31">
        <v>6</v>
      </c>
      <c r="D22" s="63" t="s">
        <v>25</v>
      </c>
      <c r="E22" s="425" t="s">
        <v>273</v>
      </c>
      <c r="F22" s="32" t="s">
        <v>281</v>
      </c>
      <c r="G22" s="66">
        <v>30.056000000000001</v>
      </c>
      <c r="H22" s="15">
        <f t="shared" si="1"/>
        <v>360.67</v>
      </c>
      <c r="I22" s="15">
        <f t="shared" si="2"/>
        <v>400.65</v>
      </c>
      <c r="J22" s="15">
        <f t="shared" si="3"/>
        <v>420.78</v>
      </c>
      <c r="K22" s="63"/>
    </row>
    <row r="23" spans="1:11">
      <c r="A23" s="87" t="s">
        <v>313</v>
      </c>
      <c r="B23" s="64">
        <f t="shared" si="0"/>
        <v>0.17799999999999999</v>
      </c>
      <c r="C23" s="202">
        <v>7</v>
      </c>
      <c r="D23" s="63" t="s">
        <v>25</v>
      </c>
      <c r="E23" s="250" t="s">
        <v>273</v>
      </c>
      <c r="F23" s="32" t="s">
        <v>281</v>
      </c>
      <c r="G23" s="66">
        <v>30.957999999999998</v>
      </c>
      <c r="H23" s="15">
        <f t="shared" si="1"/>
        <v>371.5</v>
      </c>
      <c r="I23" s="15">
        <f t="shared" si="2"/>
        <v>412.67</v>
      </c>
      <c r="J23" s="15">
        <f t="shared" si="3"/>
        <v>433.41</v>
      </c>
      <c r="K23" s="63"/>
    </row>
    <row r="24" spans="1:11">
      <c r="A24" s="87" t="s">
        <v>313</v>
      </c>
      <c r="B24" s="64">
        <f t="shared" si="0"/>
        <v>0.20300000000000001</v>
      </c>
      <c r="C24" s="31">
        <v>8</v>
      </c>
      <c r="D24" s="63" t="s">
        <v>25</v>
      </c>
      <c r="E24" s="425" t="s">
        <v>273</v>
      </c>
      <c r="F24" s="32" t="s">
        <v>283</v>
      </c>
      <c r="G24" s="66">
        <v>33.232999999999997</v>
      </c>
      <c r="H24" s="15">
        <f t="shared" si="1"/>
        <v>398.8</v>
      </c>
      <c r="I24" s="15">
        <f t="shared" si="2"/>
        <v>443</v>
      </c>
      <c r="J24" s="15">
        <f t="shared" si="3"/>
        <v>465.26</v>
      </c>
      <c r="K24" s="63"/>
    </row>
    <row r="25" spans="1:11">
      <c r="A25" s="87" t="s">
        <v>313</v>
      </c>
      <c r="B25" s="64">
        <f t="shared" si="0"/>
        <v>0.254</v>
      </c>
      <c r="C25" s="31">
        <v>10</v>
      </c>
      <c r="D25" s="63" t="s">
        <v>25</v>
      </c>
      <c r="E25" s="425" t="s">
        <v>273</v>
      </c>
      <c r="F25" s="32" t="s">
        <v>284</v>
      </c>
      <c r="G25" s="66">
        <v>34.984000000000002</v>
      </c>
      <c r="H25" s="15">
        <f t="shared" si="1"/>
        <v>419.81</v>
      </c>
      <c r="I25" s="15">
        <f t="shared" si="2"/>
        <v>466.34</v>
      </c>
      <c r="J25" s="15">
        <f t="shared" si="3"/>
        <v>489.78</v>
      </c>
      <c r="K25" s="63"/>
    </row>
    <row r="26" spans="1:11">
      <c r="A26" s="87" t="s">
        <v>313</v>
      </c>
      <c r="B26" s="64">
        <f t="shared" si="0"/>
        <v>0.30499999999999999</v>
      </c>
      <c r="C26" s="31">
        <v>12</v>
      </c>
      <c r="D26" s="63" t="s">
        <v>25</v>
      </c>
      <c r="E26" s="425" t="s">
        <v>273</v>
      </c>
      <c r="F26" s="13" t="s">
        <v>315</v>
      </c>
      <c r="G26" s="66">
        <v>45.195</v>
      </c>
      <c r="H26" s="15">
        <f t="shared" si="1"/>
        <v>542.34</v>
      </c>
      <c r="I26" s="15">
        <f t="shared" si="2"/>
        <v>602.45000000000005</v>
      </c>
      <c r="J26" s="15">
        <f t="shared" si="3"/>
        <v>632.73</v>
      </c>
      <c r="K26" s="63"/>
    </row>
    <row r="27" spans="1:11">
      <c r="A27" s="87" t="s">
        <v>313</v>
      </c>
      <c r="B27" s="64">
        <f t="shared" si="0"/>
        <v>0.38100000000000001</v>
      </c>
      <c r="C27" s="31">
        <v>15</v>
      </c>
      <c r="D27" s="63" t="s">
        <v>25</v>
      </c>
      <c r="E27" s="425" t="s">
        <v>273</v>
      </c>
      <c r="F27" s="13" t="s">
        <v>315</v>
      </c>
      <c r="G27" s="66">
        <v>53.037999999999997</v>
      </c>
      <c r="H27" s="15">
        <f t="shared" si="1"/>
        <v>636.46</v>
      </c>
      <c r="I27" s="15">
        <f t="shared" si="2"/>
        <v>707</v>
      </c>
      <c r="J27" s="15">
        <f t="shared" si="3"/>
        <v>742.53</v>
      </c>
      <c r="K27" s="63"/>
    </row>
    <row r="28" spans="1:11">
      <c r="A28" s="87" t="s">
        <v>313</v>
      </c>
      <c r="B28" s="64">
        <f t="shared" si="0"/>
        <v>0.40600000000000003</v>
      </c>
      <c r="C28" s="31">
        <v>16</v>
      </c>
      <c r="D28" s="63" t="s">
        <v>25</v>
      </c>
      <c r="E28" s="425" t="s">
        <v>273</v>
      </c>
      <c r="F28" s="13" t="s">
        <v>316</v>
      </c>
      <c r="G28" s="66">
        <v>60.790999999999997</v>
      </c>
      <c r="H28" s="15">
        <f t="shared" si="1"/>
        <v>729.49</v>
      </c>
      <c r="I28" s="15">
        <f t="shared" si="2"/>
        <v>810.34</v>
      </c>
      <c r="J28" s="15">
        <f t="shared" si="3"/>
        <v>851.07</v>
      </c>
      <c r="K28" s="63"/>
    </row>
    <row r="29" spans="1:11">
      <c r="A29" s="87" t="s">
        <v>313</v>
      </c>
      <c r="B29" s="64">
        <f t="shared" si="0"/>
        <v>0.45700000000000002</v>
      </c>
      <c r="C29" s="31">
        <v>18</v>
      </c>
      <c r="D29" s="63" t="s">
        <v>25</v>
      </c>
      <c r="E29" s="425" t="s">
        <v>273</v>
      </c>
      <c r="F29" s="13" t="s">
        <v>316</v>
      </c>
      <c r="G29" s="66">
        <v>66.301000000000002</v>
      </c>
      <c r="H29" s="15">
        <f t="shared" si="1"/>
        <v>795.61</v>
      </c>
      <c r="I29" s="15">
        <f t="shared" si="2"/>
        <v>883.79</v>
      </c>
      <c r="J29" s="15">
        <f t="shared" si="3"/>
        <v>928.21</v>
      </c>
      <c r="K29" s="63"/>
    </row>
    <row r="30" spans="1:11">
      <c r="A30" s="87" t="s">
        <v>313</v>
      </c>
      <c r="B30" s="64">
        <f t="shared" si="0"/>
        <v>0.50800000000000001</v>
      </c>
      <c r="C30" s="31">
        <v>20</v>
      </c>
      <c r="D30" s="63" t="s">
        <v>25</v>
      </c>
      <c r="E30" s="425" t="s">
        <v>273</v>
      </c>
      <c r="F30" s="32" t="s">
        <v>287</v>
      </c>
      <c r="G30" s="66">
        <v>71.72</v>
      </c>
      <c r="H30" s="15">
        <f t="shared" si="1"/>
        <v>860.64</v>
      </c>
      <c r="I30" s="15">
        <f t="shared" si="2"/>
        <v>956.03</v>
      </c>
      <c r="J30" s="15">
        <f t="shared" si="3"/>
        <v>1004.08</v>
      </c>
      <c r="K30" s="63"/>
    </row>
    <row r="31" spans="1:11">
      <c r="A31" s="87" t="s">
        <v>313</v>
      </c>
      <c r="B31" s="64">
        <f t="shared" si="0"/>
        <v>0.63500000000000001</v>
      </c>
      <c r="C31" s="31">
        <v>25</v>
      </c>
      <c r="D31" s="63" t="s">
        <v>25</v>
      </c>
      <c r="E31" s="425" t="s">
        <v>273</v>
      </c>
      <c r="F31" s="13" t="s">
        <v>288</v>
      </c>
      <c r="G31" s="66">
        <v>88.165999999999997</v>
      </c>
      <c r="H31" s="15">
        <f t="shared" si="1"/>
        <v>1057.99</v>
      </c>
      <c r="I31" s="15">
        <f t="shared" si="2"/>
        <v>1175.25</v>
      </c>
      <c r="J31" s="15">
        <f t="shared" si="3"/>
        <v>1234.32</v>
      </c>
      <c r="K31" s="63"/>
    </row>
    <row r="32" spans="1:11">
      <c r="A32" s="87" t="s">
        <v>313</v>
      </c>
      <c r="B32" s="64">
        <f t="shared" si="0"/>
        <v>0.71099999999999997</v>
      </c>
      <c r="C32" s="31">
        <v>28</v>
      </c>
      <c r="D32" s="63" t="s">
        <v>25</v>
      </c>
      <c r="E32" s="425" t="s">
        <v>273</v>
      </c>
      <c r="F32" s="13" t="s">
        <v>289</v>
      </c>
      <c r="G32" s="66">
        <v>91.376999999999995</v>
      </c>
      <c r="H32" s="15">
        <f t="shared" si="1"/>
        <v>1096.52</v>
      </c>
      <c r="I32" s="15">
        <f t="shared" si="2"/>
        <v>1218.06</v>
      </c>
      <c r="J32" s="15">
        <f t="shared" si="3"/>
        <v>1279.28</v>
      </c>
      <c r="K32" s="63"/>
    </row>
    <row r="33" spans="1:11">
      <c r="A33" s="87" t="s">
        <v>313</v>
      </c>
      <c r="B33" s="64">
        <f t="shared" si="0"/>
        <v>6.4000000000000001E-2</v>
      </c>
      <c r="C33" s="9">
        <v>2.5</v>
      </c>
      <c r="D33" s="201" t="s">
        <v>28</v>
      </c>
      <c r="E33" s="425" t="s">
        <v>273</v>
      </c>
      <c r="F33" s="32" t="s">
        <v>276</v>
      </c>
      <c r="G33" s="66">
        <v>24.199000000000002</v>
      </c>
      <c r="H33" s="15">
        <f t="shared" si="1"/>
        <v>290.39</v>
      </c>
      <c r="I33" s="15">
        <f t="shared" si="2"/>
        <v>322.57</v>
      </c>
      <c r="J33" s="15">
        <f t="shared" si="3"/>
        <v>338.79</v>
      </c>
      <c r="K33" s="63"/>
    </row>
    <row r="34" spans="1:11">
      <c r="A34" s="87" t="s">
        <v>313</v>
      </c>
      <c r="B34" s="64">
        <f t="shared" si="0"/>
        <v>7.5999999999999998E-2</v>
      </c>
      <c r="C34" s="31">
        <v>3</v>
      </c>
      <c r="D34" s="201" t="s">
        <v>28</v>
      </c>
      <c r="E34" s="425" t="s">
        <v>273</v>
      </c>
      <c r="F34" s="32" t="s">
        <v>276</v>
      </c>
      <c r="G34" s="66">
        <v>23.876000000000001</v>
      </c>
      <c r="H34" s="15">
        <f t="shared" si="1"/>
        <v>286.51</v>
      </c>
      <c r="I34" s="15">
        <f t="shared" si="2"/>
        <v>318.27</v>
      </c>
      <c r="J34" s="15">
        <f t="shared" si="3"/>
        <v>334.26</v>
      </c>
      <c r="K34" s="63"/>
    </row>
    <row r="35" spans="1:11">
      <c r="A35" s="87" t="s">
        <v>313</v>
      </c>
      <c r="B35" s="64">
        <f t="shared" si="0"/>
        <v>8.8999999999999996E-2</v>
      </c>
      <c r="C35" s="31">
        <v>3.5</v>
      </c>
      <c r="D35" s="201" t="s">
        <v>28</v>
      </c>
      <c r="E35" s="425" t="s">
        <v>273</v>
      </c>
      <c r="F35" s="32" t="s">
        <v>276</v>
      </c>
      <c r="G35" s="66">
        <v>24.266999999999999</v>
      </c>
      <c r="H35" s="15">
        <f t="shared" si="1"/>
        <v>291.2</v>
      </c>
      <c r="I35" s="15">
        <f t="shared" si="2"/>
        <v>323.48</v>
      </c>
      <c r="J35" s="15">
        <f t="shared" si="3"/>
        <v>339.74</v>
      </c>
      <c r="K35" s="63"/>
    </row>
    <row r="36" spans="1:11">
      <c r="A36" s="87" t="s">
        <v>313</v>
      </c>
      <c r="B36" s="64">
        <f t="shared" si="0"/>
        <v>8.8999999999999996E-2</v>
      </c>
      <c r="C36" s="31">
        <v>3.5</v>
      </c>
      <c r="D36" s="201" t="s">
        <v>28</v>
      </c>
      <c r="E36" s="425" t="s">
        <v>273</v>
      </c>
      <c r="F36" s="32" t="s">
        <v>314</v>
      </c>
      <c r="G36" s="66">
        <v>35.548999999999999</v>
      </c>
      <c r="H36" s="15">
        <f t="shared" si="1"/>
        <v>426.59</v>
      </c>
      <c r="I36" s="15">
        <f t="shared" si="2"/>
        <v>473.87</v>
      </c>
      <c r="J36" s="15">
        <f t="shared" si="3"/>
        <v>497.69</v>
      </c>
      <c r="K36" s="63"/>
    </row>
    <row r="37" spans="1:11">
      <c r="A37" s="87" t="s">
        <v>313</v>
      </c>
      <c r="B37" s="64">
        <f t="shared" si="0"/>
        <v>0.10199999999999999</v>
      </c>
      <c r="C37" s="31">
        <v>4</v>
      </c>
      <c r="D37" s="201" t="s">
        <v>28</v>
      </c>
      <c r="E37" s="425" t="s">
        <v>273</v>
      </c>
      <c r="F37" s="32" t="s">
        <v>278</v>
      </c>
      <c r="G37" s="66">
        <v>25.155999999999999</v>
      </c>
      <c r="H37" s="15">
        <f t="shared" si="1"/>
        <v>301.87</v>
      </c>
      <c r="I37" s="15">
        <f t="shared" si="2"/>
        <v>335.33</v>
      </c>
      <c r="J37" s="15">
        <f t="shared" si="3"/>
        <v>352.18</v>
      </c>
      <c r="K37" s="63"/>
    </row>
    <row r="38" spans="1:11">
      <c r="A38" s="87" t="s">
        <v>313</v>
      </c>
      <c r="B38" s="64">
        <f t="shared" si="0"/>
        <v>0.10199999999999999</v>
      </c>
      <c r="C38" s="31">
        <v>4</v>
      </c>
      <c r="D38" s="201" t="s">
        <v>28</v>
      </c>
      <c r="E38" s="425" t="s">
        <v>273</v>
      </c>
      <c r="F38" s="32" t="s">
        <v>279</v>
      </c>
      <c r="G38" s="66">
        <v>31.504000000000001</v>
      </c>
      <c r="H38" s="15">
        <f t="shared" si="1"/>
        <v>378.05</v>
      </c>
      <c r="I38" s="15">
        <f t="shared" si="2"/>
        <v>419.95</v>
      </c>
      <c r="J38" s="15">
        <f t="shared" si="3"/>
        <v>441.06</v>
      </c>
      <c r="K38" s="63"/>
    </row>
    <row r="39" spans="1:11">
      <c r="A39" s="87" t="s">
        <v>313</v>
      </c>
      <c r="B39" s="64">
        <f t="shared" si="0"/>
        <v>0.114</v>
      </c>
      <c r="C39" s="202">
        <v>4.5</v>
      </c>
      <c r="D39" s="201" t="s">
        <v>28</v>
      </c>
      <c r="E39" s="250" t="s">
        <v>273</v>
      </c>
      <c r="F39" s="32" t="s">
        <v>317</v>
      </c>
      <c r="G39" s="66">
        <v>31.818999999999999</v>
      </c>
      <c r="H39" s="15">
        <f t="shared" si="1"/>
        <v>381.83</v>
      </c>
      <c r="I39" s="15">
        <f t="shared" si="2"/>
        <v>424.15</v>
      </c>
      <c r="J39" s="15">
        <f t="shared" si="3"/>
        <v>445.47</v>
      </c>
      <c r="K39" s="63"/>
    </row>
    <row r="40" spans="1:11">
      <c r="A40" s="87" t="s">
        <v>313</v>
      </c>
      <c r="B40" s="64">
        <f t="shared" si="0"/>
        <v>0.127</v>
      </c>
      <c r="C40" s="31">
        <v>5</v>
      </c>
      <c r="D40" s="201" t="s">
        <v>28</v>
      </c>
      <c r="E40" s="425" t="s">
        <v>273</v>
      </c>
      <c r="F40" s="13" t="s">
        <v>280</v>
      </c>
      <c r="G40" s="66">
        <v>25.957999999999998</v>
      </c>
      <c r="H40" s="15">
        <f t="shared" si="1"/>
        <v>311.5</v>
      </c>
      <c r="I40" s="15">
        <f t="shared" si="2"/>
        <v>346.02</v>
      </c>
      <c r="J40" s="15">
        <f t="shared" si="3"/>
        <v>363.41</v>
      </c>
      <c r="K40" s="63"/>
    </row>
    <row r="41" spans="1:11">
      <c r="A41" s="87" t="s">
        <v>313</v>
      </c>
      <c r="B41" s="64">
        <f t="shared" si="0"/>
        <v>0.127</v>
      </c>
      <c r="C41" s="31">
        <v>5</v>
      </c>
      <c r="D41" s="201" t="s">
        <v>28</v>
      </c>
      <c r="E41" s="425" t="s">
        <v>273</v>
      </c>
      <c r="F41" s="32" t="s">
        <v>281</v>
      </c>
      <c r="G41" s="66">
        <v>31.771000000000001</v>
      </c>
      <c r="H41" s="15">
        <f t="shared" si="1"/>
        <v>381.25</v>
      </c>
      <c r="I41" s="15">
        <f t="shared" si="2"/>
        <v>423.51</v>
      </c>
      <c r="J41" s="15">
        <f t="shared" si="3"/>
        <v>444.79</v>
      </c>
      <c r="K41" s="63"/>
    </row>
    <row r="42" spans="1:11">
      <c r="A42" s="87" t="s">
        <v>313</v>
      </c>
      <c r="B42" s="64">
        <f t="shared" si="0"/>
        <v>0.152</v>
      </c>
      <c r="C42" s="31">
        <v>6</v>
      </c>
      <c r="D42" s="201" t="s">
        <v>28</v>
      </c>
      <c r="E42" s="425" t="s">
        <v>273</v>
      </c>
      <c r="F42" s="32" t="s">
        <v>281</v>
      </c>
      <c r="G42" s="66">
        <v>33.808</v>
      </c>
      <c r="H42" s="15">
        <f t="shared" si="1"/>
        <v>405.7</v>
      </c>
      <c r="I42" s="15">
        <f t="shared" si="2"/>
        <v>450.66</v>
      </c>
      <c r="J42" s="15">
        <f t="shared" si="3"/>
        <v>473.31</v>
      </c>
      <c r="K42" s="63"/>
    </row>
    <row r="43" spans="1:11">
      <c r="A43" s="87" t="s">
        <v>313</v>
      </c>
      <c r="B43" s="64">
        <f t="shared" si="0"/>
        <v>0.17799999999999999</v>
      </c>
      <c r="C43" s="31">
        <v>7</v>
      </c>
      <c r="D43" s="201" t="s">
        <v>28</v>
      </c>
      <c r="E43" s="425" t="s">
        <v>273</v>
      </c>
      <c r="F43" s="32" t="s">
        <v>281</v>
      </c>
      <c r="G43" s="66">
        <v>34.822000000000003</v>
      </c>
      <c r="H43" s="15">
        <f t="shared" si="1"/>
        <v>417.86</v>
      </c>
      <c r="I43" s="15">
        <f t="shared" si="2"/>
        <v>464.18</v>
      </c>
      <c r="J43" s="15">
        <f t="shared" si="3"/>
        <v>487.51</v>
      </c>
      <c r="K43" s="63"/>
    </row>
    <row r="44" spans="1:11">
      <c r="A44" s="87" t="s">
        <v>313</v>
      </c>
      <c r="B44" s="64">
        <f t="shared" si="0"/>
        <v>0.20300000000000001</v>
      </c>
      <c r="C44" s="31">
        <v>8</v>
      </c>
      <c r="D44" s="201" t="s">
        <v>28</v>
      </c>
      <c r="E44" s="425" t="s">
        <v>273</v>
      </c>
      <c r="F44" s="32" t="s">
        <v>283</v>
      </c>
      <c r="G44" s="66">
        <v>36.905000000000001</v>
      </c>
      <c r="H44" s="15">
        <f t="shared" si="1"/>
        <v>442.86</v>
      </c>
      <c r="I44" s="15">
        <f t="shared" si="2"/>
        <v>491.94</v>
      </c>
      <c r="J44" s="15">
        <f t="shared" si="3"/>
        <v>516.66999999999996</v>
      </c>
      <c r="K44" s="63"/>
    </row>
    <row r="45" spans="1:11">
      <c r="A45" s="87" t="s">
        <v>313</v>
      </c>
      <c r="B45" s="64">
        <f t="shared" si="0"/>
        <v>0.254</v>
      </c>
      <c r="C45" s="31">
        <v>10</v>
      </c>
      <c r="D45" s="201" t="s">
        <v>28</v>
      </c>
      <c r="E45" s="425" t="s">
        <v>273</v>
      </c>
      <c r="F45" s="32" t="s">
        <v>284</v>
      </c>
      <c r="G45" s="66">
        <v>39.670999999999999</v>
      </c>
      <c r="H45" s="15">
        <f t="shared" si="1"/>
        <v>476.05</v>
      </c>
      <c r="I45" s="15">
        <f t="shared" si="2"/>
        <v>528.80999999999995</v>
      </c>
      <c r="J45" s="15">
        <f t="shared" si="3"/>
        <v>555.39</v>
      </c>
      <c r="K45" s="63"/>
    </row>
    <row r="46" spans="1:11">
      <c r="A46" s="87" t="s">
        <v>313</v>
      </c>
      <c r="B46" s="64">
        <f t="shared" si="0"/>
        <v>0.30499999999999999</v>
      </c>
      <c r="C46" s="31">
        <v>12</v>
      </c>
      <c r="D46" s="201" t="s">
        <v>28</v>
      </c>
      <c r="E46" s="425" t="s">
        <v>273</v>
      </c>
      <c r="F46" s="13" t="s">
        <v>315</v>
      </c>
      <c r="G46" s="66">
        <v>49.725000000000001</v>
      </c>
      <c r="H46" s="15">
        <f t="shared" si="1"/>
        <v>596.70000000000005</v>
      </c>
      <c r="I46" s="15">
        <f t="shared" si="2"/>
        <v>662.83</v>
      </c>
      <c r="J46" s="15">
        <f t="shared" si="3"/>
        <v>696.15</v>
      </c>
      <c r="K46" s="63"/>
    </row>
    <row r="47" spans="1:11">
      <c r="A47" s="87" t="s">
        <v>313</v>
      </c>
      <c r="B47" s="64">
        <f t="shared" si="0"/>
        <v>0.38100000000000001</v>
      </c>
      <c r="C47" s="31">
        <v>15</v>
      </c>
      <c r="D47" s="201" t="s">
        <v>28</v>
      </c>
      <c r="E47" s="425" t="s">
        <v>273</v>
      </c>
      <c r="F47" s="13" t="s">
        <v>315</v>
      </c>
      <c r="G47" s="66">
        <v>59.323999999999998</v>
      </c>
      <c r="H47" s="15">
        <f t="shared" si="1"/>
        <v>711.89</v>
      </c>
      <c r="I47" s="15">
        <f t="shared" si="2"/>
        <v>790.79</v>
      </c>
      <c r="J47" s="15">
        <f t="shared" si="3"/>
        <v>830.54</v>
      </c>
      <c r="K47" s="63"/>
    </row>
    <row r="48" spans="1:11">
      <c r="A48" s="87" t="s">
        <v>313</v>
      </c>
      <c r="B48" s="64">
        <f t="shared" si="0"/>
        <v>0.40600000000000003</v>
      </c>
      <c r="C48" s="31">
        <v>16</v>
      </c>
      <c r="D48" s="201" t="s">
        <v>28</v>
      </c>
      <c r="E48" s="425" t="s">
        <v>273</v>
      </c>
      <c r="F48" s="13" t="s">
        <v>316</v>
      </c>
      <c r="G48" s="66">
        <v>67.325000000000003</v>
      </c>
      <c r="H48" s="15">
        <f t="shared" si="1"/>
        <v>807.9</v>
      </c>
      <c r="I48" s="15">
        <f t="shared" si="2"/>
        <v>897.44</v>
      </c>
      <c r="J48" s="15">
        <f t="shared" si="3"/>
        <v>942.55</v>
      </c>
      <c r="K48" s="63"/>
    </row>
    <row r="49" spans="1:11">
      <c r="A49" s="87" t="s">
        <v>313</v>
      </c>
      <c r="B49" s="64">
        <f t="shared" si="0"/>
        <v>0.45700000000000002</v>
      </c>
      <c r="C49" s="31">
        <v>18</v>
      </c>
      <c r="D49" s="201" t="s">
        <v>28</v>
      </c>
      <c r="E49" s="425" t="s">
        <v>273</v>
      </c>
      <c r="F49" s="13" t="s">
        <v>316</v>
      </c>
      <c r="G49" s="66">
        <v>70.968999999999994</v>
      </c>
      <c r="H49" s="15">
        <f t="shared" si="1"/>
        <v>851.63</v>
      </c>
      <c r="I49" s="15">
        <f t="shared" si="2"/>
        <v>946.02</v>
      </c>
      <c r="J49" s="15">
        <f t="shared" si="3"/>
        <v>993.57</v>
      </c>
      <c r="K49" s="63"/>
    </row>
    <row r="50" spans="1:11">
      <c r="A50" s="87" t="s">
        <v>313</v>
      </c>
      <c r="B50" s="64">
        <f t="shared" si="0"/>
        <v>0.50800000000000001</v>
      </c>
      <c r="C50" s="31">
        <v>20</v>
      </c>
      <c r="D50" s="201" t="s">
        <v>28</v>
      </c>
      <c r="E50" s="425" t="s">
        <v>273</v>
      </c>
      <c r="F50" s="32" t="s">
        <v>287</v>
      </c>
      <c r="G50" s="66">
        <v>62.454999999999998</v>
      </c>
      <c r="H50" s="15">
        <f t="shared" si="1"/>
        <v>749.46</v>
      </c>
      <c r="I50" s="15">
        <f t="shared" si="2"/>
        <v>832.53</v>
      </c>
      <c r="J50" s="15">
        <f t="shared" si="3"/>
        <v>874.37</v>
      </c>
      <c r="K50" s="63"/>
    </row>
    <row r="51" spans="1:11">
      <c r="A51" s="87" t="s">
        <v>313</v>
      </c>
      <c r="B51" s="64">
        <f t="shared" si="0"/>
        <v>0.63500000000000001</v>
      </c>
      <c r="C51" s="31">
        <v>25</v>
      </c>
      <c r="D51" s="201" t="s">
        <v>28</v>
      </c>
      <c r="E51" s="425" t="s">
        <v>273</v>
      </c>
      <c r="F51" s="13" t="s">
        <v>288</v>
      </c>
      <c r="G51" s="66">
        <v>92.379000000000005</v>
      </c>
      <c r="H51" s="15">
        <f t="shared" si="1"/>
        <v>1108.55</v>
      </c>
      <c r="I51" s="15">
        <f t="shared" si="2"/>
        <v>1231.4100000000001</v>
      </c>
      <c r="J51" s="15">
        <f t="shared" si="3"/>
        <v>1293.31</v>
      </c>
      <c r="K51" s="63"/>
    </row>
    <row r="52" spans="1:11">
      <c r="A52" s="87" t="s">
        <v>313</v>
      </c>
      <c r="B52" s="64">
        <f t="shared" si="0"/>
        <v>0.71099999999999997</v>
      </c>
      <c r="C52" s="31">
        <v>28</v>
      </c>
      <c r="D52" s="201" t="s">
        <v>28</v>
      </c>
      <c r="E52" s="425" t="s">
        <v>273</v>
      </c>
      <c r="F52" s="13" t="s">
        <v>289</v>
      </c>
      <c r="G52" s="66">
        <v>98.712999999999994</v>
      </c>
      <c r="H52" s="15">
        <f t="shared" si="1"/>
        <v>1184.56</v>
      </c>
      <c r="I52" s="15">
        <f t="shared" si="2"/>
        <v>1315.84</v>
      </c>
      <c r="J52" s="15">
        <f t="shared" si="3"/>
        <v>1381.98</v>
      </c>
      <c r="K52" s="63"/>
    </row>
    <row r="53" spans="1:11">
      <c r="A53" s="87" t="s">
        <v>313</v>
      </c>
      <c r="B53" s="64">
        <f t="shared" si="0"/>
        <v>7.5999999999999998E-2</v>
      </c>
      <c r="C53" s="31">
        <v>3</v>
      </c>
      <c r="D53" s="201" t="s">
        <v>138</v>
      </c>
      <c r="E53" s="405" t="s">
        <v>290</v>
      </c>
      <c r="F53" s="32" t="s">
        <v>276</v>
      </c>
      <c r="G53" s="66">
        <v>25.768999999999998</v>
      </c>
      <c r="H53" s="15">
        <f t="shared" si="1"/>
        <v>309.23</v>
      </c>
      <c r="I53" s="15">
        <f t="shared" si="2"/>
        <v>343.5</v>
      </c>
      <c r="J53" s="15">
        <f t="shared" si="3"/>
        <v>360.77</v>
      </c>
      <c r="K53" s="63"/>
    </row>
    <row r="54" spans="1:11">
      <c r="A54" s="87" t="s">
        <v>313</v>
      </c>
      <c r="B54" s="64">
        <f t="shared" si="0"/>
        <v>8.8999999999999996E-2</v>
      </c>
      <c r="C54" s="31">
        <v>3.5</v>
      </c>
      <c r="D54" s="201" t="s">
        <v>138</v>
      </c>
      <c r="E54" s="32" t="s">
        <v>290</v>
      </c>
      <c r="F54" s="32" t="s">
        <v>276</v>
      </c>
      <c r="G54" s="66">
        <v>26.231000000000002</v>
      </c>
      <c r="H54" s="15">
        <f t="shared" si="1"/>
        <v>314.77</v>
      </c>
      <c r="I54" s="15">
        <f t="shared" si="2"/>
        <v>349.66</v>
      </c>
      <c r="J54" s="15">
        <f t="shared" si="3"/>
        <v>367.23</v>
      </c>
      <c r="K54" s="63"/>
    </row>
    <row r="55" spans="1:11">
      <c r="A55" s="87" t="s">
        <v>313</v>
      </c>
      <c r="B55" s="64">
        <f t="shared" si="0"/>
        <v>8.8999999999999996E-2</v>
      </c>
      <c r="C55" s="31">
        <v>3.5</v>
      </c>
      <c r="D55" s="201" t="s">
        <v>138</v>
      </c>
      <c r="E55" s="32" t="s">
        <v>290</v>
      </c>
      <c r="F55" s="32" t="s">
        <v>314</v>
      </c>
      <c r="G55" s="66">
        <v>34.975000000000001</v>
      </c>
      <c r="H55" s="15">
        <f t="shared" si="1"/>
        <v>419.7</v>
      </c>
      <c r="I55" s="15">
        <f t="shared" si="2"/>
        <v>466.22</v>
      </c>
      <c r="J55" s="15">
        <f t="shared" si="3"/>
        <v>489.65</v>
      </c>
      <c r="K55" s="63"/>
    </row>
    <row r="56" spans="1:11">
      <c r="A56" s="87" t="s">
        <v>313</v>
      </c>
      <c r="B56" s="64">
        <f t="shared" si="0"/>
        <v>0.10199999999999999</v>
      </c>
      <c r="C56" s="31">
        <v>4</v>
      </c>
      <c r="D56" s="201" t="s">
        <v>138</v>
      </c>
      <c r="E56" s="32" t="s">
        <v>290</v>
      </c>
      <c r="F56" s="32" t="s">
        <v>278</v>
      </c>
      <c r="G56" s="66">
        <v>26.954000000000001</v>
      </c>
      <c r="H56" s="15">
        <f t="shared" si="1"/>
        <v>323.45</v>
      </c>
      <c r="I56" s="15">
        <f t="shared" si="2"/>
        <v>359.3</v>
      </c>
      <c r="J56" s="15">
        <f t="shared" si="3"/>
        <v>377.36</v>
      </c>
      <c r="K56" s="63"/>
    </row>
    <row r="57" spans="1:11">
      <c r="A57" s="87" t="s">
        <v>313</v>
      </c>
      <c r="B57" s="64">
        <f t="shared" si="0"/>
        <v>0.10199999999999999</v>
      </c>
      <c r="C57" s="31">
        <v>4</v>
      </c>
      <c r="D57" s="201" t="s">
        <v>138</v>
      </c>
      <c r="E57" s="32" t="s">
        <v>290</v>
      </c>
      <c r="F57" s="32" t="s">
        <v>279</v>
      </c>
      <c r="G57" s="66">
        <v>32.445999999999998</v>
      </c>
      <c r="H57" s="15">
        <f t="shared" si="1"/>
        <v>389.35</v>
      </c>
      <c r="I57" s="15">
        <f t="shared" si="2"/>
        <v>432.51</v>
      </c>
      <c r="J57" s="15">
        <f t="shared" si="3"/>
        <v>454.24</v>
      </c>
      <c r="K57" s="63"/>
    </row>
    <row r="58" spans="1:11">
      <c r="A58" s="87" t="s">
        <v>313</v>
      </c>
      <c r="B58" s="64">
        <f t="shared" si="0"/>
        <v>0.127</v>
      </c>
      <c r="C58" s="31">
        <v>5</v>
      </c>
      <c r="D58" s="201" t="s">
        <v>138</v>
      </c>
      <c r="E58" s="32" t="s">
        <v>290</v>
      </c>
      <c r="F58" s="13" t="s">
        <v>280</v>
      </c>
      <c r="G58" s="66">
        <v>27.545000000000002</v>
      </c>
      <c r="H58" s="15">
        <f t="shared" si="1"/>
        <v>330.54</v>
      </c>
      <c r="I58" s="15">
        <f t="shared" si="2"/>
        <v>367.17</v>
      </c>
      <c r="J58" s="15">
        <f t="shared" si="3"/>
        <v>385.63</v>
      </c>
      <c r="K58" s="63"/>
    </row>
    <row r="59" spans="1:11">
      <c r="A59" s="87" t="s">
        <v>313</v>
      </c>
      <c r="B59" s="64">
        <f t="shared" si="0"/>
        <v>0.127</v>
      </c>
      <c r="C59" s="31">
        <v>5</v>
      </c>
      <c r="D59" s="201" t="s">
        <v>138</v>
      </c>
      <c r="E59" s="32" t="s">
        <v>290</v>
      </c>
      <c r="F59" s="32" t="s">
        <v>281</v>
      </c>
      <c r="G59" s="66">
        <v>32.695</v>
      </c>
      <c r="H59" s="15">
        <f t="shared" si="1"/>
        <v>392.34</v>
      </c>
      <c r="I59" s="15">
        <f t="shared" si="2"/>
        <v>435.82</v>
      </c>
      <c r="J59" s="15">
        <f t="shared" si="3"/>
        <v>457.73</v>
      </c>
      <c r="K59" s="63"/>
    </row>
    <row r="60" spans="1:11">
      <c r="A60" s="87" t="s">
        <v>313</v>
      </c>
      <c r="B60" s="64">
        <f t="shared" si="0"/>
        <v>0.152</v>
      </c>
      <c r="C60" s="31">
        <v>6</v>
      </c>
      <c r="D60" s="201" t="s">
        <v>138</v>
      </c>
      <c r="E60" s="32" t="s">
        <v>290</v>
      </c>
      <c r="F60" s="32" t="s">
        <v>281</v>
      </c>
      <c r="G60" s="66">
        <v>34.701000000000001</v>
      </c>
      <c r="H60" s="15">
        <f t="shared" si="1"/>
        <v>416.41</v>
      </c>
      <c r="I60" s="15">
        <f t="shared" si="2"/>
        <v>462.56</v>
      </c>
      <c r="J60" s="15">
        <f t="shared" si="3"/>
        <v>485.81</v>
      </c>
      <c r="K60" s="63"/>
    </row>
    <row r="61" spans="1:11">
      <c r="A61" s="87" t="s">
        <v>313</v>
      </c>
      <c r="B61" s="64">
        <f t="shared" si="0"/>
        <v>0.17799999999999999</v>
      </c>
      <c r="C61" s="202">
        <v>7</v>
      </c>
      <c r="D61" s="201" t="s">
        <v>138</v>
      </c>
      <c r="E61" s="250" t="s">
        <v>290</v>
      </c>
      <c r="F61" s="32" t="s">
        <v>281</v>
      </c>
      <c r="G61" s="66">
        <v>35.076099999999997</v>
      </c>
      <c r="H61" s="15">
        <f t="shared" si="1"/>
        <v>420.91</v>
      </c>
      <c r="I61" s="15">
        <f t="shared" si="2"/>
        <v>467.56</v>
      </c>
      <c r="J61" s="15">
        <f t="shared" si="3"/>
        <v>491.07</v>
      </c>
      <c r="K61" s="63"/>
    </row>
    <row r="62" spans="1:11">
      <c r="A62" s="87" t="s">
        <v>313</v>
      </c>
      <c r="B62" s="64">
        <f t="shared" si="0"/>
        <v>0.254</v>
      </c>
      <c r="C62" s="202">
        <v>10</v>
      </c>
      <c r="D62" s="201" t="s">
        <v>138</v>
      </c>
      <c r="E62" s="250" t="s">
        <v>290</v>
      </c>
      <c r="F62" s="32" t="s">
        <v>318</v>
      </c>
      <c r="G62" s="66">
        <v>48.683</v>
      </c>
      <c r="H62" s="15">
        <f t="shared" si="1"/>
        <v>584.20000000000005</v>
      </c>
      <c r="I62" s="15">
        <f t="shared" si="2"/>
        <v>648.94000000000005</v>
      </c>
      <c r="J62" s="15">
        <f t="shared" si="3"/>
        <v>681.56</v>
      </c>
      <c r="K62" s="63"/>
    </row>
    <row r="63" spans="1:11">
      <c r="A63" s="87" t="s">
        <v>313</v>
      </c>
      <c r="B63" s="64">
        <f t="shared" si="0"/>
        <v>6.4000000000000001E-2</v>
      </c>
      <c r="C63" s="9">
        <v>2.5</v>
      </c>
      <c r="D63" s="201" t="s">
        <v>29</v>
      </c>
      <c r="E63" s="63" t="s">
        <v>137</v>
      </c>
      <c r="F63" s="32" t="s">
        <v>276</v>
      </c>
      <c r="G63" s="66">
        <v>29.86</v>
      </c>
      <c r="H63" s="15">
        <f t="shared" si="1"/>
        <v>358.32</v>
      </c>
      <c r="I63" s="15">
        <f t="shared" si="2"/>
        <v>398.03</v>
      </c>
      <c r="J63" s="15">
        <f t="shared" si="3"/>
        <v>418.04</v>
      </c>
      <c r="K63" s="63"/>
    </row>
    <row r="64" spans="1:11">
      <c r="A64" s="87" t="s">
        <v>313</v>
      </c>
      <c r="B64" s="64">
        <f t="shared" si="0"/>
        <v>7.5999999999999998E-2</v>
      </c>
      <c r="C64" s="31">
        <v>3</v>
      </c>
      <c r="D64" s="201" t="s">
        <v>29</v>
      </c>
      <c r="E64" s="63" t="s">
        <v>137</v>
      </c>
      <c r="F64" s="32" t="s">
        <v>276</v>
      </c>
      <c r="G64" s="66">
        <v>29.282</v>
      </c>
      <c r="H64" s="15">
        <f t="shared" si="1"/>
        <v>351.38</v>
      </c>
      <c r="I64" s="15">
        <f t="shared" si="2"/>
        <v>390.33</v>
      </c>
      <c r="J64" s="15">
        <f t="shared" si="3"/>
        <v>409.95</v>
      </c>
      <c r="K64" s="63"/>
    </row>
    <row r="65" spans="1:11">
      <c r="A65" s="87" t="s">
        <v>313</v>
      </c>
      <c r="B65" s="64">
        <f t="shared" si="0"/>
        <v>8.8999999999999996E-2</v>
      </c>
      <c r="C65" s="31">
        <v>3.5</v>
      </c>
      <c r="D65" s="201" t="s">
        <v>29</v>
      </c>
      <c r="E65" s="63" t="s">
        <v>137</v>
      </c>
      <c r="F65" s="32" t="s">
        <v>276</v>
      </c>
      <c r="G65" s="66">
        <v>29.809000000000001</v>
      </c>
      <c r="H65" s="15">
        <f t="shared" si="1"/>
        <v>357.71</v>
      </c>
      <c r="I65" s="15">
        <f t="shared" si="2"/>
        <v>397.35</v>
      </c>
      <c r="J65" s="15">
        <f t="shared" si="3"/>
        <v>417.33</v>
      </c>
      <c r="K65" s="63"/>
    </row>
    <row r="66" spans="1:11">
      <c r="A66" s="87" t="s">
        <v>313</v>
      </c>
      <c r="B66" s="64">
        <f t="shared" si="0"/>
        <v>8.8999999999999996E-2</v>
      </c>
      <c r="C66" s="31">
        <v>3.5</v>
      </c>
      <c r="D66" s="201" t="s">
        <v>29</v>
      </c>
      <c r="E66" s="63" t="s">
        <v>137</v>
      </c>
      <c r="F66" s="32" t="s">
        <v>314</v>
      </c>
      <c r="G66" s="66">
        <v>39.744</v>
      </c>
      <c r="H66" s="15">
        <f t="shared" si="1"/>
        <v>476.93</v>
      </c>
      <c r="I66" s="15">
        <f t="shared" si="2"/>
        <v>529.79</v>
      </c>
      <c r="J66" s="15">
        <f t="shared" si="3"/>
        <v>556.41999999999996</v>
      </c>
      <c r="K66" s="63"/>
    </row>
    <row r="67" spans="1:11" ht="14.4" customHeight="1">
      <c r="A67" s="87" t="s">
        <v>313</v>
      </c>
      <c r="B67" s="64">
        <f t="shared" si="0"/>
        <v>0.10199999999999999</v>
      </c>
      <c r="C67" s="31">
        <v>4</v>
      </c>
      <c r="D67" s="201" t="s">
        <v>29</v>
      </c>
      <c r="E67" s="63" t="s">
        <v>137</v>
      </c>
      <c r="F67" s="32" t="s">
        <v>278</v>
      </c>
      <c r="G67" s="66">
        <v>30.63</v>
      </c>
      <c r="H67" s="15">
        <f t="shared" si="1"/>
        <v>367.56</v>
      </c>
      <c r="I67" s="15">
        <f t="shared" si="2"/>
        <v>408.3</v>
      </c>
      <c r="J67" s="15">
        <f t="shared" si="3"/>
        <v>428.82</v>
      </c>
      <c r="K67" s="63"/>
    </row>
    <row r="68" spans="1:11">
      <c r="A68" s="87" t="s">
        <v>313</v>
      </c>
      <c r="B68" s="64">
        <f t="shared" si="0"/>
        <v>0.10199999999999999</v>
      </c>
      <c r="C68" s="31">
        <v>4</v>
      </c>
      <c r="D68" s="201" t="s">
        <v>29</v>
      </c>
      <c r="E68" s="63" t="s">
        <v>137</v>
      </c>
      <c r="F68" s="32" t="s">
        <v>279</v>
      </c>
      <c r="G68" s="66">
        <v>36.869999999999997</v>
      </c>
      <c r="H68" s="15">
        <f t="shared" si="1"/>
        <v>442.44</v>
      </c>
      <c r="I68" s="15">
        <f t="shared" si="2"/>
        <v>491.48</v>
      </c>
      <c r="J68" s="15">
        <f t="shared" si="3"/>
        <v>516.17999999999995</v>
      </c>
      <c r="K68" s="63"/>
    </row>
    <row r="69" spans="1:11">
      <c r="A69" s="87" t="s">
        <v>313</v>
      </c>
      <c r="B69" s="64">
        <f t="shared" si="0"/>
        <v>0.127</v>
      </c>
      <c r="C69" s="31">
        <v>5</v>
      </c>
      <c r="D69" s="201" t="s">
        <v>29</v>
      </c>
      <c r="E69" s="63" t="s">
        <v>137</v>
      </c>
      <c r="F69" s="13" t="s">
        <v>280</v>
      </c>
      <c r="G69" s="66">
        <v>31.3</v>
      </c>
      <c r="H69" s="15">
        <f t="shared" si="1"/>
        <v>375.6</v>
      </c>
      <c r="I69" s="15">
        <f t="shared" si="2"/>
        <v>417.23</v>
      </c>
      <c r="J69" s="15">
        <f t="shared" si="3"/>
        <v>438.2</v>
      </c>
      <c r="K69" s="63"/>
    </row>
    <row r="70" spans="1:11" ht="13.8" customHeight="1">
      <c r="A70" s="87" t="s">
        <v>313</v>
      </c>
      <c r="B70" s="64">
        <f t="shared" si="0"/>
        <v>0.127</v>
      </c>
      <c r="C70" s="31">
        <v>5</v>
      </c>
      <c r="D70" s="201" t="s">
        <v>29</v>
      </c>
      <c r="E70" s="63" t="s">
        <v>137</v>
      </c>
      <c r="F70" s="32" t="s">
        <v>281</v>
      </c>
      <c r="G70" s="66">
        <v>37.154000000000003</v>
      </c>
      <c r="H70" s="15">
        <f t="shared" si="1"/>
        <v>445.85</v>
      </c>
      <c r="I70" s="15">
        <f t="shared" si="2"/>
        <v>495.26</v>
      </c>
      <c r="J70" s="15">
        <f t="shared" si="3"/>
        <v>520.16</v>
      </c>
      <c r="K70" s="63"/>
    </row>
    <row r="71" spans="1:11">
      <c r="A71" s="87" t="s">
        <v>313</v>
      </c>
      <c r="B71" s="64">
        <f t="shared" si="0"/>
        <v>0.152</v>
      </c>
      <c r="C71" s="31">
        <v>6</v>
      </c>
      <c r="D71" s="201" t="s">
        <v>29</v>
      </c>
      <c r="E71" s="63" t="s">
        <v>137</v>
      </c>
      <c r="F71" s="32" t="s">
        <v>281</v>
      </c>
      <c r="G71" s="66">
        <v>39.433999999999997</v>
      </c>
      <c r="H71" s="15">
        <f t="shared" si="1"/>
        <v>473.21</v>
      </c>
      <c r="I71" s="15">
        <f t="shared" si="2"/>
        <v>525.66</v>
      </c>
      <c r="J71" s="15">
        <f t="shared" si="3"/>
        <v>552.08000000000004</v>
      </c>
      <c r="K71" s="63"/>
    </row>
    <row r="72" spans="1:11">
      <c r="A72" s="87" t="s">
        <v>313</v>
      </c>
      <c r="B72" s="64">
        <f t="shared" si="0"/>
        <v>0.17799999999999999</v>
      </c>
      <c r="C72" s="202">
        <v>7</v>
      </c>
      <c r="D72" s="201" t="s">
        <v>29</v>
      </c>
      <c r="E72" s="250" t="s">
        <v>137</v>
      </c>
      <c r="F72" s="32" t="s">
        <v>281</v>
      </c>
      <c r="G72" s="66">
        <v>40.616999999999997</v>
      </c>
      <c r="H72" s="15">
        <f t="shared" si="1"/>
        <v>487.4</v>
      </c>
      <c r="I72" s="15">
        <f t="shared" si="2"/>
        <v>541.41999999999996</v>
      </c>
      <c r="J72" s="15">
        <f t="shared" si="3"/>
        <v>568.64</v>
      </c>
      <c r="K72" s="63"/>
    </row>
    <row r="73" spans="1:11">
      <c r="A73" s="87" t="s">
        <v>313</v>
      </c>
      <c r="B73" s="64">
        <f t="shared" si="0"/>
        <v>0.20300000000000001</v>
      </c>
      <c r="C73" s="31">
        <v>8</v>
      </c>
      <c r="D73" s="201" t="s">
        <v>29</v>
      </c>
      <c r="E73" s="63" t="s">
        <v>137</v>
      </c>
      <c r="F73" s="32" t="s">
        <v>283</v>
      </c>
      <c r="G73" s="66">
        <v>42.369</v>
      </c>
      <c r="H73" s="15">
        <f t="shared" si="1"/>
        <v>508.43</v>
      </c>
      <c r="I73" s="15">
        <f t="shared" si="2"/>
        <v>564.78</v>
      </c>
      <c r="J73" s="15">
        <f t="shared" si="3"/>
        <v>593.16999999999996</v>
      </c>
      <c r="K73" s="63"/>
    </row>
    <row r="74" spans="1:11">
      <c r="A74" s="87" t="s">
        <v>313</v>
      </c>
      <c r="B74" s="64">
        <f t="shared" si="0"/>
        <v>0.254</v>
      </c>
      <c r="C74" s="31">
        <v>10</v>
      </c>
      <c r="D74" s="201" t="s">
        <v>29</v>
      </c>
      <c r="E74" s="63" t="s">
        <v>137</v>
      </c>
      <c r="F74" s="32" t="s">
        <v>284</v>
      </c>
      <c r="G74" s="66">
        <v>45.043999999999997</v>
      </c>
      <c r="H74" s="15">
        <f t="shared" si="1"/>
        <v>540.53</v>
      </c>
      <c r="I74" s="15">
        <f t="shared" si="2"/>
        <v>600.44000000000005</v>
      </c>
      <c r="J74" s="15">
        <f t="shared" si="3"/>
        <v>630.62</v>
      </c>
      <c r="K74" s="63"/>
    </row>
    <row r="76" spans="1:11" ht="22.2" customHeight="1">
      <c r="A76" s="245" t="s">
        <v>319</v>
      </c>
      <c r="B76" s="246"/>
      <c r="C76" s="246"/>
      <c r="D76" s="246"/>
      <c r="E76" s="246"/>
      <c r="F76" s="246"/>
      <c r="G76" s="246"/>
      <c r="H76" s="246"/>
      <c r="I76" s="246"/>
      <c r="J76" s="246"/>
      <c r="K76" s="247"/>
    </row>
    <row r="77" spans="1:11" ht="21.6">
      <c r="A77" s="238" t="s">
        <v>189</v>
      </c>
      <c r="B77" s="41" t="s">
        <v>31</v>
      </c>
      <c r="C77" s="238" t="s">
        <v>190</v>
      </c>
      <c r="D77" s="41" t="s">
        <v>33</v>
      </c>
      <c r="E77" s="41" t="s">
        <v>34</v>
      </c>
      <c r="F77" s="427" t="s">
        <v>35</v>
      </c>
      <c r="G77" s="41" t="s">
        <v>36</v>
      </c>
      <c r="H77" s="428" t="s">
        <v>37</v>
      </c>
      <c r="I77" s="429" t="s">
        <v>38</v>
      </c>
      <c r="J77" s="429"/>
      <c r="K77" s="430" t="s">
        <v>23</v>
      </c>
    </row>
    <row r="78" spans="1:11">
      <c r="A78" s="13" t="s">
        <v>320</v>
      </c>
      <c r="B78" s="191">
        <v>1027</v>
      </c>
      <c r="C78" s="16">
        <v>0.74</v>
      </c>
      <c r="D78" s="13" t="s">
        <v>40</v>
      </c>
      <c r="E78" s="17" t="s">
        <v>41</v>
      </c>
      <c r="F78" s="13">
        <v>3937</v>
      </c>
      <c r="G78" s="191">
        <v>13.55</v>
      </c>
      <c r="H78" s="419">
        <f>ROUND(G78*13.124,2)</f>
        <v>177.83</v>
      </c>
      <c r="I78" s="218">
        <f t="shared" ref="I78:I102" si="4">ROUND(G78*F78,2)</f>
        <v>53346.35</v>
      </c>
      <c r="J78" s="218"/>
      <c r="K78" s="13"/>
    </row>
    <row r="79" spans="1:11">
      <c r="A79" s="13" t="s">
        <v>320</v>
      </c>
      <c r="B79" s="13">
        <v>106</v>
      </c>
      <c r="C79" s="16">
        <v>0.72</v>
      </c>
      <c r="D79" s="13">
        <v>300</v>
      </c>
      <c r="E79" s="17" t="s">
        <v>41</v>
      </c>
      <c r="F79" s="13">
        <v>3937</v>
      </c>
      <c r="G79" s="81">
        <v>8.7710000000000008</v>
      </c>
      <c r="H79" s="419">
        <f>ROUND(G79*13.124,2)</f>
        <v>115.11</v>
      </c>
      <c r="I79" s="218">
        <f t="shared" si="4"/>
        <v>34531.43</v>
      </c>
      <c r="J79" s="218"/>
      <c r="K79" s="431"/>
    </row>
    <row r="80" spans="1:11">
      <c r="A80" s="13" t="s">
        <v>320</v>
      </c>
      <c r="B80" s="13">
        <v>106</v>
      </c>
      <c r="C80" s="16">
        <v>0.74</v>
      </c>
      <c r="D80" s="13">
        <v>300</v>
      </c>
      <c r="E80" s="17" t="s">
        <v>41</v>
      </c>
      <c r="F80" s="13">
        <v>3937</v>
      </c>
      <c r="G80" s="81">
        <v>8.9619999999999997</v>
      </c>
      <c r="H80" s="419">
        <f t="shared" ref="H80:H102" si="5">ROUND(G80*13.124,2)</f>
        <v>117.62</v>
      </c>
      <c r="I80" s="218">
        <f t="shared" si="4"/>
        <v>35283.39</v>
      </c>
      <c r="J80" s="218"/>
      <c r="K80" s="431"/>
    </row>
    <row r="81" spans="1:11">
      <c r="A81" s="13" t="s">
        <v>320</v>
      </c>
      <c r="B81" s="13">
        <v>106</v>
      </c>
      <c r="C81" s="16">
        <v>0.76</v>
      </c>
      <c r="D81" s="13">
        <v>300</v>
      </c>
      <c r="E81" s="17" t="s">
        <v>41</v>
      </c>
      <c r="F81" s="13">
        <v>3937</v>
      </c>
      <c r="G81" s="81">
        <v>9.3049999999999997</v>
      </c>
      <c r="H81" s="419">
        <f t="shared" si="5"/>
        <v>122.12</v>
      </c>
      <c r="I81" s="218">
        <f t="shared" si="4"/>
        <v>36633.79</v>
      </c>
      <c r="J81" s="218"/>
      <c r="K81" s="431"/>
    </row>
    <row r="82" spans="1:11">
      <c r="A82" s="13" t="s">
        <v>320</v>
      </c>
      <c r="B82" s="13">
        <v>1035</v>
      </c>
      <c r="C82" s="16">
        <v>0.7</v>
      </c>
      <c r="D82" s="13">
        <v>300</v>
      </c>
      <c r="E82" s="17" t="s">
        <v>41</v>
      </c>
      <c r="F82" s="13">
        <v>3937</v>
      </c>
      <c r="G82" s="81">
        <v>8.0020000000000007</v>
      </c>
      <c r="H82" s="419">
        <f t="shared" si="5"/>
        <v>105.02</v>
      </c>
      <c r="I82" s="218">
        <f t="shared" si="4"/>
        <v>31503.87</v>
      </c>
      <c r="J82" s="218"/>
      <c r="K82" s="431"/>
    </row>
    <row r="83" spans="1:11">
      <c r="A83" s="13" t="s">
        <v>320</v>
      </c>
      <c r="B83" s="13">
        <v>1035</v>
      </c>
      <c r="C83" s="16">
        <v>0.73</v>
      </c>
      <c r="D83" s="13">
        <v>300</v>
      </c>
      <c r="E83" s="17" t="s">
        <v>41</v>
      </c>
      <c r="F83" s="13">
        <v>3937</v>
      </c>
      <c r="G83" s="81">
        <v>8.7249999999999996</v>
      </c>
      <c r="H83" s="419">
        <f t="shared" si="5"/>
        <v>114.51</v>
      </c>
      <c r="I83" s="218">
        <f t="shared" si="4"/>
        <v>34350.33</v>
      </c>
      <c r="J83" s="218"/>
      <c r="K83" s="431"/>
    </row>
    <row r="84" spans="1:11">
      <c r="A84" s="13" t="s">
        <v>320</v>
      </c>
      <c r="B84" s="13">
        <v>1035</v>
      </c>
      <c r="C84" s="16">
        <v>0.75</v>
      </c>
      <c r="D84" s="13">
        <v>300</v>
      </c>
      <c r="E84" s="17" t="s">
        <v>41</v>
      </c>
      <c r="F84" s="13">
        <v>3937</v>
      </c>
      <c r="G84" s="81">
        <v>9.02</v>
      </c>
      <c r="H84" s="419">
        <f t="shared" si="5"/>
        <v>118.38</v>
      </c>
      <c r="I84" s="218">
        <f t="shared" si="4"/>
        <v>35511.74</v>
      </c>
      <c r="J84" s="218"/>
      <c r="K84" s="431"/>
    </row>
    <row r="85" spans="1:11">
      <c r="A85" s="13" t="s">
        <v>320</v>
      </c>
      <c r="B85" s="13">
        <v>1035</v>
      </c>
      <c r="C85" s="16">
        <v>0.77</v>
      </c>
      <c r="D85" s="13">
        <v>300</v>
      </c>
      <c r="E85" s="17" t="s">
        <v>41</v>
      </c>
      <c r="F85" s="13">
        <v>3937</v>
      </c>
      <c r="G85" s="81">
        <v>9.5067000000000004</v>
      </c>
      <c r="H85" s="419">
        <f t="shared" si="5"/>
        <v>124.77</v>
      </c>
      <c r="I85" s="218">
        <f t="shared" si="4"/>
        <v>37427.879999999997</v>
      </c>
      <c r="J85" s="218"/>
      <c r="K85" s="431"/>
    </row>
    <row r="86" spans="1:11">
      <c r="A86" s="13" t="s">
        <v>320</v>
      </c>
      <c r="B86" s="13">
        <v>1080</v>
      </c>
      <c r="C86" s="16">
        <v>0.67</v>
      </c>
      <c r="D86" s="13">
        <v>300</v>
      </c>
      <c r="E86" s="17" t="s">
        <v>41</v>
      </c>
      <c r="F86" s="13">
        <v>3937</v>
      </c>
      <c r="G86" s="81">
        <v>8.5009999999999994</v>
      </c>
      <c r="H86" s="419">
        <f t="shared" si="5"/>
        <v>111.57</v>
      </c>
      <c r="I86" s="218">
        <f t="shared" si="4"/>
        <v>33468.44</v>
      </c>
      <c r="J86" s="218"/>
      <c r="K86" s="431"/>
    </row>
    <row r="87" spans="1:11">
      <c r="A87" s="13" t="s">
        <v>320</v>
      </c>
      <c r="B87" s="13">
        <v>1080</v>
      </c>
      <c r="C87" s="16">
        <v>0.7</v>
      </c>
      <c r="D87" s="13">
        <v>300</v>
      </c>
      <c r="E87" s="17" t="s">
        <v>41</v>
      </c>
      <c r="F87" s="13">
        <v>3937</v>
      </c>
      <c r="G87" s="81">
        <v>8.9090000000000007</v>
      </c>
      <c r="H87" s="419">
        <f t="shared" si="5"/>
        <v>116.92</v>
      </c>
      <c r="I87" s="218">
        <f t="shared" si="4"/>
        <v>35074.730000000003</v>
      </c>
      <c r="J87" s="218"/>
      <c r="K87" s="431"/>
    </row>
    <row r="88" spans="1:11">
      <c r="A88" s="13" t="s">
        <v>320</v>
      </c>
      <c r="B88" s="13">
        <v>1080</v>
      </c>
      <c r="C88" s="16">
        <v>0.72</v>
      </c>
      <c r="D88" s="13">
        <v>300</v>
      </c>
      <c r="E88" s="17" t="s">
        <v>41</v>
      </c>
      <c r="F88" s="13">
        <v>3937</v>
      </c>
      <c r="G88" s="81">
        <v>10.151</v>
      </c>
      <c r="H88" s="419">
        <f t="shared" si="5"/>
        <v>133.22</v>
      </c>
      <c r="I88" s="218">
        <f t="shared" si="4"/>
        <v>39964.49</v>
      </c>
      <c r="J88" s="218"/>
      <c r="K88" s="431"/>
    </row>
    <row r="89" spans="1:11">
      <c r="A89" s="13" t="s">
        <v>320</v>
      </c>
      <c r="B89" s="13">
        <v>1080</v>
      </c>
      <c r="C89" s="16">
        <v>0.74</v>
      </c>
      <c r="D89" s="13">
        <v>300</v>
      </c>
      <c r="E89" s="17" t="s">
        <v>41</v>
      </c>
      <c r="F89" s="13">
        <v>3937</v>
      </c>
      <c r="G89" s="81">
        <v>11.069000000000001</v>
      </c>
      <c r="H89" s="419">
        <f t="shared" si="5"/>
        <v>145.27000000000001</v>
      </c>
      <c r="I89" s="218">
        <f t="shared" si="4"/>
        <v>43578.65</v>
      </c>
      <c r="J89" s="218"/>
      <c r="K89" s="431"/>
    </row>
    <row r="90" spans="1:11">
      <c r="A90" s="13" t="s">
        <v>320</v>
      </c>
      <c r="B90" s="13">
        <v>1078</v>
      </c>
      <c r="C90" s="16">
        <v>0.64</v>
      </c>
      <c r="D90" s="13" t="s">
        <v>40</v>
      </c>
      <c r="E90" s="17" t="s">
        <v>41</v>
      </c>
      <c r="F90" s="13">
        <v>3937</v>
      </c>
      <c r="G90" s="18">
        <v>9.032</v>
      </c>
      <c r="H90" s="419">
        <f t="shared" si="5"/>
        <v>118.54</v>
      </c>
      <c r="I90" s="218">
        <f t="shared" si="4"/>
        <v>35558.980000000003</v>
      </c>
      <c r="J90" s="218"/>
      <c r="K90" s="431"/>
    </row>
    <row r="91" spans="1:11">
      <c r="A91" s="13" t="s">
        <v>320</v>
      </c>
      <c r="B91" s="13">
        <v>1078</v>
      </c>
      <c r="C91" s="16">
        <v>0.65</v>
      </c>
      <c r="D91" s="13">
        <v>300</v>
      </c>
      <c r="E91" s="17" t="s">
        <v>41</v>
      </c>
      <c r="F91" s="13">
        <v>3937</v>
      </c>
      <c r="G91" s="81">
        <v>9.3070000000000004</v>
      </c>
      <c r="H91" s="419">
        <f t="shared" si="5"/>
        <v>122.15</v>
      </c>
      <c r="I91" s="218">
        <f t="shared" si="4"/>
        <v>36641.660000000003</v>
      </c>
      <c r="J91" s="218"/>
      <c r="K91" s="431"/>
    </row>
    <row r="92" spans="1:11">
      <c r="A92" s="13" t="s">
        <v>320</v>
      </c>
      <c r="B92" s="13">
        <v>1078</v>
      </c>
      <c r="C92" s="16">
        <v>0.66</v>
      </c>
      <c r="D92" s="13">
        <v>300</v>
      </c>
      <c r="E92" s="17" t="s">
        <v>41</v>
      </c>
      <c r="F92" s="13">
        <v>3937</v>
      </c>
      <c r="G92" s="81">
        <v>9.3070000000000004</v>
      </c>
      <c r="H92" s="419">
        <f t="shared" si="5"/>
        <v>122.15</v>
      </c>
      <c r="I92" s="218">
        <f t="shared" si="4"/>
        <v>36641.660000000003</v>
      </c>
      <c r="J92" s="218"/>
      <c r="K92" s="431"/>
    </row>
    <row r="93" spans="1:11">
      <c r="A93" s="13" t="s">
        <v>320</v>
      </c>
      <c r="B93" s="13">
        <v>1078</v>
      </c>
      <c r="C93" s="16">
        <v>0.68</v>
      </c>
      <c r="D93" s="13">
        <v>300</v>
      </c>
      <c r="E93" s="17" t="s">
        <v>41</v>
      </c>
      <c r="F93" s="13">
        <v>3937</v>
      </c>
      <c r="G93" s="81">
        <v>9.407</v>
      </c>
      <c r="H93" s="419">
        <f t="shared" si="5"/>
        <v>123.46</v>
      </c>
      <c r="I93" s="218">
        <f t="shared" si="4"/>
        <v>37035.360000000001</v>
      </c>
      <c r="J93" s="218"/>
      <c r="K93" s="431"/>
    </row>
    <row r="94" spans="1:11">
      <c r="A94" s="13" t="s">
        <v>320</v>
      </c>
      <c r="B94" s="13">
        <v>1078</v>
      </c>
      <c r="C94" s="16">
        <v>0.7</v>
      </c>
      <c r="D94" s="13">
        <v>300</v>
      </c>
      <c r="E94" s="17" t="s">
        <v>41</v>
      </c>
      <c r="F94" s="13">
        <v>3937</v>
      </c>
      <c r="G94" s="81">
        <v>10.023</v>
      </c>
      <c r="H94" s="419">
        <f t="shared" si="5"/>
        <v>131.54</v>
      </c>
      <c r="I94" s="218">
        <f t="shared" si="4"/>
        <v>39460.550000000003</v>
      </c>
      <c r="J94" s="218"/>
      <c r="K94" s="431"/>
    </row>
    <row r="95" spans="1:11">
      <c r="A95" s="13" t="s">
        <v>320</v>
      </c>
      <c r="B95" s="13">
        <v>1078</v>
      </c>
      <c r="C95" s="16">
        <v>0.72</v>
      </c>
      <c r="D95" s="13">
        <v>300</v>
      </c>
      <c r="E95" s="17" t="s">
        <v>41</v>
      </c>
      <c r="F95" s="13">
        <v>3937</v>
      </c>
      <c r="G95" s="81">
        <v>10.532999999999999</v>
      </c>
      <c r="H95" s="419">
        <f t="shared" si="5"/>
        <v>138.24</v>
      </c>
      <c r="I95" s="218">
        <f t="shared" si="4"/>
        <v>41468.42</v>
      </c>
      <c r="J95" s="218"/>
      <c r="K95" s="431"/>
    </row>
    <row r="96" spans="1:11">
      <c r="A96" s="13" t="s">
        <v>320</v>
      </c>
      <c r="B96" s="13">
        <v>1078</v>
      </c>
      <c r="C96" s="16">
        <v>0.74</v>
      </c>
      <c r="D96" s="13">
        <v>300</v>
      </c>
      <c r="E96" s="17" t="s">
        <v>41</v>
      </c>
      <c r="F96" s="13">
        <v>3937</v>
      </c>
      <c r="G96" s="81">
        <v>11.099</v>
      </c>
      <c r="H96" s="419">
        <f t="shared" si="5"/>
        <v>145.66</v>
      </c>
      <c r="I96" s="218">
        <f t="shared" si="4"/>
        <v>43696.76</v>
      </c>
      <c r="J96" s="218"/>
      <c r="K96" s="431"/>
    </row>
    <row r="97" spans="1:11">
      <c r="A97" s="13" t="s">
        <v>320</v>
      </c>
      <c r="B97" s="13">
        <v>3313</v>
      </c>
      <c r="C97" s="16">
        <v>0.56000000000000005</v>
      </c>
      <c r="D97" s="13">
        <v>300</v>
      </c>
      <c r="E97" s="17" t="s">
        <v>41</v>
      </c>
      <c r="F97" s="13">
        <v>3937</v>
      </c>
      <c r="G97" s="81">
        <v>9.8840000000000003</v>
      </c>
      <c r="H97" s="419">
        <f t="shared" si="5"/>
        <v>129.72</v>
      </c>
      <c r="I97" s="218">
        <f t="shared" si="4"/>
        <v>38913.31</v>
      </c>
      <c r="J97" s="218"/>
      <c r="K97" s="431"/>
    </row>
    <row r="98" spans="1:11">
      <c r="A98" s="13" t="s">
        <v>320</v>
      </c>
      <c r="B98" s="13">
        <v>3313</v>
      </c>
      <c r="C98" s="16">
        <v>0.57999999999999996</v>
      </c>
      <c r="D98" s="13">
        <v>300</v>
      </c>
      <c r="E98" s="17" t="s">
        <v>41</v>
      </c>
      <c r="F98" s="13">
        <v>3937</v>
      </c>
      <c r="G98" s="81">
        <v>10.122999999999999</v>
      </c>
      <c r="H98" s="419">
        <f t="shared" si="5"/>
        <v>132.85</v>
      </c>
      <c r="I98" s="218">
        <f t="shared" si="4"/>
        <v>39854.25</v>
      </c>
      <c r="J98" s="218"/>
      <c r="K98" s="431"/>
    </row>
    <row r="99" spans="1:11">
      <c r="A99" s="13" t="s">
        <v>320</v>
      </c>
      <c r="B99" s="13">
        <v>3313</v>
      </c>
      <c r="C99" s="16">
        <v>0.6</v>
      </c>
      <c r="D99" s="13">
        <v>300</v>
      </c>
      <c r="E99" s="17" t="s">
        <v>41</v>
      </c>
      <c r="F99" s="13">
        <v>3937</v>
      </c>
      <c r="G99" s="81">
        <v>10.388999999999999</v>
      </c>
      <c r="H99" s="419">
        <f t="shared" si="5"/>
        <v>136.35</v>
      </c>
      <c r="I99" s="218">
        <f t="shared" si="4"/>
        <v>40901.49</v>
      </c>
      <c r="J99" s="218"/>
      <c r="K99" s="431"/>
    </row>
    <row r="100" spans="1:11">
      <c r="A100" s="13" t="s">
        <v>320</v>
      </c>
      <c r="B100" s="13">
        <v>2116</v>
      </c>
      <c r="C100" s="16">
        <v>0.55000000000000004</v>
      </c>
      <c r="D100" s="13" t="s">
        <v>40</v>
      </c>
      <c r="E100" s="17" t="s">
        <v>41</v>
      </c>
      <c r="F100" s="227">
        <v>2624.6</v>
      </c>
      <c r="G100" s="81">
        <v>11.246</v>
      </c>
      <c r="H100" s="419">
        <f t="shared" si="5"/>
        <v>147.59</v>
      </c>
      <c r="I100" s="218">
        <f t="shared" si="4"/>
        <v>29516.25</v>
      </c>
      <c r="J100" s="218"/>
      <c r="K100" s="431"/>
    </row>
    <row r="101" spans="1:11">
      <c r="A101" s="13" t="s">
        <v>320</v>
      </c>
      <c r="B101" s="13">
        <v>2116</v>
      </c>
      <c r="C101" s="16">
        <v>0.56999999999999995</v>
      </c>
      <c r="D101" s="13">
        <v>200</v>
      </c>
      <c r="E101" s="17" t="s">
        <v>41</v>
      </c>
      <c r="F101" s="13">
        <v>2624.6</v>
      </c>
      <c r="G101" s="81">
        <v>11.837999999999999</v>
      </c>
      <c r="H101" s="419">
        <f t="shared" si="5"/>
        <v>155.36000000000001</v>
      </c>
      <c r="I101" s="218">
        <f t="shared" si="4"/>
        <v>31070.01</v>
      </c>
      <c r="J101" s="218"/>
      <c r="K101" s="431"/>
    </row>
    <row r="102" spans="1:11">
      <c r="A102" s="13" t="s">
        <v>320</v>
      </c>
      <c r="B102" s="13">
        <v>2116</v>
      </c>
      <c r="C102" s="16">
        <v>0.6</v>
      </c>
      <c r="D102" s="13">
        <v>200</v>
      </c>
      <c r="E102" s="17" t="s">
        <v>41</v>
      </c>
      <c r="F102" s="13">
        <v>2624.6</v>
      </c>
      <c r="G102" s="81">
        <v>12.067</v>
      </c>
      <c r="H102" s="419">
        <f t="shared" si="5"/>
        <v>158.37</v>
      </c>
      <c r="I102" s="218">
        <f t="shared" si="4"/>
        <v>31671.05</v>
      </c>
      <c r="J102" s="218"/>
      <c r="K102" s="431"/>
    </row>
    <row r="104" spans="1:11" ht="15.6">
      <c r="A104" s="35" t="s">
        <v>45</v>
      </c>
      <c r="B104" s="35"/>
      <c r="C104" s="48"/>
      <c r="D104" s="48"/>
      <c r="E104" s="48"/>
      <c r="F104" s="48"/>
      <c r="G104" s="48"/>
      <c r="H104" s="48"/>
      <c r="I104" s="49"/>
      <c r="J104" s="50"/>
    </row>
    <row r="105" spans="1:11" ht="15.6">
      <c r="A105" s="48" t="s">
        <v>46</v>
      </c>
      <c r="B105" s="48"/>
      <c r="C105" s="48"/>
      <c r="D105" s="48"/>
      <c r="E105" s="48"/>
      <c r="F105" s="48"/>
      <c r="G105" s="48"/>
      <c r="H105" s="48"/>
      <c r="I105" s="49"/>
      <c r="J105" s="50"/>
    </row>
    <row r="106" spans="1:11" ht="15.6">
      <c r="A106" s="51" t="s">
        <v>293</v>
      </c>
      <c r="B106" s="51"/>
      <c r="C106" s="48"/>
      <c r="D106" s="48"/>
      <c r="E106" s="48"/>
      <c r="F106" s="48"/>
      <c r="G106" s="48"/>
      <c r="H106" s="48"/>
      <c r="I106" s="49"/>
      <c r="J106" s="50"/>
    </row>
    <row r="107" spans="1:11" ht="15.6">
      <c r="A107" s="51" t="s">
        <v>294</v>
      </c>
      <c r="B107" s="51"/>
      <c r="C107" s="48"/>
      <c r="D107" s="48"/>
      <c r="E107" s="48"/>
      <c r="F107" s="48"/>
      <c r="G107" s="48"/>
      <c r="H107" s="48"/>
      <c r="I107" s="49"/>
      <c r="J107" s="50"/>
    </row>
    <row r="108" spans="1:11" ht="15.6">
      <c r="A108" s="51" t="s">
        <v>49</v>
      </c>
      <c r="B108" s="51"/>
      <c r="C108" s="48"/>
      <c r="D108" s="48"/>
      <c r="E108" s="48"/>
      <c r="F108" s="48"/>
      <c r="G108" s="48"/>
      <c r="H108" s="48"/>
      <c r="I108" s="49"/>
      <c r="J108" s="50"/>
    </row>
    <row r="109" spans="1:11" ht="15.6">
      <c r="A109" s="423" t="s">
        <v>50</v>
      </c>
      <c r="B109" s="423"/>
      <c r="C109" s="48"/>
      <c r="D109" s="48"/>
      <c r="E109" s="48"/>
      <c r="F109" s="48"/>
      <c r="G109" s="48"/>
      <c r="H109" s="48"/>
      <c r="I109" s="49"/>
      <c r="J109" s="50"/>
    </row>
    <row r="110" spans="1:11" ht="14.4">
      <c r="A110" s="424" t="s">
        <v>295</v>
      </c>
      <c r="B110" s="424"/>
      <c r="C110" s="414"/>
      <c r="D110" s="414"/>
      <c r="E110" s="414"/>
      <c r="F110" s="414"/>
      <c r="G110" s="414"/>
      <c r="H110" s="414"/>
      <c r="I110" s="414"/>
    </row>
    <row r="111" spans="1:11" ht="14.4">
      <c r="A111" s="424" t="s">
        <v>321</v>
      </c>
      <c r="B111" s="424"/>
      <c r="C111" s="414"/>
      <c r="D111" s="414"/>
      <c r="E111" s="414"/>
      <c r="F111" s="414"/>
      <c r="G111" s="414"/>
      <c r="H111" s="414"/>
      <c r="I111" s="414"/>
    </row>
    <row r="112" spans="1:11" ht="14.4">
      <c r="A112" s="424"/>
      <c r="B112" s="424"/>
      <c r="C112" s="414"/>
      <c r="D112" s="414"/>
      <c r="E112" s="414"/>
      <c r="F112" s="414"/>
      <c r="G112" s="414"/>
      <c r="H112" s="414"/>
      <c r="I112" s="414"/>
    </row>
    <row r="113" spans="1:11" ht="15.6">
      <c r="A113" s="55" t="s">
        <v>322</v>
      </c>
      <c r="B113" s="55"/>
      <c r="C113" s="55"/>
      <c r="D113" s="56"/>
      <c r="E113" s="56"/>
      <c r="F113" s="56"/>
      <c r="G113" s="56"/>
      <c r="H113" s="57" t="s">
        <v>323</v>
      </c>
      <c r="I113" s="56"/>
      <c r="K113" s="56"/>
    </row>
  </sheetData>
  <mergeCells count="33">
    <mergeCell ref="I100:J100"/>
    <mergeCell ref="I101:J101"/>
    <mergeCell ref="I102:J102"/>
    <mergeCell ref="I94:J94"/>
    <mergeCell ref="I95:J95"/>
    <mergeCell ref="I96:J96"/>
    <mergeCell ref="I97:J97"/>
    <mergeCell ref="I98:J98"/>
    <mergeCell ref="I99:J99"/>
    <mergeCell ref="I88:J88"/>
    <mergeCell ref="I89:J89"/>
    <mergeCell ref="I90:J90"/>
    <mergeCell ref="I91:J91"/>
    <mergeCell ref="I92:J92"/>
    <mergeCell ref="I93:J93"/>
    <mergeCell ref="I82:J82"/>
    <mergeCell ref="I83:J83"/>
    <mergeCell ref="I84:J84"/>
    <mergeCell ref="I85:J85"/>
    <mergeCell ref="I86:J86"/>
    <mergeCell ref="I87:J87"/>
    <mergeCell ref="A76:K76"/>
    <mergeCell ref="I77:J77"/>
    <mergeCell ref="I78:J78"/>
    <mergeCell ref="I79:J79"/>
    <mergeCell ref="I80:J80"/>
    <mergeCell ref="I81:J81"/>
    <mergeCell ref="C1:K1"/>
    <mergeCell ref="C2:K2"/>
    <mergeCell ref="A3:K3"/>
    <mergeCell ref="A4:K4"/>
    <mergeCell ref="A5:K5"/>
    <mergeCell ref="A11:K11"/>
  </mergeCells>
  <phoneticPr fontId="18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3</vt:i4>
      </vt:variant>
    </vt:vector>
  </HeadingPairs>
  <TitlesOfParts>
    <vt:vector size="19" baseType="lpstr">
      <vt:lpstr>NY2150</vt:lpstr>
      <vt:lpstr>NY2170</vt:lpstr>
      <vt:lpstr>NY2170H</vt:lpstr>
      <vt:lpstr>NY3170M</vt:lpstr>
      <vt:lpstr>NY3170M2</vt:lpstr>
      <vt:lpstr>NY3170LK</vt:lpstr>
      <vt:lpstr>NY6180L</vt:lpstr>
      <vt:lpstr>NY6180</vt:lpstr>
      <vt:lpstr>NY6200</vt:lpstr>
      <vt:lpstr>NY6300C</vt:lpstr>
      <vt:lpstr>NY6300</vt:lpstr>
      <vt:lpstr>NY6300S</vt:lpstr>
      <vt:lpstr>NY6300SN</vt:lpstr>
      <vt:lpstr>NY-P1</vt:lpstr>
      <vt:lpstr>NY-P2</vt:lpstr>
      <vt:lpstr>NY-P3</vt:lpstr>
      <vt:lpstr>'NY2150'!Print_Titles</vt:lpstr>
      <vt:lpstr>'NY2170'!Print_Titles</vt:lpstr>
      <vt:lpstr>NY2170H!Print_Titles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 lai</cp:lastModifiedBy>
  <cp:lastPrinted>2026-06-27T10:12:09Z</cp:lastPrinted>
  <dcterms:created xsi:type="dcterms:W3CDTF">2025-04-27T15:41:00Z</dcterms:created>
  <dcterms:modified xsi:type="dcterms:W3CDTF">2026-07-03T07:37:57Z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2025-04-27T07:43:13Z</vt:filetime>
  </property>
  <property fmtid="{D5CDD505-2E9C-101B-9397-08002B2CF9AE}" pid="4" name="ICV">
    <vt:lpwstr>7DF4EBBF38AE4E2B8ADEE54271810FE7_12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  <property fmtid="{D5CDD505-2E9C-101B-9397-08002B2CF9AE}" pid="7" name="5B77E7CEEC58BC6AFAE8886BEB80DBEB">
    <vt:lpwstr>otCYQxs9Dbw2bUEn/Soxv9pYAoWsCRIsU8+gIbxzzmNcJN13+qHIPyWmbF9hFzPHyi2m8DLwi54E5OVVM5pJ0yGmgAiYTaR6oYUdYZxdjep6I9xviFUFZ9aTScfBW9OGPUs1Ea+JNDxQKdXy0xSyij4SnrjaWayvM9CHbrMLKMjs3wLIE09t9hLLKLoaqLqLwfX4y//VRwjhpM6ZGQcku+oVllLHYT06G/fPOEyvS+7auchh/FfwqPxJts8ITqn7sO2rqyayxdSlE1vqVFrOWX5AoKMF8mSRTfv60rdqY+1DGTQCxHpohTKFxtI49RKDV4o7w4KkJ4gMQljbTz80xVStQll/eaL8VhW9s0Cg5CWDE+Qyyi9Itg/Hfu+iB/b0v8Msw79FY0VsB+YzDD43iNXyo+fI2sQyM8br1H/7k2J+b7D3pQpFDBnKH+eUi4q832i68MrxU1Urr0Gd1SUvQoSkQ3hqugFGuj87uVyi1BEamV1E0/pp+0gGy8n8mvE0QuLt6jtqiPQxYwPKiQ/XUcwH/R5k1qNEtSB8XMlURsKxL+8HV0vZhI+f01/p5Op1QVqaLzB0THaEMQhARzcij/Yvi6gz4Gwmd6bi47cPy+0=</vt:lpwstr>
  </property>
</Properties>
</file>