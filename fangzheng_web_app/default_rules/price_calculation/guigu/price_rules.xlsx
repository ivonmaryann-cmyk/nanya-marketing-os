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2819\Desktop\客户资料\硅谷\报价单\报价单202608\"/>
    </mc:Choice>
  </mc:AlternateContent>
  <bookViews>
    <workbookView windowWidth="23040" windowHeight="10500" tabRatio="766" activeTab="7"/>
  </bookViews>
  <sheets>
    <sheet name="NY2150" sheetId="14" r:id="rId1"/>
    <sheet name="NY2150PP" sheetId="16" r:id="rId2"/>
    <sheet name="NY2170" sheetId="15" r:id="rId3"/>
    <sheet name="NY2170PP" sheetId="17" r:id="rId4"/>
    <sheet name="NY3170M" sheetId="6" r:id="rId5"/>
    <sheet name="NY3170MPP" sheetId="7" r:id="rId6"/>
    <sheet name="NY6180" sheetId="8" r:id="rId7"/>
    <sheet name="NY6180L" sheetId="13" r:id="rId8"/>
    <sheet name="NY3170M2" sheetId="10" r:id="rId9"/>
    <sheet name="NY3170M2PP" sheetId="12" r:id="rId10"/>
    <sheet name="NY3170LK" sheetId="19" r:id="rId11"/>
    <sheet name="NY6300" sheetId="3" r:id="rId12"/>
    <sheet name="NY6300PP" sheetId="18" r:id="rId13"/>
    <sheet name="NY6300S" sheetId="4" r:id="rId14"/>
    <sheet name="NY6300SN" sheetId="9" r:id="rId15"/>
    <sheet name="NY-P1" sheetId="23" r:id="rId16"/>
    <sheet name="NY-P2" sheetId="2" r:id="rId17"/>
    <sheet name="NY-P3" sheetId="27" r:id="rId18"/>
  </sheets>
  <definedNames>
    <definedName name="_xlnm.Print_Area" localSheetId="8">NY3170M2!$A$1:$R$34</definedName>
    <definedName name="_xlnm.Print_Area" localSheetId="10">NY3170LK!$A$1:$J$43</definedName>
    <definedName name="_xlnm.Print_Area" localSheetId="11">'NY6300'!$A$1:$R$99</definedName>
    <definedName name="_xlnm.Print_Area" localSheetId="1">NY2150PP!$A$1:$G$33</definedName>
    <definedName name="_xlnm.Print_Area" localSheetId="2">'NY2170'!$A$1:$R$198</definedName>
    <definedName name="_xlnm.Print_Area" localSheetId="3">NY2170PP!$A$1:$G$31</definedName>
    <definedName name="_xlnm.Print_Area" localSheetId="4">NY3170M!$A$1:$Q$81</definedName>
    <definedName name="_xlnm.Print_Area" localSheetId="5">NY3170MPP!$A$1:$G$41</definedName>
    <definedName name="_xlnm.Print_Area" localSheetId="14">NY6300SN!$A$1:$O$37</definedName>
    <definedName name="_xlnm.Print_Area" localSheetId="6">'NY6180'!$A$1:$Q$36</definedName>
    <definedName name="_xlnm.Print_Area" localSheetId="7">NY6180L!$A$1:$R$46</definedName>
    <definedName name="_xlnm.Print_Area" localSheetId="15">'NY-P1'!$A$1:$Q$44</definedName>
    <definedName name="_xlnm.Print_Area" localSheetId="16">'NY-P2'!$A$1:$Q$45</definedName>
    <definedName name="_xlnm.Print_Area" localSheetId="13">NY6300S!$A$1:$R$57</definedName>
    <definedName name="_xlnm._FilterDatabase" localSheetId="2" hidden="1">'NY2170'!$A$11:$S$11</definedName>
    <definedName name="_xlnm.Print_Area" localSheetId="17">'NY-P3'!$A$1:$Q$30</definedName>
    <definedName name="_xlnm.Print_Area" localSheetId="9">NY3170M2PP!$A$1:$G$44</definedName>
    <definedName name="_xlnm.Print_Area" localSheetId="0">'NY2150'!$A$1:$S$129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<sst xmlns="http://schemas.openxmlformats.org/spreadsheetml/2006/main" count="3464" uniqueCount="240">
  <si>
    <t>中 国 上 海 市 嘉 定 区 南 翔 镇 昌 翔 路 158 号</t>
  </si>
  <si>
    <t>TEL：021-59175555(上海)， 0755-33231030(深圳)</t>
  </si>
  <si>
    <t>客户名称:宜兴硅谷</t>
  </si>
  <si>
    <t>发件人：吴成令</t>
  </si>
  <si>
    <t>收件人：王启芳 张经理</t>
  </si>
  <si>
    <t>联系方式：13861867754</t>
  </si>
  <si>
    <t>抄送：程总</t>
  </si>
  <si>
    <t>币种：RMB</t>
  </si>
  <si>
    <t>联系方式：</t>
  </si>
  <si>
    <t>生效日期：2026年8月1日</t>
  </si>
  <si>
    <t>Sub:价格-NY2150基板价格</t>
  </si>
  <si>
    <t>产品类别</t>
  </si>
  <si>
    <t>厚度</t>
  </si>
  <si>
    <t>铜厚(是否含铜)</t>
  </si>
  <si>
    <t>铜箔厚度</t>
  </si>
  <si>
    <t>铜箔类型</t>
  </si>
  <si>
    <t>叠构组合</t>
  </si>
  <si>
    <t>36*48</t>
  </si>
  <si>
    <t>40*48</t>
  </si>
  <si>
    <t>42*48</t>
  </si>
  <si>
    <t>21.2*24.2</t>
  </si>
  <si>
    <t>18.2*24.2</t>
  </si>
  <si>
    <t>28.25*24.25</t>
  </si>
  <si>
    <t>27.25*24.25</t>
  </si>
  <si>
    <t>28.5*49</t>
  </si>
  <si>
    <t>17*24.5</t>
  </si>
  <si>
    <t>24.3*16.2</t>
  </si>
  <si>
    <t>SF含税单价</t>
  </si>
  <si>
    <t>备注</t>
  </si>
  <si>
    <t>NY2150</t>
  </si>
  <si>
    <t>T/C</t>
  </si>
  <si>
    <t>H/H</t>
  </si>
  <si>
    <t>HTE</t>
  </si>
  <si>
    <t>106*1</t>
  </si>
  <si>
    <t>1/1</t>
  </si>
  <si>
    <t>1080*1</t>
  </si>
  <si>
    <t>3313*1</t>
  </si>
  <si>
    <t>106*2</t>
  </si>
  <si>
    <t>2313*1</t>
  </si>
  <si>
    <t>2116*1</t>
  </si>
  <si>
    <t>1080*2</t>
  </si>
  <si>
    <t>2/2</t>
  </si>
  <si>
    <t>1506*1</t>
  </si>
  <si>
    <t>7628*1</t>
  </si>
  <si>
    <t>3313*2</t>
  </si>
  <si>
    <t>1080*2+106*1</t>
  </si>
  <si>
    <t>2113*2</t>
  </si>
  <si>
    <t>1080*3</t>
  </si>
  <si>
    <t>2116*2</t>
  </si>
  <si>
    <t>1506*2</t>
  </si>
  <si>
    <t>7628*2</t>
  </si>
  <si>
    <t>1080*5</t>
  </si>
  <si>
    <t>7628*2+1080*1</t>
  </si>
  <si>
    <t>7628*2+2116*1</t>
  </si>
  <si>
    <t>1080*7</t>
  </si>
  <si>
    <t>7628*3</t>
  </si>
  <si>
    <t>1080*8</t>
  </si>
  <si>
    <t>7628*2+1506*2</t>
  </si>
  <si>
    <t>7628*4</t>
  </si>
  <si>
    <t>D/S</t>
  </si>
  <si>
    <t>7628*4+2116</t>
  </si>
  <si>
    <t>7628*5</t>
  </si>
  <si>
    <t>4*7628+1*2116</t>
  </si>
  <si>
    <t>7628*6</t>
  </si>
  <si>
    <t>7628*7</t>
  </si>
  <si>
    <t>7628*8</t>
  </si>
  <si>
    <t>7628*9</t>
  </si>
  <si>
    <t>7628*10</t>
  </si>
  <si>
    <t>7628*11</t>
  </si>
  <si>
    <t>7628*12</t>
  </si>
  <si>
    <t>7628*13</t>
  </si>
  <si>
    <t>7628*14</t>
  </si>
  <si>
    <t>7628*15</t>
  </si>
  <si>
    <t>7628*16</t>
  </si>
  <si>
    <t>7628*17</t>
  </si>
  <si>
    <t>说明：</t>
  </si>
  <si>
    <t>1、以上含13%增值税报价；</t>
  </si>
  <si>
    <t>2、报价有效期至新报价止；</t>
  </si>
  <si>
    <t>3、折让条件：零门槛折让5%，每自然月出货量达到1万张销售金额折让6%，每月出货量达到2万张销售金额折让7%，每月出货量达到3万张销售金额折让8%（所有基板张数为标准41*49尺寸大张，折让金额在次月对账开票时扣除）；为节省成本我司需免费回收木托，由贵司通知我司执行；</t>
  </si>
  <si>
    <t>4、价格说明：37*43同36*48价格，41*43同40*48价格，27.25*21.25同27.25*24.25价格，28.25*21.25同28.25*24.25价格；28.2*21.3同28.25*24.25价格；27.2*21.3同27.25*24.25价格；</t>
  </si>
  <si>
    <t>客户回签：__________________________</t>
  </si>
  <si>
    <t>NO. 158 CHANGXIANG ROAD NANXIANG SHANGHAI P. R. CHINA</t>
  </si>
  <si>
    <t>TEL: 0086-21-59175555 FAX: 0086-21-69178833</t>
  </si>
  <si>
    <t>主题：NY2150 PP价格表</t>
  </si>
  <si>
    <t>玻布</t>
  </si>
  <si>
    <t>树脂含量</t>
  </si>
  <si>
    <t>卷长（M）</t>
  </si>
  <si>
    <t>含税单价（米）</t>
  </si>
  <si>
    <t>含税单价（卷）</t>
  </si>
  <si>
    <t>62-64%</t>
  </si>
  <si>
    <t>65-67%</t>
  </si>
  <si>
    <t>68-70%</t>
  </si>
  <si>
    <t>52-53%</t>
  </si>
  <si>
    <t>54-55%</t>
  </si>
  <si>
    <t>56-57%</t>
  </si>
  <si>
    <t>3313（2313）</t>
  </si>
  <si>
    <t>55-56%</t>
  </si>
  <si>
    <t>57-58%</t>
  </si>
  <si>
    <t>59-60%</t>
  </si>
  <si>
    <t>43-44%</t>
  </si>
  <si>
    <t>45-46%</t>
  </si>
  <si>
    <t>47-48%</t>
  </si>
  <si>
    <t>49-50%</t>
  </si>
  <si>
    <t>Sub:价格-NY2170基板价格</t>
  </si>
  <si>
    <t>NY2170</t>
  </si>
  <si>
    <t>否</t>
  </si>
  <si>
    <t>RTF</t>
  </si>
  <si>
    <t>H/1</t>
  </si>
  <si>
    <t>H/2</t>
  </si>
  <si>
    <t>1/2</t>
  </si>
  <si>
    <t>1067*2</t>
  </si>
  <si>
    <t>106*3</t>
  </si>
  <si>
    <t>106*1+1080*2</t>
  </si>
  <si>
    <t>3113*2</t>
  </si>
  <si>
    <t>1080*1+7628*2</t>
  </si>
  <si>
    <t>2116*1+7628*2</t>
  </si>
  <si>
    <t>2116*5</t>
  </si>
  <si>
    <t>7628*2+2116*2</t>
  </si>
  <si>
    <t>2116*2+7628*2</t>
  </si>
  <si>
    <t>1506*2+7628*2</t>
  </si>
  <si>
    <t>不限</t>
  </si>
  <si>
    <t>1080*1+7628*4</t>
  </si>
  <si>
    <t>1080*11</t>
  </si>
  <si>
    <t>是</t>
  </si>
  <si>
    <t>4、价格说明：37*43同36*48价格，41*43同40*48价格，27.25*21.25同27.25*24.25价格，28.25*21.25同28.25*24.25价格；28.2*21.3同28.25*24.25价格；27.2*21.3同27.25*24.25价格；27*21同27.25*24.25价格</t>
  </si>
  <si>
    <t>Sub:价格-NY2170 PP价格</t>
  </si>
  <si>
    <t>70%-73%</t>
  </si>
  <si>
    <t>76~78%</t>
  </si>
  <si>
    <t>64%-66%</t>
  </si>
  <si>
    <t>68%-71%</t>
  </si>
  <si>
    <t>51%-54%</t>
  </si>
  <si>
    <t>58%-61%</t>
  </si>
  <si>
    <t>53%-56%</t>
  </si>
  <si>
    <t>57%-58%</t>
  </si>
  <si>
    <t>59%-61%</t>
  </si>
  <si>
    <t>43%-47%</t>
  </si>
  <si>
    <t>48%-51%</t>
  </si>
  <si>
    <t>Sub:价格-NY3170M基板价格</t>
  </si>
  <si>
    <t>NY3170M</t>
  </si>
  <si>
    <t>1*1078</t>
  </si>
  <si>
    <t>1*1086</t>
  </si>
  <si>
    <t>2*1027</t>
  </si>
  <si>
    <t>1*2313</t>
  </si>
  <si>
    <t>1*3313</t>
  </si>
  <si>
    <t>1*2116</t>
  </si>
  <si>
    <t>2*1067</t>
  </si>
  <si>
    <t>RTF2</t>
  </si>
  <si>
    <t>1*2113</t>
  </si>
  <si>
    <t>2*106</t>
  </si>
  <si>
    <t>2*1080</t>
  </si>
  <si>
    <t>2*1078</t>
  </si>
  <si>
    <t>2*3313</t>
  </si>
  <si>
    <t>2*2116</t>
  </si>
  <si>
    <t>3*2116</t>
  </si>
  <si>
    <t>2*1506</t>
  </si>
  <si>
    <t>4*2116</t>
  </si>
  <si>
    <t>5*2116</t>
  </si>
  <si>
    <t>6*2116</t>
  </si>
  <si>
    <t>5*7628</t>
  </si>
  <si>
    <t>11*2116</t>
  </si>
  <si>
    <t>3、高速材料专案价，暂无折让；</t>
  </si>
  <si>
    <t>Sub:价格-NY3170M PP价格</t>
  </si>
  <si>
    <t>61-63%</t>
  </si>
  <si>
    <t>64-66%</t>
  </si>
  <si>
    <t>55-57%</t>
  </si>
  <si>
    <t>Sub:价格-NY6180基板价格</t>
  </si>
  <si>
    <t>NY6180</t>
  </si>
  <si>
    <t>Sub:价格-NY6180 PP价格</t>
  </si>
  <si>
    <t>树脂含量
(%)</t>
  </si>
  <si>
    <t>卷长
（M）</t>
  </si>
  <si>
    <t>4、价格说明：37*43同36*48价格，41*43同40*48价格，27.25*21.25同27.25*24.25价格，28.25*21.25同28.25*24.25价格；</t>
  </si>
  <si>
    <t>Sub:价格-NY6180L基板价格</t>
  </si>
  <si>
    <t>新增</t>
  </si>
  <si>
    <t>NY6180L</t>
  </si>
  <si>
    <t>1*1080</t>
  </si>
  <si>
    <t>RTF2/RTF</t>
  </si>
  <si>
    <t>Sub:价格-NY6180L PP价格</t>
  </si>
  <si>
    <t>NY6180LP</t>
  </si>
  <si>
    <t>发件人吴成令</t>
  </si>
  <si>
    <t>Sub:价格-NY3170M2基板价格</t>
  </si>
  <si>
    <t>NY3170M2</t>
  </si>
  <si>
    <t>4*3313</t>
  </si>
  <si>
    <t>7*2116</t>
  </si>
  <si>
    <t>10*2116</t>
  </si>
  <si>
    <t>Sub:价格-NY3170M2 PP价格</t>
  </si>
  <si>
    <t>Sub:价格-NY3170LK基板价格</t>
  </si>
  <si>
    <t>NY3170LK</t>
  </si>
  <si>
    <t>2*1035</t>
  </si>
  <si>
    <t>Sub:价格-NY3170LK PP价格</t>
  </si>
  <si>
    <t>含税单价
（米）</t>
  </si>
  <si>
    <t>含税单价
（卷）</t>
  </si>
  <si>
    <t>NY3170LKP</t>
  </si>
  <si>
    <t>74-75%</t>
  </si>
  <si>
    <t>Sub:价格-NY6300基板价格</t>
  </si>
  <si>
    <t>NY6300</t>
  </si>
  <si>
    <t>HVLP1</t>
  </si>
  <si>
    <t>1035*1</t>
  </si>
  <si>
    <t>1078*1</t>
  </si>
  <si>
    <t>1027*2</t>
  </si>
  <si>
    <t>1037*2</t>
  </si>
  <si>
    <t>1035*2</t>
  </si>
  <si>
    <t>HVLP1/RTF</t>
  </si>
  <si>
    <t>HVLP2</t>
  </si>
  <si>
    <t>1078*2</t>
  </si>
  <si>
    <t>3313*3</t>
  </si>
  <si>
    <t>3313*4</t>
  </si>
  <si>
    <t>2116*6</t>
  </si>
  <si>
    <t>2116*7</t>
  </si>
  <si>
    <t>2116*11</t>
  </si>
  <si>
    <t>收件人：黄前龙 陈经理</t>
  </si>
  <si>
    <t>Sub:价格-NY6300 PP价格</t>
  </si>
  <si>
    <t>NY6300P</t>
  </si>
  <si>
    <t>300</t>
  </si>
  <si>
    <t>200</t>
  </si>
  <si>
    <t>Sub:价格-NY6300S基板价格</t>
  </si>
  <si>
    <t>NY6300S</t>
  </si>
  <si>
    <t>RTF4</t>
  </si>
  <si>
    <t>Sub:价格-NY6300S PP价格</t>
  </si>
  <si>
    <t>卷长（
M）</t>
  </si>
  <si>
    <t>NY6300SP</t>
  </si>
  <si>
    <t>专案</t>
  </si>
  <si>
    <t>Sub:价格-NY6300SN基板价格</t>
  </si>
  <si>
    <t>NY6300SN</t>
  </si>
  <si>
    <t>RTF3</t>
  </si>
  <si>
    <t>Sub:价格-NY6300SN PP价格</t>
  </si>
  <si>
    <t>NY6300SNP</t>
  </si>
  <si>
    <t>Sub:价格-NY-P1基板价格</t>
  </si>
  <si>
    <t>NY-P1</t>
  </si>
  <si>
    <t>HVLP2/RTF</t>
  </si>
  <si>
    <t>Sub:价格-NY-P1 PP价格</t>
  </si>
  <si>
    <t>NY-P1P</t>
  </si>
  <si>
    <t>d</t>
  </si>
  <si>
    <t>Sub:价格-NY-P2基板价格</t>
  </si>
  <si>
    <t>NY-P2</t>
  </si>
  <si>
    <t>Sub:价格-NY-P2 PP价格</t>
  </si>
  <si>
    <t>NY-P2P</t>
  </si>
  <si>
    <t>Sub:价格-NY-P3基板价格</t>
  </si>
  <si>
    <t>NY-P3</t>
  </si>
  <si>
    <t>Sub:价格-NY-P3 PP价格</t>
  </si>
  <si>
    <t>NY-P3P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</si>
</sst>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_ "/>
    <numFmt numFmtId="179" formatCode="0.0000_ "/>
    <numFmt numFmtId="180" formatCode="0_ "/>
    <numFmt numFmtId="181" formatCode="0.00_);[Red]\(0.00\)"/>
    <numFmt numFmtId="182" formatCode="#,##0_ "/>
    <numFmt numFmtId="183" formatCode="#,##0.00_ "/>
    <numFmt numFmtId="184" formatCode="#,##0.0_ "/>
    <numFmt numFmtId="185" formatCode="[$￥-804]#,##0.00"/>
    <numFmt numFmtId="186" formatCode="0_);[Red]\(0\)"/>
    <numFmt numFmtId="187" formatCode="_ * #,##0.000_ ;_ * \-#,##0.000_ ;_ * &quot;-&quot;??.0_ ;_ @_ "/>
  </numFmts>
  <fonts count="40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i/>
      <sz val="16"/>
      <name val="微软雅黑"/>
      <charset val="134"/>
    </font>
    <font>
      <sz val="11"/>
      <name val="微软雅黑"/>
      <charset val="134"/>
    </font>
    <font>
      <b/>
      <u/>
      <sz val="12"/>
      <name val="微软雅黑"/>
      <charset val="134"/>
    </font>
    <font>
      <u/>
      <sz val="10"/>
      <name val="微软雅黑"/>
      <charset val="134"/>
    </font>
    <font>
      <sz val="9"/>
      <name val="微软雅黑"/>
      <charset val="134"/>
    </font>
    <font>
      <sz val="10"/>
      <color indexed="8"/>
      <name val="微软雅黑"/>
      <charset val="134"/>
    </font>
    <font>
      <sz val="9"/>
      <color theme="1"/>
      <name val="微软雅黑"/>
      <charset val="134"/>
    </font>
    <font>
      <sz val="9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name val="微软雅黑"/>
      <charset val="134"/>
    </font>
    <font>
      <sz val="11"/>
      <color rgb="FFFF0000"/>
      <name val="微软雅黑"/>
      <charset val="134"/>
    </font>
    <font>
      <sz val="10"/>
      <color rgb="FFFF0000"/>
      <name val="微软雅黑"/>
      <charset val="134"/>
    </font>
    <font>
      <sz val="11"/>
      <color rgb="FF000000"/>
      <name val="微软雅黑"/>
      <charset val="134"/>
    </font>
    <font>
      <b/>
      <sz val="20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12" applyNumberFormat="0" applyAlignment="0" applyProtection="0">
      <alignment vertical="center"/>
    </xf>
    <xf numFmtId="0" fontId="30" fillId="5" borderId="13" applyNumberFormat="0" applyAlignment="0" applyProtection="0">
      <alignment vertical="center"/>
    </xf>
    <xf numFmtId="0" fontId="31" fillId="5" borderId="12" applyNumberFormat="0" applyAlignment="0" applyProtection="0">
      <alignment vertical="center"/>
    </xf>
    <xf numFmtId="0" fontId="32" fillId="6" borderId="14" applyNumberFormat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0" fillId="2" borderId="0" xfId="0" applyNumberFormat="1" applyFill="1">
      <alignment vertical="center"/>
    </xf>
    <xf numFmtId="178" fontId="1" fillId="2" borderId="0" xfId="0" applyNumberFormat="1" applyFont="1" applyFill="1">
      <alignment vertical="center"/>
    </xf>
    <xf numFmtId="49" fontId="7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9" fontId="9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7" fontId="0" fillId="2" borderId="2" xfId="0" applyNumberFormat="1" applyFill="1" applyBorder="1" applyAlignment="1">
      <alignment horizontal="center" vertical="center"/>
    </xf>
    <xf numFmtId="177" fontId="0" fillId="2" borderId="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7" fontId="0" fillId="2" borderId="0" xfId="0" applyNumberFormat="1" applyFill="1">
      <alignment vertical="center"/>
    </xf>
    <xf numFmtId="0" fontId="5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178" fontId="5" fillId="2" borderId="0" xfId="0" applyNumberFormat="1" applyFont="1" applyFill="1">
      <alignment vertical="center"/>
    </xf>
    <xf numFmtId="176" fontId="1" fillId="2" borderId="0" xfId="0" applyNumberFormat="1" applyFont="1" applyFill="1">
      <alignment vertical="center"/>
    </xf>
    <xf numFmtId="0" fontId="12" fillId="2" borderId="0" xfId="0" applyFont="1" applyFill="1">
      <alignment vertical="center"/>
    </xf>
    <xf numFmtId="179" fontId="0" fillId="2" borderId="1" xfId="0" applyNumberFormat="1" applyFill="1" applyBorder="1" applyAlignment="1">
      <alignment horizontal="center" vertical="center"/>
    </xf>
    <xf numFmtId="178" fontId="5" fillId="2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77" fontId="1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>
      <alignment vertical="center"/>
    </xf>
    <xf numFmtId="0" fontId="10" fillId="2" borderId="1" xfId="0" applyFont="1" applyFill="1" applyBorder="1" applyAlignment="1">
      <alignment horizontal="center" vertical="center"/>
    </xf>
    <xf numFmtId="177" fontId="3" fillId="2" borderId="0" xfId="0" applyNumberFormat="1" applyFont="1" applyFill="1">
      <alignment vertical="center"/>
    </xf>
    <xf numFmtId="0" fontId="9" fillId="2" borderId="1" xfId="0" applyNumberFormat="1" applyFont="1" applyFill="1" applyBorder="1" applyAlignment="1" applyProtection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9" fontId="2" fillId="2" borderId="0" xfId="3" applyFont="1" applyFill="1">
      <alignment vertical="center"/>
    </xf>
    <xf numFmtId="9" fontId="2" fillId="2" borderId="0" xfId="3" applyFont="1" applyFill="1" applyAlignment="1">
      <alignment vertical="center"/>
    </xf>
    <xf numFmtId="9" fontId="14" fillId="2" borderId="0" xfId="3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9" fontId="9" fillId="2" borderId="1" xfId="0" applyNumberFormat="1" applyFont="1" applyFill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>
      <alignment vertical="center"/>
    </xf>
    <xf numFmtId="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177" fontId="3" fillId="0" borderId="0" xfId="0" applyNumberFormat="1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9" fontId="2" fillId="0" borderId="0" xfId="3" applyFont="1" applyFill="1">
      <alignment vertical="center"/>
    </xf>
    <xf numFmtId="0" fontId="5" fillId="0" borderId="0" xfId="0" applyFont="1" applyFill="1" applyAlignment="1">
      <alignment vertical="center"/>
    </xf>
    <xf numFmtId="9" fontId="2" fillId="0" borderId="0" xfId="3" applyFont="1" applyFill="1" applyAlignment="1">
      <alignment vertical="center"/>
    </xf>
    <xf numFmtId="9" fontId="14" fillId="0" borderId="0" xfId="3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9" fontId="9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181" fontId="2" fillId="2" borderId="1" xfId="0" applyNumberFormat="1" applyFont="1" applyFill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8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0" fontId="15" fillId="2" borderId="0" xfId="0" applyFont="1" applyFill="1">
      <alignment vertical="center"/>
    </xf>
    <xf numFmtId="177" fontId="2" fillId="2" borderId="0" xfId="0" applyNumberFormat="1" applyFont="1" applyFill="1" applyAlignment="1">
      <alignment horizontal="center" vertical="center"/>
    </xf>
    <xf numFmtId="177" fontId="13" fillId="2" borderId="0" xfId="0" applyNumberFormat="1" applyFont="1" applyFill="1">
      <alignment vertical="center"/>
    </xf>
    <xf numFmtId="43" fontId="3" fillId="2" borderId="1" xfId="0" applyNumberFormat="1" applyFont="1" applyFill="1" applyBorder="1" applyAlignment="1">
      <alignment vertical="center"/>
    </xf>
    <xf numFmtId="183" fontId="2" fillId="2" borderId="1" xfId="0" applyNumberFormat="1" applyFont="1" applyFill="1" applyBorder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43" fontId="3" fillId="2" borderId="0" xfId="0" applyNumberFormat="1" applyFont="1" applyFill="1" applyAlignment="1">
      <alignment vertical="center"/>
    </xf>
    <xf numFmtId="182" fontId="2" fillId="2" borderId="0" xfId="0" applyNumberFormat="1" applyFont="1" applyFill="1" applyAlignment="1">
      <alignment horizontal="center" vertical="center"/>
    </xf>
    <xf numFmtId="184" fontId="2" fillId="2" borderId="0" xfId="0" applyNumberFormat="1" applyFont="1" applyFill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>
      <alignment vertical="center"/>
    </xf>
    <xf numFmtId="0" fontId="13" fillId="2" borderId="4" xfId="0" applyFont="1" applyFill="1" applyBorder="1" applyAlignment="1">
      <alignment horizontal="center" vertical="center"/>
    </xf>
    <xf numFmtId="49" fontId="13" fillId="2" borderId="4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49" fontId="13" fillId="2" borderId="0" xfId="0" applyNumberFormat="1" applyFont="1" applyFill="1" applyAlignment="1">
      <alignment horizontal="center" vertical="center"/>
    </xf>
    <xf numFmtId="177" fontId="13" fillId="2" borderId="0" xfId="0" applyNumberFormat="1" applyFont="1" applyFill="1" applyAlignment="1">
      <alignment horizontal="center" vertical="center"/>
    </xf>
    <xf numFmtId="176" fontId="13" fillId="2" borderId="0" xfId="0" applyNumberFormat="1" applyFont="1" applyFill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5" fillId="2" borderId="0" xfId="0" applyFont="1" applyFill="1" applyAlignment="1">
      <alignment horizontal="left" vertical="center" wrapText="1"/>
    </xf>
    <xf numFmtId="43" fontId="3" fillId="2" borderId="0" xfId="0" applyNumberFormat="1" applyFont="1" applyFill="1">
      <alignment vertical="center"/>
    </xf>
    <xf numFmtId="0" fontId="16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181" fontId="2" fillId="2" borderId="1" xfId="0" applyNumberFormat="1" applyFont="1" applyFill="1" applyBorder="1" applyAlignment="1">
      <alignment vertical="center"/>
    </xf>
    <xf numFmtId="181" fontId="3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78" fontId="13" fillId="2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43" fontId="17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/>
    <xf numFmtId="185" fontId="19" fillId="2" borderId="0" xfId="0" applyNumberFormat="1" applyFont="1" applyFill="1" applyAlignment="1">
      <alignment horizontal="center" vertical="center"/>
    </xf>
    <xf numFmtId="185" fontId="19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43" fontId="5" fillId="2" borderId="0" xfId="0" applyNumberFormat="1" applyFont="1" applyFill="1" applyAlignment="1">
      <alignment vertical="center"/>
    </xf>
    <xf numFmtId="0" fontId="17" fillId="2" borderId="0" xfId="0" applyFont="1" applyFill="1" applyAlignment="1"/>
    <xf numFmtId="0" fontId="14" fillId="2" borderId="5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center" vertical="center"/>
    </xf>
    <xf numFmtId="9" fontId="20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/>
    </xf>
    <xf numFmtId="186" fontId="20" fillId="2" borderId="1" xfId="0" applyNumberFormat="1" applyFont="1" applyFill="1" applyBorder="1" applyAlignment="1">
      <alignment horizontal="center" vertical="center"/>
    </xf>
    <xf numFmtId="177" fontId="17" fillId="2" borderId="1" xfId="0" applyNumberFormat="1" applyFont="1" applyFill="1" applyBorder="1" applyAlignment="1">
      <alignment horizontal="center" vertical="center"/>
    </xf>
    <xf numFmtId="180" fontId="17" fillId="2" borderId="1" xfId="0" applyNumberFormat="1" applyFont="1" applyFill="1" applyBorder="1" applyAlignment="1">
      <alignment horizontal="center" vertical="center"/>
    </xf>
    <xf numFmtId="10" fontId="20" fillId="2" borderId="1" xfId="0" applyNumberFormat="1" applyFont="1" applyFill="1" applyBorder="1" applyAlignment="1">
      <alignment horizontal="center" vertical="center"/>
    </xf>
    <xf numFmtId="176" fontId="5" fillId="2" borderId="0" xfId="0" applyNumberFormat="1" applyFont="1" applyFill="1" applyAlignment="1">
      <alignment vertical="center"/>
    </xf>
    <xf numFmtId="178" fontId="5" fillId="2" borderId="0" xfId="0" applyNumberFormat="1" applyFont="1" applyFill="1" applyAlignment="1">
      <alignment vertical="center"/>
    </xf>
    <xf numFmtId="178" fontId="1" fillId="2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vertical="center"/>
    </xf>
    <xf numFmtId="43" fontId="1" fillId="2" borderId="0" xfId="0" applyNumberFormat="1" applyFont="1" applyFill="1">
      <alignment vertical="center"/>
    </xf>
    <xf numFmtId="43" fontId="2" fillId="2" borderId="0" xfId="0" applyNumberFormat="1" applyFont="1" applyFill="1">
      <alignment vertical="center"/>
    </xf>
    <xf numFmtId="43" fontId="3" fillId="2" borderId="0" xfId="0" applyNumberFormat="1" applyFont="1" applyFill="1" applyAlignment="1"/>
    <xf numFmtId="0" fontId="5" fillId="2" borderId="0" xfId="0" applyFont="1" applyFill="1" applyAlignment="1"/>
    <xf numFmtId="43" fontId="2" fillId="2" borderId="0" xfId="0" applyNumberFormat="1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vertical="center"/>
    </xf>
    <xf numFmtId="177" fontId="9" fillId="2" borderId="1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176" fontId="13" fillId="2" borderId="2" xfId="0" applyNumberFormat="1" applyFont="1" applyFill="1" applyBorder="1" applyAlignment="1">
      <alignment horizontal="center" vertical="center"/>
    </xf>
    <xf numFmtId="187" fontId="3" fillId="2" borderId="1" xfId="0" applyNumberFormat="1" applyFont="1" applyFill="1" applyBorder="1">
      <alignment vertical="center"/>
    </xf>
    <xf numFmtId="43" fontId="5" fillId="2" borderId="0" xfId="0" applyNumberFormat="1" applyFont="1" applyFill="1">
      <alignment vertical="center"/>
    </xf>
    <xf numFmtId="181" fontId="13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001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001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60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60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60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60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482600</xdr:colOff>
      <xdr:row>0</xdr:row>
      <xdr:rowOff>7620</xdr:rowOff>
    </xdr:from>
    <xdr:to>
      <xdr:col>16</xdr:col>
      <xdr:colOff>106045</xdr:colOff>
      <xdr:row>0</xdr:row>
      <xdr:rowOff>1199515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37280" y="7620"/>
          <a:ext cx="7592695" cy="1191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7620</xdr:rowOff>
    </xdr:from>
    <xdr:to>
      <xdr:col>6</xdr:col>
      <xdr:colOff>556260</xdr:colOff>
      <xdr:row>0</xdr:row>
      <xdr:rowOff>1162685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7620"/>
          <a:ext cx="6224905" cy="1155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3874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3874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48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48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48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48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769620</xdr:colOff>
      <xdr:row>0</xdr:row>
      <xdr:rowOff>27305</xdr:rowOff>
    </xdr:from>
    <xdr:to>
      <xdr:col>15</xdr:col>
      <xdr:colOff>462915</xdr:colOff>
      <xdr:row>0</xdr:row>
      <xdr:rowOff>1139190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24300" y="27305"/>
          <a:ext cx="6878320" cy="11118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3620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3620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22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22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22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22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22860</xdr:colOff>
      <xdr:row>0</xdr:row>
      <xdr:rowOff>60960</xdr:rowOff>
    </xdr:from>
    <xdr:to>
      <xdr:col>6</xdr:col>
      <xdr:colOff>775970</xdr:colOff>
      <xdr:row>0</xdr:row>
      <xdr:rowOff>1153160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860" y="60960"/>
          <a:ext cx="5438775" cy="1092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290830</xdr:colOff>
      <xdr:row>0</xdr:row>
      <xdr:rowOff>635</xdr:rowOff>
    </xdr:from>
    <xdr:to>
      <xdr:col>14</xdr:col>
      <xdr:colOff>427355</xdr:colOff>
      <xdr:row>0</xdr:row>
      <xdr:rowOff>1206500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27350" y="635"/>
          <a:ext cx="6877685" cy="1205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128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128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0</xdr:row>
      <xdr:rowOff>7620</xdr:rowOff>
    </xdr:from>
    <xdr:to>
      <xdr:col>6</xdr:col>
      <xdr:colOff>760730</xdr:colOff>
      <xdr:row>0</xdr:row>
      <xdr:rowOff>1205865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5606415" cy="1198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128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128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0</xdr:row>
      <xdr:rowOff>7620</xdr:rowOff>
    </xdr:from>
    <xdr:to>
      <xdr:col>6</xdr:col>
      <xdr:colOff>760730</xdr:colOff>
      <xdr:row>0</xdr:row>
      <xdr:rowOff>1205865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5606415" cy="1198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30480</xdr:colOff>
      <xdr:row>0</xdr:row>
      <xdr:rowOff>45720</xdr:rowOff>
    </xdr:from>
    <xdr:to>
      <xdr:col>14</xdr:col>
      <xdr:colOff>272415</xdr:colOff>
      <xdr:row>0</xdr:row>
      <xdr:rowOff>1244600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78480" y="45720"/>
          <a:ext cx="6330315" cy="1198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205740</xdr:colOff>
      <xdr:row>0</xdr:row>
      <xdr:rowOff>60960</xdr:rowOff>
    </xdr:from>
    <xdr:to>
      <xdr:col>14</xdr:col>
      <xdr:colOff>622300</xdr:colOff>
      <xdr:row>1</xdr:row>
      <xdr:rowOff>2540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5200" y="60960"/>
          <a:ext cx="6429375" cy="1198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350520</xdr:colOff>
      <xdr:row>0</xdr:row>
      <xdr:rowOff>99695</xdr:rowOff>
    </xdr:from>
    <xdr:to>
      <xdr:col>16</xdr:col>
      <xdr:colOff>404495</xdr:colOff>
      <xdr:row>0</xdr:row>
      <xdr:rowOff>1205230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68240" y="99695"/>
          <a:ext cx="6877685" cy="11055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128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128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0</xdr:row>
      <xdr:rowOff>7620</xdr:rowOff>
    </xdr:from>
    <xdr:to>
      <xdr:col>6</xdr:col>
      <xdr:colOff>760730</xdr:colOff>
      <xdr:row>0</xdr:row>
      <xdr:rowOff>1205865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5606415" cy="1198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9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128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10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128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11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1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1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1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0</xdr:row>
      <xdr:rowOff>7620</xdr:rowOff>
    </xdr:from>
    <xdr:to>
      <xdr:col>6</xdr:col>
      <xdr:colOff>760730</xdr:colOff>
      <xdr:row>0</xdr:row>
      <xdr:rowOff>1205865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5606415" cy="1198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0</xdr:row>
      <xdr:rowOff>635</xdr:rowOff>
    </xdr:from>
    <xdr:to>
      <xdr:col>8</xdr:col>
      <xdr:colOff>683895</xdr:colOff>
      <xdr:row>0</xdr:row>
      <xdr:rowOff>1206500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635"/>
          <a:ext cx="6878320" cy="1205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344170</xdr:colOff>
      <xdr:row>0</xdr:row>
      <xdr:rowOff>54610</xdr:rowOff>
    </xdr:from>
    <xdr:to>
      <xdr:col>13</xdr:col>
      <xdr:colOff>702310</xdr:colOff>
      <xdr:row>1</xdr:row>
      <xdr:rowOff>3175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40710" y="54610"/>
          <a:ext cx="6878320" cy="1205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128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2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12875"/>
          <a:ext cx="6350" cy="14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0</xdr:row>
      <xdr:rowOff>7620</xdr:rowOff>
    </xdr:from>
    <xdr:to>
      <xdr:col>6</xdr:col>
      <xdr:colOff>760730</xdr:colOff>
      <xdr:row>0</xdr:row>
      <xdr:rowOff>1205865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7620"/>
          <a:ext cx="5606415" cy="1198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502920</xdr:colOff>
      <xdr:row>0</xdr:row>
      <xdr:rowOff>54610</xdr:rowOff>
    </xdr:from>
    <xdr:to>
      <xdr:col>16</xdr:col>
      <xdr:colOff>487045</xdr:colOff>
      <xdr:row>1</xdr:row>
      <xdr:rowOff>3175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56735" y="54610"/>
          <a:ext cx="6878320" cy="1205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266700</xdr:colOff>
      <xdr:row>0</xdr:row>
      <xdr:rowOff>38100</xdr:rowOff>
    </xdr:from>
    <xdr:to>
      <xdr:col>14</xdr:col>
      <xdr:colOff>379095</xdr:colOff>
      <xdr:row>0</xdr:row>
      <xdr:rowOff>1236980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27120" y="38100"/>
          <a:ext cx="6330315" cy="1198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551180</xdr:colOff>
      <xdr:row>0</xdr:row>
      <xdr:rowOff>51435</xdr:rowOff>
    </xdr:from>
    <xdr:to>
      <xdr:col>15</xdr:col>
      <xdr:colOff>518795</xdr:colOff>
      <xdr:row>0</xdr:row>
      <xdr:rowOff>1250315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91660" y="51435"/>
          <a:ext cx="6330315" cy="1198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594360</xdr:colOff>
      <xdr:row>0</xdr:row>
      <xdr:rowOff>53340</xdr:rowOff>
    </xdr:from>
    <xdr:to>
      <xdr:col>16</xdr:col>
      <xdr:colOff>112395</xdr:colOff>
      <xdr:row>0</xdr:row>
      <xdr:rowOff>1252220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42360" y="53340"/>
          <a:ext cx="6330315" cy="1198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2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</xdr:row>
      <xdr:rowOff>19050</xdr:rowOff>
    </xdr:from>
    <xdr:to>
      <xdr:col>0</xdr:col>
      <xdr:colOff>6350</xdr:colOff>
      <xdr:row>4</xdr:row>
      <xdr:rowOff>285750</xdr:rowOff>
    </xdr:to>
    <xdr:pic>
      <xdr:nvPicPr>
        <xdr:cNvPr id="3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1438275"/>
          <a:ext cx="635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4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5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6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0</xdr:row>
      <xdr:rowOff>20320</xdr:rowOff>
    </xdr:from>
    <xdr:to>
      <xdr:col>0</xdr:col>
      <xdr:colOff>6350</xdr:colOff>
      <xdr:row>1</xdr:row>
      <xdr:rowOff>266700</xdr:rowOff>
    </xdr:to>
    <xdr:pic>
      <xdr:nvPicPr>
        <xdr:cNvPr id="7" name="Picture 1" descr="NOUYA+logo"/>
        <xdr:cNvPicPr/>
      </xdr:nvPicPr>
      <xdr:blipFill>
        <a:blip r:embed="rId1"/>
        <a:stretch>
          <a:fillRect/>
        </a:stretch>
      </xdr:blipFill>
      <xdr:spPr>
        <a:xfrm>
          <a:off x="0" y="20320"/>
          <a:ext cx="6350" cy="1398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594360</xdr:colOff>
      <xdr:row>0</xdr:row>
      <xdr:rowOff>53340</xdr:rowOff>
    </xdr:from>
    <xdr:to>
      <xdr:col>16</xdr:col>
      <xdr:colOff>203835</xdr:colOff>
      <xdr:row>0</xdr:row>
      <xdr:rowOff>1252220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42360" y="53340"/>
          <a:ext cx="6330315" cy="1198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9"/>
  <sheetViews>
    <sheetView view="pageBreakPreview" zoomScale="85" zoomScaleNormal="85" workbookViewId="0">
      <pane ySplit="11" topLeftCell="A119" activePane="bottomLeft" state="frozen"/>
      <selection/>
      <selection pane="bottomLeft" activeCell="Q73" sqref="Q73"/>
    </sheetView>
  </sheetViews>
  <sheetFormatPr defaultColWidth="9" defaultRowHeight="12.75" customHeight="1"/>
  <cols>
    <col min="1" max="1" width="8.66666666666667" style="6" customWidth="1"/>
    <col min="2" max="2" width="9" style="6" customWidth="1"/>
    <col min="3" max="3" width="9" style="6"/>
    <col min="4" max="5" width="9.66666666666667" style="6" customWidth="1"/>
    <col min="6" max="6" width="16.2037037037037" style="6" customWidth="1"/>
    <col min="7" max="9" width="8.87962962962963" style="6" customWidth="1"/>
    <col min="10" max="10" width="9.93518518518519" style="6" customWidth="1"/>
    <col min="11" max="11" width="10.8518518518519" style="6" customWidth="1"/>
    <col min="12" max="12" width="11.7592592592593" style="6" customWidth="1"/>
    <col min="13" max="13" width="12.4074074074074" style="6" customWidth="1"/>
    <col min="14" max="14" width="8.87962962962963" style="6" customWidth="1"/>
    <col min="15" max="15" width="9.41666666666667" style="6" customWidth="1"/>
    <col min="16" max="16" width="10.1111111111111" style="6" customWidth="1"/>
    <col min="17" max="17" width="11.6296296296296" style="6" customWidth="1"/>
    <col min="18" max="18" width="11.9074074074074" style="28" customWidth="1"/>
    <col min="19" max="19" width="14.3333333333333" style="120"/>
    <col min="20" max="20" width="15.2685185185185" style="38"/>
    <col min="21" max="16384" width="9" style="6"/>
  </cols>
  <sheetData>
    <row r="1" s="1" customFormat="1" ht="96" customHeight="1" spans="1:20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53"/>
    </row>
    <row r="2" s="2" customFormat="1" customHeight="1" spans="1:2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154"/>
    </row>
    <row r="3" s="1" customFormat="1" customHeight="1" spans="1:2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53"/>
    </row>
    <row r="4" s="1" customFormat="1" customHeight="1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153"/>
    </row>
    <row r="5" s="1" customFormat="1" ht="15" customHeight="1" spans="1:20">
      <c r="A5" s="9" t="s">
        <v>2</v>
      </c>
      <c r="B5" s="9"/>
      <c r="C5" s="58"/>
      <c r="D5" s="2"/>
      <c r="J5" s="10"/>
      <c r="K5" s="10"/>
      <c r="L5" s="10"/>
      <c r="M5" s="10"/>
      <c r="N5" s="10"/>
      <c r="O5" s="10" t="s">
        <v>3</v>
      </c>
      <c r="P5" s="10"/>
      <c r="Q5" s="10"/>
      <c r="R5" s="10"/>
      <c r="S5" s="153"/>
    </row>
    <row r="6" s="1" customFormat="1" ht="15" customHeight="1" spans="1:20">
      <c r="A6" s="10" t="s">
        <v>4</v>
      </c>
      <c r="B6" s="10"/>
      <c r="C6" s="59"/>
      <c r="D6" s="2"/>
      <c r="J6" s="10"/>
      <c r="K6" s="10"/>
      <c r="L6" s="10"/>
      <c r="M6" s="10"/>
      <c r="N6" s="10"/>
      <c r="O6" s="10" t="s">
        <v>5</v>
      </c>
      <c r="P6" s="10"/>
      <c r="Q6" s="10"/>
      <c r="R6" s="10"/>
      <c r="S6" s="153"/>
    </row>
    <row r="7" s="1" customFormat="1" ht="15" customHeight="1" spans="1:20">
      <c r="A7" s="9" t="s">
        <v>6</v>
      </c>
      <c r="B7" s="9"/>
      <c r="C7" s="58"/>
      <c r="D7" s="2"/>
      <c r="J7" s="10"/>
      <c r="K7" s="10"/>
      <c r="L7" s="10"/>
      <c r="M7" s="10"/>
      <c r="N7" s="10"/>
      <c r="O7" s="10" t="s">
        <v>7</v>
      </c>
      <c r="P7" s="10"/>
      <c r="Q7" s="10"/>
      <c r="R7" s="10"/>
      <c r="S7" s="153"/>
    </row>
    <row r="8" s="3" customFormat="1" ht="15" customHeight="1" spans="1:20">
      <c r="A8" s="9" t="s">
        <v>8</v>
      </c>
      <c r="B8" s="9"/>
      <c r="C8" s="60"/>
      <c r="D8" s="61"/>
      <c r="J8" s="10"/>
      <c r="K8" s="10"/>
      <c r="L8" s="10"/>
      <c r="M8" s="10"/>
      <c r="N8" s="10"/>
      <c r="O8" s="10" t="s">
        <v>9</v>
      </c>
      <c r="P8" s="10"/>
      <c r="Q8" s="10"/>
      <c r="R8" s="10"/>
      <c r="S8" s="155"/>
      <c r="T8" s="156"/>
    </row>
    <row r="9" s="4" customFormat="1" ht="14.25" customHeight="1" spans="1:20">
      <c r="A9" s="11" t="s">
        <v>10</v>
      </c>
      <c r="B9" s="12"/>
      <c r="C9" s="27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S9" s="157"/>
    </row>
    <row r="11" s="4" customFormat="1" ht="28.5" customHeight="1" spans="1:20">
      <c r="A11" s="158" t="s">
        <v>11</v>
      </c>
      <c r="B11" s="159" t="s">
        <v>12</v>
      </c>
      <c r="C11" s="160" t="s">
        <v>13</v>
      </c>
      <c r="D11" s="161" t="s">
        <v>14</v>
      </c>
      <c r="E11" s="161" t="s">
        <v>15</v>
      </c>
      <c r="F11" s="159" t="s">
        <v>16</v>
      </c>
      <c r="G11" s="14" t="s">
        <v>17</v>
      </c>
      <c r="H11" s="14" t="s">
        <v>18</v>
      </c>
      <c r="I11" s="14" t="s">
        <v>19</v>
      </c>
      <c r="J11" s="14" t="s">
        <v>20</v>
      </c>
      <c r="K11" s="14" t="s">
        <v>21</v>
      </c>
      <c r="L11" s="14" t="s">
        <v>22</v>
      </c>
      <c r="M11" s="14" t="s">
        <v>23</v>
      </c>
      <c r="N11" s="14" t="s">
        <v>24</v>
      </c>
      <c r="O11" s="14" t="s">
        <v>25</v>
      </c>
      <c r="P11" s="14" t="s">
        <v>26</v>
      </c>
      <c r="Q11" s="162" t="s">
        <v>27</v>
      </c>
      <c r="R11" s="109" t="s">
        <v>28</v>
      </c>
    </row>
    <row r="12" s="6" customFormat="1" ht="18" customHeight="1" spans="1:20">
      <c r="A12" s="163" t="s">
        <v>29</v>
      </c>
      <c r="B12" s="47">
        <v>0.05</v>
      </c>
      <c r="C12" s="55" t="s">
        <v>30</v>
      </c>
      <c r="D12" s="55" t="s">
        <v>31</v>
      </c>
      <c r="E12" s="55" t="s">
        <v>32</v>
      </c>
      <c r="F12" s="55" t="s">
        <v>33</v>
      </c>
      <c r="G12" s="47">
        <f t="shared" ref="G12:G26" si="0">Q12*12</f>
        <v>102.336</v>
      </c>
      <c r="H12" s="47">
        <f t="shared" ref="H12:H26" si="1">Q12*13.33</f>
        <v>113.67824</v>
      </c>
      <c r="I12" s="47">
        <f t="shared" ref="I12:I26" si="2">Q12*14</f>
        <v>119.392</v>
      </c>
      <c r="J12" s="47">
        <f t="shared" ref="J12:J26" si="3">21.2*24.2/144*Q12</f>
        <v>30.3833688888889</v>
      </c>
      <c r="K12" s="47">
        <f t="shared" ref="K12:K26" si="4">18.2*24.2/144*Q12</f>
        <v>26.0838355555556</v>
      </c>
      <c r="L12" s="47">
        <f t="shared" ref="L12:L26" si="5">28.25*24.25/144*Q12</f>
        <v>40.5709236111111</v>
      </c>
      <c r="M12" s="47">
        <f t="shared" ref="M12:M26" si="6">27.25*24.25/144*Q12</f>
        <v>39.1347847222222</v>
      </c>
      <c r="N12" s="47">
        <f t="shared" ref="N12:N26" si="7">28.5*49/144*Q12</f>
        <v>82.7038333333333</v>
      </c>
      <c r="O12" s="47">
        <f t="shared" ref="O12:O26" si="8">17*24.5/144*Q12</f>
        <v>24.6660555555556</v>
      </c>
      <c r="P12" s="47">
        <f t="shared" ref="P12:P26" si="9">24.3*16.2/144*Q12</f>
        <v>23.31342</v>
      </c>
      <c r="Q12" s="164">
        <v>8.528</v>
      </c>
      <c r="R12" s="165"/>
      <c r="S12" s="38"/>
    </row>
    <row r="13" s="6" customFormat="1" ht="18" customHeight="1" spans="1:20">
      <c r="A13" s="163" t="s">
        <v>29</v>
      </c>
      <c r="B13" s="47">
        <v>0.05</v>
      </c>
      <c r="C13" s="55" t="s">
        <v>30</v>
      </c>
      <c r="D13" s="55" t="s">
        <v>34</v>
      </c>
      <c r="E13" s="55" t="s">
        <v>32</v>
      </c>
      <c r="F13" s="55" t="s">
        <v>33</v>
      </c>
      <c r="G13" s="47">
        <f t="shared" si="0"/>
        <v>157.224</v>
      </c>
      <c r="H13" s="47">
        <f t="shared" si="1"/>
        <v>174.64966</v>
      </c>
      <c r="I13" s="47">
        <f t="shared" si="2"/>
        <v>183.428</v>
      </c>
      <c r="J13" s="47">
        <f t="shared" si="3"/>
        <v>46.6795144444444</v>
      </c>
      <c r="K13" s="47">
        <f t="shared" si="4"/>
        <v>40.0739227777778</v>
      </c>
      <c r="L13" s="47">
        <f t="shared" si="5"/>
        <v>62.3311727430556</v>
      </c>
      <c r="M13" s="47">
        <f t="shared" si="6"/>
        <v>60.1247595486111</v>
      </c>
      <c r="N13" s="47">
        <f t="shared" si="7"/>
        <v>127.062104166667</v>
      </c>
      <c r="O13" s="47">
        <f t="shared" si="8"/>
        <v>37.8957152777778</v>
      </c>
      <c r="P13" s="47">
        <f t="shared" si="9"/>
        <v>35.8175925</v>
      </c>
      <c r="Q13" s="164">
        <v>13.102</v>
      </c>
      <c r="R13" s="165"/>
      <c r="S13" s="38"/>
    </row>
    <row r="14" s="100" customFormat="1" ht="18" customHeight="1" spans="1:20">
      <c r="A14" s="163" t="s">
        <v>29</v>
      </c>
      <c r="B14" s="56">
        <v>0.076</v>
      </c>
      <c r="C14" s="55" t="s">
        <v>30</v>
      </c>
      <c r="D14" s="55" t="s">
        <v>31</v>
      </c>
      <c r="E14" s="55" t="s">
        <v>32</v>
      </c>
      <c r="F14" s="55" t="s">
        <v>35</v>
      </c>
      <c r="G14" s="47">
        <f t="shared" si="0"/>
        <v>104.244</v>
      </c>
      <c r="H14" s="47">
        <f t="shared" si="1"/>
        <v>115.79771</v>
      </c>
      <c r="I14" s="47">
        <f t="shared" si="2"/>
        <v>121.618</v>
      </c>
      <c r="J14" s="47">
        <f t="shared" si="3"/>
        <v>30.9498505555555</v>
      </c>
      <c r="K14" s="47">
        <f t="shared" si="4"/>
        <v>26.5701547222222</v>
      </c>
      <c r="L14" s="47">
        <f t="shared" si="5"/>
        <v>41.3273467881944</v>
      </c>
      <c r="M14" s="47">
        <f t="shared" si="6"/>
        <v>39.8644318576389</v>
      </c>
      <c r="N14" s="47">
        <f t="shared" si="7"/>
        <v>84.2458020833333</v>
      </c>
      <c r="O14" s="47">
        <f t="shared" si="8"/>
        <v>25.1259409722222</v>
      </c>
      <c r="P14" s="47">
        <f t="shared" si="9"/>
        <v>23.74808625</v>
      </c>
      <c r="Q14" s="164">
        <v>8.687</v>
      </c>
      <c r="R14" s="165"/>
      <c r="S14" s="38"/>
    </row>
    <row r="15" s="6" customFormat="1" ht="18" customHeight="1" spans="1:20">
      <c r="A15" s="163" t="s">
        <v>29</v>
      </c>
      <c r="B15" s="56">
        <v>0.076</v>
      </c>
      <c r="C15" s="55" t="s">
        <v>30</v>
      </c>
      <c r="D15" s="55" t="s">
        <v>34</v>
      </c>
      <c r="E15" s="55" t="s">
        <v>32</v>
      </c>
      <c r="F15" s="55" t="s">
        <v>35</v>
      </c>
      <c r="G15" s="47">
        <f t="shared" si="0"/>
        <v>154.572</v>
      </c>
      <c r="H15" s="47">
        <f t="shared" si="1"/>
        <v>171.70373</v>
      </c>
      <c r="I15" s="47">
        <f t="shared" si="2"/>
        <v>180.334</v>
      </c>
      <c r="J15" s="47">
        <f t="shared" si="3"/>
        <v>45.8921405555555</v>
      </c>
      <c r="K15" s="47">
        <f t="shared" si="4"/>
        <v>39.3979697222222</v>
      </c>
      <c r="L15" s="47">
        <f t="shared" si="5"/>
        <v>61.2797921006944</v>
      </c>
      <c r="M15" s="47">
        <f t="shared" si="6"/>
        <v>59.1105959201389</v>
      </c>
      <c r="N15" s="47">
        <f t="shared" si="7"/>
        <v>124.918864583333</v>
      </c>
      <c r="O15" s="47">
        <f t="shared" si="8"/>
        <v>37.2565034722222</v>
      </c>
      <c r="P15" s="47">
        <f t="shared" si="9"/>
        <v>35.21343375</v>
      </c>
      <c r="Q15" s="164">
        <v>12.881</v>
      </c>
      <c r="R15" s="165"/>
      <c r="S15" s="38"/>
    </row>
    <row r="16" s="100" customFormat="1" ht="18" customHeight="1" spans="1:20">
      <c r="A16" s="163" t="s">
        <v>29</v>
      </c>
      <c r="B16" s="128">
        <v>0.1</v>
      </c>
      <c r="C16" s="55" t="s">
        <v>30</v>
      </c>
      <c r="D16" s="55" t="s">
        <v>31</v>
      </c>
      <c r="E16" s="55" t="s">
        <v>32</v>
      </c>
      <c r="F16" s="55" t="s">
        <v>36</v>
      </c>
      <c r="G16" s="47">
        <f t="shared" si="0"/>
        <v>106.716</v>
      </c>
      <c r="H16" s="47">
        <f t="shared" si="1"/>
        <v>118.54369</v>
      </c>
      <c r="I16" s="47">
        <f t="shared" si="2"/>
        <v>124.502</v>
      </c>
      <c r="J16" s="47">
        <f t="shared" si="3"/>
        <v>31.6837827777778</v>
      </c>
      <c r="K16" s="47">
        <f t="shared" si="4"/>
        <v>27.2002286111111</v>
      </c>
      <c r="L16" s="47">
        <f t="shared" si="5"/>
        <v>42.3073667534722</v>
      </c>
      <c r="M16" s="47">
        <f t="shared" si="6"/>
        <v>40.8097608506945</v>
      </c>
      <c r="N16" s="47">
        <f t="shared" si="7"/>
        <v>86.2435729166667</v>
      </c>
      <c r="O16" s="47">
        <f t="shared" si="8"/>
        <v>25.7217673611111</v>
      </c>
      <c r="P16" s="47">
        <f t="shared" si="9"/>
        <v>24.31123875</v>
      </c>
      <c r="Q16" s="164">
        <v>8.893</v>
      </c>
      <c r="R16" s="165"/>
      <c r="S16" s="38"/>
    </row>
    <row r="17" s="6" customFormat="1" ht="18" customHeight="1" spans="1:19">
      <c r="A17" s="163" t="s">
        <v>29</v>
      </c>
      <c r="B17" s="128">
        <v>0.1</v>
      </c>
      <c r="C17" s="55" t="s">
        <v>30</v>
      </c>
      <c r="D17" s="55" t="s">
        <v>34</v>
      </c>
      <c r="E17" s="55" t="s">
        <v>32</v>
      </c>
      <c r="F17" s="55" t="s">
        <v>36</v>
      </c>
      <c r="G17" s="47">
        <f t="shared" si="0"/>
        <v>154.188</v>
      </c>
      <c r="H17" s="47">
        <f t="shared" si="1"/>
        <v>171.27717</v>
      </c>
      <c r="I17" s="47">
        <f t="shared" si="2"/>
        <v>179.886</v>
      </c>
      <c r="J17" s="47">
        <f t="shared" si="3"/>
        <v>45.7781316666667</v>
      </c>
      <c r="K17" s="47">
        <f t="shared" si="4"/>
        <v>39.3000941666667</v>
      </c>
      <c r="L17" s="47">
        <f t="shared" si="5"/>
        <v>61.1275559895833</v>
      </c>
      <c r="M17" s="47">
        <f t="shared" si="6"/>
        <v>58.9637486979167</v>
      </c>
      <c r="N17" s="47">
        <f t="shared" si="7"/>
        <v>124.60853125</v>
      </c>
      <c r="O17" s="47">
        <f t="shared" si="8"/>
        <v>37.1639479166667</v>
      </c>
      <c r="P17" s="47">
        <f t="shared" si="9"/>
        <v>35.12595375</v>
      </c>
      <c r="Q17" s="164">
        <v>12.849</v>
      </c>
      <c r="R17" s="165"/>
      <c r="S17" s="38"/>
    </row>
    <row r="18" s="100" customFormat="1" ht="18" customHeight="1" spans="1:19">
      <c r="A18" s="163" t="s">
        <v>29</v>
      </c>
      <c r="B18" s="128">
        <v>0.1</v>
      </c>
      <c r="C18" s="55" t="s">
        <v>30</v>
      </c>
      <c r="D18" s="55" t="s">
        <v>31</v>
      </c>
      <c r="E18" s="55" t="s">
        <v>32</v>
      </c>
      <c r="F18" s="55" t="s">
        <v>37</v>
      </c>
      <c r="G18" s="47">
        <f t="shared" si="0"/>
        <v>127.812</v>
      </c>
      <c r="H18" s="47">
        <f t="shared" si="1"/>
        <v>141.97783</v>
      </c>
      <c r="I18" s="47">
        <f t="shared" si="2"/>
        <v>149.114</v>
      </c>
      <c r="J18" s="47">
        <f t="shared" si="3"/>
        <v>37.9471461111111</v>
      </c>
      <c r="K18" s="47">
        <f t="shared" si="4"/>
        <v>32.5772669444444</v>
      </c>
      <c r="L18" s="47">
        <f t="shared" si="5"/>
        <v>50.6708381076389</v>
      </c>
      <c r="M18" s="47">
        <f t="shared" si="6"/>
        <v>48.8771801215278</v>
      </c>
      <c r="N18" s="47">
        <f t="shared" si="7"/>
        <v>103.292510416667</v>
      </c>
      <c r="O18" s="47">
        <f t="shared" si="8"/>
        <v>30.8065381944444</v>
      </c>
      <c r="P18" s="47">
        <f t="shared" si="9"/>
        <v>29.11717125</v>
      </c>
      <c r="Q18" s="164">
        <v>10.651</v>
      </c>
      <c r="R18" s="165"/>
      <c r="S18" s="38"/>
    </row>
    <row r="19" s="6" customFormat="1" ht="18" customHeight="1" spans="1:19">
      <c r="A19" s="163" t="s">
        <v>29</v>
      </c>
      <c r="B19" s="128">
        <v>0.1</v>
      </c>
      <c r="C19" s="55" t="s">
        <v>30</v>
      </c>
      <c r="D19" s="55" t="s">
        <v>34</v>
      </c>
      <c r="E19" s="55" t="s">
        <v>32</v>
      </c>
      <c r="F19" s="55" t="s">
        <v>37</v>
      </c>
      <c r="G19" s="47">
        <f t="shared" si="0"/>
        <v>179.52</v>
      </c>
      <c r="H19" s="47">
        <f t="shared" si="1"/>
        <v>199.4168</v>
      </c>
      <c r="I19" s="47">
        <f t="shared" si="2"/>
        <v>209.44</v>
      </c>
      <c r="J19" s="47">
        <f t="shared" si="3"/>
        <v>53.2991555555556</v>
      </c>
      <c r="K19" s="47">
        <f t="shared" si="4"/>
        <v>45.7568222222222</v>
      </c>
      <c r="L19" s="47">
        <f t="shared" si="5"/>
        <v>71.1703819444444</v>
      </c>
      <c r="M19" s="47">
        <f t="shared" si="6"/>
        <v>68.6510763888889</v>
      </c>
      <c r="N19" s="47">
        <f t="shared" si="7"/>
        <v>145.080833333333</v>
      </c>
      <c r="O19" s="47">
        <f t="shared" si="8"/>
        <v>43.2697222222222</v>
      </c>
      <c r="P19" s="47">
        <f t="shared" si="9"/>
        <v>40.8969</v>
      </c>
      <c r="Q19" s="164">
        <v>14.96</v>
      </c>
      <c r="R19" s="165"/>
      <c r="S19" s="38"/>
    </row>
    <row r="20" s="6" customFormat="1" ht="18" customHeight="1" spans="1:19">
      <c r="A20" s="163" t="s">
        <v>29</v>
      </c>
      <c r="B20" s="128">
        <v>0.1</v>
      </c>
      <c r="C20" s="55" t="s">
        <v>30</v>
      </c>
      <c r="D20" s="55" t="s">
        <v>31</v>
      </c>
      <c r="E20" s="55" t="s">
        <v>32</v>
      </c>
      <c r="F20" s="55" t="s">
        <v>38</v>
      </c>
      <c r="G20" s="47">
        <f t="shared" si="0"/>
        <v>106.716</v>
      </c>
      <c r="H20" s="47">
        <f t="shared" si="1"/>
        <v>118.54369</v>
      </c>
      <c r="I20" s="47">
        <f t="shared" si="2"/>
        <v>124.502</v>
      </c>
      <c r="J20" s="47">
        <f t="shared" si="3"/>
        <v>31.6837827777778</v>
      </c>
      <c r="K20" s="47">
        <f t="shared" si="4"/>
        <v>27.2002286111111</v>
      </c>
      <c r="L20" s="47">
        <f t="shared" si="5"/>
        <v>42.3073667534722</v>
      </c>
      <c r="M20" s="47">
        <f t="shared" si="6"/>
        <v>40.8097608506945</v>
      </c>
      <c r="N20" s="47">
        <f t="shared" si="7"/>
        <v>86.2435729166667</v>
      </c>
      <c r="O20" s="47">
        <f t="shared" si="8"/>
        <v>25.7217673611111</v>
      </c>
      <c r="P20" s="47">
        <f t="shared" si="9"/>
        <v>24.31123875</v>
      </c>
      <c r="Q20" s="164">
        <v>8.893</v>
      </c>
      <c r="R20" s="165"/>
      <c r="S20" s="38"/>
    </row>
    <row r="21" s="100" customFormat="1" ht="18" customHeight="1" spans="1:19">
      <c r="A21" s="163" t="s">
        <v>29</v>
      </c>
      <c r="B21" s="128">
        <v>0.1</v>
      </c>
      <c r="C21" s="55" t="s">
        <v>30</v>
      </c>
      <c r="D21" s="55" t="s">
        <v>31</v>
      </c>
      <c r="E21" s="55" t="s">
        <v>32</v>
      </c>
      <c r="F21" s="55" t="s">
        <v>39</v>
      </c>
      <c r="G21" s="47">
        <f t="shared" si="0"/>
        <v>101.004</v>
      </c>
      <c r="H21" s="47">
        <f t="shared" si="1"/>
        <v>112.19861</v>
      </c>
      <c r="I21" s="47">
        <f t="shared" si="2"/>
        <v>117.838</v>
      </c>
      <c r="J21" s="47">
        <f t="shared" si="3"/>
        <v>29.9879005555556</v>
      </c>
      <c r="K21" s="47">
        <f t="shared" si="4"/>
        <v>25.7443297222222</v>
      </c>
      <c r="L21" s="47">
        <f t="shared" si="5"/>
        <v>40.0428546006944</v>
      </c>
      <c r="M21" s="47">
        <f t="shared" si="6"/>
        <v>38.6254084201389</v>
      </c>
      <c r="N21" s="47">
        <f t="shared" si="7"/>
        <v>81.6273645833333</v>
      </c>
      <c r="O21" s="47">
        <f t="shared" si="8"/>
        <v>24.3450034722222</v>
      </c>
      <c r="P21" s="47">
        <f t="shared" si="9"/>
        <v>23.00997375</v>
      </c>
      <c r="Q21" s="164">
        <v>8.417</v>
      </c>
      <c r="R21" s="165"/>
      <c r="S21" s="38"/>
    </row>
    <row r="22" s="6" customFormat="1" ht="18" customHeight="1" spans="1:19">
      <c r="A22" s="163" t="s">
        <v>29</v>
      </c>
      <c r="B22" s="128">
        <v>0.1</v>
      </c>
      <c r="C22" s="55" t="s">
        <v>30</v>
      </c>
      <c r="D22" s="55" t="s">
        <v>34</v>
      </c>
      <c r="E22" s="55" t="s">
        <v>32</v>
      </c>
      <c r="F22" s="55" t="s">
        <v>39</v>
      </c>
      <c r="G22" s="47">
        <f t="shared" si="0"/>
        <v>152.424</v>
      </c>
      <c r="H22" s="47">
        <f t="shared" si="1"/>
        <v>169.31766</v>
      </c>
      <c r="I22" s="47">
        <f t="shared" si="2"/>
        <v>177.828</v>
      </c>
      <c r="J22" s="47">
        <f t="shared" si="3"/>
        <v>45.2544033333333</v>
      </c>
      <c r="K22" s="47">
        <f t="shared" si="4"/>
        <v>38.8504783333333</v>
      </c>
      <c r="L22" s="47">
        <f t="shared" si="5"/>
        <v>60.4282213541667</v>
      </c>
      <c r="M22" s="47">
        <f t="shared" si="6"/>
        <v>58.2891692708333</v>
      </c>
      <c r="N22" s="47">
        <f t="shared" si="7"/>
        <v>123.1829375</v>
      </c>
      <c r="O22" s="47">
        <f t="shared" si="8"/>
        <v>36.7387708333333</v>
      </c>
      <c r="P22" s="47">
        <f t="shared" si="9"/>
        <v>34.7240925</v>
      </c>
      <c r="Q22" s="164">
        <v>12.702</v>
      </c>
      <c r="R22" s="165"/>
      <c r="S22" s="38"/>
    </row>
    <row r="23" s="100" customFormat="1" ht="18" customHeight="1" spans="1:19">
      <c r="A23" s="163" t="s">
        <v>29</v>
      </c>
      <c r="B23" s="47">
        <v>0.13</v>
      </c>
      <c r="C23" s="55" t="s">
        <v>30</v>
      </c>
      <c r="D23" s="55" t="s">
        <v>31</v>
      </c>
      <c r="E23" s="55" t="s">
        <v>32</v>
      </c>
      <c r="F23" s="55" t="s">
        <v>39</v>
      </c>
      <c r="G23" s="47">
        <f t="shared" si="0"/>
        <v>101.004</v>
      </c>
      <c r="H23" s="47">
        <f t="shared" si="1"/>
        <v>112.19861</v>
      </c>
      <c r="I23" s="47">
        <f t="shared" si="2"/>
        <v>117.838</v>
      </c>
      <c r="J23" s="47">
        <f t="shared" si="3"/>
        <v>29.9879005555556</v>
      </c>
      <c r="K23" s="47">
        <f t="shared" si="4"/>
        <v>25.7443297222222</v>
      </c>
      <c r="L23" s="47">
        <f t="shared" si="5"/>
        <v>40.0428546006944</v>
      </c>
      <c r="M23" s="47">
        <f t="shared" si="6"/>
        <v>38.6254084201389</v>
      </c>
      <c r="N23" s="47">
        <f t="shared" si="7"/>
        <v>81.6273645833333</v>
      </c>
      <c r="O23" s="47">
        <f t="shared" si="8"/>
        <v>24.3450034722222</v>
      </c>
      <c r="P23" s="47">
        <f t="shared" si="9"/>
        <v>23.00997375</v>
      </c>
      <c r="Q23" s="164">
        <v>8.417</v>
      </c>
      <c r="R23" s="165"/>
      <c r="S23" s="38"/>
    </row>
    <row r="24" s="6" customFormat="1" ht="18" customHeight="1" spans="1:19">
      <c r="A24" s="163" t="s">
        <v>29</v>
      </c>
      <c r="B24" s="47">
        <v>0.13</v>
      </c>
      <c r="C24" s="55" t="s">
        <v>30</v>
      </c>
      <c r="D24" s="55" t="s">
        <v>34</v>
      </c>
      <c r="E24" s="55" t="s">
        <v>32</v>
      </c>
      <c r="F24" s="55" t="s">
        <v>39</v>
      </c>
      <c r="G24" s="47">
        <f t="shared" si="0"/>
        <v>152.424</v>
      </c>
      <c r="H24" s="47">
        <f t="shared" si="1"/>
        <v>169.31766</v>
      </c>
      <c r="I24" s="47">
        <f t="shared" si="2"/>
        <v>177.828</v>
      </c>
      <c r="J24" s="47">
        <f t="shared" si="3"/>
        <v>45.2544033333333</v>
      </c>
      <c r="K24" s="47">
        <f t="shared" si="4"/>
        <v>38.8504783333333</v>
      </c>
      <c r="L24" s="47">
        <f t="shared" si="5"/>
        <v>60.4282213541667</v>
      </c>
      <c r="M24" s="47">
        <f t="shared" si="6"/>
        <v>58.2891692708333</v>
      </c>
      <c r="N24" s="47">
        <f t="shared" si="7"/>
        <v>123.1829375</v>
      </c>
      <c r="O24" s="47">
        <f t="shared" si="8"/>
        <v>36.7387708333333</v>
      </c>
      <c r="P24" s="47">
        <f t="shared" si="9"/>
        <v>34.7240925</v>
      </c>
      <c r="Q24" s="164">
        <v>12.702</v>
      </c>
      <c r="R24" s="165"/>
      <c r="S24" s="38"/>
    </row>
    <row r="25" s="100" customFormat="1" ht="18" customHeight="1" spans="1:19">
      <c r="A25" s="163" t="s">
        <v>29</v>
      </c>
      <c r="B25" s="47">
        <v>0.13</v>
      </c>
      <c r="C25" s="55" t="s">
        <v>30</v>
      </c>
      <c r="D25" s="55" t="s">
        <v>31</v>
      </c>
      <c r="E25" s="55" t="s">
        <v>32</v>
      </c>
      <c r="F25" s="55" t="s">
        <v>40</v>
      </c>
      <c r="G25" s="47">
        <f t="shared" si="0"/>
        <v>123.588</v>
      </c>
      <c r="H25" s="47">
        <f t="shared" si="1"/>
        <v>137.28567</v>
      </c>
      <c r="I25" s="47">
        <f t="shared" si="2"/>
        <v>144.186</v>
      </c>
      <c r="J25" s="47">
        <f t="shared" si="3"/>
        <v>36.6930483333333</v>
      </c>
      <c r="K25" s="47">
        <f t="shared" si="4"/>
        <v>31.5006358333333</v>
      </c>
      <c r="L25" s="47">
        <f t="shared" si="5"/>
        <v>48.9962408854167</v>
      </c>
      <c r="M25" s="47">
        <f t="shared" si="6"/>
        <v>47.2618606770833</v>
      </c>
      <c r="N25" s="47">
        <f t="shared" si="7"/>
        <v>99.87884375</v>
      </c>
      <c r="O25" s="47">
        <f t="shared" si="8"/>
        <v>29.7884270833333</v>
      </c>
      <c r="P25" s="47">
        <f t="shared" si="9"/>
        <v>28.15489125</v>
      </c>
      <c r="Q25" s="164">
        <v>10.299</v>
      </c>
      <c r="R25" s="165"/>
      <c r="S25" s="38"/>
    </row>
    <row r="26" s="6" customFormat="1" ht="18" customHeight="1" spans="1:19">
      <c r="A26" s="163" t="s">
        <v>29</v>
      </c>
      <c r="B26" s="47">
        <v>0.13</v>
      </c>
      <c r="C26" s="55" t="s">
        <v>30</v>
      </c>
      <c r="D26" s="55" t="s">
        <v>34</v>
      </c>
      <c r="E26" s="55" t="s">
        <v>32</v>
      </c>
      <c r="F26" s="55" t="s">
        <v>40</v>
      </c>
      <c r="G26" s="47">
        <f t="shared" si="0"/>
        <v>167.364</v>
      </c>
      <c r="H26" s="47">
        <f t="shared" si="1"/>
        <v>185.91351</v>
      </c>
      <c r="I26" s="47">
        <f t="shared" si="2"/>
        <v>195.258</v>
      </c>
      <c r="J26" s="47">
        <f t="shared" si="3"/>
        <v>49.6900616666667</v>
      </c>
      <c r="K26" s="47">
        <f t="shared" si="4"/>
        <v>42.6584491666667</v>
      </c>
      <c r="L26" s="47">
        <f t="shared" si="5"/>
        <v>66.3511575520833</v>
      </c>
      <c r="M26" s="47">
        <f t="shared" si="6"/>
        <v>64.0024440104167</v>
      </c>
      <c r="N26" s="47">
        <f t="shared" si="7"/>
        <v>135.25684375</v>
      </c>
      <c r="O26" s="47">
        <f t="shared" si="8"/>
        <v>40.3397604166667</v>
      </c>
      <c r="P26" s="47">
        <f t="shared" si="9"/>
        <v>38.12761125</v>
      </c>
      <c r="Q26" s="164">
        <v>13.947</v>
      </c>
      <c r="R26" s="165"/>
      <c r="S26" s="38"/>
    </row>
    <row r="27" s="6" customFormat="1" ht="18" customHeight="1" spans="1:19">
      <c r="A27" s="163" t="s">
        <v>29</v>
      </c>
      <c r="B27" s="47">
        <v>0.13</v>
      </c>
      <c r="C27" s="55" t="s">
        <v>30</v>
      </c>
      <c r="D27" s="57" t="s">
        <v>41</v>
      </c>
      <c r="E27" s="55" t="s">
        <v>32</v>
      </c>
      <c r="F27" s="55" t="s">
        <v>40</v>
      </c>
      <c r="G27" s="47">
        <v>275.88</v>
      </c>
      <c r="H27" s="47">
        <v>306.4567</v>
      </c>
      <c r="I27" s="47">
        <v>321.86</v>
      </c>
      <c r="J27" s="47">
        <v>81.9082611111111</v>
      </c>
      <c r="K27" s="47">
        <v>70.3174694444444</v>
      </c>
      <c r="L27" s="47">
        <v>109.372131076389</v>
      </c>
      <c r="M27" s="47">
        <v>105.500551215278</v>
      </c>
      <c r="N27" s="47">
        <v>222.955104166667</v>
      </c>
      <c r="O27" s="47">
        <v>66.4953819444444</v>
      </c>
      <c r="P27" s="47">
        <v>62.8489125</v>
      </c>
      <c r="Q27" s="164">
        <v>26.439</v>
      </c>
      <c r="R27" s="165"/>
      <c r="S27" s="38"/>
    </row>
    <row r="28" s="6" customFormat="1" ht="18" customHeight="1" spans="1:19">
      <c r="A28" s="163" t="s">
        <v>29</v>
      </c>
      <c r="B28" s="47">
        <v>0.15</v>
      </c>
      <c r="C28" s="55" t="s">
        <v>30</v>
      </c>
      <c r="D28" s="55" t="s">
        <v>31</v>
      </c>
      <c r="E28" s="55" t="s">
        <v>32</v>
      </c>
      <c r="F28" s="55" t="s">
        <v>42</v>
      </c>
      <c r="G28" s="47">
        <f t="shared" ref="G28:G45" si="10">Q28*12</f>
        <v>100.464</v>
      </c>
      <c r="H28" s="47">
        <f t="shared" ref="H28:H45" si="11">Q28*13.33</f>
        <v>111.59876</v>
      </c>
      <c r="I28" s="47">
        <f t="shared" ref="I28:I45" si="12">Q28*14</f>
        <v>117.208</v>
      </c>
      <c r="J28" s="47">
        <f t="shared" ref="J28:J45" si="13">21.2*24.2/144*Q28</f>
        <v>29.8275755555556</v>
      </c>
      <c r="K28" s="47">
        <f t="shared" ref="K28:K45" si="14">18.2*24.2/144*Q28</f>
        <v>25.6066922222222</v>
      </c>
      <c r="L28" s="47">
        <f t="shared" ref="L28:L45" si="15">28.25*24.25/144*Q28</f>
        <v>39.8287725694444</v>
      </c>
      <c r="M28" s="47">
        <f t="shared" ref="M28:M45" si="16">27.25*24.25/144*Q28</f>
        <v>38.4189045138889</v>
      </c>
      <c r="N28" s="47">
        <f t="shared" ref="N28:N45" si="17">28.5*49/144*Q28</f>
        <v>81.1909583333333</v>
      </c>
      <c r="O28" s="47">
        <f t="shared" ref="O28:O45" si="18">17*24.5/144*Q28</f>
        <v>24.2148472222222</v>
      </c>
      <c r="P28" s="47">
        <f t="shared" ref="P28:P45" si="19">24.3*16.2/144*Q28</f>
        <v>22.886955</v>
      </c>
      <c r="Q28" s="164">
        <v>8.372</v>
      </c>
      <c r="R28" s="165"/>
      <c r="S28" s="38"/>
    </row>
    <row r="29" s="6" customFormat="1" ht="18" customHeight="1" spans="1:19">
      <c r="A29" s="163" t="s">
        <v>29</v>
      </c>
      <c r="B29" s="47">
        <v>0.15</v>
      </c>
      <c r="C29" s="55" t="s">
        <v>30</v>
      </c>
      <c r="D29" s="55" t="s">
        <v>34</v>
      </c>
      <c r="E29" s="55" t="s">
        <v>32</v>
      </c>
      <c r="F29" s="55" t="s">
        <v>42</v>
      </c>
      <c r="G29" s="47">
        <f t="shared" si="10"/>
        <v>152.796</v>
      </c>
      <c r="H29" s="47">
        <f t="shared" si="11"/>
        <v>169.73089</v>
      </c>
      <c r="I29" s="47">
        <f t="shared" si="12"/>
        <v>178.262</v>
      </c>
      <c r="J29" s="47">
        <f t="shared" si="13"/>
        <v>45.3648494444444</v>
      </c>
      <c r="K29" s="47">
        <f t="shared" si="14"/>
        <v>38.9452952777778</v>
      </c>
      <c r="L29" s="47">
        <f t="shared" si="15"/>
        <v>60.5757000868056</v>
      </c>
      <c r="M29" s="47">
        <f t="shared" si="16"/>
        <v>58.4314275173611</v>
      </c>
      <c r="N29" s="47">
        <f t="shared" si="17"/>
        <v>123.483572916667</v>
      </c>
      <c r="O29" s="47">
        <f t="shared" si="18"/>
        <v>36.8284340277778</v>
      </c>
      <c r="P29" s="47">
        <f t="shared" si="19"/>
        <v>34.80883875</v>
      </c>
      <c r="Q29" s="164">
        <v>12.733</v>
      </c>
      <c r="R29" s="165"/>
      <c r="S29" s="38"/>
    </row>
    <row r="30" s="6" customFormat="1" ht="18" customHeight="1" spans="1:19">
      <c r="A30" s="163" t="s">
        <v>29</v>
      </c>
      <c r="B30" s="47">
        <v>0.15</v>
      </c>
      <c r="C30" s="55" t="s">
        <v>30</v>
      </c>
      <c r="D30" s="55" t="s">
        <v>31</v>
      </c>
      <c r="E30" s="55" t="s">
        <v>32</v>
      </c>
      <c r="F30" s="55" t="s">
        <v>40</v>
      </c>
      <c r="G30" s="47">
        <f t="shared" si="10"/>
        <v>125.244</v>
      </c>
      <c r="H30" s="47">
        <f t="shared" si="11"/>
        <v>139.12521</v>
      </c>
      <c r="I30" s="47">
        <f t="shared" si="12"/>
        <v>146.118</v>
      </c>
      <c r="J30" s="47">
        <f t="shared" si="13"/>
        <v>37.1847116666667</v>
      </c>
      <c r="K30" s="47">
        <f t="shared" si="14"/>
        <v>31.9227241666667</v>
      </c>
      <c r="L30" s="47">
        <f t="shared" si="15"/>
        <v>49.6527591145833</v>
      </c>
      <c r="M30" s="47">
        <f t="shared" si="16"/>
        <v>47.8951393229167</v>
      </c>
      <c r="N30" s="47">
        <f t="shared" si="17"/>
        <v>101.21715625</v>
      </c>
      <c r="O30" s="47">
        <f t="shared" si="18"/>
        <v>30.1875729166667</v>
      </c>
      <c r="P30" s="47">
        <f t="shared" si="19"/>
        <v>28.53214875</v>
      </c>
      <c r="Q30" s="164">
        <v>10.437</v>
      </c>
      <c r="R30" s="165"/>
      <c r="S30" s="38"/>
    </row>
    <row r="31" s="6" customFormat="1" ht="18" customHeight="1" spans="1:19">
      <c r="A31" s="163" t="s">
        <v>29</v>
      </c>
      <c r="B31" s="47">
        <v>0.15</v>
      </c>
      <c r="C31" s="55" t="s">
        <v>30</v>
      </c>
      <c r="D31" s="55" t="s">
        <v>34</v>
      </c>
      <c r="E31" s="55" t="s">
        <v>32</v>
      </c>
      <c r="F31" s="55" t="s">
        <v>40</v>
      </c>
      <c r="G31" s="47">
        <f t="shared" si="10"/>
        <v>178.56</v>
      </c>
      <c r="H31" s="47">
        <f t="shared" si="11"/>
        <v>198.3504</v>
      </c>
      <c r="I31" s="47">
        <f t="shared" si="12"/>
        <v>208.32</v>
      </c>
      <c r="J31" s="47">
        <f t="shared" si="13"/>
        <v>53.0141333333333</v>
      </c>
      <c r="K31" s="47">
        <f t="shared" si="14"/>
        <v>45.5121333333333</v>
      </c>
      <c r="L31" s="47">
        <f t="shared" si="15"/>
        <v>70.7897916666667</v>
      </c>
      <c r="M31" s="47">
        <f t="shared" si="16"/>
        <v>68.2839583333333</v>
      </c>
      <c r="N31" s="47">
        <f t="shared" si="17"/>
        <v>144.305</v>
      </c>
      <c r="O31" s="47">
        <f t="shared" si="18"/>
        <v>43.0383333333333</v>
      </c>
      <c r="P31" s="47">
        <f t="shared" si="19"/>
        <v>40.6782</v>
      </c>
      <c r="Q31" s="164">
        <v>14.88</v>
      </c>
      <c r="R31" s="165"/>
      <c r="S31" s="38"/>
    </row>
    <row r="32" s="6" customFormat="1" ht="18" customHeight="1" spans="1:19">
      <c r="A32" s="163" t="s">
        <v>29</v>
      </c>
      <c r="B32" s="47">
        <v>0.18</v>
      </c>
      <c r="C32" s="55" t="s">
        <v>30</v>
      </c>
      <c r="D32" s="55" t="s">
        <v>31</v>
      </c>
      <c r="E32" s="55" t="s">
        <v>32</v>
      </c>
      <c r="F32" s="55" t="s">
        <v>43</v>
      </c>
      <c r="G32" s="47">
        <f t="shared" si="10"/>
        <v>103.488</v>
      </c>
      <c r="H32" s="47">
        <f t="shared" si="11"/>
        <v>114.95792</v>
      </c>
      <c r="I32" s="47">
        <f t="shared" si="12"/>
        <v>120.736</v>
      </c>
      <c r="J32" s="47">
        <f t="shared" si="13"/>
        <v>30.7253955555556</v>
      </c>
      <c r="K32" s="47">
        <f t="shared" si="14"/>
        <v>26.3774622222222</v>
      </c>
      <c r="L32" s="47">
        <f t="shared" si="15"/>
        <v>41.0276319444445</v>
      </c>
      <c r="M32" s="47">
        <f t="shared" si="16"/>
        <v>39.5753263888889</v>
      </c>
      <c r="N32" s="47">
        <f t="shared" si="17"/>
        <v>83.6348333333333</v>
      </c>
      <c r="O32" s="47">
        <f t="shared" si="18"/>
        <v>24.9437222222222</v>
      </c>
      <c r="P32" s="47">
        <f t="shared" si="19"/>
        <v>23.57586</v>
      </c>
      <c r="Q32" s="164">
        <v>8.624</v>
      </c>
      <c r="R32" s="165"/>
      <c r="S32" s="38"/>
    </row>
    <row r="33" s="100" customFormat="1" ht="18" customHeight="1" spans="1:19">
      <c r="A33" s="163" t="s">
        <v>29</v>
      </c>
      <c r="B33" s="47">
        <v>0.18</v>
      </c>
      <c r="C33" s="55" t="s">
        <v>30</v>
      </c>
      <c r="D33" s="55" t="s">
        <v>34</v>
      </c>
      <c r="E33" s="55" t="s">
        <v>32</v>
      </c>
      <c r="F33" s="55" t="s">
        <v>43</v>
      </c>
      <c r="G33" s="47">
        <f t="shared" si="10"/>
        <v>153.276</v>
      </c>
      <c r="H33" s="47">
        <f t="shared" si="11"/>
        <v>170.26409</v>
      </c>
      <c r="I33" s="47">
        <f t="shared" si="12"/>
        <v>178.822</v>
      </c>
      <c r="J33" s="47">
        <f t="shared" si="13"/>
        <v>45.5073605555556</v>
      </c>
      <c r="K33" s="47">
        <f t="shared" si="14"/>
        <v>39.0676397222222</v>
      </c>
      <c r="L33" s="47">
        <f t="shared" si="15"/>
        <v>60.7659952256944</v>
      </c>
      <c r="M33" s="47">
        <f t="shared" si="16"/>
        <v>58.6149865451389</v>
      </c>
      <c r="N33" s="47">
        <f t="shared" si="17"/>
        <v>123.871489583333</v>
      </c>
      <c r="O33" s="47">
        <f t="shared" si="18"/>
        <v>36.9441284722222</v>
      </c>
      <c r="P33" s="47">
        <f t="shared" si="19"/>
        <v>34.91818875</v>
      </c>
      <c r="Q33" s="164">
        <v>12.773</v>
      </c>
      <c r="R33" s="165"/>
      <c r="S33" s="38"/>
    </row>
    <row r="34" s="100" customFormat="1" ht="18" customHeight="1" spans="1:19">
      <c r="A34" s="163" t="s">
        <v>29</v>
      </c>
      <c r="B34" s="47">
        <v>0.18</v>
      </c>
      <c r="C34" s="55" t="s">
        <v>30</v>
      </c>
      <c r="D34" s="55" t="s">
        <v>31</v>
      </c>
      <c r="E34" s="55" t="s">
        <v>32</v>
      </c>
      <c r="F34" s="55" t="s">
        <v>44</v>
      </c>
      <c r="G34" s="47">
        <f t="shared" si="10"/>
        <v>126.72</v>
      </c>
      <c r="H34" s="47">
        <f t="shared" si="11"/>
        <v>140.7648</v>
      </c>
      <c r="I34" s="47">
        <f t="shared" si="12"/>
        <v>147.84</v>
      </c>
      <c r="J34" s="47">
        <f t="shared" si="13"/>
        <v>37.6229333333333</v>
      </c>
      <c r="K34" s="47">
        <f t="shared" si="14"/>
        <v>32.2989333333333</v>
      </c>
      <c r="L34" s="47">
        <f t="shared" si="15"/>
        <v>50.2379166666667</v>
      </c>
      <c r="M34" s="47">
        <f t="shared" si="16"/>
        <v>48.4595833333333</v>
      </c>
      <c r="N34" s="47">
        <f t="shared" si="17"/>
        <v>102.41</v>
      </c>
      <c r="O34" s="47">
        <f t="shared" si="18"/>
        <v>30.5433333333333</v>
      </c>
      <c r="P34" s="47">
        <f t="shared" si="19"/>
        <v>28.8684</v>
      </c>
      <c r="Q34" s="164">
        <v>10.56</v>
      </c>
      <c r="R34" s="165"/>
      <c r="S34" s="38"/>
    </row>
    <row r="35" s="6" customFormat="1" ht="18" customHeight="1" spans="1:19">
      <c r="A35" s="163" t="s">
        <v>29</v>
      </c>
      <c r="B35" s="47">
        <v>0.18</v>
      </c>
      <c r="C35" s="55" t="s">
        <v>30</v>
      </c>
      <c r="D35" s="55" t="s">
        <v>34</v>
      </c>
      <c r="E35" s="55" t="s">
        <v>32</v>
      </c>
      <c r="F35" s="55" t="s">
        <v>44</v>
      </c>
      <c r="G35" s="47">
        <f t="shared" si="10"/>
        <v>174.156</v>
      </c>
      <c r="H35" s="47">
        <f t="shared" si="11"/>
        <v>193.45829</v>
      </c>
      <c r="I35" s="47">
        <f t="shared" si="12"/>
        <v>203.182</v>
      </c>
      <c r="J35" s="47">
        <f t="shared" si="13"/>
        <v>51.7065938888889</v>
      </c>
      <c r="K35" s="47">
        <f t="shared" si="14"/>
        <v>44.3896230555556</v>
      </c>
      <c r="L35" s="47">
        <f t="shared" si="15"/>
        <v>69.0438337673611</v>
      </c>
      <c r="M35" s="47">
        <f t="shared" si="16"/>
        <v>66.5998042534722</v>
      </c>
      <c r="N35" s="47">
        <f t="shared" si="17"/>
        <v>140.745864583333</v>
      </c>
      <c r="O35" s="47">
        <f t="shared" si="18"/>
        <v>41.9768368055556</v>
      </c>
      <c r="P35" s="47">
        <f t="shared" si="19"/>
        <v>39.67491375</v>
      </c>
      <c r="Q35" s="164">
        <v>14.513</v>
      </c>
      <c r="R35" s="165"/>
      <c r="S35" s="38"/>
    </row>
    <row r="36" s="6" customFormat="1" ht="18" customHeight="1" spans="1:19">
      <c r="A36" s="163" t="s">
        <v>29</v>
      </c>
      <c r="B36" s="47">
        <v>0.18</v>
      </c>
      <c r="C36" s="55" t="s">
        <v>30</v>
      </c>
      <c r="D36" s="55" t="s">
        <v>31</v>
      </c>
      <c r="E36" s="55" t="s">
        <v>32</v>
      </c>
      <c r="F36" s="55" t="s">
        <v>45</v>
      </c>
      <c r="G36" s="47">
        <f t="shared" si="10"/>
        <v>161.4</v>
      </c>
      <c r="H36" s="47">
        <f t="shared" si="11"/>
        <v>179.2885</v>
      </c>
      <c r="I36" s="47">
        <f t="shared" si="12"/>
        <v>188.3</v>
      </c>
      <c r="J36" s="47">
        <f t="shared" si="13"/>
        <v>47.9193611111111</v>
      </c>
      <c r="K36" s="47">
        <f t="shared" si="14"/>
        <v>41.1383194444444</v>
      </c>
      <c r="L36" s="47">
        <f t="shared" si="15"/>
        <v>63.9867404513889</v>
      </c>
      <c r="M36" s="47">
        <f t="shared" si="16"/>
        <v>61.7217230902778</v>
      </c>
      <c r="N36" s="47">
        <f t="shared" si="17"/>
        <v>130.436979166667</v>
      </c>
      <c r="O36" s="47">
        <f t="shared" si="18"/>
        <v>38.9022569444444</v>
      </c>
      <c r="P36" s="47">
        <f t="shared" si="19"/>
        <v>36.7689375</v>
      </c>
      <c r="Q36" s="164">
        <v>13.45</v>
      </c>
      <c r="R36" s="165"/>
      <c r="S36" s="38"/>
    </row>
    <row r="37" s="100" customFormat="1" ht="18" customHeight="1" spans="1:19">
      <c r="A37" s="163" t="s">
        <v>29</v>
      </c>
      <c r="B37" s="47">
        <v>0.18</v>
      </c>
      <c r="C37" s="55" t="s">
        <v>30</v>
      </c>
      <c r="D37" s="55" t="s">
        <v>34</v>
      </c>
      <c r="E37" s="55" t="s">
        <v>32</v>
      </c>
      <c r="F37" s="55" t="s">
        <v>45</v>
      </c>
      <c r="G37" s="47">
        <f t="shared" si="10"/>
        <v>203.496</v>
      </c>
      <c r="H37" s="47">
        <f t="shared" si="11"/>
        <v>226.05014</v>
      </c>
      <c r="I37" s="47">
        <f t="shared" si="12"/>
        <v>237.412</v>
      </c>
      <c r="J37" s="47">
        <f t="shared" si="13"/>
        <v>60.4175855555555</v>
      </c>
      <c r="K37" s="47">
        <f t="shared" si="14"/>
        <v>51.8679272222222</v>
      </c>
      <c r="L37" s="47">
        <f t="shared" si="15"/>
        <v>80.6756241319444</v>
      </c>
      <c r="M37" s="47">
        <f t="shared" si="16"/>
        <v>77.8198498263889</v>
      </c>
      <c r="N37" s="47">
        <f t="shared" si="17"/>
        <v>164.457270833333</v>
      </c>
      <c r="O37" s="47">
        <f t="shared" si="18"/>
        <v>49.0486597222222</v>
      </c>
      <c r="P37" s="47">
        <f t="shared" si="19"/>
        <v>46.3589325</v>
      </c>
      <c r="Q37" s="164">
        <v>16.958</v>
      </c>
      <c r="R37" s="165"/>
      <c r="S37" s="38"/>
    </row>
    <row r="38" s="6" customFormat="1" ht="18" customHeight="1" spans="1:19">
      <c r="A38" s="163" t="s">
        <v>29</v>
      </c>
      <c r="B38" s="47">
        <v>0.21</v>
      </c>
      <c r="C38" s="55" t="s">
        <v>30</v>
      </c>
      <c r="D38" s="55" t="s">
        <v>31</v>
      </c>
      <c r="E38" s="55" t="s">
        <v>32</v>
      </c>
      <c r="F38" s="55" t="s">
        <v>43</v>
      </c>
      <c r="G38" s="47">
        <f t="shared" si="10"/>
        <v>101.64</v>
      </c>
      <c r="H38" s="47">
        <f t="shared" si="11"/>
        <v>112.9051</v>
      </c>
      <c r="I38" s="47">
        <f t="shared" si="12"/>
        <v>118.58</v>
      </c>
      <c r="J38" s="47">
        <f t="shared" si="13"/>
        <v>30.1767277777778</v>
      </c>
      <c r="K38" s="47">
        <f t="shared" si="14"/>
        <v>25.9064361111111</v>
      </c>
      <c r="L38" s="47">
        <f t="shared" si="15"/>
        <v>40.2949956597222</v>
      </c>
      <c r="M38" s="47">
        <f t="shared" si="16"/>
        <v>38.8686241319445</v>
      </c>
      <c r="N38" s="47">
        <f t="shared" si="17"/>
        <v>82.1413541666667</v>
      </c>
      <c r="O38" s="47">
        <f t="shared" si="18"/>
        <v>24.4982986111111</v>
      </c>
      <c r="P38" s="47">
        <f t="shared" si="19"/>
        <v>23.1548625</v>
      </c>
      <c r="Q38" s="164">
        <v>8.47</v>
      </c>
      <c r="R38" s="165"/>
      <c r="S38" s="38"/>
    </row>
    <row r="39" s="100" customFormat="1" ht="18" customHeight="1" spans="1:19">
      <c r="A39" s="163" t="s">
        <v>29</v>
      </c>
      <c r="B39" s="47">
        <v>0.21</v>
      </c>
      <c r="C39" s="55" t="s">
        <v>30</v>
      </c>
      <c r="D39" s="55" t="s">
        <v>34</v>
      </c>
      <c r="E39" s="55" t="s">
        <v>32</v>
      </c>
      <c r="F39" s="55" t="s">
        <v>43</v>
      </c>
      <c r="G39" s="47">
        <f t="shared" si="10"/>
        <v>153.276</v>
      </c>
      <c r="H39" s="47">
        <f t="shared" si="11"/>
        <v>170.26409</v>
      </c>
      <c r="I39" s="47">
        <f t="shared" si="12"/>
        <v>178.822</v>
      </c>
      <c r="J39" s="47">
        <f t="shared" si="13"/>
        <v>45.5073605555556</v>
      </c>
      <c r="K39" s="47">
        <f t="shared" si="14"/>
        <v>39.0676397222222</v>
      </c>
      <c r="L39" s="47">
        <f t="shared" si="15"/>
        <v>60.7659952256944</v>
      </c>
      <c r="M39" s="47">
        <f t="shared" si="16"/>
        <v>58.6149865451389</v>
      </c>
      <c r="N39" s="47">
        <f t="shared" si="17"/>
        <v>123.871489583333</v>
      </c>
      <c r="O39" s="47">
        <f t="shared" si="18"/>
        <v>36.9441284722222</v>
      </c>
      <c r="P39" s="47">
        <f t="shared" si="19"/>
        <v>34.91818875</v>
      </c>
      <c r="Q39" s="164">
        <v>12.773</v>
      </c>
      <c r="R39" s="165"/>
      <c r="S39" s="38"/>
    </row>
    <row r="40" s="6" customFormat="1" ht="18" customHeight="1" spans="1:19">
      <c r="A40" s="163" t="s">
        <v>29</v>
      </c>
      <c r="B40" s="47">
        <v>0.21</v>
      </c>
      <c r="C40" s="55" t="s">
        <v>30</v>
      </c>
      <c r="D40" s="55" t="s">
        <v>31</v>
      </c>
      <c r="E40" s="55" t="s">
        <v>32</v>
      </c>
      <c r="F40" s="55" t="s">
        <v>46</v>
      </c>
      <c r="G40" s="47">
        <f t="shared" si="10"/>
        <v>129.06</v>
      </c>
      <c r="H40" s="47">
        <f t="shared" si="11"/>
        <v>143.36415</v>
      </c>
      <c r="I40" s="47">
        <f t="shared" si="12"/>
        <v>150.57</v>
      </c>
      <c r="J40" s="47">
        <f t="shared" si="13"/>
        <v>38.317675</v>
      </c>
      <c r="K40" s="47">
        <f t="shared" si="14"/>
        <v>32.8953625</v>
      </c>
      <c r="L40" s="47">
        <f t="shared" si="15"/>
        <v>51.16560546875</v>
      </c>
      <c r="M40" s="47">
        <f t="shared" si="16"/>
        <v>49.35443359375</v>
      </c>
      <c r="N40" s="47">
        <f t="shared" si="17"/>
        <v>104.30109375</v>
      </c>
      <c r="O40" s="47">
        <f t="shared" si="18"/>
        <v>31.10734375</v>
      </c>
      <c r="P40" s="47">
        <f t="shared" si="19"/>
        <v>29.40148125</v>
      </c>
      <c r="Q40" s="164">
        <v>10.755</v>
      </c>
      <c r="R40" s="165"/>
      <c r="S40" s="38"/>
    </row>
    <row r="41" s="100" customFormat="1" ht="18" customHeight="1" spans="1:19">
      <c r="A41" s="163" t="s">
        <v>29</v>
      </c>
      <c r="B41" s="47">
        <v>0.21</v>
      </c>
      <c r="C41" s="55" t="s">
        <v>30</v>
      </c>
      <c r="D41" s="55" t="s">
        <v>34</v>
      </c>
      <c r="E41" s="55" t="s">
        <v>32</v>
      </c>
      <c r="F41" s="55" t="s">
        <v>46</v>
      </c>
      <c r="G41" s="47">
        <f t="shared" si="10"/>
        <v>171.06</v>
      </c>
      <c r="H41" s="47">
        <f t="shared" si="11"/>
        <v>190.01915</v>
      </c>
      <c r="I41" s="47">
        <f t="shared" si="12"/>
        <v>199.57</v>
      </c>
      <c r="J41" s="47">
        <f t="shared" si="13"/>
        <v>50.7873972222222</v>
      </c>
      <c r="K41" s="47">
        <f t="shared" si="14"/>
        <v>43.6005013888889</v>
      </c>
      <c r="L41" s="47">
        <f t="shared" si="15"/>
        <v>67.8164301215278</v>
      </c>
      <c r="M41" s="47">
        <f t="shared" si="16"/>
        <v>65.4158485243056</v>
      </c>
      <c r="N41" s="47">
        <f t="shared" si="17"/>
        <v>138.243802083333</v>
      </c>
      <c r="O41" s="47">
        <f t="shared" si="18"/>
        <v>41.2306076388889</v>
      </c>
      <c r="P41" s="47">
        <f t="shared" si="19"/>
        <v>38.96960625</v>
      </c>
      <c r="Q41" s="164">
        <v>14.255</v>
      </c>
      <c r="R41" s="165"/>
      <c r="S41" s="38"/>
    </row>
    <row r="42" s="6" customFormat="1" ht="18" customHeight="1" spans="1:19">
      <c r="A42" s="163" t="s">
        <v>29</v>
      </c>
      <c r="B42" s="47">
        <v>0.21</v>
      </c>
      <c r="C42" s="55" t="s">
        <v>30</v>
      </c>
      <c r="D42" s="55" t="s">
        <v>31</v>
      </c>
      <c r="E42" s="55" t="s">
        <v>32</v>
      </c>
      <c r="F42" s="55" t="s">
        <v>47</v>
      </c>
      <c r="G42" s="47">
        <f t="shared" si="10"/>
        <v>157.596</v>
      </c>
      <c r="H42" s="47">
        <f t="shared" si="11"/>
        <v>175.06289</v>
      </c>
      <c r="I42" s="47">
        <f t="shared" si="12"/>
        <v>183.862</v>
      </c>
      <c r="J42" s="47">
        <f t="shared" si="13"/>
        <v>46.7899605555555</v>
      </c>
      <c r="K42" s="47">
        <f t="shared" si="14"/>
        <v>40.1687397222222</v>
      </c>
      <c r="L42" s="47">
        <f t="shared" si="15"/>
        <v>62.4786514756944</v>
      </c>
      <c r="M42" s="47">
        <f t="shared" si="16"/>
        <v>60.2670177951389</v>
      </c>
      <c r="N42" s="47">
        <f t="shared" si="17"/>
        <v>127.362739583333</v>
      </c>
      <c r="O42" s="47">
        <f t="shared" si="18"/>
        <v>37.9853784722222</v>
      </c>
      <c r="P42" s="47">
        <f t="shared" si="19"/>
        <v>35.90233875</v>
      </c>
      <c r="Q42" s="164">
        <v>13.133</v>
      </c>
      <c r="R42" s="165"/>
      <c r="S42" s="38"/>
    </row>
    <row r="43" s="100" customFormat="1" ht="18" customHeight="1" spans="1:19">
      <c r="A43" s="163" t="s">
        <v>29</v>
      </c>
      <c r="B43" s="47">
        <v>0.21</v>
      </c>
      <c r="C43" s="55" t="s">
        <v>30</v>
      </c>
      <c r="D43" s="55" t="s">
        <v>34</v>
      </c>
      <c r="E43" s="55" t="s">
        <v>32</v>
      </c>
      <c r="F43" s="55" t="s">
        <v>47</v>
      </c>
      <c r="G43" s="47">
        <f t="shared" si="10"/>
        <v>201.864</v>
      </c>
      <c r="H43" s="47">
        <f t="shared" si="11"/>
        <v>224.23726</v>
      </c>
      <c r="I43" s="47">
        <f t="shared" si="12"/>
        <v>235.508</v>
      </c>
      <c r="J43" s="47">
        <f t="shared" si="13"/>
        <v>59.9330477777778</v>
      </c>
      <c r="K43" s="47">
        <f t="shared" si="14"/>
        <v>51.4519561111111</v>
      </c>
      <c r="L43" s="47">
        <f t="shared" si="15"/>
        <v>80.0286206597222</v>
      </c>
      <c r="M43" s="47">
        <f t="shared" si="16"/>
        <v>77.1957491319444</v>
      </c>
      <c r="N43" s="47">
        <f t="shared" si="17"/>
        <v>163.138354166667</v>
      </c>
      <c r="O43" s="47">
        <f t="shared" si="18"/>
        <v>48.6552986111111</v>
      </c>
      <c r="P43" s="47">
        <f t="shared" si="19"/>
        <v>45.9871425</v>
      </c>
      <c r="Q43" s="164">
        <v>16.822</v>
      </c>
      <c r="R43" s="165"/>
      <c r="S43" s="38"/>
    </row>
    <row r="44" s="100" customFormat="1" ht="18" customHeight="1" spans="1:19">
      <c r="A44" s="163" t="s">
        <v>29</v>
      </c>
      <c r="B44" s="47">
        <v>0.25</v>
      </c>
      <c r="C44" s="55" t="s">
        <v>30</v>
      </c>
      <c r="D44" s="55" t="s">
        <v>31</v>
      </c>
      <c r="E44" s="55" t="s">
        <v>32</v>
      </c>
      <c r="F44" s="55" t="s">
        <v>48</v>
      </c>
      <c r="G44" s="47">
        <f t="shared" si="10"/>
        <v>120.708</v>
      </c>
      <c r="H44" s="47">
        <f t="shared" si="11"/>
        <v>134.08647</v>
      </c>
      <c r="I44" s="47">
        <f t="shared" si="12"/>
        <v>140.826</v>
      </c>
      <c r="J44" s="47">
        <f t="shared" si="13"/>
        <v>35.8379816666667</v>
      </c>
      <c r="K44" s="47">
        <f t="shared" si="14"/>
        <v>30.7665691666667</v>
      </c>
      <c r="L44" s="47">
        <f t="shared" si="15"/>
        <v>47.8544700520833</v>
      </c>
      <c r="M44" s="47">
        <f t="shared" si="16"/>
        <v>46.1605065104167</v>
      </c>
      <c r="N44" s="47">
        <f t="shared" si="17"/>
        <v>97.55134375</v>
      </c>
      <c r="O44" s="47">
        <f t="shared" si="18"/>
        <v>29.0942604166667</v>
      </c>
      <c r="P44" s="47">
        <f t="shared" si="19"/>
        <v>27.49879125</v>
      </c>
      <c r="Q44" s="164">
        <v>10.059</v>
      </c>
      <c r="R44" s="165"/>
      <c r="S44" s="38"/>
    </row>
    <row r="45" s="6" customFormat="1" ht="18" customHeight="1" spans="1:19">
      <c r="A45" s="163" t="s">
        <v>29</v>
      </c>
      <c r="B45" s="47">
        <v>0.25</v>
      </c>
      <c r="C45" s="55" t="s">
        <v>30</v>
      </c>
      <c r="D45" s="55" t="s">
        <v>34</v>
      </c>
      <c r="E45" s="55" t="s">
        <v>32</v>
      </c>
      <c r="F45" s="55" t="s">
        <v>48</v>
      </c>
      <c r="G45" s="47">
        <f t="shared" si="10"/>
        <v>170.4</v>
      </c>
      <c r="H45" s="47">
        <f t="shared" si="11"/>
        <v>189.286</v>
      </c>
      <c r="I45" s="47">
        <f t="shared" si="12"/>
        <v>198.8</v>
      </c>
      <c r="J45" s="47">
        <f t="shared" si="13"/>
        <v>50.5914444444444</v>
      </c>
      <c r="K45" s="47">
        <f t="shared" si="14"/>
        <v>43.4322777777778</v>
      </c>
      <c r="L45" s="47">
        <f t="shared" si="15"/>
        <v>67.5547743055556</v>
      </c>
      <c r="M45" s="47">
        <f t="shared" si="16"/>
        <v>65.1634548611111</v>
      </c>
      <c r="N45" s="47">
        <f t="shared" si="17"/>
        <v>137.710416666667</v>
      </c>
      <c r="O45" s="47">
        <f t="shared" si="18"/>
        <v>41.0715277777778</v>
      </c>
      <c r="P45" s="47">
        <f t="shared" si="19"/>
        <v>38.81925</v>
      </c>
      <c r="Q45" s="164">
        <v>14.2</v>
      </c>
      <c r="R45" s="165"/>
      <c r="S45" s="38"/>
    </row>
    <row r="46" s="6" customFormat="1" ht="18" customHeight="1" spans="1:19">
      <c r="A46" s="163" t="s">
        <v>29</v>
      </c>
      <c r="B46" s="47">
        <v>0.25</v>
      </c>
      <c r="C46" s="55" t="s">
        <v>30</v>
      </c>
      <c r="D46" s="55" t="s">
        <v>31</v>
      </c>
      <c r="E46" s="55" t="s">
        <v>32</v>
      </c>
      <c r="F46" s="55" t="s">
        <v>47</v>
      </c>
      <c r="G46" s="47">
        <f t="shared" ref="G46:G77" si="20">Q46*12</f>
        <v>157.596</v>
      </c>
      <c r="H46" s="47">
        <f t="shared" ref="H46:H77" si="21">Q46*13.33</f>
        <v>175.06289</v>
      </c>
      <c r="I46" s="47">
        <f t="shared" ref="I46:I77" si="22">Q46*14</f>
        <v>183.862</v>
      </c>
      <c r="J46" s="47">
        <f t="shared" ref="J46:J77" si="23">21.2*24.2/144*Q46</f>
        <v>46.7899605555555</v>
      </c>
      <c r="K46" s="47">
        <f t="shared" ref="K46:K77" si="24">18.2*24.2/144*Q46</f>
        <v>40.1687397222222</v>
      </c>
      <c r="L46" s="47">
        <f t="shared" ref="L46:L77" si="25">28.25*24.25/144*Q46</f>
        <v>62.4786514756944</v>
      </c>
      <c r="M46" s="47">
        <f t="shared" ref="M46:M77" si="26">27.25*24.25/144*Q46</f>
        <v>60.2670177951389</v>
      </c>
      <c r="N46" s="47">
        <f t="shared" ref="N46:N77" si="27">28.5*49/144*Q46</f>
        <v>127.362739583333</v>
      </c>
      <c r="O46" s="47">
        <f t="shared" ref="O46:O77" si="28">17*24.5/144*Q46</f>
        <v>37.9853784722222</v>
      </c>
      <c r="P46" s="47">
        <f t="shared" ref="P46:P77" si="29">24.3*16.2/144*Q46</f>
        <v>35.90233875</v>
      </c>
      <c r="Q46" s="164">
        <v>13.133</v>
      </c>
      <c r="R46" s="165"/>
      <c r="S46" s="38"/>
    </row>
    <row r="47" s="6" customFormat="1" ht="18" customHeight="1" spans="1:19">
      <c r="A47" s="163" t="s">
        <v>29</v>
      </c>
      <c r="B47" s="47">
        <v>0.25</v>
      </c>
      <c r="C47" s="55" t="s">
        <v>30</v>
      </c>
      <c r="D47" s="55" t="s">
        <v>34</v>
      </c>
      <c r="E47" s="55" t="s">
        <v>32</v>
      </c>
      <c r="F47" s="55" t="s">
        <v>47</v>
      </c>
      <c r="G47" s="47">
        <f t="shared" si="20"/>
        <v>201.864</v>
      </c>
      <c r="H47" s="47">
        <f t="shared" si="21"/>
        <v>224.23726</v>
      </c>
      <c r="I47" s="47">
        <f t="shared" si="22"/>
        <v>235.508</v>
      </c>
      <c r="J47" s="47">
        <f t="shared" si="23"/>
        <v>59.9330477777778</v>
      </c>
      <c r="K47" s="47">
        <f t="shared" si="24"/>
        <v>51.4519561111111</v>
      </c>
      <c r="L47" s="47">
        <f t="shared" si="25"/>
        <v>80.0286206597222</v>
      </c>
      <c r="M47" s="47">
        <f t="shared" si="26"/>
        <v>77.1957491319444</v>
      </c>
      <c r="N47" s="47">
        <f t="shared" si="27"/>
        <v>163.138354166667</v>
      </c>
      <c r="O47" s="47">
        <f t="shared" si="28"/>
        <v>48.6552986111111</v>
      </c>
      <c r="P47" s="47">
        <f t="shared" si="29"/>
        <v>45.9871425</v>
      </c>
      <c r="Q47" s="164">
        <v>16.822</v>
      </c>
      <c r="R47" s="165"/>
      <c r="S47" s="38"/>
    </row>
    <row r="48" s="100" customFormat="1" ht="18" customHeight="1" spans="1:19">
      <c r="A48" s="163" t="s">
        <v>29</v>
      </c>
      <c r="B48" s="128">
        <v>0.3</v>
      </c>
      <c r="C48" s="55" t="s">
        <v>30</v>
      </c>
      <c r="D48" s="55" t="s">
        <v>31</v>
      </c>
      <c r="E48" s="55" t="s">
        <v>32</v>
      </c>
      <c r="F48" s="55" t="s">
        <v>49</v>
      </c>
      <c r="G48" s="47">
        <f t="shared" si="20"/>
        <v>124.188</v>
      </c>
      <c r="H48" s="47">
        <f t="shared" si="21"/>
        <v>137.95217</v>
      </c>
      <c r="I48" s="47">
        <f t="shared" si="22"/>
        <v>144.886</v>
      </c>
      <c r="J48" s="47">
        <f t="shared" si="23"/>
        <v>36.8711872222222</v>
      </c>
      <c r="K48" s="47">
        <f t="shared" si="24"/>
        <v>31.6535663888889</v>
      </c>
      <c r="L48" s="47">
        <f t="shared" si="25"/>
        <v>49.2341098090278</v>
      </c>
      <c r="M48" s="47">
        <f t="shared" si="26"/>
        <v>47.4913094618056</v>
      </c>
      <c r="N48" s="47">
        <f t="shared" si="27"/>
        <v>100.363739583333</v>
      </c>
      <c r="O48" s="47">
        <f t="shared" si="28"/>
        <v>29.9330451388889</v>
      </c>
      <c r="P48" s="47">
        <f t="shared" si="29"/>
        <v>28.29157875</v>
      </c>
      <c r="Q48" s="164">
        <v>10.349</v>
      </c>
      <c r="R48" s="165"/>
      <c r="S48" s="38"/>
    </row>
    <row r="49" s="100" customFormat="1" ht="18" customHeight="1" spans="1:19">
      <c r="A49" s="163" t="s">
        <v>29</v>
      </c>
      <c r="B49" s="128">
        <v>0.3</v>
      </c>
      <c r="C49" s="55" t="s">
        <v>30</v>
      </c>
      <c r="D49" s="55" t="s">
        <v>34</v>
      </c>
      <c r="E49" s="55" t="s">
        <v>32</v>
      </c>
      <c r="F49" s="55" t="s">
        <v>49</v>
      </c>
      <c r="G49" s="47">
        <f t="shared" si="20"/>
        <v>179.148</v>
      </c>
      <c r="H49" s="47">
        <f t="shared" si="21"/>
        <v>199.00357</v>
      </c>
      <c r="I49" s="47">
        <f t="shared" si="22"/>
        <v>209.006</v>
      </c>
      <c r="J49" s="47">
        <f t="shared" si="23"/>
        <v>53.1887094444444</v>
      </c>
      <c r="K49" s="47">
        <f t="shared" si="24"/>
        <v>45.6620052777778</v>
      </c>
      <c r="L49" s="47">
        <f t="shared" si="25"/>
        <v>71.0229032118056</v>
      </c>
      <c r="M49" s="47">
        <f t="shared" si="26"/>
        <v>68.5088181423611</v>
      </c>
      <c r="N49" s="47">
        <f t="shared" si="27"/>
        <v>144.780197916667</v>
      </c>
      <c r="O49" s="47">
        <f t="shared" si="28"/>
        <v>43.1800590277778</v>
      </c>
      <c r="P49" s="47">
        <f t="shared" si="29"/>
        <v>40.81215375</v>
      </c>
      <c r="Q49" s="164">
        <v>14.929</v>
      </c>
      <c r="R49" s="165"/>
      <c r="S49" s="38"/>
    </row>
    <row r="50" s="6" customFormat="1" ht="18" customHeight="1" spans="1:19">
      <c r="A50" s="163" t="s">
        <v>29</v>
      </c>
      <c r="B50" s="47">
        <v>0.36</v>
      </c>
      <c r="C50" s="55" t="s">
        <v>30</v>
      </c>
      <c r="D50" s="55" t="s">
        <v>31</v>
      </c>
      <c r="E50" s="55" t="s">
        <v>32</v>
      </c>
      <c r="F50" s="55" t="s">
        <v>50</v>
      </c>
      <c r="G50" s="47">
        <f t="shared" si="20"/>
        <v>123.648</v>
      </c>
      <c r="H50" s="47">
        <f t="shared" si="21"/>
        <v>137.35232</v>
      </c>
      <c r="I50" s="47">
        <f t="shared" si="22"/>
        <v>144.256</v>
      </c>
      <c r="J50" s="47">
        <f t="shared" si="23"/>
        <v>36.7108622222222</v>
      </c>
      <c r="K50" s="47">
        <f t="shared" si="24"/>
        <v>31.5159288888889</v>
      </c>
      <c r="L50" s="47">
        <f t="shared" si="25"/>
        <v>49.0200277777778</v>
      </c>
      <c r="M50" s="47">
        <f t="shared" si="26"/>
        <v>47.2848055555556</v>
      </c>
      <c r="N50" s="47">
        <f t="shared" si="27"/>
        <v>99.9273333333333</v>
      </c>
      <c r="O50" s="47">
        <f t="shared" si="28"/>
        <v>29.8028888888889</v>
      </c>
      <c r="P50" s="47">
        <f t="shared" si="29"/>
        <v>28.16856</v>
      </c>
      <c r="Q50" s="164">
        <v>10.304</v>
      </c>
      <c r="R50" s="165"/>
      <c r="S50" s="38"/>
    </row>
    <row r="51" s="100" customFormat="1" ht="18" customHeight="1" spans="1:19">
      <c r="A51" s="163" t="s">
        <v>29</v>
      </c>
      <c r="B51" s="47">
        <v>0.36</v>
      </c>
      <c r="C51" s="55" t="s">
        <v>30</v>
      </c>
      <c r="D51" s="55" t="s">
        <v>34</v>
      </c>
      <c r="E51" s="55" t="s">
        <v>32</v>
      </c>
      <c r="F51" s="55" t="s">
        <v>50</v>
      </c>
      <c r="G51" s="47">
        <f t="shared" si="20"/>
        <v>172.14</v>
      </c>
      <c r="H51" s="47">
        <f t="shared" si="21"/>
        <v>191.21885</v>
      </c>
      <c r="I51" s="47">
        <f t="shared" si="22"/>
        <v>200.83</v>
      </c>
      <c r="J51" s="47">
        <f t="shared" si="23"/>
        <v>51.1080472222222</v>
      </c>
      <c r="K51" s="47">
        <f t="shared" si="24"/>
        <v>43.8757763888889</v>
      </c>
      <c r="L51" s="47">
        <f t="shared" si="25"/>
        <v>68.2445941840278</v>
      </c>
      <c r="M51" s="47">
        <f t="shared" si="26"/>
        <v>65.8288563368056</v>
      </c>
      <c r="N51" s="47">
        <f t="shared" si="27"/>
        <v>139.116614583333</v>
      </c>
      <c r="O51" s="47">
        <f t="shared" si="28"/>
        <v>41.4909201388889</v>
      </c>
      <c r="P51" s="47">
        <f t="shared" si="29"/>
        <v>39.21564375</v>
      </c>
      <c r="Q51" s="164">
        <v>14.345</v>
      </c>
      <c r="R51" s="165"/>
      <c r="S51" s="38"/>
    </row>
    <row r="52" s="6" customFormat="1" ht="18" customHeight="1" spans="1:19">
      <c r="A52" s="163" t="s">
        <v>29</v>
      </c>
      <c r="B52" s="47">
        <v>0.36</v>
      </c>
      <c r="C52" s="55" t="s">
        <v>30</v>
      </c>
      <c r="D52" s="55" t="s">
        <v>31</v>
      </c>
      <c r="E52" s="55" t="s">
        <v>32</v>
      </c>
      <c r="F52" s="55" t="s">
        <v>51</v>
      </c>
      <c r="G52" s="47">
        <f t="shared" si="20"/>
        <v>196.548</v>
      </c>
      <c r="H52" s="47">
        <f t="shared" si="21"/>
        <v>218.33207</v>
      </c>
      <c r="I52" s="47">
        <f t="shared" si="22"/>
        <v>229.306</v>
      </c>
      <c r="J52" s="47">
        <f t="shared" si="23"/>
        <v>58.3547372222222</v>
      </c>
      <c r="K52" s="47">
        <f t="shared" si="24"/>
        <v>50.0969913888889</v>
      </c>
      <c r="L52" s="47">
        <f t="shared" si="25"/>
        <v>77.9211019965278</v>
      </c>
      <c r="M52" s="47">
        <f t="shared" si="26"/>
        <v>75.1628328993056</v>
      </c>
      <c r="N52" s="47">
        <f t="shared" si="27"/>
        <v>158.842177083333</v>
      </c>
      <c r="O52" s="47">
        <f t="shared" si="28"/>
        <v>47.3739826388889</v>
      </c>
      <c r="P52" s="47">
        <f t="shared" si="29"/>
        <v>44.77609125</v>
      </c>
      <c r="Q52" s="164">
        <v>16.379</v>
      </c>
      <c r="R52" s="165"/>
      <c r="S52" s="38"/>
    </row>
    <row r="53" s="100" customFormat="1" ht="18" customHeight="1" spans="1:19">
      <c r="A53" s="163" t="s">
        <v>29</v>
      </c>
      <c r="B53" s="47">
        <v>0.36</v>
      </c>
      <c r="C53" s="55" t="s">
        <v>30</v>
      </c>
      <c r="D53" s="55" t="s">
        <v>34</v>
      </c>
      <c r="E53" s="55" t="s">
        <v>32</v>
      </c>
      <c r="F53" s="55" t="s">
        <v>51</v>
      </c>
      <c r="G53" s="47">
        <f t="shared" si="20"/>
        <v>240.816</v>
      </c>
      <c r="H53" s="47">
        <f t="shared" si="21"/>
        <v>267.50644</v>
      </c>
      <c r="I53" s="47">
        <f t="shared" si="22"/>
        <v>280.952</v>
      </c>
      <c r="J53" s="47">
        <f t="shared" si="23"/>
        <v>71.4978244444444</v>
      </c>
      <c r="K53" s="47">
        <f t="shared" si="24"/>
        <v>61.3802077777778</v>
      </c>
      <c r="L53" s="47">
        <f t="shared" si="25"/>
        <v>95.4710711805556</v>
      </c>
      <c r="M53" s="47">
        <f t="shared" si="26"/>
        <v>92.0915642361111</v>
      </c>
      <c r="N53" s="47">
        <f t="shared" si="27"/>
        <v>194.617791666667</v>
      </c>
      <c r="O53" s="47">
        <f t="shared" si="28"/>
        <v>58.0439027777778</v>
      </c>
      <c r="P53" s="47">
        <f t="shared" si="29"/>
        <v>54.860895</v>
      </c>
      <c r="Q53" s="164">
        <v>20.068</v>
      </c>
      <c r="R53" s="165"/>
      <c r="S53" s="38"/>
    </row>
    <row r="54" s="6" customFormat="1" ht="18" customHeight="1" spans="1:19">
      <c r="A54" s="163" t="s">
        <v>29</v>
      </c>
      <c r="B54" s="47">
        <v>0.38</v>
      </c>
      <c r="C54" s="55" t="s">
        <v>30</v>
      </c>
      <c r="D54" s="55" t="s">
        <v>31</v>
      </c>
      <c r="E54" s="55" t="s">
        <v>32</v>
      </c>
      <c r="F54" s="55" t="s">
        <v>50</v>
      </c>
      <c r="G54" s="47">
        <f t="shared" si="20"/>
        <v>125.34</v>
      </c>
      <c r="H54" s="47">
        <f t="shared" si="21"/>
        <v>139.23185</v>
      </c>
      <c r="I54" s="47">
        <f t="shared" si="22"/>
        <v>146.23</v>
      </c>
      <c r="J54" s="47">
        <f t="shared" si="23"/>
        <v>37.2132138888889</v>
      </c>
      <c r="K54" s="47">
        <f t="shared" si="24"/>
        <v>31.9471930555556</v>
      </c>
      <c r="L54" s="47">
        <f t="shared" si="25"/>
        <v>49.6908181423611</v>
      </c>
      <c r="M54" s="47">
        <f t="shared" si="26"/>
        <v>47.9318511284722</v>
      </c>
      <c r="N54" s="47">
        <f t="shared" si="27"/>
        <v>101.294739583333</v>
      </c>
      <c r="O54" s="47">
        <f t="shared" si="28"/>
        <v>30.2107118055556</v>
      </c>
      <c r="P54" s="47">
        <f t="shared" si="29"/>
        <v>28.55401875</v>
      </c>
      <c r="Q54" s="164">
        <v>10.445</v>
      </c>
      <c r="R54" s="165"/>
      <c r="S54" s="38"/>
    </row>
    <row r="55" s="6" customFormat="1" ht="18" customHeight="1" spans="1:19">
      <c r="A55" s="163" t="s">
        <v>29</v>
      </c>
      <c r="B55" s="47">
        <v>0.38</v>
      </c>
      <c r="C55" s="55" t="s">
        <v>30</v>
      </c>
      <c r="D55" s="55" t="s">
        <v>34</v>
      </c>
      <c r="E55" s="55" t="s">
        <v>32</v>
      </c>
      <c r="F55" s="55" t="s">
        <v>50</v>
      </c>
      <c r="G55" s="47">
        <f t="shared" si="20"/>
        <v>165.996</v>
      </c>
      <c r="H55" s="47">
        <f t="shared" si="21"/>
        <v>184.39389</v>
      </c>
      <c r="I55" s="47">
        <f t="shared" si="22"/>
        <v>193.662</v>
      </c>
      <c r="J55" s="47">
        <f t="shared" si="23"/>
        <v>49.283905</v>
      </c>
      <c r="K55" s="47">
        <f t="shared" si="24"/>
        <v>42.3097675</v>
      </c>
      <c r="L55" s="47">
        <f t="shared" si="25"/>
        <v>65.80881640625</v>
      </c>
      <c r="M55" s="47">
        <f t="shared" si="26"/>
        <v>63.47930078125</v>
      </c>
      <c r="N55" s="47">
        <f t="shared" si="27"/>
        <v>134.15128125</v>
      </c>
      <c r="O55" s="47">
        <f t="shared" si="28"/>
        <v>40.01003125</v>
      </c>
      <c r="P55" s="47">
        <f t="shared" si="29"/>
        <v>37.81596375</v>
      </c>
      <c r="Q55" s="164">
        <v>13.833</v>
      </c>
      <c r="R55" s="165"/>
      <c r="S55" s="38"/>
    </row>
    <row r="56" s="6" customFormat="1" ht="18" customHeight="1" spans="1:19">
      <c r="A56" s="163" t="s">
        <v>29</v>
      </c>
      <c r="B56" s="47">
        <v>0.41</v>
      </c>
      <c r="C56" s="55" t="s">
        <v>30</v>
      </c>
      <c r="D56" s="55" t="s">
        <v>31</v>
      </c>
      <c r="E56" s="55" t="s">
        <v>32</v>
      </c>
      <c r="F56" s="55" t="s">
        <v>50</v>
      </c>
      <c r="G56" s="47">
        <f t="shared" si="20"/>
        <v>126.996</v>
      </c>
      <c r="H56" s="47">
        <f t="shared" si="21"/>
        <v>141.07139</v>
      </c>
      <c r="I56" s="47">
        <f t="shared" si="22"/>
        <v>148.162</v>
      </c>
      <c r="J56" s="47">
        <f t="shared" si="23"/>
        <v>37.7048772222222</v>
      </c>
      <c r="K56" s="47">
        <f t="shared" si="24"/>
        <v>32.3692813888889</v>
      </c>
      <c r="L56" s="47">
        <f t="shared" si="25"/>
        <v>50.3473363715278</v>
      </c>
      <c r="M56" s="47">
        <f t="shared" si="26"/>
        <v>48.5651297743056</v>
      </c>
      <c r="N56" s="47">
        <f t="shared" si="27"/>
        <v>102.633052083333</v>
      </c>
      <c r="O56" s="47">
        <f t="shared" si="28"/>
        <v>30.6098576388889</v>
      </c>
      <c r="P56" s="47">
        <f t="shared" si="29"/>
        <v>28.93127625</v>
      </c>
      <c r="Q56" s="164">
        <v>10.583</v>
      </c>
      <c r="R56" s="165"/>
      <c r="S56" s="38"/>
    </row>
    <row r="57" s="6" customFormat="1" ht="18" customHeight="1" spans="1:19">
      <c r="A57" s="163" t="s">
        <v>29</v>
      </c>
      <c r="B57" s="47">
        <v>0.41</v>
      </c>
      <c r="C57" s="55" t="s">
        <v>30</v>
      </c>
      <c r="D57" s="55" t="s">
        <v>34</v>
      </c>
      <c r="E57" s="55" t="s">
        <v>32</v>
      </c>
      <c r="F57" s="55" t="s">
        <v>50</v>
      </c>
      <c r="G57" s="47">
        <f t="shared" si="20"/>
        <v>173.916</v>
      </c>
      <c r="H57" s="47">
        <f t="shared" si="21"/>
        <v>193.19169</v>
      </c>
      <c r="I57" s="47">
        <f t="shared" si="22"/>
        <v>202.902</v>
      </c>
      <c r="J57" s="47">
        <f t="shared" si="23"/>
        <v>51.6353383333333</v>
      </c>
      <c r="K57" s="47">
        <f t="shared" si="24"/>
        <v>44.3284508333333</v>
      </c>
      <c r="L57" s="47">
        <f t="shared" si="25"/>
        <v>68.9486861979167</v>
      </c>
      <c r="M57" s="47">
        <f t="shared" si="26"/>
        <v>66.5080247395833</v>
      </c>
      <c r="N57" s="47">
        <f t="shared" si="27"/>
        <v>140.55190625</v>
      </c>
      <c r="O57" s="47">
        <f t="shared" si="28"/>
        <v>41.9189895833333</v>
      </c>
      <c r="P57" s="47">
        <f t="shared" si="29"/>
        <v>39.62023875</v>
      </c>
      <c r="Q57" s="164">
        <v>14.493</v>
      </c>
      <c r="R57" s="165"/>
      <c r="S57" s="38"/>
    </row>
    <row r="58" s="6" customFormat="1" ht="18" customHeight="1" spans="1:19">
      <c r="A58" s="163" t="s">
        <v>29</v>
      </c>
      <c r="B58" s="47">
        <v>0.46</v>
      </c>
      <c r="C58" s="55" t="s">
        <v>30</v>
      </c>
      <c r="D58" s="55" t="s">
        <v>31</v>
      </c>
      <c r="E58" s="55" t="s">
        <v>32</v>
      </c>
      <c r="F58" s="55" t="s">
        <v>52</v>
      </c>
      <c r="G58" s="47">
        <f t="shared" si="20"/>
        <v>147.228</v>
      </c>
      <c r="H58" s="47">
        <f t="shared" si="21"/>
        <v>163.54577</v>
      </c>
      <c r="I58" s="47">
        <f t="shared" si="22"/>
        <v>171.766</v>
      </c>
      <c r="J58" s="47">
        <f t="shared" si="23"/>
        <v>43.7117205555556</v>
      </c>
      <c r="K58" s="47">
        <f t="shared" si="24"/>
        <v>37.5260997222222</v>
      </c>
      <c r="L58" s="47">
        <f t="shared" si="25"/>
        <v>58.3682764756944</v>
      </c>
      <c r="M58" s="47">
        <f t="shared" si="26"/>
        <v>56.3021427951389</v>
      </c>
      <c r="N58" s="47">
        <f t="shared" si="27"/>
        <v>118.983739583333</v>
      </c>
      <c r="O58" s="47">
        <f t="shared" si="28"/>
        <v>35.4863784722222</v>
      </c>
      <c r="P58" s="47">
        <f t="shared" si="29"/>
        <v>33.54037875</v>
      </c>
      <c r="Q58" s="164">
        <v>12.269</v>
      </c>
      <c r="R58" s="165"/>
      <c r="S58" s="38"/>
    </row>
    <row r="59" s="6" customFormat="1" ht="18" customHeight="1" spans="1:19">
      <c r="A59" s="163" t="s">
        <v>29</v>
      </c>
      <c r="B59" s="47">
        <v>0.46</v>
      </c>
      <c r="C59" s="55" t="s">
        <v>30</v>
      </c>
      <c r="D59" s="55" t="s">
        <v>34</v>
      </c>
      <c r="E59" s="55" t="s">
        <v>32</v>
      </c>
      <c r="F59" s="55" t="s">
        <v>52</v>
      </c>
      <c r="G59" s="47">
        <f t="shared" si="20"/>
        <v>193.128</v>
      </c>
      <c r="H59" s="47">
        <f t="shared" si="21"/>
        <v>214.53302</v>
      </c>
      <c r="I59" s="47">
        <f t="shared" si="22"/>
        <v>225.316</v>
      </c>
      <c r="J59" s="47">
        <f t="shared" si="23"/>
        <v>57.3393455555556</v>
      </c>
      <c r="K59" s="47">
        <f t="shared" si="24"/>
        <v>49.2252872222222</v>
      </c>
      <c r="L59" s="47">
        <f t="shared" si="25"/>
        <v>76.5652491319445</v>
      </c>
      <c r="M59" s="47">
        <f t="shared" si="26"/>
        <v>73.8549748263889</v>
      </c>
      <c r="N59" s="47">
        <f t="shared" si="27"/>
        <v>156.078270833333</v>
      </c>
      <c r="O59" s="47">
        <f t="shared" si="28"/>
        <v>46.5496597222222</v>
      </c>
      <c r="P59" s="47">
        <f t="shared" si="29"/>
        <v>43.9969725</v>
      </c>
      <c r="Q59" s="164">
        <v>16.094</v>
      </c>
      <c r="R59" s="165"/>
      <c r="S59" s="38"/>
    </row>
    <row r="60" s="6" customFormat="1" ht="18" customHeight="1" spans="1:19">
      <c r="A60" s="163" t="s">
        <v>29</v>
      </c>
      <c r="B60" s="47">
        <v>0.51</v>
      </c>
      <c r="C60" s="55" t="s">
        <v>30</v>
      </c>
      <c r="D60" s="55" t="s">
        <v>31</v>
      </c>
      <c r="E60" s="55" t="s">
        <v>32</v>
      </c>
      <c r="F60" s="55" t="s">
        <v>53</v>
      </c>
      <c r="G60" s="47">
        <f t="shared" si="20"/>
        <v>144.936</v>
      </c>
      <c r="H60" s="47">
        <f t="shared" si="21"/>
        <v>160.99974</v>
      </c>
      <c r="I60" s="47">
        <f t="shared" si="22"/>
        <v>169.092</v>
      </c>
      <c r="J60" s="47">
        <f t="shared" si="23"/>
        <v>43.03123</v>
      </c>
      <c r="K60" s="47">
        <f t="shared" si="24"/>
        <v>36.941905</v>
      </c>
      <c r="L60" s="47">
        <f t="shared" si="25"/>
        <v>57.4596171875</v>
      </c>
      <c r="M60" s="47">
        <f t="shared" si="26"/>
        <v>55.4256484375</v>
      </c>
      <c r="N60" s="47">
        <f t="shared" si="27"/>
        <v>117.1314375</v>
      </c>
      <c r="O60" s="47">
        <f t="shared" si="28"/>
        <v>34.9339375</v>
      </c>
      <c r="P60" s="47">
        <f t="shared" si="29"/>
        <v>33.0182325</v>
      </c>
      <c r="Q60" s="164">
        <v>12.078</v>
      </c>
      <c r="R60" s="165"/>
      <c r="S60" s="38"/>
    </row>
    <row r="61" s="100" customFormat="1" ht="18" customHeight="1" spans="1:19">
      <c r="A61" s="163" t="s">
        <v>29</v>
      </c>
      <c r="B61" s="47">
        <v>0.51</v>
      </c>
      <c r="C61" s="55" t="s">
        <v>30</v>
      </c>
      <c r="D61" s="55" t="s">
        <v>34</v>
      </c>
      <c r="E61" s="55" t="s">
        <v>32</v>
      </c>
      <c r="F61" s="55" t="s">
        <v>53</v>
      </c>
      <c r="G61" s="47">
        <f t="shared" si="20"/>
        <v>169.164</v>
      </c>
      <c r="H61" s="47">
        <f t="shared" si="21"/>
        <v>187.91301</v>
      </c>
      <c r="I61" s="47">
        <f t="shared" si="22"/>
        <v>197.358</v>
      </c>
      <c r="J61" s="47">
        <f t="shared" si="23"/>
        <v>50.2244783333333</v>
      </c>
      <c r="K61" s="47">
        <f t="shared" si="24"/>
        <v>43.1172408333333</v>
      </c>
      <c r="L61" s="47">
        <f t="shared" si="25"/>
        <v>67.0647643229167</v>
      </c>
      <c r="M61" s="47">
        <f t="shared" si="26"/>
        <v>64.6907903645833</v>
      </c>
      <c r="N61" s="47">
        <f t="shared" si="27"/>
        <v>136.71153125</v>
      </c>
      <c r="O61" s="47">
        <f t="shared" si="28"/>
        <v>40.7736145833333</v>
      </c>
      <c r="P61" s="47">
        <f t="shared" si="29"/>
        <v>38.53767375</v>
      </c>
      <c r="Q61" s="164">
        <v>14.097</v>
      </c>
      <c r="R61" s="165"/>
      <c r="S61" s="38"/>
    </row>
    <row r="62" s="100" customFormat="1" ht="18" customHeight="1" spans="1:19">
      <c r="A62" s="163" t="s">
        <v>29</v>
      </c>
      <c r="B62" s="47">
        <v>0.51</v>
      </c>
      <c r="C62" s="55" t="s">
        <v>30</v>
      </c>
      <c r="D62" s="55" t="s">
        <v>31</v>
      </c>
      <c r="E62" s="55" t="s">
        <v>32</v>
      </c>
      <c r="F62" s="55" t="s">
        <v>54</v>
      </c>
      <c r="G62" s="47">
        <f t="shared" si="20"/>
        <v>240.816</v>
      </c>
      <c r="H62" s="47">
        <f t="shared" si="21"/>
        <v>267.50644</v>
      </c>
      <c r="I62" s="47">
        <f t="shared" si="22"/>
        <v>280.952</v>
      </c>
      <c r="J62" s="47">
        <f t="shared" si="23"/>
        <v>71.4978244444444</v>
      </c>
      <c r="K62" s="47">
        <f t="shared" si="24"/>
        <v>61.3802077777778</v>
      </c>
      <c r="L62" s="47">
        <f t="shared" si="25"/>
        <v>95.4710711805556</v>
      </c>
      <c r="M62" s="47">
        <f t="shared" si="26"/>
        <v>92.0915642361111</v>
      </c>
      <c r="N62" s="47">
        <f t="shared" si="27"/>
        <v>194.617791666667</v>
      </c>
      <c r="O62" s="47">
        <f t="shared" si="28"/>
        <v>58.0439027777778</v>
      </c>
      <c r="P62" s="47">
        <f t="shared" si="29"/>
        <v>54.860895</v>
      </c>
      <c r="Q62" s="164">
        <v>20.068</v>
      </c>
      <c r="R62" s="165"/>
      <c r="S62" s="38"/>
    </row>
    <row r="63" s="100" customFormat="1" ht="18" customHeight="1" spans="1:19">
      <c r="A63" s="163" t="s">
        <v>29</v>
      </c>
      <c r="B63" s="47">
        <v>0.51</v>
      </c>
      <c r="C63" s="55" t="s">
        <v>30</v>
      </c>
      <c r="D63" s="55" t="s">
        <v>34</v>
      </c>
      <c r="E63" s="55" t="s">
        <v>32</v>
      </c>
      <c r="F63" s="55" t="s">
        <v>54</v>
      </c>
      <c r="G63" s="47">
        <f t="shared" si="20"/>
        <v>285.096</v>
      </c>
      <c r="H63" s="47">
        <f t="shared" si="21"/>
        <v>316.69414</v>
      </c>
      <c r="I63" s="47">
        <f t="shared" si="22"/>
        <v>332.612</v>
      </c>
      <c r="J63" s="47">
        <f t="shared" si="23"/>
        <v>84.6444744444444</v>
      </c>
      <c r="K63" s="47">
        <f t="shared" si="24"/>
        <v>72.6664827777778</v>
      </c>
      <c r="L63" s="47">
        <f t="shared" si="25"/>
        <v>113.025797743056</v>
      </c>
      <c r="M63" s="47">
        <f t="shared" si="26"/>
        <v>109.024884548611</v>
      </c>
      <c r="N63" s="47">
        <f t="shared" si="27"/>
        <v>230.403104166667</v>
      </c>
      <c r="O63" s="47">
        <f t="shared" si="28"/>
        <v>68.7167152777778</v>
      </c>
      <c r="P63" s="47">
        <f t="shared" si="29"/>
        <v>64.9484325</v>
      </c>
      <c r="Q63" s="164">
        <v>23.758</v>
      </c>
      <c r="R63" s="165"/>
      <c r="S63" s="38"/>
    </row>
    <row r="64" s="6" customFormat="1" ht="18" customHeight="1" spans="1:19">
      <c r="A64" s="163" t="s">
        <v>29</v>
      </c>
      <c r="B64" s="47">
        <v>0.53</v>
      </c>
      <c r="C64" s="55" t="s">
        <v>30</v>
      </c>
      <c r="D64" s="55" t="s">
        <v>31</v>
      </c>
      <c r="E64" s="55" t="s">
        <v>32</v>
      </c>
      <c r="F64" s="55" t="s">
        <v>55</v>
      </c>
      <c r="G64" s="47">
        <f t="shared" si="20"/>
        <v>142.2</v>
      </c>
      <c r="H64" s="47">
        <f t="shared" si="21"/>
        <v>157.9605</v>
      </c>
      <c r="I64" s="47">
        <f t="shared" si="22"/>
        <v>165.9</v>
      </c>
      <c r="J64" s="47">
        <f t="shared" si="23"/>
        <v>42.2189166666667</v>
      </c>
      <c r="K64" s="47">
        <f t="shared" si="24"/>
        <v>36.2445416666667</v>
      </c>
      <c r="L64" s="47">
        <f t="shared" si="25"/>
        <v>56.3749348958333</v>
      </c>
      <c r="M64" s="47">
        <f t="shared" si="26"/>
        <v>54.3793619791667</v>
      </c>
      <c r="N64" s="47">
        <f t="shared" si="27"/>
        <v>114.9203125</v>
      </c>
      <c r="O64" s="47">
        <f t="shared" si="28"/>
        <v>34.2744791666667</v>
      </c>
      <c r="P64" s="47">
        <f t="shared" si="29"/>
        <v>32.3949375</v>
      </c>
      <c r="Q64" s="164">
        <v>11.85</v>
      </c>
      <c r="R64" s="165"/>
      <c r="S64" s="38"/>
    </row>
    <row r="65" s="100" customFormat="1" ht="18" customHeight="1" spans="1:19">
      <c r="A65" s="163" t="s">
        <v>29</v>
      </c>
      <c r="B65" s="47">
        <v>0.53</v>
      </c>
      <c r="C65" s="55" t="s">
        <v>30</v>
      </c>
      <c r="D65" s="55" t="s">
        <v>34</v>
      </c>
      <c r="E65" s="55" t="s">
        <v>32</v>
      </c>
      <c r="F65" s="55" t="s">
        <v>55</v>
      </c>
      <c r="G65" s="47">
        <f t="shared" si="20"/>
        <v>189.696</v>
      </c>
      <c r="H65" s="47">
        <f t="shared" si="21"/>
        <v>210.72064</v>
      </c>
      <c r="I65" s="47">
        <f t="shared" si="22"/>
        <v>221.312</v>
      </c>
      <c r="J65" s="47">
        <f t="shared" si="23"/>
        <v>56.3203911111111</v>
      </c>
      <c r="K65" s="47">
        <f t="shared" si="24"/>
        <v>48.3505244444444</v>
      </c>
      <c r="L65" s="47">
        <f t="shared" si="25"/>
        <v>75.2046388888889</v>
      </c>
      <c r="M65" s="47">
        <f t="shared" si="26"/>
        <v>72.5425277777778</v>
      </c>
      <c r="N65" s="47">
        <f t="shared" si="27"/>
        <v>153.304666666667</v>
      </c>
      <c r="O65" s="47">
        <f t="shared" si="28"/>
        <v>45.7224444444444</v>
      </c>
      <c r="P65" s="47">
        <f t="shared" si="29"/>
        <v>43.21512</v>
      </c>
      <c r="Q65" s="164">
        <v>15.808</v>
      </c>
      <c r="R65" s="165"/>
      <c r="S65" s="38"/>
    </row>
    <row r="66" s="100" customFormat="1" ht="18" customHeight="1" spans="1:19">
      <c r="A66" s="163" t="s">
        <v>29</v>
      </c>
      <c r="B66" s="47">
        <v>0.56</v>
      </c>
      <c r="C66" s="55" t="s">
        <v>30</v>
      </c>
      <c r="D66" s="55" t="s">
        <v>34</v>
      </c>
      <c r="E66" s="55" t="s">
        <v>32</v>
      </c>
      <c r="F66" s="55" t="s">
        <v>55</v>
      </c>
      <c r="G66" s="47">
        <f t="shared" si="20"/>
        <v>187.608</v>
      </c>
      <c r="H66" s="47">
        <f t="shared" si="21"/>
        <v>208.40122</v>
      </c>
      <c r="I66" s="47">
        <f t="shared" si="22"/>
        <v>218.876</v>
      </c>
      <c r="J66" s="47">
        <f t="shared" si="23"/>
        <v>55.7004677777778</v>
      </c>
      <c r="K66" s="47">
        <f t="shared" si="24"/>
        <v>47.8183261111111</v>
      </c>
      <c r="L66" s="47">
        <f t="shared" si="25"/>
        <v>74.3768550347222</v>
      </c>
      <c r="M66" s="47">
        <f t="shared" si="26"/>
        <v>71.7440460069444</v>
      </c>
      <c r="N66" s="47">
        <f t="shared" si="27"/>
        <v>151.617229166667</v>
      </c>
      <c r="O66" s="47">
        <f t="shared" si="28"/>
        <v>45.2191736111111</v>
      </c>
      <c r="P66" s="47">
        <f t="shared" si="29"/>
        <v>42.7394475</v>
      </c>
      <c r="Q66" s="164">
        <v>15.634</v>
      </c>
      <c r="R66" s="165"/>
      <c r="S66" s="38"/>
    </row>
    <row r="67" s="100" customFormat="1" ht="18" customHeight="1" spans="1:19">
      <c r="A67" s="163" t="s">
        <v>29</v>
      </c>
      <c r="B67" s="47">
        <v>0.61</v>
      </c>
      <c r="C67" s="55" t="s">
        <v>30</v>
      </c>
      <c r="D67" s="55" t="s">
        <v>31</v>
      </c>
      <c r="E67" s="55" t="s">
        <v>32</v>
      </c>
      <c r="F67" s="55" t="s">
        <v>55</v>
      </c>
      <c r="G67" s="47">
        <f t="shared" si="20"/>
        <v>146.352</v>
      </c>
      <c r="H67" s="47">
        <f t="shared" si="21"/>
        <v>162.57268</v>
      </c>
      <c r="I67" s="47">
        <f t="shared" si="22"/>
        <v>170.744</v>
      </c>
      <c r="J67" s="47">
        <f t="shared" si="23"/>
        <v>43.4516377777778</v>
      </c>
      <c r="K67" s="47">
        <f t="shared" si="24"/>
        <v>37.3028211111111</v>
      </c>
      <c r="L67" s="47">
        <f t="shared" si="25"/>
        <v>58.0209878472222</v>
      </c>
      <c r="M67" s="47">
        <f t="shared" si="26"/>
        <v>55.9671475694444</v>
      </c>
      <c r="N67" s="47">
        <f t="shared" si="27"/>
        <v>118.275791666667</v>
      </c>
      <c r="O67" s="47">
        <f t="shared" si="28"/>
        <v>35.2752361111111</v>
      </c>
      <c r="P67" s="47">
        <f t="shared" si="29"/>
        <v>33.340815</v>
      </c>
      <c r="Q67" s="164">
        <v>12.196</v>
      </c>
      <c r="R67" s="165"/>
      <c r="S67" s="38"/>
    </row>
    <row r="68" s="100" customFormat="1" ht="18" customHeight="1" spans="1:19">
      <c r="A68" s="163" t="s">
        <v>29</v>
      </c>
      <c r="B68" s="47">
        <v>0.61</v>
      </c>
      <c r="C68" s="55" t="s">
        <v>30</v>
      </c>
      <c r="D68" s="55" t="s">
        <v>34</v>
      </c>
      <c r="E68" s="55" t="s">
        <v>32</v>
      </c>
      <c r="F68" s="55" t="s">
        <v>55</v>
      </c>
      <c r="G68" s="47">
        <f t="shared" si="20"/>
        <v>193.092</v>
      </c>
      <c r="H68" s="47">
        <f t="shared" si="21"/>
        <v>214.49303</v>
      </c>
      <c r="I68" s="47">
        <f t="shared" si="22"/>
        <v>225.274</v>
      </c>
      <c r="J68" s="47">
        <f t="shared" si="23"/>
        <v>57.3286572222222</v>
      </c>
      <c r="K68" s="47">
        <f t="shared" si="24"/>
        <v>49.2161113888889</v>
      </c>
      <c r="L68" s="47">
        <f t="shared" si="25"/>
        <v>76.5509769965278</v>
      </c>
      <c r="M68" s="47">
        <f t="shared" si="26"/>
        <v>73.8412078993056</v>
      </c>
      <c r="N68" s="47">
        <f t="shared" si="27"/>
        <v>156.049177083333</v>
      </c>
      <c r="O68" s="47">
        <f t="shared" si="28"/>
        <v>46.5409826388889</v>
      </c>
      <c r="P68" s="47">
        <f t="shared" si="29"/>
        <v>43.98877125</v>
      </c>
      <c r="Q68" s="164">
        <v>16.091</v>
      </c>
      <c r="R68" s="165"/>
      <c r="S68" s="38"/>
    </row>
    <row r="69" s="100" customFormat="1" ht="18" customHeight="1" spans="1:19">
      <c r="A69" s="163" t="s">
        <v>29</v>
      </c>
      <c r="B69" s="47">
        <v>0.61</v>
      </c>
      <c r="C69" s="55" t="s">
        <v>30</v>
      </c>
      <c r="D69" s="55" t="s">
        <v>31</v>
      </c>
      <c r="E69" s="55" t="s">
        <v>32</v>
      </c>
      <c r="F69" s="55" t="s">
        <v>56</v>
      </c>
      <c r="G69" s="47">
        <f t="shared" si="20"/>
        <v>265.62</v>
      </c>
      <c r="H69" s="47">
        <f t="shared" si="21"/>
        <v>295.05955</v>
      </c>
      <c r="I69" s="47">
        <f t="shared" si="22"/>
        <v>309.89</v>
      </c>
      <c r="J69" s="47">
        <f t="shared" si="23"/>
        <v>78.8620861111111</v>
      </c>
      <c r="K69" s="47">
        <f t="shared" si="24"/>
        <v>67.7023569444444</v>
      </c>
      <c r="L69" s="47">
        <f t="shared" si="25"/>
        <v>105.304572482639</v>
      </c>
      <c r="M69" s="47">
        <f t="shared" si="26"/>
        <v>101.576976996528</v>
      </c>
      <c r="N69" s="47">
        <f t="shared" si="27"/>
        <v>214.663385416667</v>
      </c>
      <c r="O69" s="47">
        <f t="shared" si="28"/>
        <v>64.0224131944445</v>
      </c>
      <c r="P69" s="47">
        <f t="shared" si="29"/>
        <v>60.51155625</v>
      </c>
      <c r="Q69" s="164">
        <v>22.135</v>
      </c>
      <c r="R69" s="165"/>
      <c r="S69" s="38"/>
    </row>
    <row r="70" s="100" customFormat="1" ht="18" customHeight="1" spans="1:19">
      <c r="A70" s="163" t="s">
        <v>29</v>
      </c>
      <c r="B70" s="47">
        <v>0.61</v>
      </c>
      <c r="C70" s="55" t="s">
        <v>30</v>
      </c>
      <c r="D70" s="55" t="s">
        <v>34</v>
      </c>
      <c r="E70" s="55" t="s">
        <v>32</v>
      </c>
      <c r="F70" s="55" t="s">
        <v>56</v>
      </c>
      <c r="G70" s="47">
        <f t="shared" si="20"/>
        <v>309.876</v>
      </c>
      <c r="H70" s="47">
        <f t="shared" si="21"/>
        <v>344.22059</v>
      </c>
      <c r="I70" s="47">
        <f t="shared" si="22"/>
        <v>361.522</v>
      </c>
      <c r="J70" s="47">
        <f t="shared" si="23"/>
        <v>92.0016105555555</v>
      </c>
      <c r="K70" s="47">
        <f t="shared" si="24"/>
        <v>78.9825147222222</v>
      </c>
      <c r="L70" s="47">
        <f t="shared" si="25"/>
        <v>122.849784288194</v>
      </c>
      <c r="M70" s="47">
        <f t="shared" si="26"/>
        <v>118.501119357639</v>
      </c>
      <c r="N70" s="47">
        <f t="shared" si="27"/>
        <v>250.429302083333</v>
      </c>
      <c r="O70" s="47">
        <f t="shared" si="28"/>
        <v>74.6894409722222</v>
      </c>
      <c r="P70" s="47">
        <f t="shared" si="29"/>
        <v>70.59362625</v>
      </c>
      <c r="Q70" s="164">
        <v>25.823</v>
      </c>
      <c r="R70" s="165"/>
      <c r="S70" s="38"/>
    </row>
    <row r="71" s="100" customFormat="1" ht="18" customHeight="1" spans="1:19">
      <c r="A71" s="163" t="s">
        <v>29</v>
      </c>
      <c r="B71" s="47">
        <v>0.66</v>
      </c>
      <c r="C71" s="55" t="s">
        <v>30</v>
      </c>
      <c r="D71" s="55" t="s">
        <v>31</v>
      </c>
      <c r="E71" s="55" t="s">
        <v>32</v>
      </c>
      <c r="F71" s="55" t="s">
        <v>57</v>
      </c>
      <c r="G71" s="47">
        <f t="shared" si="20"/>
        <v>172.848</v>
      </c>
      <c r="H71" s="47">
        <f t="shared" si="21"/>
        <v>192.00532</v>
      </c>
      <c r="I71" s="47">
        <f t="shared" si="22"/>
        <v>201.656</v>
      </c>
      <c r="J71" s="47">
        <f t="shared" si="23"/>
        <v>51.3182511111111</v>
      </c>
      <c r="K71" s="47">
        <f t="shared" si="24"/>
        <v>44.0562344444444</v>
      </c>
      <c r="L71" s="47">
        <f t="shared" si="25"/>
        <v>68.5252795138889</v>
      </c>
      <c r="M71" s="47">
        <f t="shared" si="26"/>
        <v>66.0996059027778</v>
      </c>
      <c r="N71" s="47">
        <f t="shared" si="27"/>
        <v>139.688791666667</v>
      </c>
      <c r="O71" s="47">
        <f t="shared" si="28"/>
        <v>41.6615694444444</v>
      </c>
      <c r="P71" s="47">
        <f t="shared" si="29"/>
        <v>39.376935</v>
      </c>
      <c r="Q71" s="164">
        <v>14.404</v>
      </c>
      <c r="R71" s="165"/>
      <c r="S71" s="38"/>
    </row>
    <row r="72" s="6" customFormat="1" ht="18" customHeight="1" spans="1:19">
      <c r="A72" s="163" t="s">
        <v>29</v>
      </c>
      <c r="B72" s="47">
        <v>0.66</v>
      </c>
      <c r="C72" s="55" t="s">
        <v>30</v>
      </c>
      <c r="D72" s="55" t="s">
        <v>34</v>
      </c>
      <c r="E72" s="55" t="s">
        <v>32</v>
      </c>
      <c r="F72" s="55" t="s">
        <v>57</v>
      </c>
      <c r="G72" s="47">
        <f t="shared" si="20"/>
        <v>222.672</v>
      </c>
      <c r="H72" s="47">
        <f t="shared" si="21"/>
        <v>247.35148</v>
      </c>
      <c r="I72" s="47">
        <f t="shared" si="22"/>
        <v>259.784</v>
      </c>
      <c r="J72" s="47">
        <f t="shared" si="23"/>
        <v>66.1109044444444</v>
      </c>
      <c r="K72" s="47">
        <f t="shared" si="24"/>
        <v>56.7555877777778</v>
      </c>
      <c r="L72" s="47">
        <f t="shared" si="25"/>
        <v>88.2779149305556</v>
      </c>
      <c r="M72" s="47">
        <f t="shared" si="26"/>
        <v>85.1530329861111</v>
      </c>
      <c r="N72" s="47">
        <f t="shared" si="27"/>
        <v>179.954541666667</v>
      </c>
      <c r="O72" s="47">
        <f t="shared" si="28"/>
        <v>53.6706527777778</v>
      </c>
      <c r="P72" s="47">
        <f t="shared" si="29"/>
        <v>50.727465</v>
      </c>
      <c r="Q72" s="164">
        <v>18.556</v>
      </c>
      <c r="R72" s="165"/>
      <c r="S72" s="38"/>
    </row>
    <row r="73" s="100" customFormat="1" ht="18" customHeight="1" spans="1:19">
      <c r="A73" s="163" t="s">
        <v>29</v>
      </c>
      <c r="B73" s="47">
        <v>0.71</v>
      </c>
      <c r="C73" s="55" t="s">
        <v>30</v>
      </c>
      <c r="D73" s="55" t="s">
        <v>31</v>
      </c>
      <c r="E73" s="55" t="s">
        <v>32</v>
      </c>
      <c r="F73" s="55" t="s">
        <v>58</v>
      </c>
      <c r="G73" s="47">
        <f t="shared" si="20"/>
        <v>160.008</v>
      </c>
      <c r="H73" s="47">
        <f t="shared" si="21"/>
        <v>177.74222</v>
      </c>
      <c r="I73" s="47">
        <f t="shared" si="22"/>
        <v>186.676</v>
      </c>
      <c r="J73" s="47">
        <f t="shared" si="23"/>
        <v>47.5060788888889</v>
      </c>
      <c r="K73" s="47">
        <f t="shared" si="24"/>
        <v>40.7835205555556</v>
      </c>
      <c r="L73" s="47">
        <f t="shared" si="25"/>
        <v>63.4348845486111</v>
      </c>
      <c r="M73" s="47">
        <f t="shared" si="26"/>
        <v>61.1894019097222</v>
      </c>
      <c r="N73" s="47">
        <f t="shared" si="27"/>
        <v>129.312020833333</v>
      </c>
      <c r="O73" s="47">
        <f t="shared" si="28"/>
        <v>38.5667430555556</v>
      </c>
      <c r="P73" s="47">
        <f t="shared" si="29"/>
        <v>36.4518225</v>
      </c>
      <c r="Q73" s="164">
        <v>13.334</v>
      </c>
      <c r="R73" s="165"/>
      <c r="S73" s="38"/>
    </row>
    <row r="74" s="100" customFormat="1" ht="18" customHeight="1" spans="1:19">
      <c r="A74" s="163" t="s">
        <v>29</v>
      </c>
      <c r="B74" s="47">
        <v>0.71</v>
      </c>
      <c r="C74" s="55" t="s">
        <v>30</v>
      </c>
      <c r="D74" s="55" t="s">
        <v>34</v>
      </c>
      <c r="E74" s="55" t="s">
        <v>32</v>
      </c>
      <c r="F74" s="55" t="s">
        <v>58</v>
      </c>
      <c r="G74" s="47">
        <f t="shared" si="20"/>
        <v>211.752</v>
      </c>
      <c r="H74" s="47">
        <f t="shared" si="21"/>
        <v>235.22118</v>
      </c>
      <c r="I74" s="47">
        <f t="shared" si="22"/>
        <v>247.044</v>
      </c>
      <c r="J74" s="47">
        <f t="shared" si="23"/>
        <v>62.8687766666667</v>
      </c>
      <c r="K74" s="47">
        <f t="shared" si="24"/>
        <v>53.9722516666667</v>
      </c>
      <c r="L74" s="47">
        <f t="shared" si="25"/>
        <v>83.9487005208333</v>
      </c>
      <c r="M74" s="47">
        <f t="shared" si="26"/>
        <v>80.9770651041667</v>
      </c>
      <c r="N74" s="47">
        <f t="shared" si="27"/>
        <v>171.1294375</v>
      </c>
      <c r="O74" s="47">
        <f t="shared" si="28"/>
        <v>51.0386041666667</v>
      </c>
      <c r="P74" s="47">
        <f t="shared" si="29"/>
        <v>48.2397525</v>
      </c>
      <c r="Q74" s="164">
        <v>17.646</v>
      </c>
      <c r="R74" s="165"/>
      <c r="S74" s="38"/>
    </row>
    <row r="75" s="100" customFormat="1" ht="18" customHeight="1" spans="1:19">
      <c r="A75" s="163" t="s">
        <v>29</v>
      </c>
      <c r="B75" s="47">
        <v>0.71</v>
      </c>
      <c r="C75" s="55" t="s">
        <v>30</v>
      </c>
      <c r="D75" s="57" t="s">
        <v>41</v>
      </c>
      <c r="E75" s="55" t="s">
        <v>32</v>
      </c>
      <c r="F75" s="55" t="s">
        <v>58</v>
      </c>
      <c r="G75" s="47">
        <f t="shared" si="20"/>
        <v>357.684</v>
      </c>
      <c r="H75" s="47">
        <f t="shared" si="21"/>
        <v>397.32731</v>
      </c>
      <c r="I75" s="47">
        <f t="shared" si="22"/>
        <v>417.298</v>
      </c>
      <c r="J75" s="47">
        <f t="shared" si="23"/>
        <v>106.195717222222</v>
      </c>
      <c r="K75" s="47">
        <f t="shared" si="24"/>
        <v>91.1680213888889</v>
      </c>
      <c r="L75" s="47">
        <f t="shared" si="25"/>
        <v>141.803180121528</v>
      </c>
      <c r="M75" s="47">
        <f t="shared" si="26"/>
        <v>136.783598524306</v>
      </c>
      <c r="N75" s="47">
        <f t="shared" si="27"/>
        <v>289.065802083333</v>
      </c>
      <c r="O75" s="47">
        <f t="shared" si="28"/>
        <v>86.2126076388889</v>
      </c>
      <c r="P75" s="47">
        <f t="shared" si="29"/>
        <v>81.48488625</v>
      </c>
      <c r="Q75" s="164">
        <v>29.807</v>
      </c>
      <c r="R75" s="165"/>
      <c r="S75" s="38"/>
    </row>
    <row r="76" s="100" customFormat="1" ht="18" customHeight="1" spans="1:19">
      <c r="A76" s="163" t="s">
        <v>29</v>
      </c>
      <c r="B76" s="47">
        <v>0.79</v>
      </c>
      <c r="C76" s="55" t="s">
        <v>30</v>
      </c>
      <c r="D76" s="55" t="s">
        <v>31</v>
      </c>
      <c r="E76" s="55" t="s">
        <v>32</v>
      </c>
      <c r="F76" s="55" t="s">
        <v>58</v>
      </c>
      <c r="G76" s="47">
        <f t="shared" si="20"/>
        <v>149.688</v>
      </c>
      <c r="H76" s="47">
        <f t="shared" si="21"/>
        <v>166.27842</v>
      </c>
      <c r="I76" s="47">
        <f t="shared" si="22"/>
        <v>174.636</v>
      </c>
      <c r="J76" s="47">
        <f t="shared" si="23"/>
        <v>44.44209</v>
      </c>
      <c r="K76" s="47">
        <f t="shared" si="24"/>
        <v>38.153115</v>
      </c>
      <c r="L76" s="47">
        <f t="shared" si="25"/>
        <v>59.3435390625</v>
      </c>
      <c r="M76" s="47">
        <f t="shared" si="26"/>
        <v>57.2428828125</v>
      </c>
      <c r="N76" s="47">
        <f t="shared" si="27"/>
        <v>120.9718125</v>
      </c>
      <c r="O76" s="47">
        <f t="shared" si="28"/>
        <v>36.0793125</v>
      </c>
      <c r="P76" s="47">
        <f t="shared" si="29"/>
        <v>34.1007975</v>
      </c>
      <c r="Q76" s="164">
        <v>12.474</v>
      </c>
      <c r="R76" s="165"/>
      <c r="S76" s="38"/>
    </row>
    <row r="77" s="6" customFormat="1" ht="18" customHeight="1" spans="1:19">
      <c r="A77" s="163" t="s">
        <v>29</v>
      </c>
      <c r="B77" s="128">
        <v>0.8</v>
      </c>
      <c r="C77" s="55" t="s">
        <v>59</v>
      </c>
      <c r="D77" s="55" t="s">
        <v>31</v>
      </c>
      <c r="E77" s="55" t="s">
        <v>32</v>
      </c>
      <c r="F77" s="55" t="s">
        <v>58</v>
      </c>
      <c r="G77" s="47">
        <f t="shared" si="20"/>
        <v>166.14</v>
      </c>
      <c r="H77" s="47">
        <f t="shared" si="21"/>
        <v>184.55385</v>
      </c>
      <c r="I77" s="47">
        <f t="shared" si="22"/>
        <v>193.83</v>
      </c>
      <c r="J77" s="47">
        <f t="shared" si="23"/>
        <v>49.3266583333333</v>
      </c>
      <c r="K77" s="47">
        <f t="shared" si="24"/>
        <v>42.3464708333333</v>
      </c>
      <c r="L77" s="47">
        <f t="shared" si="25"/>
        <v>65.8659049479167</v>
      </c>
      <c r="M77" s="47">
        <f t="shared" si="26"/>
        <v>63.5343684895833</v>
      </c>
      <c r="N77" s="47">
        <f t="shared" si="27"/>
        <v>134.26765625</v>
      </c>
      <c r="O77" s="47">
        <f t="shared" si="28"/>
        <v>40.0447395833333</v>
      </c>
      <c r="P77" s="47">
        <f t="shared" si="29"/>
        <v>37.84876875</v>
      </c>
      <c r="Q77" s="164">
        <v>13.845</v>
      </c>
      <c r="R77" s="165"/>
      <c r="S77" s="38"/>
    </row>
    <row r="78" s="100" customFormat="1" ht="18" customHeight="1" spans="1:19">
      <c r="A78" s="163" t="s">
        <v>29</v>
      </c>
      <c r="B78" s="128">
        <v>0.8</v>
      </c>
      <c r="C78" s="55" t="s">
        <v>59</v>
      </c>
      <c r="D78" s="55" t="s">
        <v>34</v>
      </c>
      <c r="E78" s="55" t="s">
        <v>32</v>
      </c>
      <c r="F78" s="55" t="s">
        <v>58</v>
      </c>
      <c r="G78" s="47">
        <f t="shared" ref="G78:G121" si="30">Q78*12</f>
        <v>217.308</v>
      </c>
      <c r="H78" s="47">
        <f t="shared" ref="H78:H121" si="31">Q78*13.33</f>
        <v>241.39297</v>
      </c>
      <c r="I78" s="47">
        <f t="shared" ref="I78:I121" si="32">Q78*14</f>
        <v>253.526</v>
      </c>
      <c r="J78" s="47">
        <f t="shared" ref="J78:J121" si="33">21.2*24.2/144*Q78</f>
        <v>64.5183427777778</v>
      </c>
      <c r="K78" s="47">
        <f t="shared" ref="K78:K121" si="34">18.2*24.2/144*Q78</f>
        <v>55.3883886111111</v>
      </c>
      <c r="L78" s="47">
        <f t="shared" ref="L78:L121" si="35">28.25*24.25/144*Q78</f>
        <v>86.1513667534722</v>
      </c>
      <c r="M78" s="47">
        <f t="shared" ref="M78:M121" si="36">27.25*24.25/144*Q78</f>
        <v>83.1017608506945</v>
      </c>
      <c r="N78" s="47">
        <f t="shared" ref="N78:N121" si="37">28.5*49/144*Q78</f>
        <v>175.619572916667</v>
      </c>
      <c r="O78" s="47">
        <f t="shared" ref="O78:O121" si="38">17*24.5/144*Q78</f>
        <v>52.3777673611111</v>
      </c>
      <c r="P78" s="47">
        <f t="shared" ref="P78:P121" si="39">24.3*16.2/144*Q78</f>
        <v>49.50547875</v>
      </c>
      <c r="Q78" s="164">
        <v>18.109</v>
      </c>
      <c r="R78" s="165"/>
      <c r="S78" s="38"/>
    </row>
    <row r="79" s="100" customFormat="1" ht="18" customHeight="1" spans="1:19">
      <c r="A79" s="163" t="s">
        <v>29</v>
      </c>
      <c r="B79" s="128">
        <v>0.9</v>
      </c>
      <c r="C79" s="55" t="s">
        <v>59</v>
      </c>
      <c r="D79" s="55" t="s">
        <v>31</v>
      </c>
      <c r="E79" s="55" t="s">
        <v>32</v>
      </c>
      <c r="F79" s="55" t="s">
        <v>60</v>
      </c>
      <c r="G79" s="47">
        <f t="shared" si="30"/>
        <v>182.64</v>
      </c>
      <c r="H79" s="47">
        <f t="shared" si="31"/>
        <v>202.8826</v>
      </c>
      <c r="I79" s="47">
        <f t="shared" si="32"/>
        <v>213.08</v>
      </c>
      <c r="J79" s="47">
        <f t="shared" si="33"/>
        <v>54.2254777777778</v>
      </c>
      <c r="K79" s="47">
        <f t="shared" si="34"/>
        <v>46.5520611111111</v>
      </c>
      <c r="L79" s="47">
        <f t="shared" si="35"/>
        <v>72.4073003472222</v>
      </c>
      <c r="M79" s="47">
        <f t="shared" si="36"/>
        <v>69.8442100694444</v>
      </c>
      <c r="N79" s="47">
        <f t="shared" si="37"/>
        <v>147.602291666667</v>
      </c>
      <c r="O79" s="47">
        <f t="shared" si="38"/>
        <v>44.0217361111111</v>
      </c>
      <c r="P79" s="47">
        <f t="shared" si="39"/>
        <v>41.607675</v>
      </c>
      <c r="Q79" s="164">
        <v>15.22</v>
      </c>
      <c r="R79" s="165"/>
      <c r="S79" s="38"/>
    </row>
    <row r="80" s="6" customFormat="1" ht="18" customHeight="1" spans="1:19">
      <c r="A80" s="163" t="s">
        <v>29</v>
      </c>
      <c r="B80" s="128">
        <v>0.9</v>
      </c>
      <c r="C80" s="55" t="s">
        <v>59</v>
      </c>
      <c r="D80" s="55" t="s">
        <v>34</v>
      </c>
      <c r="E80" s="55" t="s">
        <v>32</v>
      </c>
      <c r="F80" s="55" t="s">
        <v>60</v>
      </c>
      <c r="G80" s="47">
        <f t="shared" si="30"/>
        <v>236.268</v>
      </c>
      <c r="H80" s="47">
        <f t="shared" si="31"/>
        <v>262.45437</v>
      </c>
      <c r="I80" s="47">
        <f t="shared" si="32"/>
        <v>275.646</v>
      </c>
      <c r="J80" s="47">
        <f t="shared" si="33"/>
        <v>70.1475316666667</v>
      </c>
      <c r="K80" s="47">
        <f t="shared" si="34"/>
        <v>60.2209941666667</v>
      </c>
      <c r="L80" s="47">
        <f t="shared" si="35"/>
        <v>93.6680247395833</v>
      </c>
      <c r="M80" s="47">
        <f t="shared" si="36"/>
        <v>90.3523424479167</v>
      </c>
      <c r="N80" s="47">
        <f t="shared" si="37"/>
        <v>190.94228125</v>
      </c>
      <c r="O80" s="47">
        <f t="shared" si="38"/>
        <v>56.9476979166667</v>
      </c>
      <c r="P80" s="47">
        <f t="shared" si="39"/>
        <v>53.82480375</v>
      </c>
      <c r="Q80" s="164">
        <v>19.689</v>
      </c>
      <c r="R80" s="165"/>
      <c r="S80" s="38"/>
    </row>
    <row r="81" s="6" customFormat="1" ht="18" customHeight="1" spans="1:19">
      <c r="A81" s="163" t="s">
        <v>29</v>
      </c>
      <c r="B81" s="128">
        <v>1</v>
      </c>
      <c r="C81" s="55" t="s">
        <v>59</v>
      </c>
      <c r="D81" s="55" t="s">
        <v>31</v>
      </c>
      <c r="E81" s="55" t="s">
        <v>32</v>
      </c>
      <c r="F81" s="55" t="s">
        <v>61</v>
      </c>
      <c r="G81" s="47">
        <f t="shared" si="30"/>
        <v>179.496</v>
      </c>
      <c r="H81" s="47">
        <f t="shared" si="31"/>
        <v>199.39014</v>
      </c>
      <c r="I81" s="47">
        <f t="shared" si="32"/>
        <v>209.412</v>
      </c>
      <c r="J81" s="47">
        <f t="shared" si="33"/>
        <v>53.29203</v>
      </c>
      <c r="K81" s="47">
        <f t="shared" si="34"/>
        <v>45.750705</v>
      </c>
      <c r="L81" s="47">
        <f t="shared" si="35"/>
        <v>71.1608671875</v>
      </c>
      <c r="M81" s="47">
        <f t="shared" si="36"/>
        <v>68.6418984375</v>
      </c>
      <c r="N81" s="47">
        <f t="shared" si="37"/>
        <v>145.0614375</v>
      </c>
      <c r="O81" s="47">
        <f t="shared" si="38"/>
        <v>43.2639375</v>
      </c>
      <c r="P81" s="47">
        <f t="shared" si="39"/>
        <v>40.8914325</v>
      </c>
      <c r="Q81" s="164">
        <v>14.958</v>
      </c>
      <c r="R81" s="165"/>
      <c r="S81" s="38"/>
    </row>
    <row r="82" s="6" customFormat="1" ht="18" customHeight="1" spans="1:19">
      <c r="A82" s="163" t="s">
        <v>29</v>
      </c>
      <c r="B82" s="128">
        <v>1</v>
      </c>
      <c r="C82" s="55" t="s">
        <v>59</v>
      </c>
      <c r="D82" s="55" t="s">
        <v>34</v>
      </c>
      <c r="E82" s="55" t="s">
        <v>32</v>
      </c>
      <c r="F82" s="55" t="s">
        <v>61</v>
      </c>
      <c r="G82" s="47">
        <f t="shared" si="30"/>
        <v>250.476</v>
      </c>
      <c r="H82" s="47">
        <f t="shared" si="31"/>
        <v>278.23709</v>
      </c>
      <c r="I82" s="47">
        <f t="shared" si="32"/>
        <v>292.222</v>
      </c>
      <c r="J82" s="47">
        <f t="shared" si="33"/>
        <v>74.3658605555556</v>
      </c>
      <c r="K82" s="47">
        <f t="shared" si="34"/>
        <v>63.8423897222222</v>
      </c>
      <c r="L82" s="47">
        <f t="shared" si="35"/>
        <v>99.3007608506944</v>
      </c>
      <c r="M82" s="47">
        <f t="shared" si="36"/>
        <v>95.7856896701389</v>
      </c>
      <c r="N82" s="47">
        <f t="shared" si="37"/>
        <v>202.424614583333</v>
      </c>
      <c r="O82" s="47">
        <f t="shared" si="38"/>
        <v>60.3722534722222</v>
      </c>
      <c r="P82" s="47">
        <f t="shared" si="39"/>
        <v>57.06156375</v>
      </c>
      <c r="Q82" s="164">
        <v>20.873</v>
      </c>
      <c r="R82" s="165"/>
      <c r="S82" s="38"/>
    </row>
    <row r="83" s="100" customFormat="1" ht="18" customHeight="1" spans="1:19">
      <c r="A83" s="163" t="s">
        <v>29</v>
      </c>
      <c r="B83" s="128">
        <v>1</v>
      </c>
      <c r="C83" s="55" t="s">
        <v>59</v>
      </c>
      <c r="D83" s="57" t="s">
        <v>41</v>
      </c>
      <c r="E83" s="55" t="s">
        <v>32</v>
      </c>
      <c r="F83" s="55" t="s">
        <v>62</v>
      </c>
      <c r="G83" s="47">
        <f t="shared" si="30"/>
        <v>380.016</v>
      </c>
      <c r="H83" s="47">
        <f t="shared" si="31"/>
        <v>422.13444</v>
      </c>
      <c r="I83" s="47">
        <f t="shared" si="32"/>
        <v>443.352</v>
      </c>
      <c r="J83" s="47">
        <f t="shared" si="33"/>
        <v>112.826046666667</v>
      </c>
      <c r="K83" s="47">
        <f t="shared" si="34"/>
        <v>96.8600966666667</v>
      </c>
      <c r="L83" s="47">
        <f t="shared" si="35"/>
        <v>150.656661458333</v>
      </c>
      <c r="M83" s="47">
        <f t="shared" si="36"/>
        <v>145.323682291667</v>
      </c>
      <c r="N83" s="47">
        <f t="shared" si="37"/>
        <v>307.113625</v>
      </c>
      <c r="O83" s="47">
        <f t="shared" si="38"/>
        <v>91.5952916666667</v>
      </c>
      <c r="P83" s="47">
        <f t="shared" si="39"/>
        <v>86.572395</v>
      </c>
      <c r="Q83" s="164">
        <v>31.668</v>
      </c>
      <c r="R83" s="165"/>
      <c r="S83" s="38"/>
    </row>
    <row r="84" s="6" customFormat="1" ht="18" customHeight="1" spans="1:19">
      <c r="A84" s="163" t="s">
        <v>29</v>
      </c>
      <c r="B84" s="128">
        <v>1.1</v>
      </c>
      <c r="C84" s="55" t="s">
        <v>59</v>
      </c>
      <c r="D84" s="55" t="s">
        <v>31</v>
      </c>
      <c r="E84" s="55" t="s">
        <v>32</v>
      </c>
      <c r="F84" s="55" t="s">
        <v>63</v>
      </c>
      <c r="G84" s="47">
        <f t="shared" si="30"/>
        <v>208.392</v>
      </c>
      <c r="H84" s="47">
        <f t="shared" si="31"/>
        <v>231.48878</v>
      </c>
      <c r="I84" s="47">
        <f t="shared" si="32"/>
        <v>243.124</v>
      </c>
      <c r="J84" s="47">
        <f t="shared" si="33"/>
        <v>61.8711988888889</v>
      </c>
      <c r="K84" s="47">
        <f t="shared" si="34"/>
        <v>53.1158405555556</v>
      </c>
      <c r="L84" s="47">
        <f t="shared" si="35"/>
        <v>82.6166345486111</v>
      </c>
      <c r="M84" s="47">
        <f t="shared" si="36"/>
        <v>79.6921519097222</v>
      </c>
      <c r="N84" s="47">
        <f t="shared" si="37"/>
        <v>168.414020833333</v>
      </c>
      <c r="O84" s="47">
        <f t="shared" si="38"/>
        <v>50.2287430555556</v>
      </c>
      <c r="P84" s="47">
        <f t="shared" si="39"/>
        <v>47.4743025</v>
      </c>
      <c r="Q84" s="164">
        <v>17.366</v>
      </c>
      <c r="R84" s="165"/>
      <c r="S84" s="38"/>
    </row>
    <row r="85" s="6" customFormat="1" ht="18" customHeight="1" spans="1:19">
      <c r="A85" s="163" t="s">
        <v>29</v>
      </c>
      <c r="B85" s="128">
        <v>1.1</v>
      </c>
      <c r="C85" s="55" t="s">
        <v>59</v>
      </c>
      <c r="D85" s="55" t="s">
        <v>34</v>
      </c>
      <c r="E85" s="55" t="s">
        <v>32</v>
      </c>
      <c r="F85" s="55" t="s">
        <v>63</v>
      </c>
      <c r="G85" s="47">
        <f t="shared" si="30"/>
        <v>258.768</v>
      </c>
      <c r="H85" s="47">
        <f t="shared" si="31"/>
        <v>287.44812</v>
      </c>
      <c r="I85" s="47">
        <f t="shared" si="32"/>
        <v>301.896</v>
      </c>
      <c r="J85" s="47">
        <f t="shared" si="33"/>
        <v>76.82774</v>
      </c>
      <c r="K85" s="47">
        <f t="shared" si="34"/>
        <v>65.95589</v>
      </c>
      <c r="L85" s="47">
        <f t="shared" si="35"/>
        <v>102.588109375</v>
      </c>
      <c r="M85" s="47">
        <f t="shared" si="36"/>
        <v>98.956671875</v>
      </c>
      <c r="N85" s="47">
        <f t="shared" si="37"/>
        <v>209.125875</v>
      </c>
      <c r="O85" s="47">
        <f t="shared" si="38"/>
        <v>62.370875</v>
      </c>
      <c r="P85" s="47">
        <f t="shared" si="39"/>
        <v>58.950585</v>
      </c>
      <c r="Q85" s="164">
        <v>21.564</v>
      </c>
      <c r="R85" s="165"/>
      <c r="S85" s="38"/>
    </row>
    <row r="86" s="6" customFormat="1" ht="18" customHeight="1" spans="1:19">
      <c r="A86" s="163" t="s">
        <v>29</v>
      </c>
      <c r="B86" s="128">
        <v>1.2</v>
      </c>
      <c r="C86" s="55" t="s">
        <v>59</v>
      </c>
      <c r="D86" s="55" t="s">
        <v>31</v>
      </c>
      <c r="E86" s="55" t="s">
        <v>32</v>
      </c>
      <c r="F86" s="55" t="s">
        <v>63</v>
      </c>
      <c r="G86" s="47">
        <f t="shared" si="30"/>
        <v>208.392</v>
      </c>
      <c r="H86" s="47">
        <f t="shared" si="31"/>
        <v>231.48878</v>
      </c>
      <c r="I86" s="47">
        <f t="shared" si="32"/>
        <v>243.124</v>
      </c>
      <c r="J86" s="47">
        <f t="shared" si="33"/>
        <v>61.8711988888889</v>
      </c>
      <c r="K86" s="47">
        <f t="shared" si="34"/>
        <v>53.1158405555556</v>
      </c>
      <c r="L86" s="47">
        <f t="shared" si="35"/>
        <v>82.6166345486111</v>
      </c>
      <c r="M86" s="47">
        <f t="shared" si="36"/>
        <v>79.6921519097222</v>
      </c>
      <c r="N86" s="47">
        <f t="shared" si="37"/>
        <v>168.414020833333</v>
      </c>
      <c r="O86" s="47">
        <f t="shared" si="38"/>
        <v>50.2287430555556</v>
      </c>
      <c r="P86" s="47">
        <f t="shared" si="39"/>
        <v>47.4743025</v>
      </c>
      <c r="Q86" s="164">
        <v>17.366</v>
      </c>
      <c r="R86" s="165"/>
      <c r="S86" s="38"/>
    </row>
    <row r="87" s="6" customFormat="1" ht="18" customHeight="1" spans="1:19">
      <c r="A87" s="163" t="s">
        <v>29</v>
      </c>
      <c r="B87" s="128">
        <v>1.2</v>
      </c>
      <c r="C87" s="55" t="s">
        <v>59</v>
      </c>
      <c r="D87" s="55" t="s">
        <v>34</v>
      </c>
      <c r="E87" s="55" t="s">
        <v>32</v>
      </c>
      <c r="F87" s="55" t="s">
        <v>63</v>
      </c>
      <c r="G87" s="47">
        <f t="shared" si="30"/>
        <v>257.82</v>
      </c>
      <c r="H87" s="47">
        <f t="shared" si="31"/>
        <v>286.39505</v>
      </c>
      <c r="I87" s="47">
        <f t="shared" si="32"/>
        <v>300.79</v>
      </c>
      <c r="J87" s="47">
        <f t="shared" si="33"/>
        <v>76.5462805555555</v>
      </c>
      <c r="K87" s="47">
        <f t="shared" si="34"/>
        <v>65.7142597222222</v>
      </c>
      <c r="L87" s="47">
        <f t="shared" si="35"/>
        <v>102.212276475694</v>
      </c>
      <c r="M87" s="47">
        <f t="shared" si="36"/>
        <v>98.5941427951389</v>
      </c>
      <c r="N87" s="47">
        <f t="shared" si="37"/>
        <v>208.359739583333</v>
      </c>
      <c r="O87" s="47">
        <f t="shared" si="38"/>
        <v>62.1423784722222</v>
      </c>
      <c r="P87" s="47">
        <f t="shared" si="39"/>
        <v>58.73461875</v>
      </c>
      <c r="Q87" s="164">
        <v>21.485</v>
      </c>
      <c r="R87" s="165"/>
      <c r="S87" s="38"/>
    </row>
    <row r="88" s="100" customFormat="1" ht="18" customHeight="1" spans="1:19">
      <c r="A88" s="163" t="s">
        <v>29</v>
      </c>
      <c r="B88" s="128">
        <v>1.3</v>
      </c>
      <c r="C88" s="55" t="s">
        <v>59</v>
      </c>
      <c r="D88" s="55" t="s">
        <v>31</v>
      </c>
      <c r="E88" s="55" t="s">
        <v>32</v>
      </c>
      <c r="F88" s="55" t="s">
        <v>64</v>
      </c>
      <c r="G88" s="47">
        <f t="shared" si="30"/>
        <v>230.328</v>
      </c>
      <c r="H88" s="47">
        <f t="shared" si="31"/>
        <v>255.85602</v>
      </c>
      <c r="I88" s="47">
        <f t="shared" si="32"/>
        <v>268.716</v>
      </c>
      <c r="J88" s="47">
        <f t="shared" si="33"/>
        <v>68.3839566666667</v>
      </c>
      <c r="K88" s="47">
        <f t="shared" si="34"/>
        <v>58.7069816666667</v>
      </c>
      <c r="L88" s="47">
        <f t="shared" si="35"/>
        <v>91.3131223958333</v>
      </c>
      <c r="M88" s="47">
        <f t="shared" si="36"/>
        <v>88.0807994791667</v>
      </c>
      <c r="N88" s="47">
        <f t="shared" si="37"/>
        <v>186.1418125</v>
      </c>
      <c r="O88" s="47">
        <f t="shared" si="38"/>
        <v>55.5159791666667</v>
      </c>
      <c r="P88" s="47">
        <f t="shared" si="39"/>
        <v>52.4715975</v>
      </c>
      <c r="Q88" s="164">
        <v>19.194</v>
      </c>
      <c r="R88" s="165"/>
      <c r="S88" s="38"/>
    </row>
    <row r="89" s="6" customFormat="1" ht="18" customHeight="1" spans="1:19">
      <c r="A89" s="163" t="s">
        <v>29</v>
      </c>
      <c r="B89" s="128">
        <v>1.3</v>
      </c>
      <c r="C89" s="55" t="s">
        <v>59</v>
      </c>
      <c r="D89" s="55" t="s">
        <v>34</v>
      </c>
      <c r="E89" s="55" t="s">
        <v>32</v>
      </c>
      <c r="F89" s="55" t="s">
        <v>64</v>
      </c>
      <c r="G89" s="47">
        <f t="shared" si="30"/>
        <v>274.236</v>
      </c>
      <c r="H89" s="47">
        <f t="shared" si="31"/>
        <v>304.63049</v>
      </c>
      <c r="I89" s="47">
        <f t="shared" si="32"/>
        <v>319.942</v>
      </c>
      <c r="J89" s="47">
        <f t="shared" si="33"/>
        <v>81.4201605555556</v>
      </c>
      <c r="K89" s="47">
        <f t="shared" si="34"/>
        <v>69.8984397222222</v>
      </c>
      <c r="L89" s="47">
        <f t="shared" si="35"/>
        <v>108.720370225694</v>
      </c>
      <c r="M89" s="47">
        <f t="shared" si="36"/>
        <v>104.871861545139</v>
      </c>
      <c r="N89" s="47">
        <f t="shared" si="37"/>
        <v>221.626489583333</v>
      </c>
      <c r="O89" s="47">
        <f t="shared" si="38"/>
        <v>66.0991284722222</v>
      </c>
      <c r="P89" s="47">
        <f t="shared" si="39"/>
        <v>62.47438875</v>
      </c>
      <c r="Q89" s="164">
        <v>22.853</v>
      </c>
      <c r="R89" s="165"/>
      <c r="S89" s="38"/>
    </row>
    <row r="90" s="6" customFormat="1" ht="18" customHeight="1" spans="1:19">
      <c r="A90" s="163" t="s">
        <v>29</v>
      </c>
      <c r="B90" s="128">
        <v>1.4</v>
      </c>
      <c r="C90" s="55" t="s">
        <v>59</v>
      </c>
      <c r="D90" s="55" t="s">
        <v>31</v>
      </c>
      <c r="E90" s="55" t="s">
        <v>32</v>
      </c>
      <c r="F90" s="55" t="s">
        <v>64</v>
      </c>
      <c r="G90" s="47">
        <f t="shared" si="30"/>
        <v>230.328</v>
      </c>
      <c r="H90" s="47">
        <f t="shared" si="31"/>
        <v>255.85602</v>
      </c>
      <c r="I90" s="47">
        <f t="shared" si="32"/>
        <v>268.716</v>
      </c>
      <c r="J90" s="47">
        <f t="shared" si="33"/>
        <v>68.3839566666667</v>
      </c>
      <c r="K90" s="47">
        <f t="shared" si="34"/>
        <v>58.7069816666667</v>
      </c>
      <c r="L90" s="47">
        <f t="shared" si="35"/>
        <v>91.3131223958333</v>
      </c>
      <c r="M90" s="47">
        <f t="shared" si="36"/>
        <v>88.0807994791667</v>
      </c>
      <c r="N90" s="47">
        <f t="shared" si="37"/>
        <v>186.1418125</v>
      </c>
      <c r="O90" s="47">
        <f t="shared" si="38"/>
        <v>55.5159791666667</v>
      </c>
      <c r="P90" s="47">
        <f t="shared" si="39"/>
        <v>52.4715975</v>
      </c>
      <c r="Q90" s="164">
        <v>19.194</v>
      </c>
      <c r="R90" s="165"/>
      <c r="S90" s="38"/>
    </row>
    <row r="91" s="6" customFormat="1" ht="18" customHeight="1" spans="1:19">
      <c r="A91" s="163" t="s">
        <v>29</v>
      </c>
      <c r="B91" s="128">
        <v>1.4</v>
      </c>
      <c r="C91" s="55" t="s">
        <v>59</v>
      </c>
      <c r="D91" s="55" t="s">
        <v>34</v>
      </c>
      <c r="E91" s="55" t="s">
        <v>32</v>
      </c>
      <c r="F91" s="55" t="s">
        <v>64</v>
      </c>
      <c r="G91" s="47">
        <f t="shared" si="30"/>
        <v>287.952</v>
      </c>
      <c r="H91" s="47">
        <f t="shared" si="31"/>
        <v>319.86668</v>
      </c>
      <c r="I91" s="47">
        <f t="shared" si="32"/>
        <v>335.944</v>
      </c>
      <c r="J91" s="47">
        <f t="shared" si="33"/>
        <v>85.4924155555555</v>
      </c>
      <c r="K91" s="47">
        <f t="shared" si="34"/>
        <v>73.3944322222222</v>
      </c>
      <c r="L91" s="47">
        <f t="shared" si="35"/>
        <v>114.158053819444</v>
      </c>
      <c r="M91" s="47">
        <f t="shared" si="36"/>
        <v>110.117060763889</v>
      </c>
      <c r="N91" s="47">
        <f t="shared" si="37"/>
        <v>232.711208333333</v>
      </c>
      <c r="O91" s="47">
        <f t="shared" si="38"/>
        <v>69.4050972222222</v>
      </c>
      <c r="P91" s="47">
        <f t="shared" si="39"/>
        <v>65.599065</v>
      </c>
      <c r="Q91" s="164">
        <v>23.996</v>
      </c>
      <c r="R91" s="165"/>
      <c r="S91" s="38"/>
    </row>
    <row r="92" s="100" customFormat="1" ht="18" customHeight="1" spans="1:19">
      <c r="A92" s="163" t="s">
        <v>29</v>
      </c>
      <c r="B92" s="128">
        <v>1.5</v>
      </c>
      <c r="C92" s="55" t="s">
        <v>59</v>
      </c>
      <c r="D92" s="55" t="s">
        <v>31</v>
      </c>
      <c r="E92" s="55" t="s">
        <v>32</v>
      </c>
      <c r="F92" s="55" t="s">
        <v>65</v>
      </c>
      <c r="G92" s="47">
        <f t="shared" si="30"/>
        <v>247.296</v>
      </c>
      <c r="H92" s="47">
        <f t="shared" si="31"/>
        <v>274.70464</v>
      </c>
      <c r="I92" s="47">
        <f t="shared" si="32"/>
        <v>288.512</v>
      </c>
      <c r="J92" s="47">
        <f t="shared" si="33"/>
        <v>73.4217244444444</v>
      </c>
      <c r="K92" s="47">
        <f t="shared" si="34"/>
        <v>63.0318577777778</v>
      </c>
      <c r="L92" s="47">
        <f t="shared" si="35"/>
        <v>98.0400555555556</v>
      </c>
      <c r="M92" s="47">
        <f t="shared" si="36"/>
        <v>94.5696111111111</v>
      </c>
      <c r="N92" s="47">
        <f t="shared" si="37"/>
        <v>199.854666666667</v>
      </c>
      <c r="O92" s="47">
        <f t="shared" si="38"/>
        <v>59.6057777777778</v>
      </c>
      <c r="P92" s="47">
        <f t="shared" si="39"/>
        <v>56.33712</v>
      </c>
      <c r="Q92" s="164">
        <v>20.608</v>
      </c>
      <c r="R92" s="165"/>
      <c r="S92" s="38"/>
    </row>
    <row r="93" s="100" customFormat="1" ht="18" customHeight="1" spans="1:19">
      <c r="A93" s="163" t="s">
        <v>29</v>
      </c>
      <c r="B93" s="128">
        <v>1.5</v>
      </c>
      <c r="C93" s="55" t="s">
        <v>59</v>
      </c>
      <c r="D93" s="55" t="s">
        <v>34</v>
      </c>
      <c r="E93" s="55" t="s">
        <v>32</v>
      </c>
      <c r="F93" s="55" t="s">
        <v>65</v>
      </c>
      <c r="G93" s="47">
        <f t="shared" si="30"/>
        <v>302.76</v>
      </c>
      <c r="H93" s="47">
        <f t="shared" si="31"/>
        <v>336.3159</v>
      </c>
      <c r="I93" s="47">
        <f t="shared" si="32"/>
        <v>353.22</v>
      </c>
      <c r="J93" s="47">
        <f t="shared" si="33"/>
        <v>89.8888833333333</v>
      </c>
      <c r="K93" s="47">
        <f t="shared" si="34"/>
        <v>77.1687583333333</v>
      </c>
      <c r="L93" s="47">
        <f t="shared" si="35"/>
        <v>120.028658854167</v>
      </c>
      <c r="M93" s="47">
        <f t="shared" si="36"/>
        <v>115.779856770833</v>
      </c>
      <c r="N93" s="47">
        <f t="shared" si="37"/>
        <v>244.6784375</v>
      </c>
      <c r="O93" s="47">
        <f t="shared" si="38"/>
        <v>72.9742708333333</v>
      </c>
      <c r="P93" s="47">
        <f t="shared" si="39"/>
        <v>68.9725125</v>
      </c>
      <c r="Q93" s="164">
        <v>25.23</v>
      </c>
      <c r="R93" s="165"/>
      <c r="S93" s="38"/>
    </row>
    <row r="94" s="6" customFormat="1" ht="18" customHeight="1" spans="1:19">
      <c r="A94" s="163" t="s">
        <v>29</v>
      </c>
      <c r="B94" s="128">
        <v>1.6</v>
      </c>
      <c r="C94" s="55" t="s">
        <v>59</v>
      </c>
      <c r="D94" s="55" t="s">
        <v>31</v>
      </c>
      <c r="E94" s="55" t="s">
        <v>32</v>
      </c>
      <c r="F94" s="55" t="s">
        <v>65</v>
      </c>
      <c r="G94" s="47">
        <f t="shared" si="30"/>
        <v>260.004</v>
      </c>
      <c r="H94" s="47">
        <f t="shared" si="31"/>
        <v>288.82111</v>
      </c>
      <c r="I94" s="47">
        <f t="shared" si="32"/>
        <v>303.338</v>
      </c>
      <c r="J94" s="47">
        <f t="shared" si="33"/>
        <v>77.1947061111111</v>
      </c>
      <c r="K94" s="47">
        <f t="shared" si="34"/>
        <v>66.2709269444444</v>
      </c>
      <c r="L94" s="47">
        <f t="shared" si="35"/>
        <v>103.078119357639</v>
      </c>
      <c r="M94" s="47">
        <f t="shared" si="36"/>
        <v>99.4293363715278</v>
      </c>
      <c r="N94" s="47">
        <f t="shared" si="37"/>
        <v>210.124760416667</v>
      </c>
      <c r="O94" s="47">
        <f t="shared" si="38"/>
        <v>62.6687881944445</v>
      </c>
      <c r="P94" s="47">
        <f t="shared" si="39"/>
        <v>59.23216125</v>
      </c>
      <c r="Q94" s="164">
        <v>21.667</v>
      </c>
      <c r="R94" s="165"/>
      <c r="S94" s="38"/>
    </row>
    <row r="95" s="100" customFormat="1" ht="18" customHeight="1" spans="1:19">
      <c r="A95" s="163" t="s">
        <v>29</v>
      </c>
      <c r="B95" s="128">
        <v>1.6</v>
      </c>
      <c r="C95" s="55" t="s">
        <v>59</v>
      </c>
      <c r="D95" s="55" t="s">
        <v>34</v>
      </c>
      <c r="E95" s="55" t="s">
        <v>32</v>
      </c>
      <c r="F95" s="55" t="s">
        <v>65</v>
      </c>
      <c r="G95" s="47">
        <f t="shared" si="30"/>
        <v>311.844</v>
      </c>
      <c r="H95" s="47">
        <f t="shared" si="31"/>
        <v>346.40671</v>
      </c>
      <c r="I95" s="47">
        <f t="shared" si="32"/>
        <v>363.818</v>
      </c>
      <c r="J95" s="47">
        <f t="shared" si="33"/>
        <v>92.5859061111111</v>
      </c>
      <c r="K95" s="47">
        <f t="shared" si="34"/>
        <v>79.4841269444444</v>
      </c>
      <c r="L95" s="47">
        <f t="shared" si="35"/>
        <v>123.629994357639</v>
      </c>
      <c r="M95" s="47">
        <f t="shared" si="36"/>
        <v>119.253711371528</v>
      </c>
      <c r="N95" s="47">
        <f t="shared" si="37"/>
        <v>252.019760416667</v>
      </c>
      <c r="O95" s="47">
        <f t="shared" si="38"/>
        <v>75.1637881944444</v>
      </c>
      <c r="P95" s="47">
        <f t="shared" si="39"/>
        <v>71.04196125</v>
      </c>
      <c r="Q95" s="164">
        <v>25.987</v>
      </c>
      <c r="R95" s="165"/>
      <c r="S95" s="38"/>
    </row>
    <row r="96" s="100" customFormat="1" ht="18" customHeight="1" spans="1:19">
      <c r="A96" s="163" t="s">
        <v>29</v>
      </c>
      <c r="B96" s="128">
        <v>1.7</v>
      </c>
      <c r="C96" s="55" t="s">
        <v>59</v>
      </c>
      <c r="D96" s="55" t="s">
        <v>31</v>
      </c>
      <c r="E96" s="55" t="s">
        <v>32</v>
      </c>
      <c r="F96" s="55" t="s">
        <v>66</v>
      </c>
      <c r="G96" s="47">
        <f t="shared" si="30"/>
        <v>260.052</v>
      </c>
      <c r="H96" s="47">
        <f t="shared" si="31"/>
        <v>288.87443</v>
      </c>
      <c r="I96" s="47">
        <f t="shared" si="32"/>
        <v>303.394</v>
      </c>
      <c r="J96" s="47">
        <f t="shared" si="33"/>
        <v>77.2089572222222</v>
      </c>
      <c r="K96" s="47">
        <f t="shared" si="34"/>
        <v>66.2831613888889</v>
      </c>
      <c r="L96" s="47">
        <f t="shared" si="35"/>
        <v>103.097148871528</v>
      </c>
      <c r="M96" s="47">
        <f t="shared" si="36"/>
        <v>99.4476922743056</v>
      </c>
      <c r="N96" s="47">
        <f t="shared" si="37"/>
        <v>210.163552083333</v>
      </c>
      <c r="O96" s="47">
        <f t="shared" si="38"/>
        <v>62.6803576388889</v>
      </c>
      <c r="P96" s="47">
        <f t="shared" si="39"/>
        <v>59.24309625</v>
      </c>
      <c r="Q96" s="164">
        <v>21.671</v>
      </c>
      <c r="R96" s="165"/>
      <c r="S96" s="38"/>
    </row>
    <row r="97" s="6" customFormat="1" ht="18" customHeight="1" spans="1:19">
      <c r="A97" s="163" t="s">
        <v>29</v>
      </c>
      <c r="B97" s="128">
        <v>1.7</v>
      </c>
      <c r="C97" s="55" t="s">
        <v>59</v>
      </c>
      <c r="D97" s="55" t="s">
        <v>34</v>
      </c>
      <c r="E97" s="55" t="s">
        <v>32</v>
      </c>
      <c r="F97" s="55" t="s">
        <v>66</v>
      </c>
      <c r="G97" s="47">
        <f t="shared" si="30"/>
        <v>322.284</v>
      </c>
      <c r="H97" s="47">
        <f t="shared" si="31"/>
        <v>358.00381</v>
      </c>
      <c r="I97" s="47">
        <f t="shared" si="32"/>
        <v>375.998</v>
      </c>
      <c r="J97" s="47">
        <f t="shared" si="33"/>
        <v>95.6855227777778</v>
      </c>
      <c r="K97" s="47">
        <f t="shared" si="34"/>
        <v>82.1451186111111</v>
      </c>
      <c r="L97" s="47">
        <f t="shared" si="35"/>
        <v>127.768913628472</v>
      </c>
      <c r="M97" s="47">
        <f t="shared" si="36"/>
        <v>123.246120225694</v>
      </c>
      <c r="N97" s="47">
        <f t="shared" si="37"/>
        <v>260.456947916667</v>
      </c>
      <c r="O97" s="47">
        <f t="shared" si="38"/>
        <v>77.6801423611111</v>
      </c>
      <c r="P97" s="47">
        <f t="shared" si="39"/>
        <v>73.42032375</v>
      </c>
      <c r="Q97" s="164">
        <v>26.857</v>
      </c>
      <c r="R97" s="165"/>
      <c r="S97" s="38"/>
    </row>
    <row r="98" s="6" customFormat="1" ht="18" customHeight="1" spans="1:19">
      <c r="A98" s="163" t="s">
        <v>29</v>
      </c>
      <c r="B98" s="128">
        <v>1.8</v>
      </c>
      <c r="C98" s="55" t="s">
        <v>59</v>
      </c>
      <c r="D98" s="55" t="s">
        <v>31</v>
      </c>
      <c r="E98" s="55" t="s">
        <v>32</v>
      </c>
      <c r="F98" s="55" t="s">
        <v>66</v>
      </c>
      <c r="G98" s="47">
        <f t="shared" si="30"/>
        <v>271.248</v>
      </c>
      <c r="H98" s="47">
        <f t="shared" si="31"/>
        <v>301.31132</v>
      </c>
      <c r="I98" s="47">
        <f t="shared" si="32"/>
        <v>316.456</v>
      </c>
      <c r="J98" s="47">
        <f t="shared" si="33"/>
        <v>80.5330288888889</v>
      </c>
      <c r="K98" s="47">
        <f t="shared" si="34"/>
        <v>69.1368455555556</v>
      </c>
      <c r="L98" s="47">
        <f t="shared" si="35"/>
        <v>107.535782986111</v>
      </c>
      <c r="M98" s="47">
        <f t="shared" si="36"/>
        <v>103.729206597222</v>
      </c>
      <c r="N98" s="47">
        <f t="shared" si="37"/>
        <v>219.211708333333</v>
      </c>
      <c r="O98" s="47">
        <f t="shared" si="38"/>
        <v>65.3789305555556</v>
      </c>
      <c r="P98" s="47">
        <f t="shared" si="39"/>
        <v>61.793685</v>
      </c>
      <c r="Q98" s="164">
        <v>22.604</v>
      </c>
      <c r="R98" s="165"/>
      <c r="S98" s="38"/>
    </row>
    <row r="99" s="6" customFormat="1" ht="18" customHeight="1" spans="1:19">
      <c r="A99" s="163" t="s">
        <v>29</v>
      </c>
      <c r="B99" s="128">
        <v>1.8</v>
      </c>
      <c r="C99" s="55" t="s">
        <v>59</v>
      </c>
      <c r="D99" s="55" t="s">
        <v>34</v>
      </c>
      <c r="E99" s="55" t="s">
        <v>32</v>
      </c>
      <c r="F99" s="55" t="s">
        <v>66</v>
      </c>
      <c r="G99" s="47">
        <f t="shared" si="30"/>
        <v>322.284</v>
      </c>
      <c r="H99" s="47">
        <f t="shared" si="31"/>
        <v>358.00381</v>
      </c>
      <c r="I99" s="47">
        <f t="shared" si="32"/>
        <v>375.998</v>
      </c>
      <c r="J99" s="47">
        <f t="shared" si="33"/>
        <v>95.6855227777778</v>
      </c>
      <c r="K99" s="47">
        <f t="shared" si="34"/>
        <v>82.1451186111111</v>
      </c>
      <c r="L99" s="47">
        <f t="shared" si="35"/>
        <v>127.768913628472</v>
      </c>
      <c r="M99" s="47">
        <f t="shared" si="36"/>
        <v>123.246120225694</v>
      </c>
      <c r="N99" s="47">
        <f t="shared" si="37"/>
        <v>260.456947916667</v>
      </c>
      <c r="O99" s="47">
        <f t="shared" si="38"/>
        <v>77.6801423611111</v>
      </c>
      <c r="P99" s="47">
        <f t="shared" si="39"/>
        <v>73.42032375</v>
      </c>
      <c r="Q99" s="164">
        <v>26.857</v>
      </c>
      <c r="R99" s="165"/>
      <c r="S99" s="38"/>
    </row>
    <row r="100" s="6" customFormat="1" ht="18" customHeight="1" spans="1:19">
      <c r="A100" s="163" t="s">
        <v>29</v>
      </c>
      <c r="B100" s="128">
        <v>1.9</v>
      </c>
      <c r="C100" s="55" t="s">
        <v>59</v>
      </c>
      <c r="D100" s="55" t="s">
        <v>31</v>
      </c>
      <c r="E100" s="55" t="s">
        <v>32</v>
      </c>
      <c r="F100" s="55" t="s">
        <v>67</v>
      </c>
      <c r="G100" s="47">
        <f t="shared" si="30"/>
        <v>291.996</v>
      </c>
      <c r="H100" s="47">
        <f t="shared" si="31"/>
        <v>324.35889</v>
      </c>
      <c r="I100" s="47">
        <f t="shared" si="32"/>
        <v>340.662</v>
      </c>
      <c r="J100" s="47">
        <f t="shared" si="33"/>
        <v>86.6930716666667</v>
      </c>
      <c r="K100" s="47">
        <f t="shared" si="34"/>
        <v>74.4251841666667</v>
      </c>
      <c r="L100" s="47">
        <f t="shared" si="35"/>
        <v>115.761290364583</v>
      </c>
      <c r="M100" s="47">
        <f t="shared" si="36"/>
        <v>111.663545572917</v>
      </c>
      <c r="N100" s="47">
        <f t="shared" si="37"/>
        <v>235.97940625</v>
      </c>
      <c r="O100" s="47">
        <f t="shared" si="38"/>
        <v>70.3798229166667</v>
      </c>
      <c r="P100" s="47">
        <f t="shared" si="39"/>
        <v>66.52033875</v>
      </c>
      <c r="Q100" s="164">
        <v>24.333</v>
      </c>
      <c r="R100" s="165"/>
      <c r="S100" s="38"/>
    </row>
    <row r="101" s="100" customFormat="1" ht="18" customHeight="1" spans="1:19">
      <c r="A101" s="163" t="s">
        <v>29</v>
      </c>
      <c r="B101" s="128">
        <v>1.9</v>
      </c>
      <c r="C101" s="55" t="s">
        <v>59</v>
      </c>
      <c r="D101" s="55" t="s">
        <v>34</v>
      </c>
      <c r="E101" s="55" t="s">
        <v>32</v>
      </c>
      <c r="F101" s="55" t="s">
        <v>67</v>
      </c>
      <c r="G101" s="47">
        <f t="shared" si="30"/>
        <v>339.852</v>
      </c>
      <c r="H101" s="47">
        <f t="shared" si="31"/>
        <v>377.51893</v>
      </c>
      <c r="I101" s="47">
        <f t="shared" si="32"/>
        <v>396.494</v>
      </c>
      <c r="J101" s="47">
        <f t="shared" si="33"/>
        <v>100.901429444444</v>
      </c>
      <c r="K101" s="47">
        <f t="shared" si="34"/>
        <v>86.6229252777778</v>
      </c>
      <c r="L101" s="47">
        <f t="shared" si="35"/>
        <v>134.733715711806</v>
      </c>
      <c r="M101" s="47">
        <f t="shared" si="36"/>
        <v>129.964380642361</v>
      </c>
      <c r="N101" s="47">
        <f t="shared" si="37"/>
        <v>274.654697916667</v>
      </c>
      <c r="O101" s="47">
        <f t="shared" si="38"/>
        <v>81.9145590277778</v>
      </c>
      <c r="P101" s="47">
        <f t="shared" si="39"/>
        <v>77.42253375</v>
      </c>
      <c r="Q101" s="164">
        <v>28.321</v>
      </c>
      <c r="R101" s="165"/>
      <c r="S101" s="38"/>
    </row>
    <row r="102" s="6" customFormat="1" ht="18" customHeight="1" spans="1:19">
      <c r="A102" s="163" t="s">
        <v>29</v>
      </c>
      <c r="B102" s="128">
        <v>2</v>
      </c>
      <c r="C102" s="55" t="s">
        <v>59</v>
      </c>
      <c r="D102" s="55" t="s">
        <v>31</v>
      </c>
      <c r="E102" s="55" t="s">
        <v>32</v>
      </c>
      <c r="F102" s="55" t="s">
        <v>68</v>
      </c>
      <c r="G102" s="47">
        <f t="shared" si="30"/>
        <v>307.932</v>
      </c>
      <c r="H102" s="47">
        <f t="shared" si="31"/>
        <v>342.06113</v>
      </c>
      <c r="I102" s="47">
        <f t="shared" si="32"/>
        <v>359.254</v>
      </c>
      <c r="J102" s="47">
        <f t="shared" si="33"/>
        <v>91.4244405555555</v>
      </c>
      <c r="K102" s="47">
        <f t="shared" si="34"/>
        <v>78.4870197222222</v>
      </c>
      <c r="L102" s="47">
        <f t="shared" si="35"/>
        <v>122.079088975694</v>
      </c>
      <c r="M102" s="47">
        <f t="shared" si="36"/>
        <v>117.757705295139</v>
      </c>
      <c r="N102" s="47">
        <f t="shared" si="37"/>
        <v>248.858239583333</v>
      </c>
      <c r="O102" s="47">
        <f t="shared" si="38"/>
        <v>74.2208784722222</v>
      </c>
      <c r="P102" s="47">
        <f t="shared" si="39"/>
        <v>70.15075875</v>
      </c>
      <c r="Q102" s="164">
        <v>25.661</v>
      </c>
      <c r="R102" s="165"/>
      <c r="S102" s="38"/>
    </row>
    <row r="103" s="6" customFormat="1" ht="18" customHeight="1" spans="1:19">
      <c r="A103" s="163" t="s">
        <v>29</v>
      </c>
      <c r="B103" s="128">
        <v>2</v>
      </c>
      <c r="C103" s="55" t="s">
        <v>59</v>
      </c>
      <c r="D103" s="55" t="s">
        <v>34</v>
      </c>
      <c r="E103" s="55" t="s">
        <v>32</v>
      </c>
      <c r="F103" s="55" t="s">
        <v>68</v>
      </c>
      <c r="G103" s="47">
        <f t="shared" si="30"/>
        <v>355.776</v>
      </c>
      <c r="H103" s="47">
        <f t="shared" si="31"/>
        <v>395.20784</v>
      </c>
      <c r="I103" s="47">
        <f t="shared" si="32"/>
        <v>415.072</v>
      </c>
      <c r="J103" s="47">
        <f t="shared" si="33"/>
        <v>105.629235555556</v>
      </c>
      <c r="K103" s="47">
        <f t="shared" si="34"/>
        <v>90.6817022222222</v>
      </c>
      <c r="L103" s="47">
        <f t="shared" si="35"/>
        <v>141.046756944444</v>
      </c>
      <c r="M103" s="47">
        <f t="shared" si="36"/>
        <v>136.053951388889</v>
      </c>
      <c r="N103" s="47">
        <f t="shared" si="37"/>
        <v>287.523833333333</v>
      </c>
      <c r="O103" s="47">
        <f t="shared" si="38"/>
        <v>85.7527222222222</v>
      </c>
      <c r="P103" s="47">
        <f t="shared" si="39"/>
        <v>81.05022</v>
      </c>
      <c r="Q103" s="164">
        <v>29.648</v>
      </c>
      <c r="R103" s="165"/>
      <c r="S103" s="38"/>
    </row>
    <row r="104" s="6" customFormat="1" ht="18" customHeight="1" spans="1:19">
      <c r="A104" s="163" t="s">
        <v>29</v>
      </c>
      <c r="B104" s="128">
        <v>2.1</v>
      </c>
      <c r="C104" s="55" t="s">
        <v>59</v>
      </c>
      <c r="D104" s="55" t="s">
        <v>31</v>
      </c>
      <c r="E104" s="55" t="s">
        <v>32</v>
      </c>
      <c r="F104" s="55" t="s">
        <v>68</v>
      </c>
      <c r="G104" s="47">
        <f t="shared" si="30"/>
        <v>318.792</v>
      </c>
      <c r="H104" s="47">
        <f t="shared" si="31"/>
        <v>354.12478</v>
      </c>
      <c r="I104" s="47">
        <f t="shared" si="32"/>
        <v>371.924</v>
      </c>
      <c r="J104" s="47">
        <f t="shared" si="33"/>
        <v>94.6487544444444</v>
      </c>
      <c r="K104" s="47">
        <f t="shared" si="34"/>
        <v>81.2550627777778</v>
      </c>
      <c r="L104" s="47">
        <f t="shared" si="35"/>
        <v>126.384516493056</v>
      </c>
      <c r="M104" s="47">
        <f t="shared" si="36"/>
        <v>121.910728298611</v>
      </c>
      <c r="N104" s="47">
        <f t="shared" si="37"/>
        <v>257.634854166667</v>
      </c>
      <c r="O104" s="47">
        <f t="shared" si="38"/>
        <v>76.8384652777778</v>
      </c>
      <c r="P104" s="47">
        <f t="shared" si="39"/>
        <v>72.6248025</v>
      </c>
      <c r="Q104" s="164">
        <v>26.566</v>
      </c>
      <c r="R104" s="165"/>
      <c r="S104" s="38"/>
    </row>
    <row r="105" s="100" customFormat="1" ht="18" customHeight="1" spans="1:19">
      <c r="A105" s="163" t="s">
        <v>29</v>
      </c>
      <c r="B105" s="128">
        <v>2.1</v>
      </c>
      <c r="C105" s="55" t="s">
        <v>59</v>
      </c>
      <c r="D105" s="55" t="s">
        <v>34</v>
      </c>
      <c r="E105" s="55" t="s">
        <v>32</v>
      </c>
      <c r="F105" s="55" t="s">
        <v>68</v>
      </c>
      <c r="G105" s="47">
        <f t="shared" si="30"/>
        <v>370.152</v>
      </c>
      <c r="H105" s="47">
        <f t="shared" si="31"/>
        <v>411.17718</v>
      </c>
      <c r="I105" s="47">
        <f t="shared" si="32"/>
        <v>431.844</v>
      </c>
      <c r="J105" s="47">
        <f t="shared" si="33"/>
        <v>109.897443333333</v>
      </c>
      <c r="K105" s="47">
        <f t="shared" si="34"/>
        <v>94.3459183333333</v>
      </c>
      <c r="L105" s="47">
        <f t="shared" si="35"/>
        <v>146.746096354167</v>
      </c>
      <c r="M105" s="47">
        <f t="shared" si="36"/>
        <v>141.551544270833</v>
      </c>
      <c r="N105" s="47">
        <f t="shared" si="37"/>
        <v>299.1419375</v>
      </c>
      <c r="O105" s="47">
        <f t="shared" si="38"/>
        <v>89.2177708333333</v>
      </c>
      <c r="P105" s="47">
        <f t="shared" si="39"/>
        <v>84.3252525</v>
      </c>
      <c r="Q105" s="164">
        <v>30.846</v>
      </c>
      <c r="R105" s="165"/>
      <c r="S105" s="38"/>
    </row>
    <row r="106" s="6" customFormat="1" ht="18" customHeight="1" spans="1:19">
      <c r="A106" s="163" t="s">
        <v>29</v>
      </c>
      <c r="B106" s="128">
        <v>2.2</v>
      </c>
      <c r="C106" s="55" t="s">
        <v>59</v>
      </c>
      <c r="D106" s="55" t="s">
        <v>31</v>
      </c>
      <c r="E106" s="55" t="s">
        <v>32</v>
      </c>
      <c r="F106" s="55" t="s">
        <v>69</v>
      </c>
      <c r="G106" s="47">
        <f t="shared" si="30"/>
        <v>347.724</v>
      </c>
      <c r="H106" s="47">
        <f t="shared" si="31"/>
        <v>386.26341</v>
      </c>
      <c r="I106" s="47">
        <f t="shared" si="32"/>
        <v>405.678</v>
      </c>
      <c r="J106" s="47">
        <f t="shared" si="33"/>
        <v>103.238611666667</v>
      </c>
      <c r="K106" s="47">
        <f t="shared" si="34"/>
        <v>88.6293741666667</v>
      </c>
      <c r="L106" s="47">
        <f t="shared" si="35"/>
        <v>137.854555989583</v>
      </c>
      <c r="M106" s="47">
        <f t="shared" si="36"/>
        <v>132.974748697917</v>
      </c>
      <c r="N106" s="47">
        <f t="shared" si="37"/>
        <v>281.01653125</v>
      </c>
      <c r="O106" s="47">
        <f t="shared" si="38"/>
        <v>83.8119479166667</v>
      </c>
      <c r="P106" s="47">
        <f t="shared" si="39"/>
        <v>79.21587375</v>
      </c>
      <c r="Q106" s="164">
        <v>28.977</v>
      </c>
      <c r="R106" s="165"/>
      <c r="S106" s="38"/>
    </row>
    <row r="107" s="6" customFormat="1" ht="18" customHeight="1" spans="1:19">
      <c r="A107" s="163" t="s">
        <v>29</v>
      </c>
      <c r="B107" s="128">
        <v>2.2</v>
      </c>
      <c r="C107" s="55" t="s">
        <v>59</v>
      </c>
      <c r="D107" s="55" t="s">
        <v>34</v>
      </c>
      <c r="E107" s="55" t="s">
        <v>32</v>
      </c>
      <c r="F107" s="55" t="s">
        <v>69</v>
      </c>
      <c r="G107" s="47">
        <f t="shared" si="30"/>
        <v>393.852</v>
      </c>
      <c r="H107" s="47">
        <f t="shared" si="31"/>
        <v>437.50393</v>
      </c>
      <c r="I107" s="47">
        <f t="shared" si="32"/>
        <v>459.494</v>
      </c>
      <c r="J107" s="47">
        <f t="shared" si="33"/>
        <v>116.933929444444</v>
      </c>
      <c r="K107" s="47">
        <f t="shared" si="34"/>
        <v>100.386675277778</v>
      </c>
      <c r="L107" s="47">
        <f t="shared" si="35"/>
        <v>156.141918836806</v>
      </c>
      <c r="M107" s="47">
        <f t="shared" si="36"/>
        <v>150.614771267361</v>
      </c>
      <c r="N107" s="47">
        <f t="shared" si="37"/>
        <v>318.295322916667</v>
      </c>
      <c r="O107" s="47">
        <f t="shared" si="38"/>
        <v>94.9301840277778</v>
      </c>
      <c r="P107" s="47">
        <f t="shared" si="39"/>
        <v>89.72440875</v>
      </c>
      <c r="Q107" s="164">
        <v>32.821</v>
      </c>
      <c r="R107" s="165"/>
      <c r="S107" s="38"/>
    </row>
    <row r="108" s="6" customFormat="1" ht="18" customHeight="1" spans="1:19">
      <c r="A108" s="163" t="s">
        <v>29</v>
      </c>
      <c r="B108" s="128">
        <v>2.3</v>
      </c>
      <c r="C108" s="55" t="s">
        <v>59</v>
      </c>
      <c r="D108" s="55" t="s">
        <v>31</v>
      </c>
      <c r="E108" s="55" t="s">
        <v>32</v>
      </c>
      <c r="F108" s="55" t="s">
        <v>69</v>
      </c>
      <c r="G108" s="47">
        <f t="shared" si="30"/>
        <v>355.392</v>
      </c>
      <c r="H108" s="47">
        <f t="shared" si="31"/>
        <v>394.78128</v>
      </c>
      <c r="I108" s="47">
        <f t="shared" si="32"/>
        <v>414.624</v>
      </c>
      <c r="J108" s="47">
        <f t="shared" si="33"/>
        <v>105.515226666667</v>
      </c>
      <c r="K108" s="47">
        <f t="shared" si="34"/>
        <v>90.5838266666667</v>
      </c>
      <c r="L108" s="47">
        <f t="shared" si="35"/>
        <v>140.894520833333</v>
      </c>
      <c r="M108" s="47">
        <f t="shared" si="36"/>
        <v>135.907104166667</v>
      </c>
      <c r="N108" s="47">
        <f t="shared" si="37"/>
        <v>287.2135</v>
      </c>
      <c r="O108" s="47">
        <f t="shared" si="38"/>
        <v>85.6601666666667</v>
      </c>
      <c r="P108" s="47">
        <f t="shared" si="39"/>
        <v>80.96274</v>
      </c>
      <c r="Q108" s="164">
        <v>29.616</v>
      </c>
      <c r="R108" s="165"/>
      <c r="S108" s="38"/>
    </row>
    <row r="109" s="100" customFormat="1" ht="18" customHeight="1" spans="1:19">
      <c r="A109" s="163" t="s">
        <v>29</v>
      </c>
      <c r="B109" s="128">
        <v>2.3</v>
      </c>
      <c r="C109" s="55" t="s">
        <v>59</v>
      </c>
      <c r="D109" s="55" t="s">
        <v>34</v>
      </c>
      <c r="E109" s="55" t="s">
        <v>32</v>
      </c>
      <c r="F109" s="55" t="s">
        <v>69</v>
      </c>
      <c r="G109" s="47">
        <f t="shared" si="30"/>
        <v>401.568</v>
      </c>
      <c r="H109" s="47">
        <f t="shared" si="31"/>
        <v>446.07512</v>
      </c>
      <c r="I109" s="47">
        <f t="shared" si="32"/>
        <v>468.496</v>
      </c>
      <c r="J109" s="47">
        <f t="shared" si="33"/>
        <v>119.224795555556</v>
      </c>
      <c r="K109" s="47">
        <f t="shared" si="34"/>
        <v>102.353362222222</v>
      </c>
      <c r="L109" s="47">
        <f t="shared" si="35"/>
        <v>159.200913194444</v>
      </c>
      <c r="M109" s="47">
        <f t="shared" si="36"/>
        <v>153.565482638889</v>
      </c>
      <c r="N109" s="47">
        <f t="shared" si="37"/>
        <v>324.531083333333</v>
      </c>
      <c r="O109" s="47">
        <f t="shared" si="38"/>
        <v>96.7899722222222</v>
      </c>
      <c r="P109" s="47">
        <f t="shared" si="39"/>
        <v>91.48221</v>
      </c>
      <c r="Q109" s="164">
        <v>33.464</v>
      </c>
      <c r="R109" s="165"/>
      <c r="S109" s="38"/>
    </row>
    <row r="110" s="100" customFormat="1" ht="18" customHeight="1" spans="1:19">
      <c r="A110" s="163" t="s">
        <v>29</v>
      </c>
      <c r="B110" s="128">
        <v>2.4</v>
      </c>
      <c r="C110" s="55" t="s">
        <v>59</v>
      </c>
      <c r="D110" s="55" t="s">
        <v>31</v>
      </c>
      <c r="E110" s="55" t="s">
        <v>32</v>
      </c>
      <c r="F110" s="55" t="s">
        <v>70</v>
      </c>
      <c r="G110" s="47">
        <f t="shared" si="30"/>
        <v>378.456</v>
      </c>
      <c r="H110" s="47">
        <f t="shared" si="31"/>
        <v>420.40154</v>
      </c>
      <c r="I110" s="47">
        <f t="shared" si="32"/>
        <v>441.532</v>
      </c>
      <c r="J110" s="47">
        <f t="shared" si="33"/>
        <v>112.362885555556</v>
      </c>
      <c r="K110" s="47">
        <f t="shared" si="34"/>
        <v>96.4624772222222</v>
      </c>
      <c r="L110" s="47">
        <f t="shared" si="35"/>
        <v>150.038202256944</v>
      </c>
      <c r="M110" s="47">
        <f t="shared" si="36"/>
        <v>144.727115451389</v>
      </c>
      <c r="N110" s="47">
        <f t="shared" si="37"/>
        <v>305.852895833333</v>
      </c>
      <c r="O110" s="47">
        <f t="shared" si="38"/>
        <v>91.2192847222222</v>
      </c>
      <c r="P110" s="47">
        <f t="shared" si="39"/>
        <v>86.2170075</v>
      </c>
      <c r="Q110" s="164">
        <v>31.538</v>
      </c>
      <c r="R110" s="165"/>
      <c r="S110" s="38"/>
    </row>
    <row r="111" s="100" customFormat="1" ht="18" customHeight="1" spans="1:19">
      <c r="A111" s="163" t="s">
        <v>29</v>
      </c>
      <c r="B111" s="128">
        <v>2.4</v>
      </c>
      <c r="C111" s="55" t="s">
        <v>59</v>
      </c>
      <c r="D111" s="55" t="s">
        <v>34</v>
      </c>
      <c r="E111" s="55" t="s">
        <v>32</v>
      </c>
      <c r="F111" s="55" t="s">
        <v>70</v>
      </c>
      <c r="G111" s="47">
        <f t="shared" si="30"/>
        <v>424.632</v>
      </c>
      <c r="H111" s="47">
        <f t="shared" si="31"/>
        <v>471.69538</v>
      </c>
      <c r="I111" s="47">
        <f t="shared" si="32"/>
        <v>495.404</v>
      </c>
      <c r="J111" s="47">
        <f t="shared" si="33"/>
        <v>126.072454444444</v>
      </c>
      <c r="K111" s="47">
        <f t="shared" si="34"/>
        <v>108.232012777778</v>
      </c>
      <c r="L111" s="47">
        <f t="shared" si="35"/>
        <v>168.344594618056</v>
      </c>
      <c r="M111" s="47">
        <f t="shared" si="36"/>
        <v>162.385493923611</v>
      </c>
      <c r="N111" s="47">
        <f t="shared" si="37"/>
        <v>343.170479166667</v>
      </c>
      <c r="O111" s="47">
        <f t="shared" si="38"/>
        <v>102.349090277778</v>
      </c>
      <c r="P111" s="47">
        <f t="shared" si="39"/>
        <v>96.7364775</v>
      </c>
      <c r="Q111" s="164">
        <v>35.386</v>
      </c>
      <c r="R111" s="165"/>
      <c r="S111" s="38"/>
    </row>
    <row r="112" s="6" customFormat="1" ht="18" customHeight="1" spans="1:19">
      <c r="A112" s="163" t="s">
        <v>29</v>
      </c>
      <c r="B112" s="128">
        <v>2.5</v>
      </c>
      <c r="C112" s="55" t="s">
        <v>59</v>
      </c>
      <c r="D112" s="55" t="s">
        <v>31</v>
      </c>
      <c r="E112" s="55" t="s">
        <v>32</v>
      </c>
      <c r="F112" s="55" t="s">
        <v>70</v>
      </c>
      <c r="G112" s="47">
        <f t="shared" si="30"/>
        <v>386.184</v>
      </c>
      <c r="H112" s="47">
        <f t="shared" si="31"/>
        <v>428.98606</v>
      </c>
      <c r="I112" s="47">
        <f t="shared" si="32"/>
        <v>450.548</v>
      </c>
      <c r="J112" s="47">
        <f t="shared" si="33"/>
        <v>114.657314444444</v>
      </c>
      <c r="K112" s="47">
        <f t="shared" si="34"/>
        <v>98.4322227777778</v>
      </c>
      <c r="L112" s="47">
        <f t="shared" si="35"/>
        <v>153.101953993056</v>
      </c>
      <c r="M112" s="47">
        <f t="shared" si="36"/>
        <v>147.682415798611</v>
      </c>
      <c r="N112" s="47">
        <f t="shared" si="37"/>
        <v>312.098354166667</v>
      </c>
      <c r="O112" s="47">
        <f t="shared" si="38"/>
        <v>93.0819652777778</v>
      </c>
      <c r="P112" s="47">
        <f t="shared" si="39"/>
        <v>87.9775425</v>
      </c>
      <c r="Q112" s="164">
        <v>32.182</v>
      </c>
      <c r="R112" s="165"/>
      <c r="S112" s="38"/>
    </row>
    <row r="113" s="100" customFormat="1" ht="18" customHeight="1" spans="1:20">
      <c r="A113" s="163" t="s">
        <v>29</v>
      </c>
      <c r="B113" s="128">
        <v>2.5</v>
      </c>
      <c r="C113" s="55" t="s">
        <v>59</v>
      </c>
      <c r="D113" s="55" t="s">
        <v>34</v>
      </c>
      <c r="E113" s="55" t="s">
        <v>32</v>
      </c>
      <c r="F113" s="55" t="s">
        <v>70</v>
      </c>
      <c r="G113" s="47">
        <f t="shared" si="30"/>
        <v>432.324</v>
      </c>
      <c r="H113" s="47">
        <f t="shared" si="31"/>
        <v>480.23991</v>
      </c>
      <c r="I113" s="47">
        <f t="shared" si="32"/>
        <v>504.378</v>
      </c>
      <c r="J113" s="47">
        <f t="shared" si="33"/>
        <v>128.356195</v>
      </c>
      <c r="K113" s="47">
        <f t="shared" si="34"/>
        <v>110.1925825</v>
      </c>
      <c r="L113" s="47">
        <f t="shared" si="35"/>
        <v>171.39407421875</v>
      </c>
      <c r="M113" s="47">
        <f t="shared" si="36"/>
        <v>165.32702734375</v>
      </c>
      <c r="N113" s="47">
        <f t="shared" si="37"/>
        <v>349.38684375</v>
      </c>
      <c r="O113" s="47">
        <f t="shared" si="38"/>
        <v>104.20309375</v>
      </c>
      <c r="P113" s="47">
        <f t="shared" si="39"/>
        <v>98.48881125</v>
      </c>
      <c r="Q113" s="164">
        <v>36.027</v>
      </c>
      <c r="R113" s="165"/>
      <c r="S113" s="38"/>
    </row>
    <row r="114" s="6" customFormat="1" ht="18" customHeight="1" spans="1:20">
      <c r="A114" s="163" t="s">
        <v>29</v>
      </c>
      <c r="B114" s="128">
        <v>2.6</v>
      </c>
      <c r="C114" s="55" t="s">
        <v>59</v>
      </c>
      <c r="D114" s="55" t="s">
        <v>31</v>
      </c>
      <c r="E114" s="55" t="s">
        <v>32</v>
      </c>
      <c r="F114" s="55" t="s">
        <v>71</v>
      </c>
      <c r="G114" s="47">
        <f t="shared" si="30"/>
        <v>400.008</v>
      </c>
      <c r="H114" s="47">
        <f t="shared" si="31"/>
        <v>444.34222</v>
      </c>
      <c r="I114" s="47">
        <f t="shared" si="32"/>
        <v>466.676</v>
      </c>
      <c r="J114" s="47">
        <f t="shared" si="33"/>
        <v>118.761634444444</v>
      </c>
      <c r="K114" s="47">
        <f t="shared" si="34"/>
        <v>101.955742777778</v>
      </c>
      <c r="L114" s="47">
        <f t="shared" si="35"/>
        <v>158.582453993056</v>
      </c>
      <c r="M114" s="47">
        <f t="shared" si="36"/>
        <v>152.968915798611</v>
      </c>
      <c r="N114" s="47">
        <f t="shared" si="37"/>
        <v>323.270354166667</v>
      </c>
      <c r="O114" s="47">
        <f t="shared" si="38"/>
        <v>96.4139652777778</v>
      </c>
      <c r="P114" s="47">
        <f t="shared" si="39"/>
        <v>91.1268225</v>
      </c>
      <c r="Q114" s="164">
        <v>33.334</v>
      </c>
      <c r="R114" s="165"/>
      <c r="S114" s="38"/>
    </row>
    <row r="115" s="100" customFormat="1" ht="18" customHeight="1" spans="1:20">
      <c r="A115" s="163" t="s">
        <v>29</v>
      </c>
      <c r="B115" s="128">
        <v>2.6</v>
      </c>
      <c r="C115" s="55" t="s">
        <v>59</v>
      </c>
      <c r="D115" s="55" t="s">
        <v>34</v>
      </c>
      <c r="E115" s="55" t="s">
        <v>32</v>
      </c>
      <c r="F115" s="55" t="s">
        <v>71</v>
      </c>
      <c r="G115" s="47">
        <f t="shared" si="30"/>
        <v>446.16</v>
      </c>
      <c r="H115" s="47">
        <f t="shared" si="31"/>
        <v>495.6094</v>
      </c>
      <c r="I115" s="47">
        <f t="shared" si="32"/>
        <v>520.52</v>
      </c>
      <c r="J115" s="47">
        <f t="shared" si="33"/>
        <v>132.464077777778</v>
      </c>
      <c r="K115" s="47">
        <f t="shared" si="34"/>
        <v>113.719161111111</v>
      </c>
      <c r="L115" s="47">
        <f t="shared" si="35"/>
        <v>176.879331597222</v>
      </c>
      <c r="M115" s="47">
        <f t="shared" si="36"/>
        <v>170.618116319444</v>
      </c>
      <c r="N115" s="47">
        <f t="shared" si="37"/>
        <v>360.568541666667</v>
      </c>
      <c r="O115" s="47">
        <f t="shared" si="38"/>
        <v>107.537986111111</v>
      </c>
      <c r="P115" s="47">
        <f t="shared" si="39"/>
        <v>101.640825</v>
      </c>
      <c r="Q115" s="164">
        <v>37.18</v>
      </c>
      <c r="R115" s="165"/>
      <c r="S115" s="38"/>
    </row>
    <row r="116" s="6" customFormat="1" ht="18" customHeight="1" spans="1:20">
      <c r="A116" s="163" t="s">
        <v>29</v>
      </c>
      <c r="B116" s="128">
        <v>2.8</v>
      </c>
      <c r="C116" s="55" t="s">
        <v>59</v>
      </c>
      <c r="D116" s="55" t="s">
        <v>31</v>
      </c>
      <c r="E116" s="55" t="s">
        <v>32</v>
      </c>
      <c r="F116" s="55" t="s">
        <v>72</v>
      </c>
      <c r="G116" s="47">
        <f t="shared" si="30"/>
        <v>415.392</v>
      </c>
      <c r="H116" s="47">
        <f t="shared" si="31"/>
        <v>461.43128</v>
      </c>
      <c r="I116" s="47">
        <f t="shared" si="32"/>
        <v>484.624</v>
      </c>
      <c r="J116" s="47">
        <f t="shared" si="33"/>
        <v>123.329115555556</v>
      </c>
      <c r="K116" s="47">
        <f t="shared" si="34"/>
        <v>105.876882222222</v>
      </c>
      <c r="L116" s="47">
        <f t="shared" si="35"/>
        <v>164.681413194444</v>
      </c>
      <c r="M116" s="47">
        <f t="shared" si="36"/>
        <v>158.851982638889</v>
      </c>
      <c r="N116" s="47">
        <f t="shared" si="37"/>
        <v>335.703083333333</v>
      </c>
      <c r="O116" s="47">
        <f t="shared" si="38"/>
        <v>100.121972222222</v>
      </c>
      <c r="P116" s="47">
        <f t="shared" si="39"/>
        <v>94.63149</v>
      </c>
      <c r="Q116" s="164">
        <v>34.616</v>
      </c>
      <c r="R116" s="165"/>
      <c r="S116" s="38"/>
    </row>
    <row r="117" s="100" customFormat="1" ht="18" customHeight="1" spans="1:20">
      <c r="A117" s="163" t="s">
        <v>29</v>
      </c>
      <c r="B117" s="128">
        <v>2.8</v>
      </c>
      <c r="C117" s="55" t="s">
        <v>59</v>
      </c>
      <c r="D117" s="55" t="s">
        <v>34</v>
      </c>
      <c r="E117" s="55" t="s">
        <v>32</v>
      </c>
      <c r="F117" s="55" t="s">
        <v>72</v>
      </c>
      <c r="G117" s="47">
        <f t="shared" si="30"/>
        <v>461.544</v>
      </c>
      <c r="H117" s="47">
        <f t="shared" si="31"/>
        <v>512.69846</v>
      </c>
      <c r="I117" s="47">
        <f t="shared" si="32"/>
        <v>538.468</v>
      </c>
      <c r="J117" s="47">
        <f t="shared" si="33"/>
        <v>137.031558888889</v>
      </c>
      <c r="K117" s="47">
        <f t="shared" si="34"/>
        <v>117.640300555556</v>
      </c>
      <c r="L117" s="47">
        <f t="shared" si="35"/>
        <v>182.978290798611</v>
      </c>
      <c r="M117" s="47">
        <f t="shared" si="36"/>
        <v>176.501183159722</v>
      </c>
      <c r="N117" s="47">
        <f t="shared" si="37"/>
        <v>373.001270833333</v>
      </c>
      <c r="O117" s="47">
        <f t="shared" si="38"/>
        <v>111.245993055556</v>
      </c>
      <c r="P117" s="47">
        <f t="shared" si="39"/>
        <v>105.1454925</v>
      </c>
      <c r="Q117" s="164">
        <v>38.462</v>
      </c>
      <c r="R117" s="165"/>
      <c r="S117" s="38"/>
    </row>
    <row r="118" s="6" customFormat="1" ht="18" customHeight="1" spans="1:20">
      <c r="A118" s="163" t="s">
        <v>29</v>
      </c>
      <c r="B118" s="128">
        <v>3</v>
      </c>
      <c r="C118" s="55" t="s">
        <v>59</v>
      </c>
      <c r="D118" s="55" t="s">
        <v>31</v>
      </c>
      <c r="E118" s="55" t="s">
        <v>32</v>
      </c>
      <c r="F118" s="55" t="s">
        <v>73</v>
      </c>
      <c r="G118" s="47">
        <f t="shared" si="30"/>
        <v>447.228</v>
      </c>
      <c r="H118" s="47">
        <f t="shared" si="31"/>
        <v>496.79577</v>
      </c>
      <c r="I118" s="47">
        <f t="shared" si="32"/>
        <v>521.766</v>
      </c>
      <c r="J118" s="47">
        <f t="shared" si="33"/>
        <v>132.781165</v>
      </c>
      <c r="K118" s="47">
        <f t="shared" si="34"/>
        <v>113.9913775</v>
      </c>
      <c r="L118" s="47">
        <f t="shared" si="35"/>
        <v>177.30273828125</v>
      </c>
      <c r="M118" s="47">
        <f t="shared" si="36"/>
        <v>171.02653515625</v>
      </c>
      <c r="N118" s="47">
        <f t="shared" si="37"/>
        <v>361.43165625</v>
      </c>
      <c r="O118" s="47">
        <f t="shared" si="38"/>
        <v>107.79540625</v>
      </c>
      <c r="P118" s="47">
        <f t="shared" si="39"/>
        <v>101.88412875</v>
      </c>
      <c r="Q118" s="164">
        <v>37.269</v>
      </c>
      <c r="R118" s="165"/>
      <c r="S118" s="38"/>
    </row>
    <row r="119" s="100" customFormat="1" ht="18" customHeight="1" spans="1:20">
      <c r="A119" s="163" t="s">
        <v>29</v>
      </c>
      <c r="B119" s="128">
        <v>3</v>
      </c>
      <c r="C119" s="55" t="s">
        <v>59</v>
      </c>
      <c r="D119" s="55" t="s">
        <v>34</v>
      </c>
      <c r="E119" s="55" t="s">
        <v>32</v>
      </c>
      <c r="F119" s="55" t="s">
        <v>73</v>
      </c>
      <c r="G119" s="47">
        <f t="shared" si="30"/>
        <v>506.16</v>
      </c>
      <c r="H119" s="47">
        <f t="shared" si="31"/>
        <v>562.2594</v>
      </c>
      <c r="I119" s="47">
        <f t="shared" si="32"/>
        <v>590.52</v>
      </c>
      <c r="J119" s="47">
        <f t="shared" si="33"/>
        <v>150.277966666667</v>
      </c>
      <c r="K119" s="47">
        <f t="shared" si="34"/>
        <v>129.012216666667</v>
      </c>
      <c r="L119" s="47">
        <f t="shared" si="35"/>
        <v>200.666223958333</v>
      </c>
      <c r="M119" s="47">
        <f t="shared" si="36"/>
        <v>193.562994791667</v>
      </c>
      <c r="N119" s="47">
        <f t="shared" si="37"/>
        <v>409.058125</v>
      </c>
      <c r="O119" s="47">
        <f t="shared" si="38"/>
        <v>121.999791666667</v>
      </c>
      <c r="P119" s="47">
        <f t="shared" si="39"/>
        <v>115.309575</v>
      </c>
      <c r="Q119" s="164">
        <v>42.18</v>
      </c>
      <c r="R119" s="165"/>
      <c r="S119" s="38"/>
    </row>
    <row r="120" s="100" customFormat="1" ht="18" customHeight="1" spans="1:20">
      <c r="A120" s="163" t="s">
        <v>29</v>
      </c>
      <c r="B120" s="128">
        <v>3.2</v>
      </c>
      <c r="C120" s="55" t="s">
        <v>59</v>
      </c>
      <c r="D120" s="55" t="s">
        <v>31</v>
      </c>
      <c r="E120" s="55" t="s">
        <v>32</v>
      </c>
      <c r="F120" s="55" t="s">
        <v>74</v>
      </c>
      <c r="G120" s="47">
        <f t="shared" si="30"/>
        <v>467.256</v>
      </c>
      <c r="H120" s="47">
        <f t="shared" si="31"/>
        <v>519.04354</v>
      </c>
      <c r="I120" s="47">
        <f t="shared" si="32"/>
        <v>545.132</v>
      </c>
      <c r="J120" s="47">
        <f t="shared" si="33"/>
        <v>138.727441111111</v>
      </c>
      <c r="K120" s="47">
        <f t="shared" si="34"/>
        <v>119.096199444444</v>
      </c>
      <c r="L120" s="47">
        <f t="shared" si="35"/>
        <v>185.242802951389</v>
      </c>
      <c r="M120" s="47">
        <f t="shared" si="36"/>
        <v>178.685535590278</v>
      </c>
      <c r="N120" s="47">
        <f t="shared" si="37"/>
        <v>377.617479166667</v>
      </c>
      <c r="O120" s="47">
        <f t="shared" si="38"/>
        <v>112.622756944444</v>
      </c>
      <c r="P120" s="47">
        <f t="shared" si="39"/>
        <v>106.4467575</v>
      </c>
      <c r="Q120" s="164">
        <v>38.938</v>
      </c>
      <c r="R120" s="165"/>
      <c r="S120" s="38"/>
    </row>
    <row r="121" s="100" customFormat="1" ht="18" customHeight="1" spans="1:20">
      <c r="A121" s="163" t="s">
        <v>29</v>
      </c>
      <c r="B121" s="128">
        <v>3.2</v>
      </c>
      <c r="C121" s="55" t="s">
        <v>59</v>
      </c>
      <c r="D121" s="55" t="s">
        <v>34</v>
      </c>
      <c r="E121" s="55" t="s">
        <v>32</v>
      </c>
      <c r="F121" s="55" t="s">
        <v>74</v>
      </c>
      <c r="G121" s="47">
        <f t="shared" si="30"/>
        <v>535.464</v>
      </c>
      <c r="H121" s="47">
        <f t="shared" si="31"/>
        <v>594.81126</v>
      </c>
      <c r="I121" s="47">
        <f t="shared" si="32"/>
        <v>624.708</v>
      </c>
      <c r="J121" s="47">
        <f t="shared" si="33"/>
        <v>158.97827</v>
      </c>
      <c r="K121" s="47">
        <f t="shared" si="34"/>
        <v>136.481345</v>
      </c>
      <c r="L121" s="47">
        <f t="shared" si="35"/>
        <v>212.2837421875</v>
      </c>
      <c r="M121" s="47">
        <f t="shared" si="36"/>
        <v>204.7692734375</v>
      </c>
      <c r="N121" s="47">
        <f t="shared" si="37"/>
        <v>432.7404375</v>
      </c>
      <c r="O121" s="47">
        <f t="shared" si="38"/>
        <v>129.0629375</v>
      </c>
      <c r="P121" s="47">
        <f t="shared" si="39"/>
        <v>121.9853925</v>
      </c>
      <c r="Q121" s="164">
        <v>44.622</v>
      </c>
      <c r="R121" s="165"/>
      <c r="S121" s="38"/>
    </row>
    <row r="122" s="38" customFormat="1" ht="15.6" spans="1:20">
      <c r="A122" s="113"/>
      <c r="B122" s="113"/>
      <c r="C122" s="113"/>
      <c r="D122" s="113"/>
      <c r="E122" s="113"/>
      <c r="F122" s="113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02"/>
      <c r="S122" s="166"/>
    </row>
    <row r="123" s="1" customFormat="1" ht="17.4" spans="1:20">
      <c r="A123" s="38" t="s">
        <v>75</v>
      </c>
      <c r="B123" s="38"/>
      <c r="C123" s="38"/>
      <c r="D123" s="38"/>
      <c r="E123" s="39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</row>
    <row r="124" s="1" customFormat="1" ht="17.4" spans="1:20">
      <c r="A124" s="38" t="s">
        <v>76</v>
      </c>
      <c r="B124" s="38"/>
      <c r="C124" s="38"/>
      <c r="D124" s="38"/>
      <c r="E124" s="41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</row>
    <row r="125" s="1" customFormat="1" ht="17.4" spans="1:20">
      <c r="A125" s="38" t="s">
        <v>77</v>
      </c>
      <c r="B125" s="38"/>
      <c r="C125" s="38"/>
      <c r="D125" s="38"/>
      <c r="E125" s="41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</row>
    <row r="126" ht="30" customHeight="1" spans="1:20">
      <c r="A126" s="119" t="s">
        <v>78</v>
      </c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</row>
    <row r="127" s="5" customFormat="1" ht="17" customHeight="1" spans="1:20">
      <c r="A127" s="119" t="s">
        <v>79</v>
      </c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20"/>
      <c r="T127" s="38"/>
    </row>
    <row r="128" s="5" customFormat="1" ht="15.6" spans="1:20">
      <c r="A128" s="113"/>
      <c r="B128" s="113"/>
      <c r="C128" s="167"/>
      <c r="D128" s="167"/>
      <c r="E128" s="167"/>
      <c r="F128" s="167"/>
      <c r="G128" s="167"/>
      <c r="H128" s="167"/>
      <c r="I128" s="167"/>
      <c r="J128" s="119"/>
      <c r="K128" s="119"/>
      <c r="L128" s="119"/>
      <c r="M128" s="119"/>
      <c r="N128" s="119"/>
      <c r="O128" s="119"/>
      <c r="P128" s="119"/>
      <c r="Q128" s="119"/>
      <c r="R128" s="119"/>
      <c r="S128" s="120"/>
      <c r="T128" s="38"/>
    </row>
    <row r="129" s="6" customFormat="1" ht="23" customHeight="1" spans="1:20">
      <c r="A129" s="1" t="s">
        <v>80</v>
      </c>
      <c r="B129" s="1"/>
      <c r="C129" s="1"/>
      <c r="D129" s="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1"/>
      <c r="S129" s="120"/>
      <c r="T129" s="38"/>
    </row>
  </sheetData>
  <mergeCells count="8">
    <mergeCell ref="A1:R1"/>
    <mergeCell ref="A2:R2"/>
    <mergeCell ref="A3:R3"/>
    <mergeCell ref="A5:B5"/>
    <mergeCell ref="A7:B7"/>
    <mergeCell ref="A8:B8"/>
    <mergeCell ref="A126:R126"/>
    <mergeCell ref="A127:Q127"/>
  </mergeCells>
  <pageMargins left="0.75" right="0.75" top="1" bottom="1" header="0.5" footer="0.5"/>
  <pageSetup paperSize="9" scale="50" orientation="landscape"/>
  <headerFooter/>
  <rowBreaks count="3" manualBreakCount="3">
    <brk id="46" max="16383" man="1"/>
    <brk id="93" max="16383" man="1"/>
    <brk id="12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II32"/>
  <sheetViews>
    <sheetView view="pageBreakPreview" zoomScaleNormal="100" topLeftCell="A5" workbookViewId="0">
      <selection activeCell="E15" sqref="E15"/>
    </sheetView>
  </sheetViews>
  <sheetFormatPr defaultColWidth="9" defaultRowHeight="15.6"/>
  <cols>
    <col min="1" max="1" width="11.8796296296296" style="129" customWidth="1"/>
    <col min="2" max="2" width="13.5555555555556" style="129" customWidth="1"/>
    <col min="3" max="3" width="14.2222222222222" style="129" customWidth="1"/>
    <col min="4" max="4" width="13.3333333333333" style="129" customWidth="1"/>
    <col min="5" max="5" width="14.2222222222222" style="129" customWidth="1"/>
    <col min="6" max="6" width="15.5555555555556" style="129" customWidth="1"/>
    <col min="7" max="7" width="10.2222222222222" style="129"/>
    <col min="8" max="8" width="10.2222222222222" style="131"/>
    <col min="9" max="16384" width="9" style="129"/>
  </cols>
  <sheetData>
    <row r="1" s="129" customFormat="1" ht="94" customHeight="1" spans="1:243">
      <c r="A1" s="132"/>
      <c r="B1" s="132"/>
      <c r="C1" s="132"/>
      <c r="D1" s="132"/>
      <c r="E1" s="132"/>
      <c r="F1" s="132"/>
      <c r="G1" s="132"/>
      <c r="H1" s="131"/>
    </row>
    <row r="2" s="129" customFormat="1" spans="1:243">
      <c r="A2" s="133" t="s">
        <v>81</v>
      </c>
      <c r="B2" s="133"/>
      <c r="C2" s="133"/>
      <c r="D2" s="133"/>
      <c r="E2" s="133"/>
      <c r="F2" s="133"/>
      <c r="G2" s="134"/>
      <c r="H2" s="131"/>
    </row>
    <row r="3" s="129" customFormat="1" spans="1:243">
      <c r="A3" s="135" t="s">
        <v>0</v>
      </c>
      <c r="B3" s="135"/>
      <c r="C3" s="135"/>
      <c r="D3" s="135"/>
      <c r="E3" s="135"/>
      <c r="F3" s="135"/>
      <c r="G3" s="136"/>
      <c r="H3" s="131"/>
    </row>
    <row r="4" s="129" customFormat="1" spans="1:243">
      <c r="A4" s="133" t="s">
        <v>82</v>
      </c>
      <c r="B4" s="133"/>
      <c r="C4" s="133"/>
      <c r="D4" s="133"/>
      <c r="E4" s="133"/>
      <c r="F4" s="133"/>
      <c r="G4" s="134"/>
      <c r="H4" s="131"/>
    </row>
    <row r="5" s="130" customFormat="1" ht="17.4" spans="1:243">
      <c r="A5" s="9" t="s">
        <v>2</v>
      </c>
      <c r="B5" s="9"/>
      <c r="C5" s="58"/>
      <c r="D5" s="137"/>
      <c r="E5" s="9" t="s">
        <v>3</v>
      </c>
      <c r="F5" s="9"/>
      <c r="G5" s="9"/>
      <c r="H5" s="138"/>
      <c r="I5" s="10"/>
      <c r="J5" s="10"/>
      <c r="HP5" s="139"/>
      <c r="HQ5" s="139"/>
      <c r="HR5" s="139"/>
      <c r="HS5" s="139"/>
      <c r="HT5" s="139"/>
      <c r="HU5" s="139"/>
      <c r="HV5" s="139"/>
      <c r="HW5" s="139"/>
      <c r="HX5" s="139"/>
      <c r="HY5" s="139"/>
      <c r="HZ5" s="139"/>
      <c r="IA5" s="139"/>
      <c r="IB5" s="139"/>
      <c r="IC5" s="139"/>
      <c r="ID5" s="139"/>
      <c r="IE5" s="139"/>
      <c r="IF5" s="139"/>
      <c r="IG5" s="139"/>
      <c r="IH5" s="139"/>
      <c r="II5" s="139"/>
    </row>
    <row r="6" s="130" customFormat="1" ht="17.4" spans="1:243">
      <c r="A6" s="9" t="s">
        <v>4</v>
      </c>
      <c r="B6" s="9"/>
      <c r="C6" s="58"/>
      <c r="D6" s="137"/>
      <c r="E6" s="9" t="s">
        <v>5</v>
      </c>
      <c r="F6" s="9"/>
      <c r="G6" s="9"/>
      <c r="H6" s="138"/>
      <c r="I6" s="10"/>
      <c r="J6" s="10"/>
      <c r="HP6" s="139"/>
      <c r="HQ6" s="139"/>
      <c r="HR6" s="139"/>
      <c r="HS6" s="139"/>
      <c r="HT6" s="139"/>
      <c r="HU6" s="139"/>
      <c r="HV6" s="139"/>
      <c r="HW6" s="139"/>
      <c r="HX6" s="139"/>
      <c r="HY6" s="139"/>
      <c r="HZ6" s="139"/>
      <c r="IA6" s="139"/>
      <c r="IB6" s="139"/>
      <c r="IC6" s="139"/>
      <c r="ID6" s="139"/>
      <c r="IE6" s="139"/>
      <c r="IF6" s="139"/>
      <c r="IG6" s="139"/>
      <c r="IH6" s="139"/>
      <c r="II6" s="139"/>
    </row>
    <row r="7" s="130" customFormat="1" ht="17.4" spans="1:243">
      <c r="A7" s="9" t="s">
        <v>6</v>
      </c>
      <c r="B7" s="9"/>
      <c r="C7" s="58"/>
      <c r="D7" s="137"/>
      <c r="E7" s="9" t="s">
        <v>7</v>
      </c>
      <c r="F7" s="9"/>
      <c r="G7" s="9"/>
      <c r="H7" s="138"/>
      <c r="I7" s="10"/>
      <c r="J7" s="10"/>
      <c r="HP7" s="139"/>
      <c r="HQ7" s="139"/>
      <c r="HR7" s="139"/>
      <c r="HS7" s="139"/>
      <c r="HT7" s="139"/>
      <c r="HU7" s="139"/>
      <c r="HV7" s="139"/>
      <c r="HW7" s="139"/>
      <c r="HX7" s="139"/>
      <c r="HY7" s="139"/>
      <c r="HZ7" s="139"/>
      <c r="IA7" s="139"/>
      <c r="IB7" s="139"/>
      <c r="IC7" s="139"/>
      <c r="ID7" s="139"/>
      <c r="IE7" s="139"/>
      <c r="IF7" s="139"/>
      <c r="IG7" s="139"/>
      <c r="IH7" s="139"/>
      <c r="II7" s="139"/>
    </row>
    <row r="8" s="130" customFormat="1" ht="17.4" spans="1:243">
      <c r="A8" s="9" t="s">
        <v>8</v>
      </c>
      <c r="B8" s="9"/>
      <c r="C8" s="60"/>
      <c r="D8" s="61"/>
      <c r="E8" s="9" t="s">
        <v>9</v>
      </c>
      <c r="F8" s="9"/>
      <c r="G8" s="9"/>
      <c r="H8" s="138"/>
      <c r="I8" s="10"/>
      <c r="J8" s="10"/>
      <c r="HP8" s="139"/>
      <c r="HQ8" s="139"/>
      <c r="HR8" s="139"/>
      <c r="HS8" s="139"/>
      <c r="HT8" s="139"/>
      <c r="HU8" s="139"/>
      <c r="HV8" s="139"/>
      <c r="HW8" s="139"/>
      <c r="HX8" s="139"/>
      <c r="HY8" s="139"/>
      <c r="HZ8" s="139"/>
      <c r="IA8" s="139"/>
      <c r="IB8" s="139"/>
      <c r="IC8" s="139"/>
      <c r="ID8" s="139"/>
      <c r="IE8" s="139"/>
      <c r="IF8" s="139"/>
      <c r="IG8" s="139"/>
      <c r="IH8" s="139"/>
      <c r="II8" s="139"/>
    </row>
    <row r="9" s="129" customFormat="1" ht="17.4" spans="1:243">
      <c r="A9" s="140" t="s">
        <v>83</v>
      </c>
      <c r="B9" s="140"/>
      <c r="C9" s="140"/>
      <c r="D9" s="140"/>
      <c r="E9" s="140"/>
      <c r="F9" s="140"/>
      <c r="H9" s="131"/>
    </row>
    <row r="10" s="129" customFormat="1" ht="17.25" customHeight="1" spans="1:243">
      <c r="A10" s="14" t="s">
        <v>11</v>
      </c>
      <c r="B10" s="141" t="s">
        <v>84</v>
      </c>
      <c r="C10" s="142" t="s">
        <v>85</v>
      </c>
      <c r="D10" s="62" t="s">
        <v>86</v>
      </c>
      <c r="E10" s="14" t="s">
        <v>87</v>
      </c>
      <c r="F10" s="14" t="s">
        <v>88</v>
      </c>
      <c r="G10" s="14" t="s">
        <v>28</v>
      </c>
      <c r="H10" s="131"/>
    </row>
    <row r="11" s="129" customFormat="1" ht="17.25" customHeight="1" spans="1:243">
      <c r="A11" s="143" t="s">
        <v>29</v>
      </c>
      <c r="B11" s="144">
        <v>106</v>
      </c>
      <c r="C11" s="142">
        <v>0.72</v>
      </c>
      <c r="D11" s="145">
        <v>300</v>
      </c>
      <c r="E11" s="146">
        <v>29.33</v>
      </c>
      <c r="F11" s="147">
        <f>E11*D11</f>
        <v>8799</v>
      </c>
      <c r="G11" s="146"/>
      <c r="H11" s="131"/>
    </row>
    <row r="12" s="129" customFormat="1" ht="17.25" customHeight="1" spans="1:243">
      <c r="A12" s="143" t="s">
        <v>29</v>
      </c>
      <c r="B12" s="144">
        <v>106</v>
      </c>
      <c r="C12" s="142">
        <v>0.75</v>
      </c>
      <c r="D12" s="145">
        <v>300</v>
      </c>
      <c r="E12" s="146">
        <v>38.53</v>
      </c>
      <c r="F12" s="147">
        <f t="shared" ref="F11:F26" si="0">E12*D12</f>
        <v>11559</v>
      </c>
      <c r="G12" s="146"/>
      <c r="H12" s="131"/>
    </row>
    <row r="13" s="129" customFormat="1" ht="17.25" customHeight="1" spans="1:243">
      <c r="A13" s="143" t="s">
        <v>29</v>
      </c>
      <c r="B13" s="144">
        <v>106</v>
      </c>
      <c r="C13" s="142">
        <v>0.78</v>
      </c>
      <c r="D13" s="145">
        <v>300</v>
      </c>
      <c r="E13" s="146">
        <v>39.13</v>
      </c>
      <c r="F13" s="147">
        <f t="shared" si="0"/>
        <v>11739</v>
      </c>
      <c r="G13" s="146"/>
      <c r="H13" s="131"/>
    </row>
    <row r="14" s="129" customFormat="1" ht="17.25" customHeight="1" spans="1:243">
      <c r="A14" s="143" t="s">
        <v>29</v>
      </c>
      <c r="B14" s="144">
        <v>1080</v>
      </c>
      <c r="C14" s="142" t="s">
        <v>89</v>
      </c>
      <c r="D14" s="145">
        <v>300</v>
      </c>
      <c r="E14" s="146">
        <v>26.61</v>
      </c>
      <c r="F14" s="147">
        <f t="shared" si="0"/>
        <v>7983</v>
      </c>
      <c r="G14" s="146"/>
      <c r="H14" s="131"/>
    </row>
    <row r="15" s="129" customFormat="1" ht="17.25" customHeight="1" spans="1:243">
      <c r="A15" s="143" t="s">
        <v>29</v>
      </c>
      <c r="B15" s="144">
        <v>1080</v>
      </c>
      <c r="C15" s="142" t="s">
        <v>90</v>
      </c>
      <c r="D15" s="145">
        <v>300</v>
      </c>
      <c r="E15" s="146">
        <v>27.97</v>
      </c>
      <c r="F15" s="147">
        <f t="shared" si="0"/>
        <v>8391</v>
      </c>
      <c r="G15" s="146"/>
      <c r="H15" s="131"/>
    </row>
    <row r="16" s="129" customFormat="1" ht="17.25" customHeight="1" spans="1:243">
      <c r="A16" s="143" t="s">
        <v>29</v>
      </c>
      <c r="B16" s="144">
        <v>1080</v>
      </c>
      <c r="C16" s="142" t="s">
        <v>91</v>
      </c>
      <c r="D16" s="145">
        <v>300</v>
      </c>
      <c r="E16" s="146">
        <v>29.81</v>
      </c>
      <c r="F16" s="147">
        <f t="shared" si="0"/>
        <v>8943</v>
      </c>
      <c r="G16" s="146"/>
      <c r="H16" s="131"/>
    </row>
    <row r="17" s="129" customFormat="1" ht="17.25" customHeight="1" spans="1:10">
      <c r="A17" s="143" t="s">
        <v>29</v>
      </c>
      <c r="B17" s="144">
        <v>2116</v>
      </c>
      <c r="C17" s="142" t="s">
        <v>92</v>
      </c>
      <c r="D17" s="145">
        <v>200</v>
      </c>
      <c r="E17" s="146">
        <v>27.47</v>
      </c>
      <c r="F17" s="147">
        <f t="shared" si="0"/>
        <v>5494</v>
      </c>
      <c r="G17" s="146"/>
      <c r="H17" s="131"/>
    </row>
    <row r="18" s="129" customFormat="1" ht="17.25" customHeight="1" spans="1:10">
      <c r="A18" s="143" t="s">
        <v>29</v>
      </c>
      <c r="B18" s="144">
        <v>2116</v>
      </c>
      <c r="C18" s="142" t="s">
        <v>93</v>
      </c>
      <c r="D18" s="145">
        <v>200</v>
      </c>
      <c r="E18" s="146">
        <v>28.83</v>
      </c>
      <c r="F18" s="147">
        <f t="shared" si="0"/>
        <v>5766</v>
      </c>
      <c r="G18" s="146"/>
      <c r="H18" s="131"/>
    </row>
    <row r="19" s="129" customFormat="1" ht="17.25" customHeight="1" spans="1:10">
      <c r="A19" s="143" t="s">
        <v>29</v>
      </c>
      <c r="B19" s="144">
        <v>2116</v>
      </c>
      <c r="C19" s="142" t="s">
        <v>94</v>
      </c>
      <c r="D19" s="145">
        <v>200</v>
      </c>
      <c r="E19" s="146">
        <v>29.93</v>
      </c>
      <c r="F19" s="147">
        <f t="shared" si="0"/>
        <v>5986</v>
      </c>
      <c r="G19" s="146"/>
      <c r="H19" s="131"/>
    </row>
    <row r="20" s="129" customFormat="1" ht="17.25" customHeight="1" spans="1:10">
      <c r="A20" s="143" t="s">
        <v>29</v>
      </c>
      <c r="B20" s="144" t="s">
        <v>95</v>
      </c>
      <c r="C20" s="142" t="s">
        <v>96</v>
      </c>
      <c r="D20" s="145">
        <v>300</v>
      </c>
      <c r="E20" s="146">
        <v>29.9</v>
      </c>
      <c r="F20" s="147">
        <f t="shared" si="0"/>
        <v>8970</v>
      </c>
      <c r="G20" s="146"/>
      <c r="H20" s="131"/>
    </row>
    <row r="21" s="129" customFormat="1" ht="17.25" customHeight="1" spans="1:10">
      <c r="A21" s="143" t="s">
        <v>29</v>
      </c>
      <c r="B21" s="144" t="s">
        <v>95</v>
      </c>
      <c r="C21" s="142" t="s">
        <v>97</v>
      </c>
      <c r="D21" s="145">
        <v>300</v>
      </c>
      <c r="E21" s="146">
        <v>31.49</v>
      </c>
      <c r="F21" s="147">
        <f t="shared" si="0"/>
        <v>9447</v>
      </c>
      <c r="G21" s="146"/>
      <c r="H21" s="131"/>
    </row>
    <row r="22" s="129" customFormat="1" ht="17.25" customHeight="1" spans="1:10">
      <c r="A22" s="143" t="s">
        <v>29</v>
      </c>
      <c r="B22" s="144" t="s">
        <v>95</v>
      </c>
      <c r="C22" s="142" t="s">
        <v>98</v>
      </c>
      <c r="D22" s="145">
        <v>300</v>
      </c>
      <c r="E22" s="146">
        <v>33.25</v>
      </c>
      <c r="F22" s="147">
        <f t="shared" si="0"/>
        <v>9975</v>
      </c>
      <c r="G22" s="146"/>
      <c r="H22" s="131"/>
    </row>
    <row r="23" s="129" customFormat="1" ht="17.25" customHeight="1" spans="1:10">
      <c r="A23" s="143" t="s">
        <v>29</v>
      </c>
      <c r="B23" s="144">
        <v>7628</v>
      </c>
      <c r="C23" s="142" t="s">
        <v>99</v>
      </c>
      <c r="D23" s="145">
        <v>150</v>
      </c>
      <c r="E23" s="146">
        <v>27.26</v>
      </c>
      <c r="F23" s="147">
        <f t="shared" si="0"/>
        <v>4089</v>
      </c>
      <c r="G23" s="146"/>
      <c r="H23" s="131"/>
    </row>
    <row r="24" s="129" customFormat="1" ht="17.25" customHeight="1" spans="1:10">
      <c r="A24" s="143" t="s">
        <v>29</v>
      </c>
      <c r="B24" s="144">
        <v>7628</v>
      </c>
      <c r="C24" s="142" t="s">
        <v>100</v>
      </c>
      <c r="D24" s="145">
        <v>150</v>
      </c>
      <c r="E24" s="146">
        <v>28.7</v>
      </c>
      <c r="F24" s="147">
        <f t="shared" si="0"/>
        <v>4305</v>
      </c>
      <c r="G24" s="146"/>
      <c r="H24" s="131"/>
    </row>
    <row r="25" s="129" customFormat="1" ht="17.25" customHeight="1" spans="1:10">
      <c r="A25" s="143" t="s">
        <v>29</v>
      </c>
      <c r="B25" s="144">
        <v>7628</v>
      </c>
      <c r="C25" s="142" t="s">
        <v>101</v>
      </c>
      <c r="D25" s="145">
        <v>150</v>
      </c>
      <c r="E25" s="146">
        <v>31.42</v>
      </c>
      <c r="F25" s="147">
        <f t="shared" si="0"/>
        <v>4713</v>
      </c>
      <c r="G25" s="146"/>
      <c r="H25" s="131"/>
    </row>
    <row r="26" s="129" customFormat="1" ht="17.25" customHeight="1" spans="1:10">
      <c r="A26" s="143" t="s">
        <v>29</v>
      </c>
      <c r="B26" s="144">
        <v>7628</v>
      </c>
      <c r="C26" s="148" t="s">
        <v>102</v>
      </c>
      <c r="D26" s="145">
        <v>150</v>
      </c>
      <c r="E26" s="146">
        <v>33.26</v>
      </c>
      <c r="F26" s="147">
        <f t="shared" si="0"/>
        <v>4989</v>
      </c>
      <c r="G26" s="146"/>
      <c r="H26" s="131"/>
    </row>
    <row r="27" s="130" customFormat="1" ht="17.4" spans="1:10">
      <c r="A27" s="10" t="s">
        <v>75</v>
      </c>
      <c r="B27" s="10"/>
      <c r="C27" s="10"/>
      <c r="D27" s="10"/>
      <c r="E27" s="149"/>
      <c r="F27" s="150"/>
      <c r="G27" s="151"/>
      <c r="H27" s="131"/>
      <c r="I27" s="150"/>
      <c r="J27" s="150"/>
    </row>
    <row r="28" s="130" customFormat="1" ht="17.4" spans="1:10">
      <c r="A28" s="10" t="s">
        <v>76</v>
      </c>
      <c r="B28" s="10"/>
      <c r="C28" s="10"/>
      <c r="D28" s="10"/>
      <c r="E28" s="152"/>
      <c r="F28" s="151"/>
      <c r="G28" s="151"/>
      <c r="H28" s="131"/>
      <c r="I28" s="151"/>
      <c r="J28" s="151"/>
    </row>
    <row r="29" s="130" customFormat="1" ht="17.4" spans="1:10">
      <c r="A29" s="10" t="s">
        <v>77</v>
      </c>
      <c r="B29" s="10"/>
      <c r="C29" s="10"/>
      <c r="D29" s="10"/>
      <c r="E29" s="152"/>
      <c r="F29" s="151"/>
      <c r="G29" s="151"/>
      <c r="H29" s="131"/>
      <c r="I29" s="151"/>
      <c r="J29" s="151"/>
    </row>
    <row r="30" s="123" customFormat="1" ht="63" customHeight="1" spans="1:10">
      <c r="A30" s="119" t="s">
        <v>78</v>
      </c>
      <c r="B30" s="119"/>
      <c r="C30" s="119"/>
      <c r="D30" s="119"/>
      <c r="E30" s="119"/>
      <c r="F30" s="119"/>
      <c r="G30" s="151"/>
      <c r="H30" s="131"/>
      <c r="I30" s="126"/>
      <c r="J30" s="126"/>
    </row>
    <row r="32" spans="1:10">
      <c r="A32" s="129" t="s">
        <v>80</v>
      </c>
    </row>
  </sheetData>
  <mergeCells count="14">
    <mergeCell ref="A1:G1"/>
    <mergeCell ref="A2:F2"/>
    <mergeCell ref="A3:F3"/>
    <mergeCell ref="A4:F4"/>
    <mergeCell ref="A5:B5"/>
    <mergeCell ref="E5:G5"/>
    <mergeCell ref="A6:B6"/>
    <mergeCell ref="E6:G6"/>
    <mergeCell ref="A7:B7"/>
    <mergeCell ref="E7:G7"/>
    <mergeCell ref="A8:B8"/>
    <mergeCell ref="E8:G8"/>
    <mergeCell ref="A9:F9"/>
    <mergeCell ref="A30:F30"/>
  </mergeCells>
  <pageMargins left="0.75" right="0.75" top="1" bottom="1" header="0.5" footer="0.5"/>
  <pageSetup paperSize="9" scale="73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8"/>
  <sheetViews>
    <sheetView view="pageBreakPreview" zoomScale="85" zoomScaleNormal="85" workbookViewId="0">
      <pane ySplit="11" topLeftCell="A112" activePane="bottomLeft" state="frozen"/>
      <selection/>
      <selection pane="bottomLeft" activeCell="A122" sqref="$A122:$XFD122"/>
    </sheetView>
  </sheetViews>
  <sheetFormatPr defaultColWidth="9" defaultRowHeight="12.75" customHeight="1"/>
  <cols>
    <col min="1" max="1" width="8.66666666666667" style="6" customWidth="1"/>
    <col min="2" max="2" width="9" style="6" customWidth="1"/>
    <col min="3" max="3" width="9" style="6"/>
    <col min="4" max="5" width="9.66666666666667" style="6" customWidth="1"/>
    <col min="6" max="6" width="16.7777777777778" style="6" customWidth="1"/>
    <col min="7" max="7" width="8.87962962962963" style="6" customWidth="1"/>
    <col min="8" max="9" width="8.22222222222222" style="6" customWidth="1"/>
    <col min="10" max="11" width="10.1111111111111" style="6" customWidth="1"/>
    <col min="12" max="13" width="12.6666666666667" style="6" customWidth="1"/>
    <col min="14" max="15" width="8.55555555555556" style="6" customWidth="1"/>
    <col min="16" max="16" width="8.87962962962963" style="6" customWidth="1"/>
    <col min="17" max="17" width="11.5555555555556" style="6" customWidth="1"/>
    <col min="18" max="18" width="10.8425925925926" style="28" customWidth="1"/>
    <col min="19" max="16384" width="9" style="6"/>
  </cols>
  <sheetData>
    <row r="1" s="1" customFormat="1" ht="95" customHeight="1" spans="1:19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="2" customFormat="1" customHeight="1" spans="1:19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="1" customFormat="1" customHeight="1" spans="1:19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="1" customFormat="1" customHeight="1" spans="1:1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="1" customFormat="1" ht="15" customHeight="1" spans="1:19">
      <c r="A5" s="9" t="s">
        <v>2</v>
      </c>
      <c r="B5" s="9"/>
      <c r="C5" s="58"/>
      <c r="D5" s="2"/>
      <c r="J5" s="10"/>
      <c r="K5" s="10"/>
      <c r="L5" s="10"/>
      <c r="M5" s="10"/>
      <c r="N5" s="10"/>
      <c r="O5" s="10"/>
      <c r="P5" s="10" t="s">
        <v>3</v>
      </c>
      <c r="Q5" s="10"/>
      <c r="R5" s="10"/>
    </row>
    <row r="6" s="1" customFormat="1" ht="15" customHeight="1" spans="1:19">
      <c r="A6" s="10" t="s">
        <v>4</v>
      </c>
      <c r="B6" s="10"/>
      <c r="C6" s="59"/>
      <c r="D6" s="2"/>
      <c r="J6" s="10"/>
      <c r="K6" s="10"/>
      <c r="L6" s="10"/>
      <c r="M6" s="10"/>
      <c r="N6" s="10"/>
      <c r="O6" s="10"/>
      <c r="P6" s="10" t="s">
        <v>5</v>
      </c>
      <c r="Q6" s="10"/>
      <c r="R6" s="10"/>
    </row>
    <row r="7" s="1" customFormat="1" ht="15" customHeight="1" spans="1:19">
      <c r="A7" s="9" t="s">
        <v>6</v>
      </c>
      <c r="B7" s="9"/>
      <c r="C7" s="58"/>
      <c r="D7" s="2"/>
      <c r="J7" s="10"/>
      <c r="K7" s="10"/>
      <c r="L7" s="10"/>
      <c r="M7" s="10"/>
      <c r="N7" s="10"/>
      <c r="O7" s="10"/>
      <c r="P7" s="10" t="s">
        <v>7</v>
      </c>
      <c r="Q7" s="10"/>
      <c r="R7" s="10"/>
    </row>
    <row r="8" s="3" customFormat="1" ht="15" customHeight="1" spans="1:19">
      <c r="A8" s="9" t="s">
        <v>8</v>
      </c>
      <c r="B8" s="9"/>
      <c r="C8" s="60"/>
      <c r="D8" s="61"/>
      <c r="J8" s="10"/>
      <c r="K8" s="10"/>
      <c r="L8" s="10"/>
      <c r="M8" s="10"/>
      <c r="N8" s="10"/>
      <c r="O8" s="10"/>
      <c r="P8" s="10" t="s">
        <v>9</v>
      </c>
      <c r="Q8" s="10"/>
      <c r="R8" s="10"/>
    </row>
    <row r="9" s="4" customFormat="1" ht="14.25" customHeight="1" spans="1:19">
      <c r="A9" s="11" t="s">
        <v>103</v>
      </c>
      <c r="B9" s="12"/>
      <c r="C9" s="27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1" s="4" customFormat="1" ht="28.5" customHeight="1" spans="1:19">
      <c r="A11" s="14" t="s">
        <v>11</v>
      </c>
      <c r="B11" s="14" t="s">
        <v>12</v>
      </c>
      <c r="C11" s="15" t="s">
        <v>13</v>
      </c>
      <c r="D11" s="62" t="s">
        <v>15</v>
      </c>
      <c r="E11" s="62"/>
      <c r="F11" s="14" t="s">
        <v>16</v>
      </c>
      <c r="G11" s="14" t="s">
        <v>17</v>
      </c>
      <c r="H11" s="14" t="s">
        <v>18</v>
      </c>
      <c r="I11" s="14" t="s">
        <v>19</v>
      </c>
      <c r="J11" s="14" t="s">
        <v>20</v>
      </c>
      <c r="K11" s="14" t="s">
        <v>21</v>
      </c>
      <c r="L11" s="14" t="s">
        <v>22</v>
      </c>
      <c r="M11" s="14" t="s">
        <v>23</v>
      </c>
      <c r="N11" s="14" t="s">
        <v>24</v>
      </c>
      <c r="O11" s="14" t="s">
        <v>25</v>
      </c>
      <c r="P11" s="14" t="s">
        <v>26</v>
      </c>
      <c r="Q11" s="19" t="s">
        <v>27</v>
      </c>
      <c r="R11" s="14" t="s">
        <v>28</v>
      </c>
    </row>
    <row r="12" s="6" customFormat="1" ht="18" customHeight="1" spans="1:19">
      <c r="A12" s="55" t="s">
        <v>104</v>
      </c>
      <c r="B12" s="55">
        <v>0.05</v>
      </c>
      <c r="C12" s="55" t="s">
        <v>105</v>
      </c>
      <c r="D12" s="55" t="s">
        <v>31</v>
      </c>
      <c r="E12" s="55" t="s">
        <v>106</v>
      </c>
      <c r="F12" s="55" t="s">
        <v>33</v>
      </c>
      <c r="G12" s="47">
        <f>Q12*12</f>
        <v>111.228</v>
      </c>
      <c r="H12" s="47">
        <f>Q12*13.33</f>
        <v>123.55577</v>
      </c>
      <c r="I12" s="47">
        <f>Q12*14</f>
        <v>129.766</v>
      </c>
      <c r="J12" s="47">
        <f>21.2*24.2/144*Q12</f>
        <v>33.0233872222222</v>
      </c>
      <c r="K12" s="47">
        <f>18.2*24.2/144*Q12</f>
        <v>28.3502663888889</v>
      </c>
      <c r="L12" s="47">
        <f>28.25*24.25/144*Q12</f>
        <v>44.0961410590278</v>
      </c>
      <c r="M12" s="47">
        <f>27.25*24.25/144*Q12</f>
        <v>42.5352157118056</v>
      </c>
      <c r="N12" s="47">
        <f>28.5*49/144*Q12</f>
        <v>89.8899895833333</v>
      </c>
      <c r="O12" s="47">
        <f>17*24.5/144*Q12</f>
        <v>26.8092951388889</v>
      </c>
      <c r="P12" s="47">
        <f>24.3*16.2/144*Q12</f>
        <v>25.33912875</v>
      </c>
      <c r="Q12" s="56">
        <v>9.269</v>
      </c>
      <c r="R12" s="66"/>
    </row>
    <row r="13" s="6" customFormat="1" ht="18" customHeight="1" spans="1:19">
      <c r="A13" s="55" t="s">
        <v>104</v>
      </c>
      <c r="B13" s="55">
        <v>0.05</v>
      </c>
      <c r="C13" s="55" t="s">
        <v>105</v>
      </c>
      <c r="D13" s="57" t="s">
        <v>34</v>
      </c>
      <c r="E13" s="55" t="s">
        <v>106</v>
      </c>
      <c r="F13" s="55" t="s">
        <v>33</v>
      </c>
      <c r="G13" s="47">
        <f t="shared" ref="G13:G59" si="0">Q13*12</f>
        <v>170.016</v>
      </c>
      <c r="H13" s="47">
        <f t="shared" ref="H13:H59" si="1">Q13*13.33</f>
        <v>188.85944</v>
      </c>
      <c r="I13" s="47">
        <f t="shared" ref="I13:I59" si="2">Q13*14</f>
        <v>198.352</v>
      </c>
      <c r="J13" s="47">
        <f t="shared" ref="J13:J59" si="3">21.2*24.2/144*Q13</f>
        <v>50.4774355555555</v>
      </c>
      <c r="K13" s="47">
        <f t="shared" ref="K13:K59" si="4">18.2*24.2/144*Q13</f>
        <v>43.3344022222222</v>
      </c>
      <c r="L13" s="47">
        <f t="shared" ref="L13:L59" si="5">28.25*24.25/144*Q13</f>
        <v>67.4025381944444</v>
      </c>
      <c r="M13" s="47">
        <f t="shared" ref="M13:M59" si="6">27.25*24.25/144*Q13</f>
        <v>65.0166076388889</v>
      </c>
      <c r="N13" s="47">
        <f t="shared" ref="N13:N59" si="7">28.5*49/144*Q13</f>
        <v>137.400083333333</v>
      </c>
      <c r="O13" s="47">
        <f t="shared" ref="O13:O59" si="8">17*24.5/144*Q13</f>
        <v>40.9789722222222</v>
      </c>
      <c r="P13" s="47">
        <f t="shared" ref="P13:P59" si="9">24.3*16.2/144*Q13</f>
        <v>38.73177</v>
      </c>
      <c r="Q13" s="56">
        <v>14.168</v>
      </c>
      <c r="R13" s="66"/>
    </row>
    <row r="14" s="100" customFormat="1" ht="18" customHeight="1" spans="1:19">
      <c r="A14" s="55" t="s">
        <v>104</v>
      </c>
      <c r="B14" s="55">
        <v>0.05</v>
      </c>
      <c r="C14" s="55" t="s">
        <v>105</v>
      </c>
      <c r="D14" s="57" t="s">
        <v>41</v>
      </c>
      <c r="E14" s="55" t="s">
        <v>106</v>
      </c>
      <c r="F14" s="55" t="s">
        <v>33</v>
      </c>
      <c r="G14" s="47">
        <f t="shared" si="0"/>
        <v>291.042</v>
      </c>
      <c r="H14" s="47">
        <f t="shared" si="1"/>
        <v>323.299155</v>
      </c>
      <c r="I14" s="47">
        <f t="shared" si="2"/>
        <v>339.549</v>
      </c>
      <c r="J14" s="47">
        <f t="shared" si="3"/>
        <v>86.4098308333333</v>
      </c>
      <c r="K14" s="47">
        <f t="shared" si="4"/>
        <v>74.1820245833333</v>
      </c>
      <c r="L14" s="47">
        <f t="shared" si="5"/>
        <v>115.383078776042</v>
      </c>
      <c r="M14" s="47">
        <f t="shared" si="6"/>
        <v>111.298722005208</v>
      </c>
      <c r="N14" s="47">
        <f t="shared" si="7"/>
        <v>235.208421875</v>
      </c>
      <c r="O14" s="47">
        <f t="shared" si="8"/>
        <v>70.1498802083333</v>
      </c>
      <c r="P14" s="47">
        <f t="shared" si="9"/>
        <v>66.303005625</v>
      </c>
      <c r="Q14" s="56">
        <v>24.2535</v>
      </c>
      <c r="R14" s="66"/>
      <c r="S14" s="6"/>
    </row>
    <row r="15" s="6" customFormat="1" ht="18" customHeight="1" spans="1:19">
      <c r="A15" s="55" t="s">
        <v>104</v>
      </c>
      <c r="B15" s="55">
        <v>0.076</v>
      </c>
      <c r="C15" s="55" t="s">
        <v>105</v>
      </c>
      <c r="D15" s="55" t="s">
        <v>31</v>
      </c>
      <c r="E15" s="55" t="s">
        <v>32</v>
      </c>
      <c r="F15" s="55" t="s">
        <v>35</v>
      </c>
      <c r="G15" s="47">
        <f t="shared" si="0"/>
        <v>99.912</v>
      </c>
      <c r="H15" s="47">
        <f t="shared" si="1"/>
        <v>110.98558</v>
      </c>
      <c r="I15" s="47">
        <f t="shared" si="2"/>
        <v>116.564</v>
      </c>
      <c r="J15" s="47">
        <f t="shared" si="3"/>
        <v>29.6636877777778</v>
      </c>
      <c r="K15" s="47">
        <f t="shared" si="4"/>
        <v>25.4659961111111</v>
      </c>
      <c r="L15" s="47">
        <f t="shared" si="5"/>
        <v>39.6099331597222</v>
      </c>
      <c r="M15" s="47">
        <f t="shared" si="6"/>
        <v>38.2078116319444</v>
      </c>
      <c r="N15" s="47">
        <f t="shared" si="7"/>
        <v>80.7448541666667</v>
      </c>
      <c r="O15" s="47">
        <f t="shared" si="8"/>
        <v>24.0817986111111</v>
      </c>
      <c r="P15" s="47">
        <f t="shared" si="9"/>
        <v>22.7612025</v>
      </c>
      <c r="Q15" s="56">
        <v>8.326</v>
      </c>
      <c r="R15" s="66"/>
    </row>
    <row r="16" s="100" customFormat="1" ht="18" customHeight="1" spans="1:19">
      <c r="A16" s="55" t="s">
        <v>104</v>
      </c>
      <c r="B16" s="55">
        <v>0.076</v>
      </c>
      <c r="C16" s="55" t="s">
        <v>105</v>
      </c>
      <c r="D16" s="55" t="s">
        <v>107</v>
      </c>
      <c r="E16" s="55" t="s">
        <v>32</v>
      </c>
      <c r="F16" s="55" t="s">
        <v>35</v>
      </c>
      <c r="G16" s="47">
        <f t="shared" si="0"/>
        <v>132.894</v>
      </c>
      <c r="H16" s="47">
        <f t="shared" si="1"/>
        <v>147.623085</v>
      </c>
      <c r="I16" s="47">
        <f t="shared" si="2"/>
        <v>155.043</v>
      </c>
      <c r="J16" s="47">
        <f t="shared" si="3"/>
        <v>39.4559825</v>
      </c>
      <c r="K16" s="47">
        <f t="shared" si="4"/>
        <v>33.87258875</v>
      </c>
      <c r="L16" s="47">
        <f t="shared" si="5"/>
        <v>52.685587890625</v>
      </c>
      <c r="M16" s="47">
        <f t="shared" si="6"/>
        <v>50.820611328125</v>
      </c>
      <c r="N16" s="47">
        <f t="shared" si="7"/>
        <v>107.399578125</v>
      </c>
      <c r="O16" s="47">
        <f t="shared" si="8"/>
        <v>32.031453125</v>
      </c>
      <c r="P16" s="47">
        <f t="shared" si="9"/>
        <v>30.274914375</v>
      </c>
      <c r="Q16" s="56">
        <v>11.0745</v>
      </c>
      <c r="R16" s="66"/>
      <c r="S16" s="6"/>
    </row>
    <row r="17" s="6" customFormat="1" ht="18" customHeight="1" spans="1:19">
      <c r="A17" s="55" t="s">
        <v>104</v>
      </c>
      <c r="B17" s="55">
        <v>0.076</v>
      </c>
      <c r="C17" s="55" t="s">
        <v>105</v>
      </c>
      <c r="D17" s="57" t="s">
        <v>34</v>
      </c>
      <c r="E17" s="55" t="s">
        <v>32</v>
      </c>
      <c r="F17" s="55" t="s">
        <v>35</v>
      </c>
      <c r="G17" s="47">
        <f t="shared" si="0"/>
        <v>156.528</v>
      </c>
      <c r="H17" s="47">
        <f t="shared" si="1"/>
        <v>173.87652</v>
      </c>
      <c r="I17" s="47">
        <f t="shared" si="2"/>
        <v>182.616</v>
      </c>
      <c r="J17" s="47">
        <f t="shared" si="3"/>
        <v>46.4728733333333</v>
      </c>
      <c r="K17" s="47">
        <f t="shared" si="4"/>
        <v>39.8965233333333</v>
      </c>
      <c r="L17" s="47">
        <f t="shared" si="5"/>
        <v>62.0552447916667</v>
      </c>
      <c r="M17" s="47">
        <f t="shared" si="6"/>
        <v>59.8585989583333</v>
      </c>
      <c r="N17" s="47">
        <f t="shared" si="7"/>
        <v>126.499625</v>
      </c>
      <c r="O17" s="47">
        <f t="shared" si="8"/>
        <v>37.7279583333333</v>
      </c>
      <c r="P17" s="47">
        <f t="shared" si="9"/>
        <v>35.659035</v>
      </c>
      <c r="Q17" s="56">
        <v>13.044</v>
      </c>
      <c r="R17" s="66"/>
    </row>
    <row r="18" s="100" customFormat="1" ht="18" customHeight="1" spans="1:19">
      <c r="A18" s="55" t="s">
        <v>104</v>
      </c>
      <c r="B18" s="55">
        <v>0.076</v>
      </c>
      <c r="C18" s="55" t="s">
        <v>105</v>
      </c>
      <c r="D18" s="57" t="s">
        <v>41</v>
      </c>
      <c r="E18" s="55" t="s">
        <v>106</v>
      </c>
      <c r="F18" s="55" t="s">
        <v>35</v>
      </c>
      <c r="G18" s="47">
        <f t="shared" si="0"/>
        <v>302.496</v>
      </c>
      <c r="H18" s="47">
        <f t="shared" si="1"/>
        <v>336.02264</v>
      </c>
      <c r="I18" s="47">
        <f t="shared" si="2"/>
        <v>352.912</v>
      </c>
      <c r="J18" s="47">
        <f t="shared" si="3"/>
        <v>89.8105022222222</v>
      </c>
      <c r="K18" s="47">
        <f t="shared" si="4"/>
        <v>77.1014688888889</v>
      </c>
      <c r="L18" s="47">
        <f t="shared" si="5"/>
        <v>119.923996527778</v>
      </c>
      <c r="M18" s="47">
        <f t="shared" si="6"/>
        <v>115.678899305556</v>
      </c>
      <c r="N18" s="47">
        <f t="shared" si="7"/>
        <v>244.465083333333</v>
      </c>
      <c r="O18" s="47">
        <f t="shared" si="8"/>
        <v>72.9106388888889</v>
      </c>
      <c r="P18" s="47">
        <f t="shared" si="9"/>
        <v>68.91237</v>
      </c>
      <c r="Q18" s="56">
        <v>25.208</v>
      </c>
      <c r="R18" s="66"/>
      <c r="S18" s="6"/>
    </row>
    <row r="19" s="100" customFormat="1" ht="18" customHeight="1" spans="1:19">
      <c r="A19" s="55" t="s">
        <v>104</v>
      </c>
      <c r="B19" s="55">
        <v>0.089</v>
      </c>
      <c r="C19" s="55" t="s">
        <v>105</v>
      </c>
      <c r="D19" s="57" t="s">
        <v>107</v>
      </c>
      <c r="E19" s="55" t="s">
        <v>32</v>
      </c>
      <c r="F19" s="55" t="s">
        <v>36</v>
      </c>
      <c r="G19" s="47">
        <f t="shared" si="0"/>
        <v>131.79</v>
      </c>
      <c r="H19" s="47">
        <f t="shared" si="1"/>
        <v>146.396725</v>
      </c>
      <c r="I19" s="47">
        <f t="shared" si="2"/>
        <v>153.755</v>
      </c>
      <c r="J19" s="47">
        <f t="shared" si="3"/>
        <v>39.1282069444444</v>
      </c>
      <c r="K19" s="47">
        <f t="shared" si="4"/>
        <v>33.5911965277778</v>
      </c>
      <c r="L19" s="47">
        <f t="shared" si="5"/>
        <v>52.2479090711806</v>
      </c>
      <c r="M19" s="47">
        <f t="shared" si="6"/>
        <v>50.3984255642361</v>
      </c>
      <c r="N19" s="47">
        <f t="shared" si="7"/>
        <v>106.507369791667</v>
      </c>
      <c r="O19" s="47">
        <f t="shared" si="8"/>
        <v>31.7653559027778</v>
      </c>
      <c r="P19" s="47">
        <f t="shared" si="9"/>
        <v>30.023409375</v>
      </c>
      <c r="Q19" s="56">
        <v>10.9825</v>
      </c>
      <c r="R19" s="66"/>
      <c r="S19" s="6"/>
    </row>
    <row r="20" s="6" customFormat="1" ht="18" customHeight="1" spans="1:19">
      <c r="A20" s="55" t="s">
        <v>104</v>
      </c>
      <c r="B20" s="55">
        <v>0.1</v>
      </c>
      <c r="C20" s="55" t="s">
        <v>105</v>
      </c>
      <c r="D20" s="55" t="s">
        <v>31</v>
      </c>
      <c r="E20" s="55" t="s">
        <v>32</v>
      </c>
      <c r="F20" s="55" t="s">
        <v>39</v>
      </c>
      <c r="G20" s="47">
        <f t="shared" si="0"/>
        <v>99.636</v>
      </c>
      <c r="H20" s="47">
        <f t="shared" si="1"/>
        <v>110.67899</v>
      </c>
      <c r="I20" s="47">
        <f t="shared" si="2"/>
        <v>116.242</v>
      </c>
      <c r="J20" s="47">
        <f t="shared" si="3"/>
        <v>29.5817438888889</v>
      </c>
      <c r="K20" s="47">
        <f t="shared" si="4"/>
        <v>25.3956480555556</v>
      </c>
      <c r="L20" s="47">
        <f t="shared" si="5"/>
        <v>39.5005134548611</v>
      </c>
      <c r="M20" s="47">
        <f t="shared" si="6"/>
        <v>38.1022651909722</v>
      </c>
      <c r="N20" s="47">
        <f t="shared" si="7"/>
        <v>80.5218020833333</v>
      </c>
      <c r="O20" s="47">
        <f t="shared" si="8"/>
        <v>24.0152743055556</v>
      </c>
      <c r="P20" s="47">
        <f t="shared" si="9"/>
        <v>22.69832625</v>
      </c>
      <c r="Q20" s="56">
        <v>8.303</v>
      </c>
      <c r="R20" s="66"/>
    </row>
    <row r="21" s="100" customFormat="1" ht="18" customHeight="1" spans="1:19">
      <c r="A21" s="55" t="s">
        <v>104</v>
      </c>
      <c r="B21" s="55">
        <v>0.1</v>
      </c>
      <c r="C21" s="55" t="s">
        <v>105</v>
      </c>
      <c r="D21" s="55" t="s">
        <v>31</v>
      </c>
      <c r="E21" s="55" t="s">
        <v>106</v>
      </c>
      <c r="F21" s="55" t="s">
        <v>37</v>
      </c>
      <c r="G21" s="47">
        <f t="shared" si="0"/>
        <v>132.894</v>
      </c>
      <c r="H21" s="47">
        <f t="shared" si="1"/>
        <v>147.623085</v>
      </c>
      <c r="I21" s="47">
        <f t="shared" si="2"/>
        <v>155.043</v>
      </c>
      <c r="J21" s="47">
        <f t="shared" si="3"/>
        <v>39.4559825</v>
      </c>
      <c r="K21" s="47">
        <f t="shared" si="4"/>
        <v>33.87258875</v>
      </c>
      <c r="L21" s="47">
        <f t="shared" si="5"/>
        <v>52.685587890625</v>
      </c>
      <c r="M21" s="47">
        <f t="shared" si="6"/>
        <v>50.820611328125</v>
      </c>
      <c r="N21" s="47">
        <f t="shared" si="7"/>
        <v>107.399578125</v>
      </c>
      <c r="O21" s="47">
        <f t="shared" si="8"/>
        <v>32.031453125</v>
      </c>
      <c r="P21" s="47">
        <f t="shared" si="9"/>
        <v>30.274914375</v>
      </c>
      <c r="Q21" s="56">
        <v>11.0745</v>
      </c>
      <c r="R21" s="66"/>
      <c r="S21" s="6"/>
    </row>
    <row r="22" s="6" customFormat="1" ht="18" customHeight="1" spans="1:19">
      <c r="A22" s="55" t="s">
        <v>104</v>
      </c>
      <c r="B22" s="55">
        <v>0.1</v>
      </c>
      <c r="C22" s="55" t="s">
        <v>105</v>
      </c>
      <c r="D22" s="55" t="s">
        <v>107</v>
      </c>
      <c r="E22" s="55" t="s">
        <v>32</v>
      </c>
      <c r="F22" s="55" t="s">
        <v>39</v>
      </c>
      <c r="G22" s="47">
        <f t="shared" si="0"/>
        <v>128.88</v>
      </c>
      <c r="H22" s="47">
        <f t="shared" si="1"/>
        <v>143.1642</v>
      </c>
      <c r="I22" s="47">
        <f t="shared" si="2"/>
        <v>150.36</v>
      </c>
      <c r="J22" s="47">
        <f t="shared" si="3"/>
        <v>38.2642333333333</v>
      </c>
      <c r="K22" s="47">
        <f t="shared" si="4"/>
        <v>32.8494833333333</v>
      </c>
      <c r="L22" s="47">
        <f t="shared" si="5"/>
        <v>51.0942447916667</v>
      </c>
      <c r="M22" s="47">
        <f t="shared" si="6"/>
        <v>49.2855989583333</v>
      </c>
      <c r="N22" s="47">
        <f t="shared" si="7"/>
        <v>104.155625</v>
      </c>
      <c r="O22" s="47">
        <f t="shared" si="8"/>
        <v>31.0639583333333</v>
      </c>
      <c r="P22" s="47">
        <f t="shared" si="9"/>
        <v>29.360475</v>
      </c>
      <c r="Q22" s="56">
        <v>10.74</v>
      </c>
      <c r="R22" s="66"/>
    </row>
    <row r="23" s="100" customFormat="1" ht="18" customHeight="1" spans="1:19">
      <c r="A23" s="55" t="s">
        <v>104</v>
      </c>
      <c r="B23" s="55">
        <v>0.1</v>
      </c>
      <c r="C23" s="55" t="s">
        <v>105</v>
      </c>
      <c r="D23" s="57" t="s">
        <v>34</v>
      </c>
      <c r="E23" s="55" t="s">
        <v>32</v>
      </c>
      <c r="F23" s="55" t="s">
        <v>37</v>
      </c>
      <c r="G23" s="47">
        <f t="shared" si="0"/>
        <v>181.884</v>
      </c>
      <c r="H23" s="47">
        <f t="shared" si="1"/>
        <v>202.04281</v>
      </c>
      <c r="I23" s="47">
        <f t="shared" si="2"/>
        <v>212.198</v>
      </c>
      <c r="J23" s="47">
        <f t="shared" si="3"/>
        <v>54.0010227777778</v>
      </c>
      <c r="K23" s="47">
        <f t="shared" si="4"/>
        <v>46.3593686111111</v>
      </c>
      <c r="L23" s="47">
        <f t="shared" si="5"/>
        <v>72.1075855034722</v>
      </c>
      <c r="M23" s="47">
        <f t="shared" si="6"/>
        <v>69.5551046006944</v>
      </c>
      <c r="N23" s="47">
        <f t="shared" si="7"/>
        <v>146.991322916667</v>
      </c>
      <c r="O23" s="47">
        <f t="shared" si="8"/>
        <v>43.8395173611111</v>
      </c>
      <c r="P23" s="47">
        <f t="shared" si="9"/>
        <v>41.43544875</v>
      </c>
      <c r="Q23" s="56">
        <v>15.157</v>
      </c>
      <c r="R23" s="66"/>
      <c r="S23" s="6"/>
    </row>
    <row r="24" s="6" customFormat="1" ht="18" customHeight="1" spans="1:19">
      <c r="A24" s="55" t="s">
        <v>104</v>
      </c>
      <c r="B24" s="55">
        <v>0.1</v>
      </c>
      <c r="C24" s="55" t="s">
        <v>105</v>
      </c>
      <c r="D24" s="57" t="s">
        <v>34</v>
      </c>
      <c r="E24" s="55" t="s">
        <v>32</v>
      </c>
      <c r="F24" s="55" t="s">
        <v>39</v>
      </c>
      <c r="G24" s="47">
        <f t="shared" si="0"/>
        <v>154.08</v>
      </c>
      <c r="H24" s="47">
        <f t="shared" si="1"/>
        <v>171.1572</v>
      </c>
      <c r="I24" s="47">
        <f t="shared" si="2"/>
        <v>179.76</v>
      </c>
      <c r="J24" s="47">
        <f t="shared" si="3"/>
        <v>45.7460666666667</v>
      </c>
      <c r="K24" s="47">
        <f t="shared" si="4"/>
        <v>39.2725666666667</v>
      </c>
      <c r="L24" s="47">
        <f t="shared" si="5"/>
        <v>61.0847395833333</v>
      </c>
      <c r="M24" s="47">
        <f t="shared" si="6"/>
        <v>58.9224479166667</v>
      </c>
      <c r="N24" s="47">
        <f t="shared" si="7"/>
        <v>124.52125</v>
      </c>
      <c r="O24" s="47">
        <f t="shared" si="8"/>
        <v>37.1379166666667</v>
      </c>
      <c r="P24" s="47">
        <f t="shared" si="9"/>
        <v>35.10135</v>
      </c>
      <c r="Q24" s="56">
        <v>12.84</v>
      </c>
      <c r="R24" s="66"/>
    </row>
    <row r="25" s="6" customFormat="1" ht="18" customHeight="1" spans="1:19">
      <c r="A25" s="55" t="s">
        <v>104</v>
      </c>
      <c r="B25" s="55">
        <v>0.1</v>
      </c>
      <c r="C25" s="55" t="s">
        <v>105</v>
      </c>
      <c r="D25" s="57" t="s">
        <v>108</v>
      </c>
      <c r="E25" s="55" t="s">
        <v>32</v>
      </c>
      <c r="F25" s="55" t="s">
        <v>39</v>
      </c>
      <c r="G25" s="47">
        <f t="shared" si="0"/>
        <v>202.584</v>
      </c>
      <c r="H25" s="47">
        <f t="shared" si="1"/>
        <v>225.03706</v>
      </c>
      <c r="I25" s="47">
        <f t="shared" si="2"/>
        <v>236.348</v>
      </c>
      <c r="J25" s="47">
        <f t="shared" si="3"/>
        <v>60.1468144444444</v>
      </c>
      <c r="K25" s="47">
        <f t="shared" si="4"/>
        <v>51.6354727777778</v>
      </c>
      <c r="L25" s="47">
        <f t="shared" si="5"/>
        <v>80.3140633680555</v>
      </c>
      <c r="M25" s="47">
        <f t="shared" si="6"/>
        <v>77.4710876736111</v>
      </c>
      <c r="N25" s="47">
        <f t="shared" si="7"/>
        <v>163.720229166667</v>
      </c>
      <c r="O25" s="47">
        <f t="shared" si="8"/>
        <v>48.8288402777778</v>
      </c>
      <c r="P25" s="47">
        <f t="shared" si="9"/>
        <v>46.1511675</v>
      </c>
      <c r="Q25" s="56">
        <v>16.882</v>
      </c>
      <c r="R25" s="66"/>
    </row>
    <row r="26" s="6" customFormat="1" ht="18" customHeight="1" spans="1:19">
      <c r="A26" s="55" t="s">
        <v>104</v>
      </c>
      <c r="B26" s="55">
        <v>0.1</v>
      </c>
      <c r="C26" s="55" t="s">
        <v>105</v>
      </c>
      <c r="D26" s="57" t="s">
        <v>109</v>
      </c>
      <c r="E26" s="55" t="s">
        <v>32</v>
      </c>
      <c r="F26" s="55" t="s">
        <v>39</v>
      </c>
      <c r="G26" s="47">
        <f t="shared" si="0"/>
        <v>230.46</v>
      </c>
      <c r="H26" s="47">
        <f t="shared" si="1"/>
        <v>256.00265</v>
      </c>
      <c r="I26" s="47">
        <f t="shared" si="2"/>
        <v>268.87</v>
      </c>
      <c r="J26" s="47">
        <f t="shared" si="3"/>
        <v>68.4231472222222</v>
      </c>
      <c r="K26" s="47">
        <f t="shared" si="4"/>
        <v>58.7406263888889</v>
      </c>
      <c r="L26" s="47">
        <f t="shared" si="5"/>
        <v>91.3654535590278</v>
      </c>
      <c r="M26" s="47">
        <f t="shared" si="6"/>
        <v>88.1312782118056</v>
      </c>
      <c r="N26" s="47">
        <f t="shared" si="7"/>
        <v>186.248489583333</v>
      </c>
      <c r="O26" s="47">
        <f t="shared" si="8"/>
        <v>55.5477951388889</v>
      </c>
      <c r="P26" s="47">
        <f t="shared" si="9"/>
        <v>52.50166875</v>
      </c>
      <c r="Q26" s="56">
        <v>19.205</v>
      </c>
      <c r="R26" s="66"/>
    </row>
    <row r="27" s="6" customFormat="1" ht="18" customHeight="1" spans="1:19">
      <c r="A27" s="55" t="s">
        <v>104</v>
      </c>
      <c r="B27" s="55">
        <v>0.1</v>
      </c>
      <c r="C27" s="55" t="s">
        <v>105</v>
      </c>
      <c r="D27" s="57" t="s">
        <v>34</v>
      </c>
      <c r="E27" s="55" t="s">
        <v>106</v>
      </c>
      <c r="F27" s="55" t="s">
        <v>37</v>
      </c>
      <c r="G27" s="47">
        <f t="shared" si="0"/>
        <v>187.404</v>
      </c>
      <c r="H27" s="47">
        <f t="shared" si="1"/>
        <v>208.17461</v>
      </c>
      <c r="I27" s="47">
        <f t="shared" si="2"/>
        <v>218.638</v>
      </c>
      <c r="J27" s="47">
        <f t="shared" si="3"/>
        <v>55.6399005555555</v>
      </c>
      <c r="K27" s="47">
        <f t="shared" si="4"/>
        <v>47.7663297222222</v>
      </c>
      <c r="L27" s="47">
        <f t="shared" si="5"/>
        <v>74.2959796006944</v>
      </c>
      <c r="M27" s="47">
        <f t="shared" si="6"/>
        <v>71.6660334201389</v>
      </c>
      <c r="N27" s="47">
        <f t="shared" si="7"/>
        <v>151.452364583333</v>
      </c>
      <c r="O27" s="47">
        <f t="shared" si="8"/>
        <v>45.1700034722222</v>
      </c>
      <c r="P27" s="47">
        <f t="shared" si="9"/>
        <v>42.69297375</v>
      </c>
      <c r="Q27" s="56">
        <v>15.617</v>
      </c>
      <c r="R27" s="66"/>
    </row>
    <row r="28" s="6" customFormat="1" ht="18" customHeight="1" spans="1:19">
      <c r="A28" s="55" t="s">
        <v>104</v>
      </c>
      <c r="B28" s="55">
        <v>0.1</v>
      </c>
      <c r="C28" s="55" t="s">
        <v>105</v>
      </c>
      <c r="D28" s="57" t="s">
        <v>109</v>
      </c>
      <c r="E28" s="55" t="s">
        <v>32</v>
      </c>
      <c r="F28" s="55" t="s">
        <v>37</v>
      </c>
      <c r="G28" s="47">
        <f t="shared" si="0"/>
        <v>251.85</v>
      </c>
      <c r="H28" s="47">
        <f t="shared" si="1"/>
        <v>279.763375</v>
      </c>
      <c r="I28" s="47">
        <f t="shared" si="2"/>
        <v>293.825</v>
      </c>
      <c r="J28" s="47">
        <f t="shared" si="3"/>
        <v>74.7737986111111</v>
      </c>
      <c r="K28" s="47">
        <f t="shared" si="4"/>
        <v>64.1926006944444</v>
      </c>
      <c r="L28" s="47">
        <f t="shared" si="5"/>
        <v>99.8454806857639</v>
      </c>
      <c r="M28" s="47">
        <f t="shared" si="6"/>
        <v>96.3111273871528</v>
      </c>
      <c r="N28" s="47">
        <f t="shared" si="7"/>
        <v>203.535026041667</v>
      </c>
      <c r="O28" s="47">
        <f t="shared" si="8"/>
        <v>60.7034288194444</v>
      </c>
      <c r="P28" s="47">
        <f t="shared" si="9"/>
        <v>57.374578125</v>
      </c>
      <c r="Q28" s="56">
        <v>20.9875</v>
      </c>
      <c r="R28" s="66"/>
    </row>
    <row r="29" s="6" customFormat="1" ht="18" customHeight="1" spans="1:19">
      <c r="A29" s="55" t="s">
        <v>104</v>
      </c>
      <c r="B29" s="55">
        <v>0.1</v>
      </c>
      <c r="C29" s="55" t="s">
        <v>105</v>
      </c>
      <c r="D29" s="57" t="s">
        <v>41</v>
      </c>
      <c r="E29" s="55" t="s">
        <v>32</v>
      </c>
      <c r="F29" s="55" t="s">
        <v>37</v>
      </c>
      <c r="G29" s="47">
        <f t="shared" si="0"/>
        <v>311.04</v>
      </c>
      <c r="H29" s="47">
        <f t="shared" si="1"/>
        <v>345.5136</v>
      </c>
      <c r="I29" s="47">
        <f t="shared" si="2"/>
        <v>362.88</v>
      </c>
      <c r="J29" s="47">
        <f t="shared" si="3"/>
        <v>92.3472</v>
      </c>
      <c r="K29" s="47">
        <f t="shared" si="4"/>
        <v>79.2792</v>
      </c>
      <c r="L29" s="47">
        <f t="shared" si="5"/>
        <v>123.31125</v>
      </c>
      <c r="M29" s="47">
        <f t="shared" si="6"/>
        <v>118.94625</v>
      </c>
      <c r="N29" s="47">
        <f t="shared" si="7"/>
        <v>251.37</v>
      </c>
      <c r="O29" s="47">
        <f t="shared" si="8"/>
        <v>74.97</v>
      </c>
      <c r="P29" s="47">
        <f t="shared" si="9"/>
        <v>70.8588</v>
      </c>
      <c r="Q29" s="56">
        <v>25.92</v>
      </c>
      <c r="R29" s="66"/>
    </row>
    <row r="30" s="6" customFormat="1" ht="18" customHeight="1" spans="1:19">
      <c r="A30" s="55" t="s">
        <v>104</v>
      </c>
      <c r="B30" s="55">
        <v>0.1</v>
      </c>
      <c r="C30" s="55" t="s">
        <v>105</v>
      </c>
      <c r="D30" s="57" t="s">
        <v>41</v>
      </c>
      <c r="E30" s="55" t="s">
        <v>106</v>
      </c>
      <c r="F30" s="55" t="s">
        <v>37</v>
      </c>
      <c r="G30" s="47">
        <f t="shared" si="0"/>
        <v>324.576</v>
      </c>
      <c r="H30" s="47">
        <f t="shared" si="1"/>
        <v>360.54984</v>
      </c>
      <c r="I30" s="47">
        <f t="shared" si="2"/>
        <v>378.672</v>
      </c>
      <c r="J30" s="47">
        <f t="shared" si="3"/>
        <v>96.3660133333333</v>
      </c>
      <c r="K30" s="47">
        <f t="shared" si="4"/>
        <v>82.7293133333333</v>
      </c>
      <c r="L30" s="47">
        <f t="shared" si="5"/>
        <v>128.677572916667</v>
      </c>
      <c r="M30" s="47">
        <f t="shared" si="6"/>
        <v>124.122614583333</v>
      </c>
      <c r="N30" s="47">
        <f t="shared" si="7"/>
        <v>262.30925</v>
      </c>
      <c r="O30" s="47">
        <f t="shared" si="8"/>
        <v>78.2325833333333</v>
      </c>
      <c r="P30" s="47">
        <f t="shared" si="9"/>
        <v>73.94247</v>
      </c>
      <c r="Q30" s="56">
        <v>27.048</v>
      </c>
      <c r="R30" s="66"/>
    </row>
    <row r="31" s="100" customFormat="1" ht="18" customHeight="1" spans="1:19">
      <c r="A31" s="55" t="s">
        <v>104</v>
      </c>
      <c r="B31" s="55">
        <v>0.11</v>
      </c>
      <c r="C31" s="55" t="s">
        <v>105</v>
      </c>
      <c r="D31" s="55" t="s">
        <v>31</v>
      </c>
      <c r="E31" s="55" t="s">
        <v>32</v>
      </c>
      <c r="F31" s="55" t="s">
        <v>37</v>
      </c>
      <c r="G31" s="47">
        <f t="shared" si="0"/>
        <v>122.82</v>
      </c>
      <c r="H31" s="47">
        <f t="shared" si="1"/>
        <v>136.43255</v>
      </c>
      <c r="I31" s="47">
        <f t="shared" si="2"/>
        <v>143.29</v>
      </c>
      <c r="J31" s="47">
        <f t="shared" si="3"/>
        <v>36.4650305555556</v>
      </c>
      <c r="K31" s="47">
        <f t="shared" si="4"/>
        <v>31.3048847222222</v>
      </c>
      <c r="L31" s="47">
        <f t="shared" si="5"/>
        <v>48.6917686631944</v>
      </c>
      <c r="M31" s="47">
        <f t="shared" si="6"/>
        <v>46.9681662326389</v>
      </c>
      <c r="N31" s="47">
        <f t="shared" si="7"/>
        <v>99.2581770833333</v>
      </c>
      <c r="O31" s="47">
        <f t="shared" si="8"/>
        <v>29.6033159722222</v>
      </c>
      <c r="P31" s="47">
        <f t="shared" si="9"/>
        <v>27.97993125</v>
      </c>
      <c r="Q31" s="56">
        <v>10.235</v>
      </c>
      <c r="R31" s="66"/>
      <c r="S31" s="6"/>
    </row>
    <row r="32" s="100" customFormat="1" ht="18" customHeight="1" spans="1:19">
      <c r="A32" s="55" t="s">
        <v>104</v>
      </c>
      <c r="B32" s="55">
        <v>0.11</v>
      </c>
      <c r="C32" s="55" t="s">
        <v>105</v>
      </c>
      <c r="D32" s="55" t="s">
        <v>107</v>
      </c>
      <c r="E32" s="55" t="s">
        <v>32</v>
      </c>
      <c r="F32" s="55" t="s">
        <v>37</v>
      </c>
      <c r="G32" s="47">
        <f t="shared" si="0"/>
        <v>149.178</v>
      </c>
      <c r="H32" s="47">
        <f t="shared" si="1"/>
        <v>165.711895</v>
      </c>
      <c r="I32" s="47">
        <f t="shared" si="2"/>
        <v>174.041</v>
      </c>
      <c r="J32" s="47">
        <f t="shared" si="3"/>
        <v>44.2906719444444</v>
      </c>
      <c r="K32" s="47">
        <f t="shared" si="4"/>
        <v>38.0231240277778</v>
      </c>
      <c r="L32" s="47">
        <f t="shared" si="5"/>
        <v>59.1413504774306</v>
      </c>
      <c r="M32" s="47">
        <f t="shared" si="6"/>
        <v>57.0478513454861</v>
      </c>
      <c r="N32" s="47">
        <f t="shared" si="7"/>
        <v>120.559651041667</v>
      </c>
      <c r="O32" s="47">
        <f t="shared" si="8"/>
        <v>35.9563871527778</v>
      </c>
      <c r="P32" s="47">
        <f t="shared" si="9"/>
        <v>33.984613125</v>
      </c>
      <c r="Q32" s="56">
        <v>12.4315</v>
      </c>
      <c r="R32" s="66"/>
      <c r="S32" s="6"/>
    </row>
    <row r="33" s="6" customFormat="1" ht="18" customHeight="1" spans="1:19">
      <c r="A33" s="55" t="s">
        <v>104</v>
      </c>
      <c r="B33" s="55">
        <v>0.11</v>
      </c>
      <c r="C33" s="55" t="s">
        <v>105</v>
      </c>
      <c r="D33" s="55" t="s">
        <v>31</v>
      </c>
      <c r="E33" s="55" t="s">
        <v>32</v>
      </c>
      <c r="F33" s="55" t="s">
        <v>39</v>
      </c>
      <c r="G33" s="47">
        <f t="shared" si="0"/>
        <v>100.188</v>
      </c>
      <c r="H33" s="47">
        <f t="shared" si="1"/>
        <v>111.29217</v>
      </c>
      <c r="I33" s="47">
        <f t="shared" si="2"/>
        <v>116.886</v>
      </c>
      <c r="J33" s="47">
        <f t="shared" si="3"/>
        <v>29.7456316666667</v>
      </c>
      <c r="K33" s="47">
        <f t="shared" si="4"/>
        <v>25.5363441666667</v>
      </c>
      <c r="L33" s="47">
        <f t="shared" si="5"/>
        <v>39.7193528645833</v>
      </c>
      <c r="M33" s="47">
        <f t="shared" si="6"/>
        <v>38.3133580729167</v>
      </c>
      <c r="N33" s="47">
        <f t="shared" si="7"/>
        <v>80.96790625</v>
      </c>
      <c r="O33" s="47">
        <f t="shared" si="8"/>
        <v>24.1483229166667</v>
      </c>
      <c r="P33" s="47">
        <f t="shared" si="9"/>
        <v>22.82407875</v>
      </c>
      <c r="Q33" s="56">
        <v>8.349</v>
      </c>
      <c r="R33" s="66"/>
    </row>
    <row r="34" s="6" customFormat="1" ht="18" customHeight="1" spans="1:19">
      <c r="A34" s="55" t="s">
        <v>104</v>
      </c>
      <c r="B34" s="55">
        <v>0.11</v>
      </c>
      <c r="C34" s="55" t="s">
        <v>105</v>
      </c>
      <c r="D34" s="55" t="s">
        <v>107</v>
      </c>
      <c r="E34" s="55" t="s">
        <v>32</v>
      </c>
      <c r="F34" s="55" t="s">
        <v>39</v>
      </c>
      <c r="G34" s="47">
        <f t="shared" si="0"/>
        <v>133.446</v>
      </c>
      <c r="H34" s="47">
        <f t="shared" si="1"/>
        <v>148.236265</v>
      </c>
      <c r="I34" s="47">
        <f t="shared" si="2"/>
        <v>155.687</v>
      </c>
      <c r="J34" s="47">
        <f t="shared" si="3"/>
        <v>39.6198702777778</v>
      </c>
      <c r="K34" s="47">
        <f t="shared" si="4"/>
        <v>34.0132848611111</v>
      </c>
      <c r="L34" s="47">
        <f t="shared" si="5"/>
        <v>52.9044273003472</v>
      </c>
      <c r="M34" s="47">
        <f t="shared" si="6"/>
        <v>51.0317042100694</v>
      </c>
      <c r="N34" s="47">
        <f t="shared" si="7"/>
        <v>107.845682291667</v>
      </c>
      <c r="O34" s="47">
        <f t="shared" si="8"/>
        <v>32.1645017361111</v>
      </c>
      <c r="P34" s="47">
        <f t="shared" si="9"/>
        <v>30.400666875</v>
      </c>
      <c r="Q34" s="56">
        <v>11.1205</v>
      </c>
      <c r="R34" s="66"/>
    </row>
    <row r="35" s="100" customFormat="1" ht="18" customHeight="1" spans="1:19">
      <c r="A35" s="55" t="s">
        <v>104</v>
      </c>
      <c r="B35" s="55">
        <v>0.11</v>
      </c>
      <c r="C35" s="55" t="s">
        <v>105</v>
      </c>
      <c r="D35" s="57" t="s">
        <v>34</v>
      </c>
      <c r="E35" s="55" t="s">
        <v>32</v>
      </c>
      <c r="F35" s="55" t="s">
        <v>37</v>
      </c>
      <c r="G35" s="47">
        <f t="shared" si="0"/>
        <v>177.33</v>
      </c>
      <c r="H35" s="47">
        <f t="shared" si="1"/>
        <v>196.984075</v>
      </c>
      <c r="I35" s="47">
        <f t="shared" si="2"/>
        <v>206.885</v>
      </c>
      <c r="J35" s="47">
        <f t="shared" si="3"/>
        <v>52.6489486111111</v>
      </c>
      <c r="K35" s="47">
        <f t="shared" si="4"/>
        <v>45.1986256944444</v>
      </c>
      <c r="L35" s="47">
        <f t="shared" si="5"/>
        <v>70.3021603732639</v>
      </c>
      <c r="M35" s="47">
        <f t="shared" si="6"/>
        <v>67.8135883246528</v>
      </c>
      <c r="N35" s="47">
        <f t="shared" si="7"/>
        <v>143.310963541667</v>
      </c>
      <c r="O35" s="47">
        <f t="shared" si="8"/>
        <v>42.7418663194444</v>
      </c>
      <c r="P35" s="47">
        <f t="shared" si="9"/>
        <v>40.397990625</v>
      </c>
      <c r="Q35" s="56">
        <v>14.7775</v>
      </c>
      <c r="R35" s="66"/>
      <c r="S35" s="6"/>
    </row>
    <row r="36" s="6" customFormat="1" ht="18" customHeight="1" spans="1:19">
      <c r="A36" s="55" t="s">
        <v>104</v>
      </c>
      <c r="B36" s="55">
        <v>0.11</v>
      </c>
      <c r="C36" s="55" t="s">
        <v>105</v>
      </c>
      <c r="D36" s="57" t="s">
        <v>34</v>
      </c>
      <c r="E36" s="55" t="s">
        <v>32</v>
      </c>
      <c r="F36" s="55" t="s">
        <v>39</v>
      </c>
      <c r="G36" s="47">
        <f t="shared" si="0"/>
        <v>153.936</v>
      </c>
      <c r="H36" s="47">
        <f t="shared" si="1"/>
        <v>170.99724</v>
      </c>
      <c r="I36" s="47">
        <f t="shared" si="2"/>
        <v>179.592</v>
      </c>
      <c r="J36" s="47">
        <f t="shared" si="3"/>
        <v>45.7033133333333</v>
      </c>
      <c r="K36" s="47">
        <f t="shared" si="4"/>
        <v>39.2358633333333</v>
      </c>
      <c r="L36" s="47">
        <f t="shared" si="5"/>
        <v>61.0276510416667</v>
      </c>
      <c r="M36" s="47">
        <f t="shared" si="6"/>
        <v>58.8673802083333</v>
      </c>
      <c r="N36" s="47">
        <f t="shared" si="7"/>
        <v>124.404875</v>
      </c>
      <c r="O36" s="47">
        <f t="shared" si="8"/>
        <v>37.1032083333333</v>
      </c>
      <c r="P36" s="47">
        <f t="shared" si="9"/>
        <v>35.068545</v>
      </c>
      <c r="Q36" s="56">
        <v>12.828</v>
      </c>
      <c r="R36" s="66"/>
    </row>
    <row r="37" s="6" customFormat="1" ht="18" customHeight="1" spans="1:19">
      <c r="A37" s="55" t="s">
        <v>104</v>
      </c>
      <c r="B37" s="55">
        <v>0.13</v>
      </c>
      <c r="C37" s="55" t="s">
        <v>105</v>
      </c>
      <c r="D37" s="55" t="s">
        <v>31</v>
      </c>
      <c r="E37" s="55" t="s">
        <v>32</v>
      </c>
      <c r="F37" s="55" t="s">
        <v>39</v>
      </c>
      <c r="G37" s="47">
        <f t="shared" si="0"/>
        <v>99.912</v>
      </c>
      <c r="H37" s="47">
        <f t="shared" si="1"/>
        <v>110.98558</v>
      </c>
      <c r="I37" s="47">
        <f t="shared" si="2"/>
        <v>116.564</v>
      </c>
      <c r="J37" s="47">
        <f t="shared" si="3"/>
        <v>29.6636877777778</v>
      </c>
      <c r="K37" s="47">
        <f t="shared" si="4"/>
        <v>25.4659961111111</v>
      </c>
      <c r="L37" s="47">
        <f t="shared" si="5"/>
        <v>39.6099331597222</v>
      </c>
      <c r="M37" s="47">
        <f t="shared" si="6"/>
        <v>38.2078116319444</v>
      </c>
      <c r="N37" s="47">
        <f t="shared" si="7"/>
        <v>80.7448541666667</v>
      </c>
      <c r="O37" s="47">
        <f t="shared" si="8"/>
        <v>24.0817986111111</v>
      </c>
      <c r="P37" s="47">
        <f t="shared" si="9"/>
        <v>22.7612025</v>
      </c>
      <c r="Q37" s="56">
        <v>8.326</v>
      </c>
      <c r="R37" s="66"/>
    </row>
    <row r="38" s="100" customFormat="1" ht="18" customHeight="1" spans="1:19">
      <c r="A38" s="55" t="s">
        <v>104</v>
      </c>
      <c r="B38" s="55">
        <v>0.13</v>
      </c>
      <c r="C38" s="55" t="s">
        <v>105</v>
      </c>
      <c r="D38" s="55" t="s">
        <v>31</v>
      </c>
      <c r="E38" s="55" t="s">
        <v>32</v>
      </c>
      <c r="F38" s="55" t="s">
        <v>40</v>
      </c>
      <c r="G38" s="47">
        <f t="shared" si="0"/>
        <v>119.232</v>
      </c>
      <c r="H38" s="47">
        <f t="shared" si="1"/>
        <v>132.44688</v>
      </c>
      <c r="I38" s="47">
        <f t="shared" si="2"/>
        <v>139.104</v>
      </c>
      <c r="J38" s="47">
        <f t="shared" si="3"/>
        <v>35.39976</v>
      </c>
      <c r="K38" s="47">
        <f t="shared" si="4"/>
        <v>30.39036</v>
      </c>
      <c r="L38" s="47">
        <f t="shared" si="5"/>
        <v>47.2693125</v>
      </c>
      <c r="M38" s="47">
        <f t="shared" si="6"/>
        <v>45.5960625</v>
      </c>
      <c r="N38" s="47">
        <f t="shared" si="7"/>
        <v>96.3585</v>
      </c>
      <c r="O38" s="47">
        <f t="shared" si="8"/>
        <v>28.7385</v>
      </c>
      <c r="P38" s="47">
        <f t="shared" si="9"/>
        <v>27.16254</v>
      </c>
      <c r="Q38" s="56">
        <v>9.936</v>
      </c>
      <c r="R38" s="66"/>
      <c r="S38" s="6"/>
    </row>
    <row r="39" s="6" customFormat="1" ht="18" customHeight="1" spans="1:19">
      <c r="A39" s="55" t="s">
        <v>104</v>
      </c>
      <c r="B39" s="55">
        <v>0.13</v>
      </c>
      <c r="C39" s="55" t="s">
        <v>105</v>
      </c>
      <c r="D39" s="55" t="s">
        <v>107</v>
      </c>
      <c r="E39" s="55" t="s">
        <v>32</v>
      </c>
      <c r="F39" s="55" t="s">
        <v>39</v>
      </c>
      <c r="G39" s="47">
        <f t="shared" si="0"/>
        <v>130.686</v>
      </c>
      <c r="H39" s="47">
        <f t="shared" si="1"/>
        <v>145.170365</v>
      </c>
      <c r="I39" s="47">
        <f t="shared" si="2"/>
        <v>152.467</v>
      </c>
      <c r="J39" s="47">
        <f t="shared" si="3"/>
        <v>38.8004313888889</v>
      </c>
      <c r="K39" s="47">
        <f t="shared" si="4"/>
        <v>33.3098043055556</v>
      </c>
      <c r="L39" s="47">
        <f t="shared" si="5"/>
        <v>51.8102302517361</v>
      </c>
      <c r="M39" s="47">
        <f t="shared" si="6"/>
        <v>49.9762398003472</v>
      </c>
      <c r="N39" s="47">
        <f t="shared" si="7"/>
        <v>105.615161458333</v>
      </c>
      <c r="O39" s="47">
        <f t="shared" si="8"/>
        <v>31.4992586805556</v>
      </c>
      <c r="P39" s="47">
        <f t="shared" si="9"/>
        <v>29.771904375</v>
      </c>
      <c r="Q39" s="56">
        <v>10.8905</v>
      </c>
      <c r="R39" s="66"/>
    </row>
    <row r="40" s="100" customFormat="1" ht="18" customHeight="1" spans="1:19">
      <c r="A40" s="55" t="s">
        <v>104</v>
      </c>
      <c r="B40" s="55">
        <v>0.13</v>
      </c>
      <c r="C40" s="55" t="s">
        <v>105</v>
      </c>
      <c r="D40" s="55" t="s">
        <v>107</v>
      </c>
      <c r="E40" s="55" t="s">
        <v>32</v>
      </c>
      <c r="F40" s="55" t="s">
        <v>40</v>
      </c>
      <c r="G40" s="47">
        <f t="shared" si="0"/>
        <v>154.56</v>
      </c>
      <c r="H40" s="47">
        <f t="shared" si="1"/>
        <v>171.6904</v>
      </c>
      <c r="I40" s="47">
        <f t="shared" si="2"/>
        <v>180.32</v>
      </c>
      <c r="J40" s="47">
        <f t="shared" si="3"/>
        <v>45.8885777777778</v>
      </c>
      <c r="K40" s="47">
        <f t="shared" si="4"/>
        <v>39.3949111111111</v>
      </c>
      <c r="L40" s="47">
        <f t="shared" si="5"/>
        <v>61.2750347222222</v>
      </c>
      <c r="M40" s="47">
        <f t="shared" si="6"/>
        <v>59.1060069444444</v>
      </c>
      <c r="N40" s="47">
        <f t="shared" si="7"/>
        <v>124.909166666667</v>
      </c>
      <c r="O40" s="47">
        <f t="shared" si="8"/>
        <v>37.2536111111111</v>
      </c>
      <c r="P40" s="47">
        <f t="shared" si="9"/>
        <v>35.2107</v>
      </c>
      <c r="Q40" s="56">
        <v>12.88</v>
      </c>
      <c r="R40" s="66"/>
      <c r="S40" s="6"/>
    </row>
    <row r="41" s="100" customFormat="1" ht="18" customHeight="1" spans="1:19">
      <c r="A41" s="55" t="s">
        <v>104</v>
      </c>
      <c r="B41" s="55">
        <v>0.13</v>
      </c>
      <c r="C41" s="55" t="s">
        <v>105</v>
      </c>
      <c r="D41" s="57" t="s">
        <v>34</v>
      </c>
      <c r="E41" s="55" t="s">
        <v>32</v>
      </c>
      <c r="F41" s="55" t="s">
        <v>40</v>
      </c>
      <c r="G41" s="47">
        <f t="shared" si="0"/>
        <v>166.842</v>
      </c>
      <c r="H41" s="47">
        <f t="shared" si="1"/>
        <v>185.333655</v>
      </c>
      <c r="I41" s="47">
        <f t="shared" si="2"/>
        <v>194.649</v>
      </c>
      <c r="J41" s="47">
        <f t="shared" si="3"/>
        <v>49.5350808333333</v>
      </c>
      <c r="K41" s="47">
        <f t="shared" si="4"/>
        <v>42.5253995833333</v>
      </c>
      <c r="L41" s="47">
        <f t="shared" si="5"/>
        <v>66.1442115885417</v>
      </c>
      <c r="M41" s="47">
        <f t="shared" si="6"/>
        <v>63.8028235677083</v>
      </c>
      <c r="N41" s="47">
        <f t="shared" si="7"/>
        <v>134.834984375</v>
      </c>
      <c r="O41" s="47">
        <f t="shared" si="8"/>
        <v>40.2139427083333</v>
      </c>
      <c r="P41" s="47">
        <f t="shared" si="9"/>
        <v>38.008693125</v>
      </c>
      <c r="Q41" s="56">
        <v>13.9035</v>
      </c>
      <c r="R41" s="66"/>
      <c r="S41" s="6"/>
    </row>
    <row r="42" s="6" customFormat="1" ht="18" customHeight="1" spans="1:19">
      <c r="A42" s="55" t="s">
        <v>104</v>
      </c>
      <c r="B42" s="55">
        <v>0.13</v>
      </c>
      <c r="C42" s="55" t="s">
        <v>105</v>
      </c>
      <c r="D42" s="57" t="s">
        <v>34</v>
      </c>
      <c r="E42" s="55" t="s">
        <v>32</v>
      </c>
      <c r="F42" s="55" t="s">
        <v>39</v>
      </c>
      <c r="G42" s="47">
        <f t="shared" si="0"/>
        <v>154.512</v>
      </c>
      <c r="H42" s="47">
        <f t="shared" si="1"/>
        <v>171.63708</v>
      </c>
      <c r="I42" s="47">
        <f t="shared" si="2"/>
        <v>180.264</v>
      </c>
      <c r="J42" s="47">
        <f t="shared" si="3"/>
        <v>45.8743266666667</v>
      </c>
      <c r="K42" s="47">
        <f t="shared" si="4"/>
        <v>39.3826766666667</v>
      </c>
      <c r="L42" s="47">
        <f t="shared" si="5"/>
        <v>61.2560052083333</v>
      </c>
      <c r="M42" s="47">
        <f t="shared" si="6"/>
        <v>59.0876510416667</v>
      </c>
      <c r="N42" s="47">
        <f t="shared" si="7"/>
        <v>124.870375</v>
      </c>
      <c r="O42" s="47">
        <f t="shared" si="8"/>
        <v>37.2420416666667</v>
      </c>
      <c r="P42" s="47">
        <f t="shared" si="9"/>
        <v>35.199765</v>
      </c>
      <c r="Q42" s="56">
        <v>12.876</v>
      </c>
      <c r="R42" s="66"/>
    </row>
    <row r="43" s="6" customFormat="1" ht="18" customHeight="1" spans="1:19">
      <c r="A43" s="55" t="s">
        <v>104</v>
      </c>
      <c r="B43" s="55">
        <v>0.13</v>
      </c>
      <c r="C43" s="55" t="s">
        <v>105</v>
      </c>
      <c r="D43" s="57" t="s">
        <v>34</v>
      </c>
      <c r="E43" s="55" t="s">
        <v>106</v>
      </c>
      <c r="F43" s="55" t="s">
        <v>39</v>
      </c>
      <c r="G43" s="47">
        <f t="shared" si="0"/>
        <v>164.496</v>
      </c>
      <c r="H43" s="47">
        <f t="shared" si="1"/>
        <v>182.72764</v>
      </c>
      <c r="I43" s="47">
        <f t="shared" si="2"/>
        <v>191.912</v>
      </c>
      <c r="J43" s="47">
        <f t="shared" si="3"/>
        <v>48.8385577777778</v>
      </c>
      <c r="K43" s="47">
        <f t="shared" si="4"/>
        <v>41.9274411111111</v>
      </c>
      <c r="L43" s="47">
        <f t="shared" si="5"/>
        <v>65.2141440972222</v>
      </c>
      <c r="M43" s="47">
        <f t="shared" si="6"/>
        <v>62.9056788194444</v>
      </c>
      <c r="N43" s="47">
        <f t="shared" si="7"/>
        <v>132.939041666667</v>
      </c>
      <c r="O43" s="47">
        <f t="shared" si="8"/>
        <v>39.6484861111111</v>
      </c>
      <c r="P43" s="47">
        <f t="shared" si="9"/>
        <v>37.474245</v>
      </c>
      <c r="Q43" s="56">
        <v>13.708</v>
      </c>
      <c r="R43" s="66"/>
    </row>
    <row r="44" s="6" customFormat="1" ht="18" customHeight="1" spans="1:19">
      <c r="A44" s="55" t="s">
        <v>104</v>
      </c>
      <c r="B44" s="55">
        <v>0.13</v>
      </c>
      <c r="C44" s="55" t="s">
        <v>105</v>
      </c>
      <c r="D44" s="57" t="s">
        <v>34</v>
      </c>
      <c r="E44" s="55" t="s">
        <v>32</v>
      </c>
      <c r="F44" s="55" t="s">
        <v>110</v>
      </c>
      <c r="G44" s="47">
        <f t="shared" si="0"/>
        <v>197.34</v>
      </c>
      <c r="H44" s="47">
        <f t="shared" si="1"/>
        <v>219.21185</v>
      </c>
      <c r="I44" s="47">
        <f t="shared" si="2"/>
        <v>230.23</v>
      </c>
      <c r="J44" s="47">
        <f t="shared" si="3"/>
        <v>58.5898805555556</v>
      </c>
      <c r="K44" s="47">
        <f t="shared" si="4"/>
        <v>50.2988597222222</v>
      </c>
      <c r="L44" s="47">
        <f t="shared" si="5"/>
        <v>78.2350889756945</v>
      </c>
      <c r="M44" s="47">
        <f t="shared" si="6"/>
        <v>75.4657052951389</v>
      </c>
      <c r="N44" s="47">
        <f t="shared" si="7"/>
        <v>159.482239583333</v>
      </c>
      <c r="O44" s="47">
        <f t="shared" si="8"/>
        <v>47.5648784722222</v>
      </c>
      <c r="P44" s="47">
        <f t="shared" si="9"/>
        <v>44.95651875</v>
      </c>
      <c r="Q44" s="56">
        <v>16.445</v>
      </c>
      <c r="R44" s="66"/>
    </row>
    <row r="45" s="6" customFormat="1" ht="18" customHeight="1" spans="1:19">
      <c r="A45" s="55" t="s">
        <v>104</v>
      </c>
      <c r="B45" s="55">
        <v>0.13</v>
      </c>
      <c r="C45" s="55" t="s">
        <v>105</v>
      </c>
      <c r="D45" s="57" t="s">
        <v>109</v>
      </c>
      <c r="E45" s="55" t="s">
        <v>32</v>
      </c>
      <c r="F45" s="55" t="s">
        <v>40</v>
      </c>
      <c r="G45" s="47">
        <f t="shared" si="0"/>
        <v>303.738</v>
      </c>
      <c r="H45" s="47">
        <f t="shared" si="1"/>
        <v>337.402295</v>
      </c>
      <c r="I45" s="47">
        <f t="shared" si="2"/>
        <v>354.361</v>
      </c>
      <c r="J45" s="47">
        <f t="shared" si="3"/>
        <v>90.1792497222222</v>
      </c>
      <c r="K45" s="47">
        <f t="shared" si="4"/>
        <v>77.4180351388889</v>
      </c>
      <c r="L45" s="47">
        <f t="shared" si="5"/>
        <v>120.416385199653</v>
      </c>
      <c r="M45" s="47">
        <f t="shared" si="6"/>
        <v>116.153858289931</v>
      </c>
      <c r="N45" s="47">
        <f t="shared" si="7"/>
        <v>245.468817708333</v>
      </c>
      <c r="O45" s="47">
        <f t="shared" si="8"/>
        <v>73.2099982638889</v>
      </c>
      <c r="P45" s="47">
        <f t="shared" si="9"/>
        <v>69.195313125</v>
      </c>
      <c r="Q45" s="56">
        <v>25.3115</v>
      </c>
      <c r="R45" s="66"/>
    </row>
    <row r="46" s="6" customFormat="1" ht="18" customHeight="1" spans="1:19">
      <c r="A46" s="55" t="s">
        <v>104</v>
      </c>
      <c r="B46" s="55">
        <v>0.13</v>
      </c>
      <c r="C46" s="55" t="s">
        <v>105</v>
      </c>
      <c r="D46" s="57" t="s">
        <v>41</v>
      </c>
      <c r="E46" s="55" t="s">
        <v>32</v>
      </c>
      <c r="F46" s="55" t="s">
        <v>40</v>
      </c>
      <c r="G46" s="47">
        <f t="shared" si="0"/>
        <v>332.442</v>
      </c>
      <c r="H46" s="47">
        <f t="shared" si="1"/>
        <v>369.287655</v>
      </c>
      <c r="I46" s="47">
        <f t="shared" si="2"/>
        <v>387.849</v>
      </c>
      <c r="J46" s="47">
        <f t="shared" si="3"/>
        <v>98.7014141666667</v>
      </c>
      <c r="K46" s="47">
        <f t="shared" si="4"/>
        <v>84.7342329166667</v>
      </c>
      <c r="L46" s="47">
        <f t="shared" si="5"/>
        <v>131.796034505208</v>
      </c>
      <c r="M46" s="47">
        <f t="shared" si="6"/>
        <v>127.130688151042</v>
      </c>
      <c r="N46" s="47">
        <f t="shared" si="7"/>
        <v>268.666234375</v>
      </c>
      <c r="O46" s="47">
        <f t="shared" si="8"/>
        <v>80.1285260416667</v>
      </c>
      <c r="P46" s="47">
        <f t="shared" si="9"/>
        <v>75.734443125</v>
      </c>
      <c r="Q46" s="56">
        <v>27.7035</v>
      </c>
      <c r="R46" s="66"/>
    </row>
    <row r="47" s="6" customFormat="1" ht="18" customHeight="1" spans="1:19">
      <c r="A47" s="55" t="s">
        <v>104</v>
      </c>
      <c r="B47" s="55">
        <v>0.15</v>
      </c>
      <c r="C47" s="55" t="s">
        <v>105</v>
      </c>
      <c r="D47" s="55" t="s">
        <v>31</v>
      </c>
      <c r="E47" s="55" t="s">
        <v>32</v>
      </c>
      <c r="F47" s="55" t="s">
        <v>42</v>
      </c>
      <c r="G47" s="47">
        <f t="shared" si="0"/>
        <v>101.706</v>
      </c>
      <c r="H47" s="47">
        <f t="shared" si="1"/>
        <v>112.978415</v>
      </c>
      <c r="I47" s="47">
        <f t="shared" si="2"/>
        <v>118.657</v>
      </c>
      <c r="J47" s="47">
        <f t="shared" si="3"/>
        <v>30.1963230555556</v>
      </c>
      <c r="K47" s="47">
        <f t="shared" si="4"/>
        <v>25.9232584722222</v>
      </c>
      <c r="L47" s="47">
        <f t="shared" si="5"/>
        <v>40.3211612413194</v>
      </c>
      <c r="M47" s="47">
        <f t="shared" si="6"/>
        <v>38.8938634982639</v>
      </c>
      <c r="N47" s="47">
        <f t="shared" si="7"/>
        <v>82.1946927083333</v>
      </c>
      <c r="O47" s="47">
        <f t="shared" si="8"/>
        <v>24.5142065972222</v>
      </c>
      <c r="P47" s="47">
        <f t="shared" si="9"/>
        <v>23.169898125</v>
      </c>
      <c r="Q47" s="56">
        <v>8.4755</v>
      </c>
      <c r="R47" s="66"/>
    </row>
    <row r="48" s="100" customFormat="1" ht="18" customHeight="1" spans="1:19">
      <c r="A48" s="55" t="s">
        <v>104</v>
      </c>
      <c r="B48" s="55">
        <v>0.15</v>
      </c>
      <c r="C48" s="55" t="s">
        <v>105</v>
      </c>
      <c r="D48" s="55" t="s">
        <v>31</v>
      </c>
      <c r="E48" s="55" t="s">
        <v>32</v>
      </c>
      <c r="F48" s="55" t="s">
        <v>40</v>
      </c>
      <c r="G48" s="47">
        <f t="shared" si="0"/>
        <v>123.648</v>
      </c>
      <c r="H48" s="47">
        <f t="shared" si="1"/>
        <v>137.35232</v>
      </c>
      <c r="I48" s="47">
        <f t="shared" si="2"/>
        <v>144.256</v>
      </c>
      <c r="J48" s="47">
        <f t="shared" si="3"/>
        <v>36.7108622222222</v>
      </c>
      <c r="K48" s="47">
        <f t="shared" si="4"/>
        <v>31.5159288888889</v>
      </c>
      <c r="L48" s="47">
        <f t="shared" si="5"/>
        <v>49.0200277777778</v>
      </c>
      <c r="M48" s="47">
        <f t="shared" si="6"/>
        <v>47.2848055555556</v>
      </c>
      <c r="N48" s="47">
        <f t="shared" si="7"/>
        <v>99.9273333333333</v>
      </c>
      <c r="O48" s="47">
        <f t="shared" si="8"/>
        <v>29.8028888888889</v>
      </c>
      <c r="P48" s="47">
        <f t="shared" si="9"/>
        <v>28.16856</v>
      </c>
      <c r="Q48" s="56">
        <v>10.304</v>
      </c>
      <c r="R48" s="66"/>
      <c r="S48" s="6"/>
    </row>
    <row r="49" s="100" customFormat="1" ht="18" customHeight="1" spans="1:19">
      <c r="A49" s="55" t="s">
        <v>104</v>
      </c>
      <c r="B49" s="55">
        <v>0.15</v>
      </c>
      <c r="C49" s="55" t="s">
        <v>105</v>
      </c>
      <c r="D49" s="55" t="s">
        <v>31</v>
      </c>
      <c r="E49" s="55" t="s">
        <v>106</v>
      </c>
      <c r="F49" s="55" t="s">
        <v>40</v>
      </c>
      <c r="G49" s="47">
        <f t="shared" si="0"/>
        <v>127.512</v>
      </c>
      <c r="H49" s="47">
        <f t="shared" si="1"/>
        <v>141.64458</v>
      </c>
      <c r="I49" s="47">
        <f t="shared" si="2"/>
        <v>148.764</v>
      </c>
      <c r="J49" s="47">
        <f t="shared" si="3"/>
        <v>37.8580766666667</v>
      </c>
      <c r="K49" s="47">
        <f t="shared" si="4"/>
        <v>32.5008016666667</v>
      </c>
      <c r="L49" s="47">
        <f t="shared" si="5"/>
        <v>50.5519036458333</v>
      </c>
      <c r="M49" s="47">
        <f t="shared" si="6"/>
        <v>48.7624557291667</v>
      </c>
      <c r="N49" s="47">
        <f t="shared" si="7"/>
        <v>103.0500625</v>
      </c>
      <c r="O49" s="47">
        <f t="shared" si="8"/>
        <v>30.7342291666667</v>
      </c>
      <c r="P49" s="47">
        <f t="shared" si="9"/>
        <v>29.0488275</v>
      </c>
      <c r="Q49" s="56">
        <v>10.626</v>
      </c>
      <c r="R49" s="66"/>
      <c r="S49" s="6"/>
    </row>
    <row r="50" s="6" customFormat="1" ht="18" customHeight="1" spans="1:19">
      <c r="A50" s="55" t="s">
        <v>104</v>
      </c>
      <c r="B50" s="55">
        <v>0.15</v>
      </c>
      <c r="C50" s="55" t="s">
        <v>105</v>
      </c>
      <c r="D50" s="55" t="s">
        <v>107</v>
      </c>
      <c r="E50" s="55" t="s">
        <v>32</v>
      </c>
      <c r="F50" s="55" t="s">
        <v>42</v>
      </c>
      <c r="G50" s="47">
        <f t="shared" si="0"/>
        <v>136.62</v>
      </c>
      <c r="H50" s="47">
        <f t="shared" si="1"/>
        <v>151.76205</v>
      </c>
      <c r="I50" s="47">
        <f t="shared" si="2"/>
        <v>159.39</v>
      </c>
      <c r="J50" s="47">
        <f t="shared" si="3"/>
        <v>40.562225</v>
      </c>
      <c r="K50" s="47">
        <f t="shared" si="4"/>
        <v>34.8222875</v>
      </c>
      <c r="L50" s="47">
        <f t="shared" si="5"/>
        <v>54.16275390625</v>
      </c>
      <c r="M50" s="47">
        <f t="shared" si="6"/>
        <v>52.24548828125</v>
      </c>
      <c r="N50" s="47">
        <f t="shared" si="7"/>
        <v>110.41078125</v>
      </c>
      <c r="O50" s="47">
        <f t="shared" si="8"/>
        <v>32.92953125</v>
      </c>
      <c r="P50" s="47">
        <f t="shared" si="9"/>
        <v>31.12374375</v>
      </c>
      <c r="Q50" s="56">
        <v>11.385</v>
      </c>
      <c r="R50" s="66"/>
    </row>
    <row r="51" s="100" customFormat="1" ht="18" customHeight="1" spans="1:19">
      <c r="A51" s="55" t="s">
        <v>104</v>
      </c>
      <c r="B51" s="55">
        <v>0.15</v>
      </c>
      <c r="C51" s="55" t="s">
        <v>105</v>
      </c>
      <c r="D51" s="55" t="s">
        <v>107</v>
      </c>
      <c r="E51" s="55" t="s">
        <v>32</v>
      </c>
      <c r="F51" s="55" t="s">
        <v>40</v>
      </c>
      <c r="G51" s="47">
        <f t="shared" si="0"/>
        <v>148.626</v>
      </c>
      <c r="H51" s="47">
        <f t="shared" si="1"/>
        <v>165.098715</v>
      </c>
      <c r="I51" s="47">
        <f t="shared" si="2"/>
        <v>173.397</v>
      </c>
      <c r="J51" s="47">
        <f t="shared" si="3"/>
        <v>44.1267841666667</v>
      </c>
      <c r="K51" s="47">
        <f t="shared" si="4"/>
        <v>37.8824279166667</v>
      </c>
      <c r="L51" s="47">
        <f t="shared" si="5"/>
        <v>58.9225110677083</v>
      </c>
      <c r="M51" s="47">
        <f t="shared" si="6"/>
        <v>56.8367584635417</v>
      </c>
      <c r="N51" s="47">
        <f t="shared" si="7"/>
        <v>120.113546875</v>
      </c>
      <c r="O51" s="47">
        <f t="shared" si="8"/>
        <v>35.8233385416667</v>
      </c>
      <c r="P51" s="47">
        <f t="shared" si="9"/>
        <v>33.858860625</v>
      </c>
      <c r="Q51" s="56">
        <v>12.3855</v>
      </c>
      <c r="R51" s="66"/>
      <c r="S51" s="6"/>
    </row>
    <row r="52" s="6" customFormat="1" ht="18" customHeight="1" spans="1:19">
      <c r="A52" s="55" t="s">
        <v>104</v>
      </c>
      <c r="B52" s="55">
        <v>0.15</v>
      </c>
      <c r="C52" s="55" t="s">
        <v>105</v>
      </c>
      <c r="D52" s="57" t="s">
        <v>34</v>
      </c>
      <c r="E52" s="55" t="s">
        <v>32</v>
      </c>
      <c r="F52" s="55" t="s">
        <v>42</v>
      </c>
      <c r="G52" s="47">
        <f t="shared" si="0"/>
        <v>154.368</v>
      </c>
      <c r="H52" s="47">
        <f t="shared" si="1"/>
        <v>171.47712</v>
      </c>
      <c r="I52" s="47">
        <f t="shared" si="2"/>
        <v>180.096</v>
      </c>
      <c r="J52" s="47">
        <f t="shared" si="3"/>
        <v>45.8315733333333</v>
      </c>
      <c r="K52" s="47">
        <f t="shared" si="4"/>
        <v>39.3459733333333</v>
      </c>
      <c r="L52" s="47">
        <f t="shared" si="5"/>
        <v>61.1989166666667</v>
      </c>
      <c r="M52" s="47">
        <f t="shared" si="6"/>
        <v>59.0325833333333</v>
      </c>
      <c r="N52" s="47">
        <f t="shared" si="7"/>
        <v>124.754</v>
      </c>
      <c r="O52" s="47">
        <f t="shared" si="8"/>
        <v>37.2073333333333</v>
      </c>
      <c r="P52" s="47">
        <f t="shared" si="9"/>
        <v>35.16696</v>
      </c>
      <c r="Q52" s="56">
        <v>12.864</v>
      </c>
      <c r="R52" s="66"/>
    </row>
    <row r="53" s="6" customFormat="1" ht="18" customHeight="1" spans="1:19">
      <c r="A53" s="55" t="s">
        <v>104</v>
      </c>
      <c r="B53" s="55">
        <v>0.15</v>
      </c>
      <c r="C53" s="55" t="s">
        <v>105</v>
      </c>
      <c r="D53" s="57" t="s">
        <v>34</v>
      </c>
      <c r="E53" s="55" t="s">
        <v>32</v>
      </c>
      <c r="F53" s="55" t="s">
        <v>40</v>
      </c>
      <c r="G53" s="47">
        <f t="shared" si="0"/>
        <v>167.808</v>
      </c>
      <c r="H53" s="47">
        <f t="shared" si="1"/>
        <v>186.40672</v>
      </c>
      <c r="I53" s="47">
        <f t="shared" si="2"/>
        <v>195.776</v>
      </c>
      <c r="J53" s="47">
        <f t="shared" si="3"/>
        <v>49.8218844444444</v>
      </c>
      <c r="K53" s="47">
        <f t="shared" si="4"/>
        <v>42.7716177777778</v>
      </c>
      <c r="L53" s="47">
        <f t="shared" si="5"/>
        <v>66.5271805555556</v>
      </c>
      <c r="M53" s="47">
        <f t="shared" si="6"/>
        <v>64.1722361111111</v>
      </c>
      <c r="N53" s="47">
        <f t="shared" si="7"/>
        <v>135.615666666667</v>
      </c>
      <c r="O53" s="47">
        <f t="shared" si="8"/>
        <v>40.4467777777778</v>
      </c>
      <c r="P53" s="47">
        <f t="shared" si="9"/>
        <v>38.22876</v>
      </c>
      <c r="Q53" s="56">
        <v>13.984</v>
      </c>
      <c r="R53" s="66"/>
    </row>
    <row r="54" s="6" customFormat="1" ht="18" customHeight="1" spans="1:19">
      <c r="A54" s="55" t="s">
        <v>104</v>
      </c>
      <c r="B54" s="55">
        <v>0.15</v>
      </c>
      <c r="C54" s="55" t="s">
        <v>105</v>
      </c>
      <c r="D54" s="57" t="s">
        <v>109</v>
      </c>
      <c r="E54" s="55" t="s">
        <v>32</v>
      </c>
      <c r="F54" s="55" t="s">
        <v>40</v>
      </c>
      <c r="G54" s="47">
        <f t="shared" si="0"/>
        <v>274.482</v>
      </c>
      <c r="H54" s="47">
        <f t="shared" si="1"/>
        <v>304.903755</v>
      </c>
      <c r="I54" s="47">
        <f t="shared" si="2"/>
        <v>320.229</v>
      </c>
      <c r="J54" s="47">
        <f t="shared" si="3"/>
        <v>81.4931975</v>
      </c>
      <c r="K54" s="47">
        <f t="shared" si="4"/>
        <v>69.96114125</v>
      </c>
      <c r="L54" s="47">
        <f t="shared" si="5"/>
        <v>108.817896484375</v>
      </c>
      <c r="M54" s="47">
        <f t="shared" si="6"/>
        <v>104.965935546875</v>
      </c>
      <c r="N54" s="47">
        <f t="shared" si="7"/>
        <v>221.825296875</v>
      </c>
      <c r="O54" s="47">
        <f t="shared" si="8"/>
        <v>66.158421875</v>
      </c>
      <c r="P54" s="47">
        <f t="shared" si="9"/>
        <v>62.530430625</v>
      </c>
      <c r="Q54" s="56">
        <v>22.8735</v>
      </c>
      <c r="R54" s="66"/>
    </row>
    <row r="55" s="6" customFormat="1" ht="18" customHeight="1" spans="1:19">
      <c r="A55" s="55" t="s">
        <v>104</v>
      </c>
      <c r="B55" s="55">
        <v>0.15</v>
      </c>
      <c r="C55" s="55" t="s">
        <v>105</v>
      </c>
      <c r="D55" s="57" t="s">
        <v>41</v>
      </c>
      <c r="E55" s="55" t="s">
        <v>32</v>
      </c>
      <c r="F55" s="55" t="s">
        <v>40</v>
      </c>
      <c r="G55" s="47">
        <f t="shared" si="0"/>
        <v>314.496</v>
      </c>
      <c r="H55" s="47">
        <f t="shared" si="1"/>
        <v>349.35264</v>
      </c>
      <c r="I55" s="47">
        <f t="shared" si="2"/>
        <v>366.912</v>
      </c>
      <c r="J55" s="47">
        <f t="shared" si="3"/>
        <v>93.37328</v>
      </c>
      <c r="K55" s="47">
        <f t="shared" si="4"/>
        <v>80.16008</v>
      </c>
      <c r="L55" s="47">
        <f t="shared" si="5"/>
        <v>124.681375</v>
      </c>
      <c r="M55" s="47">
        <f t="shared" si="6"/>
        <v>120.267875</v>
      </c>
      <c r="N55" s="47">
        <f t="shared" si="7"/>
        <v>254.163</v>
      </c>
      <c r="O55" s="47">
        <f t="shared" si="8"/>
        <v>75.803</v>
      </c>
      <c r="P55" s="47">
        <f t="shared" si="9"/>
        <v>71.64612</v>
      </c>
      <c r="Q55" s="56">
        <v>26.208</v>
      </c>
      <c r="R55" s="66"/>
    </row>
    <row r="56" s="6" customFormat="1" ht="18" customHeight="1" spans="1:19">
      <c r="A56" s="55" t="s">
        <v>104</v>
      </c>
      <c r="B56" s="55">
        <v>0.15</v>
      </c>
      <c r="C56" s="55" t="s">
        <v>105</v>
      </c>
      <c r="D56" s="57" t="s">
        <v>41</v>
      </c>
      <c r="E56" s="55" t="s">
        <v>32</v>
      </c>
      <c r="F56" s="55" t="s">
        <v>111</v>
      </c>
      <c r="G56" s="47">
        <f t="shared" si="0"/>
        <v>342.864</v>
      </c>
      <c r="H56" s="47">
        <f t="shared" si="1"/>
        <v>380.86476</v>
      </c>
      <c r="I56" s="47">
        <f t="shared" si="2"/>
        <v>400.008</v>
      </c>
      <c r="J56" s="47">
        <f t="shared" si="3"/>
        <v>101.795686666667</v>
      </c>
      <c r="K56" s="47">
        <f t="shared" si="4"/>
        <v>87.3906366666667</v>
      </c>
      <c r="L56" s="47">
        <f t="shared" si="5"/>
        <v>135.927817708333</v>
      </c>
      <c r="M56" s="47">
        <f t="shared" si="6"/>
        <v>131.116213541667</v>
      </c>
      <c r="N56" s="47">
        <f t="shared" si="7"/>
        <v>277.088875</v>
      </c>
      <c r="O56" s="47">
        <f t="shared" si="8"/>
        <v>82.6405416666667</v>
      </c>
      <c r="P56" s="47">
        <f t="shared" si="9"/>
        <v>78.108705</v>
      </c>
      <c r="Q56" s="56">
        <v>28.572</v>
      </c>
      <c r="R56" s="66"/>
    </row>
    <row r="57" s="6" customFormat="1" ht="18" customHeight="1" spans="1:19">
      <c r="A57" s="55" t="s">
        <v>104</v>
      </c>
      <c r="B57" s="55">
        <v>0.18</v>
      </c>
      <c r="C57" s="55" t="s">
        <v>105</v>
      </c>
      <c r="D57" s="55" t="s">
        <v>31</v>
      </c>
      <c r="E57" s="55" t="s">
        <v>32</v>
      </c>
      <c r="F57" s="55" t="s">
        <v>43</v>
      </c>
      <c r="G57" s="47">
        <f t="shared" si="0"/>
        <v>98.808</v>
      </c>
      <c r="H57" s="47">
        <f t="shared" si="1"/>
        <v>109.75922</v>
      </c>
      <c r="I57" s="47">
        <f t="shared" si="2"/>
        <v>115.276</v>
      </c>
      <c r="J57" s="47">
        <f t="shared" si="3"/>
        <v>29.3359122222222</v>
      </c>
      <c r="K57" s="47">
        <f t="shared" si="4"/>
        <v>25.1846038888889</v>
      </c>
      <c r="L57" s="47">
        <f t="shared" si="5"/>
        <v>39.1722543402778</v>
      </c>
      <c r="M57" s="47">
        <f t="shared" si="6"/>
        <v>37.7856258680556</v>
      </c>
      <c r="N57" s="47">
        <f t="shared" si="7"/>
        <v>79.8526458333333</v>
      </c>
      <c r="O57" s="47">
        <f t="shared" si="8"/>
        <v>23.8157013888889</v>
      </c>
      <c r="P57" s="47">
        <f t="shared" si="9"/>
        <v>22.5096975</v>
      </c>
      <c r="Q57" s="56">
        <v>8.234</v>
      </c>
      <c r="R57" s="66"/>
    </row>
    <row r="58" s="6" customFormat="1" ht="18" customHeight="1" spans="1:19">
      <c r="A58" s="55" t="s">
        <v>104</v>
      </c>
      <c r="B58" s="55">
        <v>0.18</v>
      </c>
      <c r="C58" s="55" t="s">
        <v>105</v>
      </c>
      <c r="D58" s="55" t="s">
        <v>31</v>
      </c>
      <c r="E58" s="55" t="s">
        <v>32</v>
      </c>
      <c r="F58" s="55" t="s">
        <v>46</v>
      </c>
      <c r="G58" s="47">
        <f t="shared" si="0"/>
        <v>122.544</v>
      </c>
      <c r="H58" s="47">
        <f t="shared" si="1"/>
        <v>136.12596</v>
      </c>
      <c r="I58" s="47">
        <f t="shared" si="2"/>
        <v>142.968</v>
      </c>
      <c r="J58" s="47">
        <f t="shared" si="3"/>
        <v>36.3830866666667</v>
      </c>
      <c r="K58" s="47">
        <f t="shared" si="4"/>
        <v>31.2345366666667</v>
      </c>
      <c r="L58" s="47">
        <f t="shared" si="5"/>
        <v>48.5823489583333</v>
      </c>
      <c r="M58" s="47">
        <f t="shared" si="6"/>
        <v>46.8626197916667</v>
      </c>
      <c r="N58" s="47">
        <f t="shared" si="7"/>
        <v>99.035125</v>
      </c>
      <c r="O58" s="47">
        <f t="shared" si="8"/>
        <v>29.5367916666667</v>
      </c>
      <c r="P58" s="47">
        <f t="shared" si="9"/>
        <v>27.917055</v>
      </c>
      <c r="Q58" s="56">
        <v>10.212</v>
      </c>
      <c r="R58" s="66"/>
    </row>
    <row r="59" s="100" customFormat="1" ht="18" customHeight="1" spans="1:19">
      <c r="A59" s="55" t="s">
        <v>104</v>
      </c>
      <c r="B59" s="55">
        <v>0.18</v>
      </c>
      <c r="C59" s="55" t="s">
        <v>105</v>
      </c>
      <c r="D59" s="55" t="s">
        <v>31</v>
      </c>
      <c r="E59" s="55" t="s">
        <v>32</v>
      </c>
      <c r="F59" s="55" t="s">
        <v>44</v>
      </c>
      <c r="G59" s="47">
        <f t="shared" si="0"/>
        <v>121.578</v>
      </c>
      <c r="H59" s="47">
        <f t="shared" si="1"/>
        <v>135.052895</v>
      </c>
      <c r="I59" s="47">
        <f t="shared" si="2"/>
        <v>141.841</v>
      </c>
      <c r="J59" s="47">
        <f t="shared" si="3"/>
        <v>36.0962830555556</v>
      </c>
      <c r="K59" s="47">
        <f t="shared" si="4"/>
        <v>30.9883184722222</v>
      </c>
      <c r="L59" s="47">
        <f t="shared" si="5"/>
        <v>48.1993799913194</v>
      </c>
      <c r="M59" s="47">
        <f t="shared" si="6"/>
        <v>46.4932072482639</v>
      </c>
      <c r="N59" s="47">
        <f t="shared" si="7"/>
        <v>98.2544427083333</v>
      </c>
      <c r="O59" s="47">
        <f t="shared" si="8"/>
        <v>29.3039565972222</v>
      </c>
      <c r="P59" s="47">
        <f t="shared" si="9"/>
        <v>27.696988125</v>
      </c>
      <c r="Q59" s="56">
        <v>10.1315</v>
      </c>
      <c r="R59" s="66"/>
      <c r="S59" s="6"/>
    </row>
    <row r="60" s="100" customFormat="1" ht="18" customHeight="1" spans="1:19">
      <c r="A60" s="55" t="s">
        <v>104</v>
      </c>
      <c r="B60" s="55">
        <v>0.18</v>
      </c>
      <c r="C60" s="55" t="s">
        <v>105</v>
      </c>
      <c r="D60" s="55" t="s">
        <v>107</v>
      </c>
      <c r="E60" s="55" t="s">
        <v>32</v>
      </c>
      <c r="F60" s="55" t="s">
        <v>43</v>
      </c>
      <c r="G60" s="47">
        <f t="shared" ref="G60:G65" si="10">Q60*12</f>
        <v>132.204</v>
      </c>
      <c r="H60" s="47">
        <f t="shared" ref="H60:H65" si="11">Q60*13.33</f>
        <v>146.85661</v>
      </c>
      <c r="I60" s="47">
        <f t="shared" ref="I60:I65" si="12">Q60*14</f>
        <v>154.238</v>
      </c>
      <c r="J60" s="47">
        <f t="shared" ref="J60:J65" si="13">21.2*24.2/144*Q60</f>
        <v>39.2511227777778</v>
      </c>
      <c r="K60" s="47">
        <f t="shared" ref="K60:K65" si="14">18.2*24.2/144*Q60</f>
        <v>33.6967186111111</v>
      </c>
      <c r="L60" s="47">
        <f t="shared" ref="L60:L65" si="15">28.25*24.25/144*Q60</f>
        <v>52.4120386284722</v>
      </c>
      <c r="M60" s="47">
        <f t="shared" ref="M60:M65" si="16">27.25*24.25/144*Q60</f>
        <v>50.5567452256944</v>
      </c>
      <c r="N60" s="47">
        <f t="shared" ref="N60:N65" si="17">28.5*49/144*Q60</f>
        <v>106.841947916667</v>
      </c>
      <c r="O60" s="47">
        <f t="shared" ref="O60:O65" si="18">17*24.5/144*Q60</f>
        <v>31.8651423611111</v>
      </c>
      <c r="P60" s="47">
        <f t="shared" ref="P60:P65" si="19">24.3*16.2/144*Q60</f>
        <v>30.11772375</v>
      </c>
      <c r="Q60" s="56">
        <v>11.017</v>
      </c>
      <c r="R60" s="66"/>
      <c r="S60" s="6"/>
    </row>
    <row r="61" s="100" customFormat="1" ht="18" customHeight="1" spans="1:19">
      <c r="A61" s="55" t="s">
        <v>104</v>
      </c>
      <c r="B61" s="55">
        <v>0.18</v>
      </c>
      <c r="C61" s="55" t="s">
        <v>105</v>
      </c>
      <c r="D61" s="57" t="s">
        <v>34</v>
      </c>
      <c r="E61" s="55" t="s">
        <v>32</v>
      </c>
      <c r="F61" s="55" t="s">
        <v>43</v>
      </c>
      <c r="G61" s="47">
        <f t="shared" si="10"/>
        <v>145.176</v>
      </c>
      <c r="H61" s="47">
        <f t="shared" si="11"/>
        <v>161.26634</v>
      </c>
      <c r="I61" s="47">
        <f t="shared" si="12"/>
        <v>169.372</v>
      </c>
      <c r="J61" s="47">
        <f t="shared" si="13"/>
        <v>43.1024855555556</v>
      </c>
      <c r="K61" s="47">
        <f t="shared" si="14"/>
        <v>37.0030772222222</v>
      </c>
      <c r="L61" s="47">
        <f t="shared" si="15"/>
        <v>57.5547647569445</v>
      </c>
      <c r="M61" s="47">
        <f t="shared" si="16"/>
        <v>55.5174279513889</v>
      </c>
      <c r="N61" s="47">
        <f t="shared" si="17"/>
        <v>117.325395833333</v>
      </c>
      <c r="O61" s="47">
        <f t="shared" si="18"/>
        <v>34.9917847222222</v>
      </c>
      <c r="P61" s="47">
        <f t="shared" si="19"/>
        <v>33.0729075</v>
      </c>
      <c r="Q61" s="56">
        <v>12.098</v>
      </c>
      <c r="R61" s="66"/>
      <c r="S61" s="6"/>
    </row>
    <row r="62" s="6" customFormat="1" ht="18" customHeight="1" spans="1:19">
      <c r="A62" s="55" t="s">
        <v>104</v>
      </c>
      <c r="B62" s="55">
        <v>0.18</v>
      </c>
      <c r="C62" s="55" t="s">
        <v>105</v>
      </c>
      <c r="D62" s="57" t="s">
        <v>34</v>
      </c>
      <c r="E62" s="55" t="s">
        <v>32</v>
      </c>
      <c r="F62" s="55" t="s">
        <v>46</v>
      </c>
      <c r="G62" s="47">
        <f t="shared" si="10"/>
        <v>175.536</v>
      </c>
      <c r="H62" s="47">
        <f t="shared" si="11"/>
        <v>194.99124</v>
      </c>
      <c r="I62" s="47">
        <f t="shared" si="12"/>
        <v>204.792</v>
      </c>
      <c r="J62" s="47">
        <f t="shared" si="13"/>
        <v>52.1163133333333</v>
      </c>
      <c r="K62" s="47">
        <f t="shared" si="14"/>
        <v>44.7413633333333</v>
      </c>
      <c r="L62" s="47">
        <f t="shared" si="15"/>
        <v>69.5909322916667</v>
      </c>
      <c r="M62" s="47">
        <f t="shared" si="16"/>
        <v>67.1275364583333</v>
      </c>
      <c r="N62" s="47">
        <f t="shared" si="17"/>
        <v>141.861125</v>
      </c>
      <c r="O62" s="47">
        <f t="shared" si="18"/>
        <v>42.3094583333333</v>
      </c>
      <c r="P62" s="47">
        <f t="shared" si="19"/>
        <v>39.989295</v>
      </c>
      <c r="Q62" s="56">
        <v>14.628</v>
      </c>
      <c r="R62" s="66"/>
    </row>
    <row r="63" s="100" customFormat="1" ht="18" customHeight="1" spans="1:19">
      <c r="A63" s="55" t="s">
        <v>104</v>
      </c>
      <c r="B63" s="55">
        <v>0.18</v>
      </c>
      <c r="C63" s="55" t="s">
        <v>105</v>
      </c>
      <c r="D63" s="57" t="s">
        <v>34</v>
      </c>
      <c r="E63" s="55" t="s">
        <v>32</v>
      </c>
      <c r="F63" s="55" t="s">
        <v>112</v>
      </c>
      <c r="G63" s="47">
        <f t="shared" si="10"/>
        <v>180.504</v>
      </c>
      <c r="H63" s="47">
        <f t="shared" si="11"/>
        <v>200.50986</v>
      </c>
      <c r="I63" s="47">
        <f t="shared" si="12"/>
        <v>210.588</v>
      </c>
      <c r="J63" s="47">
        <f t="shared" si="13"/>
        <v>53.5913033333333</v>
      </c>
      <c r="K63" s="47">
        <f t="shared" si="14"/>
        <v>46.0076283333333</v>
      </c>
      <c r="L63" s="47">
        <f t="shared" si="15"/>
        <v>71.5604869791667</v>
      </c>
      <c r="M63" s="47">
        <f t="shared" si="16"/>
        <v>69.0273723958333</v>
      </c>
      <c r="N63" s="47">
        <f t="shared" si="17"/>
        <v>145.8760625</v>
      </c>
      <c r="O63" s="47">
        <f t="shared" si="18"/>
        <v>43.5068958333333</v>
      </c>
      <c r="P63" s="47">
        <f t="shared" si="19"/>
        <v>41.1210675</v>
      </c>
      <c r="Q63" s="56">
        <v>15.042</v>
      </c>
      <c r="R63" s="66"/>
      <c r="S63" s="6"/>
    </row>
    <row r="64" s="100" customFormat="1" ht="18" customHeight="1" spans="1:19">
      <c r="A64" s="55" t="s">
        <v>104</v>
      </c>
      <c r="B64" s="55">
        <v>0.18</v>
      </c>
      <c r="C64" s="55" t="s">
        <v>105</v>
      </c>
      <c r="D64" s="57" t="s">
        <v>41</v>
      </c>
      <c r="E64" s="55" t="s">
        <v>32</v>
      </c>
      <c r="F64" s="55" t="s">
        <v>112</v>
      </c>
      <c r="G64" s="47">
        <f t="shared" si="10"/>
        <v>329.682</v>
      </c>
      <c r="H64" s="47">
        <f t="shared" si="11"/>
        <v>366.221755</v>
      </c>
      <c r="I64" s="47">
        <f t="shared" si="12"/>
        <v>384.629</v>
      </c>
      <c r="J64" s="47">
        <f t="shared" si="13"/>
        <v>97.8819752777778</v>
      </c>
      <c r="K64" s="47">
        <f t="shared" si="14"/>
        <v>84.0307523611111</v>
      </c>
      <c r="L64" s="47">
        <f t="shared" si="15"/>
        <v>130.701837456597</v>
      </c>
      <c r="M64" s="47">
        <f t="shared" si="16"/>
        <v>126.075223741319</v>
      </c>
      <c r="N64" s="47">
        <f t="shared" si="17"/>
        <v>266.435713541667</v>
      </c>
      <c r="O64" s="47">
        <f t="shared" si="18"/>
        <v>79.4632829861111</v>
      </c>
      <c r="P64" s="47">
        <f t="shared" si="19"/>
        <v>75.105680625</v>
      </c>
      <c r="Q64" s="56">
        <v>27.4735</v>
      </c>
      <c r="R64" s="66"/>
      <c r="S64" s="6"/>
    </row>
    <row r="65" s="100" customFormat="1" ht="18" customHeight="1" spans="1:19">
      <c r="A65" s="55" t="s">
        <v>104</v>
      </c>
      <c r="B65" s="55">
        <v>0.18</v>
      </c>
      <c r="C65" s="55" t="s">
        <v>105</v>
      </c>
      <c r="D65" s="57" t="s">
        <v>41</v>
      </c>
      <c r="E65" s="55" t="s">
        <v>32</v>
      </c>
      <c r="F65" s="55" t="s">
        <v>112</v>
      </c>
      <c r="G65" s="47">
        <f t="shared" si="10"/>
        <v>358.98</v>
      </c>
      <c r="H65" s="47">
        <f t="shared" si="11"/>
        <v>398.76695</v>
      </c>
      <c r="I65" s="47">
        <f t="shared" si="12"/>
        <v>418.81</v>
      </c>
      <c r="J65" s="47">
        <f t="shared" si="13"/>
        <v>106.580497222222</v>
      </c>
      <c r="K65" s="47">
        <f t="shared" si="14"/>
        <v>91.4983513888889</v>
      </c>
      <c r="L65" s="47">
        <f t="shared" si="15"/>
        <v>142.316976996528</v>
      </c>
      <c r="M65" s="47">
        <f t="shared" si="16"/>
        <v>137.279207899306</v>
      </c>
      <c r="N65" s="47">
        <f t="shared" si="17"/>
        <v>290.113177083333</v>
      </c>
      <c r="O65" s="47">
        <f t="shared" si="18"/>
        <v>86.5249826388889</v>
      </c>
      <c r="P65" s="47">
        <f t="shared" si="19"/>
        <v>81.78013125</v>
      </c>
      <c r="Q65" s="56">
        <v>29.915</v>
      </c>
      <c r="R65" s="66"/>
      <c r="S65" s="6"/>
    </row>
    <row r="66" s="100" customFormat="1" ht="18" customHeight="1" spans="1:19">
      <c r="A66" s="55" t="s">
        <v>104</v>
      </c>
      <c r="B66" s="55">
        <v>0.2</v>
      </c>
      <c r="C66" s="55" t="s">
        <v>105</v>
      </c>
      <c r="D66" s="57" t="s">
        <v>34</v>
      </c>
      <c r="E66" s="55" t="s">
        <v>32</v>
      </c>
      <c r="F66" s="55" t="s">
        <v>43</v>
      </c>
      <c r="G66" s="47">
        <f t="shared" ref="G66:G90" si="20">Q66*12</f>
        <v>155.952</v>
      </c>
      <c r="H66" s="47">
        <f t="shared" ref="H66:H90" si="21">Q66*13.33</f>
        <v>173.23668</v>
      </c>
      <c r="I66" s="47">
        <f t="shared" ref="I66:I90" si="22">Q66*14</f>
        <v>181.944</v>
      </c>
      <c r="J66" s="47">
        <f t="shared" ref="J66:J90" si="23">21.2*24.2/144*Q66</f>
        <v>46.30186</v>
      </c>
      <c r="K66" s="47">
        <f t="shared" ref="K66:K90" si="24">18.2*24.2/144*Q66</f>
        <v>39.74971</v>
      </c>
      <c r="L66" s="47">
        <f t="shared" ref="L66:L90" si="25">28.25*24.25/144*Q66</f>
        <v>61.826890625</v>
      </c>
      <c r="M66" s="47">
        <f t="shared" ref="M66:M90" si="26">27.25*24.25/144*Q66</f>
        <v>59.638328125</v>
      </c>
      <c r="N66" s="47">
        <f t="shared" ref="N66:N90" si="27">28.5*49/144*Q66</f>
        <v>126.034125</v>
      </c>
      <c r="O66" s="47">
        <f t="shared" ref="O66:O90" si="28">17*24.5/144*Q66</f>
        <v>37.589125</v>
      </c>
      <c r="P66" s="47">
        <f t="shared" ref="P66:P90" si="29">24.3*16.2/144*Q66</f>
        <v>35.527815</v>
      </c>
      <c r="Q66" s="56">
        <v>12.996</v>
      </c>
      <c r="R66" s="66"/>
      <c r="S66" s="6"/>
    </row>
    <row r="67" s="100" customFormat="1" ht="18" customHeight="1" spans="1:19">
      <c r="A67" s="55" t="s">
        <v>104</v>
      </c>
      <c r="B67" s="55">
        <v>0.21</v>
      </c>
      <c r="C67" s="55" t="s">
        <v>105</v>
      </c>
      <c r="D67" s="55" t="s">
        <v>31</v>
      </c>
      <c r="E67" s="55" t="s">
        <v>32</v>
      </c>
      <c r="F67" s="55" t="s">
        <v>46</v>
      </c>
      <c r="G67" s="47">
        <f t="shared" si="20"/>
        <v>127.65</v>
      </c>
      <c r="H67" s="47">
        <f t="shared" si="21"/>
        <v>141.797875</v>
      </c>
      <c r="I67" s="47">
        <f t="shared" si="22"/>
        <v>148.925</v>
      </c>
      <c r="J67" s="47">
        <f t="shared" si="23"/>
        <v>37.8990486111111</v>
      </c>
      <c r="K67" s="47">
        <f t="shared" si="24"/>
        <v>32.5359756944444</v>
      </c>
      <c r="L67" s="47">
        <f t="shared" si="25"/>
        <v>50.6066134982639</v>
      </c>
      <c r="M67" s="47">
        <f t="shared" si="26"/>
        <v>48.8152289496528</v>
      </c>
      <c r="N67" s="47">
        <f t="shared" si="27"/>
        <v>103.161588541667</v>
      </c>
      <c r="O67" s="47">
        <f t="shared" si="28"/>
        <v>30.7674913194444</v>
      </c>
      <c r="P67" s="47">
        <f t="shared" si="29"/>
        <v>29.080265625</v>
      </c>
      <c r="Q67" s="56">
        <v>10.6375</v>
      </c>
      <c r="R67" s="66"/>
      <c r="S67" s="6"/>
    </row>
    <row r="68" s="100" customFormat="1" ht="18" customHeight="1" spans="1:19">
      <c r="A68" s="55" t="s">
        <v>104</v>
      </c>
      <c r="B68" s="55">
        <v>0.21</v>
      </c>
      <c r="C68" s="55" t="s">
        <v>105</v>
      </c>
      <c r="D68" s="55" t="s">
        <v>31</v>
      </c>
      <c r="E68" s="55" t="s">
        <v>32</v>
      </c>
      <c r="F68" s="55" t="s">
        <v>43</v>
      </c>
      <c r="G68" s="47">
        <f t="shared" si="20"/>
        <v>100.602</v>
      </c>
      <c r="H68" s="47">
        <f t="shared" si="21"/>
        <v>111.752055</v>
      </c>
      <c r="I68" s="47">
        <f t="shared" si="22"/>
        <v>117.369</v>
      </c>
      <c r="J68" s="47">
        <f t="shared" si="23"/>
        <v>29.8685475</v>
      </c>
      <c r="K68" s="47">
        <f t="shared" si="24"/>
        <v>25.64186625</v>
      </c>
      <c r="L68" s="47">
        <f t="shared" si="25"/>
        <v>39.883482421875</v>
      </c>
      <c r="M68" s="47">
        <f t="shared" si="26"/>
        <v>38.471677734375</v>
      </c>
      <c r="N68" s="47">
        <f t="shared" si="27"/>
        <v>81.302484375</v>
      </c>
      <c r="O68" s="47">
        <f t="shared" si="28"/>
        <v>24.248109375</v>
      </c>
      <c r="P68" s="47">
        <f t="shared" si="29"/>
        <v>22.918393125</v>
      </c>
      <c r="Q68" s="56">
        <v>8.3835</v>
      </c>
      <c r="R68" s="66"/>
      <c r="S68" s="6"/>
    </row>
    <row r="69" s="6" customFormat="1" ht="18" customHeight="1" spans="1:19">
      <c r="A69" s="55" t="s">
        <v>104</v>
      </c>
      <c r="B69" s="55">
        <v>0.21</v>
      </c>
      <c r="C69" s="55" t="s">
        <v>105</v>
      </c>
      <c r="D69" s="55" t="s">
        <v>107</v>
      </c>
      <c r="E69" s="55" t="s">
        <v>32</v>
      </c>
      <c r="F69" s="55" t="s">
        <v>43</v>
      </c>
      <c r="G69" s="47">
        <f t="shared" si="20"/>
        <v>132.48</v>
      </c>
      <c r="H69" s="47">
        <f t="shared" si="21"/>
        <v>147.1632</v>
      </c>
      <c r="I69" s="47">
        <f t="shared" si="22"/>
        <v>154.56</v>
      </c>
      <c r="J69" s="47">
        <f t="shared" si="23"/>
        <v>39.3330666666667</v>
      </c>
      <c r="K69" s="47">
        <f t="shared" si="24"/>
        <v>33.7670666666667</v>
      </c>
      <c r="L69" s="47">
        <f t="shared" si="25"/>
        <v>52.5214583333333</v>
      </c>
      <c r="M69" s="47">
        <f t="shared" si="26"/>
        <v>50.6622916666667</v>
      </c>
      <c r="N69" s="47">
        <f t="shared" si="27"/>
        <v>107.065</v>
      </c>
      <c r="O69" s="47">
        <f t="shared" si="28"/>
        <v>31.9316666666667</v>
      </c>
      <c r="P69" s="47">
        <f t="shared" si="29"/>
        <v>30.1806</v>
      </c>
      <c r="Q69" s="56">
        <v>11.04</v>
      </c>
      <c r="R69" s="66"/>
    </row>
    <row r="70" s="100" customFormat="1" ht="18" customHeight="1" spans="1:19">
      <c r="A70" s="55" t="s">
        <v>104</v>
      </c>
      <c r="B70" s="55">
        <v>0.21</v>
      </c>
      <c r="C70" s="55" t="s">
        <v>105</v>
      </c>
      <c r="D70" s="55" t="s">
        <v>107</v>
      </c>
      <c r="E70" s="55" t="s">
        <v>32</v>
      </c>
      <c r="F70" s="55" t="s">
        <v>46</v>
      </c>
      <c r="G70" s="47">
        <f t="shared" si="20"/>
        <v>158.01</v>
      </c>
      <c r="H70" s="47">
        <f t="shared" si="21"/>
        <v>175.522775</v>
      </c>
      <c r="I70" s="47">
        <f t="shared" si="22"/>
        <v>184.345</v>
      </c>
      <c r="J70" s="47">
        <f t="shared" si="23"/>
        <v>46.9128763888889</v>
      </c>
      <c r="K70" s="47">
        <f t="shared" si="24"/>
        <v>40.2742618055556</v>
      </c>
      <c r="L70" s="47">
        <f t="shared" si="25"/>
        <v>62.6427810329861</v>
      </c>
      <c r="M70" s="47">
        <f t="shared" si="26"/>
        <v>60.4253374565972</v>
      </c>
      <c r="N70" s="47">
        <f t="shared" si="27"/>
        <v>127.697317708333</v>
      </c>
      <c r="O70" s="47">
        <f t="shared" si="28"/>
        <v>38.0851649305556</v>
      </c>
      <c r="P70" s="47">
        <f t="shared" si="29"/>
        <v>35.996653125</v>
      </c>
      <c r="Q70" s="56">
        <v>13.1675</v>
      </c>
      <c r="R70" s="66"/>
      <c r="S70" s="6"/>
    </row>
    <row r="71" s="100" customFormat="1" ht="18" customHeight="1" spans="1:19">
      <c r="A71" s="55" t="s">
        <v>104</v>
      </c>
      <c r="B71" s="55">
        <v>0.21</v>
      </c>
      <c r="C71" s="55" t="s">
        <v>105</v>
      </c>
      <c r="D71" s="57" t="s">
        <v>34</v>
      </c>
      <c r="E71" s="55" t="s">
        <v>32</v>
      </c>
      <c r="F71" s="55" t="s">
        <v>43</v>
      </c>
      <c r="G71" s="47">
        <f t="shared" si="20"/>
        <v>155.52</v>
      </c>
      <c r="H71" s="47">
        <f t="shared" si="21"/>
        <v>172.7568</v>
      </c>
      <c r="I71" s="47">
        <f t="shared" si="22"/>
        <v>181.44</v>
      </c>
      <c r="J71" s="47">
        <f t="shared" si="23"/>
        <v>46.1736</v>
      </c>
      <c r="K71" s="47">
        <f t="shared" si="24"/>
        <v>39.6396</v>
      </c>
      <c r="L71" s="47">
        <f t="shared" si="25"/>
        <v>61.655625</v>
      </c>
      <c r="M71" s="47">
        <f t="shared" si="26"/>
        <v>59.473125</v>
      </c>
      <c r="N71" s="47">
        <f t="shared" si="27"/>
        <v>125.685</v>
      </c>
      <c r="O71" s="47">
        <f t="shared" si="28"/>
        <v>37.485</v>
      </c>
      <c r="P71" s="47">
        <f t="shared" si="29"/>
        <v>35.4294</v>
      </c>
      <c r="Q71" s="56">
        <v>12.96</v>
      </c>
      <c r="R71" s="66"/>
      <c r="S71" s="6"/>
    </row>
    <row r="72" s="6" customFormat="1" ht="18" customHeight="1" spans="1:19">
      <c r="A72" s="55" t="s">
        <v>104</v>
      </c>
      <c r="B72" s="55">
        <v>0.21</v>
      </c>
      <c r="C72" s="55" t="s">
        <v>105</v>
      </c>
      <c r="D72" s="57" t="s">
        <v>34</v>
      </c>
      <c r="E72" s="55" t="s">
        <v>32</v>
      </c>
      <c r="F72" s="55" t="s">
        <v>46</v>
      </c>
      <c r="G72" s="47">
        <f t="shared" si="20"/>
        <v>173.604</v>
      </c>
      <c r="H72" s="47">
        <f t="shared" si="21"/>
        <v>192.84511</v>
      </c>
      <c r="I72" s="47">
        <f t="shared" si="22"/>
        <v>202.538</v>
      </c>
      <c r="J72" s="47">
        <f t="shared" si="23"/>
        <v>51.5427061111111</v>
      </c>
      <c r="K72" s="47">
        <f t="shared" si="24"/>
        <v>44.2489269444444</v>
      </c>
      <c r="L72" s="47">
        <f t="shared" si="25"/>
        <v>68.8249943576389</v>
      </c>
      <c r="M72" s="47">
        <f t="shared" si="26"/>
        <v>66.3887113715278</v>
      </c>
      <c r="N72" s="47">
        <f t="shared" si="27"/>
        <v>140.299760416667</v>
      </c>
      <c r="O72" s="47">
        <f t="shared" si="28"/>
        <v>41.8437881944444</v>
      </c>
      <c r="P72" s="47">
        <f t="shared" si="29"/>
        <v>39.54916125</v>
      </c>
      <c r="Q72" s="56">
        <v>14.467</v>
      </c>
      <c r="R72" s="66"/>
    </row>
    <row r="73" s="6" customFormat="1" ht="18" customHeight="1" spans="1:19">
      <c r="A73" s="55" t="s">
        <v>104</v>
      </c>
      <c r="B73" s="55">
        <v>0.21</v>
      </c>
      <c r="C73" s="55" t="s">
        <v>105</v>
      </c>
      <c r="D73" s="57" t="s">
        <v>41</v>
      </c>
      <c r="E73" s="55" t="s">
        <v>32</v>
      </c>
      <c r="F73" s="55" t="s">
        <v>46</v>
      </c>
      <c r="G73" s="47">
        <f t="shared" si="20"/>
        <v>328.716</v>
      </c>
      <c r="H73" s="47">
        <f t="shared" si="21"/>
        <v>365.14869</v>
      </c>
      <c r="I73" s="47">
        <f t="shared" si="22"/>
        <v>383.502</v>
      </c>
      <c r="J73" s="47">
        <f t="shared" si="23"/>
        <v>97.5951716666667</v>
      </c>
      <c r="K73" s="47">
        <f t="shared" si="24"/>
        <v>83.7845341666667</v>
      </c>
      <c r="L73" s="47">
        <f t="shared" si="25"/>
        <v>130.318868489583</v>
      </c>
      <c r="M73" s="47">
        <f t="shared" si="26"/>
        <v>125.705811197917</v>
      </c>
      <c r="N73" s="47">
        <f t="shared" si="27"/>
        <v>265.65503125</v>
      </c>
      <c r="O73" s="47">
        <f t="shared" si="28"/>
        <v>79.2304479166667</v>
      </c>
      <c r="P73" s="47">
        <f t="shared" si="29"/>
        <v>74.88561375</v>
      </c>
      <c r="Q73" s="56">
        <v>27.393</v>
      </c>
      <c r="R73" s="66"/>
    </row>
    <row r="74" s="100" customFormat="1" ht="18" customHeight="1" spans="1:19">
      <c r="A74" s="55" t="s">
        <v>104</v>
      </c>
      <c r="B74" s="55">
        <v>0.21</v>
      </c>
      <c r="C74" s="55" t="s">
        <v>105</v>
      </c>
      <c r="D74" s="57" t="s">
        <v>41</v>
      </c>
      <c r="E74" s="55" t="s">
        <v>32</v>
      </c>
      <c r="F74" s="55" t="s">
        <v>113</v>
      </c>
      <c r="G74" s="47">
        <f t="shared" si="20"/>
        <v>312.3648</v>
      </c>
      <c r="H74" s="47">
        <f t="shared" si="21"/>
        <v>346.985232</v>
      </c>
      <c r="I74" s="47">
        <f t="shared" si="22"/>
        <v>364.4256</v>
      </c>
      <c r="J74" s="47">
        <f t="shared" si="23"/>
        <v>92.7405306666667</v>
      </c>
      <c r="K74" s="47">
        <f t="shared" si="24"/>
        <v>79.6168706666667</v>
      </c>
      <c r="L74" s="47">
        <f t="shared" si="25"/>
        <v>123.836464583333</v>
      </c>
      <c r="M74" s="47">
        <f t="shared" si="26"/>
        <v>119.452872916667</v>
      </c>
      <c r="N74" s="47">
        <f t="shared" si="27"/>
        <v>252.44065</v>
      </c>
      <c r="O74" s="47">
        <f t="shared" si="28"/>
        <v>75.2893166666667</v>
      </c>
      <c r="P74" s="47">
        <f t="shared" si="29"/>
        <v>71.160606</v>
      </c>
      <c r="Q74" s="56">
        <v>26.0304</v>
      </c>
      <c r="R74" s="66"/>
      <c r="S74" s="6"/>
    </row>
    <row r="75" s="100" customFormat="1" ht="18" customHeight="1" spans="1:19">
      <c r="A75" s="55" t="s">
        <v>104</v>
      </c>
      <c r="B75" s="55">
        <v>0.21</v>
      </c>
      <c r="C75" s="55" t="s">
        <v>105</v>
      </c>
      <c r="D75" s="57" t="s">
        <v>34</v>
      </c>
      <c r="E75" s="55" t="s">
        <v>32</v>
      </c>
      <c r="F75" s="55" t="s">
        <v>47</v>
      </c>
      <c r="G75" s="47">
        <f t="shared" si="20"/>
        <v>188.784</v>
      </c>
      <c r="H75" s="47">
        <f t="shared" si="21"/>
        <v>209.70756</v>
      </c>
      <c r="I75" s="47">
        <f t="shared" si="22"/>
        <v>220.248</v>
      </c>
      <c r="J75" s="47">
        <f t="shared" si="23"/>
        <v>56.04962</v>
      </c>
      <c r="K75" s="47">
        <f t="shared" si="24"/>
        <v>48.11807</v>
      </c>
      <c r="L75" s="47">
        <f t="shared" si="25"/>
        <v>74.843078125</v>
      </c>
      <c r="M75" s="47">
        <f t="shared" si="26"/>
        <v>72.193765625</v>
      </c>
      <c r="N75" s="47">
        <f t="shared" si="27"/>
        <v>152.567625</v>
      </c>
      <c r="O75" s="47">
        <f t="shared" si="28"/>
        <v>45.502625</v>
      </c>
      <c r="P75" s="47">
        <f t="shared" si="29"/>
        <v>43.007355</v>
      </c>
      <c r="Q75" s="56">
        <v>15.732</v>
      </c>
      <c r="R75" s="66"/>
      <c r="S75" s="6"/>
    </row>
    <row r="76" s="100" customFormat="1" ht="18" customHeight="1" spans="1:19">
      <c r="A76" s="55" t="s">
        <v>104</v>
      </c>
      <c r="B76" s="55">
        <v>0.25</v>
      </c>
      <c r="C76" s="55" t="s">
        <v>105</v>
      </c>
      <c r="D76" s="55" t="s">
        <v>31</v>
      </c>
      <c r="E76" s="55" t="s">
        <v>32</v>
      </c>
      <c r="F76" s="55" t="s">
        <v>48</v>
      </c>
      <c r="G76" s="47">
        <f t="shared" si="20"/>
        <v>122.484</v>
      </c>
      <c r="H76" s="47">
        <f t="shared" si="21"/>
        <v>136.05931</v>
      </c>
      <c r="I76" s="47">
        <f t="shared" si="22"/>
        <v>142.898</v>
      </c>
      <c r="J76" s="47">
        <f t="shared" si="23"/>
        <v>36.3652727777778</v>
      </c>
      <c r="K76" s="47">
        <f t="shared" si="24"/>
        <v>31.2192436111111</v>
      </c>
      <c r="L76" s="47">
        <f t="shared" si="25"/>
        <v>48.5585620659722</v>
      </c>
      <c r="M76" s="47">
        <f t="shared" si="26"/>
        <v>46.8396749131945</v>
      </c>
      <c r="N76" s="47">
        <f t="shared" si="27"/>
        <v>98.9866354166667</v>
      </c>
      <c r="O76" s="47">
        <f t="shared" si="28"/>
        <v>29.5223298611111</v>
      </c>
      <c r="P76" s="47">
        <f t="shared" si="29"/>
        <v>27.90338625</v>
      </c>
      <c r="Q76" s="56">
        <v>10.207</v>
      </c>
      <c r="R76" s="66"/>
      <c r="S76" s="6"/>
    </row>
    <row r="77" s="6" customFormat="1" ht="18" customHeight="1" spans="1:19">
      <c r="A77" s="55" t="s">
        <v>104</v>
      </c>
      <c r="B77" s="55">
        <v>0.25</v>
      </c>
      <c r="C77" s="55" t="s">
        <v>105</v>
      </c>
      <c r="D77" s="55" t="s">
        <v>107</v>
      </c>
      <c r="E77" s="55" t="s">
        <v>32</v>
      </c>
      <c r="F77" s="55" t="s">
        <v>48</v>
      </c>
      <c r="G77" s="47">
        <f t="shared" si="20"/>
        <v>152.766</v>
      </c>
      <c r="H77" s="47">
        <f t="shared" si="21"/>
        <v>169.697565</v>
      </c>
      <c r="I77" s="47">
        <f t="shared" si="22"/>
        <v>178.227</v>
      </c>
      <c r="J77" s="47">
        <f t="shared" si="23"/>
        <v>45.3559425</v>
      </c>
      <c r="K77" s="47">
        <f t="shared" si="24"/>
        <v>38.93764875</v>
      </c>
      <c r="L77" s="47">
        <f t="shared" si="25"/>
        <v>60.563806640625</v>
      </c>
      <c r="M77" s="47">
        <f t="shared" si="26"/>
        <v>58.419955078125</v>
      </c>
      <c r="N77" s="47">
        <f t="shared" si="27"/>
        <v>123.459328125</v>
      </c>
      <c r="O77" s="47">
        <f t="shared" si="28"/>
        <v>36.821203125</v>
      </c>
      <c r="P77" s="47">
        <f t="shared" si="29"/>
        <v>34.802004375</v>
      </c>
      <c r="Q77" s="56">
        <v>12.7305</v>
      </c>
      <c r="R77" s="66"/>
    </row>
    <row r="78" s="100" customFormat="1" ht="18" customHeight="1" spans="1:19">
      <c r="A78" s="55" t="s">
        <v>104</v>
      </c>
      <c r="B78" s="55">
        <v>0.25</v>
      </c>
      <c r="C78" s="55" t="s">
        <v>105</v>
      </c>
      <c r="D78" s="55" t="s">
        <v>107</v>
      </c>
      <c r="E78" s="55" t="s">
        <v>106</v>
      </c>
      <c r="F78" s="55" t="s">
        <v>48</v>
      </c>
      <c r="G78" s="47">
        <f t="shared" si="20"/>
        <v>165.186</v>
      </c>
      <c r="H78" s="47">
        <f t="shared" si="21"/>
        <v>183.494115</v>
      </c>
      <c r="I78" s="47">
        <f t="shared" si="22"/>
        <v>192.717</v>
      </c>
      <c r="J78" s="47">
        <f t="shared" si="23"/>
        <v>49.0434175</v>
      </c>
      <c r="K78" s="47">
        <f t="shared" si="24"/>
        <v>42.10331125</v>
      </c>
      <c r="L78" s="47">
        <f t="shared" si="25"/>
        <v>65.487693359375</v>
      </c>
      <c r="M78" s="47">
        <f t="shared" si="26"/>
        <v>63.169544921875</v>
      </c>
      <c r="N78" s="47">
        <f t="shared" si="27"/>
        <v>133.496671875</v>
      </c>
      <c r="O78" s="47">
        <f t="shared" si="28"/>
        <v>39.814796875</v>
      </c>
      <c r="P78" s="47">
        <f t="shared" si="29"/>
        <v>37.631435625</v>
      </c>
      <c r="Q78" s="56">
        <v>13.7655</v>
      </c>
      <c r="R78" s="66"/>
      <c r="S78" s="6"/>
    </row>
    <row r="79" s="100" customFormat="1" ht="18" customHeight="1" spans="1:19">
      <c r="A79" s="55" t="s">
        <v>104</v>
      </c>
      <c r="B79" s="55">
        <v>0.25</v>
      </c>
      <c r="C79" s="55" t="s">
        <v>105</v>
      </c>
      <c r="D79" s="57" t="s">
        <v>34</v>
      </c>
      <c r="E79" s="55" t="s">
        <v>32</v>
      </c>
      <c r="F79" s="55" t="s">
        <v>48</v>
      </c>
      <c r="G79" s="47">
        <f t="shared" si="20"/>
        <v>176.688</v>
      </c>
      <c r="H79" s="47">
        <f t="shared" si="21"/>
        <v>196.27092</v>
      </c>
      <c r="I79" s="47">
        <f t="shared" si="22"/>
        <v>206.136</v>
      </c>
      <c r="J79" s="47">
        <f t="shared" si="23"/>
        <v>52.45834</v>
      </c>
      <c r="K79" s="47">
        <f t="shared" si="24"/>
        <v>45.03499</v>
      </c>
      <c r="L79" s="47">
        <f t="shared" si="25"/>
        <v>70.047640625</v>
      </c>
      <c r="M79" s="47">
        <f t="shared" si="26"/>
        <v>67.568078125</v>
      </c>
      <c r="N79" s="47">
        <f t="shared" si="27"/>
        <v>142.792125</v>
      </c>
      <c r="O79" s="47">
        <f t="shared" si="28"/>
        <v>42.587125</v>
      </c>
      <c r="P79" s="47">
        <f t="shared" si="29"/>
        <v>40.251735</v>
      </c>
      <c r="Q79" s="56">
        <v>14.724</v>
      </c>
      <c r="R79" s="66"/>
      <c r="S79" s="6"/>
    </row>
    <row r="80" s="100" customFormat="1" ht="18" customHeight="1" spans="1:19">
      <c r="A80" s="55" t="s">
        <v>104</v>
      </c>
      <c r="B80" s="55">
        <v>0.25</v>
      </c>
      <c r="C80" s="55" t="s">
        <v>105</v>
      </c>
      <c r="D80" s="57" t="s">
        <v>41</v>
      </c>
      <c r="E80" s="55" t="s">
        <v>32</v>
      </c>
      <c r="F80" s="55" t="s">
        <v>48</v>
      </c>
      <c r="G80" s="47">
        <f t="shared" si="20"/>
        <v>312.984</v>
      </c>
      <c r="H80" s="47">
        <f t="shared" si="21"/>
        <v>347.67306</v>
      </c>
      <c r="I80" s="47">
        <f t="shared" si="22"/>
        <v>365.148</v>
      </c>
      <c r="J80" s="47">
        <f t="shared" si="23"/>
        <v>92.92437</v>
      </c>
      <c r="K80" s="47">
        <f t="shared" si="24"/>
        <v>79.774695</v>
      </c>
      <c r="L80" s="47">
        <f t="shared" si="25"/>
        <v>124.0819453125</v>
      </c>
      <c r="M80" s="47">
        <f t="shared" si="26"/>
        <v>119.6896640625</v>
      </c>
      <c r="N80" s="47">
        <f t="shared" si="27"/>
        <v>252.9410625</v>
      </c>
      <c r="O80" s="47">
        <f t="shared" si="28"/>
        <v>75.4385625</v>
      </c>
      <c r="P80" s="47">
        <f t="shared" si="29"/>
        <v>71.3016675</v>
      </c>
      <c r="Q80" s="56">
        <v>26.082</v>
      </c>
      <c r="R80" s="66"/>
      <c r="S80" s="6"/>
    </row>
    <row r="81" s="6" customFormat="1" ht="18" customHeight="1" spans="1:19">
      <c r="A81" s="55" t="s">
        <v>104</v>
      </c>
      <c r="B81" s="55">
        <v>0.3</v>
      </c>
      <c r="C81" s="55" t="s">
        <v>105</v>
      </c>
      <c r="D81" s="55" t="s">
        <v>31</v>
      </c>
      <c r="E81" s="55" t="s">
        <v>32</v>
      </c>
      <c r="F81" s="55" t="s">
        <v>49</v>
      </c>
      <c r="G81" s="47">
        <f t="shared" si="20"/>
        <v>125.58</v>
      </c>
      <c r="H81" s="47">
        <f t="shared" si="21"/>
        <v>139.49845</v>
      </c>
      <c r="I81" s="47">
        <f t="shared" si="22"/>
        <v>146.51</v>
      </c>
      <c r="J81" s="47">
        <f t="shared" si="23"/>
        <v>37.2844694444444</v>
      </c>
      <c r="K81" s="47">
        <f t="shared" si="24"/>
        <v>32.0083652777778</v>
      </c>
      <c r="L81" s="47">
        <f t="shared" si="25"/>
        <v>49.7859657118056</v>
      </c>
      <c r="M81" s="47">
        <f t="shared" si="26"/>
        <v>48.0236306423611</v>
      </c>
      <c r="N81" s="47">
        <f t="shared" si="27"/>
        <v>101.488697916667</v>
      </c>
      <c r="O81" s="47">
        <f t="shared" si="28"/>
        <v>30.2685590277778</v>
      </c>
      <c r="P81" s="47">
        <f t="shared" si="29"/>
        <v>28.60869375</v>
      </c>
      <c r="Q81" s="56">
        <v>10.465</v>
      </c>
      <c r="R81" s="66"/>
    </row>
    <row r="82" s="6" customFormat="1" ht="18" customHeight="1" spans="1:19">
      <c r="A82" s="55" t="s">
        <v>104</v>
      </c>
      <c r="B82" s="55">
        <v>0.3</v>
      </c>
      <c r="C82" s="55" t="s">
        <v>105</v>
      </c>
      <c r="D82" s="55" t="s">
        <v>107</v>
      </c>
      <c r="E82" s="55" t="s">
        <v>32</v>
      </c>
      <c r="F82" s="55" t="s">
        <v>49</v>
      </c>
      <c r="G82" s="47">
        <f t="shared" si="20"/>
        <v>161.46</v>
      </c>
      <c r="H82" s="47">
        <f t="shared" si="21"/>
        <v>179.35515</v>
      </c>
      <c r="I82" s="47">
        <f t="shared" si="22"/>
        <v>188.37</v>
      </c>
      <c r="J82" s="47">
        <f t="shared" si="23"/>
        <v>47.937175</v>
      </c>
      <c r="K82" s="47">
        <f t="shared" si="24"/>
        <v>41.1536125</v>
      </c>
      <c r="L82" s="47">
        <f t="shared" si="25"/>
        <v>64.01052734375</v>
      </c>
      <c r="M82" s="47">
        <f t="shared" si="26"/>
        <v>61.74466796875</v>
      </c>
      <c r="N82" s="47">
        <f t="shared" si="27"/>
        <v>130.48546875</v>
      </c>
      <c r="O82" s="47">
        <f t="shared" si="28"/>
        <v>38.91671875</v>
      </c>
      <c r="P82" s="47">
        <f t="shared" si="29"/>
        <v>36.78260625</v>
      </c>
      <c r="Q82" s="56">
        <v>13.455</v>
      </c>
      <c r="R82" s="66"/>
    </row>
    <row r="83" s="6" customFormat="1" ht="18" customHeight="1" spans="1:19">
      <c r="A83" s="55" t="s">
        <v>104</v>
      </c>
      <c r="B83" s="55">
        <v>0.3</v>
      </c>
      <c r="C83" s="55" t="s">
        <v>105</v>
      </c>
      <c r="D83" s="57" t="s">
        <v>34</v>
      </c>
      <c r="E83" s="55" t="s">
        <v>32</v>
      </c>
      <c r="F83" s="55" t="s">
        <v>49</v>
      </c>
      <c r="G83" s="47">
        <f t="shared" si="20"/>
        <v>174.294</v>
      </c>
      <c r="H83" s="47">
        <f t="shared" si="21"/>
        <v>193.611585</v>
      </c>
      <c r="I83" s="47">
        <f t="shared" si="22"/>
        <v>203.343</v>
      </c>
      <c r="J83" s="47">
        <f t="shared" si="23"/>
        <v>51.7475658333333</v>
      </c>
      <c r="K83" s="47">
        <f t="shared" si="24"/>
        <v>44.4247970833333</v>
      </c>
      <c r="L83" s="47">
        <f t="shared" si="25"/>
        <v>69.0985436197917</v>
      </c>
      <c r="M83" s="47">
        <f t="shared" si="26"/>
        <v>66.6525774739583</v>
      </c>
      <c r="N83" s="47">
        <f t="shared" si="27"/>
        <v>140.857390625</v>
      </c>
      <c r="O83" s="47">
        <f t="shared" si="28"/>
        <v>42.0100989583333</v>
      </c>
      <c r="P83" s="47">
        <f t="shared" si="29"/>
        <v>39.706351875</v>
      </c>
      <c r="Q83" s="56">
        <v>14.5245</v>
      </c>
      <c r="R83" s="66"/>
    </row>
    <row r="84" s="100" customFormat="1" ht="18" customHeight="1" spans="1:19">
      <c r="A84" s="55" t="s">
        <v>104</v>
      </c>
      <c r="B84" s="55">
        <v>0.3</v>
      </c>
      <c r="C84" s="55" t="s">
        <v>105</v>
      </c>
      <c r="D84" s="57" t="s">
        <v>41</v>
      </c>
      <c r="E84" s="55" t="s">
        <v>32</v>
      </c>
      <c r="F84" s="55" t="s">
        <v>49</v>
      </c>
      <c r="G84" s="47">
        <f t="shared" si="20"/>
        <v>335.616</v>
      </c>
      <c r="H84" s="47">
        <f t="shared" si="21"/>
        <v>372.81344</v>
      </c>
      <c r="I84" s="47">
        <f t="shared" si="22"/>
        <v>391.552</v>
      </c>
      <c r="J84" s="47">
        <f t="shared" si="23"/>
        <v>99.6437688888889</v>
      </c>
      <c r="K84" s="47">
        <f t="shared" si="24"/>
        <v>85.5432355555556</v>
      </c>
      <c r="L84" s="47">
        <f t="shared" si="25"/>
        <v>133.054361111111</v>
      </c>
      <c r="M84" s="47">
        <f t="shared" si="26"/>
        <v>128.344472222222</v>
      </c>
      <c r="N84" s="47">
        <f t="shared" si="27"/>
        <v>271.231333333333</v>
      </c>
      <c r="O84" s="47">
        <f t="shared" si="28"/>
        <v>80.8935555555556</v>
      </c>
      <c r="P84" s="47">
        <f t="shared" si="29"/>
        <v>76.45752</v>
      </c>
      <c r="Q84" s="56">
        <v>27.968</v>
      </c>
      <c r="R84" s="66"/>
      <c r="S84" s="6"/>
    </row>
    <row r="85" s="6" customFormat="1" ht="18" customHeight="1" spans="1:19">
      <c r="A85" s="55" t="s">
        <v>104</v>
      </c>
      <c r="B85" s="55">
        <v>0.36</v>
      </c>
      <c r="C85" s="55" t="s">
        <v>105</v>
      </c>
      <c r="D85" s="55" t="s">
        <v>31</v>
      </c>
      <c r="E85" s="55" t="s">
        <v>32</v>
      </c>
      <c r="F85" s="55" t="s">
        <v>50</v>
      </c>
      <c r="G85" s="47">
        <f t="shared" si="20"/>
        <v>119.232</v>
      </c>
      <c r="H85" s="47">
        <f t="shared" si="21"/>
        <v>132.44688</v>
      </c>
      <c r="I85" s="47">
        <f t="shared" si="22"/>
        <v>139.104</v>
      </c>
      <c r="J85" s="47">
        <f t="shared" si="23"/>
        <v>35.39976</v>
      </c>
      <c r="K85" s="47">
        <f t="shared" si="24"/>
        <v>30.39036</v>
      </c>
      <c r="L85" s="47">
        <f t="shared" si="25"/>
        <v>47.2693125</v>
      </c>
      <c r="M85" s="47">
        <f t="shared" si="26"/>
        <v>45.5960625</v>
      </c>
      <c r="N85" s="47">
        <f t="shared" si="27"/>
        <v>96.3585</v>
      </c>
      <c r="O85" s="47">
        <f t="shared" si="28"/>
        <v>28.7385</v>
      </c>
      <c r="P85" s="47">
        <f t="shared" si="29"/>
        <v>27.16254</v>
      </c>
      <c r="Q85" s="56">
        <v>9.936</v>
      </c>
      <c r="R85" s="66"/>
    </row>
    <row r="86" s="6" customFormat="1" ht="18" customHeight="1" spans="1:19">
      <c r="A86" s="55" t="s">
        <v>104</v>
      </c>
      <c r="B86" s="55">
        <v>0.36</v>
      </c>
      <c r="C86" s="55" t="s">
        <v>105</v>
      </c>
      <c r="D86" s="55" t="s">
        <v>31</v>
      </c>
      <c r="E86" s="55" t="s">
        <v>32</v>
      </c>
      <c r="F86" s="55" t="s">
        <v>51</v>
      </c>
      <c r="G86" s="47">
        <f t="shared" si="20"/>
        <v>182.16</v>
      </c>
      <c r="H86" s="47">
        <f t="shared" si="21"/>
        <v>202.3494</v>
      </c>
      <c r="I86" s="47">
        <f t="shared" si="22"/>
        <v>212.52</v>
      </c>
      <c r="J86" s="47">
        <f t="shared" si="23"/>
        <v>54.0829666666667</v>
      </c>
      <c r="K86" s="47">
        <f t="shared" si="24"/>
        <v>46.4297166666667</v>
      </c>
      <c r="L86" s="47">
        <f t="shared" si="25"/>
        <v>72.2170052083333</v>
      </c>
      <c r="M86" s="47">
        <f t="shared" si="26"/>
        <v>69.6606510416667</v>
      </c>
      <c r="N86" s="47">
        <f t="shared" si="27"/>
        <v>147.214375</v>
      </c>
      <c r="O86" s="47">
        <f t="shared" si="28"/>
        <v>43.9060416666667</v>
      </c>
      <c r="P86" s="47">
        <f t="shared" si="29"/>
        <v>41.498325</v>
      </c>
      <c r="Q86" s="56">
        <v>15.18</v>
      </c>
      <c r="R86" s="66"/>
    </row>
    <row r="87" s="6" customFormat="1" ht="18" customHeight="1" spans="1:19">
      <c r="A87" s="55" t="s">
        <v>104</v>
      </c>
      <c r="B87" s="55">
        <v>0.36</v>
      </c>
      <c r="C87" s="55" t="s">
        <v>105</v>
      </c>
      <c r="D87" s="55" t="s">
        <v>107</v>
      </c>
      <c r="E87" s="55" t="s">
        <v>32</v>
      </c>
      <c r="F87" s="55" t="s">
        <v>50</v>
      </c>
      <c r="G87" s="47">
        <f t="shared" si="20"/>
        <v>155.112</v>
      </c>
      <c r="H87" s="47">
        <f t="shared" si="21"/>
        <v>172.30358</v>
      </c>
      <c r="I87" s="47">
        <f t="shared" si="22"/>
        <v>180.964</v>
      </c>
      <c r="J87" s="47">
        <f t="shared" si="23"/>
        <v>46.0524655555555</v>
      </c>
      <c r="K87" s="47">
        <f t="shared" si="24"/>
        <v>39.5356072222222</v>
      </c>
      <c r="L87" s="47">
        <f t="shared" si="25"/>
        <v>61.4938741319444</v>
      </c>
      <c r="M87" s="47">
        <f t="shared" si="26"/>
        <v>59.3170998263889</v>
      </c>
      <c r="N87" s="47">
        <f t="shared" si="27"/>
        <v>125.355270833333</v>
      </c>
      <c r="O87" s="47">
        <f t="shared" si="28"/>
        <v>37.3866597222222</v>
      </c>
      <c r="P87" s="47">
        <f t="shared" si="29"/>
        <v>35.3364525</v>
      </c>
      <c r="Q87" s="56">
        <v>12.926</v>
      </c>
      <c r="R87" s="66"/>
    </row>
    <row r="88" s="100" customFormat="1" ht="18" customHeight="1" spans="1:19">
      <c r="A88" s="55" t="s">
        <v>104</v>
      </c>
      <c r="B88" s="55">
        <v>0.36</v>
      </c>
      <c r="C88" s="55" t="s">
        <v>105</v>
      </c>
      <c r="D88" s="57" t="s">
        <v>34</v>
      </c>
      <c r="E88" s="55" t="s">
        <v>32</v>
      </c>
      <c r="F88" s="55" t="s">
        <v>50</v>
      </c>
      <c r="G88" s="47">
        <f t="shared" si="20"/>
        <v>175.812</v>
      </c>
      <c r="H88" s="47">
        <f t="shared" si="21"/>
        <v>195.29783</v>
      </c>
      <c r="I88" s="47">
        <f t="shared" si="22"/>
        <v>205.114</v>
      </c>
      <c r="J88" s="47">
        <f t="shared" si="23"/>
        <v>52.1982572222222</v>
      </c>
      <c r="K88" s="47">
        <f t="shared" si="24"/>
        <v>44.8117113888889</v>
      </c>
      <c r="L88" s="47">
        <f t="shared" si="25"/>
        <v>69.7003519965278</v>
      </c>
      <c r="M88" s="47">
        <f t="shared" si="26"/>
        <v>67.2330828993056</v>
      </c>
      <c r="N88" s="47">
        <f t="shared" si="27"/>
        <v>142.084177083333</v>
      </c>
      <c r="O88" s="47">
        <f t="shared" si="28"/>
        <v>42.3759826388889</v>
      </c>
      <c r="P88" s="47">
        <f t="shared" si="29"/>
        <v>40.05217125</v>
      </c>
      <c r="Q88" s="56">
        <v>14.651</v>
      </c>
      <c r="R88" s="66"/>
      <c r="S88" s="6"/>
    </row>
    <row r="89" s="100" customFormat="1" ht="18" customHeight="1" spans="1:19">
      <c r="A89" s="55" t="s">
        <v>104</v>
      </c>
      <c r="B89" s="55">
        <v>0.36</v>
      </c>
      <c r="C89" s="55" t="s">
        <v>105</v>
      </c>
      <c r="D89" s="57" t="s">
        <v>34</v>
      </c>
      <c r="E89" s="55" t="s">
        <v>32</v>
      </c>
      <c r="F89" s="55" t="s">
        <v>51</v>
      </c>
      <c r="G89" s="47">
        <f t="shared" si="20"/>
        <v>223.05</v>
      </c>
      <c r="H89" s="47">
        <f t="shared" si="21"/>
        <v>247.771375</v>
      </c>
      <c r="I89" s="47">
        <f t="shared" si="22"/>
        <v>260.225</v>
      </c>
      <c r="J89" s="47">
        <f t="shared" si="23"/>
        <v>66.2231319444444</v>
      </c>
      <c r="K89" s="47">
        <f t="shared" si="24"/>
        <v>56.8519340277778</v>
      </c>
      <c r="L89" s="47">
        <f t="shared" si="25"/>
        <v>88.4277723524306</v>
      </c>
      <c r="M89" s="47">
        <f t="shared" si="26"/>
        <v>85.2975857204861</v>
      </c>
      <c r="N89" s="47">
        <f t="shared" si="27"/>
        <v>180.260026041667</v>
      </c>
      <c r="O89" s="47">
        <f t="shared" si="28"/>
        <v>53.7617621527778</v>
      </c>
      <c r="P89" s="47">
        <f t="shared" si="29"/>
        <v>50.813578125</v>
      </c>
      <c r="Q89" s="56">
        <v>18.5875</v>
      </c>
      <c r="R89" s="66"/>
      <c r="S89" s="6"/>
    </row>
    <row r="90" s="100" customFormat="1" ht="18" customHeight="1" spans="1:19">
      <c r="A90" s="55" t="s">
        <v>104</v>
      </c>
      <c r="B90" s="55">
        <v>0.36</v>
      </c>
      <c r="C90" s="55" t="s">
        <v>105</v>
      </c>
      <c r="D90" s="57" t="s">
        <v>108</v>
      </c>
      <c r="E90" s="55" t="s">
        <v>32</v>
      </c>
      <c r="F90" s="55" t="s">
        <v>50</v>
      </c>
      <c r="G90" s="47">
        <f t="shared" si="20"/>
        <v>244.122</v>
      </c>
      <c r="H90" s="47">
        <f t="shared" si="21"/>
        <v>271.178855</v>
      </c>
      <c r="I90" s="47">
        <f t="shared" si="22"/>
        <v>284.809</v>
      </c>
      <c r="J90" s="47">
        <f t="shared" si="23"/>
        <v>72.4793697222222</v>
      </c>
      <c r="K90" s="47">
        <f t="shared" si="24"/>
        <v>62.2228551388889</v>
      </c>
      <c r="L90" s="47">
        <f t="shared" si="25"/>
        <v>96.7817289496528</v>
      </c>
      <c r="M90" s="47">
        <f t="shared" si="26"/>
        <v>93.3558270399306</v>
      </c>
      <c r="N90" s="47">
        <f t="shared" si="27"/>
        <v>197.289567708333</v>
      </c>
      <c r="O90" s="47">
        <f t="shared" si="28"/>
        <v>58.8407482638889</v>
      </c>
      <c r="P90" s="47">
        <f t="shared" si="29"/>
        <v>55.614043125</v>
      </c>
      <c r="Q90" s="56">
        <v>20.3435</v>
      </c>
      <c r="R90" s="66"/>
      <c r="S90" s="6"/>
    </row>
    <row r="91" s="6" customFormat="1" ht="18" customHeight="1" spans="1:19">
      <c r="A91" s="55" t="s">
        <v>104</v>
      </c>
      <c r="B91" s="55">
        <v>0.36</v>
      </c>
      <c r="C91" s="55" t="s">
        <v>105</v>
      </c>
      <c r="D91" s="57" t="s">
        <v>109</v>
      </c>
      <c r="E91" s="55" t="s">
        <v>32</v>
      </c>
      <c r="F91" s="55" t="s">
        <v>50</v>
      </c>
      <c r="G91" s="47">
        <f t="shared" ref="G91:G108" si="30">Q91*12</f>
        <v>258.474</v>
      </c>
      <c r="H91" s="47">
        <f t="shared" ref="H91:H108" si="31">Q91*13.33</f>
        <v>287.121535</v>
      </c>
      <c r="I91" s="47">
        <f t="shared" ref="I91:I108" si="32">Q91*14</f>
        <v>301.553</v>
      </c>
      <c r="J91" s="47">
        <f t="shared" ref="J91:J108" si="33">21.2*24.2/144*Q91</f>
        <v>76.7404519444444</v>
      </c>
      <c r="K91" s="47">
        <f t="shared" ref="K91:K108" si="34">18.2*24.2/144*Q91</f>
        <v>65.8809540277778</v>
      </c>
      <c r="L91" s="47">
        <f t="shared" ref="L91:L108" si="35">28.25*24.25/144*Q91</f>
        <v>102.471553602431</v>
      </c>
      <c r="M91" s="47">
        <f t="shared" ref="M91:M108" si="36">27.25*24.25/144*Q91</f>
        <v>98.8442419704861</v>
      </c>
      <c r="N91" s="47">
        <f t="shared" ref="N91:N108" si="37">28.5*49/144*Q91</f>
        <v>208.888276041667</v>
      </c>
      <c r="O91" s="47">
        <f t="shared" ref="O91:O108" si="38">17*24.5/144*Q91</f>
        <v>62.3000121527778</v>
      </c>
      <c r="P91" s="47">
        <f t="shared" ref="P91:P108" si="39">24.3*16.2/144*Q91</f>
        <v>58.883608125</v>
      </c>
      <c r="Q91" s="56">
        <v>21.5395</v>
      </c>
      <c r="R91" s="66"/>
    </row>
    <row r="92" s="100" customFormat="1" ht="18" customHeight="1" spans="1:19">
      <c r="A92" s="55" t="s">
        <v>104</v>
      </c>
      <c r="B92" s="55">
        <v>0.36</v>
      </c>
      <c r="C92" s="55" t="s">
        <v>105</v>
      </c>
      <c r="D92" s="57" t="s">
        <v>41</v>
      </c>
      <c r="E92" s="55" t="s">
        <v>32</v>
      </c>
      <c r="F92" s="55" t="s">
        <v>50</v>
      </c>
      <c r="G92" s="47">
        <f t="shared" si="30"/>
        <v>320.988</v>
      </c>
      <c r="H92" s="47">
        <f t="shared" si="31"/>
        <v>356.56417</v>
      </c>
      <c r="I92" s="47">
        <f t="shared" si="32"/>
        <v>374.486</v>
      </c>
      <c r="J92" s="47">
        <f t="shared" si="33"/>
        <v>95.3007427777778</v>
      </c>
      <c r="K92" s="47">
        <f t="shared" si="34"/>
        <v>81.8147886111111</v>
      </c>
      <c r="L92" s="47">
        <f t="shared" si="35"/>
        <v>127.255116753472</v>
      </c>
      <c r="M92" s="47">
        <f t="shared" si="36"/>
        <v>122.750510850694</v>
      </c>
      <c r="N92" s="47">
        <f t="shared" si="37"/>
        <v>259.409572916667</v>
      </c>
      <c r="O92" s="47">
        <f t="shared" si="38"/>
        <v>77.3677673611111</v>
      </c>
      <c r="P92" s="47">
        <f t="shared" si="39"/>
        <v>73.12507875</v>
      </c>
      <c r="Q92" s="56">
        <v>26.749</v>
      </c>
      <c r="R92" s="66"/>
      <c r="S92" s="6"/>
    </row>
    <row r="93" s="100" customFormat="1" ht="18" customHeight="1" spans="1:19">
      <c r="A93" s="55" t="s">
        <v>104</v>
      </c>
      <c r="B93" s="55">
        <v>0.41</v>
      </c>
      <c r="C93" s="55" t="s">
        <v>105</v>
      </c>
      <c r="D93" s="55" t="s">
        <v>31</v>
      </c>
      <c r="E93" s="55" t="s">
        <v>32</v>
      </c>
      <c r="F93" s="55" t="s">
        <v>50</v>
      </c>
      <c r="G93" s="47">
        <f t="shared" si="30"/>
        <v>125.028</v>
      </c>
      <c r="H93" s="47">
        <f t="shared" si="31"/>
        <v>138.88527</v>
      </c>
      <c r="I93" s="47">
        <f t="shared" si="32"/>
        <v>145.866</v>
      </c>
      <c r="J93" s="47">
        <f t="shared" si="33"/>
        <v>37.1205816666667</v>
      </c>
      <c r="K93" s="47">
        <f t="shared" si="34"/>
        <v>31.8676691666667</v>
      </c>
      <c r="L93" s="47">
        <f t="shared" si="35"/>
        <v>49.5671263020833</v>
      </c>
      <c r="M93" s="47">
        <f t="shared" si="36"/>
        <v>47.8125377604167</v>
      </c>
      <c r="N93" s="47">
        <f t="shared" si="37"/>
        <v>101.04259375</v>
      </c>
      <c r="O93" s="47">
        <f t="shared" si="38"/>
        <v>30.1355104166667</v>
      </c>
      <c r="P93" s="47">
        <f t="shared" si="39"/>
        <v>28.48294125</v>
      </c>
      <c r="Q93" s="56">
        <v>10.419</v>
      </c>
      <c r="R93" s="66"/>
      <c r="S93" s="6"/>
    </row>
    <row r="94" s="5" customFormat="1" ht="18" customHeight="1" spans="1:19">
      <c r="A94" s="55" t="s">
        <v>104</v>
      </c>
      <c r="B94" s="55">
        <v>0.41</v>
      </c>
      <c r="C94" s="55" t="s">
        <v>105</v>
      </c>
      <c r="D94" s="57" t="s">
        <v>34</v>
      </c>
      <c r="E94" s="55" t="s">
        <v>32</v>
      </c>
      <c r="F94" s="55" t="s">
        <v>50</v>
      </c>
      <c r="G94" s="47">
        <f t="shared" si="30"/>
        <v>175.122</v>
      </c>
      <c r="H94" s="47">
        <f t="shared" si="31"/>
        <v>194.531355</v>
      </c>
      <c r="I94" s="47">
        <f t="shared" si="32"/>
        <v>204.309</v>
      </c>
      <c r="J94" s="47">
        <f t="shared" si="33"/>
        <v>51.9933975</v>
      </c>
      <c r="K94" s="47">
        <f t="shared" si="34"/>
        <v>44.63584125</v>
      </c>
      <c r="L94" s="47">
        <f t="shared" si="35"/>
        <v>69.426802734375</v>
      </c>
      <c r="M94" s="47">
        <f t="shared" si="36"/>
        <v>66.969216796875</v>
      </c>
      <c r="N94" s="47">
        <f t="shared" si="37"/>
        <v>141.526546875</v>
      </c>
      <c r="O94" s="47">
        <f t="shared" si="38"/>
        <v>42.209671875</v>
      </c>
      <c r="P94" s="47">
        <f t="shared" si="39"/>
        <v>39.894980625</v>
      </c>
      <c r="Q94" s="56">
        <v>14.5935</v>
      </c>
      <c r="R94" s="66"/>
      <c r="S94" s="6"/>
    </row>
    <row r="95" s="6" customFormat="1" ht="18" customHeight="1" spans="1:19">
      <c r="A95" s="55" t="s">
        <v>104</v>
      </c>
      <c r="B95" s="55">
        <v>0.41</v>
      </c>
      <c r="C95" s="55" t="s">
        <v>105</v>
      </c>
      <c r="D95" s="57" t="s">
        <v>41</v>
      </c>
      <c r="E95" s="55" t="s">
        <v>32</v>
      </c>
      <c r="F95" s="55" t="s">
        <v>50</v>
      </c>
      <c r="G95" s="47">
        <f t="shared" si="30"/>
        <v>324.024</v>
      </c>
      <c r="H95" s="47">
        <f t="shared" si="31"/>
        <v>359.93666</v>
      </c>
      <c r="I95" s="47">
        <f t="shared" si="32"/>
        <v>378.028</v>
      </c>
      <c r="J95" s="47">
        <f t="shared" si="33"/>
        <v>96.2021255555555</v>
      </c>
      <c r="K95" s="47">
        <f t="shared" si="34"/>
        <v>82.5886172222222</v>
      </c>
      <c r="L95" s="47">
        <f t="shared" si="35"/>
        <v>128.458733506944</v>
      </c>
      <c r="M95" s="47">
        <f t="shared" si="36"/>
        <v>123.911521701389</v>
      </c>
      <c r="N95" s="47">
        <f t="shared" si="37"/>
        <v>261.863145833333</v>
      </c>
      <c r="O95" s="47">
        <f t="shared" si="38"/>
        <v>78.0995347222222</v>
      </c>
      <c r="P95" s="47">
        <f t="shared" si="39"/>
        <v>73.8167175</v>
      </c>
      <c r="Q95" s="56">
        <v>27.002</v>
      </c>
      <c r="R95" s="66"/>
    </row>
    <row r="96" s="6" customFormat="1" ht="18" customHeight="1" spans="1:19">
      <c r="A96" s="55" t="s">
        <v>104</v>
      </c>
      <c r="B96" s="55">
        <v>0.45</v>
      </c>
      <c r="C96" s="55" t="s">
        <v>105</v>
      </c>
      <c r="D96" s="55" t="s">
        <v>31</v>
      </c>
      <c r="E96" s="55" t="s">
        <v>32</v>
      </c>
      <c r="F96" s="55" t="s">
        <v>114</v>
      </c>
      <c r="G96" s="47">
        <f t="shared" si="30"/>
        <v>145.038</v>
      </c>
      <c r="H96" s="47">
        <f t="shared" si="31"/>
        <v>161.113045</v>
      </c>
      <c r="I96" s="47">
        <f t="shared" si="32"/>
        <v>169.211</v>
      </c>
      <c r="J96" s="47">
        <f t="shared" si="33"/>
        <v>43.0615136111111</v>
      </c>
      <c r="K96" s="47">
        <f t="shared" si="34"/>
        <v>36.9679031944444</v>
      </c>
      <c r="L96" s="47">
        <f t="shared" si="35"/>
        <v>57.5000549045139</v>
      </c>
      <c r="M96" s="47">
        <f t="shared" si="36"/>
        <v>55.4646547309028</v>
      </c>
      <c r="N96" s="47">
        <f t="shared" si="37"/>
        <v>117.213869791667</v>
      </c>
      <c r="O96" s="47">
        <f t="shared" si="38"/>
        <v>34.9585225694444</v>
      </c>
      <c r="P96" s="47">
        <f t="shared" si="39"/>
        <v>33.041469375</v>
      </c>
      <c r="Q96" s="56">
        <v>12.0865</v>
      </c>
      <c r="R96" s="66"/>
    </row>
    <row r="97" s="6" customFormat="1" ht="18" customHeight="1" spans="1:19">
      <c r="A97" s="55" t="s">
        <v>104</v>
      </c>
      <c r="B97" s="55">
        <v>0.45</v>
      </c>
      <c r="C97" s="55" t="s">
        <v>105</v>
      </c>
      <c r="D97" s="57" t="s">
        <v>34</v>
      </c>
      <c r="E97" s="55" t="s">
        <v>32</v>
      </c>
      <c r="F97" s="55" t="s">
        <v>114</v>
      </c>
      <c r="G97" s="47">
        <f t="shared" si="30"/>
        <v>189.06</v>
      </c>
      <c r="H97" s="47">
        <f t="shared" si="31"/>
        <v>210.01415</v>
      </c>
      <c r="I97" s="47">
        <f t="shared" si="32"/>
        <v>220.57</v>
      </c>
      <c r="J97" s="47">
        <f t="shared" si="33"/>
        <v>56.1315638888889</v>
      </c>
      <c r="K97" s="47">
        <f t="shared" si="34"/>
        <v>48.1884180555555</v>
      </c>
      <c r="L97" s="47">
        <f t="shared" si="35"/>
        <v>74.9524978298611</v>
      </c>
      <c r="M97" s="47">
        <f t="shared" si="36"/>
        <v>72.2993120659722</v>
      </c>
      <c r="N97" s="47">
        <f t="shared" si="37"/>
        <v>152.790677083333</v>
      </c>
      <c r="O97" s="47">
        <f t="shared" si="38"/>
        <v>45.5691493055555</v>
      </c>
      <c r="P97" s="47">
        <f t="shared" si="39"/>
        <v>43.07023125</v>
      </c>
      <c r="Q97" s="56">
        <v>15.755</v>
      </c>
      <c r="R97" s="66"/>
    </row>
    <row r="98" s="6" customFormat="1" ht="18" customHeight="1" spans="1:19">
      <c r="A98" s="55" t="s">
        <v>104</v>
      </c>
      <c r="B98" s="55">
        <v>0.51</v>
      </c>
      <c r="C98" s="55" t="s">
        <v>105</v>
      </c>
      <c r="D98" s="55" t="s">
        <v>31</v>
      </c>
      <c r="E98" s="55" t="s">
        <v>32</v>
      </c>
      <c r="F98" s="55" t="s">
        <v>115</v>
      </c>
      <c r="G98" s="47">
        <f t="shared" si="30"/>
        <v>145.728</v>
      </c>
      <c r="H98" s="47">
        <f t="shared" si="31"/>
        <v>161.87952</v>
      </c>
      <c r="I98" s="47">
        <f t="shared" si="32"/>
        <v>170.016</v>
      </c>
      <c r="J98" s="47">
        <f t="shared" si="33"/>
        <v>43.2663733333333</v>
      </c>
      <c r="K98" s="47">
        <f t="shared" si="34"/>
        <v>37.1437733333333</v>
      </c>
      <c r="L98" s="47">
        <f t="shared" si="35"/>
        <v>57.7736041666667</v>
      </c>
      <c r="M98" s="47">
        <f t="shared" si="36"/>
        <v>55.7285208333333</v>
      </c>
      <c r="N98" s="47">
        <f t="shared" si="37"/>
        <v>117.7715</v>
      </c>
      <c r="O98" s="47">
        <f t="shared" si="38"/>
        <v>35.1248333333333</v>
      </c>
      <c r="P98" s="47">
        <f t="shared" si="39"/>
        <v>33.19866</v>
      </c>
      <c r="Q98" s="56">
        <v>12.144</v>
      </c>
      <c r="R98" s="66"/>
    </row>
    <row r="99" s="6" customFormat="1" ht="18" customHeight="1" spans="1:19">
      <c r="A99" s="55" t="s">
        <v>104</v>
      </c>
      <c r="B99" s="55">
        <v>0.51</v>
      </c>
      <c r="C99" s="55" t="s">
        <v>105</v>
      </c>
      <c r="D99" s="55" t="s">
        <v>107</v>
      </c>
      <c r="E99" s="55" t="s">
        <v>32</v>
      </c>
      <c r="F99" s="55" t="s">
        <v>115</v>
      </c>
      <c r="G99" s="47">
        <f t="shared" si="30"/>
        <v>180.366</v>
      </c>
      <c r="H99" s="47">
        <f t="shared" si="31"/>
        <v>200.356565</v>
      </c>
      <c r="I99" s="47">
        <f t="shared" si="32"/>
        <v>210.427</v>
      </c>
      <c r="J99" s="47">
        <f t="shared" si="33"/>
        <v>53.5503313888889</v>
      </c>
      <c r="K99" s="47">
        <f t="shared" si="34"/>
        <v>45.9724543055556</v>
      </c>
      <c r="L99" s="47">
        <f t="shared" si="35"/>
        <v>71.5057771267361</v>
      </c>
      <c r="M99" s="47">
        <f t="shared" si="36"/>
        <v>68.9745991753472</v>
      </c>
      <c r="N99" s="47">
        <f t="shared" si="37"/>
        <v>145.764536458333</v>
      </c>
      <c r="O99" s="47">
        <f t="shared" si="38"/>
        <v>43.4736336805556</v>
      </c>
      <c r="P99" s="47">
        <f t="shared" si="39"/>
        <v>41.089629375</v>
      </c>
      <c r="Q99" s="56">
        <v>15.0305</v>
      </c>
      <c r="R99" s="66"/>
    </row>
    <row r="100" s="6" customFormat="1" ht="18" customHeight="1" spans="1:19">
      <c r="A100" s="55" t="s">
        <v>104</v>
      </c>
      <c r="B100" s="55">
        <v>0.51</v>
      </c>
      <c r="C100" s="55" t="s">
        <v>105</v>
      </c>
      <c r="D100" s="55" t="s">
        <v>31</v>
      </c>
      <c r="E100" s="55" t="s">
        <v>32</v>
      </c>
      <c r="F100" s="55" t="s">
        <v>54</v>
      </c>
      <c r="G100" s="47">
        <f t="shared" si="30"/>
        <v>235.566</v>
      </c>
      <c r="H100" s="47">
        <f t="shared" si="31"/>
        <v>261.674565</v>
      </c>
      <c r="I100" s="47">
        <f t="shared" si="32"/>
        <v>274.827</v>
      </c>
      <c r="J100" s="47">
        <f t="shared" si="33"/>
        <v>69.9391091666667</v>
      </c>
      <c r="K100" s="47">
        <f t="shared" si="34"/>
        <v>60.0420654166667</v>
      </c>
      <c r="L100" s="47">
        <f t="shared" si="35"/>
        <v>93.3897180989583</v>
      </c>
      <c r="M100" s="47">
        <f t="shared" si="36"/>
        <v>90.0838873697917</v>
      </c>
      <c r="N100" s="47">
        <f t="shared" si="37"/>
        <v>190.374953125</v>
      </c>
      <c r="O100" s="47">
        <f t="shared" si="38"/>
        <v>56.7784947916667</v>
      </c>
      <c r="P100" s="47">
        <f t="shared" si="39"/>
        <v>53.664879375</v>
      </c>
      <c r="Q100" s="56">
        <v>19.6305</v>
      </c>
      <c r="R100" s="66"/>
    </row>
    <row r="101" s="6" customFormat="1" ht="18" customHeight="1" spans="1:19">
      <c r="A101" s="55" t="s">
        <v>104</v>
      </c>
      <c r="B101" s="55">
        <v>0.51</v>
      </c>
      <c r="C101" s="55" t="s">
        <v>105</v>
      </c>
      <c r="D101" s="57" t="s">
        <v>34</v>
      </c>
      <c r="E101" s="55" t="s">
        <v>32</v>
      </c>
      <c r="F101" s="55" t="s">
        <v>115</v>
      </c>
      <c r="G101" s="47">
        <f t="shared" si="30"/>
        <v>201.024</v>
      </c>
      <c r="H101" s="47">
        <f t="shared" si="31"/>
        <v>223.30416</v>
      </c>
      <c r="I101" s="47">
        <f t="shared" si="32"/>
        <v>234.528</v>
      </c>
      <c r="J101" s="47">
        <f t="shared" si="33"/>
        <v>59.6836533333333</v>
      </c>
      <c r="K101" s="47">
        <f t="shared" si="34"/>
        <v>51.2378533333333</v>
      </c>
      <c r="L101" s="47">
        <f t="shared" si="35"/>
        <v>79.6956041666667</v>
      </c>
      <c r="M101" s="47">
        <f t="shared" si="36"/>
        <v>76.8745208333333</v>
      </c>
      <c r="N101" s="47">
        <f t="shared" si="37"/>
        <v>162.4595</v>
      </c>
      <c r="O101" s="47">
        <f t="shared" si="38"/>
        <v>48.4528333333333</v>
      </c>
      <c r="P101" s="47">
        <f t="shared" si="39"/>
        <v>45.79578</v>
      </c>
      <c r="Q101" s="56">
        <v>16.752</v>
      </c>
      <c r="R101" s="66"/>
    </row>
    <row r="102" s="100" customFormat="1" ht="18" customHeight="1" spans="1:19">
      <c r="A102" s="55" t="s">
        <v>104</v>
      </c>
      <c r="B102" s="55">
        <v>0.51</v>
      </c>
      <c r="C102" s="55" t="s">
        <v>105</v>
      </c>
      <c r="D102" s="57" t="s">
        <v>34</v>
      </c>
      <c r="E102" s="55" t="s">
        <v>32</v>
      </c>
      <c r="F102" s="55" t="s">
        <v>116</v>
      </c>
      <c r="G102" s="47">
        <f t="shared" si="30"/>
        <v>234.288</v>
      </c>
      <c r="H102" s="47">
        <f t="shared" si="31"/>
        <v>260.25492</v>
      </c>
      <c r="I102" s="47">
        <f t="shared" si="32"/>
        <v>273.336</v>
      </c>
      <c r="J102" s="47">
        <f t="shared" si="33"/>
        <v>69.5596733333333</v>
      </c>
      <c r="K102" s="47">
        <f t="shared" si="34"/>
        <v>59.7163233333333</v>
      </c>
      <c r="L102" s="47">
        <f t="shared" si="35"/>
        <v>92.8830572916667</v>
      </c>
      <c r="M102" s="47">
        <f t="shared" si="36"/>
        <v>89.5951614583333</v>
      </c>
      <c r="N102" s="47">
        <f t="shared" si="37"/>
        <v>189.342125</v>
      </c>
      <c r="O102" s="47">
        <f t="shared" si="38"/>
        <v>56.4704583333333</v>
      </c>
      <c r="P102" s="47">
        <f t="shared" si="39"/>
        <v>53.373735</v>
      </c>
      <c r="Q102" s="56">
        <v>19.524</v>
      </c>
      <c r="R102" s="66"/>
      <c r="S102" s="6"/>
    </row>
    <row r="103" s="6" customFormat="1" ht="18" customHeight="1" spans="1:19">
      <c r="A103" s="55" t="s">
        <v>104</v>
      </c>
      <c r="B103" s="55">
        <v>0.51</v>
      </c>
      <c r="C103" s="55" t="s">
        <v>105</v>
      </c>
      <c r="D103" s="57" t="s">
        <v>34</v>
      </c>
      <c r="E103" s="55" t="s">
        <v>32</v>
      </c>
      <c r="F103" s="55" t="s">
        <v>54</v>
      </c>
      <c r="G103" s="47">
        <f t="shared" si="30"/>
        <v>264.546</v>
      </c>
      <c r="H103" s="47">
        <f t="shared" si="31"/>
        <v>293.866515</v>
      </c>
      <c r="I103" s="47">
        <f t="shared" si="32"/>
        <v>308.637</v>
      </c>
      <c r="J103" s="47">
        <f t="shared" si="33"/>
        <v>78.5432175</v>
      </c>
      <c r="K103" s="47">
        <f t="shared" si="34"/>
        <v>67.42861125</v>
      </c>
      <c r="L103" s="47">
        <f t="shared" si="35"/>
        <v>104.878787109375</v>
      </c>
      <c r="M103" s="47">
        <f t="shared" si="36"/>
        <v>101.166263671875</v>
      </c>
      <c r="N103" s="47">
        <f t="shared" si="37"/>
        <v>213.795421875</v>
      </c>
      <c r="O103" s="47">
        <f t="shared" si="38"/>
        <v>63.763546875</v>
      </c>
      <c r="P103" s="47">
        <f t="shared" si="39"/>
        <v>60.266885625</v>
      </c>
      <c r="Q103" s="56">
        <v>22.0455</v>
      </c>
      <c r="R103" s="66"/>
    </row>
    <row r="104" s="6" customFormat="1" ht="18" customHeight="1" spans="1:19">
      <c r="A104" s="55" t="s">
        <v>104</v>
      </c>
      <c r="B104" s="55">
        <v>0.51</v>
      </c>
      <c r="C104" s="55" t="s">
        <v>105</v>
      </c>
      <c r="D104" s="57" t="s">
        <v>41</v>
      </c>
      <c r="E104" s="55" t="s">
        <v>32</v>
      </c>
      <c r="F104" s="55" t="s">
        <v>115</v>
      </c>
      <c r="G104" s="47">
        <f t="shared" si="30"/>
        <v>343.896</v>
      </c>
      <c r="H104" s="47">
        <f t="shared" si="31"/>
        <v>382.01114</v>
      </c>
      <c r="I104" s="47">
        <f t="shared" si="32"/>
        <v>401.212</v>
      </c>
      <c r="J104" s="47">
        <f t="shared" si="33"/>
        <v>102.102085555556</v>
      </c>
      <c r="K104" s="47">
        <f t="shared" si="34"/>
        <v>87.6536772222222</v>
      </c>
      <c r="L104" s="47">
        <f t="shared" si="35"/>
        <v>136.336952256944</v>
      </c>
      <c r="M104" s="47">
        <f t="shared" si="36"/>
        <v>131.510865451389</v>
      </c>
      <c r="N104" s="47">
        <f t="shared" si="37"/>
        <v>277.922895833333</v>
      </c>
      <c r="O104" s="47">
        <f t="shared" si="38"/>
        <v>82.8892847222222</v>
      </c>
      <c r="P104" s="47">
        <f t="shared" si="39"/>
        <v>78.3438075</v>
      </c>
      <c r="Q104" s="56">
        <v>28.658</v>
      </c>
      <c r="R104" s="66"/>
    </row>
    <row r="105" s="6" customFormat="1" ht="18" customHeight="1" spans="1:19">
      <c r="A105" s="55" t="s">
        <v>104</v>
      </c>
      <c r="B105" s="55">
        <v>0.56</v>
      </c>
      <c r="C105" s="55" t="s">
        <v>105</v>
      </c>
      <c r="D105" s="55" t="s">
        <v>31</v>
      </c>
      <c r="E105" s="55" t="s">
        <v>32</v>
      </c>
      <c r="F105" s="55" t="s">
        <v>55</v>
      </c>
      <c r="G105" s="47">
        <f t="shared" si="30"/>
        <v>144.762</v>
      </c>
      <c r="H105" s="47">
        <f t="shared" si="31"/>
        <v>160.806455</v>
      </c>
      <c r="I105" s="47">
        <f t="shared" si="32"/>
        <v>168.889</v>
      </c>
      <c r="J105" s="47">
        <f t="shared" si="33"/>
        <v>42.9795697222222</v>
      </c>
      <c r="K105" s="47">
        <f t="shared" si="34"/>
        <v>36.8975551388889</v>
      </c>
      <c r="L105" s="47">
        <f t="shared" si="35"/>
        <v>57.3906351996528</v>
      </c>
      <c r="M105" s="47">
        <f t="shared" si="36"/>
        <v>55.3591082899306</v>
      </c>
      <c r="N105" s="47">
        <f t="shared" si="37"/>
        <v>116.990817708333</v>
      </c>
      <c r="O105" s="47">
        <f t="shared" si="38"/>
        <v>34.8919982638889</v>
      </c>
      <c r="P105" s="47">
        <f t="shared" si="39"/>
        <v>32.978593125</v>
      </c>
      <c r="Q105" s="56">
        <v>12.0635</v>
      </c>
      <c r="R105" s="66"/>
    </row>
    <row r="106" s="6" customFormat="1" ht="18" customHeight="1" spans="1:19">
      <c r="A106" s="55" t="s">
        <v>104</v>
      </c>
      <c r="B106" s="55">
        <v>0.56</v>
      </c>
      <c r="C106" s="55" t="s">
        <v>105</v>
      </c>
      <c r="D106" s="57" t="s">
        <v>34</v>
      </c>
      <c r="E106" s="55" t="s">
        <v>32</v>
      </c>
      <c r="F106" s="55" t="s">
        <v>55</v>
      </c>
      <c r="G106" s="47">
        <f t="shared" si="30"/>
        <v>196.098</v>
      </c>
      <c r="H106" s="47">
        <f t="shared" si="31"/>
        <v>217.832195</v>
      </c>
      <c r="I106" s="47">
        <f t="shared" si="32"/>
        <v>228.781</v>
      </c>
      <c r="J106" s="47">
        <f t="shared" si="33"/>
        <v>58.2211330555555</v>
      </c>
      <c r="K106" s="47">
        <f t="shared" si="34"/>
        <v>49.9822934722222</v>
      </c>
      <c r="L106" s="47">
        <f t="shared" si="35"/>
        <v>77.7427003038194</v>
      </c>
      <c r="M106" s="47">
        <f t="shared" si="36"/>
        <v>74.9907463107639</v>
      </c>
      <c r="N106" s="47">
        <f t="shared" si="37"/>
        <v>158.478505208333</v>
      </c>
      <c r="O106" s="47">
        <f t="shared" si="38"/>
        <v>47.2655190972222</v>
      </c>
      <c r="P106" s="47">
        <f t="shared" si="39"/>
        <v>44.673575625</v>
      </c>
      <c r="Q106" s="56">
        <v>16.3415</v>
      </c>
      <c r="R106" s="66"/>
    </row>
    <row r="107" s="6" customFormat="1" ht="18" customHeight="1" spans="1:19">
      <c r="A107" s="55" t="s">
        <v>104</v>
      </c>
      <c r="B107" s="55">
        <v>0.56</v>
      </c>
      <c r="C107" s="55" t="s">
        <v>105</v>
      </c>
      <c r="D107" s="57" t="s">
        <v>41</v>
      </c>
      <c r="E107" s="55" t="s">
        <v>32</v>
      </c>
      <c r="F107" s="55" t="s">
        <v>55</v>
      </c>
      <c r="G107" s="47">
        <f t="shared" si="30"/>
        <v>351.21</v>
      </c>
      <c r="H107" s="47">
        <f t="shared" si="31"/>
        <v>390.135775</v>
      </c>
      <c r="I107" s="47">
        <f t="shared" si="32"/>
        <v>409.745</v>
      </c>
      <c r="J107" s="47">
        <f t="shared" si="33"/>
        <v>104.273598611111</v>
      </c>
      <c r="K107" s="47">
        <f t="shared" si="34"/>
        <v>89.5179006944444</v>
      </c>
      <c r="L107" s="47">
        <f t="shared" si="35"/>
        <v>139.236574435764</v>
      </c>
      <c r="M107" s="47">
        <f t="shared" si="36"/>
        <v>134.307846137153</v>
      </c>
      <c r="N107" s="47">
        <f t="shared" si="37"/>
        <v>283.833776041667</v>
      </c>
      <c r="O107" s="47">
        <f t="shared" si="38"/>
        <v>84.6521788194444</v>
      </c>
      <c r="P107" s="47">
        <f t="shared" si="39"/>
        <v>80.010028125</v>
      </c>
      <c r="Q107" s="56">
        <v>29.2675</v>
      </c>
      <c r="R107" s="66"/>
    </row>
    <row r="108" s="6" customFormat="1" ht="18" customHeight="1" spans="1:19">
      <c r="A108" s="55" t="s">
        <v>104</v>
      </c>
      <c r="B108" s="55">
        <v>0.6</v>
      </c>
      <c r="C108" s="55" t="s">
        <v>105</v>
      </c>
      <c r="D108" s="55" t="s">
        <v>31</v>
      </c>
      <c r="E108" s="55" t="s">
        <v>32</v>
      </c>
      <c r="F108" s="55" t="s">
        <v>56</v>
      </c>
      <c r="G108" s="47">
        <f t="shared" si="30"/>
        <v>265.788</v>
      </c>
      <c r="H108" s="47">
        <f t="shared" si="31"/>
        <v>295.24617</v>
      </c>
      <c r="I108" s="47">
        <f t="shared" si="32"/>
        <v>310.086</v>
      </c>
      <c r="J108" s="47">
        <f t="shared" si="33"/>
        <v>78.911965</v>
      </c>
      <c r="K108" s="47">
        <f t="shared" si="34"/>
        <v>67.7451775</v>
      </c>
      <c r="L108" s="47">
        <f t="shared" si="35"/>
        <v>105.37117578125</v>
      </c>
      <c r="M108" s="47">
        <f t="shared" si="36"/>
        <v>101.64122265625</v>
      </c>
      <c r="N108" s="47">
        <f t="shared" si="37"/>
        <v>214.79915625</v>
      </c>
      <c r="O108" s="47">
        <f t="shared" si="38"/>
        <v>64.06290625</v>
      </c>
      <c r="P108" s="47">
        <f t="shared" si="39"/>
        <v>60.54982875</v>
      </c>
      <c r="Q108" s="56">
        <v>22.149</v>
      </c>
      <c r="R108" s="66"/>
    </row>
    <row r="109" s="100" customFormat="1" ht="18" customHeight="1" spans="1:19">
      <c r="A109" s="55" t="s">
        <v>104</v>
      </c>
      <c r="B109" s="55">
        <v>0.6</v>
      </c>
      <c r="C109" s="55" t="s">
        <v>105</v>
      </c>
      <c r="D109" s="55" t="s">
        <v>31</v>
      </c>
      <c r="E109" s="55" t="s">
        <v>32</v>
      </c>
      <c r="F109" s="55" t="s">
        <v>55</v>
      </c>
      <c r="G109" s="47">
        <f t="shared" ref="G109:G140" si="40">Q109*12</f>
        <v>146.28</v>
      </c>
      <c r="H109" s="47">
        <f t="shared" ref="H109:H140" si="41">Q109*13.33</f>
        <v>162.4927</v>
      </c>
      <c r="I109" s="47">
        <f t="shared" ref="I109:I140" si="42">Q109*14</f>
        <v>170.66</v>
      </c>
      <c r="J109" s="47">
        <f t="shared" ref="J109:J140" si="43">21.2*24.2/144*Q109</f>
        <v>43.4302611111111</v>
      </c>
      <c r="K109" s="47">
        <f t="shared" ref="K109:K140" si="44">18.2*24.2/144*Q109</f>
        <v>37.2844694444444</v>
      </c>
      <c r="L109" s="47">
        <f t="shared" ref="L109:L140" si="45">28.25*24.25/144*Q109</f>
        <v>57.9924435763889</v>
      </c>
      <c r="M109" s="47">
        <f t="shared" ref="M109:M140" si="46">27.25*24.25/144*Q109</f>
        <v>55.9396137152778</v>
      </c>
      <c r="N109" s="47">
        <f t="shared" ref="N109:N140" si="47">28.5*49/144*Q109</f>
        <v>118.217604166667</v>
      </c>
      <c r="O109" s="47">
        <f t="shared" ref="O109:O140" si="48">17*24.5/144*Q109</f>
        <v>35.2578819444444</v>
      </c>
      <c r="P109" s="47">
        <f t="shared" ref="P109:P140" si="49">24.3*16.2/144*Q109</f>
        <v>33.3244125</v>
      </c>
      <c r="Q109" s="56">
        <v>12.19</v>
      </c>
      <c r="R109" s="66"/>
      <c r="S109" s="6"/>
    </row>
    <row r="110" s="5" customFormat="1" ht="18" customHeight="1" spans="1:19">
      <c r="A110" s="55" t="s">
        <v>104</v>
      </c>
      <c r="B110" s="55">
        <v>0.6</v>
      </c>
      <c r="C110" s="55" t="s">
        <v>105</v>
      </c>
      <c r="D110" s="55" t="s">
        <v>31</v>
      </c>
      <c r="E110" s="55" t="s">
        <v>32</v>
      </c>
      <c r="F110" s="55" t="s">
        <v>117</v>
      </c>
      <c r="G110" s="47">
        <f t="shared" si="40"/>
        <v>163.806</v>
      </c>
      <c r="H110" s="47">
        <f t="shared" si="41"/>
        <v>181.961165</v>
      </c>
      <c r="I110" s="47">
        <f t="shared" si="42"/>
        <v>191.107</v>
      </c>
      <c r="J110" s="47">
        <f t="shared" si="43"/>
        <v>48.6336980555555</v>
      </c>
      <c r="K110" s="47">
        <f t="shared" si="44"/>
        <v>41.7515709722222</v>
      </c>
      <c r="L110" s="47">
        <f t="shared" si="45"/>
        <v>64.9405948350694</v>
      </c>
      <c r="M110" s="47">
        <f t="shared" si="46"/>
        <v>62.6418127170139</v>
      </c>
      <c r="N110" s="47">
        <f t="shared" si="47"/>
        <v>132.381411458333</v>
      </c>
      <c r="O110" s="47">
        <f t="shared" si="48"/>
        <v>39.4821753472222</v>
      </c>
      <c r="P110" s="47">
        <f t="shared" si="49"/>
        <v>37.317054375</v>
      </c>
      <c r="Q110" s="56">
        <v>13.6505</v>
      </c>
      <c r="R110" s="66"/>
      <c r="S110" s="6"/>
    </row>
    <row r="111" s="6" customFormat="1" ht="18" customHeight="1" spans="1:19">
      <c r="A111" s="55" t="s">
        <v>104</v>
      </c>
      <c r="B111" s="55">
        <v>0.6</v>
      </c>
      <c r="C111" s="55" t="s">
        <v>105</v>
      </c>
      <c r="D111" s="57" t="s">
        <v>34</v>
      </c>
      <c r="E111" s="55" t="s">
        <v>32</v>
      </c>
      <c r="F111" s="55" t="s">
        <v>55</v>
      </c>
      <c r="G111" s="47">
        <f t="shared" si="40"/>
        <v>197.34</v>
      </c>
      <c r="H111" s="47">
        <f t="shared" si="41"/>
        <v>219.21185</v>
      </c>
      <c r="I111" s="47">
        <f t="shared" si="42"/>
        <v>230.23</v>
      </c>
      <c r="J111" s="47">
        <f t="shared" si="43"/>
        <v>58.5898805555556</v>
      </c>
      <c r="K111" s="47">
        <f t="shared" si="44"/>
        <v>50.2988597222222</v>
      </c>
      <c r="L111" s="47">
        <f t="shared" si="45"/>
        <v>78.2350889756945</v>
      </c>
      <c r="M111" s="47">
        <f t="shared" si="46"/>
        <v>75.4657052951389</v>
      </c>
      <c r="N111" s="47">
        <f t="shared" si="47"/>
        <v>159.482239583333</v>
      </c>
      <c r="O111" s="47">
        <f t="shared" si="48"/>
        <v>47.5648784722222</v>
      </c>
      <c r="P111" s="47">
        <f t="shared" si="49"/>
        <v>44.95651875</v>
      </c>
      <c r="Q111" s="56">
        <v>16.445</v>
      </c>
      <c r="R111" s="66"/>
    </row>
    <row r="112" s="100" customFormat="1" ht="18" customHeight="1" spans="1:19">
      <c r="A112" s="55" t="s">
        <v>104</v>
      </c>
      <c r="B112" s="55">
        <v>0.6</v>
      </c>
      <c r="C112" s="55" t="s">
        <v>105</v>
      </c>
      <c r="D112" s="57" t="s">
        <v>34</v>
      </c>
      <c r="E112" s="55" t="s">
        <v>106</v>
      </c>
      <c r="F112" s="55" t="s">
        <v>55</v>
      </c>
      <c r="G112" s="47">
        <f t="shared" si="40"/>
        <v>214.176</v>
      </c>
      <c r="H112" s="47">
        <f t="shared" si="41"/>
        <v>237.91384</v>
      </c>
      <c r="I112" s="47">
        <f t="shared" si="42"/>
        <v>249.872</v>
      </c>
      <c r="J112" s="47">
        <f t="shared" si="43"/>
        <v>63.5884577777778</v>
      </c>
      <c r="K112" s="47">
        <f t="shared" si="44"/>
        <v>54.5900911111111</v>
      </c>
      <c r="L112" s="47">
        <f t="shared" si="45"/>
        <v>84.9096909722222</v>
      </c>
      <c r="M112" s="47">
        <f t="shared" si="46"/>
        <v>81.9040381944444</v>
      </c>
      <c r="N112" s="47">
        <f t="shared" si="47"/>
        <v>173.088416666667</v>
      </c>
      <c r="O112" s="47">
        <f t="shared" si="48"/>
        <v>51.6228611111111</v>
      </c>
      <c r="P112" s="47">
        <f t="shared" si="49"/>
        <v>48.79197</v>
      </c>
      <c r="Q112" s="56">
        <v>17.848</v>
      </c>
      <c r="R112" s="66"/>
      <c r="S112" s="6"/>
    </row>
    <row r="113" s="100" customFormat="1" ht="18" customHeight="1" spans="1:19">
      <c r="A113" s="55" t="s">
        <v>104</v>
      </c>
      <c r="B113" s="55">
        <v>0.6</v>
      </c>
      <c r="C113" s="55" t="s">
        <v>105</v>
      </c>
      <c r="D113" s="57" t="s">
        <v>34</v>
      </c>
      <c r="E113" s="55" t="s">
        <v>32</v>
      </c>
      <c r="F113" s="55" t="s">
        <v>118</v>
      </c>
      <c r="G113" s="47">
        <f t="shared" si="40"/>
        <v>208.38</v>
      </c>
      <c r="H113" s="47">
        <f t="shared" si="41"/>
        <v>231.47545</v>
      </c>
      <c r="I113" s="47">
        <f t="shared" si="42"/>
        <v>243.11</v>
      </c>
      <c r="J113" s="47">
        <f t="shared" si="43"/>
        <v>61.8676361111111</v>
      </c>
      <c r="K113" s="47">
        <f t="shared" si="44"/>
        <v>53.1127819444444</v>
      </c>
      <c r="L113" s="47">
        <f t="shared" si="45"/>
        <v>82.6118771701389</v>
      </c>
      <c r="M113" s="47">
        <f t="shared" si="46"/>
        <v>79.6875629340278</v>
      </c>
      <c r="N113" s="47">
        <f t="shared" si="47"/>
        <v>168.404322916667</v>
      </c>
      <c r="O113" s="47">
        <f t="shared" si="48"/>
        <v>50.2258506944444</v>
      </c>
      <c r="P113" s="47">
        <f t="shared" si="49"/>
        <v>47.47156875</v>
      </c>
      <c r="Q113" s="56">
        <v>17.365</v>
      </c>
      <c r="R113" s="66"/>
      <c r="S113" s="6"/>
    </row>
    <row r="114" s="100" customFormat="1" ht="18" customHeight="1" spans="1:19">
      <c r="A114" s="55" t="s">
        <v>104</v>
      </c>
      <c r="B114" s="55">
        <v>0.6</v>
      </c>
      <c r="C114" s="55" t="s">
        <v>105</v>
      </c>
      <c r="D114" s="57" t="s">
        <v>41</v>
      </c>
      <c r="E114" s="55" t="s">
        <v>32</v>
      </c>
      <c r="F114" s="55" t="s">
        <v>55</v>
      </c>
      <c r="G114" s="47">
        <f t="shared" si="40"/>
        <v>344.31</v>
      </c>
      <c r="H114" s="47">
        <f t="shared" si="41"/>
        <v>382.471025</v>
      </c>
      <c r="I114" s="47">
        <f t="shared" si="42"/>
        <v>401.695</v>
      </c>
      <c r="J114" s="47">
        <f t="shared" si="43"/>
        <v>102.225001388889</v>
      </c>
      <c r="K114" s="47">
        <f t="shared" si="44"/>
        <v>87.7591993055555</v>
      </c>
      <c r="L114" s="47">
        <f t="shared" si="45"/>
        <v>136.501081814236</v>
      </c>
      <c r="M114" s="47">
        <f t="shared" si="46"/>
        <v>131.669185112847</v>
      </c>
      <c r="N114" s="47">
        <f t="shared" si="47"/>
        <v>278.257473958333</v>
      </c>
      <c r="O114" s="47">
        <f t="shared" si="48"/>
        <v>82.9890711805555</v>
      </c>
      <c r="P114" s="47">
        <f t="shared" si="49"/>
        <v>78.438121875</v>
      </c>
      <c r="Q114" s="56">
        <v>28.6925</v>
      </c>
      <c r="R114" s="66"/>
      <c r="S114" s="6"/>
    </row>
    <row r="115" s="6" customFormat="1" ht="18" customHeight="1" spans="1:19">
      <c r="A115" s="55" t="s">
        <v>104</v>
      </c>
      <c r="B115" s="55">
        <v>0.66</v>
      </c>
      <c r="C115" s="55" t="s">
        <v>105</v>
      </c>
      <c r="D115" s="55" t="s">
        <v>31</v>
      </c>
      <c r="E115" s="55" t="s">
        <v>32</v>
      </c>
      <c r="F115" s="55" t="s">
        <v>119</v>
      </c>
      <c r="G115" s="47">
        <f t="shared" si="40"/>
        <v>167.118</v>
      </c>
      <c r="H115" s="47">
        <f t="shared" si="41"/>
        <v>185.640245</v>
      </c>
      <c r="I115" s="47">
        <f t="shared" si="42"/>
        <v>194.971</v>
      </c>
      <c r="J115" s="47">
        <f t="shared" si="43"/>
        <v>49.6170247222222</v>
      </c>
      <c r="K115" s="47">
        <f t="shared" si="44"/>
        <v>42.5957476388889</v>
      </c>
      <c r="L115" s="47">
        <f t="shared" si="45"/>
        <v>66.2536312934028</v>
      </c>
      <c r="M115" s="47">
        <f t="shared" si="46"/>
        <v>63.9083700086806</v>
      </c>
      <c r="N115" s="47">
        <f t="shared" si="47"/>
        <v>135.058036458333</v>
      </c>
      <c r="O115" s="47">
        <f t="shared" si="48"/>
        <v>40.2804670138889</v>
      </c>
      <c r="P115" s="47">
        <f t="shared" si="49"/>
        <v>38.071569375</v>
      </c>
      <c r="Q115" s="56">
        <v>13.9265</v>
      </c>
      <c r="R115" s="66"/>
    </row>
    <row r="116" s="6" customFormat="1" ht="18" customHeight="1" spans="1:19">
      <c r="A116" s="55" t="s">
        <v>104</v>
      </c>
      <c r="B116" s="55">
        <v>0.66</v>
      </c>
      <c r="C116" s="55" t="s">
        <v>105</v>
      </c>
      <c r="D116" s="55" t="s">
        <v>31</v>
      </c>
      <c r="E116" s="55" t="s">
        <v>32</v>
      </c>
      <c r="F116" s="55" t="s">
        <v>118</v>
      </c>
      <c r="G116" s="47">
        <f t="shared" si="40"/>
        <v>163.806</v>
      </c>
      <c r="H116" s="47">
        <f t="shared" si="41"/>
        <v>181.961165</v>
      </c>
      <c r="I116" s="47">
        <f t="shared" si="42"/>
        <v>191.107</v>
      </c>
      <c r="J116" s="47">
        <f t="shared" si="43"/>
        <v>48.6336980555555</v>
      </c>
      <c r="K116" s="47">
        <f t="shared" si="44"/>
        <v>41.7515709722222</v>
      </c>
      <c r="L116" s="47">
        <f t="shared" si="45"/>
        <v>64.9405948350694</v>
      </c>
      <c r="M116" s="47">
        <f t="shared" si="46"/>
        <v>62.6418127170139</v>
      </c>
      <c r="N116" s="47">
        <f t="shared" si="47"/>
        <v>132.381411458333</v>
      </c>
      <c r="O116" s="47">
        <f t="shared" si="48"/>
        <v>39.4821753472222</v>
      </c>
      <c r="P116" s="47">
        <f t="shared" si="49"/>
        <v>37.317054375</v>
      </c>
      <c r="Q116" s="56">
        <v>13.6505</v>
      </c>
      <c r="R116" s="66"/>
    </row>
    <row r="117" s="100" customFormat="1" ht="18" customHeight="1" spans="1:19">
      <c r="A117" s="55" t="s">
        <v>104</v>
      </c>
      <c r="B117" s="55">
        <v>0.66</v>
      </c>
      <c r="C117" s="55" t="s">
        <v>105</v>
      </c>
      <c r="D117" s="57" t="s">
        <v>107</v>
      </c>
      <c r="E117" s="55" t="s">
        <v>32</v>
      </c>
      <c r="F117" s="55" t="s">
        <v>118</v>
      </c>
      <c r="G117" s="47">
        <f t="shared" si="40"/>
        <v>203.688</v>
      </c>
      <c r="H117" s="47">
        <f t="shared" si="41"/>
        <v>226.26342</v>
      </c>
      <c r="I117" s="47">
        <f t="shared" si="42"/>
        <v>237.636</v>
      </c>
      <c r="J117" s="47">
        <f t="shared" si="43"/>
        <v>60.47459</v>
      </c>
      <c r="K117" s="47">
        <f t="shared" si="44"/>
        <v>51.916865</v>
      </c>
      <c r="L117" s="47">
        <f t="shared" si="45"/>
        <v>80.7517421875</v>
      </c>
      <c r="M117" s="47">
        <f t="shared" si="46"/>
        <v>77.8932734375</v>
      </c>
      <c r="N117" s="47">
        <f t="shared" si="47"/>
        <v>164.6124375</v>
      </c>
      <c r="O117" s="47">
        <f t="shared" si="48"/>
        <v>49.0949375</v>
      </c>
      <c r="P117" s="47">
        <f t="shared" si="49"/>
        <v>46.4026725</v>
      </c>
      <c r="Q117" s="56">
        <v>16.974</v>
      </c>
      <c r="R117" s="66"/>
      <c r="S117" s="6"/>
    </row>
    <row r="118" s="100" customFormat="1" ht="18" customHeight="1" spans="1:19">
      <c r="A118" s="55" t="s">
        <v>104</v>
      </c>
      <c r="B118" s="55">
        <v>0.66</v>
      </c>
      <c r="C118" s="55" t="s">
        <v>105</v>
      </c>
      <c r="D118" s="57" t="s">
        <v>34</v>
      </c>
      <c r="E118" s="55" t="s">
        <v>32</v>
      </c>
      <c r="F118" s="55" t="s">
        <v>118</v>
      </c>
      <c r="G118" s="47">
        <f t="shared" si="40"/>
        <v>220.464</v>
      </c>
      <c r="H118" s="47">
        <f t="shared" si="41"/>
        <v>244.89876</v>
      </c>
      <c r="I118" s="47">
        <f t="shared" si="42"/>
        <v>257.208</v>
      </c>
      <c r="J118" s="47">
        <f t="shared" si="43"/>
        <v>65.4553533333333</v>
      </c>
      <c r="K118" s="47">
        <f t="shared" si="44"/>
        <v>56.1928033333333</v>
      </c>
      <c r="L118" s="47">
        <f t="shared" si="45"/>
        <v>87.4025572916667</v>
      </c>
      <c r="M118" s="47">
        <f t="shared" si="46"/>
        <v>84.3086614583333</v>
      </c>
      <c r="N118" s="47">
        <f t="shared" si="47"/>
        <v>178.170125</v>
      </c>
      <c r="O118" s="47">
        <f t="shared" si="48"/>
        <v>53.1384583333333</v>
      </c>
      <c r="P118" s="47">
        <f t="shared" si="49"/>
        <v>50.224455</v>
      </c>
      <c r="Q118" s="56">
        <v>18.372</v>
      </c>
      <c r="R118" s="66"/>
      <c r="S118" s="6"/>
    </row>
    <row r="119" s="100" customFormat="1" ht="18" customHeight="1" spans="1:19">
      <c r="A119" s="55" t="s">
        <v>104</v>
      </c>
      <c r="B119" s="55">
        <v>0.66</v>
      </c>
      <c r="C119" s="55" t="s">
        <v>105</v>
      </c>
      <c r="D119" s="57" t="s">
        <v>34</v>
      </c>
      <c r="E119" s="55" t="s">
        <v>32</v>
      </c>
      <c r="F119" s="55" t="s">
        <v>56</v>
      </c>
      <c r="G119" s="47">
        <f t="shared" si="40"/>
        <v>292.422</v>
      </c>
      <c r="H119" s="47">
        <f t="shared" si="41"/>
        <v>324.832105</v>
      </c>
      <c r="I119" s="47">
        <f t="shared" si="42"/>
        <v>341.159</v>
      </c>
      <c r="J119" s="47">
        <f t="shared" si="43"/>
        <v>86.8195502777778</v>
      </c>
      <c r="K119" s="47">
        <f t="shared" si="44"/>
        <v>74.5337648611111</v>
      </c>
      <c r="L119" s="47">
        <f t="shared" si="45"/>
        <v>115.930177300347</v>
      </c>
      <c r="M119" s="47">
        <f t="shared" si="46"/>
        <v>111.826454210069</v>
      </c>
      <c r="N119" s="47">
        <f t="shared" si="47"/>
        <v>236.323682291667</v>
      </c>
      <c r="O119" s="47">
        <f t="shared" si="48"/>
        <v>70.4825017361111</v>
      </c>
      <c r="P119" s="47">
        <f t="shared" si="49"/>
        <v>66.617386875</v>
      </c>
      <c r="Q119" s="56">
        <v>24.3685</v>
      </c>
      <c r="R119" s="66"/>
      <c r="S119" s="6"/>
    </row>
    <row r="120" s="6" customFormat="1" ht="18" customHeight="1" spans="1:19">
      <c r="A120" s="55" t="s">
        <v>104</v>
      </c>
      <c r="B120" s="55">
        <v>0.66</v>
      </c>
      <c r="C120" s="55" t="s">
        <v>105</v>
      </c>
      <c r="D120" s="57" t="s">
        <v>34</v>
      </c>
      <c r="E120" s="55" t="s">
        <v>32</v>
      </c>
      <c r="F120" s="55" t="s">
        <v>119</v>
      </c>
      <c r="G120" s="47">
        <f t="shared" si="40"/>
        <v>220.464</v>
      </c>
      <c r="H120" s="47">
        <f t="shared" si="41"/>
        <v>244.89876</v>
      </c>
      <c r="I120" s="47">
        <f t="shared" si="42"/>
        <v>257.208</v>
      </c>
      <c r="J120" s="47">
        <f t="shared" si="43"/>
        <v>65.4553533333333</v>
      </c>
      <c r="K120" s="47">
        <f t="shared" si="44"/>
        <v>56.1928033333333</v>
      </c>
      <c r="L120" s="47">
        <f t="shared" si="45"/>
        <v>87.4025572916667</v>
      </c>
      <c r="M120" s="47">
        <f t="shared" si="46"/>
        <v>84.3086614583333</v>
      </c>
      <c r="N120" s="47">
        <f t="shared" si="47"/>
        <v>178.170125</v>
      </c>
      <c r="O120" s="47">
        <f t="shared" si="48"/>
        <v>53.1384583333333</v>
      </c>
      <c r="P120" s="47">
        <f t="shared" si="49"/>
        <v>50.224455</v>
      </c>
      <c r="Q120" s="56">
        <v>18.372</v>
      </c>
      <c r="R120" s="66"/>
    </row>
    <row r="121" s="100" customFormat="1" ht="18" customHeight="1" spans="1:19">
      <c r="A121" s="55" t="s">
        <v>104</v>
      </c>
      <c r="B121" s="55">
        <v>0.71</v>
      </c>
      <c r="C121" s="55" t="s">
        <v>105</v>
      </c>
      <c r="D121" s="55" t="s">
        <v>31</v>
      </c>
      <c r="E121" s="55" t="s">
        <v>32</v>
      </c>
      <c r="F121" s="55" t="s">
        <v>58</v>
      </c>
      <c r="G121" s="47">
        <f t="shared" si="40"/>
        <v>159.528</v>
      </c>
      <c r="H121" s="47">
        <f t="shared" si="41"/>
        <v>177.20902</v>
      </c>
      <c r="I121" s="47">
        <f t="shared" si="42"/>
        <v>186.116</v>
      </c>
      <c r="J121" s="47">
        <f t="shared" si="43"/>
        <v>47.3635677777778</v>
      </c>
      <c r="K121" s="47">
        <f t="shared" si="44"/>
        <v>40.6611761111111</v>
      </c>
      <c r="L121" s="47">
        <f t="shared" si="45"/>
        <v>63.2445894097222</v>
      </c>
      <c r="M121" s="47">
        <f t="shared" si="46"/>
        <v>61.0058428819444</v>
      </c>
      <c r="N121" s="47">
        <f t="shared" si="47"/>
        <v>128.924104166667</v>
      </c>
      <c r="O121" s="47">
        <f t="shared" si="48"/>
        <v>38.4510486111111</v>
      </c>
      <c r="P121" s="47">
        <f t="shared" si="49"/>
        <v>36.3424725</v>
      </c>
      <c r="Q121" s="56">
        <v>13.294</v>
      </c>
      <c r="R121" s="66"/>
      <c r="S121" s="6"/>
    </row>
    <row r="122" s="100" customFormat="1" ht="18" customHeight="1" spans="1:19">
      <c r="A122" s="55" t="s">
        <v>104</v>
      </c>
      <c r="B122" s="55">
        <v>0.71</v>
      </c>
      <c r="C122" s="55" t="s">
        <v>105</v>
      </c>
      <c r="D122" s="57" t="s">
        <v>34</v>
      </c>
      <c r="E122" s="55" t="s">
        <v>32</v>
      </c>
      <c r="F122" s="55" t="s">
        <v>58</v>
      </c>
      <c r="G122" s="47">
        <f t="shared" si="40"/>
        <v>211.968</v>
      </c>
      <c r="H122" s="47">
        <f t="shared" si="41"/>
        <v>235.46112</v>
      </c>
      <c r="I122" s="47">
        <f t="shared" si="42"/>
        <v>247.296</v>
      </c>
      <c r="J122" s="47">
        <f t="shared" si="43"/>
        <v>62.9329066666667</v>
      </c>
      <c r="K122" s="47">
        <f t="shared" si="44"/>
        <v>54.0273066666667</v>
      </c>
      <c r="L122" s="47">
        <f t="shared" si="45"/>
        <v>84.0343333333333</v>
      </c>
      <c r="M122" s="47">
        <f t="shared" si="46"/>
        <v>81.0596666666667</v>
      </c>
      <c r="N122" s="47">
        <f t="shared" si="47"/>
        <v>171.304</v>
      </c>
      <c r="O122" s="47">
        <f t="shared" si="48"/>
        <v>51.0906666666667</v>
      </c>
      <c r="P122" s="47">
        <f t="shared" si="49"/>
        <v>48.28896</v>
      </c>
      <c r="Q122" s="56">
        <v>17.664</v>
      </c>
      <c r="R122" s="66"/>
      <c r="S122" s="6"/>
    </row>
    <row r="123" s="100" customFormat="1" ht="18" customHeight="1" spans="1:19">
      <c r="A123" s="55" t="s">
        <v>104</v>
      </c>
      <c r="B123" s="55">
        <v>0.71</v>
      </c>
      <c r="C123" s="55" t="s">
        <v>105</v>
      </c>
      <c r="D123" s="57" t="s">
        <v>41</v>
      </c>
      <c r="E123" s="55" t="s">
        <v>32</v>
      </c>
      <c r="F123" s="55" t="s">
        <v>58</v>
      </c>
      <c r="G123" s="47">
        <f t="shared" si="40"/>
        <v>357.282</v>
      </c>
      <c r="H123" s="47">
        <f t="shared" si="41"/>
        <v>396.880755</v>
      </c>
      <c r="I123" s="47">
        <f t="shared" si="42"/>
        <v>416.829</v>
      </c>
      <c r="J123" s="47">
        <f t="shared" si="43"/>
        <v>106.076364166667</v>
      </c>
      <c r="K123" s="47">
        <f t="shared" si="44"/>
        <v>91.0655579166667</v>
      </c>
      <c r="L123" s="47">
        <f t="shared" si="45"/>
        <v>141.643807942708</v>
      </c>
      <c r="M123" s="47">
        <f t="shared" si="46"/>
        <v>136.629867838542</v>
      </c>
      <c r="N123" s="47">
        <f t="shared" si="47"/>
        <v>288.740921875</v>
      </c>
      <c r="O123" s="47">
        <f t="shared" si="48"/>
        <v>86.1157135416667</v>
      </c>
      <c r="P123" s="47">
        <f t="shared" si="49"/>
        <v>81.393305625</v>
      </c>
      <c r="Q123" s="56">
        <v>29.7735</v>
      </c>
      <c r="R123" s="66"/>
      <c r="S123" s="6"/>
    </row>
    <row r="124" s="6" customFormat="1" ht="18" customHeight="1" spans="1:19">
      <c r="A124" s="55" t="s">
        <v>104</v>
      </c>
      <c r="B124" s="55">
        <v>0.76</v>
      </c>
      <c r="C124" s="55" t="s">
        <v>105</v>
      </c>
      <c r="D124" s="55" t="s">
        <v>31</v>
      </c>
      <c r="E124" s="55" t="s">
        <v>32</v>
      </c>
      <c r="F124" s="55" t="s">
        <v>58</v>
      </c>
      <c r="G124" s="47">
        <f t="shared" si="40"/>
        <v>166.428</v>
      </c>
      <c r="H124" s="47">
        <f t="shared" si="41"/>
        <v>184.87377</v>
      </c>
      <c r="I124" s="47">
        <f t="shared" si="42"/>
        <v>194.166</v>
      </c>
      <c r="J124" s="47">
        <f t="shared" si="43"/>
        <v>49.412165</v>
      </c>
      <c r="K124" s="47">
        <f t="shared" si="44"/>
        <v>42.4198775</v>
      </c>
      <c r="L124" s="47">
        <f t="shared" si="45"/>
        <v>65.98008203125</v>
      </c>
      <c r="M124" s="47">
        <f t="shared" si="46"/>
        <v>63.64450390625</v>
      </c>
      <c r="N124" s="47">
        <f t="shared" si="47"/>
        <v>134.50040625</v>
      </c>
      <c r="O124" s="47">
        <f t="shared" si="48"/>
        <v>40.11415625</v>
      </c>
      <c r="P124" s="47">
        <f t="shared" si="49"/>
        <v>37.91437875</v>
      </c>
      <c r="Q124" s="56">
        <v>13.869</v>
      </c>
      <c r="R124" s="66"/>
    </row>
    <row r="125" s="6" customFormat="1" ht="18" customHeight="1" spans="1:19">
      <c r="A125" s="55" t="s">
        <v>104</v>
      </c>
      <c r="B125" s="55">
        <v>0.76</v>
      </c>
      <c r="C125" s="55" t="s">
        <v>105</v>
      </c>
      <c r="D125" s="57" t="s">
        <v>34</v>
      </c>
      <c r="E125" s="55" t="s">
        <v>32</v>
      </c>
      <c r="F125" s="55" t="s">
        <v>58</v>
      </c>
      <c r="G125" s="47">
        <f t="shared" si="40"/>
        <v>215.004</v>
      </c>
      <c r="H125" s="47">
        <f t="shared" si="41"/>
        <v>238.83361</v>
      </c>
      <c r="I125" s="47">
        <f t="shared" si="42"/>
        <v>250.838</v>
      </c>
      <c r="J125" s="47">
        <f t="shared" si="43"/>
        <v>63.8342894444444</v>
      </c>
      <c r="K125" s="47">
        <f t="shared" si="44"/>
        <v>54.8011352777778</v>
      </c>
      <c r="L125" s="47">
        <f t="shared" si="45"/>
        <v>85.2379500868056</v>
      </c>
      <c r="M125" s="47">
        <f t="shared" si="46"/>
        <v>82.2206775173611</v>
      </c>
      <c r="N125" s="47">
        <f t="shared" si="47"/>
        <v>173.757572916667</v>
      </c>
      <c r="O125" s="47">
        <f t="shared" si="48"/>
        <v>51.8224340277778</v>
      </c>
      <c r="P125" s="47">
        <f t="shared" si="49"/>
        <v>48.98059875</v>
      </c>
      <c r="Q125" s="56">
        <v>17.917</v>
      </c>
      <c r="R125" s="66"/>
    </row>
    <row r="126" s="6" customFormat="1" ht="18" customHeight="1" spans="1:19">
      <c r="A126" s="55" t="s">
        <v>104</v>
      </c>
      <c r="B126" s="55">
        <v>0.8</v>
      </c>
      <c r="C126" s="55" t="s">
        <v>105</v>
      </c>
      <c r="D126" s="55" t="s">
        <v>31</v>
      </c>
      <c r="E126" s="55" t="s">
        <v>32</v>
      </c>
      <c r="F126" s="55" t="s">
        <v>120</v>
      </c>
      <c r="G126" s="47">
        <f t="shared" si="40"/>
        <v>172.638</v>
      </c>
      <c r="H126" s="47">
        <f t="shared" si="41"/>
        <v>191.772045</v>
      </c>
      <c r="I126" s="47">
        <f t="shared" si="42"/>
        <v>201.411</v>
      </c>
      <c r="J126" s="47">
        <f t="shared" si="43"/>
        <v>51.2559025</v>
      </c>
      <c r="K126" s="47">
        <f t="shared" si="44"/>
        <v>44.00270875</v>
      </c>
      <c r="L126" s="47">
        <f t="shared" si="45"/>
        <v>68.442025390625</v>
      </c>
      <c r="M126" s="47">
        <f t="shared" si="46"/>
        <v>66.019298828125</v>
      </c>
      <c r="N126" s="47">
        <f t="shared" si="47"/>
        <v>139.519078125</v>
      </c>
      <c r="O126" s="47">
        <f t="shared" si="48"/>
        <v>41.610953125</v>
      </c>
      <c r="P126" s="47">
        <f t="shared" si="49"/>
        <v>39.329094375</v>
      </c>
      <c r="Q126" s="56">
        <v>14.3865</v>
      </c>
      <c r="R126" s="66"/>
    </row>
    <row r="127" s="6" customFormat="1" ht="18" customHeight="1" spans="1:19">
      <c r="A127" s="55" t="s">
        <v>104</v>
      </c>
      <c r="B127" s="55">
        <v>0.8</v>
      </c>
      <c r="C127" s="55" t="s">
        <v>105</v>
      </c>
      <c r="D127" s="55" t="s">
        <v>107</v>
      </c>
      <c r="E127" s="55" t="s">
        <v>32</v>
      </c>
      <c r="F127" s="55" t="s">
        <v>58</v>
      </c>
      <c r="G127" s="47">
        <f t="shared" si="40"/>
        <v>197.064</v>
      </c>
      <c r="H127" s="47">
        <f t="shared" si="41"/>
        <v>218.90526</v>
      </c>
      <c r="I127" s="47">
        <f t="shared" si="42"/>
        <v>229.908</v>
      </c>
      <c r="J127" s="47">
        <f t="shared" si="43"/>
        <v>58.5079366666667</v>
      </c>
      <c r="K127" s="47">
        <f t="shared" si="44"/>
        <v>50.2285116666667</v>
      </c>
      <c r="L127" s="47">
        <f t="shared" si="45"/>
        <v>78.1256692708333</v>
      </c>
      <c r="M127" s="47">
        <f t="shared" si="46"/>
        <v>75.3601588541667</v>
      </c>
      <c r="N127" s="47">
        <f t="shared" si="47"/>
        <v>159.2591875</v>
      </c>
      <c r="O127" s="47">
        <f t="shared" si="48"/>
        <v>47.4983541666667</v>
      </c>
      <c r="P127" s="47">
        <f t="shared" si="49"/>
        <v>44.8936425</v>
      </c>
      <c r="Q127" s="56">
        <v>16.422</v>
      </c>
      <c r="R127" s="66"/>
    </row>
    <row r="128" s="6" customFormat="1" ht="19.05" customHeight="1" spans="1:19">
      <c r="A128" s="55" t="s">
        <v>104</v>
      </c>
      <c r="B128" s="55">
        <v>0.8</v>
      </c>
      <c r="C128" s="55" t="s">
        <v>105</v>
      </c>
      <c r="D128" s="55" t="s">
        <v>31</v>
      </c>
      <c r="E128" s="55" t="s">
        <v>32</v>
      </c>
      <c r="F128" s="55" t="s">
        <v>121</v>
      </c>
      <c r="G128" s="47">
        <f t="shared" si="40"/>
        <v>193.614</v>
      </c>
      <c r="H128" s="47">
        <f t="shared" si="41"/>
        <v>215.072885</v>
      </c>
      <c r="I128" s="47">
        <f t="shared" si="42"/>
        <v>225.883</v>
      </c>
      <c r="J128" s="47">
        <f t="shared" si="43"/>
        <v>57.4836380555555</v>
      </c>
      <c r="K128" s="47">
        <f t="shared" si="44"/>
        <v>49.3491609722222</v>
      </c>
      <c r="L128" s="47">
        <f t="shared" si="45"/>
        <v>76.7579229600694</v>
      </c>
      <c r="M128" s="47">
        <f t="shared" si="46"/>
        <v>74.0408283420139</v>
      </c>
      <c r="N128" s="47">
        <f t="shared" si="47"/>
        <v>156.471036458333</v>
      </c>
      <c r="O128" s="47">
        <f t="shared" si="48"/>
        <v>46.6668003472222</v>
      </c>
      <c r="P128" s="47">
        <f t="shared" si="49"/>
        <v>44.107689375</v>
      </c>
      <c r="Q128" s="56">
        <v>16.1345</v>
      </c>
      <c r="R128" s="66"/>
    </row>
    <row r="129" s="6" customFormat="1" ht="19.05" customHeight="1" spans="1:19">
      <c r="A129" s="55" t="s">
        <v>104</v>
      </c>
      <c r="B129" s="55">
        <v>0.8</v>
      </c>
      <c r="C129" s="55" t="s">
        <v>105</v>
      </c>
      <c r="D129" s="57" t="s">
        <v>34</v>
      </c>
      <c r="E129" s="55" t="s">
        <v>32</v>
      </c>
      <c r="F129" s="55" t="s">
        <v>122</v>
      </c>
      <c r="G129" s="47">
        <f t="shared" si="40"/>
        <v>319.47</v>
      </c>
      <c r="H129" s="47">
        <f t="shared" si="41"/>
        <v>354.877925</v>
      </c>
      <c r="I129" s="47">
        <f t="shared" si="42"/>
        <v>372.715</v>
      </c>
      <c r="J129" s="47">
        <f t="shared" si="43"/>
        <v>94.8500513888889</v>
      </c>
      <c r="K129" s="47">
        <f t="shared" si="44"/>
        <v>81.4278743055555</v>
      </c>
      <c r="L129" s="47">
        <f t="shared" si="45"/>
        <v>126.653308376736</v>
      </c>
      <c r="M129" s="47">
        <f t="shared" si="46"/>
        <v>122.170005425347</v>
      </c>
      <c r="N129" s="47">
        <f t="shared" si="47"/>
        <v>258.182786458333</v>
      </c>
      <c r="O129" s="47">
        <f t="shared" si="48"/>
        <v>77.0018836805555</v>
      </c>
      <c r="P129" s="47">
        <f t="shared" si="49"/>
        <v>72.779259375</v>
      </c>
      <c r="Q129" s="56">
        <v>26.6225</v>
      </c>
      <c r="R129" s="66"/>
    </row>
    <row r="130" s="6" customFormat="1" ht="19.05" customHeight="1" spans="1:19">
      <c r="A130" s="55" t="s">
        <v>104</v>
      </c>
      <c r="B130" s="55">
        <v>0.8</v>
      </c>
      <c r="C130" s="55" t="s">
        <v>105</v>
      </c>
      <c r="D130" s="57" t="s">
        <v>34</v>
      </c>
      <c r="E130" s="55" t="s">
        <v>32</v>
      </c>
      <c r="F130" s="55" t="s">
        <v>120</v>
      </c>
      <c r="G130" s="47">
        <f t="shared" si="40"/>
        <v>216.66</v>
      </c>
      <c r="H130" s="47">
        <f t="shared" si="41"/>
        <v>240.67315</v>
      </c>
      <c r="I130" s="47">
        <f t="shared" si="42"/>
        <v>252.77</v>
      </c>
      <c r="J130" s="47">
        <f t="shared" si="43"/>
        <v>64.3259527777778</v>
      </c>
      <c r="K130" s="47">
        <f t="shared" si="44"/>
        <v>55.2232236111111</v>
      </c>
      <c r="L130" s="47">
        <f t="shared" si="45"/>
        <v>85.8944683159722</v>
      </c>
      <c r="M130" s="47">
        <f t="shared" si="46"/>
        <v>82.8539561631944</v>
      </c>
      <c r="N130" s="47">
        <f t="shared" si="47"/>
        <v>175.095885416667</v>
      </c>
      <c r="O130" s="47">
        <f t="shared" si="48"/>
        <v>52.2215798611111</v>
      </c>
      <c r="P130" s="47">
        <f t="shared" si="49"/>
        <v>49.35785625</v>
      </c>
      <c r="Q130" s="56">
        <v>18.055</v>
      </c>
      <c r="R130" s="66"/>
    </row>
    <row r="131" s="100" customFormat="1" ht="18" customHeight="1" spans="1:19">
      <c r="A131" s="55" t="s">
        <v>104</v>
      </c>
      <c r="B131" s="55">
        <v>0.8</v>
      </c>
      <c r="C131" s="55" t="s">
        <v>105</v>
      </c>
      <c r="D131" s="57" t="s">
        <v>41</v>
      </c>
      <c r="E131" s="55" t="s">
        <v>32</v>
      </c>
      <c r="F131" s="55" t="s">
        <v>120</v>
      </c>
      <c r="G131" s="47">
        <f t="shared" si="40"/>
        <v>376.602</v>
      </c>
      <c r="H131" s="47">
        <f t="shared" si="41"/>
        <v>418.342055</v>
      </c>
      <c r="I131" s="47">
        <f t="shared" si="42"/>
        <v>439.369</v>
      </c>
      <c r="J131" s="47">
        <f t="shared" si="43"/>
        <v>111.812436388889</v>
      </c>
      <c r="K131" s="47">
        <f t="shared" si="44"/>
        <v>95.9899218055555</v>
      </c>
      <c r="L131" s="47">
        <f t="shared" si="45"/>
        <v>149.303187282986</v>
      </c>
      <c r="M131" s="47">
        <f t="shared" si="46"/>
        <v>144.018118706597</v>
      </c>
      <c r="N131" s="47">
        <f t="shared" si="47"/>
        <v>304.354567708333</v>
      </c>
      <c r="O131" s="47">
        <f t="shared" si="48"/>
        <v>90.7724149305556</v>
      </c>
      <c r="P131" s="47">
        <f t="shared" si="49"/>
        <v>85.794643125</v>
      </c>
      <c r="Q131" s="56">
        <v>31.3835</v>
      </c>
      <c r="R131" s="66"/>
      <c r="S131" s="6"/>
    </row>
    <row r="132" s="100" customFormat="1" ht="18" customHeight="1" spans="1:19">
      <c r="A132" s="55" t="s">
        <v>104</v>
      </c>
      <c r="B132" s="55">
        <v>0.9</v>
      </c>
      <c r="C132" s="55" t="s">
        <v>123</v>
      </c>
      <c r="D132" s="55" t="s">
        <v>31</v>
      </c>
      <c r="E132" s="55" t="s">
        <v>32</v>
      </c>
      <c r="F132" s="55" t="s">
        <v>120</v>
      </c>
      <c r="G132" s="47">
        <f t="shared" si="40"/>
        <v>190.44</v>
      </c>
      <c r="H132" s="47">
        <f t="shared" si="41"/>
        <v>211.5471</v>
      </c>
      <c r="I132" s="47">
        <f t="shared" si="42"/>
        <v>222.18</v>
      </c>
      <c r="J132" s="47">
        <f t="shared" si="43"/>
        <v>56.5412833333333</v>
      </c>
      <c r="K132" s="47">
        <f t="shared" si="44"/>
        <v>48.5401583333333</v>
      </c>
      <c r="L132" s="47">
        <f t="shared" si="45"/>
        <v>75.4995963541667</v>
      </c>
      <c r="M132" s="47">
        <f t="shared" si="46"/>
        <v>72.8270442708333</v>
      </c>
      <c r="N132" s="47">
        <f t="shared" si="47"/>
        <v>153.9059375</v>
      </c>
      <c r="O132" s="47">
        <f t="shared" si="48"/>
        <v>45.9017708333333</v>
      </c>
      <c r="P132" s="47">
        <f t="shared" si="49"/>
        <v>43.3846125</v>
      </c>
      <c r="Q132" s="56">
        <v>15.87</v>
      </c>
      <c r="R132" s="66"/>
      <c r="S132" s="6"/>
    </row>
    <row r="133" s="100" customFormat="1" ht="18" customHeight="1" spans="1:19">
      <c r="A133" s="55" t="s">
        <v>104</v>
      </c>
      <c r="B133" s="55">
        <v>0.9</v>
      </c>
      <c r="C133" s="55" t="s">
        <v>123</v>
      </c>
      <c r="D133" s="57" t="s">
        <v>34</v>
      </c>
      <c r="E133" s="55" t="s">
        <v>32</v>
      </c>
      <c r="F133" s="55" t="s">
        <v>120</v>
      </c>
      <c r="G133" s="47">
        <f t="shared" si="40"/>
        <v>237.774</v>
      </c>
      <c r="H133" s="47">
        <f t="shared" si="41"/>
        <v>264.127285</v>
      </c>
      <c r="I133" s="47">
        <f t="shared" si="42"/>
        <v>277.403</v>
      </c>
      <c r="J133" s="47">
        <f t="shared" si="43"/>
        <v>70.5946602777778</v>
      </c>
      <c r="K133" s="47">
        <f t="shared" si="44"/>
        <v>60.6048498611111</v>
      </c>
      <c r="L133" s="47">
        <f t="shared" si="45"/>
        <v>94.2650757378472</v>
      </c>
      <c r="M133" s="47">
        <f t="shared" si="46"/>
        <v>90.9282588975694</v>
      </c>
      <c r="N133" s="47">
        <f t="shared" si="47"/>
        <v>192.159369791667</v>
      </c>
      <c r="O133" s="47">
        <f t="shared" si="48"/>
        <v>57.3106892361111</v>
      </c>
      <c r="P133" s="47">
        <f t="shared" si="49"/>
        <v>54.167889375</v>
      </c>
      <c r="Q133" s="56">
        <v>19.8145</v>
      </c>
      <c r="R133" s="66"/>
      <c r="S133" s="6"/>
    </row>
    <row r="134" s="6" customFormat="1" ht="18" customHeight="1" spans="1:19">
      <c r="A134" s="55" t="s">
        <v>104</v>
      </c>
      <c r="B134" s="128">
        <v>1</v>
      </c>
      <c r="C134" s="55" t="s">
        <v>123</v>
      </c>
      <c r="D134" s="55" t="s">
        <v>31</v>
      </c>
      <c r="E134" s="55" t="s">
        <v>32</v>
      </c>
      <c r="F134" s="55" t="s">
        <v>120</v>
      </c>
      <c r="G134" s="47">
        <f t="shared" si="40"/>
        <v>195.96</v>
      </c>
      <c r="H134" s="47">
        <f t="shared" si="41"/>
        <v>217.6789</v>
      </c>
      <c r="I134" s="47">
        <f t="shared" si="42"/>
        <v>228.62</v>
      </c>
      <c r="J134" s="47">
        <f t="shared" si="43"/>
        <v>58.1801611111111</v>
      </c>
      <c r="K134" s="47">
        <f t="shared" si="44"/>
        <v>49.9471194444444</v>
      </c>
      <c r="L134" s="47">
        <f t="shared" si="45"/>
        <v>77.6879904513889</v>
      </c>
      <c r="M134" s="47">
        <f t="shared" si="46"/>
        <v>74.9379730902778</v>
      </c>
      <c r="N134" s="47">
        <f t="shared" si="47"/>
        <v>158.366979166667</v>
      </c>
      <c r="O134" s="47">
        <f t="shared" si="48"/>
        <v>47.2322569444444</v>
      </c>
      <c r="P134" s="47">
        <f t="shared" si="49"/>
        <v>44.6421375</v>
      </c>
      <c r="Q134" s="56">
        <v>16.33</v>
      </c>
      <c r="R134" s="66"/>
    </row>
    <row r="135" s="6" customFormat="1" ht="18" customHeight="1" spans="1:19">
      <c r="A135" s="55" t="s">
        <v>104</v>
      </c>
      <c r="B135" s="128">
        <v>1</v>
      </c>
      <c r="C135" s="55" t="s">
        <v>123</v>
      </c>
      <c r="D135" s="57" t="s">
        <v>34</v>
      </c>
      <c r="E135" s="55" t="s">
        <v>32</v>
      </c>
      <c r="F135" s="55" t="s">
        <v>120</v>
      </c>
      <c r="G135" s="47">
        <f t="shared" si="40"/>
        <v>246.606</v>
      </c>
      <c r="H135" s="47">
        <f t="shared" si="41"/>
        <v>273.938165</v>
      </c>
      <c r="I135" s="47">
        <f t="shared" si="42"/>
        <v>287.707</v>
      </c>
      <c r="J135" s="47">
        <f t="shared" si="43"/>
        <v>73.2168647222222</v>
      </c>
      <c r="K135" s="47">
        <f t="shared" si="44"/>
        <v>62.8559876388889</v>
      </c>
      <c r="L135" s="47">
        <f t="shared" si="45"/>
        <v>97.7665062934028</v>
      </c>
      <c r="M135" s="47">
        <f t="shared" si="46"/>
        <v>94.3057450086806</v>
      </c>
      <c r="N135" s="47">
        <f t="shared" si="47"/>
        <v>199.297036458333</v>
      </c>
      <c r="O135" s="47">
        <f t="shared" si="48"/>
        <v>59.4394670138889</v>
      </c>
      <c r="P135" s="47">
        <f t="shared" si="49"/>
        <v>56.179929375</v>
      </c>
      <c r="Q135" s="56">
        <v>20.5505</v>
      </c>
      <c r="R135" s="66"/>
    </row>
    <row r="136" s="6" customFormat="1" ht="18" customHeight="1" spans="1:19">
      <c r="A136" s="55" t="s">
        <v>104</v>
      </c>
      <c r="B136" s="128">
        <v>1</v>
      </c>
      <c r="C136" s="55" t="s">
        <v>123</v>
      </c>
      <c r="D136" s="57" t="s">
        <v>41</v>
      </c>
      <c r="E136" s="55" t="s">
        <v>32</v>
      </c>
      <c r="F136" s="55" t="s">
        <v>120</v>
      </c>
      <c r="G136" s="47">
        <f t="shared" si="40"/>
        <v>388.608</v>
      </c>
      <c r="H136" s="47">
        <f t="shared" si="41"/>
        <v>431.67872</v>
      </c>
      <c r="I136" s="47">
        <f t="shared" si="42"/>
        <v>453.376</v>
      </c>
      <c r="J136" s="47">
        <f t="shared" si="43"/>
        <v>115.376995555556</v>
      </c>
      <c r="K136" s="47">
        <f t="shared" si="44"/>
        <v>99.0500622222222</v>
      </c>
      <c r="L136" s="47">
        <f t="shared" si="45"/>
        <v>154.062944444444</v>
      </c>
      <c r="M136" s="47">
        <f t="shared" si="46"/>
        <v>148.609388888889</v>
      </c>
      <c r="N136" s="47">
        <f t="shared" si="47"/>
        <v>314.057333333333</v>
      </c>
      <c r="O136" s="47">
        <f t="shared" si="48"/>
        <v>93.6662222222222</v>
      </c>
      <c r="P136" s="47">
        <f t="shared" si="49"/>
        <v>88.52976</v>
      </c>
      <c r="Q136" s="56">
        <v>32.384</v>
      </c>
      <c r="R136" s="66"/>
    </row>
    <row r="137" s="6" customFormat="1" ht="18" customHeight="1" spans="1:19">
      <c r="A137" s="55" t="s">
        <v>104</v>
      </c>
      <c r="B137" s="55">
        <v>1.1</v>
      </c>
      <c r="C137" s="55" t="s">
        <v>123</v>
      </c>
      <c r="D137" s="55" t="s">
        <v>31</v>
      </c>
      <c r="E137" s="55" t="s">
        <v>32</v>
      </c>
      <c r="F137" s="55" t="s">
        <v>120</v>
      </c>
      <c r="G137" s="47">
        <f t="shared" si="40"/>
        <v>204.24</v>
      </c>
      <c r="H137" s="47">
        <f t="shared" si="41"/>
        <v>226.8766</v>
      </c>
      <c r="I137" s="47">
        <f t="shared" si="42"/>
        <v>238.28</v>
      </c>
      <c r="J137" s="47">
        <f t="shared" si="43"/>
        <v>60.6384777777778</v>
      </c>
      <c r="K137" s="47">
        <f t="shared" si="44"/>
        <v>52.0575611111111</v>
      </c>
      <c r="L137" s="47">
        <f t="shared" si="45"/>
        <v>80.9705815972222</v>
      </c>
      <c r="M137" s="47">
        <f t="shared" si="46"/>
        <v>78.1043663194445</v>
      </c>
      <c r="N137" s="47">
        <f t="shared" si="47"/>
        <v>165.058541666667</v>
      </c>
      <c r="O137" s="47">
        <f t="shared" si="48"/>
        <v>49.2279861111111</v>
      </c>
      <c r="P137" s="47">
        <f t="shared" si="49"/>
        <v>46.528425</v>
      </c>
      <c r="Q137" s="56">
        <v>17.02</v>
      </c>
      <c r="R137" s="66"/>
    </row>
    <row r="138" s="6" customFormat="1" ht="18" customHeight="1" spans="1:19">
      <c r="A138" s="55" t="s">
        <v>104</v>
      </c>
      <c r="B138" s="55">
        <v>1.1</v>
      </c>
      <c r="C138" s="55" t="s">
        <v>123</v>
      </c>
      <c r="D138" s="57" t="s">
        <v>34</v>
      </c>
      <c r="E138" s="55" t="s">
        <v>32</v>
      </c>
      <c r="F138" s="55" t="s">
        <v>120</v>
      </c>
      <c r="G138" s="47">
        <f t="shared" si="40"/>
        <v>262.89</v>
      </c>
      <c r="H138" s="47">
        <f t="shared" si="41"/>
        <v>292.026975</v>
      </c>
      <c r="I138" s="47">
        <f t="shared" si="42"/>
        <v>306.705</v>
      </c>
      <c r="J138" s="47">
        <f t="shared" si="43"/>
        <v>78.0515541666666</v>
      </c>
      <c r="K138" s="47">
        <f t="shared" si="44"/>
        <v>67.0065229166667</v>
      </c>
      <c r="L138" s="47">
        <f t="shared" si="45"/>
        <v>104.222268880208</v>
      </c>
      <c r="M138" s="47">
        <f t="shared" si="46"/>
        <v>100.532985026042</v>
      </c>
      <c r="N138" s="47">
        <f t="shared" si="47"/>
        <v>212.457109375</v>
      </c>
      <c r="O138" s="47">
        <f t="shared" si="48"/>
        <v>63.3644010416667</v>
      </c>
      <c r="P138" s="47">
        <f t="shared" si="49"/>
        <v>59.889628125</v>
      </c>
      <c r="Q138" s="56">
        <v>21.9075</v>
      </c>
      <c r="R138" s="66"/>
    </row>
    <row r="139" s="6" customFormat="1" ht="18" customHeight="1" spans="1:19">
      <c r="A139" s="55" t="s">
        <v>104</v>
      </c>
      <c r="B139" s="55">
        <v>1.2</v>
      </c>
      <c r="C139" s="55" t="s">
        <v>123</v>
      </c>
      <c r="D139" s="55" t="s">
        <v>31</v>
      </c>
      <c r="E139" s="55" t="s">
        <v>32</v>
      </c>
      <c r="F139" s="55" t="s">
        <v>120</v>
      </c>
      <c r="G139" s="47">
        <f t="shared" si="40"/>
        <v>209.898</v>
      </c>
      <c r="H139" s="47">
        <f t="shared" si="41"/>
        <v>233.161695</v>
      </c>
      <c r="I139" s="47">
        <f t="shared" si="42"/>
        <v>244.881</v>
      </c>
      <c r="J139" s="47">
        <f t="shared" si="43"/>
        <v>62.3183275</v>
      </c>
      <c r="K139" s="47">
        <f t="shared" si="44"/>
        <v>53.49969625</v>
      </c>
      <c r="L139" s="47">
        <f t="shared" si="45"/>
        <v>83.213685546875</v>
      </c>
      <c r="M139" s="47">
        <f t="shared" si="46"/>
        <v>80.268068359375</v>
      </c>
      <c r="N139" s="47">
        <f t="shared" si="47"/>
        <v>169.631109375</v>
      </c>
      <c r="O139" s="47">
        <f t="shared" si="48"/>
        <v>50.591734375</v>
      </c>
      <c r="P139" s="47">
        <f t="shared" si="49"/>
        <v>47.817388125</v>
      </c>
      <c r="Q139" s="56">
        <v>17.4915</v>
      </c>
      <c r="R139" s="66"/>
    </row>
    <row r="140" s="6" customFormat="1" ht="18" customHeight="1" spans="1:19">
      <c r="A140" s="55" t="s">
        <v>104</v>
      </c>
      <c r="B140" s="55">
        <v>1.2</v>
      </c>
      <c r="C140" s="55" t="s">
        <v>123</v>
      </c>
      <c r="D140" s="57" t="s">
        <v>34</v>
      </c>
      <c r="E140" s="55" t="s">
        <v>32</v>
      </c>
      <c r="F140" s="55" t="s">
        <v>120</v>
      </c>
      <c r="G140" s="47">
        <f t="shared" si="40"/>
        <v>266.976</v>
      </c>
      <c r="H140" s="47">
        <f t="shared" si="41"/>
        <v>296.56584</v>
      </c>
      <c r="I140" s="47">
        <f t="shared" si="42"/>
        <v>311.472</v>
      </c>
      <c r="J140" s="47">
        <f t="shared" si="43"/>
        <v>79.26468</v>
      </c>
      <c r="K140" s="47">
        <f t="shared" si="44"/>
        <v>68.04798</v>
      </c>
      <c r="L140" s="47">
        <f t="shared" si="45"/>
        <v>105.84215625</v>
      </c>
      <c r="M140" s="47">
        <f t="shared" si="46"/>
        <v>102.09553125</v>
      </c>
      <c r="N140" s="47">
        <f t="shared" si="47"/>
        <v>215.75925</v>
      </c>
      <c r="O140" s="47">
        <f t="shared" si="48"/>
        <v>64.34925</v>
      </c>
      <c r="P140" s="47">
        <f t="shared" si="49"/>
        <v>60.82047</v>
      </c>
      <c r="Q140" s="56">
        <v>22.248</v>
      </c>
      <c r="R140" s="66"/>
    </row>
    <row r="141" s="6" customFormat="1" ht="18" customHeight="1" spans="1:19">
      <c r="A141" s="55" t="s">
        <v>104</v>
      </c>
      <c r="B141" s="55">
        <v>1.2</v>
      </c>
      <c r="C141" s="55" t="s">
        <v>123</v>
      </c>
      <c r="D141" s="57" t="s">
        <v>41</v>
      </c>
      <c r="E141" s="55" t="s">
        <v>32</v>
      </c>
      <c r="F141" s="55" t="s">
        <v>120</v>
      </c>
      <c r="G141" s="47">
        <f t="shared" ref="G141:G145" si="50">Q141*12</f>
        <v>411.24</v>
      </c>
      <c r="H141" s="47">
        <f t="shared" ref="H141:H145" si="51">Q141*13.33</f>
        <v>456.8191</v>
      </c>
      <c r="I141" s="47">
        <f t="shared" ref="I141:I145" si="52">Q141*14</f>
        <v>479.78</v>
      </c>
      <c r="J141" s="47">
        <f t="shared" ref="J141:J145" si="53">21.2*24.2/144*Q141</f>
        <v>122.096394444444</v>
      </c>
      <c r="K141" s="47">
        <f t="shared" ref="K141:K145" si="54">18.2*24.2/144*Q141</f>
        <v>104.818602777778</v>
      </c>
      <c r="L141" s="47">
        <f t="shared" ref="L141:L145" si="55">28.25*24.25/144*Q141</f>
        <v>163.035360243056</v>
      </c>
      <c r="M141" s="47">
        <f t="shared" ref="M141:M145" si="56">27.25*24.25/144*Q141</f>
        <v>157.264197048611</v>
      </c>
      <c r="N141" s="47">
        <f t="shared" ref="N141:N145" si="57">28.5*49/144*Q141</f>
        <v>332.347604166667</v>
      </c>
      <c r="O141" s="47">
        <f t="shared" ref="O141:O145" si="58">17*24.5/144*Q141</f>
        <v>99.1212152777778</v>
      </c>
      <c r="P141" s="47">
        <f t="shared" ref="P141:P145" si="59">24.3*16.2/144*Q141</f>
        <v>93.6856125</v>
      </c>
      <c r="Q141" s="56">
        <v>34.27</v>
      </c>
      <c r="R141" s="66"/>
    </row>
    <row r="142" s="6" customFormat="1" ht="18" customHeight="1" spans="1:19">
      <c r="A142" s="55" t="s">
        <v>104</v>
      </c>
      <c r="B142" s="55">
        <v>1.3</v>
      </c>
      <c r="C142" s="55" t="s">
        <v>123</v>
      </c>
      <c r="D142" s="55" t="s">
        <v>31</v>
      </c>
      <c r="E142" s="55" t="s">
        <v>32</v>
      </c>
      <c r="F142" s="55" t="s">
        <v>120</v>
      </c>
      <c r="G142" s="47">
        <f t="shared" si="50"/>
        <v>229.632</v>
      </c>
      <c r="H142" s="47">
        <f t="shared" si="51"/>
        <v>255.08288</v>
      </c>
      <c r="I142" s="47">
        <f t="shared" si="52"/>
        <v>267.904</v>
      </c>
      <c r="J142" s="47">
        <f t="shared" si="53"/>
        <v>68.1773155555556</v>
      </c>
      <c r="K142" s="47">
        <f t="shared" si="54"/>
        <v>58.5295822222222</v>
      </c>
      <c r="L142" s="47">
        <f t="shared" si="55"/>
        <v>91.0371944444444</v>
      </c>
      <c r="M142" s="47">
        <f t="shared" si="56"/>
        <v>87.8146388888889</v>
      </c>
      <c r="N142" s="47">
        <f t="shared" si="57"/>
        <v>185.579333333333</v>
      </c>
      <c r="O142" s="47">
        <f t="shared" si="58"/>
        <v>55.3482222222222</v>
      </c>
      <c r="P142" s="47">
        <f t="shared" si="59"/>
        <v>52.31304</v>
      </c>
      <c r="Q142" s="56">
        <v>19.136</v>
      </c>
      <c r="R142" s="66"/>
    </row>
    <row r="143" s="6" customFormat="1" ht="18" customHeight="1" spans="1:19">
      <c r="A143" s="55" t="s">
        <v>104</v>
      </c>
      <c r="B143" s="55">
        <v>1.3</v>
      </c>
      <c r="C143" s="55" t="s">
        <v>123</v>
      </c>
      <c r="D143" s="57" t="s">
        <v>34</v>
      </c>
      <c r="E143" s="55" t="s">
        <v>32</v>
      </c>
      <c r="F143" s="55" t="s">
        <v>120</v>
      </c>
      <c r="G143" s="47">
        <f t="shared" si="50"/>
        <v>280.14</v>
      </c>
      <c r="H143" s="47">
        <f t="shared" si="51"/>
        <v>311.18885</v>
      </c>
      <c r="I143" s="47">
        <f t="shared" si="52"/>
        <v>326.83</v>
      </c>
      <c r="J143" s="47">
        <f t="shared" si="53"/>
        <v>83.1730472222222</v>
      </c>
      <c r="K143" s="47">
        <f t="shared" si="54"/>
        <v>71.4032763888889</v>
      </c>
      <c r="L143" s="47">
        <f t="shared" si="55"/>
        <v>111.061000434028</v>
      </c>
      <c r="M143" s="47">
        <f t="shared" si="56"/>
        <v>107.129637586806</v>
      </c>
      <c r="N143" s="47">
        <f t="shared" si="57"/>
        <v>226.397864583333</v>
      </c>
      <c r="O143" s="47">
        <f t="shared" si="58"/>
        <v>67.5221701388889</v>
      </c>
      <c r="P143" s="47">
        <f t="shared" si="59"/>
        <v>63.81939375</v>
      </c>
      <c r="Q143" s="56">
        <v>23.345</v>
      </c>
      <c r="R143" s="66"/>
    </row>
    <row r="144" s="6" customFormat="1" ht="18" customHeight="1" spans="1:19">
      <c r="A144" s="55" t="s">
        <v>104</v>
      </c>
      <c r="B144" s="55">
        <v>1.3</v>
      </c>
      <c r="C144" s="55" t="s">
        <v>123</v>
      </c>
      <c r="D144" s="57" t="s">
        <v>109</v>
      </c>
      <c r="E144" s="55" t="s">
        <v>32</v>
      </c>
      <c r="F144" s="55" t="s">
        <v>120</v>
      </c>
      <c r="G144" s="47">
        <f t="shared" si="50"/>
        <v>444.36</v>
      </c>
      <c r="H144" s="47">
        <f t="shared" si="51"/>
        <v>493.6099</v>
      </c>
      <c r="I144" s="47">
        <f t="shared" si="52"/>
        <v>518.42</v>
      </c>
      <c r="J144" s="47">
        <f t="shared" si="53"/>
        <v>131.929661111111</v>
      </c>
      <c r="K144" s="47">
        <f t="shared" si="54"/>
        <v>113.260369444444</v>
      </c>
      <c r="L144" s="47">
        <f t="shared" si="55"/>
        <v>176.165724826389</v>
      </c>
      <c r="M144" s="47">
        <f t="shared" si="56"/>
        <v>169.929769965278</v>
      </c>
      <c r="N144" s="47">
        <f t="shared" si="57"/>
        <v>359.113854166667</v>
      </c>
      <c r="O144" s="47">
        <f t="shared" si="58"/>
        <v>107.104131944444</v>
      </c>
      <c r="P144" s="47">
        <f t="shared" si="59"/>
        <v>101.2307625</v>
      </c>
      <c r="Q144" s="56">
        <v>37.03</v>
      </c>
      <c r="R144" s="66"/>
    </row>
    <row r="145" s="6" customFormat="1" ht="18" customHeight="1" spans="1:19">
      <c r="A145" s="55" t="s">
        <v>104</v>
      </c>
      <c r="B145" s="55">
        <v>1.3</v>
      </c>
      <c r="C145" s="55" t="s">
        <v>123</v>
      </c>
      <c r="D145" s="57" t="s">
        <v>41</v>
      </c>
      <c r="E145" s="55" t="s">
        <v>32</v>
      </c>
      <c r="F145" s="55" t="s">
        <v>120</v>
      </c>
      <c r="G145" s="47">
        <f t="shared" si="50"/>
        <v>460.506</v>
      </c>
      <c r="H145" s="47">
        <f t="shared" si="51"/>
        <v>511.545415</v>
      </c>
      <c r="I145" s="47">
        <f t="shared" si="52"/>
        <v>537.257</v>
      </c>
      <c r="J145" s="47">
        <f t="shared" si="53"/>
        <v>136.723378611111</v>
      </c>
      <c r="K145" s="47">
        <f t="shared" si="54"/>
        <v>117.375730694444</v>
      </c>
      <c r="L145" s="47">
        <f t="shared" si="55"/>
        <v>182.566777560764</v>
      </c>
      <c r="M145" s="47">
        <f t="shared" si="56"/>
        <v>176.104236762153</v>
      </c>
      <c r="N145" s="47">
        <f t="shared" si="57"/>
        <v>372.162401041667</v>
      </c>
      <c r="O145" s="47">
        <f t="shared" si="58"/>
        <v>110.995803819444</v>
      </c>
      <c r="P145" s="47">
        <f t="shared" si="59"/>
        <v>104.909023125</v>
      </c>
      <c r="Q145" s="56">
        <v>38.3755</v>
      </c>
      <c r="R145" s="66"/>
    </row>
    <row r="146" s="6" customFormat="1" ht="18" customHeight="1" spans="1:19">
      <c r="A146" s="55" t="s">
        <v>104</v>
      </c>
      <c r="B146" s="55">
        <v>1.4</v>
      </c>
      <c r="C146" s="55" t="s">
        <v>123</v>
      </c>
      <c r="D146" s="55" t="s">
        <v>31</v>
      </c>
      <c r="E146" s="55" t="s">
        <v>32</v>
      </c>
      <c r="F146" s="55" t="s">
        <v>120</v>
      </c>
      <c r="G146" s="47">
        <f t="shared" ref="G146:G175" si="60">Q146*12</f>
        <v>228.252</v>
      </c>
      <c r="H146" s="47">
        <f t="shared" ref="H146:H175" si="61">Q146*13.33</f>
        <v>253.54993</v>
      </c>
      <c r="I146" s="47">
        <f t="shared" ref="I146:I175" si="62">Q146*14</f>
        <v>266.294</v>
      </c>
      <c r="J146" s="47">
        <f t="shared" ref="J146:J175" si="63">21.2*24.2/144*Q146</f>
        <v>67.7675961111111</v>
      </c>
      <c r="K146" s="47">
        <f t="shared" ref="K146:K175" si="64">18.2*24.2/144*Q146</f>
        <v>58.1778419444444</v>
      </c>
      <c r="L146" s="47">
        <f t="shared" ref="L146:L175" si="65">28.25*24.25/144*Q146</f>
        <v>90.4900959201389</v>
      </c>
      <c r="M146" s="47">
        <f t="shared" ref="M146:M175" si="66">27.25*24.25/144*Q146</f>
        <v>87.2869066840278</v>
      </c>
      <c r="N146" s="47">
        <f t="shared" ref="N146:N175" si="67">28.5*49/144*Q146</f>
        <v>184.464072916667</v>
      </c>
      <c r="O146" s="47">
        <f t="shared" ref="O146:O175" si="68">17*24.5/144*Q146</f>
        <v>55.0156006944444</v>
      </c>
      <c r="P146" s="47">
        <f t="shared" ref="P146:P175" si="69">24.3*16.2/144*Q146</f>
        <v>51.99865875</v>
      </c>
      <c r="Q146" s="56">
        <v>19.021</v>
      </c>
      <c r="R146" s="66"/>
    </row>
    <row r="147" s="6" customFormat="1" ht="18" customHeight="1" spans="1:19">
      <c r="A147" s="55" t="s">
        <v>104</v>
      </c>
      <c r="B147" s="55">
        <v>1.4</v>
      </c>
      <c r="C147" s="55" t="s">
        <v>123</v>
      </c>
      <c r="D147" s="55" t="s">
        <v>31</v>
      </c>
      <c r="E147" s="55" t="s">
        <v>32</v>
      </c>
      <c r="F147" s="55" t="s">
        <v>65</v>
      </c>
      <c r="G147" s="47">
        <f t="shared" si="60"/>
        <v>247.71</v>
      </c>
      <c r="H147" s="47">
        <f t="shared" si="61"/>
        <v>275.164525</v>
      </c>
      <c r="I147" s="47">
        <f t="shared" si="62"/>
        <v>288.995</v>
      </c>
      <c r="J147" s="47">
        <f t="shared" si="63"/>
        <v>73.5446402777778</v>
      </c>
      <c r="K147" s="47">
        <f t="shared" si="64"/>
        <v>63.1373798611111</v>
      </c>
      <c r="L147" s="47">
        <f t="shared" si="65"/>
        <v>98.2041851128472</v>
      </c>
      <c r="M147" s="47">
        <f t="shared" si="66"/>
        <v>94.7279307725694</v>
      </c>
      <c r="N147" s="47">
        <f t="shared" si="67"/>
        <v>200.189244791667</v>
      </c>
      <c r="O147" s="47">
        <f t="shared" si="68"/>
        <v>59.7055642361111</v>
      </c>
      <c r="P147" s="47">
        <f t="shared" si="69"/>
        <v>56.431434375</v>
      </c>
      <c r="Q147" s="56">
        <v>20.6425</v>
      </c>
      <c r="R147" s="66"/>
    </row>
    <row r="148" s="6" customFormat="1" ht="18" customHeight="1" spans="1:19">
      <c r="A148" s="55" t="s">
        <v>104</v>
      </c>
      <c r="B148" s="55">
        <v>1.4</v>
      </c>
      <c r="C148" s="55" t="s">
        <v>123</v>
      </c>
      <c r="D148" s="57" t="s">
        <v>34</v>
      </c>
      <c r="E148" s="55" t="s">
        <v>32</v>
      </c>
      <c r="F148" s="55" t="s">
        <v>120</v>
      </c>
      <c r="G148" s="47">
        <f t="shared" si="60"/>
        <v>287.178</v>
      </c>
      <c r="H148" s="47">
        <f t="shared" si="61"/>
        <v>319.006895</v>
      </c>
      <c r="I148" s="47">
        <f t="shared" si="62"/>
        <v>335.041</v>
      </c>
      <c r="J148" s="47">
        <f t="shared" si="63"/>
        <v>85.2626163888889</v>
      </c>
      <c r="K148" s="47">
        <f t="shared" si="64"/>
        <v>73.1971518055555</v>
      </c>
      <c r="L148" s="47">
        <f t="shared" si="65"/>
        <v>113.851202907986</v>
      </c>
      <c r="M148" s="47">
        <f t="shared" si="66"/>
        <v>109.821071831597</v>
      </c>
      <c r="N148" s="47">
        <f t="shared" si="67"/>
        <v>232.085692708333</v>
      </c>
      <c r="O148" s="47">
        <f t="shared" si="68"/>
        <v>69.2185399305556</v>
      </c>
      <c r="P148" s="47">
        <f t="shared" si="69"/>
        <v>65.422738125</v>
      </c>
      <c r="Q148" s="56">
        <v>23.9315</v>
      </c>
      <c r="R148" s="66"/>
    </row>
    <row r="149" s="6" customFormat="1" ht="18" customHeight="1" spans="1:19">
      <c r="A149" s="55" t="s">
        <v>104</v>
      </c>
      <c r="B149" s="55">
        <v>1.4</v>
      </c>
      <c r="C149" s="55" t="s">
        <v>123</v>
      </c>
      <c r="D149" s="57" t="s">
        <v>34</v>
      </c>
      <c r="E149" s="55" t="s">
        <v>32</v>
      </c>
      <c r="F149" s="55" t="s">
        <v>65</v>
      </c>
      <c r="G149" s="47">
        <f t="shared" si="60"/>
        <v>304.704</v>
      </c>
      <c r="H149" s="47">
        <f t="shared" si="61"/>
        <v>338.47536</v>
      </c>
      <c r="I149" s="47">
        <f t="shared" si="62"/>
        <v>355.488</v>
      </c>
      <c r="J149" s="47">
        <f t="shared" si="63"/>
        <v>90.4660533333333</v>
      </c>
      <c r="K149" s="47">
        <f t="shared" si="64"/>
        <v>77.6642533333333</v>
      </c>
      <c r="L149" s="47">
        <f t="shared" si="65"/>
        <v>120.799354166667</v>
      </c>
      <c r="M149" s="47">
        <f t="shared" si="66"/>
        <v>116.523270833333</v>
      </c>
      <c r="N149" s="47">
        <f t="shared" si="67"/>
        <v>246.2495</v>
      </c>
      <c r="O149" s="47">
        <f t="shared" si="68"/>
        <v>73.4428333333333</v>
      </c>
      <c r="P149" s="47">
        <f t="shared" si="69"/>
        <v>69.41538</v>
      </c>
      <c r="Q149" s="56">
        <v>25.392</v>
      </c>
      <c r="R149" s="66"/>
    </row>
    <row r="150" s="100" customFormat="1" ht="18" customHeight="1" spans="1:19">
      <c r="A150" s="55" t="s">
        <v>104</v>
      </c>
      <c r="B150" s="55">
        <v>1.5</v>
      </c>
      <c r="C150" s="55" t="s">
        <v>123</v>
      </c>
      <c r="D150" s="55" t="s">
        <v>31</v>
      </c>
      <c r="E150" s="55" t="s">
        <v>32</v>
      </c>
      <c r="F150" s="55" t="s">
        <v>120</v>
      </c>
      <c r="G150" s="47">
        <f t="shared" si="60"/>
        <v>248.544</v>
      </c>
      <c r="H150" s="47">
        <f t="shared" si="61"/>
        <v>276.09096</v>
      </c>
      <c r="I150" s="47">
        <f t="shared" si="62"/>
        <v>289.968</v>
      </c>
      <c r="J150" s="47">
        <f t="shared" si="63"/>
        <v>73.7922533333333</v>
      </c>
      <c r="K150" s="47">
        <f t="shared" si="64"/>
        <v>63.3499533333333</v>
      </c>
      <c r="L150" s="47">
        <f t="shared" si="65"/>
        <v>98.5348229166667</v>
      </c>
      <c r="M150" s="47">
        <f t="shared" si="66"/>
        <v>95.0468645833333</v>
      </c>
      <c r="N150" s="47">
        <f t="shared" si="67"/>
        <v>200.86325</v>
      </c>
      <c r="O150" s="47">
        <f t="shared" si="68"/>
        <v>59.9065833333333</v>
      </c>
      <c r="P150" s="47">
        <f t="shared" si="69"/>
        <v>56.62143</v>
      </c>
      <c r="Q150" s="56">
        <v>20.712</v>
      </c>
      <c r="R150" s="66"/>
      <c r="S150" s="6"/>
    </row>
    <row r="151" s="6" customFormat="1" ht="18" customHeight="1" spans="1:19">
      <c r="A151" s="55" t="s">
        <v>104</v>
      </c>
      <c r="B151" s="55">
        <v>1.5</v>
      </c>
      <c r="C151" s="55" t="s">
        <v>123</v>
      </c>
      <c r="D151" s="57" t="s">
        <v>34</v>
      </c>
      <c r="E151" s="55" t="s">
        <v>32</v>
      </c>
      <c r="F151" s="55" t="s">
        <v>120</v>
      </c>
      <c r="G151" s="47">
        <f t="shared" si="60"/>
        <v>300.96</v>
      </c>
      <c r="H151" s="47">
        <f t="shared" si="61"/>
        <v>334.3164</v>
      </c>
      <c r="I151" s="47">
        <f t="shared" si="62"/>
        <v>351.12</v>
      </c>
      <c r="J151" s="47">
        <f t="shared" si="63"/>
        <v>89.3544666666667</v>
      </c>
      <c r="K151" s="47">
        <f t="shared" si="64"/>
        <v>76.7099666666667</v>
      </c>
      <c r="L151" s="47">
        <f t="shared" si="65"/>
        <v>119.315052083333</v>
      </c>
      <c r="M151" s="47">
        <f t="shared" si="66"/>
        <v>115.091510416667</v>
      </c>
      <c r="N151" s="47">
        <f t="shared" si="67"/>
        <v>243.22375</v>
      </c>
      <c r="O151" s="47">
        <f t="shared" si="68"/>
        <v>72.5404166666667</v>
      </c>
      <c r="P151" s="47">
        <f t="shared" si="69"/>
        <v>68.56245</v>
      </c>
      <c r="Q151" s="56">
        <v>25.08</v>
      </c>
      <c r="R151" s="66"/>
    </row>
    <row r="152" s="6" customFormat="1" ht="18" customHeight="1" spans="1:19">
      <c r="A152" s="55" t="s">
        <v>104</v>
      </c>
      <c r="B152" s="55">
        <v>1.6</v>
      </c>
      <c r="C152" s="55" t="s">
        <v>123</v>
      </c>
      <c r="D152" s="55" t="s">
        <v>31</v>
      </c>
      <c r="E152" s="55" t="s">
        <v>32</v>
      </c>
      <c r="F152" s="55" t="s">
        <v>120</v>
      </c>
      <c r="G152" s="47">
        <f t="shared" si="60"/>
        <v>250.746</v>
      </c>
      <c r="H152" s="47">
        <f t="shared" si="61"/>
        <v>278.537015</v>
      </c>
      <c r="I152" s="47">
        <f t="shared" si="62"/>
        <v>292.537</v>
      </c>
      <c r="J152" s="47">
        <f t="shared" si="63"/>
        <v>74.4460230555556</v>
      </c>
      <c r="K152" s="47">
        <f t="shared" si="64"/>
        <v>63.9112084722222</v>
      </c>
      <c r="L152" s="47">
        <f t="shared" si="65"/>
        <v>99.4078018663195</v>
      </c>
      <c r="M152" s="47">
        <f t="shared" si="66"/>
        <v>95.8889416232639</v>
      </c>
      <c r="N152" s="47">
        <f t="shared" si="67"/>
        <v>202.642817708333</v>
      </c>
      <c r="O152" s="47">
        <f t="shared" si="68"/>
        <v>60.4373315972222</v>
      </c>
      <c r="P152" s="47">
        <f t="shared" si="69"/>
        <v>57.123073125</v>
      </c>
      <c r="Q152" s="56">
        <v>20.8955</v>
      </c>
      <c r="R152" s="66"/>
    </row>
    <row r="153" s="100" customFormat="1" ht="18" customHeight="1" spans="1:19">
      <c r="A153" s="55" t="s">
        <v>104</v>
      </c>
      <c r="B153" s="55">
        <v>1.6</v>
      </c>
      <c r="C153" s="55" t="s">
        <v>123</v>
      </c>
      <c r="D153" s="57" t="s">
        <v>34</v>
      </c>
      <c r="E153" s="55" t="s">
        <v>32</v>
      </c>
      <c r="F153" s="55" t="s">
        <v>120</v>
      </c>
      <c r="G153" s="47">
        <f t="shared" si="60"/>
        <v>306.144</v>
      </c>
      <c r="H153" s="47">
        <f t="shared" si="61"/>
        <v>340.07496</v>
      </c>
      <c r="I153" s="47">
        <f t="shared" si="62"/>
        <v>357.168</v>
      </c>
      <c r="J153" s="47">
        <f t="shared" si="63"/>
        <v>90.8935866666667</v>
      </c>
      <c r="K153" s="47">
        <f t="shared" si="64"/>
        <v>78.0312866666667</v>
      </c>
      <c r="L153" s="47">
        <f t="shared" si="65"/>
        <v>121.370239583333</v>
      </c>
      <c r="M153" s="47">
        <f t="shared" si="66"/>
        <v>117.073947916667</v>
      </c>
      <c r="N153" s="47">
        <f t="shared" si="67"/>
        <v>247.41325</v>
      </c>
      <c r="O153" s="47">
        <f t="shared" si="68"/>
        <v>73.7899166666667</v>
      </c>
      <c r="P153" s="47">
        <f t="shared" si="69"/>
        <v>69.74343</v>
      </c>
      <c r="Q153" s="56">
        <v>25.512</v>
      </c>
      <c r="R153" s="66"/>
      <c r="S153" s="6"/>
    </row>
    <row r="154" s="6" customFormat="1" ht="18" customHeight="1" spans="1:19">
      <c r="A154" s="55" t="s">
        <v>104</v>
      </c>
      <c r="B154" s="55">
        <v>1.6</v>
      </c>
      <c r="C154" s="55" t="s">
        <v>123</v>
      </c>
      <c r="D154" s="57" t="s">
        <v>41</v>
      </c>
      <c r="E154" s="55" t="s">
        <v>32</v>
      </c>
      <c r="F154" s="55" t="s">
        <v>120</v>
      </c>
      <c r="G154" s="47">
        <f t="shared" si="60"/>
        <v>511.152</v>
      </c>
      <c r="H154" s="47">
        <f t="shared" si="61"/>
        <v>567.80468</v>
      </c>
      <c r="I154" s="47">
        <f t="shared" si="62"/>
        <v>596.344</v>
      </c>
      <c r="J154" s="47">
        <f t="shared" si="63"/>
        <v>151.760082222222</v>
      </c>
      <c r="K154" s="47">
        <f t="shared" si="64"/>
        <v>130.284598888889</v>
      </c>
      <c r="L154" s="47">
        <f t="shared" si="65"/>
        <v>202.645293402778</v>
      </c>
      <c r="M154" s="47">
        <f t="shared" si="66"/>
        <v>195.472008680556</v>
      </c>
      <c r="N154" s="47">
        <f t="shared" si="67"/>
        <v>413.092458333333</v>
      </c>
      <c r="O154" s="47">
        <f t="shared" si="68"/>
        <v>123.203013888889</v>
      </c>
      <c r="P154" s="47">
        <f t="shared" si="69"/>
        <v>116.446815</v>
      </c>
      <c r="Q154" s="56">
        <v>42.596</v>
      </c>
      <c r="R154" s="66"/>
    </row>
    <row r="155" s="6" customFormat="1" ht="18" customHeight="1" spans="1:19">
      <c r="A155" s="55" t="s">
        <v>104</v>
      </c>
      <c r="B155" s="55">
        <v>1.7</v>
      </c>
      <c r="C155" s="55" t="s">
        <v>123</v>
      </c>
      <c r="D155" s="55" t="s">
        <v>31</v>
      </c>
      <c r="E155" s="55" t="s">
        <v>32</v>
      </c>
      <c r="F155" s="55" t="s">
        <v>120</v>
      </c>
      <c r="G155" s="47">
        <f t="shared" si="60"/>
        <v>277.794</v>
      </c>
      <c r="H155" s="47">
        <f t="shared" si="61"/>
        <v>308.582835</v>
      </c>
      <c r="I155" s="47">
        <f t="shared" si="62"/>
        <v>324.093</v>
      </c>
      <c r="J155" s="47">
        <f t="shared" si="63"/>
        <v>82.4765241666666</v>
      </c>
      <c r="K155" s="47">
        <f t="shared" si="64"/>
        <v>70.8053179166667</v>
      </c>
      <c r="L155" s="47">
        <f t="shared" si="65"/>
        <v>110.130932942708</v>
      </c>
      <c r="M155" s="47">
        <f t="shared" si="66"/>
        <v>106.232492838542</v>
      </c>
      <c r="N155" s="47">
        <f t="shared" si="67"/>
        <v>224.501921875</v>
      </c>
      <c r="O155" s="47">
        <f t="shared" si="68"/>
        <v>66.9567135416667</v>
      </c>
      <c r="P155" s="47">
        <f t="shared" si="69"/>
        <v>63.284945625</v>
      </c>
      <c r="Q155" s="56">
        <v>23.1495</v>
      </c>
      <c r="R155" s="66"/>
    </row>
    <row r="156" s="6" customFormat="1" ht="18" customHeight="1" spans="1:19">
      <c r="A156" s="55" t="s">
        <v>104</v>
      </c>
      <c r="B156" s="55">
        <v>1.7</v>
      </c>
      <c r="C156" s="55" t="s">
        <v>123</v>
      </c>
      <c r="D156" s="55" t="s">
        <v>107</v>
      </c>
      <c r="E156" s="55" t="s">
        <v>32</v>
      </c>
      <c r="F156" s="55" t="s">
        <v>120</v>
      </c>
      <c r="G156" s="47">
        <f t="shared" si="60"/>
        <v>324.438</v>
      </c>
      <c r="H156" s="47">
        <f t="shared" si="61"/>
        <v>360.396545</v>
      </c>
      <c r="I156" s="47">
        <f t="shared" si="62"/>
        <v>378.511</v>
      </c>
      <c r="J156" s="47">
        <f t="shared" si="63"/>
        <v>96.3250413888889</v>
      </c>
      <c r="K156" s="47">
        <f t="shared" si="64"/>
        <v>82.6941393055556</v>
      </c>
      <c r="L156" s="47">
        <f t="shared" si="65"/>
        <v>128.622863064236</v>
      </c>
      <c r="M156" s="47">
        <f t="shared" si="66"/>
        <v>124.069841362847</v>
      </c>
      <c r="N156" s="47">
        <f t="shared" si="67"/>
        <v>262.197723958333</v>
      </c>
      <c r="O156" s="47">
        <f t="shared" si="68"/>
        <v>78.1993211805556</v>
      </c>
      <c r="P156" s="47">
        <f t="shared" si="69"/>
        <v>73.911031875</v>
      </c>
      <c r="Q156" s="56">
        <v>27.0365</v>
      </c>
      <c r="R156" s="66"/>
    </row>
    <row r="157" s="6" customFormat="1" ht="18" customHeight="1" spans="1:19">
      <c r="A157" s="55" t="s">
        <v>104</v>
      </c>
      <c r="B157" s="55">
        <v>1.7</v>
      </c>
      <c r="C157" s="55" t="s">
        <v>123</v>
      </c>
      <c r="D157" s="57" t="s">
        <v>34</v>
      </c>
      <c r="E157" s="55" t="s">
        <v>32</v>
      </c>
      <c r="F157" s="55" t="s">
        <v>120</v>
      </c>
      <c r="G157" s="47">
        <f t="shared" si="60"/>
        <v>330.372</v>
      </c>
      <c r="H157" s="47">
        <f t="shared" si="61"/>
        <v>366.98823</v>
      </c>
      <c r="I157" s="47">
        <f t="shared" si="62"/>
        <v>385.434</v>
      </c>
      <c r="J157" s="47">
        <f t="shared" si="63"/>
        <v>98.086835</v>
      </c>
      <c r="K157" s="47">
        <f t="shared" si="64"/>
        <v>84.2066225</v>
      </c>
      <c r="L157" s="47">
        <f t="shared" si="65"/>
        <v>130.97538671875</v>
      </c>
      <c r="M157" s="47">
        <f t="shared" si="66"/>
        <v>126.33908984375</v>
      </c>
      <c r="N157" s="47">
        <f t="shared" si="67"/>
        <v>266.99334375</v>
      </c>
      <c r="O157" s="47">
        <f t="shared" si="68"/>
        <v>79.62959375</v>
      </c>
      <c r="P157" s="47">
        <f t="shared" si="69"/>
        <v>75.26287125</v>
      </c>
      <c r="Q157" s="56">
        <v>27.531</v>
      </c>
      <c r="R157" s="66"/>
    </row>
    <row r="158" s="6" customFormat="1" ht="18" customHeight="1" spans="1:19">
      <c r="A158" s="55" t="s">
        <v>104</v>
      </c>
      <c r="B158" s="55">
        <v>1.8</v>
      </c>
      <c r="C158" s="55" t="s">
        <v>123</v>
      </c>
      <c r="D158" s="55" t="s">
        <v>31</v>
      </c>
      <c r="E158" s="55" t="s">
        <v>32</v>
      </c>
      <c r="F158" s="55" t="s">
        <v>120</v>
      </c>
      <c r="G158" s="47">
        <f t="shared" si="60"/>
        <v>307.326</v>
      </c>
      <c r="H158" s="47">
        <f t="shared" si="61"/>
        <v>341.387965</v>
      </c>
      <c r="I158" s="47">
        <f t="shared" si="62"/>
        <v>358.547</v>
      </c>
      <c r="J158" s="47">
        <f t="shared" si="63"/>
        <v>91.2445202777778</v>
      </c>
      <c r="K158" s="47">
        <f t="shared" si="64"/>
        <v>78.3325598611111</v>
      </c>
      <c r="L158" s="47">
        <f t="shared" si="65"/>
        <v>121.838841362847</v>
      </c>
      <c r="M158" s="47">
        <f t="shared" si="66"/>
        <v>117.525962022569</v>
      </c>
      <c r="N158" s="47">
        <f t="shared" si="67"/>
        <v>248.368494791667</v>
      </c>
      <c r="O158" s="47">
        <f t="shared" si="68"/>
        <v>74.0748142361111</v>
      </c>
      <c r="P158" s="47">
        <f t="shared" si="69"/>
        <v>70.012704375</v>
      </c>
      <c r="Q158" s="56">
        <v>25.6105</v>
      </c>
      <c r="R158" s="66"/>
    </row>
    <row r="159" s="6" customFormat="1" ht="18" customHeight="1" spans="1:19">
      <c r="A159" s="55" t="s">
        <v>104</v>
      </c>
      <c r="B159" s="55">
        <v>1.8</v>
      </c>
      <c r="C159" s="55" t="s">
        <v>123</v>
      </c>
      <c r="D159" s="57" t="s">
        <v>34</v>
      </c>
      <c r="E159" s="55" t="s">
        <v>32</v>
      </c>
      <c r="F159" s="55" t="s">
        <v>120</v>
      </c>
      <c r="G159" s="47">
        <f t="shared" si="60"/>
        <v>350.658</v>
      </c>
      <c r="H159" s="47">
        <f t="shared" si="61"/>
        <v>389.522595</v>
      </c>
      <c r="I159" s="47">
        <f t="shared" si="62"/>
        <v>409.101</v>
      </c>
      <c r="J159" s="47">
        <f t="shared" si="63"/>
        <v>104.109710833333</v>
      </c>
      <c r="K159" s="47">
        <f t="shared" si="64"/>
        <v>89.3772045833333</v>
      </c>
      <c r="L159" s="47">
        <f t="shared" si="65"/>
        <v>139.017735026042</v>
      </c>
      <c r="M159" s="47">
        <f t="shared" si="66"/>
        <v>134.096753255208</v>
      </c>
      <c r="N159" s="47">
        <f t="shared" si="67"/>
        <v>283.387671875</v>
      </c>
      <c r="O159" s="47">
        <f t="shared" si="68"/>
        <v>84.5191302083333</v>
      </c>
      <c r="P159" s="47">
        <f t="shared" si="69"/>
        <v>79.884275625</v>
      </c>
      <c r="Q159" s="56">
        <v>29.2215</v>
      </c>
      <c r="R159" s="66"/>
    </row>
    <row r="160" s="6" customFormat="1" ht="18" customHeight="1" spans="1:19">
      <c r="A160" s="55" t="s">
        <v>104</v>
      </c>
      <c r="B160" s="55">
        <v>1.8</v>
      </c>
      <c r="C160" s="55" t="s">
        <v>123</v>
      </c>
      <c r="D160" s="57" t="s">
        <v>41</v>
      </c>
      <c r="E160" s="55" t="s">
        <v>32</v>
      </c>
      <c r="F160" s="55" t="s">
        <v>120</v>
      </c>
      <c r="G160" s="47">
        <f t="shared" si="60"/>
        <v>509.22</v>
      </c>
      <c r="H160" s="47">
        <f t="shared" si="61"/>
        <v>565.65855</v>
      </c>
      <c r="I160" s="47">
        <f t="shared" si="62"/>
        <v>594.09</v>
      </c>
      <c r="J160" s="47">
        <f t="shared" si="63"/>
        <v>151.186475</v>
      </c>
      <c r="K160" s="47">
        <f t="shared" si="64"/>
        <v>129.7921625</v>
      </c>
      <c r="L160" s="47">
        <f t="shared" si="65"/>
        <v>201.87935546875</v>
      </c>
      <c r="M160" s="47">
        <f t="shared" si="66"/>
        <v>194.73318359375</v>
      </c>
      <c r="N160" s="47">
        <f t="shared" si="67"/>
        <v>411.53109375</v>
      </c>
      <c r="O160" s="47">
        <f t="shared" si="68"/>
        <v>122.73734375</v>
      </c>
      <c r="P160" s="47">
        <f t="shared" si="69"/>
        <v>116.00668125</v>
      </c>
      <c r="Q160" s="56">
        <v>42.435</v>
      </c>
      <c r="R160" s="66"/>
    </row>
    <row r="161" s="6" customFormat="1" ht="18" customHeight="1" spans="1:19">
      <c r="A161" s="55" t="s">
        <v>104</v>
      </c>
      <c r="B161" s="55">
        <v>1.9</v>
      </c>
      <c r="C161" s="55" t="s">
        <v>123</v>
      </c>
      <c r="D161" s="55" t="s">
        <v>31</v>
      </c>
      <c r="E161" s="55" t="s">
        <v>32</v>
      </c>
      <c r="F161" s="55" t="s">
        <v>120</v>
      </c>
      <c r="G161" s="47">
        <f t="shared" si="60"/>
        <v>319.746</v>
      </c>
      <c r="H161" s="47">
        <f t="shared" si="61"/>
        <v>355.184515</v>
      </c>
      <c r="I161" s="47">
        <f t="shared" si="62"/>
        <v>373.037</v>
      </c>
      <c r="J161" s="47">
        <f t="shared" si="63"/>
        <v>94.9319952777778</v>
      </c>
      <c r="K161" s="47">
        <f t="shared" si="64"/>
        <v>81.4982223611111</v>
      </c>
      <c r="L161" s="47">
        <f t="shared" si="65"/>
        <v>126.762728081597</v>
      </c>
      <c r="M161" s="47">
        <f t="shared" si="66"/>
        <v>122.275551866319</v>
      </c>
      <c r="N161" s="47">
        <f t="shared" si="67"/>
        <v>258.405838541667</v>
      </c>
      <c r="O161" s="47">
        <f t="shared" si="68"/>
        <v>77.0684079861111</v>
      </c>
      <c r="P161" s="47">
        <f t="shared" si="69"/>
        <v>72.842135625</v>
      </c>
      <c r="Q161" s="56">
        <v>26.6455</v>
      </c>
      <c r="R161" s="66"/>
    </row>
    <row r="162" s="6" customFormat="1" ht="18" customHeight="1" spans="1:19">
      <c r="A162" s="55" t="s">
        <v>104</v>
      </c>
      <c r="B162" s="55">
        <v>1.9</v>
      </c>
      <c r="C162" s="55" t="s">
        <v>123</v>
      </c>
      <c r="D162" s="57" t="s">
        <v>34</v>
      </c>
      <c r="E162" s="55" t="s">
        <v>32</v>
      </c>
      <c r="F162" s="55" t="s">
        <v>120</v>
      </c>
      <c r="G162" s="47">
        <f t="shared" si="60"/>
        <v>357.834</v>
      </c>
      <c r="H162" s="47">
        <f t="shared" si="61"/>
        <v>397.493935</v>
      </c>
      <c r="I162" s="47">
        <f t="shared" si="62"/>
        <v>417.473</v>
      </c>
      <c r="J162" s="47">
        <f t="shared" si="63"/>
        <v>106.240251944444</v>
      </c>
      <c r="K162" s="47">
        <f t="shared" si="64"/>
        <v>91.2062540277778</v>
      </c>
      <c r="L162" s="47">
        <f t="shared" si="65"/>
        <v>141.862647352431</v>
      </c>
      <c r="M162" s="47">
        <f t="shared" si="66"/>
        <v>136.840960720486</v>
      </c>
      <c r="N162" s="47">
        <f t="shared" si="67"/>
        <v>289.187026041667</v>
      </c>
      <c r="O162" s="47">
        <f t="shared" si="68"/>
        <v>86.2487621527778</v>
      </c>
      <c r="P162" s="47">
        <f t="shared" si="69"/>
        <v>81.519058125</v>
      </c>
      <c r="Q162" s="56">
        <v>29.8195</v>
      </c>
      <c r="R162" s="66"/>
    </row>
    <row r="163" s="6" customFormat="1" ht="18" customHeight="1" spans="1:19">
      <c r="A163" s="55" t="s">
        <v>104</v>
      </c>
      <c r="B163" s="55">
        <v>1.9</v>
      </c>
      <c r="C163" s="55" t="s">
        <v>123</v>
      </c>
      <c r="D163" s="57" t="s">
        <v>41</v>
      </c>
      <c r="E163" s="55" t="s">
        <v>32</v>
      </c>
      <c r="F163" s="55" t="s">
        <v>120</v>
      </c>
      <c r="G163" s="47">
        <f t="shared" si="60"/>
        <v>731.4</v>
      </c>
      <c r="H163" s="47">
        <f t="shared" si="61"/>
        <v>812.4635</v>
      </c>
      <c r="I163" s="47">
        <f t="shared" si="62"/>
        <v>853.3</v>
      </c>
      <c r="J163" s="47">
        <f t="shared" si="63"/>
        <v>217.151305555556</v>
      </c>
      <c r="K163" s="47">
        <f t="shared" si="64"/>
        <v>186.422347222222</v>
      </c>
      <c r="L163" s="47">
        <f t="shared" si="65"/>
        <v>289.962217881944</v>
      </c>
      <c r="M163" s="47">
        <f t="shared" si="66"/>
        <v>279.698068576389</v>
      </c>
      <c r="N163" s="47">
        <f t="shared" si="67"/>
        <v>591.088020833333</v>
      </c>
      <c r="O163" s="47">
        <f t="shared" si="68"/>
        <v>176.289409722222</v>
      </c>
      <c r="P163" s="47">
        <f t="shared" si="69"/>
        <v>166.6220625</v>
      </c>
      <c r="Q163" s="56">
        <v>60.95</v>
      </c>
      <c r="R163" s="66"/>
    </row>
    <row r="164" s="6" customFormat="1" ht="18" customHeight="1" spans="1:19">
      <c r="A164" s="55" t="s">
        <v>104</v>
      </c>
      <c r="B164" s="128">
        <v>2</v>
      </c>
      <c r="C164" s="55" t="s">
        <v>123</v>
      </c>
      <c r="D164" s="55" t="s">
        <v>31</v>
      </c>
      <c r="E164" s="55" t="s">
        <v>32</v>
      </c>
      <c r="F164" s="55" t="s">
        <v>120</v>
      </c>
      <c r="G164" s="47">
        <f t="shared" si="60"/>
        <v>328.578</v>
      </c>
      <c r="H164" s="47">
        <f t="shared" si="61"/>
        <v>364.995395</v>
      </c>
      <c r="I164" s="47">
        <f t="shared" si="62"/>
        <v>383.341</v>
      </c>
      <c r="J164" s="47">
        <f t="shared" si="63"/>
        <v>97.5541997222222</v>
      </c>
      <c r="K164" s="47">
        <f t="shared" si="64"/>
        <v>83.7493601388889</v>
      </c>
      <c r="L164" s="47">
        <f t="shared" si="65"/>
        <v>130.264158637153</v>
      </c>
      <c r="M164" s="47">
        <f t="shared" si="66"/>
        <v>125.653037977431</v>
      </c>
      <c r="N164" s="47">
        <f t="shared" si="67"/>
        <v>265.543505208333</v>
      </c>
      <c r="O164" s="47">
        <f t="shared" si="68"/>
        <v>79.1971857638889</v>
      </c>
      <c r="P164" s="47">
        <f t="shared" si="69"/>
        <v>74.854175625</v>
      </c>
      <c r="Q164" s="56">
        <v>27.3815</v>
      </c>
      <c r="R164" s="66"/>
    </row>
    <row r="165" s="6" customFormat="1" ht="18" customHeight="1" spans="1:19">
      <c r="A165" s="55" t="s">
        <v>104</v>
      </c>
      <c r="B165" s="128">
        <v>2</v>
      </c>
      <c r="C165" s="55" t="s">
        <v>123</v>
      </c>
      <c r="D165" s="57" t="s">
        <v>34</v>
      </c>
      <c r="E165" s="55" t="s">
        <v>32</v>
      </c>
      <c r="F165" s="55" t="s">
        <v>120</v>
      </c>
      <c r="G165" s="47">
        <f t="shared" si="60"/>
        <v>369.426</v>
      </c>
      <c r="H165" s="47">
        <f t="shared" si="61"/>
        <v>410.370715</v>
      </c>
      <c r="I165" s="47">
        <f t="shared" si="62"/>
        <v>430.997</v>
      </c>
      <c r="J165" s="47">
        <f t="shared" si="63"/>
        <v>109.681895277778</v>
      </c>
      <c r="K165" s="47">
        <f t="shared" si="64"/>
        <v>94.1608723611111</v>
      </c>
      <c r="L165" s="47">
        <f t="shared" si="65"/>
        <v>146.458274956597</v>
      </c>
      <c r="M165" s="47">
        <f t="shared" si="66"/>
        <v>141.273911241319</v>
      </c>
      <c r="N165" s="47">
        <f t="shared" si="67"/>
        <v>298.555213541667</v>
      </c>
      <c r="O165" s="47">
        <f t="shared" si="68"/>
        <v>89.0427829861111</v>
      </c>
      <c r="P165" s="47">
        <f t="shared" si="69"/>
        <v>84.159860625</v>
      </c>
      <c r="Q165" s="56">
        <v>30.7855</v>
      </c>
      <c r="R165" s="66"/>
    </row>
    <row r="166" s="6" customFormat="1" ht="18" customHeight="1" spans="1:19">
      <c r="A166" s="55" t="s">
        <v>104</v>
      </c>
      <c r="B166" s="128">
        <v>2</v>
      </c>
      <c r="C166" s="55" t="s">
        <v>123</v>
      </c>
      <c r="D166" s="57" t="s">
        <v>41</v>
      </c>
      <c r="E166" s="55" t="s">
        <v>32</v>
      </c>
      <c r="F166" s="55" t="s">
        <v>120</v>
      </c>
      <c r="G166" s="47">
        <f t="shared" si="60"/>
        <v>502.734</v>
      </c>
      <c r="H166" s="47">
        <f t="shared" si="61"/>
        <v>558.453685</v>
      </c>
      <c r="I166" s="47">
        <f t="shared" si="62"/>
        <v>586.523</v>
      </c>
      <c r="J166" s="47">
        <f t="shared" si="63"/>
        <v>149.260793611111</v>
      </c>
      <c r="K166" s="47">
        <f t="shared" si="64"/>
        <v>128.138983194444</v>
      </c>
      <c r="L166" s="47">
        <f t="shared" si="65"/>
        <v>199.307992404514</v>
      </c>
      <c r="M166" s="47">
        <f t="shared" si="66"/>
        <v>192.252842230903</v>
      </c>
      <c r="N166" s="47">
        <f t="shared" si="67"/>
        <v>406.289369791667</v>
      </c>
      <c r="O166" s="47">
        <f t="shared" si="68"/>
        <v>121.174022569444</v>
      </c>
      <c r="P166" s="47">
        <f t="shared" si="69"/>
        <v>114.529089375</v>
      </c>
      <c r="Q166" s="56">
        <v>41.8945</v>
      </c>
      <c r="R166" s="66"/>
    </row>
    <row r="167" s="6" customFormat="1" ht="18" customHeight="1" spans="1:19">
      <c r="A167" s="55" t="s">
        <v>104</v>
      </c>
      <c r="B167" s="128">
        <v>2.1</v>
      </c>
      <c r="C167" s="55" t="s">
        <v>123</v>
      </c>
      <c r="D167" s="55" t="s">
        <v>31</v>
      </c>
      <c r="E167" s="55" t="s">
        <v>32</v>
      </c>
      <c r="F167" s="55" t="s">
        <v>120</v>
      </c>
      <c r="G167" s="47">
        <f t="shared" si="60"/>
        <v>335.064</v>
      </c>
      <c r="H167" s="47">
        <f t="shared" si="61"/>
        <v>372.20026</v>
      </c>
      <c r="I167" s="47">
        <f t="shared" si="62"/>
        <v>390.908</v>
      </c>
      <c r="J167" s="47">
        <f t="shared" si="63"/>
        <v>99.4798811111111</v>
      </c>
      <c r="K167" s="47">
        <f t="shared" si="64"/>
        <v>85.4025394444444</v>
      </c>
      <c r="L167" s="47">
        <f t="shared" si="65"/>
        <v>132.835521701389</v>
      </c>
      <c r="M167" s="47">
        <f t="shared" si="66"/>
        <v>128.133379340278</v>
      </c>
      <c r="N167" s="47">
        <f t="shared" si="67"/>
        <v>270.785229166667</v>
      </c>
      <c r="O167" s="47">
        <f t="shared" si="68"/>
        <v>80.7605069444444</v>
      </c>
      <c r="P167" s="47">
        <f t="shared" si="69"/>
        <v>76.3317675</v>
      </c>
      <c r="Q167" s="56">
        <v>27.922</v>
      </c>
      <c r="R167" s="66"/>
    </row>
    <row r="168" s="38" customFormat="1" ht="18" customHeight="1" spans="1:19">
      <c r="A168" s="55" t="s">
        <v>104</v>
      </c>
      <c r="B168" s="128">
        <v>2.1</v>
      </c>
      <c r="C168" s="55" t="s">
        <v>123</v>
      </c>
      <c r="D168" s="57" t="s">
        <v>34</v>
      </c>
      <c r="E168" s="55" t="s">
        <v>32</v>
      </c>
      <c r="F168" s="55" t="s">
        <v>120</v>
      </c>
      <c r="G168" s="47">
        <f t="shared" si="60"/>
        <v>394.956</v>
      </c>
      <c r="H168" s="47">
        <f t="shared" si="61"/>
        <v>438.73029</v>
      </c>
      <c r="I168" s="47">
        <f t="shared" si="62"/>
        <v>460.782</v>
      </c>
      <c r="J168" s="47">
        <f t="shared" si="63"/>
        <v>117.261705</v>
      </c>
      <c r="K168" s="47">
        <f t="shared" si="64"/>
        <v>100.6680675</v>
      </c>
      <c r="L168" s="47">
        <f t="shared" si="65"/>
        <v>156.57959765625</v>
      </c>
      <c r="M168" s="47">
        <f t="shared" si="66"/>
        <v>151.03695703125</v>
      </c>
      <c r="N168" s="47">
        <f t="shared" si="67"/>
        <v>319.18753125</v>
      </c>
      <c r="O168" s="47">
        <f t="shared" si="68"/>
        <v>95.19628125</v>
      </c>
      <c r="P168" s="47">
        <f t="shared" si="69"/>
        <v>89.97591375</v>
      </c>
      <c r="Q168" s="56">
        <v>32.913</v>
      </c>
      <c r="R168" s="66"/>
      <c r="S168" s="6"/>
    </row>
    <row r="169" s="38" customFormat="1" ht="18" customHeight="1" spans="1:19">
      <c r="A169" s="55" t="s">
        <v>104</v>
      </c>
      <c r="B169" s="55">
        <v>2.2</v>
      </c>
      <c r="C169" s="55" t="s">
        <v>123</v>
      </c>
      <c r="D169" s="55" t="s">
        <v>31</v>
      </c>
      <c r="E169" s="55" t="s">
        <v>32</v>
      </c>
      <c r="F169" s="55" t="s">
        <v>120</v>
      </c>
      <c r="G169" s="47">
        <f t="shared" si="60"/>
        <v>365.286</v>
      </c>
      <c r="H169" s="47">
        <f t="shared" si="61"/>
        <v>405.771865</v>
      </c>
      <c r="I169" s="47">
        <f t="shared" si="62"/>
        <v>426.167</v>
      </c>
      <c r="J169" s="47">
        <f t="shared" si="63"/>
        <v>108.452736944444</v>
      </c>
      <c r="K169" s="47">
        <f t="shared" si="64"/>
        <v>93.1056515277778</v>
      </c>
      <c r="L169" s="47">
        <f t="shared" si="65"/>
        <v>144.816979383681</v>
      </c>
      <c r="M169" s="47">
        <f t="shared" si="66"/>
        <v>139.690714626736</v>
      </c>
      <c r="N169" s="47">
        <f t="shared" si="67"/>
        <v>295.209432291667</v>
      </c>
      <c r="O169" s="47">
        <f t="shared" si="68"/>
        <v>88.0449184027778</v>
      </c>
      <c r="P169" s="47">
        <f t="shared" si="69"/>
        <v>83.216716875</v>
      </c>
      <c r="Q169" s="56">
        <v>30.4405</v>
      </c>
      <c r="R169" s="66"/>
      <c r="S169" s="6"/>
    </row>
    <row r="170" s="38" customFormat="1" ht="18" customHeight="1" spans="1:19">
      <c r="A170" s="55" t="s">
        <v>104</v>
      </c>
      <c r="B170" s="55">
        <v>2.2</v>
      </c>
      <c r="C170" s="55" t="s">
        <v>123</v>
      </c>
      <c r="D170" s="57" t="s">
        <v>34</v>
      </c>
      <c r="E170" s="55" t="s">
        <v>32</v>
      </c>
      <c r="F170" s="55" t="s">
        <v>120</v>
      </c>
      <c r="G170" s="47">
        <f t="shared" si="60"/>
        <v>408.756</v>
      </c>
      <c r="H170" s="47">
        <f t="shared" si="61"/>
        <v>454.05979</v>
      </c>
      <c r="I170" s="47">
        <f t="shared" si="62"/>
        <v>476.882</v>
      </c>
      <c r="J170" s="47">
        <f t="shared" si="63"/>
        <v>121.358899444444</v>
      </c>
      <c r="K170" s="47">
        <f t="shared" si="64"/>
        <v>104.185470277778</v>
      </c>
      <c r="L170" s="47">
        <f t="shared" si="65"/>
        <v>162.050582899306</v>
      </c>
      <c r="M170" s="47">
        <f t="shared" si="66"/>
        <v>156.314279079861</v>
      </c>
      <c r="N170" s="47">
        <f t="shared" si="67"/>
        <v>330.340135416667</v>
      </c>
      <c r="O170" s="47">
        <f t="shared" si="68"/>
        <v>98.5224965277778</v>
      </c>
      <c r="P170" s="47">
        <f t="shared" si="69"/>
        <v>93.11972625</v>
      </c>
      <c r="Q170" s="56">
        <v>34.063</v>
      </c>
      <c r="R170" s="66"/>
      <c r="S170" s="6"/>
    </row>
    <row r="171" s="38" customFormat="1" ht="18" customHeight="1" spans="1:19">
      <c r="A171" s="55" t="s">
        <v>104</v>
      </c>
      <c r="B171" s="128">
        <v>2.3</v>
      </c>
      <c r="C171" s="55" t="s">
        <v>123</v>
      </c>
      <c r="D171" s="55" t="s">
        <v>31</v>
      </c>
      <c r="E171" s="55" t="s">
        <v>32</v>
      </c>
      <c r="F171" s="55" t="s">
        <v>120</v>
      </c>
      <c r="G171" s="47">
        <f t="shared" si="60"/>
        <v>388.884</v>
      </c>
      <c r="H171" s="47">
        <f t="shared" si="61"/>
        <v>431.98531</v>
      </c>
      <c r="I171" s="47">
        <f t="shared" si="62"/>
        <v>453.698</v>
      </c>
      <c r="J171" s="47">
        <f t="shared" si="63"/>
        <v>115.458939444444</v>
      </c>
      <c r="K171" s="47">
        <f t="shared" si="64"/>
        <v>99.1204102777778</v>
      </c>
      <c r="L171" s="47">
        <f t="shared" si="65"/>
        <v>154.172364149306</v>
      </c>
      <c r="M171" s="47">
        <f t="shared" si="66"/>
        <v>148.714935329861</v>
      </c>
      <c r="N171" s="47">
        <f t="shared" si="67"/>
        <v>314.280385416667</v>
      </c>
      <c r="O171" s="47">
        <f t="shared" si="68"/>
        <v>93.7327465277778</v>
      </c>
      <c r="P171" s="47">
        <f t="shared" si="69"/>
        <v>88.59263625</v>
      </c>
      <c r="Q171" s="56">
        <v>32.407</v>
      </c>
      <c r="R171" s="66"/>
      <c r="S171" s="6"/>
    </row>
    <row r="172" s="38" customFormat="1" ht="18" customHeight="1" spans="1:19">
      <c r="A172" s="55" t="s">
        <v>104</v>
      </c>
      <c r="B172" s="128">
        <v>2.3</v>
      </c>
      <c r="C172" s="55" t="s">
        <v>123</v>
      </c>
      <c r="D172" s="57" t="s">
        <v>34</v>
      </c>
      <c r="E172" s="55" t="s">
        <v>32</v>
      </c>
      <c r="F172" s="55" t="s">
        <v>120</v>
      </c>
      <c r="G172" s="47">
        <f t="shared" si="60"/>
        <v>429.87</v>
      </c>
      <c r="H172" s="47">
        <f t="shared" si="61"/>
        <v>477.513925</v>
      </c>
      <c r="I172" s="47">
        <f t="shared" si="62"/>
        <v>501.515</v>
      </c>
      <c r="J172" s="47">
        <f t="shared" si="63"/>
        <v>127.627606944444</v>
      </c>
      <c r="K172" s="47">
        <f t="shared" si="64"/>
        <v>109.567096527778</v>
      </c>
      <c r="L172" s="47">
        <f t="shared" si="65"/>
        <v>170.421190321181</v>
      </c>
      <c r="M172" s="47">
        <f t="shared" si="66"/>
        <v>164.388581814236</v>
      </c>
      <c r="N172" s="47">
        <f t="shared" si="67"/>
        <v>347.403619791667</v>
      </c>
      <c r="O172" s="47">
        <f t="shared" si="68"/>
        <v>103.611605902778</v>
      </c>
      <c r="P172" s="47">
        <f t="shared" si="69"/>
        <v>97.929759375</v>
      </c>
      <c r="Q172" s="56">
        <v>35.8225</v>
      </c>
      <c r="R172" s="66"/>
      <c r="S172" s="6"/>
    </row>
    <row r="173" s="100" customFormat="1" ht="18" customHeight="1" spans="1:19">
      <c r="A173" s="55" t="s">
        <v>104</v>
      </c>
      <c r="B173" s="128">
        <v>2.3</v>
      </c>
      <c r="C173" s="55" t="s">
        <v>123</v>
      </c>
      <c r="D173" s="57" t="s">
        <v>41</v>
      </c>
      <c r="E173" s="55" t="s">
        <v>32</v>
      </c>
      <c r="F173" s="55" t="s">
        <v>120</v>
      </c>
      <c r="G173" s="47">
        <f t="shared" si="60"/>
        <v>563.04</v>
      </c>
      <c r="H173" s="47">
        <f t="shared" si="61"/>
        <v>625.4436</v>
      </c>
      <c r="I173" s="47">
        <f t="shared" si="62"/>
        <v>656.88</v>
      </c>
      <c r="J173" s="47">
        <f t="shared" si="63"/>
        <v>167.165533333333</v>
      </c>
      <c r="K173" s="47">
        <f t="shared" si="64"/>
        <v>143.510033333333</v>
      </c>
      <c r="L173" s="47">
        <f t="shared" si="65"/>
        <v>223.216197916667</v>
      </c>
      <c r="M173" s="47">
        <f t="shared" si="66"/>
        <v>215.314739583333</v>
      </c>
      <c r="N173" s="47">
        <f t="shared" si="67"/>
        <v>455.02625</v>
      </c>
      <c r="O173" s="47">
        <f t="shared" si="68"/>
        <v>135.709583333333</v>
      </c>
      <c r="P173" s="47">
        <f t="shared" si="69"/>
        <v>128.26755</v>
      </c>
      <c r="Q173" s="56">
        <v>46.92</v>
      </c>
      <c r="R173" s="66"/>
      <c r="S173" s="6"/>
    </row>
    <row r="174" s="38" customFormat="1" ht="18" customHeight="1" spans="1:19">
      <c r="A174" s="55" t="s">
        <v>104</v>
      </c>
      <c r="B174" s="128">
        <v>2.4</v>
      </c>
      <c r="C174" s="55" t="s">
        <v>123</v>
      </c>
      <c r="D174" s="55" t="s">
        <v>31</v>
      </c>
      <c r="E174" s="55" t="s">
        <v>32</v>
      </c>
      <c r="F174" s="55" t="s">
        <v>120</v>
      </c>
      <c r="G174" s="47">
        <f t="shared" si="60"/>
        <v>396.888</v>
      </c>
      <c r="H174" s="47">
        <f t="shared" si="61"/>
        <v>440.87642</v>
      </c>
      <c r="I174" s="47">
        <f t="shared" si="62"/>
        <v>463.036</v>
      </c>
      <c r="J174" s="47">
        <f t="shared" si="63"/>
        <v>117.835312222222</v>
      </c>
      <c r="K174" s="47">
        <f t="shared" si="64"/>
        <v>101.160503888889</v>
      </c>
      <c r="L174" s="47">
        <f t="shared" si="65"/>
        <v>157.345535590278</v>
      </c>
      <c r="M174" s="47">
        <f t="shared" si="66"/>
        <v>151.775782118056</v>
      </c>
      <c r="N174" s="47">
        <f t="shared" si="67"/>
        <v>320.748895833333</v>
      </c>
      <c r="O174" s="47">
        <f t="shared" si="68"/>
        <v>95.6619513888889</v>
      </c>
      <c r="P174" s="47">
        <f t="shared" si="69"/>
        <v>90.4160475</v>
      </c>
      <c r="Q174" s="56">
        <v>33.074</v>
      </c>
      <c r="R174" s="66"/>
      <c r="S174" s="6"/>
    </row>
    <row r="175" s="38" customFormat="1" ht="18" customHeight="1" spans="1:19">
      <c r="A175" s="55" t="s">
        <v>104</v>
      </c>
      <c r="B175" s="128">
        <v>2.4</v>
      </c>
      <c r="C175" s="55" t="s">
        <v>123</v>
      </c>
      <c r="D175" s="57" t="s">
        <v>34</v>
      </c>
      <c r="E175" s="55" t="s">
        <v>32</v>
      </c>
      <c r="F175" s="55" t="s">
        <v>120</v>
      </c>
      <c r="G175" s="47">
        <f t="shared" si="60"/>
        <v>437.874</v>
      </c>
      <c r="H175" s="47">
        <f t="shared" si="61"/>
        <v>486.405035</v>
      </c>
      <c r="I175" s="47">
        <f t="shared" si="62"/>
        <v>510.853</v>
      </c>
      <c r="J175" s="47">
        <f t="shared" si="63"/>
        <v>130.003979722222</v>
      </c>
      <c r="K175" s="47">
        <f t="shared" si="64"/>
        <v>111.607190138889</v>
      </c>
      <c r="L175" s="47">
        <f t="shared" si="65"/>
        <v>173.594361762153</v>
      </c>
      <c r="M175" s="47">
        <f t="shared" si="66"/>
        <v>167.449428602431</v>
      </c>
      <c r="N175" s="47">
        <f t="shared" si="67"/>
        <v>353.872130208333</v>
      </c>
      <c r="O175" s="47">
        <f t="shared" si="68"/>
        <v>105.540810763889</v>
      </c>
      <c r="P175" s="47">
        <f t="shared" si="69"/>
        <v>99.753170625</v>
      </c>
      <c r="Q175" s="56">
        <v>36.4895</v>
      </c>
      <c r="R175" s="66"/>
      <c r="S175" s="6"/>
    </row>
    <row r="176" s="38" customFormat="1" ht="18" customHeight="1" spans="1:19">
      <c r="A176" s="55" t="s">
        <v>104</v>
      </c>
      <c r="B176" s="128">
        <v>2.5</v>
      </c>
      <c r="C176" s="55" t="s">
        <v>123</v>
      </c>
      <c r="D176" s="55" t="s">
        <v>31</v>
      </c>
      <c r="E176" s="55" t="s">
        <v>32</v>
      </c>
      <c r="F176" s="55" t="s">
        <v>120</v>
      </c>
      <c r="G176" s="47">
        <f t="shared" ref="G176:G191" si="70">Q176*12</f>
        <v>421.038</v>
      </c>
      <c r="H176" s="47">
        <f t="shared" ref="H176:H191" si="71">Q176*13.33</f>
        <v>467.703045</v>
      </c>
      <c r="I176" s="47">
        <f t="shared" ref="I176:I191" si="72">Q176*14</f>
        <v>491.211</v>
      </c>
      <c r="J176" s="47">
        <f t="shared" ref="J176:J191" si="73">21.2*24.2/144*Q176</f>
        <v>125.0054025</v>
      </c>
      <c r="K176" s="47">
        <f t="shared" ref="K176:K191" si="74">18.2*24.2/144*Q176</f>
        <v>107.31595875</v>
      </c>
      <c r="L176" s="47">
        <f t="shared" ref="L176:L191" si="75">28.25*24.25/144*Q176</f>
        <v>166.919759765625</v>
      </c>
      <c r="M176" s="47">
        <f t="shared" ref="M176:M191" si="76">27.25*24.25/144*Q176</f>
        <v>161.011095703125</v>
      </c>
      <c r="N176" s="47">
        <f t="shared" ref="N176:N191" si="77">28.5*49/144*Q176</f>
        <v>340.265953125</v>
      </c>
      <c r="O176" s="47">
        <f t="shared" ref="O176:O191" si="78">17*24.5/144*Q176</f>
        <v>101.482828125</v>
      </c>
      <c r="P176" s="47">
        <f t="shared" ref="P176:P191" si="79">24.3*16.2/144*Q176</f>
        <v>95.917719375</v>
      </c>
      <c r="Q176" s="56">
        <v>35.0865</v>
      </c>
      <c r="R176" s="66"/>
      <c r="S176" s="6"/>
    </row>
    <row r="177" s="38" customFormat="1" ht="18" customHeight="1" spans="1:19">
      <c r="A177" s="55" t="s">
        <v>104</v>
      </c>
      <c r="B177" s="128">
        <v>2.5</v>
      </c>
      <c r="C177" s="55" t="s">
        <v>123</v>
      </c>
      <c r="D177" s="57" t="s">
        <v>34</v>
      </c>
      <c r="E177" s="55" t="s">
        <v>32</v>
      </c>
      <c r="F177" s="55" t="s">
        <v>120</v>
      </c>
      <c r="G177" s="47">
        <f t="shared" si="70"/>
        <v>462.024</v>
      </c>
      <c r="H177" s="47">
        <f t="shared" si="71"/>
        <v>513.23166</v>
      </c>
      <c r="I177" s="47">
        <f t="shared" si="72"/>
        <v>539.028</v>
      </c>
      <c r="J177" s="47">
        <f t="shared" si="73"/>
        <v>137.17407</v>
      </c>
      <c r="K177" s="47">
        <f t="shared" si="74"/>
        <v>117.762645</v>
      </c>
      <c r="L177" s="47">
        <f t="shared" si="75"/>
        <v>183.1685859375</v>
      </c>
      <c r="M177" s="47">
        <f t="shared" si="76"/>
        <v>176.6847421875</v>
      </c>
      <c r="N177" s="47">
        <f t="shared" si="77"/>
        <v>373.3891875</v>
      </c>
      <c r="O177" s="47">
        <f t="shared" si="78"/>
        <v>111.3616875</v>
      </c>
      <c r="P177" s="47">
        <f t="shared" si="79"/>
        <v>105.2548425</v>
      </c>
      <c r="Q177" s="56">
        <v>38.502</v>
      </c>
      <c r="R177" s="66"/>
      <c r="S177" s="6"/>
    </row>
    <row r="178" s="38" customFormat="1" ht="18" customHeight="1" spans="1:19">
      <c r="A178" s="55" t="s">
        <v>104</v>
      </c>
      <c r="B178" s="128">
        <v>2.6</v>
      </c>
      <c r="C178" s="55" t="s">
        <v>123</v>
      </c>
      <c r="D178" s="55" t="s">
        <v>31</v>
      </c>
      <c r="E178" s="55" t="s">
        <v>32</v>
      </c>
      <c r="F178" s="55" t="s">
        <v>120</v>
      </c>
      <c r="G178" s="47">
        <f t="shared" si="70"/>
        <v>427.524</v>
      </c>
      <c r="H178" s="47">
        <f t="shared" si="71"/>
        <v>474.90791</v>
      </c>
      <c r="I178" s="47">
        <f t="shared" si="72"/>
        <v>498.778</v>
      </c>
      <c r="J178" s="47">
        <f t="shared" si="73"/>
        <v>126.931083888889</v>
      </c>
      <c r="K178" s="47">
        <f t="shared" si="74"/>
        <v>108.969138055556</v>
      </c>
      <c r="L178" s="47">
        <f t="shared" si="75"/>
        <v>169.491122829861</v>
      </c>
      <c r="M178" s="47">
        <f t="shared" si="76"/>
        <v>163.491437065972</v>
      </c>
      <c r="N178" s="47">
        <f t="shared" si="77"/>
        <v>345.507677083333</v>
      </c>
      <c r="O178" s="47">
        <f t="shared" si="78"/>
        <v>103.046149305556</v>
      </c>
      <c r="P178" s="47">
        <f t="shared" si="79"/>
        <v>97.39531125</v>
      </c>
      <c r="Q178" s="56">
        <v>35.627</v>
      </c>
      <c r="R178" s="66"/>
      <c r="S178" s="6"/>
    </row>
    <row r="179" s="38" customFormat="1" ht="18" customHeight="1" spans="1:19">
      <c r="A179" s="55" t="s">
        <v>104</v>
      </c>
      <c r="B179" s="128">
        <v>2.6</v>
      </c>
      <c r="C179" s="55" t="s">
        <v>123</v>
      </c>
      <c r="D179" s="57" t="s">
        <v>34</v>
      </c>
      <c r="E179" s="55" t="s">
        <v>32</v>
      </c>
      <c r="F179" s="55" t="s">
        <v>120</v>
      </c>
      <c r="G179" s="47">
        <f t="shared" si="70"/>
        <v>468.51</v>
      </c>
      <c r="H179" s="47">
        <f t="shared" si="71"/>
        <v>520.436525</v>
      </c>
      <c r="I179" s="47">
        <f t="shared" si="72"/>
        <v>546.595</v>
      </c>
      <c r="J179" s="47">
        <f t="shared" si="73"/>
        <v>139.099751388889</v>
      </c>
      <c r="K179" s="47">
        <f t="shared" si="74"/>
        <v>119.415824305556</v>
      </c>
      <c r="L179" s="47">
        <f t="shared" si="75"/>
        <v>185.739949001736</v>
      </c>
      <c r="M179" s="47">
        <f t="shared" si="76"/>
        <v>179.165083550347</v>
      </c>
      <c r="N179" s="47">
        <f t="shared" si="77"/>
        <v>378.630911458333</v>
      </c>
      <c r="O179" s="47">
        <f t="shared" si="78"/>
        <v>112.925008680556</v>
      </c>
      <c r="P179" s="47">
        <f t="shared" si="79"/>
        <v>106.732434375</v>
      </c>
      <c r="Q179" s="56">
        <v>39.0425</v>
      </c>
      <c r="R179" s="66"/>
      <c r="S179" s="6"/>
    </row>
    <row r="180" s="38" customFormat="1" ht="18" customHeight="1" spans="1:19">
      <c r="A180" s="55" t="s">
        <v>104</v>
      </c>
      <c r="B180" s="128">
        <v>2.7</v>
      </c>
      <c r="C180" s="55" t="s">
        <v>123</v>
      </c>
      <c r="D180" s="55" t="s">
        <v>31</v>
      </c>
      <c r="E180" s="55" t="s">
        <v>32</v>
      </c>
      <c r="F180" s="55" t="s">
        <v>120</v>
      </c>
      <c r="G180" s="47">
        <f t="shared" si="70"/>
        <v>447.258</v>
      </c>
      <c r="H180" s="47">
        <f t="shared" si="71"/>
        <v>496.829095</v>
      </c>
      <c r="I180" s="47">
        <f t="shared" si="72"/>
        <v>521.801</v>
      </c>
      <c r="J180" s="47">
        <f t="shared" si="73"/>
        <v>132.790071944444</v>
      </c>
      <c r="K180" s="47">
        <f t="shared" si="74"/>
        <v>113.999024027778</v>
      </c>
      <c r="L180" s="47">
        <f t="shared" si="75"/>
        <v>177.314631727431</v>
      </c>
      <c r="M180" s="47">
        <f t="shared" si="76"/>
        <v>171.038007595486</v>
      </c>
      <c r="N180" s="47">
        <f t="shared" si="77"/>
        <v>361.455901041667</v>
      </c>
      <c r="O180" s="47">
        <f t="shared" si="78"/>
        <v>107.802637152778</v>
      </c>
      <c r="P180" s="47">
        <f t="shared" si="79"/>
        <v>101.890963125</v>
      </c>
      <c r="Q180" s="56">
        <v>37.2715</v>
      </c>
      <c r="R180" s="66"/>
      <c r="S180" s="6"/>
    </row>
    <row r="181" s="38" customFormat="1" ht="18" customHeight="1" spans="1:19">
      <c r="A181" s="55" t="s">
        <v>104</v>
      </c>
      <c r="B181" s="128">
        <v>2.7</v>
      </c>
      <c r="C181" s="55" t="s">
        <v>123</v>
      </c>
      <c r="D181" s="57" t="s">
        <v>34</v>
      </c>
      <c r="E181" s="55" t="s">
        <v>32</v>
      </c>
      <c r="F181" s="55" t="s">
        <v>120</v>
      </c>
      <c r="G181" s="47">
        <f t="shared" si="70"/>
        <v>488.244</v>
      </c>
      <c r="H181" s="47">
        <f t="shared" si="71"/>
        <v>542.35771</v>
      </c>
      <c r="I181" s="47">
        <f t="shared" si="72"/>
        <v>569.618</v>
      </c>
      <c r="J181" s="47">
        <f t="shared" si="73"/>
        <v>144.958739444444</v>
      </c>
      <c r="K181" s="47">
        <f t="shared" si="74"/>
        <v>124.445710277778</v>
      </c>
      <c r="L181" s="47">
        <f t="shared" si="75"/>
        <v>193.563457899306</v>
      </c>
      <c r="M181" s="47">
        <f t="shared" si="76"/>
        <v>186.711654079861</v>
      </c>
      <c r="N181" s="47">
        <f t="shared" si="77"/>
        <v>394.579135416667</v>
      </c>
      <c r="O181" s="47">
        <f t="shared" si="78"/>
        <v>117.681496527778</v>
      </c>
      <c r="P181" s="47">
        <f t="shared" si="79"/>
        <v>111.22808625</v>
      </c>
      <c r="Q181" s="56">
        <v>40.687</v>
      </c>
      <c r="R181" s="66"/>
      <c r="S181" s="6"/>
    </row>
    <row r="182" s="38" customFormat="1" ht="18" customHeight="1" spans="1:19">
      <c r="A182" s="55" t="s">
        <v>104</v>
      </c>
      <c r="B182" s="55">
        <v>2.8</v>
      </c>
      <c r="C182" s="55" t="s">
        <v>123</v>
      </c>
      <c r="D182" s="55" t="s">
        <v>31</v>
      </c>
      <c r="E182" s="55" t="s">
        <v>32</v>
      </c>
      <c r="F182" s="55" t="s">
        <v>120</v>
      </c>
      <c r="G182" s="47">
        <f t="shared" si="70"/>
        <v>450.018</v>
      </c>
      <c r="H182" s="47">
        <f t="shared" si="71"/>
        <v>499.894995</v>
      </c>
      <c r="I182" s="47">
        <f t="shared" si="72"/>
        <v>525.021</v>
      </c>
      <c r="J182" s="47">
        <f t="shared" si="73"/>
        <v>133.609510833333</v>
      </c>
      <c r="K182" s="47">
        <f t="shared" si="74"/>
        <v>114.702504583333</v>
      </c>
      <c r="L182" s="47">
        <f t="shared" si="75"/>
        <v>178.408828776042</v>
      </c>
      <c r="M182" s="47">
        <f t="shared" si="76"/>
        <v>172.093472005208</v>
      </c>
      <c r="N182" s="47">
        <f t="shared" si="77"/>
        <v>363.686421875</v>
      </c>
      <c r="O182" s="47">
        <f t="shared" si="78"/>
        <v>108.467880208333</v>
      </c>
      <c r="P182" s="47">
        <f t="shared" si="79"/>
        <v>102.519725625</v>
      </c>
      <c r="Q182" s="56">
        <v>37.5015</v>
      </c>
      <c r="R182" s="66"/>
      <c r="S182" s="6"/>
    </row>
    <row r="183" s="38" customFormat="1" ht="18" customHeight="1" spans="1:19">
      <c r="A183" s="55" t="s">
        <v>104</v>
      </c>
      <c r="B183" s="55">
        <v>2.8</v>
      </c>
      <c r="C183" s="55" t="s">
        <v>123</v>
      </c>
      <c r="D183" s="57" t="s">
        <v>34</v>
      </c>
      <c r="E183" s="55" t="s">
        <v>32</v>
      </c>
      <c r="F183" s="55" t="s">
        <v>120</v>
      </c>
      <c r="G183" s="47">
        <f t="shared" si="70"/>
        <v>490.176</v>
      </c>
      <c r="H183" s="47">
        <f t="shared" si="71"/>
        <v>544.50384</v>
      </c>
      <c r="I183" s="47">
        <f t="shared" si="72"/>
        <v>571.872</v>
      </c>
      <c r="J183" s="47">
        <f t="shared" si="73"/>
        <v>145.532346666667</v>
      </c>
      <c r="K183" s="47">
        <f t="shared" si="74"/>
        <v>124.938146666667</v>
      </c>
      <c r="L183" s="47">
        <f t="shared" si="75"/>
        <v>194.329395833333</v>
      </c>
      <c r="M183" s="47">
        <f t="shared" si="76"/>
        <v>187.450479166667</v>
      </c>
      <c r="N183" s="47">
        <f t="shared" si="77"/>
        <v>396.1405</v>
      </c>
      <c r="O183" s="47">
        <f t="shared" si="78"/>
        <v>118.147166666667</v>
      </c>
      <c r="P183" s="47">
        <f t="shared" si="79"/>
        <v>111.66822</v>
      </c>
      <c r="Q183" s="56">
        <v>40.848</v>
      </c>
      <c r="R183" s="66"/>
      <c r="S183" s="6"/>
    </row>
    <row r="184" s="38" customFormat="1" ht="18" customHeight="1" spans="1:19">
      <c r="A184" s="55" t="s">
        <v>104</v>
      </c>
      <c r="B184" s="128">
        <v>2.9</v>
      </c>
      <c r="C184" s="55" t="s">
        <v>123</v>
      </c>
      <c r="D184" s="55" t="s">
        <v>31</v>
      </c>
      <c r="E184" s="55" t="s">
        <v>32</v>
      </c>
      <c r="F184" s="55" t="s">
        <v>120</v>
      </c>
      <c r="G184" s="47">
        <f t="shared" si="70"/>
        <v>473.892</v>
      </c>
      <c r="H184" s="47">
        <f t="shared" si="71"/>
        <v>526.41503</v>
      </c>
      <c r="I184" s="47">
        <f t="shared" si="72"/>
        <v>552.874</v>
      </c>
      <c r="J184" s="47">
        <f t="shared" si="73"/>
        <v>140.697657222222</v>
      </c>
      <c r="K184" s="47">
        <f t="shared" si="74"/>
        <v>120.787611388889</v>
      </c>
      <c r="L184" s="47">
        <f t="shared" si="75"/>
        <v>187.873633246528</v>
      </c>
      <c r="M184" s="47">
        <f t="shared" si="76"/>
        <v>181.223239149306</v>
      </c>
      <c r="N184" s="47">
        <f t="shared" si="77"/>
        <v>382.980427083333</v>
      </c>
      <c r="O184" s="47">
        <f t="shared" si="78"/>
        <v>114.222232638889</v>
      </c>
      <c r="P184" s="47">
        <f t="shared" si="79"/>
        <v>107.95852125</v>
      </c>
      <c r="Q184" s="56">
        <v>39.491</v>
      </c>
      <c r="R184" s="66"/>
      <c r="S184" s="6"/>
    </row>
    <row r="185" s="38" customFormat="1" ht="18" customHeight="1" spans="1:19">
      <c r="A185" s="55" t="s">
        <v>104</v>
      </c>
      <c r="B185" s="128">
        <v>2.9</v>
      </c>
      <c r="C185" s="55" t="s">
        <v>123</v>
      </c>
      <c r="D185" s="57" t="s">
        <v>34</v>
      </c>
      <c r="E185" s="55" t="s">
        <v>32</v>
      </c>
      <c r="F185" s="55" t="s">
        <v>120</v>
      </c>
      <c r="G185" s="47">
        <f t="shared" si="70"/>
        <v>514.326</v>
      </c>
      <c r="H185" s="47">
        <f t="shared" si="71"/>
        <v>571.330465</v>
      </c>
      <c r="I185" s="47">
        <f t="shared" si="72"/>
        <v>600.047</v>
      </c>
      <c r="J185" s="47">
        <f t="shared" si="73"/>
        <v>152.702436944444</v>
      </c>
      <c r="K185" s="47">
        <f t="shared" si="74"/>
        <v>131.093601527778</v>
      </c>
      <c r="L185" s="47">
        <f t="shared" si="75"/>
        <v>203.903620008681</v>
      </c>
      <c r="M185" s="47">
        <f t="shared" si="76"/>
        <v>196.685792751736</v>
      </c>
      <c r="N185" s="47">
        <f t="shared" si="77"/>
        <v>415.657557291667</v>
      </c>
      <c r="O185" s="47">
        <f t="shared" si="78"/>
        <v>123.968043402778</v>
      </c>
      <c r="P185" s="47">
        <f t="shared" si="79"/>
        <v>117.169891875</v>
      </c>
      <c r="Q185" s="56">
        <v>42.8605</v>
      </c>
      <c r="R185" s="66"/>
      <c r="S185" s="6"/>
    </row>
    <row r="186" s="38" customFormat="1" ht="18" customHeight="1" spans="1:19">
      <c r="A186" s="55" t="s">
        <v>104</v>
      </c>
      <c r="B186" s="128">
        <v>3</v>
      </c>
      <c r="C186" s="55" t="s">
        <v>123</v>
      </c>
      <c r="D186" s="55" t="s">
        <v>31</v>
      </c>
      <c r="E186" s="55" t="s">
        <v>32</v>
      </c>
      <c r="F186" s="55" t="s">
        <v>120</v>
      </c>
      <c r="G186" s="47">
        <f t="shared" si="70"/>
        <v>484.656</v>
      </c>
      <c r="H186" s="47">
        <f t="shared" si="71"/>
        <v>538.37204</v>
      </c>
      <c r="I186" s="47">
        <f t="shared" si="72"/>
        <v>565.432</v>
      </c>
      <c r="J186" s="47">
        <f t="shared" si="73"/>
        <v>143.893468888889</v>
      </c>
      <c r="K186" s="47">
        <f t="shared" si="74"/>
        <v>123.531185555556</v>
      </c>
      <c r="L186" s="47">
        <f t="shared" si="75"/>
        <v>192.141001736111</v>
      </c>
      <c r="M186" s="47">
        <f t="shared" si="76"/>
        <v>185.339550347222</v>
      </c>
      <c r="N186" s="47">
        <f t="shared" si="77"/>
        <v>391.679458333333</v>
      </c>
      <c r="O186" s="47">
        <f t="shared" si="78"/>
        <v>116.816680555556</v>
      </c>
      <c r="P186" s="47">
        <f t="shared" si="79"/>
        <v>110.410695</v>
      </c>
      <c r="Q186" s="56">
        <v>40.388</v>
      </c>
      <c r="R186" s="66"/>
      <c r="S186" s="6"/>
    </row>
    <row r="187" s="38" customFormat="1" ht="18" customHeight="1" spans="1:19">
      <c r="A187" s="55" t="s">
        <v>104</v>
      </c>
      <c r="B187" s="128">
        <v>3</v>
      </c>
      <c r="C187" s="55" t="s">
        <v>123</v>
      </c>
      <c r="D187" s="57" t="s">
        <v>34</v>
      </c>
      <c r="E187" s="55" t="s">
        <v>32</v>
      </c>
      <c r="F187" s="55" t="s">
        <v>120</v>
      </c>
      <c r="G187" s="47">
        <f t="shared" si="70"/>
        <v>518.742</v>
      </c>
      <c r="H187" s="47">
        <f t="shared" si="71"/>
        <v>576.235905</v>
      </c>
      <c r="I187" s="47">
        <f t="shared" si="72"/>
        <v>605.199</v>
      </c>
      <c r="J187" s="47">
        <f t="shared" si="73"/>
        <v>154.013539166667</v>
      </c>
      <c r="K187" s="47">
        <f t="shared" si="74"/>
        <v>132.219170416667</v>
      </c>
      <c r="L187" s="47">
        <f t="shared" si="75"/>
        <v>205.654335286458</v>
      </c>
      <c r="M187" s="47">
        <f t="shared" si="76"/>
        <v>198.374535807292</v>
      </c>
      <c r="N187" s="47">
        <f t="shared" si="77"/>
        <v>419.226390625</v>
      </c>
      <c r="O187" s="47">
        <f t="shared" si="78"/>
        <v>125.032432291667</v>
      </c>
      <c r="P187" s="47">
        <f t="shared" si="79"/>
        <v>118.175911875</v>
      </c>
      <c r="Q187" s="56">
        <v>43.2285</v>
      </c>
      <c r="R187" s="66"/>
      <c r="S187" s="6"/>
    </row>
    <row r="188" s="38" customFormat="1" ht="18" customHeight="1" spans="1:19">
      <c r="A188" s="55" t="s">
        <v>104</v>
      </c>
      <c r="B188" s="128">
        <v>3.1</v>
      </c>
      <c r="C188" s="55" t="s">
        <v>123</v>
      </c>
      <c r="D188" s="55" t="s">
        <v>31</v>
      </c>
      <c r="E188" s="55" t="s">
        <v>32</v>
      </c>
      <c r="F188" s="55" t="s">
        <v>120</v>
      </c>
      <c r="G188" s="47">
        <f t="shared" si="70"/>
        <v>513.912</v>
      </c>
      <c r="H188" s="47">
        <f t="shared" si="71"/>
        <v>570.87058</v>
      </c>
      <c r="I188" s="47">
        <f t="shared" si="72"/>
        <v>599.564</v>
      </c>
      <c r="J188" s="47">
        <f t="shared" si="73"/>
        <v>152.579521111111</v>
      </c>
      <c r="K188" s="47">
        <f t="shared" si="74"/>
        <v>130.988079444444</v>
      </c>
      <c r="L188" s="47">
        <f t="shared" si="75"/>
        <v>203.739490451389</v>
      </c>
      <c r="M188" s="47">
        <f t="shared" si="76"/>
        <v>196.527473090278</v>
      </c>
      <c r="N188" s="47">
        <f t="shared" si="77"/>
        <v>415.322979166667</v>
      </c>
      <c r="O188" s="47">
        <f t="shared" si="78"/>
        <v>123.868256944444</v>
      </c>
      <c r="P188" s="47">
        <f t="shared" si="79"/>
        <v>117.0755775</v>
      </c>
      <c r="Q188" s="56">
        <v>42.826</v>
      </c>
      <c r="R188" s="66"/>
      <c r="S188" s="6"/>
    </row>
    <row r="189" s="38" customFormat="1" ht="18" customHeight="1" spans="1:19">
      <c r="A189" s="55" t="s">
        <v>104</v>
      </c>
      <c r="B189" s="128">
        <v>3.1</v>
      </c>
      <c r="C189" s="55" t="s">
        <v>123</v>
      </c>
      <c r="D189" s="57" t="s">
        <v>34</v>
      </c>
      <c r="E189" s="55" t="s">
        <v>32</v>
      </c>
      <c r="F189" s="55" t="s">
        <v>120</v>
      </c>
      <c r="G189" s="47">
        <f t="shared" si="70"/>
        <v>549.378</v>
      </c>
      <c r="H189" s="47">
        <f t="shared" si="71"/>
        <v>610.267395</v>
      </c>
      <c r="I189" s="47">
        <f t="shared" si="72"/>
        <v>640.941</v>
      </c>
      <c r="J189" s="47">
        <f t="shared" si="73"/>
        <v>163.109310833333</v>
      </c>
      <c r="K189" s="47">
        <f t="shared" si="74"/>
        <v>140.027804583333</v>
      </c>
      <c r="L189" s="47">
        <f t="shared" si="75"/>
        <v>217.799922526042</v>
      </c>
      <c r="M189" s="47">
        <f t="shared" si="76"/>
        <v>210.090190755208</v>
      </c>
      <c r="N189" s="47">
        <f t="shared" si="77"/>
        <v>443.985171875</v>
      </c>
      <c r="O189" s="47">
        <f t="shared" si="78"/>
        <v>132.416630208333</v>
      </c>
      <c r="P189" s="47">
        <f t="shared" si="79"/>
        <v>125.155175625</v>
      </c>
      <c r="Q189" s="56">
        <v>45.7815</v>
      </c>
      <c r="R189" s="66"/>
      <c r="S189" s="6"/>
    </row>
    <row r="190" s="38" customFormat="1" ht="18" customHeight="1" spans="1:19">
      <c r="A190" s="55" t="s">
        <v>104</v>
      </c>
      <c r="B190" s="128">
        <v>3.2</v>
      </c>
      <c r="C190" s="55" t="s">
        <v>123</v>
      </c>
      <c r="D190" s="55" t="s">
        <v>31</v>
      </c>
      <c r="E190" s="55" t="s">
        <v>32</v>
      </c>
      <c r="F190" s="55" t="s">
        <v>120</v>
      </c>
      <c r="G190" s="47">
        <f t="shared" si="70"/>
        <v>524.262</v>
      </c>
      <c r="H190" s="47">
        <f t="shared" si="71"/>
        <v>582.367705</v>
      </c>
      <c r="I190" s="47">
        <f t="shared" si="72"/>
        <v>611.639</v>
      </c>
      <c r="J190" s="47">
        <f t="shared" si="73"/>
        <v>155.652416944444</v>
      </c>
      <c r="K190" s="47">
        <f t="shared" si="74"/>
        <v>133.626131527778</v>
      </c>
      <c r="L190" s="47">
        <f t="shared" si="75"/>
        <v>207.842729383681</v>
      </c>
      <c r="M190" s="47">
        <f t="shared" si="76"/>
        <v>200.485464626736</v>
      </c>
      <c r="N190" s="47">
        <f t="shared" si="77"/>
        <v>423.687432291667</v>
      </c>
      <c r="O190" s="47">
        <f t="shared" si="78"/>
        <v>126.362918402778</v>
      </c>
      <c r="P190" s="47">
        <f t="shared" si="79"/>
        <v>119.433436875</v>
      </c>
      <c r="Q190" s="56">
        <v>43.6885</v>
      </c>
      <c r="R190" s="66"/>
      <c r="S190" s="6"/>
    </row>
    <row r="191" s="38" customFormat="1" ht="18" customHeight="1" spans="1:19">
      <c r="A191" s="55" t="s">
        <v>104</v>
      </c>
      <c r="B191" s="128">
        <v>3.2</v>
      </c>
      <c r="C191" s="55" t="s">
        <v>123</v>
      </c>
      <c r="D191" s="57" t="s">
        <v>34</v>
      </c>
      <c r="E191" s="55" t="s">
        <v>32</v>
      </c>
      <c r="F191" s="55" t="s">
        <v>120</v>
      </c>
      <c r="G191" s="47">
        <f t="shared" si="70"/>
        <v>565.11</v>
      </c>
      <c r="H191" s="47">
        <f t="shared" si="71"/>
        <v>627.743025</v>
      </c>
      <c r="I191" s="47">
        <f t="shared" si="72"/>
        <v>659.295</v>
      </c>
      <c r="J191" s="47">
        <f t="shared" si="73"/>
        <v>167.7801125</v>
      </c>
      <c r="K191" s="47">
        <f t="shared" si="74"/>
        <v>144.03764375</v>
      </c>
      <c r="L191" s="47">
        <f t="shared" si="75"/>
        <v>224.036845703125</v>
      </c>
      <c r="M191" s="47">
        <f t="shared" si="76"/>
        <v>216.106337890625</v>
      </c>
      <c r="N191" s="47">
        <f t="shared" si="77"/>
        <v>456.699140625</v>
      </c>
      <c r="O191" s="47">
        <f t="shared" si="78"/>
        <v>136.208515625</v>
      </c>
      <c r="P191" s="47">
        <f t="shared" si="79"/>
        <v>128.739121875</v>
      </c>
      <c r="Q191" s="56">
        <v>47.0925</v>
      </c>
      <c r="R191" s="66"/>
      <c r="S191" s="6"/>
    </row>
    <row r="192" s="38" customFormat="1" ht="15.6" spans="1:19">
      <c r="A192" s="4"/>
      <c r="B192" s="4"/>
      <c r="C192" s="4"/>
      <c r="D192" s="4"/>
      <c r="E192" s="4"/>
      <c r="F192" s="4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2"/>
    </row>
    <row r="193" s="1" customFormat="1" ht="17.4" spans="1:18">
      <c r="A193" s="38" t="s">
        <v>75</v>
      </c>
      <c r="B193" s="38"/>
      <c r="C193" s="38"/>
      <c r="D193" s="38"/>
      <c r="E193" s="39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</row>
    <row r="194" s="1" customFormat="1" ht="17.4" spans="1:18">
      <c r="A194" s="38" t="s">
        <v>76</v>
      </c>
      <c r="B194" s="38"/>
      <c r="C194" s="38"/>
      <c r="D194" s="38"/>
      <c r="E194" s="41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</row>
    <row r="195" s="1" customFormat="1" ht="17.4" spans="1:18">
      <c r="A195" s="38" t="s">
        <v>77</v>
      </c>
      <c r="B195" s="38"/>
      <c r="C195" s="38"/>
      <c r="D195" s="38"/>
      <c r="E195" s="41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</row>
    <row r="196" s="123" customFormat="1" ht="41" customHeight="1" spans="1:18">
      <c r="A196" s="119" t="s">
        <v>78</v>
      </c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</row>
    <row r="197" s="127" customFormat="1" ht="35" customHeight="1" spans="1:18">
      <c r="A197" s="122" t="s">
        <v>124</v>
      </c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</row>
    <row r="198" ht="25" customHeight="1" spans="1:18">
      <c r="A198" s="1" t="s">
        <v>80</v>
      </c>
      <c r="B198" s="1"/>
      <c r="C198" s="1"/>
      <c r="D198" s="1"/>
      <c r="E198" s="41"/>
      <c r="F198" s="41"/>
      <c r="G198" s="41"/>
      <c r="H198" s="41"/>
      <c r="I198" s="41"/>
    </row>
  </sheetData>
  <mergeCells count="9">
    <mergeCell ref="A1:R1"/>
    <mergeCell ref="A2:R2"/>
    <mergeCell ref="A3:R3"/>
    <mergeCell ref="A5:B5"/>
    <mergeCell ref="A7:B7"/>
    <mergeCell ref="A8:B8"/>
    <mergeCell ref="D11:E11"/>
    <mergeCell ref="A196:R196"/>
    <mergeCell ref="A197:R197"/>
  </mergeCells>
  <pageMargins left="0.75" right="0.75" top="1" bottom="1" header="0.5" footer="0.5"/>
  <pageSetup paperSize="9" scale="49" orientation="landscape"/>
  <headerFooter/>
  <rowBreaks count="1" manualBreakCount="1">
    <brk id="151" max="17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EP30"/>
  <sheetViews>
    <sheetView view="pageBreakPreview" zoomScaleNormal="100" workbookViewId="0">
      <selection activeCell="D12" sqref="D12"/>
    </sheetView>
  </sheetViews>
  <sheetFormatPr defaultColWidth="9" defaultRowHeight="12.75" customHeight="1"/>
  <cols>
    <col min="1" max="1" width="8.66666666666667" style="6" customWidth="1"/>
    <col min="2" max="2" width="9" style="6" customWidth="1"/>
    <col min="3" max="3" width="10.2222222222222" style="6" customWidth="1"/>
    <col min="4" max="4" width="10" style="6" customWidth="1"/>
    <col min="5" max="5" width="15.5555555555556" style="6" customWidth="1"/>
    <col min="6" max="6" width="14.8796296296296" style="28" customWidth="1"/>
    <col min="7" max="7" width="11.6666666666667" style="51" customWidth="1"/>
    <col min="8" max="8" width="10.2222222222222" style="6"/>
    <col min="9" max="16384" width="9" style="6"/>
  </cols>
  <sheetData>
    <row r="1" s="1" customFormat="1" ht="93" customHeight="1" spans="1:146">
      <c r="A1" s="7"/>
      <c r="B1" s="7"/>
      <c r="C1" s="7"/>
      <c r="D1" s="7"/>
      <c r="E1" s="7"/>
      <c r="F1" s="7"/>
      <c r="G1" s="7"/>
    </row>
    <row r="2" s="2" customFormat="1" customHeight="1" spans="1:146">
      <c r="A2" s="4" t="s">
        <v>0</v>
      </c>
      <c r="B2" s="4"/>
      <c r="C2" s="4"/>
      <c r="D2" s="4"/>
      <c r="E2" s="4"/>
      <c r="F2" s="4"/>
      <c r="G2" s="4"/>
    </row>
    <row r="3" s="1" customFormat="1" customHeight="1" spans="1:146">
      <c r="A3" s="4" t="s">
        <v>1</v>
      </c>
      <c r="B3" s="4"/>
      <c r="C3" s="4"/>
      <c r="D3" s="4"/>
      <c r="E3" s="4"/>
      <c r="F3" s="4"/>
      <c r="G3" s="4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</row>
    <row r="4" s="1" customFormat="1" customHeight="1" spans="1:146"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</row>
    <row r="5" s="1" customFormat="1" ht="15" customHeight="1" spans="1:146">
      <c r="A5" s="9" t="s">
        <v>2</v>
      </c>
      <c r="B5" s="9"/>
      <c r="C5" s="58"/>
      <c r="D5" s="2"/>
      <c r="F5" s="10" t="s">
        <v>3</v>
      </c>
      <c r="G5" s="10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</row>
    <row r="6" s="1" customFormat="1" ht="15" customHeight="1" spans="1:146">
      <c r="A6" s="10" t="s">
        <v>4</v>
      </c>
      <c r="B6" s="10"/>
      <c r="C6" s="59"/>
      <c r="D6" s="2"/>
      <c r="F6" s="10" t="s">
        <v>5</v>
      </c>
      <c r="G6" s="10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</row>
    <row r="7" s="1" customFormat="1" ht="15" customHeight="1" spans="1:146">
      <c r="A7" s="9" t="s">
        <v>6</v>
      </c>
      <c r="B7" s="9"/>
      <c r="C7" s="58"/>
      <c r="D7" s="2"/>
      <c r="F7" s="10" t="s">
        <v>7</v>
      </c>
      <c r="G7" s="10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</row>
    <row r="8" s="3" customFormat="1" ht="15" customHeight="1" spans="1:146">
      <c r="A8" s="9" t="s">
        <v>8</v>
      </c>
      <c r="B8" s="9"/>
      <c r="C8" s="60"/>
      <c r="D8" s="61"/>
      <c r="F8" s="10" t="s">
        <v>9</v>
      </c>
      <c r="G8" s="10"/>
    </row>
    <row r="9" s="4" customFormat="1" ht="14.25" customHeight="1" spans="1:146">
      <c r="A9" s="11" t="s">
        <v>125</v>
      </c>
      <c r="B9" s="12"/>
      <c r="C9" s="27"/>
      <c r="E9" s="13"/>
    </row>
    <row r="11" s="4" customFormat="1" ht="28.5" customHeight="1" spans="1:146">
      <c r="A11" s="14" t="s">
        <v>11</v>
      </c>
      <c r="B11" s="29" t="s">
        <v>84</v>
      </c>
      <c r="C11" s="64" t="s">
        <v>85</v>
      </c>
      <c r="D11" s="62" t="s">
        <v>86</v>
      </c>
      <c r="E11" s="124" t="s">
        <v>87</v>
      </c>
      <c r="F11" s="14" t="s">
        <v>88</v>
      </c>
      <c r="G11" s="14" t="s">
        <v>28</v>
      </c>
    </row>
    <row r="12" s="6" customFormat="1" ht="22.5" customHeight="1" spans="1:146">
      <c r="A12" s="14" t="s">
        <v>104</v>
      </c>
      <c r="B12" s="14">
        <v>106</v>
      </c>
      <c r="C12" s="67" t="s">
        <v>126</v>
      </c>
      <c r="D12" s="14">
        <v>300</v>
      </c>
      <c r="E12" s="125">
        <v>29.7</v>
      </c>
      <c r="F12" s="94">
        <f>E12*D12</f>
        <v>8910</v>
      </c>
      <c r="G12" s="104"/>
      <c r="H12" s="120"/>
    </row>
    <row r="13" s="6" customFormat="1" ht="22.5" customHeight="1" spans="1:146">
      <c r="A13" s="14" t="s">
        <v>104</v>
      </c>
      <c r="B13" s="14">
        <v>106</v>
      </c>
      <c r="C13" s="67" t="s">
        <v>127</v>
      </c>
      <c r="D13" s="14">
        <v>300</v>
      </c>
      <c r="E13" s="125">
        <v>32.19</v>
      </c>
      <c r="F13" s="94">
        <f t="shared" ref="F13:F24" si="0">E13*D13</f>
        <v>9657</v>
      </c>
      <c r="G13" s="104"/>
      <c r="H13" s="120"/>
    </row>
    <row r="14" s="6" customFormat="1" ht="22.5" customHeight="1" spans="1:146">
      <c r="A14" s="14" t="s">
        <v>104</v>
      </c>
      <c r="B14" s="14">
        <v>1080</v>
      </c>
      <c r="C14" s="67" t="s">
        <v>128</v>
      </c>
      <c r="D14" s="14">
        <v>300</v>
      </c>
      <c r="E14" s="125">
        <v>27.81</v>
      </c>
      <c r="F14" s="94">
        <f t="shared" si="0"/>
        <v>8343</v>
      </c>
      <c r="G14" s="104"/>
      <c r="H14" s="120"/>
    </row>
    <row r="15" s="6" customFormat="1" ht="22.5" customHeight="1" spans="1:146">
      <c r="A15" s="14" t="s">
        <v>104</v>
      </c>
      <c r="B15" s="14">
        <v>1080</v>
      </c>
      <c r="C15" s="67" t="s">
        <v>129</v>
      </c>
      <c r="D15" s="14">
        <v>300</v>
      </c>
      <c r="E15" s="125">
        <v>28.31</v>
      </c>
      <c r="F15" s="94">
        <f t="shared" si="0"/>
        <v>8493</v>
      </c>
      <c r="G15" s="104"/>
      <c r="H15" s="120"/>
    </row>
    <row r="16" s="6" customFormat="1" ht="22.5" customHeight="1" spans="1:146">
      <c r="A16" s="14" t="s">
        <v>104</v>
      </c>
      <c r="B16" s="14">
        <v>1080</v>
      </c>
      <c r="C16" s="67">
        <v>0.73</v>
      </c>
      <c r="D16" s="14">
        <v>300</v>
      </c>
      <c r="E16" s="125">
        <v>28.32</v>
      </c>
      <c r="F16" s="94">
        <f t="shared" si="0"/>
        <v>8496</v>
      </c>
      <c r="G16" s="104"/>
      <c r="H16" s="120"/>
    </row>
    <row r="17" s="6" customFormat="1" ht="22.5" customHeight="1" spans="1:10">
      <c r="A17" s="14" t="s">
        <v>104</v>
      </c>
      <c r="B17" s="14">
        <v>2116</v>
      </c>
      <c r="C17" s="67" t="s">
        <v>130</v>
      </c>
      <c r="D17" s="14">
        <v>200</v>
      </c>
      <c r="E17" s="125">
        <v>28.05</v>
      </c>
      <c r="F17" s="94">
        <f t="shared" si="0"/>
        <v>5610</v>
      </c>
      <c r="G17" s="104"/>
      <c r="H17" s="120"/>
    </row>
    <row r="18" s="6" customFormat="1" ht="22.5" customHeight="1" spans="1:10">
      <c r="A18" s="14" t="s">
        <v>104</v>
      </c>
      <c r="B18" s="14">
        <v>2116</v>
      </c>
      <c r="C18" s="67" t="s">
        <v>131</v>
      </c>
      <c r="D18" s="14">
        <v>200</v>
      </c>
      <c r="E18" s="125">
        <v>28.38</v>
      </c>
      <c r="F18" s="94">
        <f t="shared" si="0"/>
        <v>5676</v>
      </c>
      <c r="G18" s="104"/>
      <c r="H18" s="120"/>
    </row>
    <row r="19" s="6" customFormat="1" ht="22.5" customHeight="1" spans="1:10">
      <c r="A19" s="14" t="s">
        <v>104</v>
      </c>
      <c r="B19" s="14">
        <v>2116</v>
      </c>
      <c r="C19" s="67">
        <v>0.62</v>
      </c>
      <c r="D19" s="14">
        <v>200</v>
      </c>
      <c r="E19" s="125">
        <v>30.22</v>
      </c>
      <c r="F19" s="94">
        <f t="shared" si="0"/>
        <v>6044</v>
      </c>
      <c r="G19" s="104"/>
      <c r="H19" s="120"/>
    </row>
    <row r="20" s="6" customFormat="1" ht="22.5" customHeight="1" spans="1:10">
      <c r="A20" s="14" t="s">
        <v>104</v>
      </c>
      <c r="B20" s="14">
        <v>3313</v>
      </c>
      <c r="C20" s="67" t="s">
        <v>132</v>
      </c>
      <c r="D20" s="14">
        <v>300</v>
      </c>
      <c r="E20" s="125">
        <v>30.37</v>
      </c>
      <c r="F20" s="94">
        <f t="shared" si="0"/>
        <v>9111</v>
      </c>
      <c r="G20" s="104"/>
      <c r="H20" s="120"/>
    </row>
    <row r="21" s="6" customFormat="1" ht="22.5" customHeight="1" spans="1:10">
      <c r="A21" s="14" t="s">
        <v>104</v>
      </c>
      <c r="B21" s="14">
        <v>3313</v>
      </c>
      <c r="C21" s="67" t="s">
        <v>133</v>
      </c>
      <c r="D21" s="14">
        <v>300</v>
      </c>
      <c r="E21" s="125">
        <v>30.37</v>
      </c>
      <c r="F21" s="94">
        <f t="shared" si="0"/>
        <v>9111</v>
      </c>
      <c r="G21" s="104"/>
      <c r="H21" s="120"/>
    </row>
    <row r="22" s="6" customFormat="1" ht="22.5" customHeight="1" spans="1:10">
      <c r="A22" s="14" t="s">
        <v>104</v>
      </c>
      <c r="B22" s="14">
        <v>3313</v>
      </c>
      <c r="C22" s="67" t="s">
        <v>134</v>
      </c>
      <c r="D22" s="14">
        <v>300</v>
      </c>
      <c r="E22" s="125">
        <v>31.45</v>
      </c>
      <c r="F22" s="94">
        <f t="shared" si="0"/>
        <v>9435</v>
      </c>
      <c r="G22" s="104"/>
      <c r="H22" s="120"/>
    </row>
    <row r="23" s="6" customFormat="1" ht="22.5" customHeight="1" spans="1:10">
      <c r="A23" s="14" t="s">
        <v>104</v>
      </c>
      <c r="B23" s="14">
        <v>7628</v>
      </c>
      <c r="C23" s="67" t="s">
        <v>135</v>
      </c>
      <c r="D23" s="14">
        <v>150</v>
      </c>
      <c r="E23" s="125">
        <v>30.89</v>
      </c>
      <c r="F23" s="94">
        <f t="shared" si="0"/>
        <v>4633.5</v>
      </c>
      <c r="G23" s="104"/>
      <c r="H23" s="120"/>
    </row>
    <row r="24" s="6" customFormat="1" ht="22.5" customHeight="1" spans="1:10">
      <c r="A24" s="14" t="s">
        <v>104</v>
      </c>
      <c r="B24" s="14">
        <v>7628</v>
      </c>
      <c r="C24" s="67" t="s">
        <v>136</v>
      </c>
      <c r="D24" s="14">
        <v>150</v>
      </c>
      <c r="E24" s="125">
        <v>30.89</v>
      </c>
      <c r="F24" s="94">
        <f t="shared" si="0"/>
        <v>4633.5</v>
      </c>
      <c r="G24" s="104"/>
      <c r="H24" s="120"/>
    </row>
    <row r="25" s="1" customFormat="1" ht="17.4" spans="1:10">
      <c r="A25" s="38" t="s">
        <v>75</v>
      </c>
      <c r="B25" s="38"/>
      <c r="C25" s="38"/>
      <c r="D25" s="38"/>
      <c r="E25" s="39"/>
      <c r="F25" s="40"/>
      <c r="G25" s="40"/>
      <c r="H25" s="40"/>
      <c r="I25" s="40"/>
      <c r="J25" s="40"/>
    </row>
    <row r="26" s="1" customFormat="1" ht="17.4" spans="1:10">
      <c r="A26" s="38" t="s">
        <v>76</v>
      </c>
      <c r="B26" s="38"/>
      <c r="C26" s="38"/>
      <c r="D26" s="38"/>
      <c r="E26" s="41"/>
      <c r="F26" s="26"/>
      <c r="G26" s="26"/>
      <c r="H26" s="26"/>
      <c r="I26" s="26"/>
      <c r="J26" s="26"/>
    </row>
    <row r="27" s="1" customFormat="1" ht="17.4" spans="1:10">
      <c r="A27" s="38" t="s">
        <v>77</v>
      </c>
      <c r="B27" s="38"/>
      <c r="C27" s="38"/>
      <c r="D27" s="38"/>
      <c r="E27" s="41"/>
      <c r="F27" s="26"/>
      <c r="G27" s="26"/>
      <c r="H27" s="26"/>
      <c r="I27" s="26"/>
      <c r="J27" s="26"/>
    </row>
    <row r="28" s="123" customFormat="1" ht="64" customHeight="1" spans="1:10">
      <c r="A28" s="119" t="s">
        <v>78</v>
      </c>
      <c r="B28" s="119"/>
      <c r="C28" s="119"/>
      <c r="D28" s="119"/>
      <c r="E28" s="119"/>
      <c r="F28" s="119"/>
      <c r="G28" s="119"/>
      <c r="H28" s="126"/>
      <c r="I28" s="126"/>
      <c r="J28" s="126"/>
    </row>
    <row r="30" ht="19" customHeight="1" spans="1:10">
      <c r="A30" s="28" t="s">
        <v>80</v>
      </c>
      <c r="B30" s="28"/>
      <c r="C30" s="28"/>
      <c r="D30" s="28"/>
    </row>
  </sheetData>
  <mergeCells count="8">
    <mergeCell ref="A1:G1"/>
    <mergeCell ref="A2:G2"/>
    <mergeCell ref="A3:G3"/>
    <mergeCell ref="A5:B5"/>
    <mergeCell ref="A7:B7"/>
    <mergeCell ref="A8:B8"/>
    <mergeCell ref="A28:G28"/>
    <mergeCell ref="A30:D30"/>
  </mergeCells>
  <pageMargins left="0.75" right="0.75" top="1" bottom="1" header="0.5" footer="0.5"/>
  <pageSetup paperSize="9" scale="8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1"/>
  <sheetViews>
    <sheetView view="pageBreakPreview" zoomScale="85" zoomScalePageLayoutView="55" zoomScaleNormal="85" workbookViewId="0">
      <pane ySplit="11" topLeftCell="A36" activePane="bottomLeft" state="frozen"/>
      <selection/>
      <selection pane="bottomLeft" activeCell="A50" sqref="$A50:$XFD50"/>
    </sheetView>
  </sheetViews>
  <sheetFormatPr defaultColWidth="9" defaultRowHeight="12.75" customHeight="1"/>
  <cols>
    <col min="1" max="1" width="10.7777777777778" style="6" customWidth="1"/>
    <col min="2" max="2" width="9" style="6" customWidth="1"/>
    <col min="3" max="3" width="9" style="6"/>
    <col min="4" max="5" width="9.66666666666667" style="6" customWidth="1"/>
    <col min="6" max="6" width="9.22222222222222" style="6" customWidth="1"/>
    <col min="7" max="9" width="8.87962962962963" style="6" customWidth="1"/>
    <col min="10" max="10" width="10.1111111111111" style="6" customWidth="1"/>
    <col min="11" max="11" width="12.2777777777778" style="6" customWidth="1"/>
    <col min="12" max="12" width="12.1574074074074" style="6" customWidth="1"/>
    <col min="13" max="13" width="9.66666666666667" style="6" customWidth="1"/>
    <col min="14" max="14" width="8.55555555555556" style="6" customWidth="1"/>
    <col min="15" max="15" width="10.2222222222222" style="6" customWidth="1"/>
    <col min="16" max="16" width="11.5555555555556" style="6" customWidth="1"/>
    <col min="17" max="17" width="8.88888888888889" style="28" customWidth="1"/>
    <col min="18" max="16384" width="9" style="6"/>
  </cols>
  <sheetData>
    <row r="1" s="1" customFormat="1" ht="99" customHeight="1" spans="1:17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="2" customFormat="1" customHeight="1" spans="1:17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customHeight="1" spans="1:17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="1" customFormat="1" customHeight="1" spans="1: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1" ht="15" customHeight="1" spans="1:17">
      <c r="A5" s="9" t="s">
        <v>2</v>
      </c>
      <c r="B5" s="9"/>
      <c r="C5" s="58"/>
      <c r="D5" s="2"/>
      <c r="J5" s="10"/>
      <c r="K5" s="10"/>
      <c r="L5" s="10"/>
      <c r="M5" s="10"/>
      <c r="N5" s="10"/>
      <c r="O5" s="10" t="s">
        <v>3</v>
      </c>
      <c r="P5" s="10"/>
      <c r="Q5" s="10"/>
    </row>
    <row r="6" s="1" customFormat="1" ht="15" customHeight="1" spans="1:17">
      <c r="A6" s="10" t="s">
        <v>4</v>
      </c>
      <c r="B6" s="10"/>
      <c r="C6" s="59"/>
      <c r="D6" s="2"/>
      <c r="J6" s="10"/>
      <c r="K6" s="10"/>
      <c r="L6" s="10"/>
      <c r="M6" s="10"/>
      <c r="N6" s="10"/>
      <c r="O6" s="10" t="s">
        <v>5</v>
      </c>
      <c r="P6" s="10"/>
      <c r="Q6" s="10"/>
    </row>
    <row r="7" s="1" customFormat="1" ht="15" customHeight="1" spans="1:17">
      <c r="A7" s="9" t="s">
        <v>6</v>
      </c>
      <c r="B7" s="9"/>
      <c r="C7" s="58"/>
      <c r="D7" s="2"/>
      <c r="J7" s="10"/>
      <c r="K7" s="10"/>
      <c r="L7" s="10"/>
      <c r="M7" s="10"/>
      <c r="N7" s="10"/>
      <c r="O7" s="10" t="s">
        <v>7</v>
      </c>
      <c r="P7" s="10"/>
      <c r="Q7" s="10"/>
    </row>
    <row r="8" s="3" customFormat="1" ht="15" customHeight="1" spans="1:17">
      <c r="A8" s="9" t="s">
        <v>8</v>
      </c>
      <c r="B8" s="9"/>
      <c r="C8" s="60"/>
      <c r="D8" s="61"/>
      <c r="J8" s="10"/>
      <c r="K8" s="10"/>
      <c r="L8" s="10"/>
      <c r="M8" s="10"/>
      <c r="N8" s="10"/>
      <c r="O8" s="10" t="s">
        <v>9</v>
      </c>
      <c r="P8" s="10"/>
      <c r="Q8" s="10"/>
    </row>
    <row r="9" s="4" customFormat="1" ht="14.25" customHeight="1" spans="1:17">
      <c r="A9" s="11" t="s">
        <v>137</v>
      </c>
      <c r="B9" s="12"/>
      <c r="C9" s="27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1" s="4" customFormat="1" ht="33" customHeight="1" spans="1:17">
      <c r="A11" s="14" t="s">
        <v>11</v>
      </c>
      <c r="B11" s="14" t="s">
        <v>12</v>
      </c>
      <c r="C11" s="15" t="s">
        <v>13</v>
      </c>
      <c r="D11" s="62" t="s">
        <v>15</v>
      </c>
      <c r="E11" s="62"/>
      <c r="F11" s="14" t="s">
        <v>16</v>
      </c>
      <c r="G11" s="14" t="s">
        <v>17</v>
      </c>
      <c r="H11" s="14" t="s">
        <v>18</v>
      </c>
      <c r="I11" s="14" t="s">
        <v>19</v>
      </c>
      <c r="J11" s="14" t="s">
        <v>20</v>
      </c>
      <c r="K11" s="14" t="s">
        <v>22</v>
      </c>
      <c r="L11" s="14" t="s">
        <v>23</v>
      </c>
      <c r="M11" s="14" t="s">
        <v>24</v>
      </c>
      <c r="N11" s="14" t="s">
        <v>25</v>
      </c>
      <c r="O11" s="14" t="s">
        <v>26</v>
      </c>
      <c r="P11" s="19" t="s">
        <v>27</v>
      </c>
      <c r="Q11" s="14" t="s">
        <v>28</v>
      </c>
    </row>
    <row r="12" s="5" customFormat="1" ht="18" customHeight="1" spans="1:17">
      <c r="A12" s="55" t="s">
        <v>138</v>
      </c>
      <c r="B12" s="55">
        <v>0.076</v>
      </c>
      <c r="C12" s="55" t="s">
        <v>105</v>
      </c>
      <c r="D12" s="57" t="s">
        <v>107</v>
      </c>
      <c r="E12" s="55" t="s">
        <v>106</v>
      </c>
      <c r="F12" s="47" t="s">
        <v>139</v>
      </c>
      <c r="G12" s="47">
        <f t="shared" ref="G12:G18" si="0">P12*12</f>
        <v>154.3968</v>
      </c>
      <c r="H12" s="47">
        <f t="shared" ref="H12:H18" si="1">P12*13.33</f>
        <v>171.509112</v>
      </c>
      <c r="I12" s="47">
        <f t="shared" ref="I12:I18" si="2">P12*14</f>
        <v>180.1296</v>
      </c>
      <c r="J12" s="47">
        <f t="shared" ref="J12:J18" si="3">21.2*24.2/144*P12</f>
        <v>45.840124</v>
      </c>
      <c r="K12" s="47">
        <f t="shared" ref="K12:K18" si="4">28.25*24.25/144*P12</f>
        <v>61.210334375</v>
      </c>
      <c r="L12" s="47">
        <f t="shared" ref="L12:L18" si="5">27.25*24.25/144*P12</f>
        <v>59.043596875</v>
      </c>
      <c r="M12" s="47">
        <f t="shared" ref="M12:M18" si="6">28.5*49/144*P12</f>
        <v>124.777275</v>
      </c>
      <c r="N12" s="47">
        <f t="shared" ref="N12:N18" si="7">17*24.5/144*P12</f>
        <v>37.214275</v>
      </c>
      <c r="O12" s="47">
        <f t="shared" ref="O12:O18" si="8">24.3*16.2/144*P12</f>
        <v>35.173521</v>
      </c>
      <c r="P12" s="56">
        <v>12.8664</v>
      </c>
      <c r="Q12" s="56"/>
    </row>
    <row r="13" s="5" customFormat="1" ht="18" customHeight="1" spans="1:17">
      <c r="A13" s="55" t="s">
        <v>138</v>
      </c>
      <c r="B13" s="55">
        <v>0.076</v>
      </c>
      <c r="C13" s="55" t="s">
        <v>105</v>
      </c>
      <c r="D13" s="55" t="s">
        <v>31</v>
      </c>
      <c r="E13" s="55" t="s">
        <v>106</v>
      </c>
      <c r="F13" s="47" t="s">
        <v>140</v>
      </c>
      <c r="G13" s="47">
        <f t="shared" si="0"/>
        <v>124.5024</v>
      </c>
      <c r="H13" s="47">
        <f t="shared" si="1"/>
        <v>138.301416</v>
      </c>
      <c r="I13" s="47">
        <f t="shared" si="2"/>
        <v>145.2528</v>
      </c>
      <c r="J13" s="47">
        <f t="shared" si="3"/>
        <v>36.964532</v>
      </c>
      <c r="K13" s="47">
        <f t="shared" si="4"/>
        <v>49.358753125</v>
      </c>
      <c r="L13" s="47">
        <f t="shared" si="5"/>
        <v>47.611540625</v>
      </c>
      <c r="M13" s="47">
        <f t="shared" si="6"/>
        <v>100.617825</v>
      </c>
      <c r="N13" s="47">
        <f t="shared" si="7"/>
        <v>30.008825</v>
      </c>
      <c r="O13" s="47">
        <f t="shared" si="8"/>
        <v>28.363203</v>
      </c>
      <c r="P13" s="56">
        <v>10.3752</v>
      </c>
      <c r="Q13" s="56"/>
    </row>
    <row r="14" s="5" customFormat="1" ht="18" customHeight="1" spans="1:17">
      <c r="A14" s="55" t="s">
        <v>138</v>
      </c>
      <c r="B14" s="55">
        <v>0.076</v>
      </c>
      <c r="C14" s="55" t="s">
        <v>105</v>
      </c>
      <c r="D14" s="57" t="s">
        <v>34</v>
      </c>
      <c r="E14" s="55" t="s">
        <v>106</v>
      </c>
      <c r="F14" s="47" t="s">
        <v>139</v>
      </c>
      <c r="G14" s="47">
        <f t="shared" si="0"/>
        <v>189.8694</v>
      </c>
      <c r="H14" s="47">
        <f t="shared" si="1"/>
        <v>210.9132585</v>
      </c>
      <c r="I14" s="47">
        <f t="shared" si="2"/>
        <v>221.5143</v>
      </c>
      <c r="J14" s="47">
        <f t="shared" si="3"/>
        <v>56.37187325</v>
      </c>
      <c r="K14" s="47">
        <f t="shared" si="4"/>
        <v>75.2733830078125</v>
      </c>
      <c r="L14" s="47">
        <f t="shared" si="5"/>
        <v>72.6088384765625</v>
      </c>
      <c r="M14" s="47">
        <f t="shared" si="6"/>
        <v>153.4448015625</v>
      </c>
      <c r="N14" s="47">
        <f t="shared" si="7"/>
        <v>45.7642390625</v>
      </c>
      <c r="O14" s="47">
        <f t="shared" si="8"/>
        <v>43.2546226875</v>
      </c>
      <c r="P14" s="56">
        <v>15.82245</v>
      </c>
      <c r="Q14" s="56"/>
    </row>
    <row r="15" s="5" customFormat="1" ht="18" customHeight="1" spans="1:17">
      <c r="A15" s="55" t="s">
        <v>138</v>
      </c>
      <c r="B15" s="55">
        <v>0.076</v>
      </c>
      <c r="C15" s="55" t="s">
        <v>105</v>
      </c>
      <c r="D15" s="57" t="s">
        <v>41</v>
      </c>
      <c r="E15" s="55" t="s">
        <v>106</v>
      </c>
      <c r="F15" s="47" t="s">
        <v>141</v>
      </c>
      <c r="G15" s="47">
        <f t="shared" si="0"/>
        <v>385.8192</v>
      </c>
      <c r="H15" s="47">
        <f t="shared" si="1"/>
        <v>428.580828</v>
      </c>
      <c r="I15" s="47">
        <f t="shared" si="2"/>
        <v>450.1224</v>
      </c>
      <c r="J15" s="47">
        <f t="shared" si="3"/>
        <v>114.549006</v>
      </c>
      <c r="K15" s="47">
        <f t="shared" si="4"/>
        <v>152.9573296875</v>
      </c>
      <c r="L15" s="47">
        <f t="shared" si="5"/>
        <v>147.5429109375</v>
      </c>
      <c r="M15" s="47">
        <f t="shared" si="6"/>
        <v>311.8035375</v>
      </c>
      <c r="N15" s="47">
        <f t="shared" si="7"/>
        <v>92.9940375</v>
      </c>
      <c r="O15" s="47">
        <f t="shared" si="8"/>
        <v>87.8944365</v>
      </c>
      <c r="P15" s="56">
        <v>32.1516</v>
      </c>
      <c r="Q15" s="56"/>
    </row>
    <row r="16" s="5" customFormat="1" ht="18" customHeight="1" spans="1:17">
      <c r="A16" s="55" t="s">
        <v>138</v>
      </c>
      <c r="B16" s="55">
        <v>0.089</v>
      </c>
      <c r="C16" s="55" t="s">
        <v>105</v>
      </c>
      <c r="D16" s="57" t="s">
        <v>31</v>
      </c>
      <c r="E16" s="55" t="s">
        <v>106</v>
      </c>
      <c r="F16" s="47" t="s">
        <v>139</v>
      </c>
      <c r="G16" s="47">
        <f t="shared" si="0"/>
        <v>126.1044</v>
      </c>
      <c r="H16" s="47">
        <f t="shared" si="1"/>
        <v>140.080971</v>
      </c>
      <c r="I16" s="47">
        <f t="shared" si="2"/>
        <v>147.1218</v>
      </c>
      <c r="J16" s="47">
        <f t="shared" si="3"/>
        <v>37.4401628333333</v>
      </c>
      <c r="K16" s="47">
        <f t="shared" si="4"/>
        <v>49.9938631510417</v>
      </c>
      <c r="L16" s="47">
        <f t="shared" si="5"/>
        <v>48.2241688802083</v>
      </c>
      <c r="M16" s="47">
        <f t="shared" si="6"/>
        <v>101.912496875</v>
      </c>
      <c r="N16" s="47">
        <f t="shared" si="7"/>
        <v>30.3949552083333</v>
      </c>
      <c r="O16" s="47">
        <f t="shared" si="8"/>
        <v>28.728158625</v>
      </c>
      <c r="P16" s="56">
        <v>10.5087</v>
      </c>
      <c r="Q16" s="56"/>
    </row>
    <row r="17" s="5" customFormat="1" ht="18" customHeight="1" spans="1:17">
      <c r="A17" s="55" t="s">
        <v>138</v>
      </c>
      <c r="B17" s="55">
        <v>0.089</v>
      </c>
      <c r="C17" s="55" t="s">
        <v>105</v>
      </c>
      <c r="D17" s="57" t="s">
        <v>31</v>
      </c>
      <c r="E17" s="55" t="s">
        <v>106</v>
      </c>
      <c r="F17" s="47" t="s">
        <v>142</v>
      </c>
      <c r="G17" s="47">
        <f t="shared" si="0"/>
        <v>123.165</v>
      </c>
      <c r="H17" s="47">
        <f t="shared" si="1"/>
        <v>136.8157875</v>
      </c>
      <c r="I17" s="47">
        <f t="shared" si="2"/>
        <v>143.6925</v>
      </c>
      <c r="J17" s="47">
        <f t="shared" si="3"/>
        <v>36.5674604166667</v>
      </c>
      <c r="K17" s="47">
        <f t="shared" si="4"/>
        <v>48.8285432942708</v>
      </c>
      <c r="L17" s="47">
        <f t="shared" si="5"/>
        <v>47.1000992838542</v>
      </c>
      <c r="M17" s="47">
        <f t="shared" si="6"/>
        <v>99.5369921875</v>
      </c>
      <c r="N17" s="47">
        <f t="shared" si="7"/>
        <v>29.6864713541667</v>
      </c>
      <c r="O17" s="47">
        <f t="shared" si="8"/>
        <v>28.0585265625</v>
      </c>
      <c r="P17" s="56">
        <v>10.26375</v>
      </c>
      <c r="Q17" s="56"/>
    </row>
    <row r="18" s="5" customFormat="1" ht="18" customHeight="1" spans="1:17">
      <c r="A18" s="55" t="s">
        <v>138</v>
      </c>
      <c r="B18" s="55">
        <v>0.089</v>
      </c>
      <c r="C18" s="55" t="s">
        <v>105</v>
      </c>
      <c r="D18" s="57" t="s">
        <v>31</v>
      </c>
      <c r="E18" s="55" t="s">
        <v>106</v>
      </c>
      <c r="F18" s="47" t="s">
        <v>143</v>
      </c>
      <c r="G18" s="47">
        <f t="shared" si="0"/>
        <v>125.5248</v>
      </c>
      <c r="H18" s="47">
        <f t="shared" si="1"/>
        <v>139.437132</v>
      </c>
      <c r="I18" s="47">
        <f t="shared" si="2"/>
        <v>146.4456</v>
      </c>
      <c r="J18" s="47">
        <f t="shared" si="3"/>
        <v>37.2680806666667</v>
      </c>
      <c r="K18" s="47">
        <f t="shared" si="4"/>
        <v>49.7640817708333</v>
      </c>
      <c r="L18" s="47">
        <f t="shared" si="5"/>
        <v>48.0025213541667</v>
      </c>
      <c r="M18" s="47">
        <f t="shared" si="6"/>
        <v>101.4440875</v>
      </c>
      <c r="N18" s="47">
        <f t="shared" si="7"/>
        <v>30.2552541666667</v>
      </c>
      <c r="O18" s="47">
        <f t="shared" si="8"/>
        <v>28.5961185</v>
      </c>
      <c r="P18" s="56">
        <v>10.4604</v>
      </c>
      <c r="Q18" s="56"/>
    </row>
    <row r="19" s="5" customFormat="1" ht="18" customHeight="1" spans="1:17">
      <c r="A19" s="55" t="s">
        <v>138</v>
      </c>
      <c r="B19" s="56">
        <v>0.1</v>
      </c>
      <c r="C19" s="55" t="s">
        <v>105</v>
      </c>
      <c r="D19" s="55" t="s">
        <v>31</v>
      </c>
      <c r="E19" s="55" t="s">
        <v>106</v>
      </c>
      <c r="F19" s="47" t="s">
        <v>144</v>
      </c>
      <c r="G19" s="47">
        <f t="shared" ref="G19:G24" si="9">P19*12</f>
        <v>122.2266</v>
      </c>
      <c r="H19" s="47">
        <f t="shared" ref="H19:H24" si="10">P19*13.33</f>
        <v>135.7733815</v>
      </c>
      <c r="I19" s="47">
        <f t="shared" ref="I19:I24" si="11">P19*14</f>
        <v>142.5977</v>
      </c>
      <c r="J19" s="47">
        <f t="shared" ref="J19:J24" si="12">21.2*24.2/144*P19</f>
        <v>36.2888511944444</v>
      </c>
      <c r="K19" s="47">
        <f t="shared" ref="K19:K24" si="13">28.25*24.25/144*P19</f>
        <v>48.4565162977431</v>
      </c>
      <c r="L19" s="47">
        <f t="shared" ref="L19:L24" si="14">27.25*24.25/144*P19</f>
        <v>46.7412413845486</v>
      </c>
      <c r="M19" s="47">
        <f t="shared" ref="M19:M24" si="15">28.5*49/144*P19</f>
        <v>98.7786151041666</v>
      </c>
      <c r="N19" s="47">
        <f t="shared" ref="N19:N24" si="16">17*24.5/144*P19</f>
        <v>29.4602887152778</v>
      </c>
      <c r="O19" s="47">
        <f t="shared" ref="O19:O24" si="17">24.3*16.2/144*P19</f>
        <v>27.8447473125</v>
      </c>
      <c r="P19" s="56">
        <v>10.18555</v>
      </c>
      <c r="Q19" s="56"/>
    </row>
    <row r="20" s="5" customFormat="1" ht="18" customHeight="1" spans="1:17">
      <c r="A20" s="55" t="s">
        <v>138</v>
      </c>
      <c r="B20" s="55">
        <v>0.102</v>
      </c>
      <c r="C20" s="55" t="s">
        <v>105</v>
      </c>
      <c r="D20" s="57" t="s">
        <v>31</v>
      </c>
      <c r="E20" s="55" t="s">
        <v>106</v>
      </c>
      <c r="F20" s="47" t="s">
        <v>145</v>
      </c>
      <c r="G20" s="47">
        <f t="shared" si="9"/>
        <v>145.5552</v>
      </c>
      <c r="H20" s="47">
        <f t="shared" si="10"/>
        <v>161.687568</v>
      </c>
      <c r="I20" s="47">
        <f t="shared" si="11"/>
        <v>169.8144</v>
      </c>
      <c r="J20" s="47">
        <f t="shared" si="12"/>
        <v>43.2150693333333</v>
      </c>
      <c r="K20" s="47">
        <f t="shared" si="13"/>
        <v>57.7050979166667</v>
      </c>
      <c r="L20" s="47">
        <f t="shared" si="14"/>
        <v>55.6624395833333</v>
      </c>
      <c r="M20" s="47">
        <f t="shared" si="15"/>
        <v>117.63185</v>
      </c>
      <c r="N20" s="47">
        <f t="shared" si="16"/>
        <v>35.0831833333333</v>
      </c>
      <c r="O20" s="47">
        <f t="shared" si="17"/>
        <v>33.159294</v>
      </c>
      <c r="P20" s="56">
        <v>12.1296</v>
      </c>
      <c r="Q20" s="56"/>
    </row>
    <row r="21" s="5" customFormat="1" ht="18" customHeight="1" spans="1:17">
      <c r="A21" s="55" t="s">
        <v>138</v>
      </c>
      <c r="B21" s="55">
        <v>0.102</v>
      </c>
      <c r="C21" s="55" t="s">
        <v>105</v>
      </c>
      <c r="D21" s="57" t="s">
        <v>34</v>
      </c>
      <c r="E21" s="55" t="s">
        <v>106</v>
      </c>
      <c r="F21" s="47" t="s">
        <v>144</v>
      </c>
      <c r="G21" s="47">
        <f t="shared" si="9"/>
        <v>180.7386</v>
      </c>
      <c r="H21" s="47">
        <f t="shared" si="10"/>
        <v>200.7704615</v>
      </c>
      <c r="I21" s="47">
        <f t="shared" si="11"/>
        <v>210.8617</v>
      </c>
      <c r="J21" s="47">
        <f t="shared" si="12"/>
        <v>53.6609556388889</v>
      </c>
      <c r="K21" s="47">
        <f t="shared" si="13"/>
        <v>71.6534937282986</v>
      </c>
      <c r="L21" s="47">
        <f t="shared" si="14"/>
        <v>69.1170868706597</v>
      </c>
      <c r="M21" s="47">
        <f t="shared" si="15"/>
        <v>146.065656770833</v>
      </c>
      <c r="N21" s="47">
        <f t="shared" si="16"/>
        <v>43.5634414930556</v>
      </c>
      <c r="O21" s="47">
        <f t="shared" si="17"/>
        <v>41.1745123125</v>
      </c>
      <c r="P21" s="56">
        <v>15.06155</v>
      </c>
      <c r="Q21" s="56"/>
    </row>
    <row r="22" s="5" customFormat="1" ht="18" customHeight="1" spans="1:17">
      <c r="A22" s="55" t="s">
        <v>138</v>
      </c>
      <c r="B22" s="55">
        <v>0.102</v>
      </c>
      <c r="C22" s="55" t="s">
        <v>105</v>
      </c>
      <c r="D22" s="57" t="s">
        <v>31</v>
      </c>
      <c r="E22" s="55" t="s">
        <v>146</v>
      </c>
      <c r="F22" s="47" t="s">
        <v>144</v>
      </c>
      <c r="G22" s="47">
        <f t="shared" si="9"/>
        <v>125.3592</v>
      </c>
      <c r="H22" s="47">
        <f t="shared" si="10"/>
        <v>139.253178</v>
      </c>
      <c r="I22" s="47">
        <f t="shared" si="11"/>
        <v>146.2524</v>
      </c>
      <c r="J22" s="47">
        <f t="shared" si="12"/>
        <v>37.2189143333333</v>
      </c>
      <c r="K22" s="47">
        <f t="shared" si="13"/>
        <v>49.6984299479167</v>
      </c>
      <c r="L22" s="47">
        <f t="shared" si="14"/>
        <v>47.9391934895833</v>
      </c>
      <c r="M22" s="47">
        <f t="shared" si="15"/>
        <v>101.31025625</v>
      </c>
      <c r="N22" s="47">
        <f t="shared" si="16"/>
        <v>30.2153395833333</v>
      </c>
      <c r="O22" s="47">
        <f t="shared" si="17"/>
        <v>28.55839275</v>
      </c>
      <c r="P22" s="56">
        <v>10.4466</v>
      </c>
      <c r="Q22" s="56"/>
    </row>
    <row r="23" s="5" customFormat="1" ht="18" customHeight="1" spans="1:17">
      <c r="A23" s="55" t="s">
        <v>138</v>
      </c>
      <c r="B23" s="55">
        <v>0.102</v>
      </c>
      <c r="C23" s="55" t="s">
        <v>105</v>
      </c>
      <c r="D23" s="57" t="s">
        <v>31</v>
      </c>
      <c r="E23" s="55" t="s">
        <v>106</v>
      </c>
      <c r="F23" s="47" t="s">
        <v>147</v>
      </c>
      <c r="G23" s="47">
        <f t="shared" si="9"/>
        <v>124.4622</v>
      </c>
      <c r="H23" s="47">
        <f t="shared" si="10"/>
        <v>138.2567605</v>
      </c>
      <c r="I23" s="47">
        <f t="shared" si="11"/>
        <v>145.2059</v>
      </c>
      <c r="J23" s="47">
        <f t="shared" si="12"/>
        <v>36.9525966944444</v>
      </c>
      <c r="K23" s="47">
        <f t="shared" si="13"/>
        <v>49.3428159071181</v>
      </c>
      <c r="L23" s="47">
        <f t="shared" si="14"/>
        <v>47.5961675564236</v>
      </c>
      <c r="M23" s="47">
        <f t="shared" si="15"/>
        <v>100.585336979167</v>
      </c>
      <c r="N23" s="47">
        <f t="shared" si="16"/>
        <v>29.9991355902778</v>
      </c>
      <c r="O23" s="47">
        <f t="shared" si="17"/>
        <v>28.3540449375</v>
      </c>
      <c r="P23" s="56">
        <v>10.37185</v>
      </c>
      <c r="Q23" s="56"/>
    </row>
    <row r="24" s="5" customFormat="1" ht="18" customHeight="1" spans="1:17">
      <c r="A24" s="55" t="s">
        <v>138</v>
      </c>
      <c r="B24" s="55">
        <v>0.102</v>
      </c>
      <c r="C24" s="55" t="s">
        <v>105</v>
      </c>
      <c r="D24" s="57" t="s">
        <v>31</v>
      </c>
      <c r="E24" s="55" t="s">
        <v>106</v>
      </c>
      <c r="F24" s="47" t="s">
        <v>148</v>
      </c>
      <c r="G24" s="47">
        <f t="shared" si="9"/>
        <v>169.98</v>
      </c>
      <c r="H24" s="47">
        <f t="shared" si="10"/>
        <v>188.81945</v>
      </c>
      <c r="I24" s="47">
        <f t="shared" si="11"/>
        <v>198.31</v>
      </c>
      <c r="J24" s="47">
        <f t="shared" si="12"/>
        <v>50.4667472222222</v>
      </c>
      <c r="K24" s="47">
        <f t="shared" si="13"/>
        <v>67.3882660590278</v>
      </c>
      <c r="L24" s="47">
        <f t="shared" si="14"/>
        <v>65.0028407118056</v>
      </c>
      <c r="M24" s="47">
        <f t="shared" si="15"/>
        <v>137.370989583333</v>
      </c>
      <c r="N24" s="47">
        <f t="shared" si="16"/>
        <v>40.9702951388889</v>
      </c>
      <c r="O24" s="47">
        <f t="shared" si="17"/>
        <v>38.72356875</v>
      </c>
      <c r="P24" s="56">
        <v>14.165</v>
      </c>
      <c r="Q24" s="56"/>
    </row>
    <row r="25" s="5" customFormat="1" ht="18" customHeight="1" spans="1:17">
      <c r="A25" s="55" t="s">
        <v>138</v>
      </c>
      <c r="B25" s="55">
        <v>0.102</v>
      </c>
      <c r="C25" s="55" t="s">
        <v>105</v>
      </c>
      <c r="D25" s="57" t="s">
        <v>34</v>
      </c>
      <c r="E25" s="55" t="s">
        <v>106</v>
      </c>
      <c r="F25" s="47" t="s">
        <v>148</v>
      </c>
      <c r="G25" s="47">
        <f t="shared" ref="G25:G49" si="18">P25*12</f>
        <v>206.0784</v>
      </c>
      <c r="H25" s="47">
        <f t="shared" ref="H25:H49" si="19">P25*13.33</f>
        <v>228.918756</v>
      </c>
      <c r="I25" s="47">
        <f t="shared" ref="I25:I49" si="20">P25*14</f>
        <v>240.4248</v>
      </c>
      <c r="J25" s="47">
        <f t="shared" ref="J25:J49" si="21">21.2*24.2/144*P25</f>
        <v>61.1842953333333</v>
      </c>
      <c r="K25" s="47">
        <f t="shared" ref="K25:K49" si="22">28.25*24.25/144*P25</f>
        <v>81.6994119791667</v>
      </c>
      <c r="L25" s="47">
        <f t="shared" ref="L25:L49" si="23">27.25*24.25/144*P25</f>
        <v>78.8073973958333</v>
      </c>
      <c r="M25" s="47">
        <f t="shared" ref="M25:M49" si="24">28.5*49/144*P25</f>
        <v>166.5442625</v>
      </c>
      <c r="N25" s="47">
        <f t="shared" ref="N25:N49" si="25">17*24.5/144*P25</f>
        <v>49.6710958333333</v>
      </c>
      <c r="O25" s="47">
        <f t="shared" ref="O25:O49" si="26">24.3*16.2/144*P25</f>
        <v>46.9472355</v>
      </c>
      <c r="P25" s="56">
        <v>17.1732</v>
      </c>
      <c r="Q25" s="56"/>
    </row>
    <row r="26" s="5" customFormat="1" ht="18" customHeight="1" spans="1:17">
      <c r="A26" s="55" t="s">
        <v>138</v>
      </c>
      <c r="B26" s="55">
        <v>0.102</v>
      </c>
      <c r="C26" s="55" t="s">
        <v>105</v>
      </c>
      <c r="D26" s="57" t="s">
        <v>108</v>
      </c>
      <c r="E26" s="55" t="s">
        <v>106</v>
      </c>
      <c r="F26" s="47" t="s">
        <v>145</v>
      </c>
      <c r="G26" s="47">
        <f t="shared" si="18"/>
        <v>252.1398</v>
      </c>
      <c r="H26" s="47">
        <f t="shared" si="19"/>
        <v>280.0852945</v>
      </c>
      <c r="I26" s="47">
        <f t="shared" si="20"/>
        <v>294.1631</v>
      </c>
      <c r="J26" s="47">
        <f t="shared" si="21"/>
        <v>74.8598396944444</v>
      </c>
      <c r="K26" s="47">
        <f t="shared" si="22"/>
        <v>99.960371375868</v>
      </c>
      <c r="L26" s="47">
        <f t="shared" si="23"/>
        <v>96.4219511501736</v>
      </c>
      <c r="M26" s="47">
        <f t="shared" si="24"/>
        <v>203.769230729167</v>
      </c>
      <c r="N26" s="47">
        <f t="shared" si="25"/>
        <v>60.7732793402778</v>
      </c>
      <c r="O26" s="47">
        <f t="shared" si="26"/>
        <v>57.4405981875</v>
      </c>
      <c r="P26" s="56">
        <v>21.01165</v>
      </c>
      <c r="Q26" s="56"/>
    </row>
    <row r="27" s="5" customFormat="1" ht="18" customHeight="1" spans="1:17">
      <c r="A27" s="55" t="s">
        <v>138</v>
      </c>
      <c r="B27" s="55">
        <v>0.102</v>
      </c>
      <c r="C27" s="55" t="s">
        <v>105</v>
      </c>
      <c r="D27" s="57" t="s">
        <v>41</v>
      </c>
      <c r="E27" s="55" t="s">
        <v>106</v>
      </c>
      <c r="F27" s="47" t="s">
        <v>148</v>
      </c>
      <c r="G27" s="47">
        <f t="shared" si="18"/>
        <v>349.8</v>
      </c>
      <c r="H27" s="47">
        <f t="shared" si="19"/>
        <v>388.5695</v>
      </c>
      <c r="I27" s="47">
        <f t="shared" si="20"/>
        <v>408.1</v>
      </c>
      <c r="J27" s="47">
        <f t="shared" si="21"/>
        <v>103.854972222222</v>
      </c>
      <c r="K27" s="47">
        <f t="shared" si="22"/>
        <v>138.677582465278</v>
      </c>
      <c r="L27" s="47">
        <f t="shared" si="23"/>
        <v>133.768641493056</v>
      </c>
      <c r="M27" s="47">
        <f t="shared" si="24"/>
        <v>282.694270833333</v>
      </c>
      <c r="N27" s="47">
        <f t="shared" si="25"/>
        <v>84.3123263888889</v>
      </c>
      <c r="O27" s="47">
        <f t="shared" si="26"/>
        <v>79.6888125</v>
      </c>
      <c r="P27" s="56">
        <v>29.15</v>
      </c>
      <c r="Q27" s="56"/>
    </row>
    <row r="28" s="5" customFormat="1" ht="18" customHeight="1" spans="1:17">
      <c r="A28" s="55" t="s">
        <v>138</v>
      </c>
      <c r="B28" s="55">
        <v>0.114</v>
      </c>
      <c r="C28" s="55" t="s">
        <v>105</v>
      </c>
      <c r="D28" s="57" t="s">
        <v>31</v>
      </c>
      <c r="E28" s="55" t="s">
        <v>106</v>
      </c>
      <c r="F28" s="47" t="s">
        <v>144</v>
      </c>
      <c r="G28" s="47">
        <f t="shared" si="18"/>
        <v>127.857</v>
      </c>
      <c r="H28" s="47">
        <f t="shared" si="19"/>
        <v>142.0278175</v>
      </c>
      <c r="I28" s="47">
        <f t="shared" si="20"/>
        <v>149.1665</v>
      </c>
      <c r="J28" s="47">
        <f t="shared" si="21"/>
        <v>37.9605065277778</v>
      </c>
      <c r="K28" s="47">
        <f t="shared" si="22"/>
        <v>50.6886782769097</v>
      </c>
      <c r="L28" s="47">
        <f t="shared" si="23"/>
        <v>48.8943887803819</v>
      </c>
      <c r="M28" s="47">
        <f t="shared" si="24"/>
        <v>103.328877604167</v>
      </c>
      <c r="N28" s="47">
        <f t="shared" si="25"/>
        <v>30.8173845486111</v>
      </c>
      <c r="O28" s="47">
        <f t="shared" si="26"/>
        <v>29.1274228125</v>
      </c>
      <c r="P28" s="56">
        <v>10.65475</v>
      </c>
      <c r="Q28" s="56"/>
    </row>
    <row r="29" s="5" customFormat="1" ht="18" customHeight="1" spans="1:17">
      <c r="A29" s="55" t="s">
        <v>138</v>
      </c>
      <c r="B29" s="55">
        <v>0.114</v>
      </c>
      <c r="C29" s="55" t="s">
        <v>105</v>
      </c>
      <c r="D29" s="57" t="s">
        <v>34</v>
      </c>
      <c r="E29" s="55" t="s">
        <v>106</v>
      </c>
      <c r="F29" s="47" t="s">
        <v>144</v>
      </c>
      <c r="G29" s="47">
        <f t="shared" si="18"/>
        <v>192.0684</v>
      </c>
      <c r="H29" s="47">
        <f t="shared" si="19"/>
        <v>213.355981</v>
      </c>
      <c r="I29" s="47">
        <f t="shared" si="20"/>
        <v>224.0798</v>
      </c>
      <c r="J29" s="47">
        <f t="shared" si="21"/>
        <v>57.0247522777778</v>
      </c>
      <c r="K29" s="47">
        <f t="shared" si="22"/>
        <v>76.1451726128472</v>
      </c>
      <c r="L29" s="47">
        <f t="shared" si="23"/>
        <v>73.4497682725695</v>
      </c>
      <c r="M29" s="47">
        <f t="shared" si="24"/>
        <v>155.221944791667</v>
      </c>
      <c r="N29" s="47">
        <f t="shared" si="25"/>
        <v>46.2942642361111</v>
      </c>
      <c r="O29" s="47">
        <f t="shared" si="26"/>
        <v>43.755582375</v>
      </c>
      <c r="P29" s="56">
        <v>16.0057</v>
      </c>
      <c r="Q29" s="56"/>
    </row>
    <row r="30" s="5" customFormat="1" ht="18" customHeight="1" spans="1:17">
      <c r="A30" s="55" t="s">
        <v>138</v>
      </c>
      <c r="B30" s="55">
        <v>0.127</v>
      </c>
      <c r="C30" s="55" t="s">
        <v>105</v>
      </c>
      <c r="D30" s="55" t="s">
        <v>31</v>
      </c>
      <c r="E30" s="55" t="s">
        <v>106</v>
      </c>
      <c r="F30" s="47" t="s">
        <v>149</v>
      </c>
      <c r="G30" s="47">
        <f t="shared" si="18"/>
        <v>149.8128</v>
      </c>
      <c r="H30" s="47">
        <f t="shared" si="19"/>
        <v>166.417052</v>
      </c>
      <c r="I30" s="47">
        <f t="shared" si="20"/>
        <v>174.7816</v>
      </c>
      <c r="J30" s="47">
        <f t="shared" si="21"/>
        <v>44.4791428888889</v>
      </c>
      <c r="K30" s="47">
        <f t="shared" si="22"/>
        <v>59.3930157986111</v>
      </c>
      <c r="L30" s="47">
        <f t="shared" si="23"/>
        <v>57.2906081597222</v>
      </c>
      <c r="M30" s="47">
        <f t="shared" si="24"/>
        <v>121.072670833333</v>
      </c>
      <c r="N30" s="47">
        <f t="shared" si="25"/>
        <v>36.1093930555556</v>
      </c>
      <c r="O30" s="47">
        <f t="shared" si="26"/>
        <v>34.1292285</v>
      </c>
      <c r="P30" s="56">
        <v>12.4844</v>
      </c>
      <c r="Q30" s="56"/>
    </row>
    <row r="31" s="5" customFormat="1" ht="18" customHeight="1" spans="1:17">
      <c r="A31" s="55" t="s">
        <v>138</v>
      </c>
      <c r="B31" s="55">
        <v>0.127</v>
      </c>
      <c r="C31" s="55" t="s">
        <v>105</v>
      </c>
      <c r="D31" s="57" t="s">
        <v>108</v>
      </c>
      <c r="E31" s="55" t="s">
        <v>106</v>
      </c>
      <c r="F31" s="47" t="s">
        <v>144</v>
      </c>
      <c r="G31" s="47">
        <f t="shared" si="18"/>
        <v>230.2944</v>
      </c>
      <c r="H31" s="47">
        <f t="shared" si="19"/>
        <v>255.818696</v>
      </c>
      <c r="I31" s="47">
        <f t="shared" si="20"/>
        <v>268.6768</v>
      </c>
      <c r="J31" s="47">
        <f t="shared" si="21"/>
        <v>68.3739808888889</v>
      </c>
      <c r="K31" s="47">
        <f t="shared" si="22"/>
        <v>91.2998017361111</v>
      </c>
      <c r="L31" s="47">
        <f t="shared" si="23"/>
        <v>88.0679503472222</v>
      </c>
      <c r="M31" s="47">
        <f t="shared" si="24"/>
        <v>186.114658333333</v>
      </c>
      <c r="N31" s="47">
        <f t="shared" si="25"/>
        <v>55.5078805555556</v>
      </c>
      <c r="O31" s="47">
        <f t="shared" si="26"/>
        <v>52.463943</v>
      </c>
      <c r="P31" s="56">
        <v>19.1912</v>
      </c>
      <c r="Q31" s="56"/>
    </row>
    <row r="32" s="5" customFormat="1" ht="18" customHeight="1" spans="1:17">
      <c r="A32" s="55" t="s">
        <v>138</v>
      </c>
      <c r="B32" s="55">
        <v>0.127</v>
      </c>
      <c r="C32" s="55" t="s">
        <v>105</v>
      </c>
      <c r="D32" s="55" t="s">
        <v>31</v>
      </c>
      <c r="E32" s="55" t="s">
        <v>106</v>
      </c>
      <c r="F32" s="47" t="s">
        <v>144</v>
      </c>
      <c r="G32" s="47">
        <f t="shared" si="18"/>
        <v>128.9058</v>
      </c>
      <c r="H32" s="47">
        <f t="shared" si="19"/>
        <v>143.1928595</v>
      </c>
      <c r="I32" s="47">
        <f t="shared" si="20"/>
        <v>150.3901</v>
      </c>
      <c r="J32" s="47">
        <f t="shared" si="21"/>
        <v>38.2718933055556</v>
      </c>
      <c r="K32" s="47">
        <f t="shared" si="22"/>
        <v>51.1044731553819</v>
      </c>
      <c r="L32" s="47">
        <f t="shared" si="23"/>
        <v>49.2954652560764</v>
      </c>
      <c r="M32" s="47">
        <f t="shared" si="24"/>
        <v>104.176475520833</v>
      </c>
      <c r="N32" s="47">
        <f t="shared" si="25"/>
        <v>31.0701769097222</v>
      </c>
      <c r="O32" s="47">
        <f t="shared" si="26"/>
        <v>29.3663525625</v>
      </c>
      <c r="P32" s="56">
        <v>10.74215</v>
      </c>
      <c r="Q32" s="56"/>
    </row>
    <row r="33" s="5" customFormat="1" ht="18" customHeight="1" spans="1:17">
      <c r="A33" s="55" t="s">
        <v>138</v>
      </c>
      <c r="B33" s="55">
        <v>0.127</v>
      </c>
      <c r="C33" s="55" t="s">
        <v>105</v>
      </c>
      <c r="D33" s="57" t="s">
        <v>34</v>
      </c>
      <c r="E33" s="55" t="s">
        <v>106</v>
      </c>
      <c r="F33" s="47" t="s">
        <v>144</v>
      </c>
      <c r="G33" s="47">
        <f t="shared" si="18"/>
        <v>183.9816</v>
      </c>
      <c r="H33" s="47">
        <f t="shared" si="19"/>
        <v>204.372894</v>
      </c>
      <c r="I33" s="47">
        <f t="shared" si="20"/>
        <v>214.6452</v>
      </c>
      <c r="J33" s="47">
        <f t="shared" si="21"/>
        <v>54.6237963333333</v>
      </c>
      <c r="K33" s="47">
        <f t="shared" si="22"/>
        <v>72.9391752604167</v>
      </c>
      <c r="L33" s="47">
        <f t="shared" si="23"/>
        <v>70.3572575520833</v>
      </c>
      <c r="M33" s="47">
        <f t="shared" si="24"/>
        <v>148.68651875</v>
      </c>
      <c r="N33" s="47">
        <f t="shared" si="25"/>
        <v>44.3451020833333</v>
      </c>
      <c r="O33" s="47">
        <f t="shared" si="26"/>
        <v>41.91330825</v>
      </c>
      <c r="P33" s="56">
        <v>15.3318</v>
      </c>
      <c r="Q33" s="56"/>
    </row>
    <row r="34" s="5" customFormat="1" ht="18" customHeight="1" spans="1:17">
      <c r="A34" s="55" t="s">
        <v>138</v>
      </c>
      <c r="B34" s="55">
        <v>0.127</v>
      </c>
      <c r="C34" s="55" t="s">
        <v>105</v>
      </c>
      <c r="D34" s="57" t="s">
        <v>34</v>
      </c>
      <c r="E34" s="55" t="s">
        <v>106</v>
      </c>
      <c r="F34" s="47" t="s">
        <v>150</v>
      </c>
      <c r="G34" s="47">
        <f t="shared" si="18"/>
        <v>207.4032</v>
      </c>
      <c r="H34" s="47">
        <f t="shared" si="19"/>
        <v>230.390388</v>
      </c>
      <c r="I34" s="47">
        <f t="shared" si="20"/>
        <v>241.9704</v>
      </c>
      <c r="J34" s="47">
        <f t="shared" si="21"/>
        <v>61.577626</v>
      </c>
      <c r="K34" s="47">
        <f t="shared" si="22"/>
        <v>82.2246265625</v>
      </c>
      <c r="L34" s="47">
        <f t="shared" si="23"/>
        <v>79.3140203125</v>
      </c>
      <c r="M34" s="47">
        <f t="shared" si="24"/>
        <v>167.6149125</v>
      </c>
      <c r="N34" s="47">
        <f t="shared" si="25"/>
        <v>49.9904125</v>
      </c>
      <c r="O34" s="47">
        <f t="shared" si="26"/>
        <v>47.2490415</v>
      </c>
      <c r="P34" s="56">
        <v>17.2836</v>
      </c>
      <c r="Q34" s="56"/>
    </row>
    <row r="35" s="5" customFormat="1" ht="18" customHeight="1" spans="1:17">
      <c r="A35" s="55" t="s">
        <v>138</v>
      </c>
      <c r="B35" s="55">
        <v>0.127</v>
      </c>
      <c r="C35" s="55" t="s">
        <v>105</v>
      </c>
      <c r="D35" s="57" t="s">
        <v>109</v>
      </c>
      <c r="E35" s="55" t="s">
        <v>106</v>
      </c>
      <c r="F35" s="47" t="s">
        <v>150</v>
      </c>
      <c r="G35" s="47">
        <f t="shared" si="18"/>
        <v>274.9236</v>
      </c>
      <c r="H35" s="47">
        <f t="shared" si="19"/>
        <v>305.394299</v>
      </c>
      <c r="I35" s="47">
        <f t="shared" si="20"/>
        <v>320.7442</v>
      </c>
      <c r="J35" s="47">
        <f t="shared" si="21"/>
        <v>81.6243077222222</v>
      </c>
      <c r="K35" s="47">
        <f t="shared" si="22"/>
        <v>108.992968012153</v>
      </c>
      <c r="L35" s="47">
        <f t="shared" si="23"/>
        <v>105.134809852431</v>
      </c>
      <c r="M35" s="47">
        <f t="shared" si="24"/>
        <v>222.182180208333</v>
      </c>
      <c r="N35" s="47">
        <f t="shared" si="25"/>
        <v>66.2648607638889</v>
      </c>
      <c r="O35" s="47">
        <f t="shared" si="26"/>
        <v>62.631032625</v>
      </c>
      <c r="P35" s="56">
        <v>22.9103</v>
      </c>
      <c r="Q35" s="56"/>
    </row>
    <row r="36" s="5" customFormat="1" ht="18" customHeight="1" spans="1:17">
      <c r="A36" s="55" t="s">
        <v>138</v>
      </c>
      <c r="B36" s="55">
        <v>0.127</v>
      </c>
      <c r="C36" s="55" t="s">
        <v>105</v>
      </c>
      <c r="D36" s="57" t="s">
        <v>34</v>
      </c>
      <c r="E36" s="55" t="s">
        <v>106</v>
      </c>
      <c r="F36" s="47" t="s">
        <v>149</v>
      </c>
      <c r="G36" s="47">
        <f t="shared" si="18"/>
        <v>206.0064</v>
      </c>
      <c r="H36" s="47">
        <f t="shared" si="19"/>
        <v>228.838776</v>
      </c>
      <c r="I36" s="47">
        <f t="shared" si="20"/>
        <v>240.3408</v>
      </c>
      <c r="J36" s="47">
        <f t="shared" si="21"/>
        <v>61.1629186666667</v>
      </c>
      <c r="K36" s="47">
        <f t="shared" si="22"/>
        <v>81.6708677083333</v>
      </c>
      <c r="L36" s="47">
        <f t="shared" si="23"/>
        <v>78.7798635416667</v>
      </c>
      <c r="M36" s="47">
        <f t="shared" si="24"/>
        <v>166.486075</v>
      </c>
      <c r="N36" s="47">
        <f t="shared" si="25"/>
        <v>49.6537416666667</v>
      </c>
      <c r="O36" s="47">
        <f t="shared" si="26"/>
        <v>46.930833</v>
      </c>
      <c r="P36" s="56">
        <v>17.1672</v>
      </c>
      <c r="Q36" s="56"/>
    </row>
    <row r="37" s="5" customFormat="1" ht="18" customHeight="1" spans="1:17">
      <c r="A37" s="55" t="s">
        <v>138</v>
      </c>
      <c r="B37" s="55">
        <v>0.127</v>
      </c>
      <c r="C37" s="55" t="s">
        <v>105</v>
      </c>
      <c r="D37" s="57" t="s">
        <v>41</v>
      </c>
      <c r="E37" s="55" t="s">
        <v>106</v>
      </c>
      <c r="F37" s="47" t="s">
        <v>144</v>
      </c>
      <c r="G37" s="47">
        <f t="shared" si="18"/>
        <v>329.2128</v>
      </c>
      <c r="H37" s="47">
        <f t="shared" si="19"/>
        <v>365.700552</v>
      </c>
      <c r="I37" s="47">
        <f t="shared" si="20"/>
        <v>384.0816</v>
      </c>
      <c r="J37" s="47">
        <f t="shared" si="21"/>
        <v>97.7426706666667</v>
      </c>
      <c r="K37" s="47">
        <f t="shared" si="22"/>
        <v>130.515823958333</v>
      </c>
      <c r="L37" s="47">
        <f t="shared" si="23"/>
        <v>125.895794791667</v>
      </c>
      <c r="M37" s="47">
        <f t="shared" si="24"/>
        <v>266.056525</v>
      </c>
      <c r="N37" s="47">
        <f t="shared" si="25"/>
        <v>79.3501916666667</v>
      </c>
      <c r="O37" s="47">
        <f t="shared" si="26"/>
        <v>74.998791</v>
      </c>
      <c r="P37" s="56">
        <v>27.4344</v>
      </c>
      <c r="Q37" s="56"/>
    </row>
    <row r="38" s="5" customFormat="1" ht="18" customHeight="1" spans="1:17">
      <c r="A38" s="55" t="s">
        <v>138</v>
      </c>
      <c r="B38" s="55">
        <v>0.127</v>
      </c>
      <c r="C38" s="55" t="s">
        <v>105</v>
      </c>
      <c r="D38" s="57" t="s">
        <v>109</v>
      </c>
      <c r="E38" s="55" t="s">
        <v>106</v>
      </c>
      <c r="F38" s="47" t="s">
        <v>144</v>
      </c>
      <c r="G38" s="47">
        <f t="shared" si="18"/>
        <v>255.4518</v>
      </c>
      <c r="H38" s="47">
        <f t="shared" si="19"/>
        <v>283.7643745</v>
      </c>
      <c r="I38" s="47">
        <f t="shared" si="20"/>
        <v>298.0271</v>
      </c>
      <c r="J38" s="47">
        <f t="shared" si="21"/>
        <v>75.8431663611111</v>
      </c>
      <c r="K38" s="47">
        <f t="shared" si="22"/>
        <v>101.273407834201</v>
      </c>
      <c r="L38" s="47">
        <f t="shared" si="23"/>
        <v>97.6885084418403</v>
      </c>
      <c r="M38" s="47">
        <f t="shared" si="24"/>
        <v>206.445855729167</v>
      </c>
      <c r="N38" s="47">
        <f t="shared" si="25"/>
        <v>61.5715710069444</v>
      </c>
      <c r="O38" s="47">
        <f t="shared" si="26"/>
        <v>58.1951131875</v>
      </c>
      <c r="P38" s="56">
        <v>21.28765</v>
      </c>
      <c r="Q38" s="56"/>
    </row>
    <row r="39" s="5" customFormat="1" ht="18" customHeight="1" spans="1:17">
      <c r="A39" s="55" t="s">
        <v>138</v>
      </c>
      <c r="B39" s="55">
        <v>0.152</v>
      </c>
      <c r="C39" s="55" t="s">
        <v>105</v>
      </c>
      <c r="D39" s="57" t="s">
        <v>34</v>
      </c>
      <c r="E39" s="55" t="s">
        <v>106</v>
      </c>
      <c r="F39" s="47" t="s">
        <v>150</v>
      </c>
      <c r="G39" s="47">
        <f t="shared" si="18"/>
        <v>207.7776</v>
      </c>
      <c r="H39" s="47">
        <f t="shared" si="19"/>
        <v>230.806284</v>
      </c>
      <c r="I39" s="47">
        <f t="shared" si="20"/>
        <v>242.4072</v>
      </c>
      <c r="J39" s="47">
        <f t="shared" si="21"/>
        <v>61.6887846666667</v>
      </c>
      <c r="K39" s="47">
        <f t="shared" si="22"/>
        <v>82.3730567708333</v>
      </c>
      <c r="L39" s="47">
        <f t="shared" si="23"/>
        <v>79.4571963541667</v>
      </c>
      <c r="M39" s="47">
        <f t="shared" si="24"/>
        <v>167.9174875</v>
      </c>
      <c r="N39" s="47">
        <f t="shared" si="25"/>
        <v>50.0806541666667</v>
      </c>
      <c r="O39" s="47">
        <f t="shared" si="26"/>
        <v>47.3343345</v>
      </c>
      <c r="P39" s="56">
        <v>17.3148</v>
      </c>
      <c r="Q39" s="56"/>
    </row>
    <row r="40" s="5" customFormat="1" ht="18" customHeight="1" spans="1:17">
      <c r="A40" s="55" t="s">
        <v>138</v>
      </c>
      <c r="B40" s="55">
        <v>0.152</v>
      </c>
      <c r="C40" s="55" t="s">
        <v>105</v>
      </c>
      <c r="D40" s="57" t="s">
        <v>109</v>
      </c>
      <c r="E40" s="55" t="s">
        <v>106</v>
      </c>
      <c r="F40" s="47" t="s">
        <v>150</v>
      </c>
      <c r="G40" s="47">
        <f t="shared" si="18"/>
        <v>290.7432</v>
      </c>
      <c r="H40" s="47">
        <f t="shared" si="19"/>
        <v>322.967238</v>
      </c>
      <c r="I40" s="47">
        <f t="shared" si="20"/>
        <v>339.2004</v>
      </c>
      <c r="J40" s="47">
        <f t="shared" si="21"/>
        <v>86.3211176666667</v>
      </c>
      <c r="K40" s="47">
        <f t="shared" si="22"/>
        <v>115.264620052083</v>
      </c>
      <c r="L40" s="47">
        <f t="shared" si="23"/>
        <v>111.184456510417</v>
      </c>
      <c r="M40" s="47">
        <f t="shared" si="24"/>
        <v>234.96694375</v>
      </c>
      <c r="N40" s="47">
        <f t="shared" si="25"/>
        <v>70.0778604166667</v>
      </c>
      <c r="O40" s="47">
        <f t="shared" si="26"/>
        <v>66.23493525</v>
      </c>
      <c r="P40" s="56">
        <v>24.2286</v>
      </c>
      <c r="Q40" s="56"/>
    </row>
    <row r="41" s="5" customFormat="1" ht="18" customHeight="1" spans="1:17">
      <c r="A41" s="55" t="s">
        <v>138</v>
      </c>
      <c r="B41" s="55">
        <v>0.178</v>
      </c>
      <c r="C41" s="55" t="s">
        <v>105</v>
      </c>
      <c r="D41" s="57" t="s">
        <v>41</v>
      </c>
      <c r="E41" s="55" t="s">
        <v>106</v>
      </c>
      <c r="F41" s="47" t="s">
        <v>151</v>
      </c>
      <c r="G41" s="47">
        <f t="shared" si="18"/>
        <v>361.3392</v>
      </c>
      <c r="H41" s="47">
        <f t="shared" si="19"/>
        <v>401.387628</v>
      </c>
      <c r="I41" s="47">
        <f t="shared" si="20"/>
        <v>421.5624</v>
      </c>
      <c r="J41" s="47">
        <f t="shared" si="21"/>
        <v>107.280939333333</v>
      </c>
      <c r="K41" s="47">
        <f t="shared" si="22"/>
        <v>143.252277604167</v>
      </c>
      <c r="L41" s="47">
        <f t="shared" si="23"/>
        <v>138.181400520833</v>
      </c>
      <c r="M41" s="47">
        <f t="shared" si="24"/>
        <v>292.0197875</v>
      </c>
      <c r="N41" s="47">
        <f t="shared" si="25"/>
        <v>87.0936208333333</v>
      </c>
      <c r="O41" s="47">
        <f t="shared" si="26"/>
        <v>82.3175865</v>
      </c>
      <c r="P41" s="56">
        <v>30.1116</v>
      </c>
      <c r="Q41" s="56"/>
    </row>
    <row r="42" s="5" customFormat="1" ht="18" customHeight="1" spans="1:17">
      <c r="A42" s="55" t="s">
        <v>138</v>
      </c>
      <c r="B42" s="55">
        <v>0.203</v>
      </c>
      <c r="C42" s="55" t="s">
        <v>105</v>
      </c>
      <c r="D42" s="57" t="s">
        <v>31</v>
      </c>
      <c r="E42" s="55" t="s">
        <v>106</v>
      </c>
      <c r="F42" s="47" t="s">
        <v>151</v>
      </c>
      <c r="G42" s="47">
        <f t="shared" si="18"/>
        <v>154.5738</v>
      </c>
      <c r="H42" s="47">
        <f t="shared" si="19"/>
        <v>171.7057295</v>
      </c>
      <c r="I42" s="47">
        <f t="shared" si="20"/>
        <v>180.3361</v>
      </c>
      <c r="J42" s="47">
        <f t="shared" si="21"/>
        <v>45.8926749722222</v>
      </c>
      <c r="K42" s="47">
        <f t="shared" si="22"/>
        <v>61.2805057074653</v>
      </c>
      <c r="L42" s="47">
        <f t="shared" si="23"/>
        <v>59.1112842664931</v>
      </c>
      <c r="M42" s="47">
        <f t="shared" si="24"/>
        <v>124.920319270833</v>
      </c>
      <c r="N42" s="47">
        <f t="shared" si="25"/>
        <v>37.2569373263889</v>
      </c>
      <c r="O42" s="47">
        <f t="shared" si="26"/>
        <v>35.2138438125</v>
      </c>
      <c r="P42" s="56">
        <v>12.88115</v>
      </c>
      <c r="Q42" s="56"/>
    </row>
    <row r="43" s="5" customFormat="1" ht="18" customHeight="1" spans="1:17">
      <c r="A43" s="55" t="s">
        <v>138</v>
      </c>
      <c r="B43" s="55">
        <v>0.203</v>
      </c>
      <c r="C43" s="55" t="s">
        <v>105</v>
      </c>
      <c r="D43" s="57" t="s">
        <v>34</v>
      </c>
      <c r="E43" s="55" t="s">
        <v>106</v>
      </c>
      <c r="F43" s="47" t="s">
        <v>152</v>
      </c>
      <c r="G43" s="47">
        <f t="shared" si="18"/>
        <v>218.0508</v>
      </c>
      <c r="H43" s="47">
        <f t="shared" si="19"/>
        <v>242.218097</v>
      </c>
      <c r="I43" s="47">
        <f t="shared" si="20"/>
        <v>254.3926</v>
      </c>
      <c r="J43" s="47">
        <f t="shared" si="21"/>
        <v>64.7388787222222</v>
      </c>
      <c r="K43" s="47">
        <f t="shared" si="22"/>
        <v>86.4458484809028</v>
      </c>
      <c r="L43" s="47">
        <f t="shared" si="23"/>
        <v>83.3858184461806</v>
      </c>
      <c r="M43" s="47">
        <f t="shared" si="24"/>
        <v>176.219873958333</v>
      </c>
      <c r="N43" s="47">
        <f t="shared" si="25"/>
        <v>52.5568045138889</v>
      </c>
      <c r="O43" s="47">
        <f t="shared" si="26"/>
        <v>49.674697875</v>
      </c>
      <c r="P43" s="56">
        <v>18.1709</v>
      </c>
      <c r="Q43" s="56"/>
    </row>
    <row r="44" s="5" customFormat="1" ht="18" customHeight="1" spans="1:17">
      <c r="A44" s="55" t="s">
        <v>138</v>
      </c>
      <c r="B44" s="55">
        <v>0.203</v>
      </c>
      <c r="C44" s="55" t="s">
        <v>105</v>
      </c>
      <c r="D44" s="57" t="s">
        <v>41</v>
      </c>
      <c r="E44" s="55" t="s">
        <v>106</v>
      </c>
      <c r="F44" s="47" t="s">
        <v>151</v>
      </c>
      <c r="G44" s="47">
        <f t="shared" si="18"/>
        <v>352.59</v>
      </c>
      <c r="H44" s="47">
        <f t="shared" si="19"/>
        <v>391.668725</v>
      </c>
      <c r="I44" s="47">
        <f t="shared" si="20"/>
        <v>411.355</v>
      </c>
      <c r="J44" s="47">
        <f t="shared" si="21"/>
        <v>104.683318055556</v>
      </c>
      <c r="K44" s="47">
        <f t="shared" si="22"/>
        <v>139.783672960069</v>
      </c>
      <c r="L44" s="47">
        <f t="shared" si="23"/>
        <v>134.835578342014</v>
      </c>
      <c r="M44" s="47">
        <f t="shared" si="24"/>
        <v>284.949036458333</v>
      </c>
      <c r="N44" s="47">
        <f t="shared" si="25"/>
        <v>84.9848003472222</v>
      </c>
      <c r="O44" s="47">
        <f t="shared" si="26"/>
        <v>80.324409375</v>
      </c>
      <c r="P44" s="56">
        <v>29.3825</v>
      </c>
      <c r="Q44" s="56"/>
    </row>
    <row r="45" s="5" customFormat="1" ht="18" customHeight="1" spans="1:17">
      <c r="A45" s="55" t="s">
        <v>138</v>
      </c>
      <c r="B45" s="55">
        <v>0.229</v>
      </c>
      <c r="C45" s="55" t="s">
        <v>105</v>
      </c>
      <c r="D45" s="57" t="s">
        <v>107</v>
      </c>
      <c r="E45" s="55" t="s">
        <v>106</v>
      </c>
      <c r="F45" s="47" t="s">
        <v>152</v>
      </c>
      <c r="G45" s="47">
        <f t="shared" si="18"/>
        <v>189.024</v>
      </c>
      <c r="H45" s="47">
        <f t="shared" si="19"/>
        <v>209.97416</v>
      </c>
      <c r="I45" s="47">
        <f t="shared" si="20"/>
        <v>220.528</v>
      </c>
      <c r="J45" s="47">
        <f t="shared" si="21"/>
        <v>56.1208755555555</v>
      </c>
      <c r="K45" s="47">
        <f t="shared" si="22"/>
        <v>74.9382256944445</v>
      </c>
      <c r="L45" s="47">
        <f t="shared" si="23"/>
        <v>72.2855451388889</v>
      </c>
      <c r="M45" s="47">
        <f t="shared" si="24"/>
        <v>152.761583333333</v>
      </c>
      <c r="N45" s="47">
        <f t="shared" si="25"/>
        <v>45.5604722222222</v>
      </c>
      <c r="O45" s="47">
        <f t="shared" si="26"/>
        <v>43.06203</v>
      </c>
      <c r="P45" s="56">
        <v>15.752</v>
      </c>
      <c r="Q45" s="56"/>
    </row>
    <row r="46" s="5" customFormat="1" ht="18" customHeight="1" spans="1:17">
      <c r="A46" s="55" t="s">
        <v>138</v>
      </c>
      <c r="B46" s="55">
        <v>0.229</v>
      </c>
      <c r="C46" s="55" t="s">
        <v>105</v>
      </c>
      <c r="D46" s="57" t="s">
        <v>34</v>
      </c>
      <c r="E46" s="55" t="s">
        <v>106</v>
      </c>
      <c r="F46" s="47" t="s">
        <v>152</v>
      </c>
      <c r="G46" s="47">
        <f t="shared" si="18"/>
        <v>223.6014</v>
      </c>
      <c r="H46" s="47">
        <f t="shared" si="19"/>
        <v>248.3838885</v>
      </c>
      <c r="I46" s="47">
        <f t="shared" si="20"/>
        <v>260.8683</v>
      </c>
      <c r="J46" s="47">
        <f t="shared" si="21"/>
        <v>66.3868415833333</v>
      </c>
      <c r="K46" s="47">
        <f t="shared" si="22"/>
        <v>88.6463738932292</v>
      </c>
      <c r="L46" s="47">
        <f t="shared" si="23"/>
        <v>85.5084491536458</v>
      </c>
      <c r="M46" s="47">
        <f t="shared" si="24"/>
        <v>180.7056453125</v>
      </c>
      <c r="N46" s="47">
        <f t="shared" si="25"/>
        <v>53.8946661458333</v>
      </c>
      <c r="O46" s="47">
        <f t="shared" si="26"/>
        <v>50.9391939375</v>
      </c>
      <c r="P46" s="56">
        <v>18.63345</v>
      </c>
      <c r="Q46" s="56"/>
    </row>
    <row r="47" s="5" customFormat="1" ht="18" customHeight="1" spans="1:17">
      <c r="A47" s="55" t="s">
        <v>138</v>
      </c>
      <c r="B47" s="55">
        <v>0.229</v>
      </c>
      <c r="C47" s="55" t="s">
        <v>105</v>
      </c>
      <c r="D47" s="57" t="s">
        <v>41</v>
      </c>
      <c r="E47" s="55" t="s">
        <v>106</v>
      </c>
      <c r="F47" s="47" t="s">
        <v>152</v>
      </c>
      <c r="G47" s="47">
        <f t="shared" si="18"/>
        <v>359.4348</v>
      </c>
      <c r="H47" s="47">
        <f t="shared" si="19"/>
        <v>399.272157</v>
      </c>
      <c r="I47" s="47">
        <f t="shared" si="20"/>
        <v>419.3406</v>
      </c>
      <c r="J47" s="47">
        <f t="shared" si="21"/>
        <v>106.7155265</v>
      </c>
      <c r="K47" s="47">
        <f t="shared" si="22"/>
        <v>142.497281640625</v>
      </c>
      <c r="L47" s="47">
        <f t="shared" si="23"/>
        <v>137.453130078125</v>
      </c>
      <c r="M47" s="47">
        <f t="shared" si="24"/>
        <v>290.480728125</v>
      </c>
      <c r="N47" s="47">
        <f t="shared" si="25"/>
        <v>86.634603125</v>
      </c>
      <c r="O47" s="47">
        <f t="shared" si="26"/>
        <v>81.883740375</v>
      </c>
      <c r="P47" s="56">
        <v>29.9529</v>
      </c>
      <c r="Q47" s="56"/>
    </row>
    <row r="48" s="5" customFormat="1" ht="18" customHeight="1" spans="1:17">
      <c r="A48" s="55" t="s">
        <v>138</v>
      </c>
      <c r="B48" s="55">
        <v>0.254</v>
      </c>
      <c r="C48" s="55" t="s">
        <v>105</v>
      </c>
      <c r="D48" s="57" t="s">
        <v>107</v>
      </c>
      <c r="E48" s="55" t="s">
        <v>106</v>
      </c>
      <c r="F48" s="47" t="s">
        <v>152</v>
      </c>
      <c r="G48" s="47">
        <f t="shared" si="18"/>
        <v>184.7958</v>
      </c>
      <c r="H48" s="47">
        <f t="shared" si="19"/>
        <v>205.2773345</v>
      </c>
      <c r="I48" s="47">
        <f t="shared" si="20"/>
        <v>215.5951</v>
      </c>
      <c r="J48" s="47">
        <f t="shared" si="21"/>
        <v>54.8655308055555</v>
      </c>
      <c r="K48" s="47">
        <f t="shared" si="22"/>
        <v>73.2619633897569</v>
      </c>
      <c r="L48" s="47">
        <f t="shared" si="23"/>
        <v>70.6686195529514</v>
      </c>
      <c r="M48" s="47">
        <f t="shared" si="24"/>
        <v>149.344522395833</v>
      </c>
      <c r="N48" s="47">
        <f t="shared" si="25"/>
        <v>44.5413487847222</v>
      </c>
      <c r="O48" s="47">
        <f t="shared" si="26"/>
        <v>42.0987931875</v>
      </c>
      <c r="P48" s="56">
        <v>15.39965</v>
      </c>
      <c r="Q48" s="56"/>
    </row>
    <row r="49" s="5" customFormat="1" ht="18" customHeight="1" spans="1:17">
      <c r="A49" s="55" t="s">
        <v>138</v>
      </c>
      <c r="B49" s="55">
        <v>0.254</v>
      </c>
      <c r="C49" s="55" t="s">
        <v>105</v>
      </c>
      <c r="D49" s="57" t="s">
        <v>31</v>
      </c>
      <c r="E49" s="55" t="s">
        <v>106</v>
      </c>
      <c r="F49" s="47" t="s">
        <v>152</v>
      </c>
      <c r="G49" s="47">
        <f t="shared" si="18"/>
        <v>161.3496</v>
      </c>
      <c r="H49" s="47">
        <f t="shared" si="19"/>
        <v>179.232514</v>
      </c>
      <c r="I49" s="47">
        <f t="shared" si="20"/>
        <v>188.2412</v>
      </c>
      <c r="J49" s="47">
        <f t="shared" si="21"/>
        <v>47.9043974444444</v>
      </c>
      <c r="K49" s="47">
        <f t="shared" si="22"/>
        <v>63.9667594618056</v>
      </c>
      <c r="L49" s="47">
        <f t="shared" si="23"/>
        <v>61.7024493923611</v>
      </c>
      <c r="M49" s="47">
        <f t="shared" si="24"/>
        <v>130.396247916667</v>
      </c>
      <c r="N49" s="47">
        <f t="shared" si="25"/>
        <v>38.8901090277778</v>
      </c>
      <c r="O49" s="47">
        <f t="shared" si="26"/>
        <v>36.75745575</v>
      </c>
      <c r="P49" s="56">
        <v>13.4458</v>
      </c>
      <c r="Q49" s="56"/>
    </row>
    <row r="50" s="5" customFormat="1" ht="18" customHeight="1" spans="1:17">
      <c r="A50" s="55" t="s">
        <v>138</v>
      </c>
      <c r="B50" s="55">
        <v>0.254</v>
      </c>
      <c r="C50" s="55" t="s">
        <v>105</v>
      </c>
      <c r="D50" s="57" t="s">
        <v>34</v>
      </c>
      <c r="E50" s="55" t="s">
        <v>106</v>
      </c>
      <c r="F50" s="47" t="s">
        <v>152</v>
      </c>
      <c r="G50" s="47">
        <f t="shared" ref="G50:G72" si="27">P50*12</f>
        <v>217.0326</v>
      </c>
      <c r="H50" s="47">
        <f t="shared" ref="H50:H72" si="28">P50*13.33</f>
        <v>241.0870465</v>
      </c>
      <c r="I50" s="47">
        <f t="shared" ref="I50:I72" si="29">P50*14</f>
        <v>253.2047</v>
      </c>
      <c r="J50" s="47">
        <f t="shared" ref="J50:J72" si="30">21.2*24.2/144*P50</f>
        <v>64.4365770277778</v>
      </c>
      <c r="K50" s="47">
        <f t="shared" ref="K50:K72" si="31">28.25*24.25/144*P50</f>
        <v>86.0421849175347</v>
      </c>
      <c r="L50" s="47">
        <f t="shared" ref="L50:L72" si="32">27.25*24.25/144*P50</f>
        <v>82.996443858507</v>
      </c>
      <c r="M50" s="47">
        <f t="shared" ref="M50:M72" si="33">28.5*49/144*P50</f>
        <v>175.397005729167</v>
      </c>
      <c r="N50" s="47">
        <f t="shared" ref="N50:N72" si="34">17*24.5/144*P50</f>
        <v>52.3113876736111</v>
      </c>
      <c r="O50" s="47">
        <f t="shared" ref="O50:O72" si="35">24.3*16.2/144*P50</f>
        <v>49.4427391875</v>
      </c>
      <c r="P50" s="56">
        <v>18.08605</v>
      </c>
      <c r="Q50" s="56"/>
    </row>
    <row r="51" s="5" customFormat="1" ht="18" customHeight="1" spans="1:17">
      <c r="A51" s="55" t="s">
        <v>138</v>
      </c>
      <c r="B51" s="55">
        <v>0.254</v>
      </c>
      <c r="C51" s="55" t="s">
        <v>105</v>
      </c>
      <c r="D51" s="57" t="s">
        <v>108</v>
      </c>
      <c r="E51" s="55" t="s">
        <v>106</v>
      </c>
      <c r="F51" s="47" t="s">
        <v>152</v>
      </c>
      <c r="G51" s="47">
        <f t="shared" si="27"/>
        <v>267.7752</v>
      </c>
      <c r="H51" s="47">
        <f t="shared" si="28"/>
        <v>297.453618</v>
      </c>
      <c r="I51" s="47">
        <f t="shared" si="29"/>
        <v>312.4044</v>
      </c>
      <c r="J51" s="47">
        <f t="shared" si="30"/>
        <v>79.501961</v>
      </c>
      <c r="K51" s="47">
        <f t="shared" si="31"/>
        <v>106.15899765625</v>
      </c>
      <c r="L51" s="47">
        <f t="shared" si="32"/>
        <v>102.40115703125</v>
      </c>
      <c r="M51" s="47">
        <f t="shared" si="33"/>
        <v>216.40513125</v>
      </c>
      <c r="N51" s="47">
        <f t="shared" si="34"/>
        <v>64.54188125</v>
      </c>
      <c r="O51" s="47">
        <f t="shared" si="35"/>
        <v>61.00253775</v>
      </c>
      <c r="P51" s="56">
        <v>22.3146</v>
      </c>
      <c r="Q51" s="56"/>
    </row>
    <row r="52" s="5" customFormat="1" ht="18" customHeight="1" spans="1:17">
      <c r="A52" s="55" t="s">
        <v>138</v>
      </c>
      <c r="B52" s="55">
        <v>0.254</v>
      </c>
      <c r="C52" s="55" t="s">
        <v>105</v>
      </c>
      <c r="D52" s="57" t="s">
        <v>109</v>
      </c>
      <c r="E52" s="55" t="s">
        <v>106</v>
      </c>
      <c r="F52" s="47" t="s">
        <v>152</v>
      </c>
      <c r="G52" s="47">
        <f t="shared" si="27"/>
        <v>286.4328</v>
      </c>
      <c r="H52" s="47">
        <f t="shared" si="28"/>
        <v>318.179102</v>
      </c>
      <c r="I52" s="47">
        <f t="shared" si="29"/>
        <v>334.1716</v>
      </c>
      <c r="J52" s="47">
        <f t="shared" si="30"/>
        <v>85.0413678888889</v>
      </c>
      <c r="K52" s="47">
        <f t="shared" si="31"/>
        <v>113.555769704861</v>
      </c>
      <c r="L52" s="47">
        <f t="shared" si="32"/>
        <v>109.536096440972</v>
      </c>
      <c r="M52" s="47">
        <f t="shared" si="33"/>
        <v>231.483452083333</v>
      </c>
      <c r="N52" s="47">
        <f t="shared" si="34"/>
        <v>69.0389243055556</v>
      </c>
      <c r="O52" s="47">
        <f t="shared" si="35"/>
        <v>65.25297225</v>
      </c>
      <c r="P52" s="56">
        <v>23.8694</v>
      </c>
      <c r="Q52" s="56"/>
    </row>
    <row r="53" s="5" customFormat="1" ht="18" customHeight="1" spans="1:17">
      <c r="A53" s="121" t="s">
        <v>138</v>
      </c>
      <c r="B53" s="55">
        <v>0.305</v>
      </c>
      <c r="C53" s="55" t="s">
        <v>105</v>
      </c>
      <c r="D53" s="57" t="s">
        <v>107</v>
      </c>
      <c r="E53" s="55" t="s">
        <v>106</v>
      </c>
      <c r="F53" s="47" t="s">
        <v>153</v>
      </c>
      <c r="G53" s="47">
        <f t="shared" si="27"/>
        <v>219.024</v>
      </c>
      <c r="H53" s="47">
        <f t="shared" si="28"/>
        <v>243.29916</v>
      </c>
      <c r="I53" s="47">
        <f t="shared" si="29"/>
        <v>255.528</v>
      </c>
      <c r="J53" s="47">
        <f t="shared" si="30"/>
        <v>65.02782</v>
      </c>
      <c r="K53" s="47">
        <f t="shared" si="31"/>
        <v>86.831671875</v>
      </c>
      <c r="L53" s="47">
        <f t="shared" si="32"/>
        <v>83.757984375</v>
      </c>
      <c r="M53" s="47">
        <f t="shared" si="33"/>
        <v>177.006375</v>
      </c>
      <c r="N53" s="47">
        <f t="shared" si="34"/>
        <v>52.791375</v>
      </c>
      <c r="O53" s="47">
        <f t="shared" si="35"/>
        <v>49.896405</v>
      </c>
      <c r="P53" s="56">
        <v>18.252</v>
      </c>
      <c r="Q53" s="56"/>
    </row>
    <row r="54" s="5" customFormat="1" ht="18" customHeight="1" spans="1:17">
      <c r="A54" s="55" t="s">
        <v>138</v>
      </c>
      <c r="B54" s="55">
        <v>0.305</v>
      </c>
      <c r="C54" s="55" t="s">
        <v>105</v>
      </c>
      <c r="D54" s="57" t="s">
        <v>34</v>
      </c>
      <c r="E54" s="55" t="s">
        <v>106</v>
      </c>
      <c r="F54" s="47" t="s">
        <v>153</v>
      </c>
      <c r="G54" s="47">
        <f t="shared" si="27"/>
        <v>229.3776</v>
      </c>
      <c r="H54" s="47">
        <f t="shared" si="28"/>
        <v>254.800284</v>
      </c>
      <c r="I54" s="47">
        <f t="shared" si="29"/>
        <v>267.6072</v>
      </c>
      <c r="J54" s="47">
        <f t="shared" si="30"/>
        <v>68.1017846666667</v>
      </c>
      <c r="K54" s="47">
        <f t="shared" si="31"/>
        <v>90.9363380208333</v>
      </c>
      <c r="L54" s="47">
        <f t="shared" si="32"/>
        <v>87.7173526041667</v>
      </c>
      <c r="M54" s="47">
        <f t="shared" si="33"/>
        <v>185.3737375</v>
      </c>
      <c r="N54" s="47">
        <f t="shared" si="34"/>
        <v>55.2869041666667</v>
      </c>
      <c r="O54" s="47">
        <f t="shared" si="35"/>
        <v>52.2550845</v>
      </c>
      <c r="P54" s="56">
        <v>19.1148</v>
      </c>
      <c r="Q54" s="56"/>
    </row>
    <row r="55" s="5" customFormat="1" ht="18" customHeight="1" spans="1:17">
      <c r="A55" s="55" t="s">
        <v>138</v>
      </c>
      <c r="B55" s="55">
        <v>0.305</v>
      </c>
      <c r="C55" s="55" t="s">
        <v>105</v>
      </c>
      <c r="D55" s="57" t="s">
        <v>41</v>
      </c>
      <c r="E55" s="55" t="s">
        <v>106</v>
      </c>
      <c r="F55" s="47" t="s">
        <v>153</v>
      </c>
      <c r="G55" s="47">
        <f t="shared" si="27"/>
        <v>373.8144</v>
      </c>
      <c r="H55" s="47">
        <f t="shared" si="28"/>
        <v>415.245496</v>
      </c>
      <c r="I55" s="47">
        <f t="shared" si="29"/>
        <v>436.1168</v>
      </c>
      <c r="J55" s="47">
        <f t="shared" si="30"/>
        <v>110.984803111111</v>
      </c>
      <c r="K55" s="47">
        <f t="shared" si="31"/>
        <v>148.198048263889</v>
      </c>
      <c r="L55" s="47">
        <f t="shared" si="32"/>
        <v>142.952099652778</v>
      </c>
      <c r="M55" s="47">
        <f t="shared" si="33"/>
        <v>302.101741666667</v>
      </c>
      <c r="N55" s="47">
        <f t="shared" si="34"/>
        <v>90.1005194444444</v>
      </c>
      <c r="O55" s="47">
        <f t="shared" si="35"/>
        <v>85.159593</v>
      </c>
      <c r="P55" s="56">
        <v>31.1512</v>
      </c>
      <c r="Q55" s="56"/>
    </row>
    <row r="56" s="5" customFormat="1" ht="18" customHeight="1" spans="1:17">
      <c r="A56" s="55" t="s">
        <v>138</v>
      </c>
      <c r="B56" s="55">
        <v>0.305</v>
      </c>
      <c r="C56" s="55" t="s">
        <v>105</v>
      </c>
      <c r="D56" s="57" t="s">
        <v>41</v>
      </c>
      <c r="E56" s="55" t="s">
        <v>106</v>
      </c>
      <c r="F56" s="47" t="s">
        <v>154</v>
      </c>
      <c r="G56" s="47">
        <f t="shared" si="27"/>
        <v>367.6896</v>
      </c>
      <c r="H56" s="47">
        <f t="shared" si="28"/>
        <v>408.441864</v>
      </c>
      <c r="I56" s="47">
        <f t="shared" si="29"/>
        <v>428.9712</v>
      </c>
      <c r="J56" s="47">
        <f t="shared" si="30"/>
        <v>109.166361333333</v>
      </c>
      <c r="K56" s="47">
        <f t="shared" si="31"/>
        <v>145.769882291667</v>
      </c>
      <c r="L56" s="47">
        <f t="shared" si="32"/>
        <v>140.609886458333</v>
      </c>
      <c r="M56" s="47">
        <f t="shared" si="33"/>
        <v>297.151925</v>
      </c>
      <c r="N56" s="47">
        <f t="shared" si="34"/>
        <v>88.6242583333333</v>
      </c>
      <c r="O56" s="47">
        <f t="shared" si="35"/>
        <v>83.764287</v>
      </c>
      <c r="P56" s="56">
        <v>30.6408</v>
      </c>
      <c r="Q56" s="56"/>
    </row>
    <row r="57" s="5" customFormat="1" ht="18" customHeight="1" spans="1:17">
      <c r="A57" s="55" t="s">
        <v>138</v>
      </c>
      <c r="B57" s="55">
        <v>0.356</v>
      </c>
      <c r="C57" s="55" t="s">
        <v>105</v>
      </c>
      <c r="D57" s="57" t="s">
        <v>41</v>
      </c>
      <c r="E57" s="55" t="s">
        <v>106</v>
      </c>
      <c r="F57" s="47" t="s">
        <v>153</v>
      </c>
      <c r="G57" s="47">
        <f t="shared" si="27"/>
        <v>398.6004</v>
      </c>
      <c r="H57" s="47">
        <f t="shared" si="28"/>
        <v>442.778611</v>
      </c>
      <c r="I57" s="47">
        <f t="shared" si="29"/>
        <v>465.0338</v>
      </c>
      <c r="J57" s="47">
        <f t="shared" si="30"/>
        <v>118.343720611111</v>
      </c>
      <c r="K57" s="47">
        <f t="shared" si="31"/>
        <v>158.024413498264</v>
      </c>
      <c r="L57" s="47">
        <f t="shared" si="32"/>
        <v>152.430628949653</v>
      </c>
      <c r="M57" s="47">
        <f t="shared" si="33"/>
        <v>322.132788541667</v>
      </c>
      <c r="N57" s="47">
        <f t="shared" si="34"/>
        <v>96.0746913194445</v>
      </c>
      <c r="O57" s="47">
        <f t="shared" si="35"/>
        <v>90.806153625</v>
      </c>
      <c r="P57" s="56">
        <v>33.2167</v>
      </c>
      <c r="Q57" s="56"/>
    </row>
    <row r="58" s="5" customFormat="1" ht="18" customHeight="1" spans="1:17">
      <c r="A58" s="55" t="s">
        <v>138</v>
      </c>
      <c r="B58" s="55">
        <v>0.381</v>
      </c>
      <c r="C58" s="55" t="s">
        <v>105</v>
      </c>
      <c r="D58" s="57" t="s">
        <v>109</v>
      </c>
      <c r="E58" s="55" t="s">
        <v>106</v>
      </c>
      <c r="F58" s="47" t="s">
        <v>153</v>
      </c>
      <c r="G58" s="47">
        <f t="shared" si="27"/>
        <v>312.225</v>
      </c>
      <c r="H58" s="47">
        <f t="shared" si="28"/>
        <v>346.8299375</v>
      </c>
      <c r="I58" s="47">
        <f t="shared" si="29"/>
        <v>364.2625</v>
      </c>
      <c r="J58" s="47">
        <f t="shared" si="30"/>
        <v>92.6990243055555</v>
      </c>
      <c r="K58" s="47">
        <f t="shared" si="31"/>
        <v>123.781041124132</v>
      </c>
      <c r="L58" s="47">
        <f t="shared" si="32"/>
        <v>119.399411349826</v>
      </c>
      <c r="M58" s="47">
        <f t="shared" si="33"/>
        <v>252.327669270833</v>
      </c>
      <c r="N58" s="47">
        <f t="shared" si="34"/>
        <v>75.2556206597222</v>
      </c>
      <c r="O58" s="47">
        <f t="shared" si="35"/>
        <v>71.1287578125</v>
      </c>
      <c r="P58" s="56">
        <v>26.01875</v>
      </c>
      <c r="Q58" s="56"/>
    </row>
    <row r="59" s="5" customFormat="1" ht="18" customHeight="1" spans="1:17">
      <c r="A59" s="55" t="s">
        <v>138</v>
      </c>
      <c r="B59" s="55">
        <v>0.406</v>
      </c>
      <c r="C59" s="55" t="s">
        <v>105</v>
      </c>
      <c r="D59" s="57" t="s">
        <v>34</v>
      </c>
      <c r="E59" s="55" t="s">
        <v>106</v>
      </c>
      <c r="F59" s="47" t="s">
        <v>155</v>
      </c>
      <c r="G59" s="47">
        <f t="shared" si="27"/>
        <v>257.7702</v>
      </c>
      <c r="H59" s="47">
        <f t="shared" si="28"/>
        <v>286.3397305</v>
      </c>
      <c r="I59" s="47">
        <f t="shared" si="29"/>
        <v>300.7319</v>
      </c>
      <c r="J59" s="47">
        <f t="shared" si="30"/>
        <v>76.5314950277778</v>
      </c>
      <c r="K59" s="47">
        <f t="shared" si="31"/>
        <v>102.192533355035</v>
      </c>
      <c r="L59" s="47">
        <f t="shared" si="32"/>
        <v>98.5750985460069</v>
      </c>
      <c r="M59" s="47">
        <f t="shared" si="33"/>
        <v>208.319493229167</v>
      </c>
      <c r="N59" s="47">
        <f t="shared" si="34"/>
        <v>62.1303751736111</v>
      </c>
      <c r="O59" s="47">
        <f t="shared" si="35"/>
        <v>58.7232736875</v>
      </c>
      <c r="P59" s="56">
        <v>21.48085</v>
      </c>
      <c r="Q59" s="56"/>
    </row>
    <row r="60" s="5" customFormat="1" ht="18" customHeight="1" spans="1:17">
      <c r="A60" s="55" t="s">
        <v>138</v>
      </c>
      <c r="B60" s="55">
        <v>0.457</v>
      </c>
      <c r="C60" s="55" t="s">
        <v>105</v>
      </c>
      <c r="D60" s="57" t="s">
        <v>34</v>
      </c>
      <c r="E60" s="55" t="s">
        <v>106</v>
      </c>
      <c r="F60" s="47" t="s">
        <v>155</v>
      </c>
      <c r="G60" s="47">
        <f t="shared" si="27"/>
        <v>281.7738</v>
      </c>
      <c r="H60" s="47">
        <f t="shared" si="28"/>
        <v>313.0037295</v>
      </c>
      <c r="I60" s="47">
        <f t="shared" si="29"/>
        <v>328.7361</v>
      </c>
      <c r="J60" s="47">
        <f t="shared" si="30"/>
        <v>83.6581194166667</v>
      </c>
      <c r="K60" s="47">
        <f t="shared" si="31"/>
        <v>111.708717513021</v>
      </c>
      <c r="L60" s="47">
        <f t="shared" si="32"/>
        <v>107.754426627604</v>
      </c>
      <c r="M60" s="47">
        <f t="shared" si="33"/>
        <v>227.7182359375</v>
      </c>
      <c r="N60" s="47">
        <f t="shared" si="34"/>
        <v>67.9159651041667</v>
      </c>
      <c r="O60" s="47">
        <f t="shared" si="35"/>
        <v>64.1915938125</v>
      </c>
      <c r="P60" s="56">
        <v>23.48115</v>
      </c>
      <c r="Q60" s="56"/>
    </row>
    <row r="61" s="5" customFormat="1" ht="18" customHeight="1" spans="1:17">
      <c r="A61" s="55" t="s">
        <v>138</v>
      </c>
      <c r="B61" s="55">
        <v>0.457</v>
      </c>
      <c r="C61" s="55" t="s">
        <v>105</v>
      </c>
      <c r="D61" s="57" t="s">
        <v>109</v>
      </c>
      <c r="E61" s="55" t="s">
        <v>106</v>
      </c>
      <c r="F61" s="47" t="s">
        <v>155</v>
      </c>
      <c r="G61" s="47">
        <f t="shared" si="27"/>
        <v>341.0808</v>
      </c>
      <c r="H61" s="47">
        <f t="shared" si="28"/>
        <v>378.883922</v>
      </c>
      <c r="I61" s="47">
        <f t="shared" si="29"/>
        <v>397.9276</v>
      </c>
      <c r="J61" s="47">
        <f t="shared" si="30"/>
        <v>101.266257888889</v>
      </c>
      <c r="K61" s="47">
        <f t="shared" si="31"/>
        <v>135.220871267361</v>
      </c>
      <c r="L61" s="47">
        <f t="shared" si="32"/>
        <v>130.434291753472</v>
      </c>
      <c r="M61" s="47">
        <f t="shared" si="33"/>
        <v>275.647764583333</v>
      </c>
      <c r="N61" s="47">
        <f t="shared" si="34"/>
        <v>82.2107368055556</v>
      </c>
      <c r="O61" s="47">
        <f t="shared" si="35"/>
        <v>77.70246975</v>
      </c>
      <c r="P61" s="56">
        <v>28.4234</v>
      </c>
      <c r="Q61" s="56"/>
    </row>
    <row r="62" s="5" customFormat="1" ht="18" customHeight="1" spans="1:17">
      <c r="A62" s="55" t="s">
        <v>138</v>
      </c>
      <c r="B62" s="55">
        <v>0.457</v>
      </c>
      <c r="C62" s="55" t="s">
        <v>105</v>
      </c>
      <c r="D62" s="57" t="s">
        <v>41</v>
      </c>
      <c r="E62" s="55" t="s">
        <v>106</v>
      </c>
      <c r="F62" s="47" t="s">
        <v>155</v>
      </c>
      <c r="G62" s="47">
        <f t="shared" si="27"/>
        <v>432.9864</v>
      </c>
      <c r="H62" s="47">
        <f t="shared" si="28"/>
        <v>480.975726</v>
      </c>
      <c r="I62" s="47">
        <f t="shared" si="29"/>
        <v>505.1508</v>
      </c>
      <c r="J62" s="47">
        <f t="shared" si="30"/>
        <v>128.552860333333</v>
      </c>
      <c r="K62" s="47">
        <f t="shared" si="31"/>
        <v>171.656681510417</v>
      </c>
      <c r="L62" s="47">
        <f t="shared" si="32"/>
        <v>165.580338802083</v>
      </c>
      <c r="M62" s="47">
        <f t="shared" si="33"/>
        <v>349.92216875</v>
      </c>
      <c r="N62" s="47">
        <f t="shared" si="34"/>
        <v>104.362752083333</v>
      </c>
      <c r="O62" s="47">
        <f t="shared" si="35"/>
        <v>98.63971425</v>
      </c>
      <c r="P62" s="56">
        <v>36.0822</v>
      </c>
      <c r="Q62" s="56"/>
    </row>
    <row r="63" s="5" customFormat="1" ht="18" customHeight="1" spans="1:17">
      <c r="A63" s="55" t="s">
        <v>138</v>
      </c>
      <c r="B63" s="55">
        <v>0.508</v>
      </c>
      <c r="C63" s="55" t="s">
        <v>105</v>
      </c>
      <c r="D63" s="57" t="s">
        <v>41</v>
      </c>
      <c r="E63" s="55" t="s">
        <v>106</v>
      </c>
      <c r="F63" s="47" t="s">
        <v>155</v>
      </c>
      <c r="G63" s="47">
        <f t="shared" si="27"/>
        <v>416.5392</v>
      </c>
      <c r="H63" s="47">
        <f t="shared" si="28"/>
        <v>462.705628</v>
      </c>
      <c r="I63" s="47">
        <f t="shared" si="29"/>
        <v>485.9624</v>
      </c>
      <c r="J63" s="47">
        <f t="shared" si="30"/>
        <v>123.669717111111</v>
      </c>
      <c r="K63" s="47">
        <f t="shared" si="31"/>
        <v>165.136218576389</v>
      </c>
      <c r="L63" s="47">
        <f t="shared" si="32"/>
        <v>159.290688715278</v>
      </c>
      <c r="M63" s="47">
        <f t="shared" si="33"/>
        <v>336.630204166667</v>
      </c>
      <c r="N63" s="47">
        <f t="shared" si="34"/>
        <v>100.398481944444</v>
      </c>
      <c r="O63" s="47">
        <f t="shared" si="35"/>
        <v>94.8928365</v>
      </c>
      <c r="P63" s="56">
        <v>34.7116</v>
      </c>
      <c r="Q63" s="56"/>
    </row>
    <row r="64" s="5" customFormat="1" ht="18" customHeight="1" spans="1:17">
      <c r="A64" s="55" t="s">
        <v>138</v>
      </c>
      <c r="B64" s="55">
        <v>0.508</v>
      </c>
      <c r="C64" s="55" t="s">
        <v>105</v>
      </c>
      <c r="D64" s="57" t="s">
        <v>41</v>
      </c>
      <c r="E64" s="55" t="s">
        <v>106</v>
      </c>
      <c r="F64" s="47" t="s">
        <v>156</v>
      </c>
      <c r="G64" s="47">
        <f t="shared" si="27"/>
        <v>440.1648</v>
      </c>
      <c r="H64" s="47">
        <f t="shared" si="28"/>
        <v>488.949732</v>
      </c>
      <c r="I64" s="47">
        <f t="shared" si="29"/>
        <v>513.5256</v>
      </c>
      <c r="J64" s="47">
        <f t="shared" si="30"/>
        <v>130.684114</v>
      </c>
      <c r="K64" s="47">
        <f t="shared" si="31"/>
        <v>174.5025453125</v>
      </c>
      <c r="L64" s="47">
        <f t="shared" si="32"/>
        <v>168.3254640625</v>
      </c>
      <c r="M64" s="47">
        <f t="shared" si="33"/>
        <v>355.7234625</v>
      </c>
      <c r="N64" s="47">
        <f t="shared" si="34"/>
        <v>106.0929625</v>
      </c>
      <c r="O64" s="47">
        <f t="shared" si="35"/>
        <v>100.2750435</v>
      </c>
      <c r="P64" s="56">
        <v>36.6804</v>
      </c>
      <c r="Q64" s="56"/>
    </row>
    <row r="65" s="5" customFormat="1" ht="18" customHeight="1" spans="1:17">
      <c r="A65" s="55" t="s">
        <v>138</v>
      </c>
      <c r="B65" s="55">
        <v>0.508</v>
      </c>
      <c r="C65" s="55" t="s">
        <v>105</v>
      </c>
      <c r="D65" s="57" t="s">
        <v>34</v>
      </c>
      <c r="E65" s="55" t="s">
        <v>106</v>
      </c>
      <c r="F65" s="47" t="s">
        <v>156</v>
      </c>
      <c r="G65" s="47">
        <f t="shared" si="27"/>
        <v>285.264</v>
      </c>
      <c r="H65" s="47">
        <f t="shared" si="28"/>
        <v>316.88076</v>
      </c>
      <c r="I65" s="47">
        <f t="shared" si="29"/>
        <v>332.808</v>
      </c>
      <c r="J65" s="47">
        <f t="shared" si="30"/>
        <v>84.6943533333333</v>
      </c>
      <c r="K65" s="47">
        <f t="shared" si="31"/>
        <v>113.092401041667</v>
      </c>
      <c r="L65" s="47">
        <f t="shared" si="32"/>
        <v>109.089130208333</v>
      </c>
      <c r="M65" s="47">
        <f t="shared" si="33"/>
        <v>230.538875</v>
      </c>
      <c r="N65" s="47">
        <f t="shared" si="34"/>
        <v>68.7572083333333</v>
      </c>
      <c r="O65" s="47">
        <f t="shared" si="35"/>
        <v>64.986705</v>
      </c>
      <c r="P65" s="56">
        <v>23.772</v>
      </c>
      <c r="Q65" s="56"/>
    </row>
    <row r="66" s="5" customFormat="1" ht="18" customHeight="1" spans="1:17">
      <c r="A66" s="55" t="s">
        <v>138</v>
      </c>
      <c r="B66" s="55">
        <v>0.533</v>
      </c>
      <c r="C66" s="55" t="s">
        <v>105</v>
      </c>
      <c r="D66" s="57" t="s">
        <v>31</v>
      </c>
      <c r="E66" s="55" t="s">
        <v>106</v>
      </c>
      <c r="F66" s="47" t="s">
        <v>156</v>
      </c>
      <c r="G66" s="47">
        <f t="shared" si="27"/>
        <v>232.2678</v>
      </c>
      <c r="H66" s="47">
        <f t="shared" si="28"/>
        <v>258.0108145</v>
      </c>
      <c r="I66" s="47">
        <f t="shared" si="29"/>
        <v>270.9791</v>
      </c>
      <c r="J66" s="47">
        <f t="shared" si="30"/>
        <v>68.9598796944444</v>
      </c>
      <c r="K66" s="47">
        <f t="shared" si="31"/>
        <v>92.082152625868</v>
      </c>
      <c r="L66" s="47">
        <f t="shared" si="32"/>
        <v>88.8226074001736</v>
      </c>
      <c r="M66" s="47">
        <f t="shared" si="33"/>
        <v>187.709480729167</v>
      </c>
      <c r="N66" s="47">
        <f t="shared" si="34"/>
        <v>55.9835293402778</v>
      </c>
      <c r="O66" s="47">
        <f t="shared" si="35"/>
        <v>52.9135081875</v>
      </c>
      <c r="P66" s="56">
        <v>19.35565</v>
      </c>
      <c r="Q66" s="56"/>
    </row>
    <row r="67" s="5" customFormat="1" ht="18" customHeight="1" spans="1:17">
      <c r="A67" s="55" t="s">
        <v>138</v>
      </c>
      <c r="B67" s="55">
        <v>0.533</v>
      </c>
      <c r="C67" s="55" t="s">
        <v>105</v>
      </c>
      <c r="D67" s="57" t="s">
        <v>41</v>
      </c>
      <c r="E67" s="55" t="s">
        <v>106</v>
      </c>
      <c r="F67" s="47" t="s">
        <v>156</v>
      </c>
      <c r="G67" s="47">
        <f t="shared" si="27"/>
        <v>440.6754</v>
      </c>
      <c r="H67" s="47">
        <f t="shared" si="28"/>
        <v>489.5169235</v>
      </c>
      <c r="I67" s="47">
        <f t="shared" si="29"/>
        <v>514.1213</v>
      </c>
      <c r="J67" s="47">
        <f t="shared" si="30"/>
        <v>130.835710194444</v>
      </c>
      <c r="K67" s="47">
        <f t="shared" si="31"/>
        <v>174.704971766493</v>
      </c>
      <c r="L67" s="47">
        <f t="shared" si="32"/>
        <v>168.520724978299</v>
      </c>
      <c r="M67" s="47">
        <f t="shared" si="33"/>
        <v>356.136108854167</v>
      </c>
      <c r="N67" s="47">
        <f t="shared" si="34"/>
        <v>106.216032465278</v>
      </c>
      <c r="O67" s="47">
        <f t="shared" si="35"/>
        <v>100.3913645625</v>
      </c>
      <c r="P67" s="56">
        <v>36.72295</v>
      </c>
      <c r="Q67" s="56"/>
    </row>
    <row r="68" s="5" customFormat="1" ht="18" customHeight="1" spans="1:17">
      <c r="A68" s="55" t="s">
        <v>138</v>
      </c>
      <c r="B68" s="55">
        <v>0.61</v>
      </c>
      <c r="C68" s="55" t="s">
        <v>105</v>
      </c>
      <c r="D68" s="57" t="s">
        <v>31</v>
      </c>
      <c r="E68" s="55" t="s">
        <v>106</v>
      </c>
      <c r="F68" s="47" t="s">
        <v>157</v>
      </c>
      <c r="G68" s="47">
        <f t="shared" si="27"/>
        <v>249.10272</v>
      </c>
      <c r="H68" s="47">
        <f t="shared" si="28"/>
        <v>276.7116048</v>
      </c>
      <c r="I68" s="47">
        <f t="shared" si="29"/>
        <v>290.61984</v>
      </c>
      <c r="J68" s="47">
        <f t="shared" si="30"/>
        <v>73.9581362666666</v>
      </c>
      <c r="K68" s="47">
        <f t="shared" si="31"/>
        <v>98.7563264583333</v>
      </c>
      <c r="L68" s="47">
        <f t="shared" si="32"/>
        <v>95.2605272916666</v>
      </c>
      <c r="M68" s="47">
        <f t="shared" si="33"/>
        <v>201.314785</v>
      </c>
      <c r="N68" s="47">
        <f t="shared" si="34"/>
        <v>60.0412516666667</v>
      </c>
      <c r="O68" s="47">
        <f t="shared" si="35"/>
        <v>56.7487134</v>
      </c>
      <c r="P68" s="56">
        <v>20.75856</v>
      </c>
      <c r="Q68" s="56"/>
    </row>
    <row r="69" s="5" customFormat="1" ht="18" customHeight="1" spans="1:17">
      <c r="A69" s="55" t="s">
        <v>138</v>
      </c>
      <c r="B69" s="55">
        <v>0.61</v>
      </c>
      <c r="C69" s="55" t="s">
        <v>105</v>
      </c>
      <c r="D69" s="57" t="s">
        <v>34</v>
      </c>
      <c r="E69" s="55" t="s">
        <v>106</v>
      </c>
      <c r="F69" s="47" t="s">
        <v>157</v>
      </c>
      <c r="G69" s="47">
        <f t="shared" si="27"/>
        <v>315.1308</v>
      </c>
      <c r="H69" s="47">
        <f t="shared" si="28"/>
        <v>350.057797</v>
      </c>
      <c r="I69" s="47">
        <f t="shared" si="29"/>
        <v>367.6526</v>
      </c>
      <c r="J69" s="47">
        <f t="shared" si="30"/>
        <v>93.5617509444444</v>
      </c>
      <c r="K69" s="47">
        <f t="shared" si="31"/>
        <v>124.933040321181</v>
      </c>
      <c r="L69" s="47">
        <f t="shared" si="32"/>
        <v>120.510631814236</v>
      </c>
      <c r="M69" s="47">
        <f t="shared" si="33"/>
        <v>254.676019791667</v>
      </c>
      <c r="N69" s="47">
        <f t="shared" si="34"/>
        <v>75.9560059027778</v>
      </c>
      <c r="O69" s="47">
        <f t="shared" si="35"/>
        <v>71.790735375</v>
      </c>
      <c r="P69" s="56">
        <v>26.2609</v>
      </c>
      <c r="Q69" s="56"/>
    </row>
    <row r="70" s="5" customFormat="1" ht="18" customHeight="1" spans="1:17">
      <c r="A70" s="55" t="s">
        <v>138</v>
      </c>
      <c r="B70" s="55">
        <v>0.61</v>
      </c>
      <c r="C70" s="55" t="s">
        <v>105</v>
      </c>
      <c r="D70" s="57" t="s">
        <v>41</v>
      </c>
      <c r="E70" s="55" t="s">
        <v>106</v>
      </c>
      <c r="F70" s="47" t="s">
        <v>157</v>
      </c>
      <c r="G70" s="47">
        <f t="shared" si="27"/>
        <v>459.05304</v>
      </c>
      <c r="H70" s="47">
        <f t="shared" si="28"/>
        <v>509.9314186</v>
      </c>
      <c r="I70" s="47">
        <f t="shared" si="29"/>
        <v>535.56188</v>
      </c>
      <c r="J70" s="47">
        <f t="shared" si="30"/>
        <v>136.291997477778</v>
      </c>
      <c r="K70" s="47">
        <f t="shared" si="31"/>
        <v>181.990754175347</v>
      </c>
      <c r="L70" s="47">
        <f t="shared" si="32"/>
        <v>175.548603585069</v>
      </c>
      <c r="M70" s="47">
        <f t="shared" si="33"/>
        <v>370.988177291667</v>
      </c>
      <c r="N70" s="47">
        <f t="shared" si="34"/>
        <v>110.645596736111</v>
      </c>
      <c r="O70" s="47">
        <f t="shared" si="35"/>
        <v>104.578020675</v>
      </c>
      <c r="P70" s="56">
        <v>38.25442</v>
      </c>
      <c r="Q70" s="56"/>
    </row>
    <row r="71" s="5" customFormat="1" ht="18" customHeight="1" spans="1:17">
      <c r="A71" s="55" t="s">
        <v>138</v>
      </c>
      <c r="B71" s="55">
        <v>0.991</v>
      </c>
      <c r="C71" s="55" t="s">
        <v>105</v>
      </c>
      <c r="D71" s="57" t="s">
        <v>31</v>
      </c>
      <c r="E71" s="55" t="s">
        <v>106</v>
      </c>
      <c r="F71" s="47" t="s">
        <v>158</v>
      </c>
      <c r="G71" s="47">
        <f t="shared" si="27"/>
        <v>282.0996</v>
      </c>
      <c r="H71" s="47">
        <f t="shared" si="28"/>
        <v>313.365639</v>
      </c>
      <c r="I71" s="47">
        <f t="shared" si="29"/>
        <v>329.1162</v>
      </c>
      <c r="J71" s="47">
        <f t="shared" si="30"/>
        <v>83.7548488333333</v>
      </c>
      <c r="K71" s="47">
        <f t="shared" si="31"/>
        <v>111.837880338542</v>
      </c>
      <c r="L71" s="47">
        <f t="shared" si="32"/>
        <v>107.879017317708</v>
      </c>
      <c r="M71" s="47">
        <f t="shared" si="33"/>
        <v>227.981534375</v>
      </c>
      <c r="N71" s="47">
        <f t="shared" si="34"/>
        <v>67.9944927083333</v>
      </c>
      <c r="O71" s="47">
        <f t="shared" si="35"/>
        <v>64.265815125</v>
      </c>
      <c r="P71" s="56">
        <v>23.5083</v>
      </c>
      <c r="Q71" s="56"/>
    </row>
    <row r="72" s="5" customFormat="1" ht="18" customHeight="1" spans="1:17">
      <c r="A72" s="55" t="s">
        <v>138</v>
      </c>
      <c r="B72" s="55">
        <v>1.23</v>
      </c>
      <c r="C72" s="55" t="s">
        <v>105</v>
      </c>
      <c r="D72" s="57" t="s">
        <v>34</v>
      </c>
      <c r="E72" s="55" t="s">
        <v>106</v>
      </c>
      <c r="F72" s="47" t="s">
        <v>159</v>
      </c>
      <c r="G72" s="47">
        <f t="shared" si="27"/>
        <v>540.6978</v>
      </c>
      <c r="H72" s="47">
        <f t="shared" si="28"/>
        <v>600.6251395</v>
      </c>
      <c r="I72" s="47">
        <f t="shared" si="29"/>
        <v>630.8141</v>
      </c>
      <c r="J72" s="47">
        <f t="shared" si="30"/>
        <v>160.532175527778</v>
      </c>
      <c r="K72" s="47">
        <f t="shared" si="31"/>
        <v>214.35867280816</v>
      </c>
      <c r="L72" s="47">
        <f t="shared" si="32"/>
        <v>206.770755186632</v>
      </c>
      <c r="M72" s="47">
        <f t="shared" si="33"/>
        <v>436.970183854167</v>
      </c>
      <c r="N72" s="47">
        <f t="shared" si="34"/>
        <v>130.324440798611</v>
      </c>
      <c r="O72" s="47">
        <f t="shared" si="35"/>
        <v>123.1777175625</v>
      </c>
      <c r="P72" s="56">
        <v>45.05815</v>
      </c>
      <c r="Q72" s="56"/>
    </row>
    <row r="73" s="38" customFormat="1" ht="15.6" spans="1:17">
      <c r="A73" s="4"/>
      <c r="B73" s="4"/>
      <c r="C73" s="4"/>
      <c r="D73" s="4"/>
      <c r="E73" s="4"/>
      <c r="F73" s="4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2"/>
    </row>
    <row r="74" s="1" customFormat="1" ht="17.4" spans="1:17">
      <c r="A74" s="38" t="s">
        <v>75</v>
      </c>
      <c r="B74" s="38"/>
      <c r="C74" s="38"/>
      <c r="D74" s="38"/>
      <c r="E74" s="39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</row>
    <row r="75" s="1" customFormat="1" ht="17.4" spans="1:17">
      <c r="A75" s="38" t="s">
        <v>76</v>
      </c>
      <c r="B75" s="38"/>
      <c r="C75" s="38"/>
      <c r="D75" s="38"/>
      <c r="E75" s="41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</row>
    <row r="76" s="1" customFormat="1" ht="17.4" spans="1:17">
      <c r="A76" s="38" t="s">
        <v>77</v>
      </c>
      <c r="B76" s="38"/>
      <c r="C76" s="38"/>
      <c r="D76" s="38"/>
      <c r="E76" s="41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</row>
    <row r="77" s="6" customFormat="1" ht="17.4" spans="1:17">
      <c r="A77" s="6" t="s">
        <v>160</v>
      </c>
      <c r="I77" s="42"/>
      <c r="J77" s="42"/>
      <c r="K77" s="42"/>
      <c r="L77" s="42"/>
      <c r="M77" s="42"/>
      <c r="N77" s="42"/>
      <c r="O77" s="42"/>
      <c r="P77" s="42"/>
      <c r="Q77" s="28"/>
    </row>
    <row r="78" ht="36" customHeight="1" spans="1:17">
      <c r="A78" s="122" t="s">
        <v>124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</row>
    <row r="81" s="6" customFormat="1" ht="16" customHeight="1" spans="1:17">
      <c r="A81" s="1" t="s">
        <v>80</v>
      </c>
      <c r="B81" s="1"/>
      <c r="C81" s="1"/>
      <c r="D81" s="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1"/>
    </row>
  </sheetData>
  <mergeCells count="8">
    <mergeCell ref="A1:Q1"/>
    <mergeCell ref="A2:Q2"/>
    <mergeCell ref="A3:Q3"/>
    <mergeCell ref="A5:B5"/>
    <mergeCell ref="A7:B7"/>
    <mergeCell ref="A8:B8"/>
    <mergeCell ref="D11:E11"/>
    <mergeCell ref="A78:P78"/>
  </mergeCells>
  <pageMargins left="0.75" right="0.75" top="1" bottom="1" header="0.5" footer="0.5"/>
  <pageSetup paperSize="9" scale="57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EP51"/>
  <sheetViews>
    <sheetView view="pageBreakPreview" zoomScaleNormal="100" topLeftCell="A6" workbookViewId="0">
      <selection activeCell="C27" sqref="C27:E27"/>
    </sheetView>
  </sheetViews>
  <sheetFormatPr defaultColWidth="9" defaultRowHeight="12.75" customHeight="1"/>
  <cols>
    <col min="1" max="1" width="11.1111111111111" style="6" customWidth="1"/>
    <col min="2" max="2" width="9" style="6" customWidth="1"/>
    <col min="3" max="3" width="10.2222222222222" style="6" customWidth="1"/>
    <col min="4" max="4" width="10" style="6" customWidth="1"/>
    <col min="5" max="5" width="15.5555555555556" style="6" customWidth="1"/>
    <col min="6" max="6" width="14.8796296296296" style="28" customWidth="1"/>
    <col min="7" max="7" width="11.6666666666667" style="51" customWidth="1"/>
    <col min="8" max="8" width="10.2222222222222" style="6"/>
    <col min="9" max="16384" width="9" style="6"/>
  </cols>
  <sheetData>
    <row r="1" s="1" customFormat="1" ht="97" customHeight="1" spans="1:146">
      <c r="A1" s="7"/>
      <c r="B1" s="7"/>
      <c r="C1" s="7"/>
      <c r="D1" s="7"/>
      <c r="E1" s="7"/>
      <c r="F1" s="7"/>
      <c r="G1" s="7"/>
    </row>
    <row r="2" s="2" customFormat="1" customHeight="1" spans="1:146">
      <c r="A2" s="4" t="s">
        <v>0</v>
      </c>
      <c r="B2" s="4"/>
      <c r="C2" s="4"/>
      <c r="D2" s="4"/>
      <c r="E2" s="4"/>
      <c r="F2" s="4"/>
      <c r="G2" s="4"/>
    </row>
    <row r="3" s="1" customFormat="1" customHeight="1" spans="1:146">
      <c r="A3" s="4" t="s">
        <v>1</v>
      </c>
      <c r="B3" s="4"/>
      <c r="C3" s="4"/>
      <c r="D3" s="4"/>
      <c r="E3" s="4"/>
      <c r="F3" s="4"/>
      <c r="G3" s="4"/>
      <c r="H3" s="1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</row>
    <row r="4" s="1" customFormat="1" customHeight="1" spans="1:146"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</row>
    <row r="5" s="1" customFormat="1" ht="15" customHeight="1" spans="1:146">
      <c r="A5" s="9" t="s">
        <v>2</v>
      </c>
      <c r="B5" s="9"/>
      <c r="C5" s="58"/>
      <c r="D5" s="2"/>
      <c r="F5" s="119" t="s">
        <v>3</v>
      </c>
      <c r="G5" s="119"/>
      <c r="H5" s="1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</row>
    <row r="6" s="1" customFormat="1" ht="15" customHeight="1" spans="1:146">
      <c r="A6" s="10" t="s">
        <v>4</v>
      </c>
      <c r="B6" s="10"/>
      <c r="C6" s="59"/>
      <c r="D6" s="2"/>
      <c r="F6" s="119" t="s">
        <v>5</v>
      </c>
      <c r="G6" s="119"/>
      <c r="H6" s="1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</row>
    <row r="7" s="1" customFormat="1" ht="15" customHeight="1" spans="1:146">
      <c r="A7" s="9" t="s">
        <v>6</v>
      </c>
      <c r="B7" s="9"/>
      <c r="C7" s="58"/>
      <c r="D7" s="2"/>
      <c r="F7" s="119" t="s">
        <v>7</v>
      </c>
      <c r="G7" s="119"/>
      <c r="H7" s="1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</row>
    <row r="8" s="3" customFormat="1" ht="15" customHeight="1" spans="1:146">
      <c r="A8" s="9" t="s">
        <v>8</v>
      </c>
      <c r="B8" s="9"/>
      <c r="C8" s="60"/>
      <c r="D8" s="61"/>
      <c r="F8" s="119" t="s">
        <v>9</v>
      </c>
      <c r="G8" s="119"/>
    </row>
    <row r="9" s="4" customFormat="1" ht="14.25" customHeight="1" spans="1:146">
      <c r="A9" s="11" t="s">
        <v>161</v>
      </c>
      <c r="B9" s="12"/>
      <c r="C9" s="27"/>
      <c r="E9" s="13"/>
    </row>
    <row r="11" s="4" customFormat="1" ht="15" spans="1:146">
      <c r="A11" s="14" t="s">
        <v>11</v>
      </c>
      <c r="B11" s="29" t="s">
        <v>84</v>
      </c>
      <c r="C11" s="64" t="s">
        <v>85</v>
      </c>
      <c r="D11" s="62" t="s">
        <v>86</v>
      </c>
      <c r="E11" s="14" t="s">
        <v>87</v>
      </c>
      <c r="F11" s="14" t="s">
        <v>88</v>
      </c>
      <c r="G11" s="14" t="s">
        <v>28</v>
      </c>
    </row>
    <row r="12" s="6" customFormat="1" ht="15.6" spans="1:146">
      <c r="A12" s="14" t="s">
        <v>138</v>
      </c>
      <c r="B12" s="14">
        <v>106</v>
      </c>
      <c r="C12" s="67">
        <v>0.71</v>
      </c>
      <c r="D12" s="14">
        <v>300</v>
      </c>
      <c r="E12" s="103">
        <v>31.2455</v>
      </c>
      <c r="F12" s="94">
        <f>E12*D12</f>
        <v>9373.65</v>
      </c>
      <c r="G12" s="104"/>
      <c r="H12" s="120"/>
    </row>
    <row r="13" s="6" customFormat="1" ht="15.6" spans="1:146">
      <c r="A13" s="14" t="s">
        <v>138</v>
      </c>
      <c r="B13" s="14">
        <v>106</v>
      </c>
      <c r="C13" s="67">
        <v>0.72</v>
      </c>
      <c r="D13" s="14">
        <v>300</v>
      </c>
      <c r="E13" s="103">
        <v>32.04245</v>
      </c>
      <c r="F13" s="94">
        <f t="shared" ref="F12:F15" si="0">E13*D13</f>
        <v>9612.735</v>
      </c>
      <c r="G13" s="104"/>
      <c r="H13" s="120"/>
    </row>
    <row r="14" s="6" customFormat="1" ht="15.6" spans="1:146">
      <c r="A14" s="14" t="s">
        <v>138</v>
      </c>
      <c r="B14" s="14">
        <v>106</v>
      </c>
      <c r="C14" s="67">
        <v>0.75</v>
      </c>
      <c r="D14" s="14">
        <v>300</v>
      </c>
      <c r="E14" s="103">
        <v>36.938</v>
      </c>
      <c r="F14" s="94">
        <f t="shared" si="0"/>
        <v>11081.4</v>
      </c>
      <c r="G14" s="104"/>
      <c r="H14" s="120"/>
    </row>
    <row r="15" s="6" customFormat="1" ht="15.6" spans="1:146">
      <c r="A15" s="14" t="s">
        <v>138</v>
      </c>
      <c r="B15" s="14">
        <v>1037</v>
      </c>
      <c r="C15" s="67">
        <v>0.7</v>
      </c>
      <c r="D15" s="14">
        <v>300</v>
      </c>
      <c r="E15" s="103">
        <v>51.19455</v>
      </c>
      <c r="F15" s="94">
        <f t="shared" si="0"/>
        <v>15358.365</v>
      </c>
      <c r="G15" s="104"/>
      <c r="H15" s="120"/>
    </row>
    <row r="16" s="6" customFormat="1" ht="15.6" spans="1:146">
      <c r="A16" s="14" t="s">
        <v>138</v>
      </c>
      <c r="B16" s="14">
        <v>1067</v>
      </c>
      <c r="C16" s="67">
        <v>0.72</v>
      </c>
      <c r="D16" s="14">
        <v>300</v>
      </c>
      <c r="E16" s="103">
        <v>36.9127</v>
      </c>
      <c r="F16" s="94">
        <f t="shared" ref="F16:F21" si="1">E16*D16</f>
        <v>11073.81</v>
      </c>
      <c r="G16" s="104"/>
      <c r="H16" s="120"/>
    </row>
    <row r="17" s="6" customFormat="1" ht="15.6" spans="1:8">
      <c r="A17" s="14" t="s">
        <v>138</v>
      </c>
      <c r="B17" s="14">
        <v>1067</v>
      </c>
      <c r="C17" s="67">
        <v>0.75</v>
      </c>
      <c r="D17" s="14">
        <v>300</v>
      </c>
      <c r="E17" s="103">
        <v>40.41675</v>
      </c>
      <c r="F17" s="94">
        <f t="shared" si="1"/>
        <v>12125.025</v>
      </c>
      <c r="G17" s="104"/>
      <c r="H17" s="120"/>
    </row>
    <row r="18" s="6" customFormat="1" ht="15.6" spans="1:8">
      <c r="A18" s="14" t="s">
        <v>138</v>
      </c>
      <c r="B18" s="14">
        <v>1078</v>
      </c>
      <c r="C18" s="67">
        <v>0.62</v>
      </c>
      <c r="D18" s="14">
        <v>300</v>
      </c>
      <c r="E18" s="103">
        <v>34.6863</v>
      </c>
      <c r="F18" s="94">
        <f t="shared" si="1"/>
        <v>10405.89</v>
      </c>
      <c r="G18" s="104"/>
      <c r="H18" s="120"/>
    </row>
    <row r="19" s="6" customFormat="1" ht="15.6" spans="1:8">
      <c r="A19" s="14" t="s">
        <v>138</v>
      </c>
      <c r="B19" s="14">
        <v>1078</v>
      </c>
      <c r="C19" s="67">
        <v>0.65</v>
      </c>
      <c r="D19" s="14">
        <v>300</v>
      </c>
      <c r="E19" s="103">
        <v>36.2043</v>
      </c>
      <c r="F19" s="94">
        <f t="shared" si="1"/>
        <v>10861.29</v>
      </c>
      <c r="G19" s="104"/>
      <c r="H19" s="120"/>
    </row>
    <row r="20" s="6" customFormat="1" ht="15.6" spans="1:8">
      <c r="A20" s="14" t="s">
        <v>138</v>
      </c>
      <c r="B20" s="14">
        <v>1078</v>
      </c>
      <c r="C20" s="67">
        <v>0.68</v>
      </c>
      <c r="D20" s="14">
        <v>300</v>
      </c>
      <c r="E20" s="103">
        <v>40.3029</v>
      </c>
      <c r="F20" s="94">
        <f t="shared" si="1"/>
        <v>12090.87</v>
      </c>
      <c r="G20" s="104"/>
      <c r="H20" s="120"/>
    </row>
    <row r="21" s="6" customFormat="1" ht="15.6" spans="1:8">
      <c r="A21" s="14" t="s">
        <v>138</v>
      </c>
      <c r="B21" s="14">
        <v>1078</v>
      </c>
      <c r="C21" s="67">
        <v>0.72</v>
      </c>
      <c r="D21" s="14">
        <v>300</v>
      </c>
      <c r="E21" s="103">
        <v>45.034</v>
      </c>
      <c r="F21" s="94">
        <f t="shared" si="1"/>
        <v>13510.2</v>
      </c>
      <c r="G21" s="104"/>
      <c r="H21" s="120"/>
    </row>
    <row r="22" s="6" customFormat="1" ht="15.6" spans="1:8">
      <c r="A22" s="14" t="s">
        <v>138</v>
      </c>
      <c r="B22" s="14">
        <v>1080</v>
      </c>
      <c r="C22" s="67" t="s">
        <v>162</v>
      </c>
      <c r="D22" s="14">
        <v>300</v>
      </c>
      <c r="E22" s="103">
        <v>34.9899</v>
      </c>
      <c r="F22" s="94">
        <f t="shared" ref="F22:F34" si="2">E22*D22</f>
        <v>10496.97</v>
      </c>
      <c r="G22" s="104"/>
      <c r="H22" s="120"/>
    </row>
    <row r="23" s="6" customFormat="1" ht="15.6" spans="1:8">
      <c r="A23" s="14" t="s">
        <v>138</v>
      </c>
      <c r="B23" s="14">
        <v>1080</v>
      </c>
      <c r="C23" s="67" t="s">
        <v>163</v>
      </c>
      <c r="D23" s="14">
        <v>300</v>
      </c>
      <c r="E23" s="103">
        <v>36.8874</v>
      </c>
      <c r="F23" s="94">
        <f t="shared" si="2"/>
        <v>11066.22</v>
      </c>
      <c r="G23" s="104"/>
      <c r="H23" s="120"/>
    </row>
    <row r="24" s="6" customFormat="1" ht="15.6" spans="1:8">
      <c r="A24" s="14" t="s">
        <v>138</v>
      </c>
      <c r="B24" s="14">
        <v>1080</v>
      </c>
      <c r="C24" s="67">
        <v>0.68</v>
      </c>
      <c r="D24" s="14">
        <v>300</v>
      </c>
      <c r="E24" s="103">
        <v>37.6717</v>
      </c>
      <c r="F24" s="94">
        <f t="shared" si="2"/>
        <v>11301.51</v>
      </c>
      <c r="G24" s="104"/>
      <c r="H24" s="120"/>
    </row>
    <row r="25" s="6" customFormat="1" ht="15.6" spans="1:8">
      <c r="A25" s="14" t="s">
        <v>138</v>
      </c>
      <c r="B25" s="14">
        <v>1080</v>
      </c>
      <c r="C25" s="67">
        <v>0.7</v>
      </c>
      <c r="D25" s="14">
        <v>300</v>
      </c>
      <c r="E25" s="103">
        <v>38.4307</v>
      </c>
      <c r="F25" s="94">
        <f t="shared" si="2"/>
        <v>11529.21</v>
      </c>
      <c r="G25" s="104"/>
      <c r="H25" s="120"/>
    </row>
    <row r="26" s="6" customFormat="1" ht="15.6" spans="1:8">
      <c r="A26" s="14" t="s">
        <v>138</v>
      </c>
      <c r="B26" s="14">
        <v>1080</v>
      </c>
      <c r="C26" s="67">
        <v>0.72</v>
      </c>
      <c r="D26" s="14">
        <v>300</v>
      </c>
      <c r="E26" s="103">
        <v>39.4174</v>
      </c>
      <c r="F26" s="94">
        <f t="shared" si="2"/>
        <v>11825.22</v>
      </c>
      <c r="G26" s="104"/>
      <c r="H26" s="120"/>
    </row>
    <row r="27" s="6" customFormat="1" ht="15.6" spans="1:8">
      <c r="A27" s="14" t="s">
        <v>138</v>
      </c>
      <c r="B27" s="14">
        <v>2116</v>
      </c>
      <c r="C27" s="67">
        <v>0.53</v>
      </c>
      <c r="D27" s="14">
        <v>200</v>
      </c>
      <c r="E27" s="103">
        <v>40.3029</v>
      </c>
      <c r="F27" s="94">
        <f t="shared" si="2"/>
        <v>8060.58</v>
      </c>
      <c r="G27" s="104"/>
      <c r="H27" s="120"/>
    </row>
    <row r="28" s="6" customFormat="1" ht="15.6" spans="1:8">
      <c r="A28" s="14" t="s">
        <v>138</v>
      </c>
      <c r="B28" s="14">
        <v>2116</v>
      </c>
      <c r="C28" s="67" t="s">
        <v>164</v>
      </c>
      <c r="D28" s="14">
        <v>200</v>
      </c>
      <c r="E28" s="103">
        <v>42.2257</v>
      </c>
      <c r="F28" s="94">
        <f t="shared" si="2"/>
        <v>8445.14</v>
      </c>
      <c r="G28" s="104"/>
      <c r="H28" s="120"/>
    </row>
    <row r="29" s="6" customFormat="1" ht="15.6" spans="1:8">
      <c r="A29" s="14" t="s">
        <v>138</v>
      </c>
      <c r="B29" s="14">
        <v>2116</v>
      </c>
      <c r="C29" s="67">
        <v>0.58</v>
      </c>
      <c r="D29" s="14">
        <v>200</v>
      </c>
      <c r="E29" s="103">
        <v>45.12255</v>
      </c>
      <c r="F29" s="94">
        <f t="shared" si="2"/>
        <v>9024.51</v>
      </c>
      <c r="G29" s="104"/>
      <c r="H29" s="120"/>
    </row>
    <row r="30" s="6" customFormat="1" ht="15.6" spans="1:8">
      <c r="A30" s="14" t="s">
        <v>138</v>
      </c>
      <c r="B30" s="14">
        <v>2116</v>
      </c>
      <c r="C30" s="67">
        <v>0.6</v>
      </c>
      <c r="D30" s="14">
        <v>200</v>
      </c>
      <c r="E30" s="103">
        <v>50.4229</v>
      </c>
      <c r="F30" s="94">
        <f t="shared" si="2"/>
        <v>10084.58</v>
      </c>
      <c r="G30" s="104"/>
      <c r="H30" s="120"/>
    </row>
    <row r="31" s="6" customFormat="1" ht="15.6" spans="1:8">
      <c r="A31" s="14" t="s">
        <v>138</v>
      </c>
      <c r="B31" s="14">
        <v>3313</v>
      </c>
      <c r="C31" s="67">
        <v>0.56</v>
      </c>
      <c r="D31" s="14">
        <v>300</v>
      </c>
      <c r="E31" s="103">
        <v>42.7064</v>
      </c>
      <c r="F31" s="94">
        <f t="shared" si="2"/>
        <v>12811.92</v>
      </c>
      <c r="G31" s="104"/>
      <c r="H31" s="120"/>
    </row>
    <row r="32" s="38" customFormat="1" ht="15.6" spans="1:8">
      <c r="A32" s="14" t="s">
        <v>138</v>
      </c>
      <c r="B32" s="14">
        <v>3313</v>
      </c>
      <c r="C32" s="67">
        <v>0.57</v>
      </c>
      <c r="D32" s="14">
        <v>300</v>
      </c>
      <c r="E32" s="103">
        <v>42.7064</v>
      </c>
      <c r="F32" s="94">
        <f t="shared" si="2"/>
        <v>12811.92</v>
      </c>
      <c r="G32" s="104"/>
      <c r="H32" s="120"/>
    </row>
    <row r="33" s="38" customFormat="1" ht="15.6" spans="1:140">
      <c r="A33" s="14" t="s">
        <v>138</v>
      </c>
      <c r="B33" s="14">
        <v>3313</v>
      </c>
      <c r="C33" s="67">
        <v>0.58</v>
      </c>
      <c r="D33" s="14">
        <v>300</v>
      </c>
      <c r="E33" s="103">
        <v>44.51535</v>
      </c>
      <c r="F33" s="94">
        <f t="shared" si="2"/>
        <v>13354.605</v>
      </c>
      <c r="G33" s="104"/>
      <c r="H33" s="120"/>
    </row>
    <row r="34" s="38" customFormat="1" ht="15.6" spans="1:140">
      <c r="A34" s="14" t="s">
        <v>138</v>
      </c>
      <c r="B34" s="14">
        <v>3313</v>
      </c>
      <c r="C34" s="67">
        <v>0.6</v>
      </c>
      <c r="D34" s="14">
        <v>300</v>
      </c>
      <c r="E34" s="103">
        <v>49.14525</v>
      </c>
      <c r="F34" s="94">
        <f t="shared" si="2"/>
        <v>14743.575</v>
      </c>
      <c r="G34" s="104"/>
      <c r="H34" s="120"/>
    </row>
    <row r="35" s="38" customFormat="1" ht="15.6" spans="1:140">
      <c r="E35" s="40"/>
      <c r="F35" s="40"/>
      <c r="G35" s="39"/>
    </row>
    <row r="36" s="38" customFormat="1" ht="15.6" spans="1:140">
      <c r="A36" s="38" t="s">
        <v>75</v>
      </c>
      <c r="E36" s="40"/>
      <c r="F36" s="40"/>
      <c r="G36" s="39"/>
    </row>
    <row r="37" s="1" customFormat="1" ht="17.4" spans="1:140">
      <c r="A37" s="38" t="s">
        <v>76</v>
      </c>
      <c r="B37" s="38"/>
      <c r="C37" s="38"/>
      <c r="D37" s="38"/>
      <c r="E37" s="26"/>
      <c r="F37" s="26"/>
      <c r="G37" s="41"/>
    </row>
    <row r="38" s="1" customFormat="1" ht="17.4" spans="1:140">
      <c r="A38" s="38" t="s">
        <v>77</v>
      </c>
      <c r="B38" s="38"/>
      <c r="C38" s="38"/>
      <c r="D38" s="38"/>
      <c r="E38" s="26"/>
      <c r="F38" s="26"/>
      <c r="G38" s="41"/>
    </row>
    <row r="39" s="6" customFormat="1" ht="19" customHeight="1" spans="1:140">
      <c r="A39" s="6" t="s">
        <v>160</v>
      </c>
      <c r="I39" s="42"/>
      <c r="J39" s="28"/>
    </row>
    <row r="40" s="1" customFormat="1" ht="17.4" spans="1:140">
      <c r="A40" s="1" t="s">
        <v>80</v>
      </c>
      <c r="E40" s="41"/>
      <c r="G40" s="26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</row>
    <row r="51" s="6" customFormat="1" customHeight="1" spans="4:7">
      <c r="D51" s="26"/>
      <c r="F51" s="28"/>
      <c r="G51" s="51"/>
    </row>
  </sheetData>
  <mergeCells count="10">
    <mergeCell ref="A1:G1"/>
    <mergeCell ref="A2:G2"/>
    <mergeCell ref="A3:G3"/>
    <mergeCell ref="A5:B5"/>
    <mergeCell ref="F5:G5"/>
    <mergeCell ref="F6:G6"/>
    <mergeCell ref="A7:B7"/>
    <mergeCell ref="F7:G7"/>
    <mergeCell ref="A8:B8"/>
    <mergeCell ref="F8:G8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view="pageBreakPreview" zoomScale="85" zoomScaleNormal="85" topLeftCell="A11" workbookViewId="0">
      <selection activeCell="M22" sqref="M22"/>
    </sheetView>
  </sheetViews>
  <sheetFormatPr defaultColWidth="8.88888888888889" defaultRowHeight="14.4"/>
  <cols>
    <col min="1" max="6" width="8.88888888888889" style="5"/>
    <col min="7" max="7" width="9.33333333333333" style="5"/>
    <col min="8" max="9" width="8.22222222222222" style="5" customWidth="1"/>
    <col min="10" max="11" width="10.1111111111111" style="5" customWidth="1"/>
    <col min="12" max="13" width="12.6666666666667" style="5" customWidth="1"/>
    <col min="14" max="15" width="8.55555555555556" style="5" customWidth="1"/>
    <col min="16" max="16" width="12.8148148148148" style="5" customWidth="1"/>
    <col min="17" max="17" width="11.5555555555556" style="5" customWidth="1"/>
    <col min="18" max="18" width="11.1111111111111" style="5" customWidth="1"/>
    <col min="19" max="16384" width="8.88888888888889" style="5"/>
  </cols>
  <sheetData>
    <row r="1" s="1" customFormat="1" ht="99" customHeight="1" spans="1:18">
      <c r="A1" s="8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="2" customFormat="1" ht="12.75" customHeight="1" spans="1:18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="1" customFormat="1" ht="12.75" customHeight="1" spans="1:18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="1" customFormat="1" ht="12.75" customHeight="1" spans="1:1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="1" customFormat="1" ht="15" customHeight="1" spans="1:18">
      <c r="A5" s="9" t="s">
        <v>2</v>
      </c>
      <c r="B5" s="9"/>
      <c r="C5" s="9"/>
      <c r="D5" s="9"/>
      <c r="E5" s="9"/>
      <c r="J5" s="10"/>
      <c r="K5" s="10"/>
      <c r="L5" s="10"/>
      <c r="M5" s="10"/>
      <c r="N5" s="10"/>
      <c r="O5" s="10" t="s">
        <v>3</v>
      </c>
      <c r="P5" s="10"/>
      <c r="R5" s="10"/>
    </row>
    <row r="6" s="1" customFormat="1" ht="15" customHeight="1" spans="1:18">
      <c r="A6" s="10" t="s">
        <v>4</v>
      </c>
      <c r="B6" s="10"/>
      <c r="C6" s="10"/>
      <c r="D6" s="9"/>
      <c r="E6" s="9"/>
      <c r="J6" s="10"/>
      <c r="K6" s="10"/>
      <c r="L6" s="10"/>
      <c r="M6" s="10"/>
      <c r="N6" s="10"/>
      <c r="O6" s="10" t="s">
        <v>5</v>
      </c>
      <c r="P6" s="10"/>
      <c r="R6" s="10"/>
    </row>
    <row r="7" s="1" customFormat="1" ht="15" customHeight="1" spans="1:18">
      <c r="A7" s="9" t="s">
        <v>6</v>
      </c>
      <c r="B7" s="9"/>
      <c r="C7" s="9"/>
      <c r="D7" s="9"/>
      <c r="E7" s="9"/>
      <c r="J7" s="10"/>
      <c r="K7" s="10"/>
      <c r="L7" s="10"/>
      <c r="M7" s="10"/>
      <c r="N7" s="10"/>
      <c r="O7" s="10" t="s">
        <v>7</v>
      </c>
      <c r="P7" s="10"/>
      <c r="R7" s="10"/>
    </row>
    <row r="8" s="3" customFormat="1" ht="15" customHeight="1" spans="1:18">
      <c r="A8" s="9" t="s">
        <v>8</v>
      </c>
      <c r="B8" s="9"/>
      <c r="C8" s="9"/>
      <c r="D8" s="9"/>
      <c r="E8" s="9"/>
      <c r="J8" s="10"/>
      <c r="K8" s="10"/>
      <c r="L8" s="10"/>
      <c r="M8" s="10"/>
      <c r="N8" s="10"/>
      <c r="O8" s="10" t="s">
        <v>9</v>
      </c>
      <c r="P8" s="10"/>
      <c r="R8" s="10"/>
    </row>
    <row r="9" s="4" customFormat="1" ht="14.25" customHeight="1" spans="1:18">
      <c r="A9" s="11" t="s">
        <v>165</v>
      </c>
      <c r="B9" s="12"/>
      <c r="C9" s="12"/>
      <c r="D9" s="12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="4" customFormat="1" ht="14.25" customHeight="1" spans="1:18">
      <c r="A10" s="11"/>
      <c r="B10" s="12"/>
      <c r="C10" s="12"/>
      <c r="D10" s="12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ht="30" spans="1:18">
      <c r="A11" s="14" t="s">
        <v>11</v>
      </c>
      <c r="B11" s="14" t="s">
        <v>12</v>
      </c>
      <c r="C11" s="15" t="s">
        <v>13</v>
      </c>
      <c r="D11" s="16" t="s">
        <v>15</v>
      </c>
      <c r="E11" s="17"/>
      <c r="F11" s="14" t="s">
        <v>16</v>
      </c>
      <c r="G11" s="14" t="s">
        <v>17</v>
      </c>
      <c r="H11" s="14" t="s">
        <v>18</v>
      </c>
      <c r="I11" s="14" t="s">
        <v>19</v>
      </c>
      <c r="J11" s="14" t="s">
        <v>20</v>
      </c>
      <c r="K11" s="14" t="s">
        <v>21</v>
      </c>
      <c r="L11" s="14" t="s">
        <v>22</v>
      </c>
      <c r="M11" s="14" t="s">
        <v>23</v>
      </c>
      <c r="N11" s="14" t="s">
        <v>24</v>
      </c>
      <c r="O11" s="14" t="s">
        <v>25</v>
      </c>
      <c r="P11" s="14" t="s">
        <v>26</v>
      </c>
      <c r="Q11" s="19" t="s">
        <v>27</v>
      </c>
    </row>
    <row r="12" ht="15" spans="1:18">
      <c r="A12" s="14" t="s">
        <v>166</v>
      </c>
      <c r="B12" s="14">
        <v>0.102</v>
      </c>
      <c r="C12" s="14" t="s">
        <v>105</v>
      </c>
      <c r="D12" s="14" t="s">
        <v>106</v>
      </c>
      <c r="E12" s="14" t="s">
        <v>31</v>
      </c>
      <c r="F12" s="53" t="s">
        <v>145</v>
      </c>
      <c r="G12" s="53">
        <f>Q12*12</f>
        <v>198.1266</v>
      </c>
      <c r="H12" s="53">
        <f>Q12*13.33</f>
        <v>220.0856315</v>
      </c>
      <c r="I12" s="53">
        <f>Q12*14</f>
        <v>231.1477</v>
      </c>
      <c r="J12" s="53">
        <f>21.2*24.2/144*Q12</f>
        <v>58.8234206388889</v>
      </c>
      <c r="K12" s="53">
        <f>18.2*24.2/144*Q12</f>
        <v>50.4993516805555</v>
      </c>
      <c r="L12" s="53">
        <f>28.25*24.25/144*Q12</f>
        <v>78.5469351345486</v>
      </c>
      <c r="M12" s="53">
        <f>27.25*24.25/144*Q12</f>
        <v>75.7665126519097</v>
      </c>
      <c r="N12" s="53">
        <f>28.5*49/144*Q12</f>
        <v>160.117938020833</v>
      </c>
      <c r="O12" s="53">
        <f>17*24.5/144*Q12</f>
        <v>47.7544727430556</v>
      </c>
      <c r="P12" s="53">
        <f>24.3*16.2/144*Q12</f>
        <v>45.1357160625</v>
      </c>
      <c r="Q12" s="117">
        <v>16.51055</v>
      </c>
      <c r="R12" s="25"/>
    </row>
    <row r="13" ht="15" spans="1:18">
      <c r="A13" s="14" t="s">
        <v>166</v>
      </c>
      <c r="B13" s="14">
        <v>0.102</v>
      </c>
      <c r="C13" s="14" t="s">
        <v>105</v>
      </c>
      <c r="D13" s="14" t="s">
        <v>106</v>
      </c>
      <c r="E13" s="14" t="s">
        <v>31</v>
      </c>
      <c r="F13" s="53" t="s">
        <v>148</v>
      </c>
      <c r="G13" s="53">
        <f t="shared" ref="G13:G18" si="0">Q13*12</f>
        <v>184.0644</v>
      </c>
      <c r="H13" s="53">
        <f t="shared" ref="H13:H18" si="1">Q13*13.33</f>
        <v>204.464871</v>
      </c>
      <c r="I13" s="53">
        <f t="shared" ref="I13:I18" si="2">Q13*14</f>
        <v>214.7418</v>
      </c>
      <c r="J13" s="53">
        <f t="shared" ref="J13:J18" si="3">21.2*24.2/144*Q13</f>
        <v>54.6483795</v>
      </c>
      <c r="K13" s="53">
        <f t="shared" ref="K13:K18" si="4">18.2*24.2/144*Q13</f>
        <v>46.91511825</v>
      </c>
      <c r="L13" s="53">
        <f t="shared" ref="L13:L18" si="5">28.25*24.25/144*Q13</f>
        <v>72.972001171875</v>
      </c>
      <c r="M13" s="53">
        <f t="shared" ref="M13:M18" si="6">27.25*24.25/144*Q13</f>
        <v>70.388921484375</v>
      </c>
      <c r="N13" s="53">
        <f t="shared" ref="N13:N18" si="7">28.5*49/144*Q13</f>
        <v>148.753434375</v>
      </c>
      <c r="O13" s="53">
        <f t="shared" ref="O13:O18" si="8">17*24.5/144*Q13</f>
        <v>44.365059375</v>
      </c>
      <c r="P13" s="53">
        <f t="shared" ref="P13:P18" si="9">24.3*16.2/144*Q13</f>
        <v>41.932171125</v>
      </c>
      <c r="Q13" s="117">
        <v>15.3387</v>
      </c>
      <c r="R13" s="25"/>
    </row>
    <row r="14" ht="15" spans="1:18">
      <c r="A14" s="14" t="s">
        <v>166</v>
      </c>
      <c r="B14" s="14">
        <v>0.114</v>
      </c>
      <c r="C14" s="14" t="s">
        <v>105</v>
      </c>
      <c r="D14" s="14" t="s">
        <v>106</v>
      </c>
      <c r="E14" s="14" t="s">
        <v>34</v>
      </c>
      <c r="F14" s="53" t="s">
        <v>144</v>
      </c>
      <c r="G14" s="53">
        <f t="shared" si="0"/>
        <v>221.7246</v>
      </c>
      <c r="H14" s="53">
        <f t="shared" si="1"/>
        <v>246.2990765</v>
      </c>
      <c r="I14" s="53">
        <f t="shared" si="2"/>
        <v>258.6787</v>
      </c>
      <c r="J14" s="53">
        <f t="shared" si="3"/>
        <v>65.8296231388889</v>
      </c>
      <c r="K14" s="53">
        <f t="shared" si="4"/>
        <v>56.5141104305555</v>
      </c>
      <c r="L14" s="53">
        <f t="shared" si="5"/>
        <v>87.9023199001736</v>
      </c>
      <c r="M14" s="53">
        <f t="shared" si="6"/>
        <v>84.7907333550347</v>
      </c>
      <c r="N14" s="53">
        <f t="shared" si="7"/>
        <v>179.188891145833</v>
      </c>
      <c r="O14" s="53">
        <f t="shared" si="8"/>
        <v>53.4423008680556</v>
      </c>
      <c r="P14" s="53">
        <f t="shared" si="9"/>
        <v>50.5116354375</v>
      </c>
      <c r="Q14" s="117">
        <v>18.47705</v>
      </c>
      <c r="R14" s="25"/>
    </row>
    <row r="15" ht="15" spans="1:18">
      <c r="A15" s="14" t="s">
        <v>166</v>
      </c>
      <c r="B15" s="14">
        <v>0.127</v>
      </c>
      <c r="C15" s="14" t="s">
        <v>105</v>
      </c>
      <c r="D15" s="14" t="s">
        <v>106</v>
      </c>
      <c r="E15" s="14" t="s">
        <v>31</v>
      </c>
      <c r="F15" s="53" t="s">
        <v>149</v>
      </c>
      <c r="G15" s="53">
        <f t="shared" si="0"/>
        <v>195.8082</v>
      </c>
      <c r="H15" s="53">
        <f t="shared" si="1"/>
        <v>217.5102755</v>
      </c>
      <c r="I15" s="53">
        <f t="shared" si="2"/>
        <v>228.4429</v>
      </c>
      <c r="J15" s="53">
        <f t="shared" si="3"/>
        <v>58.1350919722222</v>
      </c>
      <c r="K15" s="53">
        <f t="shared" si="4"/>
        <v>49.9084280138889</v>
      </c>
      <c r="L15" s="53">
        <f t="shared" si="5"/>
        <v>77.6278096137153</v>
      </c>
      <c r="M15" s="53">
        <f t="shared" si="6"/>
        <v>74.879922547743</v>
      </c>
      <c r="N15" s="53">
        <f t="shared" si="7"/>
        <v>158.244300520833</v>
      </c>
      <c r="O15" s="53">
        <f t="shared" si="8"/>
        <v>47.1956685763889</v>
      </c>
      <c r="P15" s="53">
        <f t="shared" si="9"/>
        <v>44.6075555625</v>
      </c>
      <c r="Q15" s="117">
        <v>16.31735</v>
      </c>
      <c r="R15" s="25"/>
    </row>
    <row r="16" ht="15" spans="1:18">
      <c r="A16" s="14" t="s">
        <v>166</v>
      </c>
      <c r="B16" s="14">
        <v>0.152</v>
      </c>
      <c r="C16" s="14" t="s">
        <v>105</v>
      </c>
      <c r="D16" s="14" t="s">
        <v>106</v>
      </c>
      <c r="E16" s="14" t="s">
        <v>34</v>
      </c>
      <c r="F16" s="53" t="s">
        <v>150</v>
      </c>
      <c r="G16" s="53">
        <f t="shared" si="0"/>
        <v>271.9566</v>
      </c>
      <c r="H16" s="53">
        <f t="shared" si="1"/>
        <v>302.0984565</v>
      </c>
      <c r="I16" s="53">
        <f t="shared" si="2"/>
        <v>317.2827</v>
      </c>
      <c r="J16" s="53">
        <f t="shared" si="3"/>
        <v>80.7434109166666</v>
      </c>
      <c r="K16" s="53">
        <f t="shared" si="4"/>
        <v>69.3174565416667</v>
      </c>
      <c r="L16" s="53">
        <f t="shared" si="5"/>
        <v>107.816706184896</v>
      </c>
      <c r="M16" s="53">
        <f t="shared" si="6"/>
        <v>104.000185611979</v>
      </c>
      <c r="N16" s="53">
        <f t="shared" si="7"/>
        <v>219.7843703125</v>
      </c>
      <c r="O16" s="53">
        <f t="shared" si="8"/>
        <v>65.5497244791667</v>
      </c>
      <c r="P16" s="53">
        <f t="shared" si="9"/>
        <v>61.9551129375</v>
      </c>
      <c r="Q16" s="117">
        <v>22.66305</v>
      </c>
      <c r="R16" s="25"/>
    </row>
    <row r="17" ht="15" spans="1:18">
      <c r="A17" s="14" t="s">
        <v>166</v>
      </c>
      <c r="B17" s="14">
        <v>0.254</v>
      </c>
      <c r="C17" s="14" t="s">
        <v>105</v>
      </c>
      <c r="D17" s="14" t="s">
        <v>106</v>
      </c>
      <c r="E17" s="14" t="s">
        <v>107</v>
      </c>
      <c r="F17" s="53" t="s">
        <v>152</v>
      </c>
      <c r="G17" s="53">
        <f t="shared" si="0"/>
        <v>251.8776</v>
      </c>
      <c r="H17" s="53">
        <f t="shared" si="1"/>
        <v>279.794034</v>
      </c>
      <c r="I17" s="53">
        <f t="shared" si="2"/>
        <v>293.8572</v>
      </c>
      <c r="J17" s="53">
        <f t="shared" si="3"/>
        <v>74.781993</v>
      </c>
      <c r="K17" s="53">
        <f t="shared" si="4"/>
        <v>64.1996355</v>
      </c>
      <c r="L17" s="53">
        <f t="shared" si="5"/>
        <v>99.85642265625</v>
      </c>
      <c r="M17" s="53">
        <f t="shared" si="6"/>
        <v>96.32168203125</v>
      </c>
      <c r="N17" s="53">
        <f t="shared" si="7"/>
        <v>203.55733125</v>
      </c>
      <c r="O17" s="53">
        <f t="shared" si="8"/>
        <v>60.71008125</v>
      </c>
      <c r="P17" s="53">
        <f t="shared" si="9"/>
        <v>57.38086575</v>
      </c>
      <c r="Q17" s="117">
        <v>20.9898</v>
      </c>
      <c r="R17" s="25"/>
    </row>
    <row r="18" ht="15" spans="1:18">
      <c r="A18" s="14" t="s">
        <v>166</v>
      </c>
      <c r="B18" s="14">
        <v>0.254</v>
      </c>
      <c r="C18" s="14" t="s">
        <v>105</v>
      </c>
      <c r="D18" s="14" t="s">
        <v>106</v>
      </c>
      <c r="E18" s="62" t="s">
        <v>109</v>
      </c>
      <c r="F18" s="53" t="s">
        <v>152</v>
      </c>
      <c r="G18" s="53">
        <f t="shared" si="0"/>
        <v>370.806</v>
      </c>
      <c r="H18" s="53">
        <f t="shared" si="1"/>
        <v>411.903665</v>
      </c>
      <c r="I18" s="53">
        <f t="shared" si="2"/>
        <v>432.607</v>
      </c>
      <c r="J18" s="53">
        <f t="shared" si="3"/>
        <v>110.091614722222</v>
      </c>
      <c r="K18" s="53">
        <f t="shared" si="4"/>
        <v>94.5126126388889</v>
      </c>
      <c r="L18" s="53">
        <f t="shared" si="5"/>
        <v>147.005373480903</v>
      </c>
      <c r="M18" s="53">
        <f t="shared" si="6"/>
        <v>141.801643446181</v>
      </c>
      <c r="N18" s="53">
        <f t="shared" si="7"/>
        <v>299.670473958333</v>
      </c>
      <c r="O18" s="53">
        <f t="shared" si="8"/>
        <v>89.3754045138889</v>
      </c>
      <c r="P18" s="53">
        <f t="shared" si="9"/>
        <v>84.474241875</v>
      </c>
      <c r="Q18" s="117">
        <v>30.9005</v>
      </c>
      <c r="R18" s="25"/>
    </row>
    <row r="20" s="6" customFormat="1" ht="12.75" customHeight="1" spans="1:18">
      <c r="A20" s="11" t="s">
        <v>167</v>
      </c>
      <c r="B20" s="12"/>
      <c r="C20" s="27"/>
      <c r="D20" s="4"/>
      <c r="E20" s="13"/>
      <c r="F20" s="4"/>
      <c r="G20" s="4"/>
      <c r="R20" s="28"/>
    </row>
    <row r="21" ht="15.6" spans="1:18">
      <c r="A21" s="6"/>
      <c r="B21" s="6"/>
      <c r="C21" s="6"/>
      <c r="D21" s="6"/>
      <c r="E21" s="6"/>
      <c r="F21" s="28"/>
      <c r="G21" s="51"/>
    </row>
    <row r="22" ht="30" spans="1:18">
      <c r="A22" s="14" t="s">
        <v>11</v>
      </c>
      <c r="B22" s="29" t="s">
        <v>84</v>
      </c>
      <c r="C22" s="30" t="s">
        <v>168</v>
      </c>
      <c r="D22" s="15" t="s">
        <v>169</v>
      </c>
      <c r="E22" s="14" t="s">
        <v>87</v>
      </c>
      <c r="F22" s="14"/>
      <c r="G22" s="14" t="s">
        <v>88</v>
      </c>
      <c r="H22" s="14"/>
      <c r="I22" s="14" t="s">
        <v>28</v>
      </c>
    </row>
    <row r="23" ht="15" spans="1:18">
      <c r="A23" s="14" t="s">
        <v>166</v>
      </c>
      <c r="B23" s="14">
        <v>106</v>
      </c>
      <c r="C23" s="14">
        <v>79</v>
      </c>
      <c r="D23" s="14">
        <v>300</v>
      </c>
      <c r="E23" s="53">
        <v>65.3775</v>
      </c>
      <c r="F23" s="53"/>
      <c r="G23" s="54">
        <f t="shared" ref="G23:G29" si="10">E23*D23</f>
        <v>19613.25</v>
      </c>
      <c r="H23" s="54"/>
      <c r="I23" s="36"/>
    </row>
    <row r="24" ht="15" spans="1:18">
      <c r="A24" s="14" t="s">
        <v>166</v>
      </c>
      <c r="B24" s="14">
        <v>1078</v>
      </c>
      <c r="C24" s="14">
        <v>71</v>
      </c>
      <c r="D24" s="14">
        <v>300</v>
      </c>
      <c r="E24" s="53">
        <v>53.7625</v>
      </c>
      <c r="F24" s="53"/>
      <c r="G24" s="54">
        <f t="shared" si="10"/>
        <v>16128.75</v>
      </c>
      <c r="H24" s="54"/>
      <c r="I24" s="36"/>
    </row>
    <row r="25" ht="15" spans="1:18">
      <c r="A25" s="14" t="s">
        <v>166</v>
      </c>
      <c r="B25" s="14">
        <v>1067</v>
      </c>
      <c r="C25" s="14">
        <v>74</v>
      </c>
      <c r="D25" s="14">
        <v>300</v>
      </c>
      <c r="E25" s="53">
        <v>55.085</v>
      </c>
      <c r="F25" s="53"/>
      <c r="G25" s="54">
        <f t="shared" si="10"/>
        <v>16525.5</v>
      </c>
      <c r="H25" s="54"/>
      <c r="I25" s="36"/>
    </row>
    <row r="26" ht="15" spans="1:18">
      <c r="A26" s="14" t="s">
        <v>166</v>
      </c>
      <c r="B26" s="14">
        <v>1080</v>
      </c>
      <c r="C26" s="14">
        <v>67</v>
      </c>
      <c r="D26" s="14">
        <v>300</v>
      </c>
      <c r="E26" s="53">
        <v>53.4635</v>
      </c>
      <c r="F26" s="53"/>
      <c r="G26" s="54">
        <f t="shared" si="10"/>
        <v>16039.05</v>
      </c>
      <c r="H26" s="54"/>
      <c r="I26" s="36"/>
    </row>
    <row r="27" ht="15" spans="1:18">
      <c r="A27" s="14" t="s">
        <v>166</v>
      </c>
      <c r="B27" s="14">
        <v>2116</v>
      </c>
      <c r="C27" s="14">
        <v>57</v>
      </c>
      <c r="D27" s="14">
        <v>300</v>
      </c>
      <c r="E27" s="53">
        <v>64.4</v>
      </c>
      <c r="F27" s="53"/>
      <c r="G27" s="54">
        <f t="shared" si="10"/>
        <v>19320</v>
      </c>
      <c r="H27" s="54"/>
      <c r="I27" s="36"/>
    </row>
    <row r="28" ht="15" spans="1:18">
      <c r="A28" s="14" t="s">
        <v>166</v>
      </c>
      <c r="B28" s="14">
        <v>2116</v>
      </c>
      <c r="C28" s="14">
        <v>59</v>
      </c>
      <c r="D28" s="14">
        <v>300</v>
      </c>
      <c r="E28" s="53">
        <v>59.133</v>
      </c>
      <c r="F28" s="53"/>
      <c r="G28" s="54">
        <f t="shared" si="10"/>
        <v>17739.9</v>
      </c>
      <c r="H28" s="54"/>
      <c r="I28" s="36"/>
    </row>
    <row r="29" ht="15" spans="1:18">
      <c r="A29" s="14" t="s">
        <v>166</v>
      </c>
      <c r="B29" s="14">
        <v>2116</v>
      </c>
      <c r="C29" s="14">
        <v>62</v>
      </c>
      <c r="D29" s="14">
        <v>300</v>
      </c>
      <c r="E29" s="53">
        <v>77.7975</v>
      </c>
      <c r="F29" s="53"/>
      <c r="G29" s="54">
        <f t="shared" si="10"/>
        <v>23339.25</v>
      </c>
      <c r="H29" s="54"/>
      <c r="I29" s="36"/>
    </row>
    <row r="31" s="1" customFormat="1" ht="17.4" spans="1:18">
      <c r="A31" s="38" t="s">
        <v>75</v>
      </c>
      <c r="B31" s="38"/>
      <c r="C31" s="38"/>
      <c r="D31" s="38"/>
      <c r="E31" s="39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</row>
    <row r="32" s="1" customFormat="1" ht="17.4" spans="1:18">
      <c r="A32" s="38" t="s">
        <v>76</v>
      </c>
      <c r="B32" s="38"/>
      <c r="C32" s="38"/>
      <c r="D32" s="38"/>
      <c r="E32" s="41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="1" customFormat="1" ht="17.4" spans="1:18">
      <c r="A33" s="38" t="s">
        <v>77</v>
      </c>
      <c r="B33" s="38"/>
      <c r="C33" s="38"/>
      <c r="D33" s="38"/>
      <c r="E33" s="41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</row>
    <row r="34" s="6" customFormat="1" ht="17.4" spans="1:18">
      <c r="A34" s="6" t="s">
        <v>160</v>
      </c>
      <c r="I34" s="42"/>
      <c r="J34" s="42"/>
      <c r="K34" s="42"/>
      <c r="L34" s="42"/>
      <c r="M34" s="42"/>
      <c r="N34" s="42"/>
      <c r="O34" s="42"/>
      <c r="P34" s="42"/>
      <c r="Q34" s="42"/>
      <c r="R34" s="28"/>
    </row>
    <row r="35" s="6" customFormat="1" ht="12.75" customHeight="1" spans="1:18">
      <c r="A35" s="6" t="s">
        <v>170</v>
      </c>
      <c r="R35" s="28"/>
    </row>
    <row r="36" s="6" customFormat="1" ht="21" customHeight="1" spans="1:18">
      <c r="A36" s="1" t="s">
        <v>80</v>
      </c>
      <c r="B36" s="1"/>
      <c r="C36" s="1"/>
      <c r="D36" s="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1"/>
    </row>
  </sheetData>
  <mergeCells count="23">
    <mergeCell ref="B1:Q1"/>
    <mergeCell ref="A2:R2"/>
    <mergeCell ref="A3:R3"/>
    <mergeCell ref="A5:B5"/>
    <mergeCell ref="A7:B7"/>
    <mergeCell ref="A8:B8"/>
    <mergeCell ref="D11:E1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</mergeCells>
  <pageMargins left="0.75" right="0.75" top="1" bottom="1" header="0.5" footer="0.5"/>
  <pageSetup paperSize="9" scale="62" orientation="landscape"/>
  <headerFooter/>
  <colBreaks count="1" manualBreakCount="1">
    <brk id="17" max="1048575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abSelected="1" view="pageBreakPreview" zoomScale="85" zoomScaleNormal="85" topLeftCell="A16" workbookViewId="0">
      <selection activeCell="G21" sqref="G21"/>
    </sheetView>
  </sheetViews>
  <sheetFormatPr defaultColWidth="8.88888888888889" defaultRowHeight="14.4"/>
  <cols>
    <col min="1" max="1" width="12.5555555555556" style="5" customWidth="1"/>
    <col min="2" max="6" width="8.88888888888889" style="5"/>
    <col min="7" max="7" width="9.00925925925926" style="5" customWidth="1"/>
    <col min="8" max="9" width="8.22222222222222" style="5" customWidth="1"/>
    <col min="10" max="11" width="10.1111111111111" style="5" customWidth="1"/>
    <col min="12" max="12" width="11.8888888888889" style="5" customWidth="1"/>
    <col min="13" max="13" width="12.6666666666667" style="5" customWidth="1"/>
    <col min="14" max="14" width="8.55555555555556" style="5" customWidth="1"/>
    <col min="15" max="15" width="11.1111111111111" style="5" customWidth="1"/>
    <col min="16" max="16" width="10.1111111111111" style="5" customWidth="1"/>
    <col min="17" max="17" width="11.1111111111111" style="5" customWidth="1"/>
    <col min="18" max="18" width="9.27777777777778" style="5" customWidth="1"/>
    <col min="19" max="19" width="8.88888888888889" style="5"/>
    <col min="20" max="20" width="9.66666666666667" style="5"/>
    <col min="21" max="16384" width="8.88888888888889" style="5"/>
  </cols>
  <sheetData>
    <row r="1" s="1" customFormat="1" ht="99" customHeight="1" spans="1:20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="2" customFormat="1" ht="12.75" customHeight="1" spans="1:2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2.75" customHeight="1" spans="1:2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="1" customFormat="1" ht="12.75" customHeight="1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="1" customFormat="1" ht="15" customHeight="1" spans="1:20">
      <c r="A5" s="9" t="s">
        <v>2</v>
      </c>
      <c r="B5" s="9"/>
      <c r="C5" s="9"/>
      <c r="D5" s="9"/>
      <c r="E5" s="9"/>
      <c r="I5" s="10"/>
      <c r="J5" s="10"/>
      <c r="K5" s="10"/>
      <c r="L5" s="10"/>
      <c r="M5" s="10"/>
      <c r="N5" s="10"/>
      <c r="O5" s="10" t="s">
        <v>3</v>
      </c>
      <c r="P5" s="10"/>
      <c r="Q5" s="10"/>
    </row>
    <row r="6" s="1" customFormat="1" ht="15" customHeight="1" spans="1:20">
      <c r="A6" s="10" t="s">
        <v>4</v>
      </c>
      <c r="B6" s="10"/>
      <c r="C6" s="10"/>
      <c r="D6" s="9"/>
      <c r="E6" s="9"/>
      <c r="I6" s="10"/>
      <c r="J6" s="10"/>
      <c r="K6" s="10"/>
      <c r="L6" s="10"/>
      <c r="M6" s="10"/>
      <c r="N6" s="10"/>
      <c r="O6" s="10" t="s">
        <v>5</v>
      </c>
      <c r="P6" s="10"/>
      <c r="Q6" s="10"/>
    </row>
    <row r="7" s="1" customFormat="1" ht="15" customHeight="1" spans="1:20">
      <c r="A7" s="9" t="s">
        <v>6</v>
      </c>
      <c r="B7" s="9"/>
      <c r="C7" s="9"/>
      <c r="D7" s="9"/>
      <c r="E7" s="9"/>
      <c r="I7" s="10"/>
      <c r="J7" s="10"/>
      <c r="K7" s="10"/>
      <c r="L7" s="10"/>
      <c r="M7" s="10"/>
      <c r="N7" s="10"/>
      <c r="O7" s="10" t="s">
        <v>7</v>
      </c>
      <c r="P7" s="10"/>
      <c r="Q7" s="10"/>
    </row>
    <row r="8" s="3" customFormat="1" ht="15" customHeight="1" spans="1:20">
      <c r="A8" s="9" t="s">
        <v>8</v>
      </c>
      <c r="B8" s="9"/>
      <c r="C8" s="9"/>
      <c r="D8" s="9"/>
      <c r="E8" s="9"/>
      <c r="I8" s="10"/>
      <c r="J8" s="10"/>
      <c r="K8" s="10"/>
      <c r="L8" s="10"/>
      <c r="M8" s="10"/>
      <c r="N8" s="10"/>
      <c r="O8" s="10" t="s">
        <v>9</v>
      </c>
      <c r="P8" s="10"/>
      <c r="Q8" s="10"/>
    </row>
    <row r="9" s="4" customFormat="1" ht="14.25" customHeight="1" spans="1:20">
      <c r="A9" s="11" t="s">
        <v>171</v>
      </c>
      <c r="B9" s="12"/>
      <c r="C9" s="12"/>
      <c r="D9" s="12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="6" customFormat="1" ht="12.75" customHeight="1" spans="1:20">
      <c r="Q10" s="28"/>
    </row>
    <row r="11" s="4" customFormat="1" ht="29" customHeight="1" spans="1:20">
      <c r="A11" s="14" t="s">
        <v>11</v>
      </c>
      <c r="B11" s="14" t="s">
        <v>12</v>
      </c>
      <c r="C11" s="15" t="s">
        <v>13</v>
      </c>
      <c r="D11" s="62" t="s">
        <v>15</v>
      </c>
      <c r="E11" s="62"/>
      <c r="F11" s="14" t="s">
        <v>16</v>
      </c>
      <c r="G11" s="14" t="s">
        <v>17</v>
      </c>
      <c r="H11" s="14" t="s">
        <v>18</v>
      </c>
      <c r="I11" s="14" t="s">
        <v>19</v>
      </c>
      <c r="J11" s="14" t="s">
        <v>20</v>
      </c>
      <c r="K11" s="14" t="s">
        <v>21</v>
      </c>
      <c r="L11" s="14" t="s">
        <v>22</v>
      </c>
      <c r="M11" s="14" t="s">
        <v>23</v>
      </c>
      <c r="N11" s="14" t="s">
        <v>24</v>
      </c>
      <c r="O11" s="14" t="s">
        <v>25</v>
      </c>
      <c r="P11" s="14" t="s">
        <v>26</v>
      </c>
      <c r="Q11" s="19" t="s">
        <v>27</v>
      </c>
      <c r="R11" s="14" t="s">
        <v>172</v>
      </c>
    </row>
    <row r="12" s="5" customFormat="1" ht="15" spans="1:20">
      <c r="A12" s="14" t="s">
        <v>173</v>
      </c>
      <c r="B12" s="14">
        <v>0.076</v>
      </c>
      <c r="C12" s="14" t="s">
        <v>105</v>
      </c>
      <c r="D12" s="14" t="s">
        <v>107</v>
      </c>
      <c r="E12" s="14" t="s">
        <v>146</v>
      </c>
      <c r="F12" s="53" t="s">
        <v>174</v>
      </c>
      <c r="G12" s="53">
        <f>Q12*12</f>
        <v>172.017</v>
      </c>
      <c r="H12" s="53">
        <f>Q12*13.33</f>
        <v>191.0822175</v>
      </c>
      <c r="I12" s="53">
        <f>Q12*14</f>
        <v>200.6865</v>
      </c>
      <c r="J12" s="53">
        <f>21.2*24.2/144*Q12</f>
        <v>51.07152875</v>
      </c>
      <c r="K12" s="53">
        <f>18.2*24.2/144*Q12</f>
        <v>43.844425625</v>
      </c>
      <c r="L12" s="53">
        <f>28.25*24.25/144*Q12</f>
        <v>68.1958310546875</v>
      </c>
      <c r="M12" s="53">
        <f>27.25*24.25/144*Q12</f>
        <v>65.7818193359375</v>
      </c>
      <c r="N12" s="53">
        <f>28.5*49/144*Q12</f>
        <v>139.0172109375</v>
      </c>
      <c r="O12" s="53">
        <f>17*24.5/144*Q12</f>
        <v>41.4612734375</v>
      </c>
      <c r="P12" s="53">
        <f>24.3*16.2/144*Q12</f>
        <v>39.1876228125</v>
      </c>
      <c r="Q12" s="117">
        <v>14.33475</v>
      </c>
      <c r="R12" s="118"/>
      <c r="S12" s="25"/>
      <c r="T12" s="25"/>
    </row>
    <row r="13" s="5" customFormat="1" ht="15" spans="1:20">
      <c r="A13" s="14" t="s">
        <v>173</v>
      </c>
      <c r="B13" s="14">
        <v>0.102</v>
      </c>
      <c r="C13" s="14" t="s">
        <v>105</v>
      </c>
      <c r="D13" s="14" t="s">
        <v>34</v>
      </c>
      <c r="E13" s="14" t="s">
        <v>146</v>
      </c>
      <c r="F13" s="53" t="s">
        <v>145</v>
      </c>
      <c r="G13" s="53">
        <f>Q13*12</f>
        <v>274.3164</v>
      </c>
      <c r="H13" s="53">
        <f>Q13*13.33</f>
        <v>304.719801</v>
      </c>
      <c r="I13" s="53">
        <f>Q13*14</f>
        <v>320.0358</v>
      </c>
      <c r="J13" s="53">
        <f>21.2*24.2/144*Q13</f>
        <v>81.4440311666667</v>
      </c>
      <c r="K13" s="53">
        <f>18.2*24.2/144*Q13</f>
        <v>69.9189324166667</v>
      </c>
      <c r="L13" s="53">
        <f>28.25*24.25/144*Q13</f>
        <v>108.752244661458</v>
      </c>
      <c r="M13" s="53">
        <f>27.25*24.25/144*Q13</f>
        <v>104.902607682292</v>
      </c>
      <c r="N13" s="53">
        <f>28.5*49/144*Q13</f>
        <v>221.691465625</v>
      </c>
      <c r="O13" s="53">
        <f>17*24.5/144*Q13</f>
        <v>66.1185072916667</v>
      </c>
      <c r="P13" s="53">
        <f>24.3*16.2/144*Q13</f>
        <v>62.492704875</v>
      </c>
      <c r="Q13" s="117">
        <v>22.8597</v>
      </c>
      <c r="R13" s="118"/>
      <c r="S13" s="25"/>
      <c r="T13" s="25"/>
    </row>
    <row r="14" s="5" customFormat="1" ht="15" spans="1:20">
      <c r="A14" s="14" t="s">
        <v>173</v>
      </c>
      <c r="B14" s="14">
        <v>0.102</v>
      </c>
      <c r="C14" s="14" t="s">
        <v>105</v>
      </c>
      <c r="D14" s="14" t="s">
        <v>41</v>
      </c>
      <c r="E14" s="14" t="s">
        <v>106</v>
      </c>
      <c r="F14" s="53" t="s">
        <v>143</v>
      </c>
      <c r="G14" s="53">
        <f t="shared" ref="G14:G22" si="0">Q14*12</f>
        <v>332.7318</v>
      </c>
      <c r="H14" s="53">
        <f t="shared" ref="H14:H22" si="1">Q14*13.33</f>
        <v>369.6095745</v>
      </c>
      <c r="I14" s="53">
        <f t="shared" ref="I14:I22" si="2">Q14*14</f>
        <v>388.1871</v>
      </c>
      <c r="J14" s="53">
        <f t="shared" ref="J14:J22" si="3">21.2*24.2/144*Q14</f>
        <v>98.78745525</v>
      </c>
      <c r="K14" s="53">
        <f t="shared" ref="K14:K22" si="4">18.2*24.2/144*Q14</f>
        <v>84.808098375</v>
      </c>
      <c r="L14" s="53">
        <f t="shared" ref="L14:L22" si="5">28.25*24.25/144*Q14</f>
        <v>131.910925195313</v>
      </c>
      <c r="M14" s="53">
        <f t="shared" ref="M14:M22" si="6">27.25*24.25/144*Q14</f>
        <v>127.241511914063</v>
      </c>
      <c r="N14" s="53">
        <f t="shared" ref="N14:N22" si="7">28.5*49/144*Q14</f>
        <v>268.9004390625</v>
      </c>
      <c r="O14" s="53">
        <f t="shared" ref="O14:O22" si="8">17*24.5/144*Q14</f>
        <v>80.1983765625</v>
      </c>
      <c r="P14" s="53">
        <f t="shared" ref="P14:P22" si="9">24.3*16.2/144*Q14</f>
        <v>75.8004631875</v>
      </c>
      <c r="Q14" s="117">
        <v>27.72765</v>
      </c>
      <c r="R14" s="118"/>
      <c r="S14" s="25"/>
      <c r="T14" s="25"/>
    </row>
    <row r="15" s="5" customFormat="1" ht="15" spans="1:20">
      <c r="A15" s="14" t="s">
        <v>173</v>
      </c>
      <c r="B15" s="14">
        <v>0.127</v>
      </c>
      <c r="C15" s="14" t="s">
        <v>105</v>
      </c>
      <c r="D15" s="14" t="s">
        <v>31</v>
      </c>
      <c r="E15" s="14" t="s">
        <v>146</v>
      </c>
      <c r="F15" s="53" t="s">
        <v>149</v>
      </c>
      <c r="G15" s="53">
        <f t="shared" si="0"/>
        <v>161.115</v>
      </c>
      <c r="H15" s="53">
        <f t="shared" si="1"/>
        <v>178.9719125</v>
      </c>
      <c r="I15" s="53">
        <f t="shared" si="2"/>
        <v>187.9675</v>
      </c>
      <c r="J15" s="53">
        <f t="shared" si="3"/>
        <v>47.8347451388889</v>
      </c>
      <c r="K15" s="53">
        <f t="shared" si="4"/>
        <v>41.0656774305556</v>
      </c>
      <c r="L15" s="53">
        <f t="shared" si="5"/>
        <v>63.8737527126736</v>
      </c>
      <c r="M15" s="53">
        <f t="shared" si="6"/>
        <v>61.6127349175347</v>
      </c>
      <c r="N15" s="53">
        <f t="shared" si="7"/>
        <v>130.206653645833</v>
      </c>
      <c r="O15" s="53">
        <f t="shared" si="8"/>
        <v>38.8335633680556</v>
      </c>
      <c r="P15" s="53">
        <f t="shared" si="9"/>
        <v>36.7040109375</v>
      </c>
      <c r="Q15" s="117">
        <v>13.42625</v>
      </c>
      <c r="R15" s="118"/>
      <c r="S15" s="25"/>
      <c r="T15" s="25"/>
    </row>
    <row r="16" s="5" customFormat="1" ht="15" spans="1:20">
      <c r="A16" s="14" t="s">
        <v>173</v>
      </c>
      <c r="B16" s="14">
        <v>0.127</v>
      </c>
      <c r="C16" s="14" t="s">
        <v>105</v>
      </c>
      <c r="D16" s="14" t="s">
        <v>31</v>
      </c>
      <c r="E16" s="14" t="s">
        <v>146</v>
      </c>
      <c r="F16" s="53" t="s">
        <v>144</v>
      </c>
      <c r="G16" s="53">
        <f t="shared" si="0"/>
        <v>141.174</v>
      </c>
      <c r="H16" s="53">
        <f t="shared" si="1"/>
        <v>156.820785</v>
      </c>
      <c r="I16" s="53">
        <f t="shared" si="2"/>
        <v>164.703</v>
      </c>
      <c r="J16" s="53">
        <f t="shared" si="3"/>
        <v>41.9142991666667</v>
      </c>
      <c r="K16" s="53">
        <f t="shared" si="4"/>
        <v>35.9830304166667</v>
      </c>
      <c r="L16" s="53">
        <f t="shared" si="5"/>
        <v>55.9681790364583</v>
      </c>
      <c r="M16" s="53">
        <f t="shared" si="6"/>
        <v>53.9870045572917</v>
      </c>
      <c r="N16" s="53">
        <f t="shared" si="7"/>
        <v>114.091140625</v>
      </c>
      <c r="O16" s="53">
        <f t="shared" si="8"/>
        <v>34.0271822916667</v>
      </c>
      <c r="P16" s="53">
        <f t="shared" si="9"/>
        <v>32.161201875</v>
      </c>
      <c r="Q16" s="117">
        <v>11.7645</v>
      </c>
      <c r="R16" s="118"/>
      <c r="S16" s="25"/>
      <c r="T16" s="25"/>
    </row>
    <row r="17" s="5" customFormat="1" ht="15" spans="1:20">
      <c r="A17" s="14" t="s">
        <v>173</v>
      </c>
      <c r="B17" s="14">
        <v>0.127</v>
      </c>
      <c r="C17" s="14" t="s">
        <v>105</v>
      </c>
      <c r="D17" s="14" t="s">
        <v>31</v>
      </c>
      <c r="E17" s="14" t="s">
        <v>146</v>
      </c>
      <c r="F17" s="53" t="s">
        <v>150</v>
      </c>
      <c r="G17" s="53">
        <f t="shared" si="0"/>
        <v>163.806</v>
      </c>
      <c r="H17" s="53">
        <f t="shared" si="1"/>
        <v>181.961165</v>
      </c>
      <c r="I17" s="53">
        <f t="shared" si="2"/>
        <v>191.107</v>
      </c>
      <c r="J17" s="53">
        <f t="shared" si="3"/>
        <v>48.6336980555555</v>
      </c>
      <c r="K17" s="53">
        <f t="shared" si="4"/>
        <v>41.7515709722222</v>
      </c>
      <c r="L17" s="53">
        <f t="shared" si="5"/>
        <v>64.9405948350694</v>
      </c>
      <c r="M17" s="53">
        <f t="shared" si="6"/>
        <v>62.6418127170139</v>
      </c>
      <c r="N17" s="53">
        <f t="shared" si="7"/>
        <v>132.381411458333</v>
      </c>
      <c r="O17" s="53">
        <f t="shared" si="8"/>
        <v>39.4821753472222</v>
      </c>
      <c r="P17" s="53">
        <f t="shared" si="9"/>
        <v>37.317054375</v>
      </c>
      <c r="Q17" s="117">
        <v>13.6505</v>
      </c>
      <c r="R17" s="118"/>
      <c r="S17" s="25"/>
      <c r="T17" s="25"/>
    </row>
    <row r="18" s="5" customFormat="1" ht="15" spans="1:20">
      <c r="A18" s="14" t="s">
        <v>173</v>
      </c>
      <c r="B18" s="14">
        <v>0.127</v>
      </c>
      <c r="C18" s="14" t="s">
        <v>105</v>
      </c>
      <c r="D18" s="14" t="s">
        <v>107</v>
      </c>
      <c r="E18" s="14" t="s">
        <v>146</v>
      </c>
      <c r="F18" s="53" t="s">
        <v>149</v>
      </c>
      <c r="G18" s="53">
        <f t="shared" si="0"/>
        <v>190.2468</v>
      </c>
      <c r="H18" s="53">
        <f t="shared" si="1"/>
        <v>211.332487</v>
      </c>
      <c r="I18" s="53">
        <f t="shared" si="2"/>
        <v>221.9546</v>
      </c>
      <c r="J18" s="53">
        <f t="shared" si="3"/>
        <v>56.4839226111111</v>
      </c>
      <c r="K18" s="53">
        <f t="shared" si="4"/>
        <v>48.4909146944444</v>
      </c>
      <c r="L18" s="53">
        <f t="shared" si="5"/>
        <v>75.4230025607639</v>
      </c>
      <c r="M18" s="53">
        <f t="shared" si="6"/>
        <v>72.7531617621528</v>
      </c>
      <c r="N18" s="53">
        <f t="shared" si="7"/>
        <v>153.749801041667</v>
      </c>
      <c r="O18" s="53">
        <f t="shared" si="8"/>
        <v>45.8552038194444</v>
      </c>
      <c r="P18" s="53">
        <f t="shared" si="9"/>
        <v>43.340599125</v>
      </c>
      <c r="Q18" s="117">
        <v>15.8539</v>
      </c>
      <c r="R18" s="118"/>
      <c r="S18" s="25"/>
      <c r="T18" s="25"/>
    </row>
    <row r="19" s="5" customFormat="1" ht="15" spans="1:20">
      <c r="A19" s="14" t="s">
        <v>173</v>
      </c>
      <c r="B19" s="14">
        <v>0.127</v>
      </c>
      <c r="C19" s="14" t="s">
        <v>105</v>
      </c>
      <c r="D19" s="14" t="s">
        <v>107</v>
      </c>
      <c r="E19" s="14" t="s">
        <v>146</v>
      </c>
      <c r="F19" s="53" t="s">
        <v>150</v>
      </c>
      <c r="G19" s="53">
        <f t="shared" si="0"/>
        <v>217.1706</v>
      </c>
      <c r="H19" s="53">
        <f t="shared" si="1"/>
        <v>241.2403415</v>
      </c>
      <c r="I19" s="53">
        <f t="shared" si="2"/>
        <v>253.3657</v>
      </c>
      <c r="J19" s="53">
        <f t="shared" si="3"/>
        <v>64.4775489722222</v>
      </c>
      <c r="K19" s="53">
        <f t="shared" si="4"/>
        <v>55.3533675138889</v>
      </c>
      <c r="L19" s="53">
        <f t="shared" si="5"/>
        <v>86.0968947699653</v>
      </c>
      <c r="M19" s="53">
        <f t="shared" si="6"/>
        <v>83.0492170789931</v>
      </c>
      <c r="N19" s="53">
        <f t="shared" si="7"/>
        <v>175.508531770833</v>
      </c>
      <c r="O19" s="53">
        <f t="shared" si="8"/>
        <v>52.3446498263889</v>
      </c>
      <c r="P19" s="53">
        <f t="shared" si="9"/>
        <v>49.4741773125</v>
      </c>
      <c r="Q19" s="117">
        <v>18.09755</v>
      </c>
      <c r="R19" s="118"/>
      <c r="S19" s="25"/>
      <c r="T19" s="25"/>
    </row>
    <row r="20" s="5" customFormat="1" ht="15" spans="1:20">
      <c r="A20" s="14" t="s">
        <v>173</v>
      </c>
      <c r="B20" s="14">
        <v>0.127</v>
      </c>
      <c r="C20" s="14" t="s">
        <v>105</v>
      </c>
      <c r="D20" s="14" t="s">
        <v>34</v>
      </c>
      <c r="E20" s="14" t="s">
        <v>146</v>
      </c>
      <c r="F20" s="53" t="s">
        <v>144</v>
      </c>
      <c r="G20" s="53">
        <f t="shared" si="0"/>
        <v>208.0764</v>
      </c>
      <c r="H20" s="53">
        <f t="shared" si="1"/>
        <v>231.138201</v>
      </c>
      <c r="I20" s="53">
        <f t="shared" si="2"/>
        <v>242.7558</v>
      </c>
      <c r="J20" s="53">
        <f t="shared" si="3"/>
        <v>61.7774978333333</v>
      </c>
      <c r="K20" s="53">
        <f t="shared" si="4"/>
        <v>53.0353990833333</v>
      </c>
      <c r="L20" s="53">
        <f t="shared" si="5"/>
        <v>82.4915154947917</v>
      </c>
      <c r="M20" s="53">
        <f t="shared" si="6"/>
        <v>79.5714618489583</v>
      </c>
      <c r="N20" s="53">
        <f t="shared" si="7"/>
        <v>168.158965625</v>
      </c>
      <c r="O20" s="53">
        <f t="shared" si="8"/>
        <v>50.1526739583333</v>
      </c>
      <c r="P20" s="53">
        <f t="shared" si="9"/>
        <v>47.402404875</v>
      </c>
      <c r="Q20" s="117">
        <v>17.3397</v>
      </c>
      <c r="R20" s="118"/>
      <c r="S20" s="25"/>
      <c r="T20" s="25"/>
    </row>
    <row r="21" s="5" customFormat="1" ht="15" spans="1:20">
      <c r="A21" s="14" t="s">
        <v>173</v>
      </c>
      <c r="B21" s="14">
        <v>0.127</v>
      </c>
      <c r="C21" s="14" t="s">
        <v>105</v>
      </c>
      <c r="D21" s="14" t="s">
        <v>34</v>
      </c>
      <c r="E21" s="14" t="s">
        <v>146</v>
      </c>
      <c r="F21" s="53" t="s">
        <v>150</v>
      </c>
      <c r="G21" s="53">
        <f>Q21*12</f>
        <v>243.984</v>
      </c>
      <c r="H21" s="53">
        <f>Q21*13.33</f>
        <v>271.02556</v>
      </c>
      <c r="I21" s="53">
        <f>Q21*14</f>
        <v>284.648</v>
      </c>
      <c r="J21" s="53">
        <f>21.2*24.2/144*Q21</f>
        <v>72.4383977777778</v>
      </c>
      <c r="K21" s="53">
        <f>18.2*24.2/144*Q21</f>
        <v>62.1876811111111</v>
      </c>
      <c r="L21" s="53">
        <f>28.25*24.25/144*Q21</f>
        <v>96.7270190972222</v>
      </c>
      <c r="M21" s="53">
        <f>27.25*24.25/144*Q21</f>
        <v>93.3030538194445</v>
      </c>
      <c r="N21" s="53">
        <f>28.5*49/144*Q21</f>
        <v>197.178041666667</v>
      </c>
      <c r="O21" s="53">
        <f>17*24.5/144*Q21</f>
        <v>58.8074861111111</v>
      </c>
      <c r="P21" s="53">
        <f>24.3*16.2/144*Q21</f>
        <v>55.582605</v>
      </c>
      <c r="Q21" s="117">
        <v>20.332</v>
      </c>
      <c r="R21" s="118"/>
      <c r="S21" s="25"/>
      <c r="T21" s="25"/>
    </row>
    <row r="22" ht="15" spans="1:20">
      <c r="A22" s="14" t="s">
        <v>173</v>
      </c>
      <c r="B22" s="14">
        <v>0.127</v>
      </c>
      <c r="C22" s="14" t="s">
        <v>105</v>
      </c>
      <c r="D22" s="14" t="s">
        <v>34</v>
      </c>
      <c r="E22" s="14" t="s">
        <v>146</v>
      </c>
      <c r="F22" s="53" t="s">
        <v>149</v>
      </c>
      <c r="G22" s="53">
        <f>Q22*12</f>
        <v>226.665</v>
      </c>
      <c r="H22" s="53">
        <f>Q22*13.33</f>
        <v>251.7870375</v>
      </c>
      <c r="I22" s="53">
        <f>Q22*14</f>
        <v>264.4425</v>
      </c>
      <c r="J22" s="53">
        <f>21.2*24.2/144*Q22</f>
        <v>67.29641875</v>
      </c>
      <c r="K22" s="53">
        <f>18.2*24.2/144*Q22</f>
        <v>57.773340625</v>
      </c>
      <c r="L22" s="53">
        <f>28.25*24.25/144*Q22</f>
        <v>89.8609326171875</v>
      </c>
      <c r="M22" s="53">
        <f>27.25*24.25/144*Q22</f>
        <v>86.6800146484375</v>
      </c>
      <c r="N22" s="53">
        <f>28.5*49/144*Q22</f>
        <v>183.1815234375</v>
      </c>
      <c r="O22" s="53">
        <f>17*24.5/144*Q22</f>
        <v>54.6330859375</v>
      </c>
      <c r="P22" s="53">
        <f>24.3*16.2/144*Q22</f>
        <v>51.6371203125</v>
      </c>
      <c r="Q22" s="117">
        <v>18.88875</v>
      </c>
      <c r="R22" s="118"/>
      <c r="S22" s="25"/>
      <c r="T22" s="25"/>
    </row>
    <row r="23" ht="15" spans="1:20">
      <c r="A23" s="14" t="s">
        <v>173</v>
      </c>
      <c r="B23" s="14">
        <v>0.127</v>
      </c>
      <c r="C23" s="14" t="s">
        <v>105</v>
      </c>
      <c r="D23" s="62" t="s">
        <v>109</v>
      </c>
      <c r="E23" s="14" t="s">
        <v>175</v>
      </c>
      <c r="F23" s="53" t="s">
        <v>149</v>
      </c>
      <c r="G23" s="53">
        <f>Q23*12</f>
        <v>334.3878</v>
      </c>
      <c r="H23" s="53">
        <f>Q23*13.33</f>
        <v>371.4491145</v>
      </c>
      <c r="I23" s="53">
        <f>Q23*14</f>
        <v>390.1191</v>
      </c>
      <c r="J23" s="53">
        <f>21.2*24.2/144*Q23</f>
        <v>99.2791185833333</v>
      </c>
      <c r="K23" s="53">
        <f>18.2*24.2/144*Q23</f>
        <v>85.2301867083333</v>
      </c>
      <c r="L23" s="53">
        <f>28.25*24.25/144*Q23</f>
        <v>132.567443424479</v>
      </c>
      <c r="M23" s="53">
        <f>27.25*24.25/144*Q23</f>
        <v>127.874790559896</v>
      </c>
      <c r="N23" s="53">
        <f>28.5*49/144*Q23</f>
        <v>270.2387515625</v>
      </c>
      <c r="O23" s="53">
        <f>17*24.5/144*Q23</f>
        <v>80.5975223958333</v>
      </c>
      <c r="P23" s="53">
        <f>24.3*16.2/144*Q23</f>
        <v>76.1777206875</v>
      </c>
      <c r="Q23" s="117">
        <v>27.86565</v>
      </c>
      <c r="R23" s="118"/>
      <c r="S23" s="25"/>
      <c r="T23" s="25"/>
    </row>
    <row r="27" ht="17.4" spans="1:20">
      <c r="A27" s="11" t="s">
        <v>176</v>
      </c>
      <c r="B27" s="12"/>
      <c r="C27" s="27"/>
      <c r="D27" s="4"/>
      <c r="E27" s="13"/>
      <c r="F27" s="4"/>
      <c r="G27" s="4"/>
    </row>
    <row r="28" ht="15.6" spans="1:20">
      <c r="A28" s="6"/>
      <c r="B28" s="6"/>
      <c r="C28" s="6"/>
      <c r="D28" s="6"/>
      <c r="E28" s="6"/>
      <c r="F28" s="28"/>
      <c r="G28" s="51"/>
    </row>
    <row r="29" ht="31" customHeight="1" spans="1:20">
      <c r="A29" s="14" t="s">
        <v>11</v>
      </c>
      <c r="B29" s="29" t="s">
        <v>84</v>
      </c>
      <c r="C29" s="30" t="s">
        <v>168</v>
      </c>
      <c r="D29" s="15" t="s">
        <v>169</v>
      </c>
      <c r="E29" s="14" t="s">
        <v>87</v>
      </c>
      <c r="F29" s="14"/>
      <c r="G29" s="14" t="s">
        <v>88</v>
      </c>
      <c r="H29" s="14"/>
      <c r="I29" s="14" t="s">
        <v>28</v>
      </c>
    </row>
    <row r="30" ht="15" spans="1:20">
      <c r="A30" s="14" t="s">
        <v>177</v>
      </c>
      <c r="B30" s="14">
        <v>106</v>
      </c>
      <c r="C30" s="14">
        <v>75</v>
      </c>
      <c r="D30" s="14">
        <v>300</v>
      </c>
      <c r="E30" s="53">
        <v>37.7775</v>
      </c>
      <c r="F30" s="53"/>
      <c r="G30" s="54">
        <f t="shared" ref="G30:G32" si="10">E30*D30</f>
        <v>11333.25</v>
      </c>
      <c r="H30" s="54"/>
      <c r="I30" s="23"/>
      <c r="K30" s="37"/>
    </row>
    <row r="31" ht="15" spans="1:20">
      <c r="A31" s="14" t="s">
        <v>177</v>
      </c>
      <c r="B31" s="14">
        <v>1067</v>
      </c>
      <c r="C31" s="14">
        <v>66</v>
      </c>
      <c r="D31" s="14">
        <v>300</v>
      </c>
      <c r="E31" s="53">
        <v>34.71045</v>
      </c>
      <c r="F31" s="53"/>
      <c r="G31" s="54">
        <f t="shared" si="10"/>
        <v>10413.135</v>
      </c>
      <c r="H31" s="54"/>
      <c r="I31" s="23"/>
      <c r="K31" s="37"/>
    </row>
    <row r="32" ht="15" spans="1:20">
      <c r="A32" s="14" t="s">
        <v>177</v>
      </c>
      <c r="B32" s="14">
        <v>1067</v>
      </c>
      <c r="C32" s="14">
        <v>73</v>
      </c>
      <c r="D32" s="14">
        <v>300</v>
      </c>
      <c r="E32" s="53">
        <v>43.7575</v>
      </c>
      <c r="F32" s="53"/>
      <c r="G32" s="54">
        <f t="shared" si="10"/>
        <v>13127.25</v>
      </c>
      <c r="H32" s="54"/>
      <c r="I32" s="23"/>
      <c r="K32" s="37"/>
    </row>
    <row r="33" ht="15" spans="1:11">
      <c r="A33" s="14" t="s">
        <v>177</v>
      </c>
      <c r="B33" s="14">
        <v>1080</v>
      </c>
      <c r="C33" s="14">
        <v>64</v>
      </c>
      <c r="D33" s="14">
        <v>300</v>
      </c>
      <c r="E33" s="53">
        <v>36.3515</v>
      </c>
      <c r="F33" s="53"/>
      <c r="G33" s="54">
        <f t="shared" ref="G33:G39" si="11">E33*D33</f>
        <v>10905.45</v>
      </c>
      <c r="H33" s="54"/>
      <c r="I33" s="23"/>
      <c r="K33" s="37"/>
    </row>
    <row r="34" ht="15" spans="1:11">
      <c r="A34" s="14" t="s">
        <v>177</v>
      </c>
      <c r="B34" s="14">
        <v>1080</v>
      </c>
      <c r="C34" s="14">
        <v>68</v>
      </c>
      <c r="D34" s="14">
        <v>300</v>
      </c>
      <c r="E34" s="53">
        <v>38.18</v>
      </c>
      <c r="F34" s="53"/>
      <c r="G34" s="54">
        <f t="shared" si="11"/>
        <v>11454</v>
      </c>
      <c r="H34" s="54"/>
      <c r="I34" s="23"/>
      <c r="K34" s="37"/>
    </row>
    <row r="35" ht="15" spans="1:11">
      <c r="A35" s="14" t="s">
        <v>177</v>
      </c>
      <c r="B35" s="14">
        <v>1080</v>
      </c>
      <c r="C35" s="14">
        <v>70</v>
      </c>
      <c r="D35" s="14">
        <v>300</v>
      </c>
      <c r="E35" s="53">
        <v>39.307</v>
      </c>
      <c r="F35" s="53"/>
      <c r="G35" s="54">
        <f t="shared" si="11"/>
        <v>11792.1</v>
      </c>
      <c r="H35" s="54"/>
      <c r="I35" s="23"/>
      <c r="K35" s="37"/>
    </row>
    <row r="36" ht="15" spans="1:11">
      <c r="A36" s="14" t="s">
        <v>177</v>
      </c>
      <c r="B36" s="14">
        <v>3313</v>
      </c>
      <c r="C36" s="14">
        <v>61</v>
      </c>
      <c r="D36" s="14">
        <v>300</v>
      </c>
      <c r="E36" s="53">
        <v>49.2545</v>
      </c>
      <c r="F36" s="53"/>
      <c r="G36" s="54">
        <f t="shared" si="11"/>
        <v>14776.35</v>
      </c>
      <c r="H36" s="54"/>
      <c r="I36" s="23"/>
      <c r="K36" s="37"/>
    </row>
    <row r="37" ht="15" spans="1:11">
      <c r="A37" s="14" t="s">
        <v>177</v>
      </c>
      <c r="B37" s="14">
        <v>2116</v>
      </c>
      <c r="C37" s="14">
        <v>56</v>
      </c>
      <c r="D37" s="14">
        <v>200</v>
      </c>
      <c r="E37" s="53">
        <v>41.7565</v>
      </c>
      <c r="F37" s="53"/>
      <c r="G37" s="54">
        <f t="shared" si="11"/>
        <v>8351.3</v>
      </c>
      <c r="H37" s="54"/>
      <c r="I37" s="23"/>
      <c r="K37" s="37"/>
    </row>
    <row r="38" ht="15" spans="1:11">
      <c r="A38" s="14" t="s">
        <v>177</v>
      </c>
      <c r="B38" s="14">
        <v>2116</v>
      </c>
      <c r="C38" s="14">
        <v>58</v>
      </c>
      <c r="D38" s="14">
        <v>200</v>
      </c>
      <c r="E38" s="53">
        <v>41.7565</v>
      </c>
      <c r="F38" s="53"/>
      <c r="G38" s="54">
        <f t="shared" si="11"/>
        <v>8351.3</v>
      </c>
      <c r="H38" s="54"/>
      <c r="I38" s="23"/>
      <c r="K38" s="37"/>
    </row>
    <row r="39" ht="15" spans="1:11">
      <c r="A39" s="14" t="s">
        <v>177</v>
      </c>
      <c r="B39" s="14">
        <v>2116</v>
      </c>
      <c r="C39" s="14">
        <v>60</v>
      </c>
      <c r="D39" s="14">
        <v>200</v>
      </c>
      <c r="E39" s="53">
        <v>44.505</v>
      </c>
      <c r="F39" s="53"/>
      <c r="G39" s="54">
        <f t="shared" si="11"/>
        <v>8901</v>
      </c>
      <c r="H39" s="54"/>
      <c r="I39" s="23"/>
      <c r="K39" s="37"/>
    </row>
    <row r="41" ht="15.6" spans="1:11">
      <c r="A41" s="38" t="s">
        <v>75</v>
      </c>
      <c r="B41" s="38"/>
      <c r="C41" s="38"/>
      <c r="D41" s="38"/>
    </row>
    <row r="42" ht="15.6" spans="1:11">
      <c r="A42" s="38" t="s">
        <v>76</v>
      </c>
      <c r="B42" s="38"/>
      <c r="C42" s="38"/>
      <c r="D42" s="38"/>
    </row>
    <row r="43" ht="15.6" spans="1:11">
      <c r="A43" s="38" t="s">
        <v>77</v>
      </c>
      <c r="B43" s="38"/>
      <c r="C43" s="38"/>
      <c r="D43" s="38"/>
    </row>
    <row r="44" ht="15.6" spans="1:11">
      <c r="A44" s="6" t="s">
        <v>160</v>
      </c>
      <c r="B44" s="6"/>
      <c r="C44" s="6"/>
      <c r="D44" s="6"/>
    </row>
    <row r="45" ht="15.6" spans="1:11">
      <c r="A45" s="6" t="s">
        <v>170</v>
      </c>
      <c r="B45" s="6"/>
      <c r="C45" s="6"/>
      <c r="D45" s="6"/>
    </row>
    <row r="46" ht="17.4" spans="1:11">
      <c r="A46" s="1" t="s">
        <v>80</v>
      </c>
      <c r="B46" s="1"/>
      <c r="C46" s="6"/>
      <c r="D46" s="6"/>
    </row>
  </sheetData>
  <mergeCells count="29">
    <mergeCell ref="A1:Q1"/>
    <mergeCell ref="A2:Q2"/>
    <mergeCell ref="A3:Q3"/>
    <mergeCell ref="A5:B5"/>
    <mergeCell ref="A7:B7"/>
    <mergeCell ref="A8:B8"/>
    <mergeCell ref="D11:E11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  <mergeCell ref="E38:F38"/>
    <mergeCell ref="G38:H38"/>
    <mergeCell ref="E39:F39"/>
    <mergeCell ref="G39:H39"/>
  </mergeCells>
  <pageMargins left="0.75" right="0.75" top="1" bottom="1" header="0.5" footer="0.5"/>
  <pageSetup paperSize="9" scale="59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view="pageBreakPreview" zoomScale="85" zoomScaleNormal="85" topLeftCell="A11" workbookViewId="0">
      <selection activeCell="O18" sqref="O18"/>
    </sheetView>
  </sheetViews>
  <sheetFormatPr defaultColWidth="9" defaultRowHeight="12.75" customHeight="1"/>
  <cols>
    <col min="1" max="1" width="13.2222222222222" style="6" customWidth="1"/>
    <col min="2" max="2" width="9" style="6" customWidth="1"/>
    <col min="3" max="3" width="9" style="6"/>
    <col min="4" max="5" width="9.66666666666667" style="6" customWidth="1"/>
    <col min="6" max="6" width="16.7777777777778" style="6" customWidth="1"/>
    <col min="7" max="9" width="8.87962962962963" style="6" customWidth="1"/>
    <col min="10" max="10" width="10.0648148148148" style="6" customWidth="1"/>
    <col min="11" max="11" width="10.1111111111111" style="6" customWidth="1"/>
    <col min="12" max="12" width="11.7592592592593" style="6" customWidth="1"/>
    <col min="13" max="13" width="12.1481481481481" style="6" customWidth="1"/>
    <col min="14" max="14" width="10.1111111111111" style="6" customWidth="1"/>
    <col min="15" max="15" width="8.55555555555556" style="6" customWidth="1"/>
    <col min="16" max="16" width="10.1111111111111" style="6" customWidth="1"/>
    <col min="17" max="17" width="11.5555555555556" style="6" customWidth="1"/>
    <col min="18" max="18" width="10.712962962963" style="28" customWidth="1"/>
    <col min="19" max="16384" width="9" style="6"/>
  </cols>
  <sheetData>
    <row r="1" s="1" customFormat="1" ht="99" customHeight="1" spans="1:19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="2" customFormat="1" customHeight="1" spans="1:19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="1" customFormat="1" customHeight="1" spans="1:19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="1" customFormat="1" customHeight="1" spans="1:1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="1" customFormat="1" ht="15" customHeight="1" spans="1:19">
      <c r="A5" s="9" t="s">
        <v>2</v>
      </c>
      <c r="B5" s="9"/>
      <c r="C5" s="58"/>
      <c r="D5" s="2"/>
      <c r="J5" s="10"/>
      <c r="K5" s="10"/>
      <c r="L5" s="10"/>
      <c r="M5" s="10"/>
      <c r="N5" s="10"/>
      <c r="O5" s="10" t="s">
        <v>178</v>
      </c>
      <c r="P5" s="10"/>
      <c r="R5" s="10"/>
    </row>
    <row r="6" s="1" customFormat="1" ht="15" customHeight="1" spans="1:19">
      <c r="A6" s="9" t="s">
        <v>4</v>
      </c>
      <c r="B6" s="9"/>
      <c r="C6" s="58"/>
      <c r="D6" s="2"/>
      <c r="J6" s="10"/>
      <c r="K6" s="10"/>
      <c r="L6" s="10"/>
      <c r="M6" s="10"/>
      <c r="N6" s="10"/>
      <c r="O6" s="10" t="s">
        <v>5</v>
      </c>
      <c r="P6" s="10"/>
      <c r="R6" s="10"/>
    </row>
    <row r="7" s="1" customFormat="1" ht="15" customHeight="1" spans="1:19">
      <c r="A7" s="9" t="s">
        <v>6</v>
      </c>
      <c r="B7" s="9"/>
      <c r="C7" s="58"/>
      <c r="D7" s="2"/>
      <c r="J7" s="10"/>
      <c r="K7" s="10"/>
      <c r="L7" s="10"/>
      <c r="M7" s="10"/>
      <c r="N7" s="10"/>
      <c r="O7" s="10" t="s">
        <v>7</v>
      </c>
      <c r="P7" s="10"/>
      <c r="R7" s="10"/>
    </row>
    <row r="8" s="3" customFormat="1" ht="15" customHeight="1" spans="1:19">
      <c r="A8" s="9" t="s">
        <v>8</v>
      </c>
      <c r="B8" s="9"/>
      <c r="C8" s="60"/>
      <c r="D8" s="61"/>
      <c r="J8" s="10"/>
      <c r="K8" s="10"/>
      <c r="L8" s="10"/>
      <c r="M8" s="10"/>
      <c r="N8" s="10"/>
      <c r="O8" s="10" t="s">
        <v>9</v>
      </c>
      <c r="P8" s="10"/>
      <c r="R8" s="10"/>
    </row>
    <row r="9" s="4" customFormat="1" ht="14.25" customHeight="1" spans="1:19">
      <c r="A9" s="11" t="s">
        <v>179</v>
      </c>
      <c r="B9" s="12"/>
      <c r="C9" s="27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1" s="4" customFormat="1" ht="36" customHeight="1" spans="1:19">
      <c r="A11" s="14" t="s">
        <v>11</v>
      </c>
      <c r="B11" s="14" t="s">
        <v>12</v>
      </c>
      <c r="C11" s="15" t="s">
        <v>13</v>
      </c>
      <c r="D11" s="62" t="s">
        <v>15</v>
      </c>
      <c r="E11" s="62"/>
      <c r="F11" s="14" t="s">
        <v>16</v>
      </c>
      <c r="G11" s="14" t="s">
        <v>17</v>
      </c>
      <c r="H11" s="14" t="s">
        <v>18</v>
      </c>
      <c r="I11" s="14" t="s">
        <v>19</v>
      </c>
      <c r="J11" s="14" t="s">
        <v>20</v>
      </c>
      <c r="K11" s="14" t="s">
        <v>21</v>
      </c>
      <c r="L11" s="14" t="s">
        <v>22</v>
      </c>
      <c r="M11" s="14" t="s">
        <v>23</v>
      </c>
      <c r="N11" s="14" t="s">
        <v>24</v>
      </c>
      <c r="O11" s="14" t="s">
        <v>25</v>
      </c>
      <c r="P11" s="14" t="s">
        <v>26</v>
      </c>
      <c r="Q11" s="19" t="s">
        <v>27</v>
      </c>
      <c r="R11" s="14" t="s">
        <v>28</v>
      </c>
    </row>
    <row r="12" s="38" customFormat="1" ht="15.6" spans="1:19">
      <c r="A12" s="55" t="s">
        <v>180</v>
      </c>
      <c r="B12" s="55">
        <v>0.076</v>
      </c>
      <c r="C12" s="55" t="s">
        <v>105</v>
      </c>
      <c r="D12" s="57" t="s">
        <v>34</v>
      </c>
      <c r="E12" s="55" t="s">
        <v>146</v>
      </c>
      <c r="F12" s="55" t="s">
        <v>139</v>
      </c>
      <c r="G12" s="47">
        <f>Q12*12</f>
        <v>197.202</v>
      </c>
      <c r="H12" s="47">
        <f>Q12*13.33</f>
        <v>219.058555</v>
      </c>
      <c r="I12" s="47">
        <f>Q12*14</f>
        <v>230.069</v>
      </c>
      <c r="J12" s="47">
        <f>21.2*24.2/144*Q12</f>
        <v>58.5489086111111</v>
      </c>
      <c r="K12" s="47">
        <f>18.2*24.2/144*Q12</f>
        <v>50.2636856944444</v>
      </c>
      <c r="L12" s="47">
        <f>28.25*24.25/144*Q12</f>
        <v>78.1803791232639</v>
      </c>
      <c r="M12" s="47">
        <f>27.25*24.25/144*Q12</f>
        <v>75.4129320746528</v>
      </c>
      <c r="N12" s="47">
        <f>28.5*49/144*Q12</f>
        <v>159.370713541667</v>
      </c>
      <c r="O12" s="47">
        <f>17*24.5/144*Q12</f>
        <v>47.5316163194444</v>
      </c>
      <c r="P12" s="47">
        <f>24.3*16.2/144*Q12</f>
        <v>44.925080625</v>
      </c>
      <c r="Q12" s="56">
        <v>16.4335</v>
      </c>
      <c r="R12" s="110"/>
    </row>
    <row r="13" s="1" customFormat="1" ht="17.4" spans="1:19">
      <c r="A13" s="55" t="s">
        <v>180</v>
      </c>
      <c r="B13" s="55">
        <v>0.076</v>
      </c>
      <c r="C13" s="55" t="s">
        <v>105</v>
      </c>
      <c r="D13" s="57" t="s">
        <v>34</v>
      </c>
      <c r="E13" s="55" t="s">
        <v>106</v>
      </c>
      <c r="F13" s="55" t="s">
        <v>174</v>
      </c>
      <c r="G13" s="47">
        <f t="shared" ref="G13:G26" si="0">Q13*12</f>
        <v>186.4242</v>
      </c>
      <c r="H13" s="47">
        <f t="shared" ref="H13:H26" si="1">Q13*13.33</f>
        <v>207.0862155</v>
      </c>
      <c r="I13" s="47">
        <f t="shared" ref="I13:I26" si="2">Q13*14</f>
        <v>217.4949</v>
      </c>
      <c r="J13" s="47">
        <f t="shared" ref="J13:J26" si="3">21.2*24.2/144*Q13</f>
        <v>55.34899975</v>
      </c>
      <c r="K13" s="47">
        <f t="shared" ref="K13:K26" si="4">18.2*24.2/144*Q13</f>
        <v>47.516594125</v>
      </c>
      <c r="L13" s="47">
        <f t="shared" ref="L13:L26" si="5">28.25*24.25/144*Q13</f>
        <v>73.9075396484375</v>
      </c>
      <c r="M13" s="47">
        <f t="shared" ref="M13:M26" si="6">27.25*24.25/144*Q13</f>
        <v>71.2913435546875</v>
      </c>
      <c r="N13" s="47">
        <f t="shared" ref="N13:N26" si="7">28.5*49/144*Q13</f>
        <v>150.6605296875</v>
      </c>
      <c r="O13" s="47">
        <f t="shared" ref="O13:O26" si="8">17*24.5/144*Q13</f>
        <v>44.9338421875</v>
      </c>
      <c r="P13" s="47">
        <f t="shared" ref="P13:P26" si="9">24.3*16.2/144*Q13</f>
        <v>42.4697630625</v>
      </c>
      <c r="Q13" s="56">
        <v>15.53535</v>
      </c>
      <c r="R13" s="110"/>
      <c r="S13" s="38"/>
    </row>
    <row r="14" s="1" customFormat="1" ht="17.4" spans="1:19">
      <c r="A14" s="55" t="s">
        <v>180</v>
      </c>
      <c r="B14" s="55">
        <v>0.102</v>
      </c>
      <c r="C14" s="55" t="s">
        <v>105</v>
      </c>
      <c r="D14" s="57" t="s">
        <v>34</v>
      </c>
      <c r="E14" s="55" t="s">
        <v>146</v>
      </c>
      <c r="F14" s="55" t="s">
        <v>148</v>
      </c>
      <c r="G14" s="47">
        <f t="shared" si="0"/>
        <v>216.8808</v>
      </c>
      <c r="H14" s="47">
        <f t="shared" si="1"/>
        <v>240.918422</v>
      </c>
      <c r="I14" s="47">
        <f t="shared" si="2"/>
        <v>253.0276</v>
      </c>
      <c r="J14" s="47">
        <f t="shared" si="3"/>
        <v>64.3915078888889</v>
      </c>
      <c r="K14" s="47">
        <f t="shared" si="4"/>
        <v>55.2795020555556</v>
      </c>
      <c r="L14" s="47">
        <f t="shared" si="5"/>
        <v>85.9820040798611</v>
      </c>
      <c r="M14" s="47">
        <f t="shared" si="6"/>
        <v>82.9383933159722</v>
      </c>
      <c r="N14" s="47">
        <f t="shared" si="7"/>
        <v>175.274327083333</v>
      </c>
      <c r="O14" s="47">
        <f t="shared" si="8"/>
        <v>52.2747993055556</v>
      </c>
      <c r="P14" s="47">
        <f t="shared" si="9"/>
        <v>49.40815725</v>
      </c>
      <c r="Q14" s="56">
        <v>18.0734</v>
      </c>
      <c r="R14" s="110"/>
      <c r="S14" s="38"/>
    </row>
    <row r="15" s="1" customFormat="1" ht="17.4" spans="1:19">
      <c r="A15" s="55" t="s">
        <v>180</v>
      </c>
      <c r="B15" s="55">
        <v>0.102</v>
      </c>
      <c r="C15" s="55" t="s">
        <v>105</v>
      </c>
      <c r="D15" s="57" t="s">
        <v>34</v>
      </c>
      <c r="E15" s="55" t="s">
        <v>146</v>
      </c>
      <c r="F15" s="55" t="s">
        <v>145</v>
      </c>
      <c r="G15" s="47">
        <f t="shared" si="0"/>
        <v>222.1938</v>
      </c>
      <c r="H15" s="47">
        <f t="shared" si="1"/>
        <v>246.8202795</v>
      </c>
      <c r="I15" s="47">
        <f t="shared" si="2"/>
        <v>259.2261</v>
      </c>
      <c r="J15" s="47">
        <f t="shared" si="3"/>
        <v>65.96892775</v>
      </c>
      <c r="K15" s="47">
        <f t="shared" si="4"/>
        <v>56.633702125</v>
      </c>
      <c r="L15" s="47">
        <f t="shared" si="5"/>
        <v>88.0883333984375</v>
      </c>
      <c r="M15" s="47">
        <f t="shared" si="6"/>
        <v>84.9701623046875</v>
      </c>
      <c r="N15" s="47">
        <f t="shared" si="7"/>
        <v>179.5680796875</v>
      </c>
      <c r="O15" s="47">
        <f t="shared" si="8"/>
        <v>53.5553921875</v>
      </c>
      <c r="P15" s="47">
        <f t="shared" si="9"/>
        <v>50.6185250625</v>
      </c>
      <c r="Q15" s="56">
        <v>18.51615</v>
      </c>
      <c r="R15" s="110"/>
      <c r="S15" s="38"/>
    </row>
    <row r="16" s="1" customFormat="1" ht="17.4" spans="1:19">
      <c r="A16" s="55" t="s">
        <v>180</v>
      </c>
      <c r="B16" s="55">
        <v>0.102</v>
      </c>
      <c r="C16" s="55" t="s">
        <v>105</v>
      </c>
      <c r="D16" s="57" t="s">
        <v>34</v>
      </c>
      <c r="E16" s="55" t="s">
        <v>146</v>
      </c>
      <c r="F16" s="55" t="s">
        <v>144</v>
      </c>
      <c r="G16" s="47">
        <f t="shared" si="0"/>
        <v>206.9172</v>
      </c>
      <c r="H16" s="47">
        <f t="shared" si="1"/>
        <v>229.850523</v>
      </c>
      <c r="I16" s="47">
        <f t="shared" si="2"/>
        <v>241.4034</v>
      </c>
      <c r="J16" s="47">
        <f t="shared" si="3"/>
        <v>61.4333335</v>
      </c>
      <c r="K16" s="47">
        <f t="shared" si="4"/>
        <v>52.73993725</v>
      </c>
      <c r="L16" s="47">
        <f t="shared" si="5"/>
        <v>82.031952734375</v>
      </c>
      <c r="M16" s="47">
        <f t="shared" si="6"/>
        <v>79.128166796875</v>
      </c>
      <c r="N16" s="47">
        <f t="shared" si="7"/>
        <v>167.222146875</v>
      </c>
      <c r="O16" s="47">
        <f t="shared" si="8"/>
        <v>49.873271875</v>
      </c>
      <c r="P16" s="47">
        <f t="shared" si="9"/>
        <v>47.138324625</v>
      </c>
      <c r="Q16" s="56">
        <v>17.2431</v>
      </c>
      <c r="R16" s="110"/>
      <c r="S16" s="38"/>
    </row>
    <row r="17" s="1" customFormat="1" ht="17.4" spans="1:19">
      <c r="A17" s="55" t="s">
        <v>180</v>
      </c>
      <c r="B17" s="55">
        <v>0.102</v>
      </c>
      <c r="C17" s="55" t="s">
        <v>105</v>
      </c>
      <c r="D17" s="57" t="s">
        <v>34</v>
      </c>
      <c r="E17" s="55" t="s">
        <v>146</v>
      </c>
      <c r="F17" s="55" t="s">
        <v>143</v>
      </c>
      <c r="G17" s="47">
        <f t="shared" si="0"/>
        <v>203.9226</v>
      </c>
      <c r="H17" s="47">
        <f t="shared" si="1"/>
        <v>226.5240215</v>
      </c>
      <c r="I17" s="47">
        <f t="shared" si="2"/>
        <v>237.9097</v>
      </c>
      <c r="J17" s="47">
        <f t="shared" si="3"/>
        <v>60.5442423055555</v>
      </c>
      <c r="K17" s="47">
        <f t="shared" si="4"/>
        <v>51.9766608472222</v>
      </c>
      <c r="L17" s="47">
        <f t="shared" si="5"/>
        <v>80.8447489366319</v>
      </c>
      <c r="M17" s="47">
        <f t="shared" si="6"/>
        <v>77.9829879123264</v>
      </c>
      <c r="N17" s="47">
        <f t="shared" si="7"/>
        <v>164.802031770833</v>
      </c>
      <c r="O17" s="47">
        <f t="shared" si="8"/>
        <v>49.1514831597222</v>
      </c>
      <c r="P17" s="47">
        <f t="shared" si="9"/>
        <v>46.4561173125</v>
      </c>
      <c r="Q17" s="56">
        <v>16.99355</v>
      </c>
      <c r="R17" s="110"/>
      <c r="S17" s="38"/>
    </row>
    <row r="18" s="1" customFormat="1" ht="17.4" spans="1:19">
      <c r="A18" s="55" t="s">
        <v>180</v>
      </c>
      <c r="B18" s="55">
        <v>0.102</v>
      </c>
      <c r="C18" s="55" t="s">
        <v>105</v>
      </c>
      <c r="D18" s="57" t="s">
        <v>41</v>
      </c>
      <c r="E18" s="55" t="s">
        <v>106</v>
      </c>
      <c r="F18" s="55" t="s">
        <v>148</v>
      </c>
      <c r="G18" s="47">
        <f t="shared" si="0"/>
        <v>341.7294</v>
      </c>
      <c r="H18" s="47">
        <f t="shared" si="1"/>
        <v>379.6044085</v>
      </c>
      <c r="I18" s="47">
        <f t="shared" si="2"/>
        <v>398.6843</v>
      </c>
      <c r="J18" s="47">
        <f t="shared" si="3"/>
        <v>101.458826027778</v>
      </c>
      <c r="K18" s="47">
        <f t="shared" si="4"/>
        <v>87.1014449861111</v>
      </c>
      <c r="L18" s="47">
        <f t="shared" si="5"/>
        <v>135.478007573785</v>
      </c>
      <c r="M18" s="47">
        <f t="shared" si="6"/>
        <v>130.682325889757</v>
      </c>
      <c r="N18" s="47">
        <f t="shared" si="7"/>
        <v>276.171936979167</v>
      </c>
      <c r="O18" s="47">
        <f t="shared" si="8"/>
        <v>82.3670689236111</v>
      </c>
      <c r="P18" s="47">
        <f t="shared" si="9"/>
        <v>77.8502289375</v>
      </c>
      <c r="Q18" s="56">
        <v>28.47745</v>
      </c>
      <c r="R18" s="110"/>
      <c r="S18" s="38"/>
    </row>
    <row r="19" s="1" customFormat="1" ht="17.4" spans="1:19">
      <c r="A19" s="55" t="s">
        <v>180</v>
      </c>
      <c r="B19" s="55">
        <v>0.127</v>
      </c>
      <c r="C19" s="55" t="s">
        <v>105</v>
      </c>
      <c r="D19" s="57" t="s">
        <v>41</v>
      </c>
      <c r="E19" s="55" t="s">
        <v>106</v>
      </c>
      <c r="F19" s="55" t="s">
        <v>149</v>
      </c>
      <c r="G19" s="47">
        <f t="shared" si="0"/>
        <v>357.3096</v>
      </c>
      <c r="H19" s="47">
        <f t="shared" si="1"/>
        <v>396.911414</v>
      </c>
      <c r="I19" s="47">
        <f t="shared" si="2"/>
        <v>416.8612</v>
      </c>
      <c r="J19" s="47">
        <f t="shared" si="3"/>
        <v>106.084558555556</v>
      </c>
      <c r="K19" s="47">
        <f t="shared" si="4"/>
        <v>91.0725927222222</v>
      </c>
      <c r="L19" s="47">
        <f t="shared" si="5"/>
        <v>141.654749913194</v>
      </c>
      <c r="M19" s="47">
        <f t="shared" si="6"/>
        <v>136.640422482639</v>
      </c>
      <c r="N19" s="47">
        <f t="shared" si="7"/>
        <v>288.763227083333</v>
      </c>
      <c r="O19" s="47">
        <f t="shared" si="8"/>
        <v>86.1223659722222</v>
      </c>
      <c r="P19" s="47">
        <f t="shared" si="9"/>
        <v>81.39959325</v>
      </c>
      <c r="Q19" s="56">
        <v>29.7758</v>
      </c>
      <c r="R19" s="110"/>
      <c r="S19" s="38"/>
    </row>
    <row r="20" s="1" customFormat="1" ht="17.4" spans="1:19">
      <c r="A20" s="55" t="s">
        <v>180</v>
      </c>
      <c r="B20" s="55">
        <v>0.203</v>
      </c>
      <c r="C20" s="55" t="s">
        <v>105</v>
      </c>
      <c r="D20" s="57" t="s">
        <v>34</v>
      </c>
      <c r="E20" s="55" t="s">
        <v>146</v>
      </c>
      <c r="F20" s="55" t="s">
        <v>152</v>
      </c>
      <c r="G20" s="47">
        <f t="shared" si="0"/>
        <v>227.355</v>
      </c>
      <c r="H20" s="47">
        <f t="shared" si="1"/>
        <v>252.5535125</v>
      </c>
      <c r="I20" s="47">
        <f t="shared" si="2"/>
        <v>265.2475</v>
      </c>
      <c r="J20" s="47">
        <f t="shared" si="3"/>
        <v>67.5012784722222</v>
      </c>
      <c r="K20" s="47">
        <f t="shared" si="4"/>
        <v>57.9492107638889</v>
      </c>
      <c r="L20" s="47">
        <f t="shared" si="5"/>
        <v>90.1344818793403</v>
      </c>
      <c r="M20" s="47">
        <f t="shared" si="6"/>
        <v>86.9438807508681</v>
      </c>
      <c r="N20" s="47">
        <f t="shared" si="7"/>
        <v>183.739153645833</v>
      </c>
      <c r="O20" s="47">
        <f t="shared" si="8"/>
        <v>54.7993967013889</v>
      </c>
      <c r="P20" s="47">
        <f t="shared" si="9"/>
        <v>51.7943109375</v>
      </c>
      <c r="Q20" s="56">
        <v>18.94625</v>
      </c>
      <c r="R20" s="110"/>
      <c r="S20" s="38"/>
    </row>
    <row r="21" s="1" customFormat="1" ht="17.4" spans="1:19">
      <c r="A21" s="55" t="s">
        <v>180</v>
      </c>
      <c r="B21" s="55">
        <v>0.381</v>
      </c>
      <c r="C21" s="55" t="s">
        <v>105</v>
      </c>
      <c r="D21" s="57" t="s">
        <v>41</v>
      </c>
      <c r="E21" s="55" t="s">
        <v>106</v>
      </c>
      <c r="F21" s="55" t="s">
        <v>181</v>
      </c>
      <c r="G21" s="47">
        <f t="shared" si="0"/>
        <v>405.6648</v>
      </c>
      <c r="H21" s="47">
        <f t="shared" si="1"/>
        <v>450.625982</v>
      </c>
      <c r="I21" s="47">
        <f t="shared" si="2"/>
        <v>473.2756</v>
      </c>
      <c r="J21" s="47">
        <f t="shared" si="3"/>
        <v>120.441127888889</v>
      </c>
      <c r="K21" s="47">
        <f t="shared" si="4"/>
        <v>103.397572055556</v>
      </c>
      <c r="L21" s="47">
        <f t="shared" si="5"/>
        <v>160.825082204861</v>
      </c>
      <c r="M21" s="47">
        <f t="shared" si="6"/>
        <v>155.132158940972</v>
      </c>
      <c r="N21" s="47">
        <f t="shared" si="7"/>
        <v>327.841952083333</v>
      </c>
      <c r="O21" s="47">
        <f t="shared" si="8"/>
        <v>97.7774243055556</v>
      </c>
      <c r="P21" s="47">
        <f t="shared" si="9"/>
        <v>92.41551225</v>
      </c>
      <c r="Q21" s="56">
        <v>33.8054</v>
      </c>
      <c r="R21" s="110"/>
      <c r="S21" s="38"/>
    </row>
    <row r="22" s="1" customFormat="1" ht="17.4" spans="1:19">
      <c r="A22" s="55" t="s">
        <v>180</v>
      </c>
      <c r="B22" s="55">
        <v>0.457</v>
      </c>
      <c r="C22" s="55" t="s">
        <v>105</v>
      </c>
      <c r="D22" s="57" t="s">
        <v>34</v>
      </c>
      <c r="E22" s="55" t="s">
        <v>146</v>
      </c>
      <c r="F22" s="55" t="s">
        <v>155</v>
      </c>
      <c r="G22" s="47">
        <f t="shared" si="0"/>
        <v>293.6778</v>
      </c>
      <c r="H22" s="47">
        <f t="shared" si="1"/>
        <v>326.2270895</v>
      </c>
      <c r="I22" s="47">
        <f t="shared" si="2"/>
        <v>342.6241</v>
      </c>
      <c r="J22" s="47">
        <f t="shared" si="3"/>
        <v>87.1923949722222</v>
      </c>
      <c r="K22" s="47">
        <f t="shared" si="4"/>
        <v>74.8538485138889</v>
      </c>
      <c r="L22" s="47">
        <f t="shared" si="5"/>
        <v>116.428036957465</v>
      </c>
      <c r="M22" s="47">
        <f t="shared" si="6"/>
        <v>112.306690516493</v>
      </c>
      <c r="N22" s="47">
        <f t="shared" si="7"/>
        <v>237.338569270833</v>
      </c>
      <c r="O22" s="47">
        <f t="shared" si="8"/>
        <v>70.7851873263889</v>
      </c>
      <c r="P22" s="47">
        <f t="shared" si="9"/>
        <v>66.9034738125</v>
      </c>
      <c r="Q22" s="56">
        <v>24.47315</v>
      </c>
      <c r="R22" s="110"/>
      <c r="S22" s="38"/>
    </row>
    <row r="23" s="1" customFormat="1" ht="17.4" spans="1:19">
      <c r="A23" s="55" t="s">
        <v>180</v>
      </c>
      <c r="B23" s="55">
        <v>0.508</v>
      </c>
      <c r="C23" s="55" t="s">
        <v>105</v>
      </c>
      <c r="D23" s="57" t="s">
        <v>34</v>
      </c>
      <c r="E23" s="55" t="s">
        <v>106</v>
      </c>
      <c r="F23" s="55" t="s">
        <v>156</v>
      </c>
      <c r="G23" s="47">
        <f t="shared" si="0"/>
        <v>288.2544</v>
      </c>
      <c r="H23" s="47">
        <f t="shared" si="1"/>
        <v>320.202596</v>
      </c>
      <c r="I23" s="47">
        <f t="shared" si="2"/>
        <v>336.2968</v>
      </c>
      <c r="J23" s="47">
        <f t="shared" si="3"/>
        <v>85.5821975555556</v>
      </c>
      <c r="K23" s="47">
        <f t="shared" si="4"/>
        <v>73.4715092222222</v>
      </c>
      <c r="L23" s="47">
        <f t="shared" si="5"/>
        <v>114.277939756944</v>
      </c>
      <c r="M23" s="47">
        <f t="shared" si="6"/>
        <v>110.232702951389</v>
      </c>
      <c r="N23" s="47">
        <f t="shared" si="7"/>
        <v>232.955595833333</v>
      </c>
      <c r="O23" s="47">
        <f t="shared" si="8"/>
        <v>69.4779847222222</v>
      </c>
      <c r="P23" s="47">
        <f t="shared" si="9"/>
        <v>65.6679555</v>
      </c>
      <c r="Q23" s="56">
        <v>24.0212</v>
      </c>
      <c r="R23" s="110"/>
      <c r="S23" s="38"/>
    </row>
    <row r="24" s="1" customFormat="1" ht="17.4" spans="1:19">
      <c r="A24" s="55" t="s">
        <v>180</v>
      </c>
      <c r="B24" s="55">
        <v>0.508</v>
      </c>
      <c r="C24" s="55" t="s">
        <v>105</v>
      </c>
      <c r="D24" s="57" t="s">
        <v>41</v>
      </c>
      <c r="E24" s="55" t="s">
        <v>106</v>
      </c>
      <c r="F24" s="55" t="s">
        <v>156</v>
      </c>
      <c r="G24" s="47">
        <f t="shared" si="0"/>
        <v>442.704</v>
      </c>
      <c r="H24" s="47">
        <f t="shared" si="1"/>
        <v>491.77036</v>
      </c>
      <c r="I24" s="47">
        <f t="shared" si="2"/>
        <v>516.488</v>
      </c>
      <c r="J24" s="47">
        <f t="shared" si="3"/>
        <v>131.437997777778</v>
      </c>
      <c r="K24" s="47">
        <f t="shared" si="4"/>
        <v>112.838281111111</v>
      </c>
      <c r="L24" s="47">
        <f t="shared" si="5"/>
        <v>175.509206597222</v>
      </c>
      <c r="M24" s="47">
        <f t="shared" si="6"/>
        <v>169.296491319444</v>
      </c>
      <c r="N24" s="47">
        <f t="shared" si="7"/>
        <v>357.775541666667</v>
      </c>
      <c r="O24" s="47">
        <f t="shared" si="8"/>
        <v>106.704986111111</v>
      </c>
      <c r="P24" s="47">
        <f t="shared" si="9"/>
        <v>100.853505</v>
      </c>
      <c r="Q24" s="56">
        <v>36.892</v>
      </c>
      <c r="R24" s="110"/>
      <c r="S24" s="38"/>
    </row>
    <row r="25" s="1" customFormat="1" ht="17.4" spans="1:19">
      <c r="A25" s="55" t="s">
        <v>180</v>
      </c>
      <c r="B25" s="55">
        <v>0.711</v>
      </c>
      <c r="C25" s="55" t="s">
        <v>105</v>
      </c>
      <c r="D25" s="57" t="s">
        <v>31</v>
      </c>
      <c r="E25" s="55" t="s">
        <v>146</v>
      </c>
      <c r="F25" s="55" t="s">
        <v>182</v>
      </c>
      <c r="G25" s="47">
        <f t="shared" si="0"/>
        <v>298.3836</v>
      </c>
      <c r="H25" s="47">
        <f t="shared" si="1"/>
        <v>331.454449</v>
      </c>
      <c r="I25" s="47">
        <f t="shared" si="2"/>
        <v>348.1142</v>
      </c>
      <c r="J25" s="47">
        <f t="shared" si="3"/>
        <v>88.5895382777778</v>
      </c>
      <c r="K25" s="47">
        <f t="shared" si="4"/>
        <v>76.0532828611111</v>
      </c>
      <c r="L25" s="47">
        <f t="shared" si="5"/>
        <v>118.293642925347</v>
      </c>
      <c r="M25" s="47">
        <f t="shared" si="6"/>
        <v>114.106257335069</v>
      </c>
      <c r="N25" s="47">
        <f t="shared" si="7"/>
        <v>241.141607291667</v>
      </c>
      <c r="O25" s="47">
        <f t="shared" si="8"/>
        <v>71.9194267361111</v>
      </c>
      <c r="P25" s="47">
        <f t="shared" si="9"/>
        <v>67.975513875</v>
      </c>
      <c r="Q25" s="56">
        <v>24.8653</v>
      </c>
      <c r="R25" s="110"/>
      <c r="S25" s="38"/>
    </row>
    <row r="26" s="1" customFormat="1" ht="17.4" spans="1:19">
      <c r="A26" s="111" t="s">
        <v>180</v>
      </c>
      <c r="B26" s="111">
        <v>1.194</v>
      </c>
      <c r="C26" s="111" t="s">
        <v>105</v>
      </c>
      <c r="D26" s="112" t="s">
        <v>41</v>
      </c>
      <c r="E26" s="111" t="s">
        <v>106</v>
      </c>
      <c r="F26" s="111" t="s">
        <v>183</v>
      </c>
      <c r="G26" s="47">
        <f t="shared" si="0"/>
        <v>595.1526</v>
      </c>
      <c r="H26" s="47">
        <f t="shared" si="1"/>
        <v>661.1153465</v>
      </c>
      <c r="I26" s="47">
        <f t="shared" si="2"/>
        <v>694.3447</v>
      </c>
      <c r="J26" s="47">
        <f t="shared" si="3"/>
        <v>176.699704805556</v>
      </c>
      <c r="K26" s="47">
        <f t="shared" si="4"/>
        <v>151.695029597222</v>
      </c>
      <c r="L26" s="47">
        <f t="shared" si="5"/>
        <v>235.947180577257</v>
      </c>
      <c r="M26" s="47">
        <f t="shared" si="6"/>
        <v>227.595067990451</v>
      </c>
      <c r="N26" s="47">
        <f t="shared" si="7"/>
        <v>480.978359895833</v>
      </c>
      <c r="O26" s="47">
        <f t="shared" si="8"/>
        <v>143.449686284722</v>
      </c>
      <c r="P26" s="47">
        <f t="shared" si="9"/>
        <v>135.5832016875</v>
      </c>
      <c r="Q26" s="56">
        <v>49.59605</v>
      </c>
      <c r="R26" s="110"/>
      <c r="S26" s="38"/>
    </row>
    <row r="27" s="1" customFormat="1" ht="17.4" spans="1:19">
      <c r="A27" s="113"/>
      <c r="B27" s="113"/>
      <c r="C27" s="113"/>
      <c r="D27" s="114"/>
      <c r="E27" s="113"/>
      <c r="F27" s="113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6"/>
    </row>
    <row r="28" s="1" customFormat="1" ht="17.4" spans="1:19">
      <c r="A28" s="38" t="s">
        <v>75</v>
      </c>
      <c r="B28" s="38"/>
      <c r="C28" s="38"/>
      <c r="D28" s="38"/>
      <c r="E28" s="39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</row>
    <row r="29" s="1" customFormat="1" ht="17.4" spans="1:19">
      <c r="A29" s="38" t="s">
        <v>76</v>
      </c>
      <c r="B29" s="38"/>
      <c r="C29" s="38"/>
      <c r="D29" s="38"/>
      <c r="E29" s="41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="1" customFormat="1" ht="17.4" spans="1:19">
      <c r="A30" s="38" t="s">
        <v>77</v>
      </c>
      <c r="B30" s="38"/>
      <c r="C30" s="38"/>
      <c r="D30" s="38"/>
      <c r="E30" s="41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="6" customFormat="1" ht="17.4" spans="1:19">
      <c r="A31" s="6" t="s">
        <v>160</v>
      </c>
      <c r="I31" s="42"/>
      <c r="J31" s="42"/>
      <c r="K31" s="42"/>
      <c r="L31" s="42"/>
      <c r="M31" s="42"/>
      <c r="N31" s="42"/>
      <c r="O31" s="42"/>
      <c r="P31" s="42"/>
      <c r="Q31" s="42"/>
      <c r="R31" s="28"/>
    </row>
    <row r="32" customHeight="1" spans="1:19">
      <c r="A32" s="6" t="s">
        <v>170</v>
      </c>
    </row>
    <row r="33" s="6" customFormat="1" ht="21" customHeight="1" spans="1:18">
      <c r="A33" s="1" t="s">
        <v>80</v>
      </c>
      <c r="B33" s="1"/>
      <c r="C33" s="1"/>
      <c r="D33" s="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1"/>
    </row>
  </sheetData>
  <mergeCells count="8">
    <mergeCell ref="A1:R1"/>
    <mergeCell ref="A2:R2"/>
    <mergeCell ref="A3:R3"/>
    <mergeCell ref="A5:B5"/>
    <mergeCell ref="A6:B6"/>
    <mergeCell ref="A7:B7"/>
    <mergeCell ref="A8:B8"/>
    <mergeCell ref="D11:E11"/>
  </mergeCells>
  <pageMargins left="0.75" right="0.75" top="1" bottom="1" header="0.5" footer="0.5"/>
  <pageSetup paperSize="9" scale="55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E44"/>
  <sheetViews>
    <sheetView view="pageBreakPreview" zoomScale="110" zoomScaleNormal="100" topLeftCell="A14" workbookViewId="0">
      <selection activeCell="J15" sqref="J15"/>
    </sheetView>
  </sheetViews>
  <sheetFormatPr defaultColWidth="9" defaultRowHeight="12.75" customHeight="1"/>
  <cols>
    <col min="1" max="1" width="11.1111111111111" style="6" customWidth="1"/>
    <col min="2" max="2" width="9" style="6" customWidth="1"/>
    <col min="3" max="3" width="10.2222222222222" style="6" customWidth="1"/>
    <col min="4" max="4" width="10" style="6" customWidth="1"/>
    <col min="5" max="5" width="15.5555555555556" style="6" customWidth="1"/>
    <col min="6" max="6" width="14.8796296296296" style="28" customWidth="1"/>
    <col min="7" max="7" width="11.6666666666667" style="51" customWidth="1"/>
    <col min="8" max="16384" width="9" style="6"/>
  </cols>
  <sheetData>
    <row r="1" s="1" customFormat="1" ht="97" customHeight="1" spans="1:31">
      <c r="A1" s="7"/>
      <c r="B1" s="7"/>
      <c r="C1" s="7"/>
      <c r="D1" s="7"/>
      <c r="E1" s="7"/>
      <c r="F1" s="7"/>
      <c r="G1" s="7"/>
    </row>
    <row r="2" s="2" customFormat="1" customHeight="1" spans="1:31">
      <c r="A2" s="4" t="s">
        <v>0</v>
      </c>
      <c r="B2" s="4"/>
      <c r="C2" s="4"/>
      <c r="D2" s="4"/>
      <c r="E2" s="4"/>
      <c r="F2" s="4"/>
      <c r="G2" s="4"/>
    </row>
    <row r="3" s="1" customFormat="1" customHeight="1" spans="1:31">
      <c r="A3" s="4" t="s">
        <v>1</v>
      </c>
      <c r="B3" s="4"/>
      <c r="C3" s="4"/>
      <c r="D3" s="4"/>
      <c r="E3" s="4"/>
      <c r="F3" s="4"/>
      <c r="G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="1" customFormat="1" customHeight="1" spans="1:31"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="1" customFormat="1" ht="15" customHeight="1" spans="1:31">
      <c r="A5" s="9" t="s">
        <v>2</v>
      </c>
      <c r="B5" s="9"/>
      <c r="C5" s="58"/>
      <c r="D5" s="2"/>
      <c r="F5" s="10" t="s">
        <v>3</v>
      </c>
      <c r="G5" s="1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ht="15" customHeight="1" spans="1:31">
      <c r="A6" s="10" t="s">
        <v>4</v>
      </c>
      <c r="B6" s="10"/>
      <c r="C6" s="59"/>
      <c r="D6" s="2"/>
      <c r="F6" s="10" t="s">
        <v>5</v>
      </c>
      <c r="G6" s="1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ht="15" customHeight="1" spans="1:31">
      <c r="A7" s="9" t="s">
        <v>6</v>
      </c>
      <c r="B7" s="9"/>
      <c r="C7" s="58"/>
      <c r="D7" s="2"/>
      <c r="F7" s="10" t="s">
        <v>7</v>
      </c>
      <c r="G7" s="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="3" customFormat="1" ht="15" customHeight="1" spans="1:31">
      <c r="A8" s="9" t="s">
        <v>8</v>
      </c>
      <c r="B8" s="9"/>
      <c r="C8" s="60"/>
      <c r="D8" s="61"/>
      <c r="F8" s="10" t="s">
        <v>9</v>
      </c>
      <c r="G8" s="10"/>
    </row>
    <row r="9" s="4" customFormat="1" ht="14.25" customHeight="1" spans="1:31">
      <c r="A9" s="11" t="s">
        <v>184</v>
      </c>
      <c r="B9" s="12"/>
      <c r="C9" s="27"/>
      <c r="E9" s="13"/>
    </row>
    <row r="11" s="4" customFormat="1" ht="15" spans="1:31">
      <c r="A11" s="14" t="s">
        <v>11</v>
      </c>
      <c r="B11" s="29" t="s">
        <v>84</v>
      </c>
      <c r="C11" s="64" t="s">
        <v>85</v>
      </c>
      <c r="D11" s="62" t="s">
        <v>86</v>
      </c>
      <c r="E11" s="14" t="s">
        <v>87</v>
      </c>
      <c r="F11" s="14" t="s">
        <v>88</v>
      </c>
      <c r="G11" s="14" t="s">
        <v>28</v>
      </c>
    </row>
    <row r="12" s="6" customFormat="1" ht="15.6" spans="1:31">
      <c r="A12" s="14" t="s">
        <v>180</v>
      </c>
      <c r="B12" s="14">
        <v>1080</v>
      </c>
      <c r="C12" s="67">
        <v>0.63</v>
      </c>
      <c r="D12" s="14">
        <v>300</v>
      </c>
      <c r="E12" s="109">
        <v>39.3875</v>
      </c>
      <c r="F12" s="94">
        <f t="shared" ref="F12:F29" si="0">E12*D12</f>
        <v>11816.25</v>
      </c>
      <c r="G12" s="104"/>
    </row>
    <row r="13" s="6" customFormat="1" ht="15.6" spans="1:31">
      <c r="A13" s="14" t="s">
        <v>180</v>
      </c>
      <c r="B13" s="14">
        <v>1080</v>
      </c>
      <c r="C13" s="67">
        <v>0.65</v>
      </c>
      <c r="D13" s="14">
        <v>300</v>
      </c>
      <c r="E13" s="109">
        <v>41.1585</v>
      </c>
      <c r="F13" s="94">
        <f t="shared" si="0"/>
        <v>12347.55</v>
      </c>
      <c r="G13" s="104"/>
    </row>
    <row r="14" s="6" customFormat="1" ht="15.6" spans="1:31">
      <c r="A14" s="14" t="s">
        <v>180</v>
      </c>
      <c r="B14" s="14">
        <v>1080</v>
      </c>
      <c r="C14" s="67">
        <v>0.66</v>
      </c>
      <c r="D14" s="14">
        <v>300</v>
      </c>
      <c r="E14" s="109">
        <v>41.331</v>
      </c>
      <c r="F14" s="94">
        <f t="shared" si="0"/>
        <v>12399.3</v>
      </c>
      <c r="G14" s="104"/>
    </row>
    <row r="15" s="6" customFormat="1" ht="15.6" spans="1:31">
      <c r="A15" s="14" t="s">
        <v>180</v>
      </c>
      <c r="B15" s="14">
        <v>1080</v>
      </c>
      <c r="C15" s="67">
        <v>0.68</v>
      </c>
      <c r="D15" s="14">
        <v>300</v>
      </c>
      <c r="E15" s="109">
        <v>45.494</v>
      </c>
      <c r="F15" s="94">
        <f t="shared" si="0"/>
        <v>13648.2</v>
      </c>
      <c r="G15" s="104"/>
    </row>
    <row r="16" s="6" customFormat="1" ht="15.6" spans="1:31">
      <c r="A16" s="14" t="s">
        <v>180</v>
      </c>
      <c r="B16" s="14">
        <v>1080</v>
      </c>
      <c r="C16" s="67">
        <v>0.69</v>
      </c>
      <c r="D16" s="14">
        <v>300</v>
      </c>
      <c r="E16" s="109">
        <v>51.7155</v>
      </c>
      <c r="F16" s="94">
        <f t="shared" si="0"/>
        <v>15514.65</v>
      </c>
      <c r="G16" s="104"/>
    </row>
    <row r="17" s="6" customFormat="1" ht="15.6" spans="1:7">
      <c r="A17" s="14" t="s">
        <v>180</v>
      </c>
      <c r="B17" s="14">
        <v>1086</v>
      </c>
      <c r="C17" s="67">
        <v>0.68</v>
      </c>
      <c r="D17" s="14">
        <v>300</v>
      </c>
      <c r="E17" s="109">
        <v>51.888</v>
      </c>
      <c r="F17" s="94">
        <f t="shared" si="0"/>
        <v>15566.4</v>
      </c>
      <c r="G17" s="104"/>
    </row>
    <row r="18" s="6" customFormat="1" ht="15.6" spans="1:7">
      <c r="A18" s="14" t="s">
        <v>180</v>
      </c>
      <c r="B18" s="14">
        <v>1078</v>
      </c>
      <c r="C18" s="67">
        <v>0.62</v>
      </c>
      <c r="D18" s="14">
        <v>300</v>
      </c>
      <c r="E18" s="109">
        <v>40.6065</v>
      </c>
      <c r="F18" s="94">
        <f t="shared" si="0"/>
        <v>12181.95</v>
      </c>
      <c r="G18" s="104"/>
    </row>
    <row r="19" s="6" customFormat="1" ht="15.6" spans="1:7">
      <c r="A19" s="14" t="s">
        <v>180</v>
      </c>
      <c r="B19" s="14">
        <v>1078</v>
      </c>
      <c r="C19" s="67">
        <v>0.65</v>
      </c>
      <c r="D19" s="14">
        <v>300</v>
      </c>
      <c r="E19" s="109">
        <v>39.422</v>
      </c>
      <c r="F19" s="94">
        <f t="shared" si="0"/>
        <v>11826.6</v>
      </c>
      <c r="G19" s="104"/>
    </row>
    <row r="20" s="6" customFormat="1" ht="15.6" spans="1:7">
      <c r="A20" s="14" t="s">
        <v>180</v>
      </c>
      <c r="B20" s="14">
        <v>1078</v>
      </c>
      <c r="C20" s="67">
        <v>0.69</v>
      </c>
      <c r="D20" s="14">
        <v>300</v>
      </c>
      <c r="E20" s="109">
        <v>59.731</v>
      </c>
      <c r="F20" s="94">
        <f t="shared" si="0"/>
        <v>17919.3</v>
      </c>
      <c r="G20" s="104"/>
    </row>
    <row r="21" s="6" customFormat="1" ht="15.6" spans="1:7">
      <c r="A21" s="14" t="s">
        <v>180</v>
      </c>
      <c r="B21" s="14">
        <v>2116</v>
      </c>
      <c r="C21" s="67">
        <v>0.53</v>
      </c>
      <c r="D21" s="14">
        <v>200</v>
      </c>
      <c r="E21" s="109">
        <v>44.1025</v>
      </c>
      <c r="F21" s="94">
        <f t="shared" si="0"/>
        <v>8820.5</v>
      </c>
      <c r="G21" s="104"/>
    </row>
    <row r="22" s="6" customFormat="1" ht="15.6" spans="1:7">
      <c r="A22" s="14" t="s">
        <v>180</v>
      </c>
      <c r="B22" s="14">
        <v>2116</v>
      </c>
      <c r="C22" s="67">
        <v>0.55</v>
      </c>
      <c r="D22" s="14">
        <v>200</v>
      </c>
      <c r="E22" s="109">
        <v>48.3805</v>
      </c>
      <c r="F22" s="94">
        <f t="shared" si="0"/>
        <v>9676.1</v>
      </c>
      <c r="G22" s="104"/>
    </row>
    <row r="23" s="6" customFormat="1" ht="15.6" spans="1:7">
      <c r="A23" s="14" t="s">
        <v>180</v>
      </c>
      <c r="B23" s="14">
        <v>2116</v>
      </c>
      <c r="C23" s="67">
        <v>0.57</v>
      </c>
      <c r="D23" s="14">
        <v>200</v>
      </c>
      <c r="E23" s="109">
        <v>63.6985</v>
      </c>
      <c r="F23" s="94">
        <f t="shared" si="0"/>
        <v>12739.7</v>
      </c>
      <c r="G23" s="104"/>
    </row>
    <row r="24" s="6" customFormat="1" ht="15.6" spans="1:7">
      <c r="A24" s="14" t="s">
        <v>180</v>
      </c>
      <c r="B24" s="14">
        <v>2116</v>
      </c>
      <c r="C24" s="67">
        <v>0.59</v>
      </c>
      <c r="D24" s="14">
        <v>200</v>
      </c>
      <c r="E24" s="109">
        <v>65.826</v>
      </c>
      <c r="F24" s="94">
        <f t="shared" si="0"/>
        <v>13165.2</v>
      </c>
      <c r="G24" s="104"/>
    </row>
    <row r="25" s="6" customFormat="1" ht="15.6" spans="1:7">
      <c r="A25" s="14" t="s">
        <v>180</v>
      </c>
      <c r="B25" s="14">
        <v>2116</v>
      </c>
      <c r="C25" s="67">
        <v>0.62</v>
      </c>
      <c r="D25" s="14">
        <v>200</v>
      </c>
      <c r="E25" s="109">
        <v>69.9545</v>
      </c>
      <c r="F25" s="94">
        <f t="shared" si="0"/>
        <v>13990.9</v>
      </c>
      <c r="G25" s="104"/>
    </row>
    <row r="26" s="6" customFormat="1" ht="15.6" spans="1:7">
      <c r="A26" s="14" t="s">
        <v>180</v>
      </c>
      <c r="B26" s="14">
        <v>3313</v>
      </c>
      <c r="C26" s="67">
        <v>0.595</v>
      </c>
      <c r="D26" s="14">
        <v>300</v>
      </c>
      <c r="E26" s="109">
        <v>60.605</v>
      </c>
      <c r="F26" s="94">
        <f t="shared" si="0"/>
        <v>18181.5</v>
      </c>
      <c r="G26" s="104"/>
    </row>
    <row r="27" s="6" customFormat="1" ht="15.6" spans="1:7">
      <c r="A27" s="14" t="s">
        <v>180</v>
      </c>
      <c r="B27" s="14">
        <v>3313</v>
      </c>
      <c r="C27" s="67">
        <v>0.61</v>
      </c>
      <c r="D27" s="14">
        <v>300</v>
      </c>
      <c r="E27" s="109">
        <v>63.4685</v>
      </c>
      <c r="F27" s="94">
        <f t="shared" si="0"/>
        <v>19040.55</v>
      </c>
      <c r="G27" s="104"/>
    </row>
    <row r="28" s="38" customFormat="1" ht="15.6" spans="1:7">
      <c r="E28" s="40"/>
      <c r="F28" s="40"/>
      <c r="G28" s="39"/>
    </row>
    <row r="29" s="38" customFormat="1" ht="15.6" spans="1:7">
      <c r="A29" s="38" t="s">
        <v>75</v>
      </c>
      <c r="E29" s="40"/>
      <c r="F29" s="40"/>
      <c r="G29" s="39"/>
    </row>
    <row r="30" s="1" customFormat="1" ht="17.4" spans="1:7">
      <c r="A30" s="38" t="s">
        <v>76</v>
      </c>
      <c r="B30" s="38"/>
      <c r="C30" s="38"/>
      <c r="D30" s="38"/>
      <c r="E30" s="26"/>
      <c r="F30" s="26"/>
      <c r="G30" s="41"/>
    </row>
    <row r="31" s="1" customFormat="1" ht="17.4" spans="1:7">
      <c r="A31" s="38" t="s">
        <v>77</v>
      </c>
      <c r="B31" s="38"/>
      <c r="C31" s="38"/>
      <c r="D31" s="38"/>
      <c r="E31" s="26"/>
      <c r="F31" s="26"/>
      <c r="G31" s="41"/>
    </row>
    <row r="32" s="6" customFormat="1" ht="15.6" spans="1:7">
      <c r="A32" s="6" t="s">
        <v>160</v>
      </c>
    </row>
    <row r="33" s="1" customFormat="1" ht="17.4" spans="1:25">
      <c r="A33" s="1" t="s">
        <v>80</v>
      </c>
      <c r="E33" s="41"/>
      <c r="G33" s="2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44" s="6" customFormat="1" customHeight="1" spans="1:25">
      <c r="D44" s="26"/>
      <c r="F44" s="28"/>
      <c r="G44" s="51"/>
    </row>
  </sheetData>
  <mergeCells count="6">
    <mergeCell ref="A1:G1"/>
    <mergeCell ref="A2:G2"/>
    <mergeCell ref="A3:G3"/>
    <mergeCell ref="A5:B5"/>
    <mergeCell ref="A7:B7"/>
    <mergeCell ref="A8:B8"/>
  </mergeCells>
  <pageMargins left="0.75" right="0.75" top="1" bottom="1" header="0.5" footer="0.5"/>
  <pageSetup paperSize="9" orientation="portrait"/>
  <headerFooter/>
  <colBreaks count="1" manualBreakCount="1">
    <brk id="7" max="43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view="pageBreakPreview" zoomScale="85" zoomScaleNormal="100" workbookViewId="0">
      <selection activeCell="G23" sqref="G23:G28"/>
    </sheetView>
  </sheetViews>
  <sheetFormatPr defaultColWidth="9" defaultRowHeight="12.75" customHeight="1"/>
  <cols>
    <col min="1" max="1" width="13.2222222222222" style="6" customWidth="1"/>
    <col min="2" max="2" width="9" style="6" customWidth="1"/>
    <col min="3" max="3" width="9" style="6"/>
    <col min="4" max="5" width="9.66666666666667" style="6" customWidth="1"/>
    <col min="6" max="6" width="16.7777777777778" style="6" customWidth="1"/>
    <col min="7" max="7" width="11.6388888888889" style="6" customWidth="1"/>
    <col min="8" max="8" width="11.3611111111111" style="6" customWidth="1"/>
    <col min="9" max="9" width="12.287037037037" style="6" customWidth="1"/>
    <col min="10" max="10" width="12.6388888888889" style="28" customWidth="1"/>
    <col min="11" max="11" width="11.5555555555556" style="6"/>
    <col min="12" max="12" width="10.1111111111111" style="6"/>
    <col min="13" max="16384" width="9" style="6"/>
  </cols>
  <sheetData>
    <row r="1" s="1" customFormat="1" ht="99" customHeight="1" spans="1:12">
      <c r="A1" s="7"/>
      <c r="B1" s="7"/>
      <c r="C1" s="7"/>
      <c r="D1" s="7"/>
      <c r="E1" s="7"/>
      <c r="F1" s="7"/>
      <c r="G1" s="7"/>
      <c r="H1" s="7"/>
      <c r="I1" s="7"/>
      <c r="J1" s="7"/>
    </row>
    <row r="2" s="2" customFormat="1" customHeight="1" spans="1:1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customHeight="1" spans="1:12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="1" customFormat="1" customHeight="1" spans="1:12">
      <c r="A4" s="4"/>
      <c r="B4" s="4"/>
      <c r="C4" s="4"/>
      <c r="D4" s="4"/>
      <c r="E4" s="4"/>
      <c r="F4" s="4"/>
      <c r="G4" s="4"/>
      <c r="H4" s="4"/>
      <c r="I4" s="4"/>
      <c r="J4" s="4"/>
    </row>
    <row r="5" s="1" customFormat="1" ht="15" customHeight="1" spans="1:12">
      <c r="A5" s="9" t="s">
        <v>2</v>
      </c>
      <c r="B5" s="9"/>
      <c r="C5" s="58"/>
      <c r="D5" s="2"/>
      <c r="H5" s="9" t="s">
        <v>3</v>
      </c>
      <c r="I5" s="9"/>
      <c r="J5" s="9"/>
    </row>
    <row r="6" s="1" customFormat="1" ht="15" customHeight="1" spans="1:12">
      <c r="A6" s="9" t="s">
        <v>4</v>
      </c>
      <c r="B6" s="9"/>
      <c r="C6" s="58"/>
      <c r="D6" s="2"/>
      <c r="H6" s="9" t="s">
        <v>5</v>
      </c>
      <c r="I6" s="9"/>
      <c r="J6" s="9"/>
    </row>
    <row r="7" s="1" customFormat="1" ht="15" customHeight="1" spans="1:12">
      <c r="A7" s="9" t="s">
        <v>6</v>
      </c>
      <c r="B7" s="9"/>
      <c r="C7" s="58"/>
      <c r="D7" s="2"/>
      <c r="H7" s="9" t="s">
        <v>7</v>
      </c>
      <c r="I7" s="9"/>
      <c r="J7" s="9"/>
    </row>
    <row r="8" s="3" customFormat="1" ht="15" customHeight="1" spans="1:12">
      <c r="A8" s="9" t="s">
        <v>8</v>
      </c>
      <c r="B8" s="9"/>
      <c r="C8" s="60"/>
      <c r="D8" s="61"/>
      <c r="H8" s="9" t="s">
        <v>9</v>
      </c>
      <c r="I8" s="9"/>
      <c r="J8" s="9"/>
    </row>
    <row r="9" s="4" customFormat="1" ht="14.25" customHeight="1" spans="1:12">
      <c r="A9" s="11" t="s">
        <v>185</v>
      </c>
      <c r="B9" s="12"/>
      <c r="C9" s="27"/>
      <c r="E9" s="13"/>
      <c r="F9" s="13"/>
      <c r="G9" s="13"/>
      <c r="H9" s="13"/>
      <c r="I9" s="13"/>
    </row>
    <row r="11" s="4" customFormat="1" ht="33" customHeight="1" spans="1:12">
      <c r="A11" s="14" t="s">
        <v>11</v>
      </c>
      <c r="B11" s="14" t="s">
        <v>12</v>
      </c>
      <c r="C11" s="15" t="s">
        <v>13</v>
      </c>
      <c r="D11" s="62" t="s">
        <v>15</v>
      </c>
      <c r="E11" s="62"/>
      <c r="F11" s="14" t="s">
        <v>16</v>
      </c>
      <c r="G11" s="14" t="s">
        <v>17</v>
      </c>
      <c r="H11" s="14" t="s">
        <v>18</v>
      </c>
      <c r="I11" s="14" t="s">
        <v>19</v>
      </c>
      <c r="J11" s="19" t="s">
        <v>27</v>
      </c>
    </row>
    <row r="12" s="6" customFormat="1" ht="18" customHeight="1" spans="1:12">
      <c r="A12" s="55" t="s">
        <v>186</v>
      </c>
      <c r="B12" s="55">
        <v>0.076</v>
      </c>
      <c r="C12" s="55" t="s">
        <v>105</v>
      </c>
      <c r="D12" s="57" t="s">
        <v>31</v>
      </c>
      <c r="E12" s="55" t="s">
        <v>106</v>
      </c>
      <c r="F12" s="47" t="s">
        <v>174</v>
      </c>
      <c r="G12" s="47">
        <f t="shared" ref="G12:G18" si="0">J12*12</f>
        <v>186.6864</v>
      </c>
      <c r="H12" s="47">
        <f t="shared" ref="H12:H18" si="1">J12*13.33</f>
        <v>207.377476</v>
      </c>
      <c r="I12" s="47">
        <f t="shared" ref="I12:I18" si="2">J12*14</f>
        <v>217.8008</v>
      </c>
      <c r="J12" s="56">
        <v>15.5572</v>
      </c>
    </row>
    <row r="13" s="6" customFormat="1" ht="18" customHeight="1" spans="1:12">
      <c r="A13" s="55" t="s">
        <v>186</v>
      </c>
      <c r="B13" s="55">
        <v>0.076</v>
      </c>
      <c r="C13" s="55" t="s">
        <v>105</v>
      </c>
      <c r="D13" s="57" t="s">
        <v>34</v>
      </c>
      <c r="E13" s="55" t="s">
        <v>106</v>
      </c>
      <c r="F13" s="47" t="s">
        <v>174</v>
      </c>
      <c r="G13" s="47">
        <f t="shared" si="0"/>
        <v>258.1152</v>
      </c>
      <c r="H13" s="47">
        <f t="shared" si="1"/>
        <v>286.722968</v>
      </c>
      <c r="I13" s="47">
        <f t="shared" si="2"/>
        <v>301.1344</v>
      </c>
      <c r="J13" s="56">
        <v>21.5096</v>
      </c>
    </row>
    <row r="14" s="6" customFormat="1" ht="18" customHeight="1" spans="1:12">
      <c r="A14" s="55" t="s">
        <v>186</v>
      </c>
      <c r="B14" s="55">
        <v>0.076</v>
      </c>
      <c r="C14" s="55" t="s">
        <v>105</v>
      </c>
      <c r="D14" s="57" t="s">
        <v>109</v>
      </c>
      <c r="E14" s="55" t="s">
        <v>106</v>
      </c>
      <c r="F14" s="47" t="s">
        <v>174</v>
      </c>
      <c r="G14" s="47">
        <f t="shared" si="0"/>
        <v>352.866</v>
      </c>
      <c r="H14" s="47">
        <f t="shared" si="1"/>
        <v>391.975315</v>
      </c>
      <c r="I14" s="47">
        <f t="shared" si="2"/>
        <v>411.677</v>
      </c>
      <c r="J14" s="56">
        <v>29.4055</v>
      </c>
    </row>
    <row r="15" s="100" customFormat="1" ht="18" customHeight="1" spans="1:12">
      <c r="A15" s="55" t="s">
        <v>186</v>
      </c>
      <c r="B15" s="55">
        <v>0.127</v>
      </c>
      <c r="C15" s="55" t="s">
        <v>105</v>
      </c>
      <c r="D15" s="57" t="s">
        <v>107</v>
      </c>
      <c r="E15" s="55" t="s">
        <v>106</v>
      </c>
      <c r="F15" s="47" t="s">
        <v>187</v>
      </c>
      <c r="G15" s="47">
        <f t="shared" si="0"/>
        <v>278.4012</v>
      </c>
      <c r="H15" s="47">
        <f t="shared" si="1"/>
        <v>309.257333</v>
      </c>
      <c r="I15" s="47">
        <f t="shared" si="2"/>
        <v>324.8014</v>
      </c>
      <c r="J15" s="56">
        <v>23.2001</v>
      </c>
      <c r="K15" s="6"/>
      <c r="L15" s="6"/>
    </row>
    <row r="16" s="6" customFormat="1" ht="18" customHeight="1" spans="1:12">
      <c r="A16" s="55" t="s">
        <v>186</v>
      </c>
      <c r="B16" s="55">
        <v>0.127</v>
      </c>
      <c r="C16" s="55" t="s">
        <v>105</v>
      </c>
      <c r="D16" s="57" t="s">
        <v>107</v>
      </c>
      <c r="E16" s="55" t="s">
        <v>106</v>
      </c>
      <c r="F16" s="47" t="s">
        <v>150</v>
      </c>
      <c r="G16" s="47">
        <f t="shared" si="0"/>
        <v>253.3266</v>
      </c>
      <c r="H16" s="47">
        <f t="shared" si="1"/>
        <v>281.4036315</v>
      </c>
      <c r="I16" s="47">
        <f t="shared" si="2"/>
        <v>295.5477</v>
      </c>
      <c r="J16" s="56">
        <v>21.11055</v>
      </c>
    </row>
    <row r="17" s="100" customFormat="1" ht="18" customHeight="1" spans="1:12">
      <c r="A17" s="55" t="s">
        <v>186</v>
      </c>
      <c r="B17" s="55">
        <v>0.127</v>
      </c>
      <c r="C17" s="55" t="s">
        <v>105</v>
      </c>
      <c r="D17" s="57" t="s">
        <v>34</v>
      </c>
      <c r="E17" s="55" t="s">
        <v>106</v>
      </c>
      <c r="F17" s="47" t="s">
        <v>150</v>
      </c>
      <c r="G17" s="47">
        <f t="shared" si="0"/>
        <v>285.4116</v>
      </c>
      <c r="H17" s="47">
        <f t="shared" si="1"/>
        <v>317.044719</v>
      </c>
      <c r="I17" s="47">
        <f t="shared" si="2"/>
        <v>332.9802</v>
      </c>
      <c r="J17" s="56">
        <v>23.7843</v>
      </c>
      <c r="K17" s="6"/>
      <c r="L17" s="6"/>
    </row>
    <row r="18" s="6" customFormat="1" ht="18" customHeight="1" spans="1:12">
      <c r="A18" s="55" t="s">
        <v>186</v>
      </c>
      <c r="B18" s="55">
        <v>0.127</v>
      </c>
      <c r="C18" s="55" t="s">
        <v>105</v>
      </c>
      <c r="D18" s="57" t="s">
        <v>41</v>
      </c>
      <c r="E18" s="55" t="s">
        <v>106</v>
      </c>
      <c r="F18" s="47" t="s">
        <v>150</v>
      </c>
      <c r="G18" s="47">
        <f t="shared" si="0"/>
        <v>455.8416</v>
      </c>
      <c r="H18" s="47">
        <f t="shared" si="1"/>
        <v>506.364044</v>
      </c>
      <c r="I18" s="47">
        <f t="shared" si="2"/>
        <v>531.8152</v>
      </c>
      <c r="J18" s="56">
        <v>37.9868</v>
      </c>
    </row>
    <row r="19" s="38" customFormat="1" ht="15.6" spans="1:12">
      <c r="A19" s="4"/>
      <c r="B19" s="4"/>
      <c r="C19" s="4"/>
      <c r="D19" s="4"/>
      <c r="E19" s="4"/>
      <c r="F19" s="4"/>
      <c r="G19" s="101"/>
      <c r="H19" s="101"/>
      <c r="I19" s="101"/>
      <c r="J19" s="102"/>
    </row>
    <row r="20" ht="17.4" spans="1:12">
      <c r="A20" s="11" t="s">
        <v>188</v>
      </c>
      <c r="B20" s="12"/>
      <c r="C20" s="27"/>
      <c r="D20" s="4"/>
      <c r="E20" s="13"/>
      <c r="F20" s="4"/>
      <c r="G20" s="4"/>
    </row>
    <row r="21" s="6" customFormat="1" customHeight="1" spans="1:12">
      <c r="F21" s="28"/>
      <c r="G21" s="51"/>
      <c r="H21" s="41"/>
      <c r="I21" s="41"/>
      <c r="J21" s="1"/>
    </row>
    <row r="22" ht="30" spans="1:12">
      <c r="A22" s="14" t="s">
        <v>11</v>
      </c>
      <c r="B22" s="29" t="s">
        <v>84</v>
      </c>
      <c r="C22" s="64" t="s">
        <v>85</v>
      </c>
      <c r="D22" s="15" t="s">
        <v>169</v>
      </c>
      <c r="E22" s="31" t="s">
        <v>189</v>
      </c>
      <c r="F22" s="31" t="s">
        <v>190</v>
      </c>
      <c r="G22" s="14" t="s">
        <v>28</v>
      </c>
    </row>
    <row r="23" ht="15" customHeight="1" spans="1:12">
      <c r="A23" s="14" t="s">
        <v>191</v>
      </c>
      <c r="B23" s="14">
        <v>1035</v>
      </c>
      <c r="C23" s="67" t="s">
        <v>192</v>
      </c>
      <c r="D23" s="14">
        <v>300</v>
      </c>
      <c r="E23" s="103">
        <v>78.177</v>
      </c>
      <c r="F23" s="94">
        <f t="shared" ref="F23:F28" si="3">E23*D23</f>
        <v>23453.1</v>
      </c>
      <c r="G23" s="104"/>
    </row>
    <row r="24" ht="15" customHeight="1" spans="1:12">
      <c r="A24" s="14" t="s">
        <v>191</v>
      </c>
      <c r="B24" s="14">
        <v>1078</v>
      </c>
      <c r="C24" s="67">
        <v>0.67</v>
      </c>
      <c r="D24" s="14">
        <v>300</v>
      </c>
      <c r="E24" s="103">
        <v>84.0765</v>
      </c>
      <c r="F24" s="94">
        <f t="shared" si="3"/>
        <v>25222.95</v>
      </c>
      <c r="G24" s="104"/>
    </row>
    <row r="25" ht="15" customHeight="1" spans="1:12">
      <c r="A25" s="14" t="s">
        <v>191</v>
      </c>
      <c r="B25" s="14">
        <v>1080</v>
      </c>
      <c r="C25" s="67">
        <v>0.64</v>
      </c>
      <c r="D25" s="14">
        <v>300</v>
      </c>
      <c r="E25" s="103">
        <v>70.0465</v>
      </c>
      <c r="F25" s="94">
        <f t="shared" si="3"/>
        <v>21013.95</v>
      </c>
      <c r="G25" s="104"/>
    </row>
    <row r="26" ht="15" customHeight="1" spans="1:12">
      <c r="A26" s="14" t="s">
        <v>191</v>
      </c>
      <c r="B26" s="14">
        <v>1080</v>
      </c>
      <c r="C26" s="67">
        <v>0.67</v>
      </c>
      <c r="D26" s="14">
        <v>300</v>
      </c>
      <c r="E26" s="103">
        <v>66.861</v>
      </c>
      <c r="F26" s="94">
        <f t="shared" si="3"/>
        <v>20058.3</v>
      </c>
      <c r="G26" s="104"/>
    </row>
    <row r="27" ht="15" customHeight="1" spans="1:12">
      <c r="A27" s="14" t="s">
        <v>191</v>
      </c>
      <c r="B27" s="14">
        <v>1080</v>
      </c>
      <c r="C27" s="67">
        <v>0.69</v>
      </c>
      <c r="D27" s="14">
        <v>300</v>
      </c>
      <c r="E27" s="103">
        <v>83.352</v>
      </c>
      <c r="F27" s="94">
        <f t="shared" si="3"/>
        <v>25005.6</v>
      </c>
      <c r="G27" s="104"/>
    </row>
    <row r="28" ht="15" customHeight="1" spans="1:12">
      <c r="A28" s="14" t="s">
        <v>191</v>
      </c>
      <c r="B28" s="14">
        <v>2116</v>
      </c>
      <c r="C28" s="67">
        <v>0.56</v>
      </c>
      <c r="D28" s="14">
        <v>200</v>
      </c>
      <c r="E28" s="103">
        <v>84.1915</v>
      </c>
      <c r="F28" s="94">
        <f t="shared" si="3"/>
        <v>16838.3</v>
      </c>
      <c r="G28" s="104"/>
    </row>
    <row r="29" s="5" customFormat="1" ht="15" customHeight="1" spans="1:12">
      <c r="A29" s="4"/>
      <c r="B29" s="4"/>
      <c r="C29" s="105"/>
      <c r="D29" s="4"/>
      <c r="E29" s="106"/>
      <c r="F29" s="107"/>
      <c r="G29" s="108"/>
      <c r="H29" s="6"/>
      <c r="I29" s="6"/>
      <c r="J29" s="28"/>
    </row>
    <row r="30" s="1" customFormat="1" ht="17.4" spans="1:12">
      <c r="A30" s="38" t="s">
        <v>75</v>
      </c>
      <c r="B30" s="38"/>
      <c r="C30" s="38"/>
      <c r="D30" s="38"/>
      <c r="E30" s="39"/>
      <c r="F30" s="40"/>
      <c r="G30" s="40"/>
      <c r="H30" s="40"/>
      <c r="I30" s="40"/>
      <c r="J30" s="40"/>
    </row>
    <row r="31" s="1" customFormat="1" ht="17.4" spans="1:12">
      <c r="A31" s="38" t="s">
        <v>76</v>
      </c>
      <c r="B31" s="38"/>
      <c r="C31" s="38"/>
      <c r="D31" s="38"/>
      <c r="E31" s="41"/>
      <c r="F31" s="26"/>
      <c r="G31" s="26"/>
      <c r="H31" s="26"/>
      <c r="I31" s="26"/>
      <c r="J31" s="26"/>
    </row>
    <row r="32" s="1" customFormat="1" ht="17.4" spans="1:12">
      <c r="A32" s="38" t="s">
        <v>77</v>
      </c>
      <c r="B32" s="38"/>
      <c r="C32" s="38"/>
      <c r="D32" s="38"/>
      <c r="E32" s="41"/>
      <c r="F32" s="26"/>
      <c r="G32" s="26"/>
      <c r="H32" s="26"/>
      <c r="I32" s="26"/>
      <c r="J32" s="26"/>
    </row>
    <row r="33" s="6" customFormat="1" ht="17.4" spans="1:10">
      <c r="A33" s="6" t="s">
        <v>160</v>
      </c>
      <c r="I33" s="42"/>
      <c r="J33" s="28"/>
    </row>
    <row r="34" ht="22" customHeight="1" spans="1:10">
      <c r="A34" s="6" t="s">
        <v>170</v>
      </c>
    </row>
    <row r="35" ht="17" customHeight="1" spans="1:10">
      <c r="A35" s="1" t="s">
        <v>80</v>
      </c>
      <c r="B35" s="1"/>
    </row>
  </sheetData>
  <mergeCells count="12">
    <mergeCell ref="A1:J1"/>
    <mergeCell ref="A2:J2"/>
    <mergeCell ref="A3:J3"/>
    <mergeCell ref="A5:B5"/>
    <mergeCell ref="H5:J5"/>
    <mergeCell ref="A6:B6"/>
    <mergeCell ref="H6:J6"/>
    <mergeCell ref="A7:B7"/>
    <mergeCell ref="H7:J7"/>
    <mergeCell ref="A8:B8"/>
    <mergeCell ref="H8:J8"/>
    <mergeCell ref="D11:E11"/>
  </mergeCells>
  <pageMargins left="0.75" right="0.75" top="1" bottom="1" header="0.5" footer="0.5"/>
  <pageSetup paperSize="9" scale="76" orientation="portrait"/>
  <headerFooter/>
  <rowBreaks count="1" manualBreakCount="1">
    <brk id="43" max="9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7"/>
  <sheetViews>
    <sheetView view="pageBreakPreview" zoomScale="85" zoomScaleNormal="85" workbookViewId="0">
      <pane ySplit="11" topLeftCell="A12" activePane="bottomLeft" state="frozen"/>
      <selection/>
      <selection pane="bottomLeft" activeCell="O8" sqref="O8"/>
    </sheetView>
  </sheetViews>
  <sheetFormatPr defaultColWidth="9" defaultRowHeight="12.75" customHeight="1"/>
  <cols>
    <col min="1" max="1" width="10.7777777777778" style="6" customWidth="1"/>
    <col min="2" max="2" width="9" style="6" customWidth="1"/>
    <col min="3" max="3" width="9" style="6"/>
    <col min="4" max="4" width="12" style="6" customWidth="1"/>
    <col min="5" max="5" width="9.66666666666667" style="6" customWidth="1"/>
    <col min="6" max="6" width="9.22222222222222" style="6" customWidth="1"/>
    <col min="7" max="9" width="9.33333333333333" style="6" customWidth="1"/>
    <col min="10" max="11" width="12.6666666666667" style="6" customWidth="1"/>
    <col min="12" max="12" width="11.5833333333333" style="6" customWidth="1"/>
    <col min="13" max="13" width="11.2685185185185" style="6" customWidth="1"/>
    <col min="14" max="14" width="10.4722222222222" style="6" customWidth="1"/>
    <col min="15" max="15" width="8.77777777777778" style="6" customWidth="1"/>
    <col min="16" max="16" width="9.77777777777778" style="6" customWidth="1"/>
    <col min="17" max="17" width="11.5555555555556" style="6" customWidth="1"/>
    <col min="18" max="18" width="10.6666666666667" style="28" customWidth="1"/>
    <col min="19" max="19" width="11.5555555555556" style="6"/>
    <col min="20" max="16384" width="9" style="6"/>
  </cols>
  <sheetData>
    <row r="1" s="1" customFormat="1" ht="99" customHeight="1" spans="1:20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="2" customFormat="1" customHeight="1" spans="1:2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="1" customFormat="1" customHeight="1" spans="1:2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="1" customFormat="1" customHeight="1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="1" customFormat="1" ht="15" customHeight="1" spans="1:20">
      <c r="A5" s="9" t="s">
        <v>2</v>
      </c>
      <c r="B5" s="9"/>
      <c r="C5" s="58"/>
      <c r="D5" s="2"/>
      <c r="J5" s="10"/>
      <c r="K5" s="10"/>
      <c r="L5" s="10"/>
      <c r="M5" s="10"/>
      <c r="N5" s="10"/>
      <c r="O5" s="10" t="s">
        <v>3</v>
      </c>
      <c r="P5" s="10"/>
      <c r="R5" s="10"/>
    </row>
    <row r="6" s="1" customFormat="1" ht="15" customHeight="1" spans="1:20">
      <c r="A6" s="10" t="s">
        <v>4</v>
      </c>
      <c r="B6" s="10"/>
      <c r="C6" s="59"/>
      <c r="D6" s="2"/>
      <c r="J6" s="10"/>
      <c r="K6" s="10"/>
      <c r="L6" s="10"/>
      <c r="M6" s="10"/>
      <c r="N6" s="10"/>
      <c r="O6" s="10" t="s">
        <v>5</v>
      </c>
      <c r="P6" s="10"/>
      <c r="R6" s="10"/>
    </row>
    <row r="7" s="1" customFormat="1" ht="15" customHeight="1" spans="1:20">
      <c r="A7" s="9" t="s">
        <v>6</v>
      </c>
      <c r="B7" s="9"/>
      <c r="C7" s="58"/>
      <c r="D7" s="2"/>
      <c r="J7" s="10"/>
      <c r="K7" s="10"/>
      <c r="L7" s="10"/>
      <c r="M7" s="10"/>
      <c r="N7" s="10"/>
      <c r="O7" s="10" t="s">
        <v>7</v>
      </c>
      <c r="P7" s="10"/>
      <c r="R7" s="10"/>
    </row>
    <row r="8" s="3" customFormat="1" ht="15" customHeight="1" spans="1:20">
      <c r="A8" s="9" t="s">
        <v>8</v>
      </c>
      <c r="B8" s="9"/>
      <c r="C8" s="60"/>
      <c r="D8" s="61"/>
      <c r="J8" s="10"/>
      <c r="K8" s="10"/>
      <c r="L8" s="10"/>
      <c r="M8" s="10"/>
      <c r="N8" s="10"/>
      <c r="O8" s="10" t="s">
        <v>9</v>
      </c>
      <c r="P8" s="10"/>
      <c r="R8" s="10"/>
    </row>
    <row r="9" s="4" customFormat="1" ht="14.25" customHeight="1" spans="1:20">
      <c r="A9" s="11" t="s">
        <v>193</v>
      </c>
      <c r="B9" s="12"/>
      <c r="C9" s="27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1" s="4" customFormat="1" ht="28.5" customHeight="1" spans="1:20">
      <c r="A11" s="14" t="s">
        <v>11</v>
      </c>
      <c r="B11" s="14" t="s">
        <v>12</v>
      </c>
      <c r="C11" s="15" t="s">
        <v>13</v>
      </c>
      <c r="D11" s="62" t="s">
        <v>15</v>
      </c>
      <c r="E11" s="62"/>
      <c r="F11" s="14" t="s">
        <v>16</v>
      </c>
      <c r="G11" s="14" t="s">
        <v>17</v>
      </c>
      <c r="H11" s="14" t="s">
        <v>18</v>
      </c>
      <c r="I11" s="14" t="s">
        <v>19</v>
      </c>
      <c r="J11" s="14" t="s">
        <v>20</v>
      </c>
      <c r="K11" s="14" t="s">
        <v>21</v>
      </c>
      <c r="L11" s="14" t="s">
        <v>22</v>
      </c>
      <c r="M11" s="14" t="s">
        <v>23</v>
      </c>
      <c r="N11" s="14" t="s">
        <v>24</v>
      </c>
      <c r="O11" s="14" t="s">
        <v>25</v>
      </c>
      <c r="P11" s="14" t="s">
        <v>26</v>
      </c>
      <c r="Q11" s="14" t="s">
        <v>27</v>
      </c>
      <c r="R11" s="14" t="s">
        <v>28</v>
      </c>
    </row>
    <row r="12" s="38" customFormat="1" ht="15.6" spans="1:20">
      <c r="A12" s="55" t="s">
        <v>194</v>
      </c>
      <c r="B12" s="55">
        <v>0.051</v>
      </c>
      <c r="C12" s="55" t="s">
        <v>105</v>
      </c>
      <c r="D12" s="55" t="s">
        <v>195</v>
      </c>
      <c r="E12" s="55" t="s">
        <v>31</v>
      </c>
      <c r="F12" s="55" t="s">
        <v>33</v>
      </c>
      <c r="G12" s="47">
        <f>Q12*12</f>
        <v>182.28672</v>
      </c>
      <c r="H12" s="47">
        <f>Q12*13.33</f>
        <v>202.4901648</v>
      </c>
      <c r="I12" s="47">
        <f>Q12*14</f>
        <v>212.66784</v>
      </c>
      <c r="J12" s="47">
        <f>21.2*24.2/144*Q12</f>
        <v>54.1205896</v>
      </c>
      <c r="K12" s="47">
        <f>18.2*24.2/144*Q12</f>
        <v>46.4620156</v>
      </c>
      <c r="L12" s="47">
        <f>28.25*24.25/144*Q12</f>
        <v>72.267243125</v>
      </c>
      <c r="M12" s="47">
        <f>27.25*24.25/144*Q12</f>
        <v>69.709110625</v>
      </c>
      <c r="N12" s="47">
        <f>28.5*49/144*Q12</f>
        <v>147.316785</v>
      </c>
      <c r="O12" s="47">
        <f>17*24.5/144*Q12</f>
        <v>43.936585</v>
      </c>
      <c r="P12" s="47">
        <f>24.3*16.2/144*Q12</f>
        <v>41.5271934</v>
      </c>
      <c r="Q12" s="56">
        <v>15.19056</v>
      </c>
      <c r="R12" s="63"/>
    </row>
    <row r="13" s="1" customFormat="1" ht="17.4" spans="1:20">
      <c r="A13" s="55" t="s">
        <v>194</v>
      </c>
      <c r="B13" s="55">
        <v>0.051</v>
      </c>
      <c r="C13" s="55" t="s">
        <v>105</v>
      </c>
      <c r="D13" s="55" t="s">
        <v>195</v>
      </c>
      <c r="E13" s="55" t="s">
        <v>31</v>
      </c>
      <c r="F13" s="55" t="s">
        <v>196</v>
      </c>
      <c r="G13" s="47">
        <f>Q13*12</f>
        <v>170.06976</v>
      </c>
      <c r="H13" s="47">
        <f>Q13*13.33</f>
        <v>188.9191584</v>
      </c>
      <c r="I13" s="47">
        <f>Q13*14</f>
        <v>198.41472</v>
      </c>
      <c r="J13" s="47">
        <f>21.2*24.2/144*Q13</f>
        <v>50.4933968</v>
      </c>
      <c r="K13" s="47">
        <f>18.2*24.2/144*Q13</f>
        <v>43.3481048</v>
      </c>
      <c r="L13" s="47">
        <f>28.25*24.25/144*Q13</f>
        <v>67.42385125</v>
      </c>
      <c r="M13" s="47">
        <f>27.25*24.25/144*Q13</f>
        <v>65.03716625</v>
      </c>
      <c r="N13" s="47">
        <f>28.5*49/144*Q13</f>
        <v>137.44353</v>
      </c>
      <c r="O13" s="47">
        <f>17*24.5/144*Q13</f>
        <v>40.99193</v>
      </c>
      <c r="P13" s="47">
        <f>24.3*16.2/144*Q13</f>
        <v>38.7440172</v>
      </c>
      <c r="Q13" s="56">
        <v>14.17248</v>
      </c>
      <c r="R13" s="63"/>
      <c r="S13" s="38"/>
      <c r="T13" s="38"/>
    </row>
    <row r="14" s="1" customFormat="1" ht="17.4" spans="1:20">
      <c r="A14" s="55" t="s">
        <v>194</v>
      </c>
      <c r="B14" s="55">
        <v>0.051</v>
      </c>
      <c r="C14" s="55" t="s">
        <v>105</v>
      </c>
      <c r="D14" s="55" t="s">
        <v>195</v>
      </c>
      <c r="E14" s="57" t="s">
        <v>34</v>
      </c>
      <c r="F14" s="55" t="s">
        <v>196</v>
      </c>
      <c r="G14" s="47">
        <f>Q14*12</f>
        <v>238.6272</v>
      </c>
      <c r="H14" s="47">
        <f>Q14*13.33</f>
        <v>265.075048</v>
      </c>
      <c r="I14" s="47">
        <f>Q14*14</f>
        <v>278.3984</v>
      </c>
      <c r="J14" s="47">
        <f>21.2*24.2/144*Q14</f>
        <v>70.8479737777778</v>
      </c>
      <c r="K14" s="47">
        <f>18.2*24.2/144*Q14</f>
        <v>60.8223171111111</v>
      </c>
      <c r="L14" s="47">
        <f>28.25*24.25/144*Q14</f>
        <v>94.6033253472222</v>
      </c>
      <c r="M14" s="47">
        <f>27.25*24.25/144*Q14</f>
        <v>91.2545350694444</v>
      </c>
      <c r="N14" s="47">
        <f>28.5*49/144*Q14</f>
        <v>192.848891666667</v>
      </c>
      <c r="O14" s="47">
        <f>17*24.5/144*Q14</f>
        <v>57.5163361111111</v>
      </c>
      <c r="P14" s="47">
        <f>24.3*16.2/144*Q14</f>
        <v>54.362259</v>
      </c>
      <c r="Q14" s="56">
        <v>19.8856</v>
      </c>
      <c r="R14" s="63"/>
      <c r="S14" s="38"/>
      <c r="T14" s="38"/>
    </row>
    <row r="15" s="1" customFormat="1" ht="17.4" spans="1:20">
      <c r="A15" s="55" t="s">
        <v>194</v>
      </c>
      <c r="B15" s="55">
        <v>0.056</v>
      </c>
      <c r="C15" s="55" t="s">
        <v>105</v>
      </c>
      <c r="D15" s="55" t="s">
        <v>195</v>
      </c>
      <c r="E15" s="55" t="s">
        <v>31</v>
      </c>
      <c r="F15" s="55" t="s">
        <v>196</v>
      </c>
      <c r="G15" s="47">
        <f>Q15*12</f>
        <v>173.52384</v>
      </c>
      <c r="H15" s="47">
        <f>Q15*13.33</f>
        <v>192.7560656</v>
      </c>
      <c r="I15" s="47">
        <f>Q15*14</f>
        <v>202.44448</v>
      </c>
      <c r="J15" s="47">
        <f>21.2*24.2/144*Q15</f>
        <v>51.5189067555556</v>
      </c>
      <c r="K15" s="47">
        <f>18.2*24.2/144*Q15</f>
        <v>44.2284954222222</v>
      </c>
      <c r="L15" s="47">
        <f>28.25*24.25/144*Q15</f>
        <v>68.7932150694445</v>
      </c>
      <c r="M15" s="47">
        <f>27.25*24.25/144*Q15</f>
        <v>66.3580570138889</v>
      </c>
      <c r="N15" s="47">
        <f>28.5*49/144*Q15</f>
        <v>140.234978333333</v>
      </c>
      <c r="O15" s="47">
        <f>17*24.5/144*Q15</f>
        <v>41.8244672222222</v>
      </c>
      <c r="P15" s="47">
        <f>24.3*16.2/144*Q15</f>
        <v>39.5308998</v>
      </c>
      <c r="Q15" s="56">
        <v>14.46032</v>
      </c>
      <c r="R15" s="63"/>
      <c r="S15" s="38"/>
      <c r="T15" s="38"/>
    </row>
    <row r="16" s="1" customFormat="1" ht="17.4" spans="1:20">
      <c r="A16" s="55" t="s">
        <v>194</v>
      </c>
      <c r="B16" s="55">
        <v>0.064</v>
      </c>
      <c r="C16" s="55" t="s">
        <v>105</v>
      </c>
      <c r="D16" s="55" t="s">
        <v>195</v>
      </c>
      <c r="E16" s="55" t="s">
        <v>31</v>
      </c>
      <c r="F16" s="55" t="s">
        <v>35</v>
      </c>
      <c r="G16" s="47">
        <f>Q16*12</f>
        <v>169.90848</v>
      </c>
      <c r="H16" s="47">
        <f>Q16*13.33</f>
        <v>188.7400032</v>
      </c>
      <c r="I16" s="47">
        <f>Q16*14</f>
        <v>198.22656</v>
      </c>
      <c r="J16" s="47">
        <f>21.2*24.2/144*Q16</f>
        <v>50.4455130666667</v>
      </c>
      <c r="K16" s="47">
        <f>18.2*24.2/144*Q16</f>
        <v>43.3069970666667</v>
      </c>
      <c r="L16" s="47">
        <f>28.25*24.25/144*Q16</f>
        <v>67.3599120833333</v>
      </c>
      <c r="M16" s="47">
        <f>27.25*24.25/144*Q16</f>
        <v>64.9754904166667</v>
      </c>
      <c r="N16" s="47">
        <f>28.5*49/144*Q16</f>
        <v>137.31319</v>
      </c>
      <c r="O16" s="47">
        <f>17*24.5/144*Q16</f>
        <v>40.9530566666667</v>
      </c>
      <c r="P16" s="47">
        <f>24.3*16.2/144*Q16</f>
        <v>38.7072756</v>
      </c>
      <c r="Q16" s="56">
        <v>14.15904</v>
      </c>
      <c r="R16" s="63"/>
      <c r="S16" s="38"/>
      <c r="T16" s="38"/>
    </row>
    <row r="17" s="1" customFormat="1" ht="17.4" spans="1:20">
      <c r="A17" s="55" t="s">
        <v>194</v>
      </c>
      <c r="B17" s="55">
        <v>0.064</v>
      </c>
      <c r="C17" s="55" t="s">
        <v>105</v>
      </c>
      <c r="D17" s="55" t="s">
        <v>195</v>
      </c>
      <c r="E17" s="57" t="s">
        <v>34</v>
      </c>
      <c r="F17" s="55" t="s">
        <v>35</v>
      </c>
      <c r="G17" s="47">
        <f t="shared" ref="G17:G25" si="0">Q17*12</f>
        <v>234.40704</v>
      </c>
      <c r="H17" s="47">
        <f t="shared" ref="H17:H25" si="1">Q17*13.33</f>
        <v>260.3871536</v>
      </c>
      <c r="I17" s="47">
        <f t="shared" ref="I17:I25" si="2">Q17*14</f>
        <v>273.47488</v>
      </c>
      <c r="J17" s="47">
        <f t="shared" ref="J17:J25" si="3">21.2*24.2/144*Q17</f>
        <v>69.5950160888889</v>
      </c>
      <c r="K17" s="47">
        <f t="shared" ref="K17:K25" si="4">18.2*24.2/144*Q17</f>
        <v>59.7466647555556</v>
      </c>
      <c r="L17" s="47">
        <f t="shared" ref="L17:L25" si="5">28.25*24.25/144*Q17</f>
        <v>92.9302504861111</v>
      </c>
      <c r="M17" s="47">
        <f t="shared" ref="M17:M25" si="6">27.25*24.25/144*Q17</f>
        <v>89.6406840972222</v>
      </c>
      <c r="N17" s="47">
        <f t="shared" ref="N17:N25" si="7">28.5*49/144*Q17</f>
        <v>189.438328333333</v>
      </c>
      <c r="O17" s="47">
        <f t="shared" ref="O17:O25" si="8">17*24.5/144*Q17</f>
        <v>56.4991505555556</v>
      </c>
      <c r="P17" s="47">
        <f t="shared" ref="P17:P25" si="9">24.3*16.2/144*Q17</f>
        <v>53.4008538</v>
      </c>
      <c r="Q17" s="56">
        <v>19.53392</v>
      </c>
      <c r="R17" s="63"/>
      <c r="S17" s="38"/>
      <c r="T17" s="38"/>
    </row>
    <row r="18" s="1" customFormat="1" ht="17.4" spans="1:20">
      <c r="A18" s="55" t="s">
        <v>194</v>
      </c>
      <c r="B18" s="55">
        <v>0.064</v>
      </c>
      <c r="C18" s="55" t="s">
        <v>105</v>
      </c>
      <c r="D18" s="55" t="s">
        <v>195</v>
      </c>
      <c r="E18" s="55" t="s">
        <v>31</v>
      </c>
      <c r="F18" s="55" t="s">
        <v>197</v>
      </c>
      <c r="G18" s="47">
        <f t="shared" si="0"/>
        <v>170.47296</v>
      </c>
      <c r="H18" s="47">
        <f t="shared" si="1"/>
        <v>189.3670464</v>
      </c>
      <c r="I18" s="47">
        <f t="shared" si="2"/>
        <v>198.88512</v>
      </c>
      <c r="J18" s="47">
        <f t="shared" si="3"/>
        <v>50.6131061333333</v>
      </c>
      <c r="K18" s="47">
        <f t="shared" si="4"/>
        <v>43.4508741333333</v>
      </c>
      <c r="L18" s="47">
        <f t="shared" si="5"/>
        <v>67.5836991666667</v>
      </c>
      <c r="M18" s="47">
        <f t="shared" si="6"/>
        <v>65.1913558333333</v>
      </c>
      <c r="N18" s="47">
        <f t="shared" si="7"/>
        <v>137.76938</v>
      </c>
      <c r="O18" s="47">
        <f t="shared" si="8"/>
        <v>41.0891133333333</v>
      </c>
      <c r="P18" s="47">
        <f t="shared" si="9"/>
        <v>38.8358712</v>
      </c>
      <c r="Q18" s="56">
        <v>14.20608</v>
      </c>
      <c r="R18" s="63"/>
      <c r="S18" s="38"/>
      <c r="T18" s="38"/>
    </row>
    <row r="19" s="1" customFormat="1" ht="17.4" spans="1:20">
      <c r="A19" s="55" t="s">
        <v>194</v>
      </c>
      <c r="B19" s="55">
        <v>0.076</v>
      </c>
      <c r="C19" s="55" t="s">
        <v>105</v>
      </c>
      <c r="D19" s="55" t="s">
        <v>195</v>
      </c>
      <c r="E19" s="55" t="s">
        <v>31</v>
      </c>
      <c r="F19" s="55" t="s">
        <v>35</v>
      </c>
      <c r="G19" s="47">
        <f t="shared" si="0"/>
        <v>179.92128</v>
      </c>
      <c r="H19" s="47">
        <f t="shared" si="1"/>
        <v>199.8625552</v>
      </c>
      <c r="I19" s="47">
        <f t="shared" si="2"/>
        <v>209.90816</v>
      </c>
      <c r="J19" s="47">
        <f t="shared" si="3"/>
        <v>53.4182948444444</v>
      </c>
      <c r="K19" s="47">
        <f t="shared" si="4"/>
        <v>45.8591021777778</v>
      </c>
      <c r="L19" s="47">
        <f t="shared" si="5"/>
        <v>71.3294686805556</v>
      </c>
      <c r="M19" s="47">
        <f t="shared" si="6"/>
        <v>68.8045317361111</v>
      </c>
      <c r="N19" s="47">
        <f t="shared" si="7"/>
        <v>145.405131666667</v>
      </c>
      <c r="O19" s="47">
        <f t="shared" si="8"/>
        <v>43.3664427777778</v>
      </c>
      <c r="P19" s="47">
        <f t="shared" si="9"/>
        <v>40.9883166</v>
      </c>
      <c r="Q19" s="56">
        <v>14.99344</v>
      </c>
      <c r="R19" s="63"/>
      <c r="S19" s="38"/>
      <c r="T19" s="38"/>
    </row>
    <row r="20" s="1" customFormat="1" ht="17.4" spans="1:20">
      <c r="A20" s="55" t="s">
        <v>194</v>
      </c>
      <c r="B20" s="55">
        <v>0.076</v>
      </c>
      <c r="C20" s="55" t="s">
        <v>105</v>
      </c>
      <c r="D20" s="55" t="s">
        <v>195</v>
      </c>
      <c r="E20" s="57" t="s">
        <v>34</v>
      </c>
      <c r="F20" s="55" t="s">
        <v>35</v>
      </c>
      <c r="G20" s="47">
        <f t="shared" si="0"/>
        <v>245.15904</v>
      </c>
      <c r="H20" s="47">
        <f t="shared" si="1"/>
        <v>272.3308336</v>
      </c>
      <c r="I20" s="47">
        <f t="shared" si="2"/>
        <v>286.01888</v>
      </c>
      <c r="J20" s="47">
        <f t="shared" si="3"/>
        <v>72.7872649777778</v>
      </c>
      <c r="K20" s="47">
        <f t="shared" si="4"/>
        <v>62.4871803111111</v>
      </c>
      <c r="L20" s="47">
        <f t="shared" si="5"/>
        <v>97.1928615972222</v>
      </c>
      <c r="M20" s="47">
        <f t="shared" si="6"/>
        <v>93.7524063194445</v>
      </c>
      <c r="N20" s="47">
        <f t="shared" si="7"/>
        <v>198.127661666667</v>
      </c>
      <c r="O20" s="47">
        <f t="shared" si="8"/>
        <v>59.0907061111111</v>
      </c>
      <c r="P20" s="47">
        <f t="shared" si="9"/>
        <v>55.8502938</v>
      </c>
      <c r="Q20" s="56">
        <v>20.42992</v>
      </c>
      <c r="R20" s="63"/>
      <c r="S20" s="38"/>
      <c r="T20" s="38"/>
    </row>
    <row r="21" s="1" customFormat="1" ht="17.4" spans="1:20">
      <c r="A21" s="55" t="s">
        <v>194</v>
      </c>
      <c r="B21" s="55">
        <v>0.076</v>
      </c>
      <c r="C21" s="55" t="s">
        <v>105</v>
      </c>
      <c r="D21" s="55" t="s">
        <v>195</v>
      </c>
      <c r="E21" s="55" t="s">
        <v>31</v>
      </c>
      <c r="F21" s="55" t="s">
        <v>197</v>
      </c>
      <c r="G21" s="47">
        <f t="shared" si="0"/>
        <v>180.24384</v>
      </c>
      <c r="H21" s="47">
        <f t="shared" si="1"/>
        <v>200.2208656</v>
      </c>
      <c r="I21" s="47">
        <f t="shared" si="2"/>
        <v>210.28448</v>
      </c>
      <c r="J21" s="47">
        <f t="shared" si="3"/>
        <v>53.5140623111111</v>
      </c>
      <c r="K21" s="47">
        <f t="shared" si="4"/>
        <v>45.9413176444444</v>
      </c>
      <c r="L21" s="47">
        <f t="shared" si="5"/>
        <v>71.4573470138889</v>
      </c>
      <c r="M21" s="47">
        <f t="shared" si="6"/>
        <v>68.9278834027778</v>
      </c>
      <c r="N21" s="47">
        <f t="shared" si="7"/>
        <v>145.665811666667</v>
      </c>
      <c r="O21" s="47">
        <f t="shared" si="8"/>
        <v>43.4441894444444</v>
      </c>
      <c r="P21" s="47">
        <f t="shared" si="9"/>
        <v>41.0617998</v>
      </c>
      <c r="Q21" s="56">
        <v>15.02032</v>
      </c>
      <c r="R21" s="63"/>
      <c r="S21" s="38"/>
      <c r="T21" s="38"/>
    </row>
    <row r="22" s="1" customFormat="1" ht="17.4" spans="1:20">
      <c r="A22" s="55" t="s">
        <v>194</v>
      </c>
      <c r="B22" s="55">
        <v>0.076</v>
      </c>
      <c r="C22" s="55" t="s">
        <v>105</v>
      </c>
      <c r="D22" s="55" t="s">
        <v>195</v>
      </c>
      <c r="E22" s="55" t="s">
        <v>31</v>
      </c>
      <c r="F22" s="55" t="s">
        <v>198</v>
      </c>
      <c r="G22" s="47">
        <f t="shared" si="0"/>
        <v>232.176</v>
      </c>
      <c r="H22" s="47">
        <f t="shared" si="1"/>
        <v>257.90884</v>
      </c>
      <c r="I22" s="47">
        <f t="shared" si="2"/>
        <v>270.872</v>
      </c>
      <c r="J22" s="47">
        <f t="shared" si="3"/>
        <v>68.9326244444444</v>
      </c>
      <c r="K22" s="47">
        <f t="shared" si="4"/>
        <v>59.1780077777778</v>
      </c>
      <c r="L22" s="47">
        <f t="shared" si="5"/>
        <v>92.0457586805556</v>
      </c>
      <c r="M22" s="47">
        <f t="shared" si="6"/>
        <v>88.7875017361111</v>
      </c>
      <c r="N22" s="47">
        <f t="shared" si="7"/>
        <v>187.635291666667</v>
      </c>
      <c r="O22" s="47">
        <f t="shared" si="8"/>
        <v>55.9614027777778</v>
      </c>
      <c r="P22" s="47">
        <f t="shared" si="9"/>
        <v>52.892595</v>
      </c>
      <c r="Q22" s="56">
        <v>19.348</v>
      </c>
      <c r="R22" s="63"/>
      <c r="S22" s="38"/>
      <c r="T22" s="38"/>
    </row>
    <row r="23" s="1" customFormat="1" ht="17.4" spans="1:20">
      <c r="A23" s="55" t="s">
        <v>194</v>
      </c>
      <c r="B23" s="55">
        <v>0.076</v>
      </c>
      <c r="C23" s="55" t="s">
        <v>105</v>
      </c>
      <c r="D23" s="55" t="s">
        <v>195</v>
      </c>
      <c r="E23" s="57" t="s">
        <v>34</v>
      </c>
      <c r="F23" s="55" t="s">
        <v>197</v>
      </c>
      <c r="G23" s="47">
        <f t="shared" si="0"/>
        <v>246.32832</v>
      </c>
      <c r="H23" s="47">
        <f t="shared" si="1"/>
        <v>273.6297088</v>
      </c>
      <c r="I23" s="47">
        <f t="shared" si="2"/>
        <v>287.38304</v>
      </c>
      <c r="J23" s="47">
        <f t="shared" si="3"/>
        <v>73.1344220444444</v>
      </c>
      <c r="K23" s="47">
        <f t="shared" si="4"/>
        <v>62.7852113777778</v>
      </c>
      <c r="L23" s="47">
        <f t="shared" si="5"/>
        <v>97.6564205555556</v>
      </c>
      <c r="M23" s="47">
        <f t="shared" si="6"/>
        <v>94.1995561111111</v>
      </c>
      <c r="N23" s="47">
        <f t="shared" si="7"/>
        <v>199.072626666667</v>
      </c>
      <c r="O23" s="47">
        <f t="shared" si="8"/>
        <v>59.3725377777778</v>
      </c>
      <c r="P23" s="47">
        <f t="shared" si="9"/>
        <v>56.1166704</v>
      </c>
      <c r="Q23" s="56">
        <v>20.52736</v>
      </c>
      <c r="R23" s="63"/>
      <c r="S23" s="38"/>
      <c r="T23" s="38"/>
    </row>
    <row r="24" s="1" customFormat="1" ht="17.4" spans="1:20">
      <c r="A24" s="55" t="s">
        <v>194</v>
      </c>
      <c r="B24" s="55">
        <v>0.076</v>
      </c>
      <c r="C24" s="55" t="s">
        <v>105</v>
      </c>
      <c r="D24" s="55" t="s">
        <v>106</v>
      </c>
      <c r="E24" s="57" t="s">
        <v>41</v>
      </c>
      <c r="F24" s="55" t="s">
        <v>197</v>
      </c>
      <c r="G24" s="47">
        <f t="shared" si="0"/>
        <v>307.11744</v>
      </c>
      <c r="H24" s="47">
        <f t="shared" si="1"/>
        <v>341.1562896</v>
      </c>
      <c r="I24" s="47">
        <f t="shared" si="2"/>
        <v>358.30368</v>
      </c>
      <c r="J24" s="47">
        <f t="shared" si="3"/>
        <v>91.1825992</v>
      </c>
      <c r="K24" s="47">
        <f t="shared" si="4"/>
        <v>78.2794012</v>
      </c>
      <c r="L24" s="47">
        <f t="shared" si="5"/>
        <v>121.756158125</v>
      </c>
      <c r="M24" s="47">
        <f t="shared" si="6"/>
        <v>117.446205625</v>
      </c>
      <c r="N24" s="47">
        <f t="shared" si="7"/>
        <v>248.199945</v>
      </c>
      <c r="O24" s="47">
        <f t="shared" si="8"/>
        <v>74.024545</v>
      </c>
      <c r="P24" s="47">
        <f t="shared" si="9"/>
        <v>69.9651918</v>
      </c>
      <c r="Q24" s="56">
        <v>25.59312</v>
      </c>
      <c r="R24" s="63"/>
      <c r="S24" s="38"/>
      <c r="T24" s="38"/>
    </row>
    <row r="25" s="1" customFormat="1" ht="17.4" spans="1:20">
      <c r="A25" s="55" t="s">
        <v>194</v>
      </c>
      <c r="B25" s="55">
        <v>0.089</v>
      </c>
      <c r="C25" s="55" t="s">
        <v>105</v>
      </c>
      <c r="D25" s="55" t="s">
        <v>195</v>
      </c>
      <c r="E25" s="55" t="s">
        <v>31</v>
      </c>
      <c r="F25" s="55" t="s">
        <v>197</v>
      </c>
      <c r="G25" s="47">
        <f t="shared" si="0"/>
        <v>194.30208</v>
      </c>
      <c r="H25" s="47">
        <f t="shared" si="1"/>
        <v>215.8372272</v>
      </c>
      <c r="I25" s="47">
        <f t="shared" si="2"/>
        <v>226.68576</v>
      </c>
      <c r="J25" s="47">
        <f t="shared" si="3"/>
        <v>57.6879277333333</v>
      </c>
      <c r="K25" s="47">
        <f t="shared" si="4"/>
        <v>49.5245417333333</v>
      </c>
      <c r="L25" s="47">
        <f t="shared" si="5"/>
        <v>77.0307110416667</v>
      </c>
      <c r="M25" s="47">
        <f t="shared" si="6"/>
        <v>74.3039602083334</v>
      </c>
      <c r="N25" s="47">
        <f t="shared" si="7"/>
        <v>157.027115</v>
      </c>
      <c r="O25" s="47">
        <f t="shared" si="8"/>
        <v>46.8326483333333</v>
      </c>
      <c r="P25" s="47">
        <f t="shared" si="9"/>
        <v>44.2644426</v>
      </c>
      <c r="Q25" s="56">
        <v>16.19184</v>
      </c>
      <c r="R25" s="63"/>
      <c r="S25" s="38"/>
      <c r="T25" s="38"/>
    </row>
    <row r="26" s="1" customFormat="1" ht="17.4" spans="1:20">
      <c r="A26" s="55" t="s">
        <v>194</v>
      </c>
      <c r="B26" s="55">
        <v>0.089</v>
      </c>
      <c r="C26" s="55" t="s">
        <v>105</v>
      </c>
      <c r="D26" s="55" t="s">
        <v>195</v>
      </c>
      <c r="E26" s="57" t="s">
        <v>34</v>
      </c>
      <c r="F26" s="55" t="s">
        <v>197</v>
      </c>
      <c r="G26" s="47">
        <f t="shared" ref="G26:G31" si="10">Q26*12</f>
        <v>263.06112</v>
      </c>
      <c r="H26" s="47">
        <f t="shared" ref="H26:H31" si="11">Q26*13.33</f>
        <v>292.2170608</v>
      </c>
      <c r="I26" s="47">
        <f t="shared" ref="I26:I31" si="12">Q26*14</f>
        <v>306.90464</v>
      </c>
      <c r="J26" s="47">
        <f t="shared" ref="J26:J31" si="13">21.2*24.2/144*Q26</f>
        <v>78.1023593777778</v>
      </c>
      <c r="K26" s="47">
        <f t="shared" ref="K26:K31" si="14">18.2*24.2/144*Q26</f>
        <v>67.0501387111111</v>
      </c>
      <c r="L26" s="47">
        <f t="shared" ref="L26:L31" si="15">28.25*24.25/144*Q26</f>
        <v>104.290109097222</v>
      </c>
      <c r="M26" s="47">
        <f t="shared" ref="M26:M31" si="16">27.25*24.25/144*Q26</f>
        <v>100.598423819444</v>
      </c>
      <c r="N26" s="47">
        <f t="shared" ref="N26:N31" si="17">28.5*49/144*Q26</f>
        <v>212.595401666667</v>
      </c>
      <c r="O26" s="47">
        <f t="shared" ref="O26:O31" si="18">17*24.5/144*Q26</f>
        <v>63.4056461111111</v>
      </c>
      <c r="P26" s="47">
        <f t="shared" ref="P26:P31" si="19">24.3*16.2/144*Q26</f>
        <v>59.9286114</v>
      </c>
      <c r="Q26" s="56">
        <v>21.92176</v>
      </c>
      <c r="R26" s="63"/>
      <c r="S26" s="38"/>
      <c r="T26" s="38"/>
    </row>
    <row r="27" s="1" customFormat="1" ht="17.4" spans="1:20">
      <c r="A27" s="55" t="s">
        <v>194</v>
      </c>
      <c r="B27" s="55">
        <v>0.089</v>
      </c>
      <c r="C27" s="55" t="s">
        <v>105</v>
      </c>
      <c r="D27" s="55" t="s">
        <v>195</v>
      </c>
      <c r="E27" s="55" t="s">
        <v>31</v>
      </c>
      <c r="F27" s="55" t="s">
        <v>36</v>
      </c>
      <c r="G27" s="47">
        <f t="shared" si="10"/>
        <v>183.28128</v>
      </c>
      <c r="H27" s="47">
        <f t="shared" si="11"/>
        <v>203.5949552</v>
      </c>
      <c r="I27" s="47">
        <f t="shared" si="12"/>
        <v>213.82816</v>
      </c>
      <c r="J27" s="47">
        <f t="shared" si="13"/>
        <v>54.4158726222222</v>
      </c>
      <c r="K27" s="47">
        <f t="shared" si="14"/>
        <v>46.7155132888889</v>
      </c>
      <c r="L27" s="47">
        <f t="shared" si="15"/>
        <v>72.6615346527778</v>
      </c>
      <c r="M27" s="47">
        <f t="shared" si="16"/>
        <v>70.0894449305556</v>
      </c>
      <c r="N27" s="47">
        <f t="shared" si="17"/>
        <v>148.120548333333</v>
      </c>
      <c r="O27" s="47">
        <f t="shared" si="18"/>
        <v>44.1763038888889</v>
      </c>
      <c r="P27" s="47">
        <f t="shared" si="19"/>
        <v>41.7537666</v>
      </c>
      <c r="Q27" s="56">
        <v>15.27344</v>
      </c>
      <c r="R27" s="63"/>
      <c r="S27" s="38"/>
      <c r="T27" s="38"/>
    </row>
    <row r="28" s="1" customFormat="1" ht="17.4" spans="1:20">
      <c r="A28" s="55" t="s">
        <v>194</v>
      </c>
      <c r="B28" s="55">
        <v>0.089</v>
      </c>
      <c r="C28" s="55" t="s">
        <v>105</v>
      </c>
      <c r="D28" s="55" t="s">
        <v>195</v>
      </c>
      <c r="E28" s="57" t="s">
        <v>34</v>
      </c>
      <c r="F28" s="55" t="s">
        <v>36</v>
      </c>
      <c r="G28" s="47">
        <f t="shared" si="10"/>
        <v>247.28256</v>
      </c>
      <c r="H28" s="47">
        <f t="shared" si="11"/>
        <v>274.6897104</v>
      </c>
      <c r="I28" s="47">
        <f t="shared" si="12"/>
        <v>288.49632</v>
      </c>
      <c r="J28" s="47">
        <f t="shared" si="13"/>
        <v>73.4177341333333</v>
      </c>
      <c r="K28" s="47">
        <f t="shared" si="14"/>
        <v>63.0284321333333</v>
      </c>
      <c r="L28" s="47">
        <f t="shared" si="15"/>
        <v>98.0347272916667</v>
      </c>
      <c r="M28" s="47">
        <f t="shared" si="16"/>
        <v>94.5644714583334</v>
      </c>
      <c r="N28" s="47">
        <f t="shared" si="17"/>
        <v>199.843805</v>
      </c>
      <c r="O28" s="47">
        <f t="shared" si="18"/>
        <v>59.6025383333333</v>
      </c>
      <c r="P28" s="47">
        <f t="shared" si="19"/>
        <v>56.3340582</v>
      </c>
      <c r="Q28" s="56">
        <v>20.60688</v>
      </c>
      <c r="R28" s="63"/>
      <c r="S28" s="38"/>
      <c r="T28" s="38"/>
    </row>
    <row r="29" s="1" customFormat="1" ht="17.4" spans="1:20">
      <c r="A29" s="55" t="s">
        <v>194</v>
      </c>
      <c r="B29" s="55">
        <v>0.089</v>
      </c>
      <c r="C29" s="55" t="s">
        <v>105</v>
      </c>
      <c r="D29" s="55" t="s">
        <v>195</v>
      </c>
      <c r="E29" s="55" t="s">
        <v>31</v>
      </c>
      <c r="F29" s="55" t="s">
        <v>199</v>
      </c>
      <c r="G29" s="47">
        <f t="shared" si="10"/>
        <v>228.39936</v>
      </c>
      <c r="H29" s="47">
        <f t="shared" si="11"/>
        <v>253.7136224</v>
      </c>
      <c r="I29" s="47">
        <f t="shared" si="12"/>
        <v>266.46592</v>
      </c>
      <c r="J29" s="47">
        <f t="shared" si="13"/>
        <v>67.8113470222222</v>
      </c>
      <c r="K29" s="47">
        <f t="shared" si="14"/>
        <v>58.2154016888889</v>
      </c>
      <c r="L29" s="47">
        <f t="shared" si="15"/>
        <v>90.5485165277778</v>
      </c>
      <c r="M29" s="47">
        <f t="shared" si="16"/>
        <v>87.3432593055556</v>
      </c>
      <c r="N29" s="47">
        <f t="shared" si="17"/>
        <v>184.583163333333</v>
      </c>
      <c r="O29" s="47">
        <f t="shared" si="18"/>
        <v>55.0511188888889</v>
      </c>
      <c r="P29" s="47">
        <f t="shared" si="19"/>
        <v>52.0322292</v>
      </c>
      <c r="Q29" s="56">
        <v>19.03328</v>
      </c>
      <c r="R29" s="63"/>
      <c r="S29" s="38"/>
      <c r="T29" s="38"/>
    </row>
    <row r="30" s="1" customFormat="1" ht="17.4" spans="1:20">
      <c r="A30" s="55" t="s">
        <v>194</v>
      </c>
      <c r="B30" s="55">
        <v>0.089</v>
      </c>
      <c r="C30" s="55" t="s">
        <v>105</v>
      </c>
      <c r="D30" s="55" t="s">
        <v>195</v>
      </c>
      <c r="E30" s="57" t="s">
        <v>34</v>
      </c>
      <c r="F30" s="55" t="s">
        <v>199</v>
      </c>
      <c r="G30" s="47">
        <f t="shared" si="10"/>
        <v>279.243</v>
      </c>
      <c r="H30" s="47">
        <f t="shared" si="11"/>
        <v>310.1924325</v>
      </c>
      <c r="I30" s="47">
        <f t="shared" si="12"/>
        <v>325.7835</v>
      </c>
      <c r="J30" s="47">
        <f t="shared" si="13"/>
        <v>82.9067295833333</v>
      </c>
      <c r="K30" s="47">
        <f t="shared" si="14"/>
        <v>71.1746452083333</v>
      </c>
      <c r="L30" s="47">
        <f t="shared" si="15"/>
        <v>110.705386393229</v>
      </c>
      <c r="M30" s="47">
        <f t="shared" si="16"/>
        <v>106.786611653646</v>
      </c>
      <c r="N30" s="47">
        <f t="shared" si="17"/>
        <v>225.6729453125</v>
      </c>
      <c r="O30" s="47">
        <f t="shared" si="18"/>
        <v>67.3059661458333</v>
      </c>
      <c r="P30" s="47">
        <f t="shared" si="19"/>
        <v>63.6150459375</v>
      </c>
      <c r="Q30" s="56">
        <v>23.27025</v>
      </c>
      <c r="R30" s="63"/>
      <c r="S30" s="38"/>
      <c r="T30" s="38"/>
    </row>
    <row r="31" s="1" customFormat="1" ht="17.4" spans="1:20">
      <c r="A31" s="55" t="s">
        <v>194</v>
      </c>
      <c r="B31" s="55">
        <v>0.089</v>
      </c>
      <c r="C31" s="55" t="s">
        <v>105</v>
      </c>
      <c r="D31" s="55" t="s">
        <v>106</v>
      </c>
      <c r="E31" s="57" t="s">
        <v>41</v>
      </c>
      <c r="F31" s="55" t="s">
        <v>199</v>
      </c>
      <c r="G31" s="47">
        <f t="shared" si="10"/>
        <v>450.6432</v>
      </c>
      <c r="H31" s="47">
        <f t="shared" si="11"/>
        <v>500.589488</v>
      </c>
      <c r="I31" s="47">
        <f t="shared" si="12"/>
        <v>525.7504</v>
      </c>
      <c r="J31" s="47">
        <f t="shared" si="13"/>
        <v>133.795131555556</v>
      </c>
      <c r="K31" s="47">
        <f t="shared" si="14"/>
        <v>114.861858222222</v>
      </c>
      <c r="L31" s="47">
        <f t="shared" si="15"/>
        <v>178.656688194444</v>
      </c>
      <c r="M31" s="47">
        <f t="shared" si="16"/>
        <v>172.332557638889</v>
      </c>
      <c r="N31" s="47">
        <f t="shared" si="17"/>
        <v>364.191683333333</v>
      </c>
      <c r="O31" s="47">
        <f t="shared" si="18"/>
        <v>108.618572222222</v>
      </c>
      <c r="P31" s="47">
        <f t="shared" si="19"/>
        <v>102.662154</v>
      </c>
      <c r="Q31" s="56">
        <v>37.5536</v>
      </c>
      <c r="R31" s="63"/>
      <c r="S31" s="38"/>
      <c r="T31" s="38"/>
    </row>
    <row r="32" s="1" customFormat="1" ht="17.4" spans="1:20">
      <c r="A32" s="55" t="s">
        <v>194</v>
      </c>
      <c r="B32" s="55">
        <v>0.102</v>
      </c>
      <c r="C32" s="55" t="s">
        <v>105</v>
      </c>
      <c r="D32" s="55" t="s">
        <v>195</v>
      </c>
      <c r="E32" s="55" t="s">
        <v>31</v>
      </c>
      <c r="F32" s="55" t="s">
        <v>36</v>
      </c>
      <c r="G32" s="47">
        <f t="shared" ref="G32:G59" si="20">Q32*12</f>
        <v>194.86656</v>
      </c>
      <c r="H32" s="47">
        <f t="shared" ref="H32:H59" si="21">Q32*13.33</f>
        <v>216.4642704</v>
      </c>
      <c r="I32" s="47">
        <f t="shared" ref="I32:I59" si="22">Q32*14</f>
        <v>227.34432</v>
      </c>
      <c r="J32" s="47">
        <f t="shared" ref="J32:J59" si="23">21.2*24.2/144*Q32</f>
        <v>57.8555208</v>
      </c>
      <c r="K32" s="47">
        <f t="shared" ref="K32:K59" si="24">18.2*24.2/144*Q32</f>
        <v>49.6684188</v>
      </c>
      <c r="L32" s="47">
        <f t="shared" ref="L32:L59" si="25">28.25*24.25/144*Q32</f>
        <v>77.254498125</v>
      </c>
      <c r="M32" s="47">
        <f t="shared" ref="M32:M59" si="26">27.25*24.25/144*Q32</f>
        <v>74.519825625</v>
      </c>
      <c r="N32" s="47">
        <f t="shared" ref="N32:N59" si="27">28.5*49/144*Q32</f>
        <v>157.483305</v>
      </c>
      <c r="O32" s="47">
        <f t="shared" ref="O32:O59" si="28">17*24.5/144*Q32</f>
        <v>46.968705</v>
      </c>
      <c r="P32" s="47">
        <f t="shared" ref="P32:P59" si="29">24.3*16.2/144*Q32</f>
        <v>44.3930382</v>
      </c>
      <c r="Q32" s="56">
        <v>16.23888</v>
      </c>
      <c r="R32" s="63"/>
      <c r="S32" s="38"/>
      <c r="T32" s="38"/>
    </row>
    <row r="33" s="1" customFormat="1" ht="17.4" spans="1:20">
      <c r="A33" s="55" t="s">
        <v>194</v>
      </c>
      <c r="B33" s="55">
        <v>0.102</v>
      </c>
      <c r="C33" s="55" t="s">
        <v>105</v>
      </c>
      <c r="D33" s="55" t="s">
        <v>195</v>
      </c>
      <c r="E33" s="57" t="s">
        <v>34</v>
      </c>
      <c r="F33" s="55" t="s">
        <v>36</v>
      </c>
      <c r="G33" s="47">
        <f t="shared" si="20"/>
        <v>263.53152</v>
      </c>
      <c r="H33" s="47">
        <f t="shared" si="21"/>
        <v>292.7395968</v>
      </c>
      <c r="I33" s="47">
        <f t="shared" si="22"/>
        <v>307.45344</v>
      </c>
      <c r="J33" s="47">
        <f t="shared" si="23"/>
        <v>78.2420202666667</v>
      </c>
      <c r="K33" s="47">
        <f t="shared" si="24"/>
        <v>67.1700362666667</v>
      </c>
      <c r="L33" s="47">
        <f t="shared" si="25"/>
        <v>104.476598333333</v>
      </c>
      <c r="M33" s="47">
        <f t="shared" si="26"/>
        <v>100.778311666667</v>
      </c>
      <c r="N33" s="47">
        <f t="shared" si="27"/>
        <v>212.97556</v>
      </c>
      <c r="O33" s="47">
        <f t="shared" si="28"/>
        <v>63.5190266666667</v>
      </c>
      <c r="P33" s="47">
        <f t="shared" si="29"/>
        <v>60.0357744</v>
      </c>
      <c r="Q33" s="56">
        <v>21.96096</v>
      </c>
      <c r="R33" s="63"/>
      <c r="S33" s="38"/>
      <c r="T33" s="38"/>
    </row>
    <row r="34" s="1" customFormat="1" ht="17.4" spans="1:20">
      <c r="A34" s="55" t="s">
        <v>194</v>
      </c>
      <c r="B34" s="55">
        <v>0.102</v>
      </c>
      <c r="C34" s="55" t="s">
        <v>105</v>
      </c>
      <c r="D34" s="55" t="s">
        <v>195</v>
      </c>
      <c r="E34" s="55" t="s">
        <v>31</v>
      </c>
      <c r="F34" s="55" t="s">
        <v>110</v>
      </c>
      <c r="G34" s="47">
        <f t="shared" si="20"/>
        <v>213.77664</v>
      </c>
      <c r="H34" s="47">
        <f t="shared" si="21"/>
        <v>237.4702176</v>
      </c>
      <c r="I34" s="47">
        <f t="shared" si="22"/>
        <v>249.40608</v>
      </c>
      <c r="J34" s="47">
        <f t="shared" si="23"/>
        <v>63.4698885333333</v>
      </c>
      <c r="K34" s="47">
        <f t="shared" si="24"/>
        <v>54.4883005333333</v>
      </c>
      <c r="L34" s="47">
        <f t="shared" si="25"/>
        <v>84.7513654166667</v>
      </c>
      <c r="M34" s="47">
        <f t="shared" si="26"/>
        <v>81.7513170833333</v>
      </c>
      <c r="N34" s="47">
        <f t="shared" si="27"/>
        <v>172.76567</v>
      </c>
      <c r="O34" s="47">
        <f t="shared" si="28"/>
        <v>51.5266033333333</v>
      </c>
      <c r="P34" s="47">
        <f t="shared" si="29"/>
        <v>48.7009908</v>
      </c>
      <c r="Q34" s="56">
        <v>17.81472</v>
      </c>
      <c r="R34" s="63"/>
      <c r="S34" s="38"/>
      <c r="T34" s="38"/>
    </row>
    <row r="35" s="1" customFormat="1" ht="17.4" spans="1:20">
      <c r="A35" s="55" t="s">
        <v>194</v>
      </c>
      <c r="B35" s="55">
        <v>0.102</v>
      </c>
      <c r="C35" s="55" t="s">
        <v>105</v>
      </c>
      <c r="D35" s="55" t="s">
        <v>195</v>
      </c>
      <c r="E35" s="57" t="s">
        <v>34</v>
      </c>
      <c r="F35" s="55" t="s">
        <v>110</v>
      </c>
      <c r="G35" s="47">
        <f t="shared" si="20"/>
        <v>280.00896</v>
      </c>
      <c r="H35" s="47">
        <f t="shared" si="21"/>
        <v>311.0432864</v>
      </c>
      <c r="I35" s="47">
        <f t="shared" si="22"/>
        <v>326.67712</v>
      </c>
      <c r="J35" s="47">
        <f t="shared" si="23"/>
        <v>83.1341416888889</v>
      </c>
      <c r="K35" s="47">
        <f t="shared" si="24"/>
        <v>71.3698763555555</v>
      </c>
      <c r="L35" s="47">
        <f t="shared" si="25"/>
        <v>111.009049861111</v>
      </c>
      <c r="M35" s="47">
        <f t="shared" si="26"/>
        <v>107.079525972222</v>
      </c>
      <c r="N35" s="47">
        <f t="shared" si="27"/>
        <v>226.291963333333</v>
      </c>
      <c r="O35" s="47">
        <f t="shared" si="28"/>
        <v>67.4905855555556</v>
      </c>
      <c r="P35" s="47">
        <f t="shared" si="29"/>
        <v>63.7895412</v>
      </c>
      <c r="Q35" s="56">
        <v>23.33408</v>
      </c>
      <c r="R35" s="63"/>
      <c r="S35" s="38"/>
      <c r="T35" s="38"/>
    </row>
    <row r="36" s="1" customFormat="1" ht="17.4" spans="1:20">
      <c r="A36" s="55" t="s">
        <v>194</v>
      </c>
      <c r="B36" s="55">
        <v>0.102</v>
      </c>
      <c r="C36" s="55" t="s">
        <v>105</v>
      </c>
      <c r="D36" s="55" t="s">
        <v>195</v>
      </c>
      <c r="E36" s="55" t="s">
        <v>107</v>
      </c>
      <c r="F36" s="55" t="s">
        <v>200</v>
      </c>
      <c r="G36" s="47">
        <f t="shared" si="20"/>
        <v>238.0086</v>
      </c>
      <c r="H36" s="47">
        <f t="shared" si="21"/>
        <v>264.3878865</v>
      </c>
      <c r="I36" s="47">
        <f t="shared" si="22"/>
        <v>277.6767</v>
      </c>
      <c r="J36" s="47">
        <f t="shared" si="23"/>
        <v>70.6643125833333</v>
      </c>
      <c r="K36" s="47">
        <f t="shared" si="24"/>
        <v>60.6646457083333</v>
      </c>
      <c r="L36" s="47">
        <f t="shared" si="25"/>
        <v>94.3580824869792</v>
      </c>
      <c r="M36" s="47">
        <f t="shared" si="26"/>
        <v>91.0179733723958</v>
      </c>
      <c r="N36" s="47">
        <f t="shared" si="27"/>
        <v>192.3489640625</v>
      </c>
      <c r="O36" s="47">
        <f t="shared" si="28"/>
        <v>57.3672348958333</v>
      </c>
      <c r="P36" s="47">
        <f t="shared" si="29"/>
        <v>54.2213341875</v>
      </c>
      <c r="Q36" s="56">
        <v>19.83405</v>
      </c>
      <c r="R36" s="63"/>
      <c r="S36" s="38"/>
      <c r="T36" s="38"/>
    </row>
    <row r="37" s="1" customFormat="1" ht="17.4" spans="1:20">
      <c r="A37" s="55" t="s">
        <v>194</v>
      </c>
      <c r="B37" s="55">
        <v>0.102</v>
      </c>
      <c r="C37" s="55" t="s">
        <v>105</v>
      </c>
      <c r="D37" s="55" t="s">
        <v>195</v>
      </c>
      <c r="E37" s="55" t="s">
        <v>31</v>
      </c>
      <c r="F37" s="55" t="s">
        <v>200</v>
      </c>
      <c r="G37" s="47">
        <f t="shared" si="20"/>
        <v>218.52096</v>
      </c>
      <c r="H37" s="47">
        <f t="shared" si="21"/>
        <v>242.7403664</v>
      </c>
      <c r="I37" s="47">
        <f t="shared" si="22"/>
        <v>254.94112</v>
      </c>
      <c r="J37" s="47">
        <f t="shared" si="23"/>
        <v>64.8784683555556</v>
      </c>
      <c r="K37" s="47">
        <f t="shared" si="24"/>
        <v>55.6975530222222</v>
      </c>
      <c r="L37" s="47">
        <f t="shared" si="25"/>
        <v>86.6322425694445</v>
      </c>
      <c r="M37" s="47">
        <f t="shared" si="26"/>
        <v>83.5656145138889</v>
      </c>
      <c r="N37" s="47">
        <f t="shared" si="27"/>
        <v>176.599838333333</v>
      </c>
      <c r="O37" s="47">
        <f t="shared" si="28"/>
        <v>52.6701272222222</v>
      </c>
      <c r="P37" s="47">
        <f t="shared" si="29"/>
        <v>49.7818062</v>
      </c>
      <c r="Q37" s="56">
        <v>18.21008</v>
      </c>
      <c r="R37" s="63"/>
      <c r="S37" s="38"/>
      <c r="T37" s="38"/>
    </row>
    <row r="38" s="1" customFormat="1" ht="17.4" spans="1:20">
      <c r="A38" s="55" t="s">
        <v>194</v>
      </c>
      <c r="B38" s="55">
        <v>0.102</v>
      </c>
      <c r="C38" s="55" t="s">
        <v>105</v>
      </c>
      <c r="D38" s="55" t="s">
        <v>195</v>
      </c>
      <c r="E38" s="57" t="s">
        <v>34</v>
      </c>
      <c r="F38" s="55" t="s">
        <v>200</v>
      </c>
      <c r="G38" s="47">
        <f t="shared" si="20"/>
        <v>251.90568</v>
      </c>
      <c r="H38" s="47">
        <f t="shared" si="21"/>
        <v>279.8252262</v>
      </c>
      <c r="I38" s="47">
        <f t="shared" si="22"/>
        <v>293.88996</v>
      </c>
      <c r="J38" s="47">
        <f t="shared" si="23"/>
        <v>74.7903299</v>
      </c>
      <c r="K38" s="47">
        <f t="shared" si="24"/>
        <v>64.20679265</v>
      </c>
      <c r="L38" s="47">
        <f t="shared" si="25"/>
        <v>99.867554921875</v>
      </c>
      <c r="M38" s="47">
        <f t="shared" si="26"/>
        <v>96.332420234375</v>
      </c>
      <c r="N38" s="47">
        <f t="shared" si="27"/>
        <v>203.580024375</v>
      </c>
      <c r="O38" s="47">
        <f t="shared" si="28"/>
        <v>60.716849375</v>
      </c>
      <c r="P38" s="47">
        <f t="shared" si="29"/>
        <v>57.387262725</v>
      </c>
      <c r="Q38" s="56">
        <v>20.99214</v>
      </c>
      <c r="R38" s="63"/>
      <c r="S38" s="38"/>
      <c r="T38" s="38"/>
    </row>
    <row r="39" s="1" customFormat="1" ht="17.4" spans="1:20">
      <c r="A39" s="55" t="s">
        <v>194</v>
      </c>
      <c r="B39" s="55">
        <v>0.102</v>
      </c>
      <c r="C39" s="55" t="s">
        <v>105</v>
      </c>
      <c r="D39" s="55" t="s">
        <v>201</v>
      </c>
      <c r="E39" s="57" t="s">
        <v>109</v>
      </c>
      <c r="F39" s="55" t="s">
        <v>200</v>
      </c>
      <c r="G39" s="47">
        <f t="shared" si="20"/>
        <v>327.16992</v>
      </c>
      <c r="H39" s="47">
        <f t="shared" si="21"/>
        <v>363.4312528</v>
      </c>
      <c r="I39" s="47">
        <f t="shared" si="22"/>
        <v>381.69824</v>
      </c>
      <c r="J39" s="47">
        <f t="shared" si="23"/>
        <v>97.1361433777778</v>
      </c>
      <c r="K39" s="47">
        <f t="shared" si="24"/>
        <v>83.3904627111111</v>
      </c>
      <c r="L39" s="47">
        <f t="shared" si="25"/>
        <v>129.705927847222</v>
      </c>
      <c r="M39" s="47">
        <f t="shared" si="26"/>
        <v>125.114567569444</v>
      </c>
      <c r="N39" s="47">
        <f t="shared" si="27"/>
        <v>264.405551666667</v>
      </c>
      <c r="O39" s="47">
        <f t="shared" si="28"/>
        <v>78.8577961111111</v>
      </c>
      <c r="P39" s="47">
        <f t="shared" si="29"/>
        <v>74.5333974</v>
      </c>
      <c r="Q39" s="56">
        <v>27.26416</v>
      </c>
      <c r="R39" s="63"/>
      <c r="S39" s="38"/>
      <c r="T39" s="38"/>
    </row>
    <row r="40" s="1" customFormat="1" ht="17.4" spans="1:20">
      <c r="A40" s="55" t="s">
        <v>194</v>
      </c>
      <c r="B40" s="55">
        <v>0.102</v>
      </c>
      <c r="C40" s="55" t="s">
        <v>105</v>
      </c>
      <c r="D40" s="55" t="s">
        <v>195</v>
      </c>
      <c r="E40" s="55" t="s">
        <v>31</v>
      </c>
      <c r="F40" s="55" t="s">
        <v>35</v>
      </c>
      <c r="G40" s="47">
        <f t="shared" si="20"/>
        <v>200.6592</v>
      </c>
      <c r="H40" s="47">
        <f t="shared" si="21"/>
        <v>222.898928</v>
      </c>
      <c r="I40" s="47">
        <f t="shared" si="22"/>
        <v>234.1024</v>
      </c>
      <c r="J40" s="47">
        <f t="shared" si="23"/>
        <v>59.5753448888889</v>
      </c>
      <c r="K40" s="47">
        <f t="shared" si="24"/>
        <v>51.1448715555556</v>
      </c>
      <c r="L40" s="47">
        <f t="shared" si="25"/>
        <v>79.5509798611111</v>
      </c>
      <c r="M40" s="47">
        <f t="shared" si="26"/>
        <v>76.7350159722222</v>
      </c>
      <c r="N40" s="47">
        <f t="shared" si="27"/>
        <v>162.164683333333</v>
      </c>
      <c r="O40" s="47">
        <f t="shared" si="28"/>
        <v>48.3649055555556</v>
      </c>
      <c r="P40" s="47">
        <f t="shared" si="29"/>
        <v>45.712674</v>
      </c>
      <c r="Q40" s="56">
        <v>16.7216</v>
      </c>
      <c r="R40" s="63"/>
      <c r="S40" s="38"/>
      <c r="T40" s="38"/>
    </row>
    <row r="41" s="1" customFormat="1" ht="17.4" spans="1:20">
      <c r="A41" s="55" t="s">
        <v>194</v>
      </c>
      <c r="B41" s="55">
        <v>0.102</v>
      </c>
      <c r="C41" s="55" t="s">
        <v>105</v>
      </c>
      <c r="D41" s="55" t="s">
        <v>195</v>
      </c>
      <c r="E41" s="57" t="s">
        <v>34</v>
      </c>
      <c r="F41" s="55" t="s">
        <v>35</v>
      </c>
      <c r="G41" s="47">
        <f t="shared" si="20"/>
        <v>266.66304</v>
      </c>
      <c r="H41" s="47">
        <f t="shared" si="21"/>
        <v>296.2181936</v>
      </c>
      <c r="I41" s="47">
        <f t="shared" si="22"/>
        <v>311.10688</v>
      </c>
      <c r="J41" s="47">
        <f t="shared" si="23"/>
        <v>79.1717627555556</v>
      </c>
      <c r="K41" s="47">
        <f t="shared" si="24"/>
        <v>67.9682114222222</v>
      </c>
      <c r="L41" s="47">
        <f t="shared" si="25"/>
        <v>105.718083819444</v>
      </c>
      <c r="M41" s="47">
        <f t="shared" si="26"/>
        <v>101.975850763889</v>
      </c>
      <c r="N41" s="47">
        <f t="shared" si="27"/>
        <v>215.506328333333</v>
      </c>
      <c r="O41" s="47">
        <f t="shared" si="28"/>
        <v>64.2738172222222</v>
      </c>
      <c r="P41" s="47">
        <f t="shared" si="29"/>
        <v>60.7491738</v>
      </c>
      <c r="Q41" s="56">
        <v>22.22192</v>
      </c>
      <c r="R41" s="63"/>
      <c r="S41" s="38"/>
      <c r="T41" s="38"/>
    </row>
    <row r="42" s="1" customFormat="1" ht="17.4" spans="1:20">
      <c r="A42" s="55" t="s">
        <v>194</v>
      </c>
      <c r="B42" s="55">
        <v>0.102</v>
      </c>
      <c r="C42" s="55" t="s">
        <v>105</v>
      </c>
      <c r="D42" s="55" t="s">
        <v>195</v>
      </c>
      <c r="E42" s="55" t="s">
        <v>31</v>
      </c>
      <c r="F42" s="55" t="s">
        <v>197</v>
      </c>
      <c r="G42" s="47">
        <f t="shared" si="20"/>
        <v>203.89824</v>
      </c>
      <c r="H42" s="47">
        <f t="shared" si="21"/>
        <v>226.4969616</v>
      </c>
      <c r="I42" s="47">
        <f t="shared" si="22"/>
        <v>237.88128</v>
      </c>
      <c r="J42" s="47">
        <f t="shared" si="23"/>
        <v>60.5370098666667</v>
      </c>
      <c r="K42" s="47">
        <f t="shared" si="24"/>
        <v>51.9704518666667</v>
      </c>
      <c r="L42" s="47">
        <f t="shared" si="25"/>
        <v>80.8350914583333</v>
      </c>
      <c r="M42" s="47">
        <f t="shared" si="26"/>
        <v>77.9736722916667</v>
      </c>
      <c r="N42" s="47">
        <f t="shared" si="27"/>
        <v>164.782345</v>
      </c>
      <c r="O42" s="47">
        <f t="shared" si="28"/>
        <v>49.1456116666667</v>
      </c>
      <c r="P42" s="47">
        <f t="shared" si="29"/>
        <v>46.4505678</v>
      </c>
      <c r="Q42" s="56">
        <v>16.99152</v>
      </c>
      <c r="R42" s="63"/>
      <c r="S42" s="38"/>
      <c r="T42" s="38"/>
    </row>
    <row r="43" s="1" customFormat="1" ht="17.4" spans="1:20">
      <c r="A43" s="55" t="s">
        <v>194</v>
      </c>
      <c r="B43" s="55">
        <v>0.102</v>
      </c>
      <c r="C43" s="55" t="s">
        <v>105</v>
      </c>
      <c r="D43" s="55" t="s">
        <v>195</v>
      </c>
      <c r="E43" s="57" t="s">
        <v>34</v>
      </c>
      <c r="F43" s="55" t="s">
        <v>197</v>
      </c>
      <c r="G43" s="47">
        <f t="shared" si="20"/>
        <v>268.7328</v>
      </c>
      <c r="H43" s="47">
        <f t="shared" si="21"/>
        <v>298.517352</v>
      </c>
      <c r="I43" s="47">
        <f t="shared" si="22"/>
        <v>313.5216</v>
      </c>
      <c r="J43" s="47">
        <f t="shared" si="23"/>
        <v>79.7862706666667</v>
      </c>
      <c r="K43" s="47">
        <f t="shared" si="24"/>
        <v>68.4957606666667</v>
      </c>
      <c r="L43" s="47">
        <f t="shared" si="25"/>
        <v>106.538636458333</v>
      </c>
      <c r="M43" s="47">
        <f t="shared" si="26"/>
        <v>102.767357291667</v>
      </c>
      <c r="N43" s="47">
        <f t="shared" si="27"/>
        <v>217.179025</v>
      </c>
      <c r="O43" s="47">
        <f t="shared" si="28"/>
        <v>64.7726916666667</v>
      </c>
      <c r="P43" s="47">
        <f t="shared" si="29"/>
        <v>61.220691</v>
      </c>
      <c r="Q43" s="56">
        <v>22.3944</v>
      </c>
      <c r="R43" s="63"/>
      <c r="S43" s="38"/>
      <c r="T43" s="38"/>
    </row>
    <row r="44" s="1" customFormat="1" ht="17.4" spans="1:20">
      <c r="A44" s="55" t="s">
        <v>194</v>
      </c>
      <c r="B44" s="55">
        <v>0.102</v>
      </c>
      <c r="C44" s="55" t="s">
        <v>105</v>
      </c>
      <c r="D44" s="55" t="s">
        <v>201</v>
      </c>
      <c r="E44" s="57" t="s">
        <v>108</v>
      </c>
      <c r="F44" s="55" t="s">
        <v>200</v>
      </c>
      <c r="G44" s="47">
        <f t="shared" si="20"/>
        <v>375.23136</v>
      </c>
      <c r="H44" s="47">
        <f t="shared" si="21"/>
        <v>416.8195024</v>
      </c>
      <c r="I44" s="47">
        <f t="shared" si="22"/>
        <v>437.76992</v>
      </c>
      <c r="J44" s="47">
        <f t="shared" si="23"/>
        <v>111.405495911111</v>
      </c>
      <c r="K44" s="47">
        <f t="shared" si="24"/>
        <v>95.6405672444444</v>
      </c>
      <c r="L44" s="47">
        <f t="shared" si="25"/>
        <v>148.759799513889</v>
      </c>
      <c r="M44" s="47">
        <f t="shared" si="26"/>
        <v>143.493965902778</v>
      </c>
      <c r="N44" s="47">
        <f t="shared" si="27"/>
        <v>303.246871666667</v>
      </c>
      <c r="O44" s="47">
        <f t="shared" si="28"/>
        <v>90.4420494444444</v>
      </c>
      <c r="P44" s="47">
        <f t="shared" si="29"/>
        <v>85.4823942</v>
      </c>
      <c r="Q44" s="56">
        <v>31.26928</v>
      </c>
      <c r="R44" s="63"/>
      <c r="S44" s="38"/>
      <c r="T44" s="38"/>
    </row>
    <row r="45" s="1" customFormat="1" ht="17.4" spans="1:20">
      <c r="A45" s="55" t="s">
        <v>194</v>
      </c>
      <c r="B45" s="55">
        <v>0.102</v>
      </c>
      <c r="C45" s="55" t="s">
        <v>105</v>
      </c>
      <c r="D45" s="55" t="s">
        <v>106</v>
      </c>
      <c r="E45" s="57" t="s">
        <v>41</v>
      </c>
      <c r="F45" s="55" t="s">
        <v>200</v>
      </c>
      <c r="G45" s="47">
        <f t="shared" si="20"/>
        <v>446.55744</v>
      </c>
      <c r="H45" s="47">
        <f t="shared" si="21"/>
        <v>496.0508896</v>
      </c>
      <c r="I45" s="47">
        <f t="shared" si="22"/>
        <v>520.98368</v>
      </c>
      <c r="J45" s="47">
        <f t="shared" si="23"/>
        <v>132.582076977778</v>
      </c>
      <c r="K45" s="47">
        <f t="shared" si="24"/>
        <v>113.820462311111</v>
      </c>
      <c r="L45" s="47">
        <f t="shared" si="25"/>
        <v>177.036895972222</v>
      </c>
      <c r="M45" s="47">
        <f t="shared" si="26"/>
        <v>170.770103194444</v>
      </c>
      <c r="N45" s="47">
        <f t="shared" si="27"/>
        <v>360.889736666667</v>
      </c>
      <c r="O45" s="47">
        <f t="shared" si="28"/>
        <v>107.633781111111</v>
      </c>
      <c r="P45" s="47">
        <f t="shared" si="29"/>
        <v>101.7313668</v>
      </c>
      <c r="Q45" s="56">
        <v>37.21312</v>
      </c>
      <c r="R45" s="63"/>
      <c r="S45" s="38"/>
      <c r="T45" s="38"/>
    </row>
    <row r="46" s="1" customFormat="1" ht="17.4" spans="1:20">
      <c r="A46" s="55" t="s">
        <v>194</v>
      </c>
      <c r="B46" s="55">
        <v>0.12</v>
      </c>
      <c r="C46" s="55" t="s">
        <v>105</v>
      </c>
      <c r="D46" s="55" t="s">
        <v>195</v>
      </c>
      <c r="E46" s="55" t="s">
        <v>31</v>
      </c>
      <c r="F46" s="55" t="s">
        <v>39</v>
      </c>
      <c r="G46" s="47">
        <f t="shared" si="20"/>
        <v>204.09984</v>
      </c>
      <c r="H46" s="47">
        <f t="shared" si="21"/>
        <v>226.7209056</v>
      </c>
      <c r="I46" s="47">
        <f t="shared" si="22"/>
        <v>238.11648</v>
      </c>
      <c r="J46" s="47">
        <f t="shared" si="23"/>
        <v>60.5968645333333</v>
      </c>
      <c r="K46" s="47">
        <f t="shared" si="24"/>
        <v>52.0218365333333</v>
      </c>
      <c r="L46" s="47">
        <f t="shared" si="25"/>
        <v>80.9150154166667</v>
      </c>
      <c r="M46" s="47">
        <f t="shared" si="26"/>
        <v>78.0507670833333</v>
      </c>
      <c r="N46" s="47">
        <f t="shared" si="27"/>
        <v>164.94527</v>
      </c>
      <c r="O46" s="47">
        <f t="shared" si="28"/>
        <v>49.1942033333333</v>
      </c>
      <c r="P46" s="47">
        <f t="shared" si="29"/>
        <v>46.4964948</v>
      </c>
      <c r="Q46" s="56">
        <v>17.00832</v>
      </c>
      <c r="R46" s="63"/>
      <c r="S46" s="38"/>
      <c r="T46" s="38"/>
    </row>
    <row r="47" s="1" customFormat="1" ht="17.4" spans="1:20">
      <c r="A47" s="55" t="s">
        <v>194</v>
      </c>
      <c r="B47" s="55">
        <v>0.12</v>
      </c>
      <c r="C47" s="55" t="s">
        <v>105</v>
      </c>
      <c r="D47" s="55" t="s">
        <v>195</v>
      </c>
      <c r="E47" s="57" t="s">
        <v>34</v>
      </c>
      <c r="F47" s="55" t="s">
        <v>39</v>
      </c>
      <c r="G47" s="47">
        <f t="shared" si="20"/>
        <v>267.29472</v>
      </c>
      <c r="H47" s="47">
        <f t="shared" si="21"/>
        <v>296.9198848</v>
      </c>
      <c r="I47" s="47">
        <f t="shared" si="22"/>
        <v>311.84384</v>
      </c>
      <c r="J47" s="47">
        <f t="shared" si="23"/>
        <v>79.3593073777778</v>
      </c>
      <c r="K47" s="47">
        <f t="shared" si="24"/>
        <v>68.1292167111111</v>
      </c>
      <c r="L47" s="47">
        <f t="shared" si="25"/>
        <v>105.968512222222</v>
      </c>
      <c r="M47" s="47">
        <f t="shared" si="26"/>
        <v>102.217414444444</v>
      </c>
      <c r="N47" s="47">
        <f t="shared" si="27"/>
        <v>216.016826666667</v>
      </c>
      <c r="O47" s="47">
        <f t="shared" si="28"/>
        <v>64.4260711111111</v>
      </c>
      <c r="P47" s="47">
        <f t="shared" si="29"/>
        <v>60.8930784</v>
      </c>
      <c r="Q47" s="56">
        <v>22.27456</v>
      </c>
      <c r="R47" s="63"/>
      <c r="S47" s="38"/>
      <c r="T47" s="38"/>
    </row>
    <row r="48" s="1" customFormat="1" ht="17.4" spans="1:20">
      <c r="A48" s="55" t="s">
        <v>194</v>
      </c>
      <c r="B48" s="55">
        <v>0.127</v>
      </c>
      <c r="C48" s="55" t="s">
        <v>105</v>
      </c>
      <c r="D48" s="55" t="s">
        <v>195</v>
      </c>
      <c r="E48" s="55" t="s">
        <v>31</v>
      </c>
      <c r="F48" s="55" t="s">
        <v>39</v>
      </c>
      <c r="G48" s="47">
        <f t="shared" si="20"/>
        <v>208.48128</v>
      </c>
      <c r="H48" s="47">
        <f t="shared" si="21"/>
        <v>231.5879552</v>
      </c>
      <c r="I48" s="47">
        <f t="shared" si="22"/>
        <v>243.22816</v>
      </c>
      <c r="J48" s="47">
        <f t="shared" si="23"/>
        <v>61.8977059555556</v>
      </c>
      <c r="K48" s="47">
        <f t="shared" si="24"/>
        <v>53.1385966222222</v>
      </c>
      <c r="L48" s="47">
        <f t="shared" si="25"/>
        <v>82.6520294444445</v>
      </c>
      <c r="M48" s="47">
        <f t="shared" si="26"/>
        <v>79.7262938888889</v>
      </c>
      <c r="N48" s="47">
        <f t="shared" si="27"/>
        <v>168.486173333333</v>
      </c>
      <c r="O48" s="47">
        <f t="shared" si="28"/>
        <v>50.2502622222222</v>
      </c>
      <c r="P48" s="47">
        <f t="shared" si="29"/>
        <v>47.4946416</v>
      </c>
      <c r="Q48" s="56">
        <v>17.37344</v>
      </c>
      <c r="R48" s="63"/>
      <c r="S48" s="38"/>
      <c r="T48" s="38"/>
    </row>
    <row r="49" s="1" customFormat="1" ht="17.4" spans="1:20">
      <c r="A49" s="55" t="s">
        <v>194</v>
      </c>
      <c r="B49" s="55">
        <v>0.127</v>
      </c>
      <c r="C49" s="55" t="s">
        <v>105</v>
      </c>
      <c r="D49" s="55" t="s">
        <v>202</v>
      </c>
      <c r="E49" s="57" t="s">
        <v>107</v>
      </c>
      <c r="F49" s="55" t="s">
        <v>39</v>
      </c>
      <c r="G49" s="47">
        <f t="shared" si="20"/>
        <v>308.8512</v>
      </c>
      <c r="H49" s="47">
        <f t="shared" si="21"/>
        <v>343.082208</v>
      </c>
      <c r="I49" s="47">
        <f t="shared" si="22"/>
        <v>360.3264</v>
      </c>
      <c r="J49" s="47">
        <f t="shared" si="23"/>
        <v>91.6973493333333</v>
      </c>
      <c r="K49" s="47">
        <f t="shared" si="24"/>
        <v>78.7213093333333</v>
      </c>
      <c r="L49" s="47">
        <f t="shared" si="25"/>
        <v>122.443504166667</v>
      </c>
      <c r="M49" s="47">
        <f t="shared" si="26"/>
        <v>118.109220833333</v>
      </c>
      <c r="N49" s="47">
        <f t="shared" si="27"/>
        <v>249.6011</v>
      </c>
      <c r="O49" s="47">
        <f t="shared" si="28"/>
        <v>74.4424333333333</v>
      </c>
      <c r="P49" s="47">
        <f t="shared" si="29"/>
        <v>70.360164</v>
      </c>
      <c r="Q49" s="56">
        <v>25.7376</v>
      </c>
      <c r="R49" s="63"/>
      <c r="S49" s="38"/>
      <c r="T49" s="38"/>
    </row>
    <row r="50" s="1" customFormat="1" ht="17.4" spans="1:20">
      <c r="A50" s="55" t="s">
        <v>194</v>
      </c>
      <c r="B50" s="55">
        <v>0.127</v>
      </c>
      <c r="C50" s="55" t="s">
        <v>105</v>
      </c>
      <c r="D50" s="55" t="s">
        <v>195</v>
      </c>
      <c r="E50" s="57" t="s">
        <v>34</v>
      </c>
      <c r="F50" s="55" t="s">
        <v>39</v>
      </c>
      <c r="G50" s="47">
        <f t="shared" si="20"/>
        <v>274.92864</v>
      </c>
      <c r="H50" s="47">
        <f t="shared" si="21"/>
        <v>305.3998976</v>
      </c>
      <c r="I50" s="47">
        <f t="shared" si="22"/>
        <v>320.75008</v>
      </c>
      <c r="J50" s="47">
        <f t="shared" si="23"/>
        <v>81.6258040888889</v>
      </c>
      <c r="K50" s="47">
        <f t="shared" si="24"/>
        <v>70.0749827555556</v>
      </c>
      <c r="L50" s="47">
        <f t="shared" si="25"/>
        <v>108.994966111111</v>
      </c>
      <c r="M50" s="47">
        <f t="shared" si="26"/>
        <v>105.136737222222</v>
      </c>
      <c r="N50" s="47">
        <f t="shared" si="27"/>
        <v>222.186253333333</v>
      </c>
      <c r="O50" s="47">
        <f t="shared" si="28"/>
        <v>66.2660755555556</v>
      </c>
      <c r="P50" s="47">
        <f t="shared" si="29"/>
        <v>62.6321808</v>
      </c>
      <c r="Q50" s="56">
        <v>22.91072</v>
      </c>
      <c r="R50" s="63"/>
      <c r="S50" s="38"/>
      <c r="T50" s="38"/>
    </row>
    <row r="51" s="1" customFormat="1" ht="17.4" spans="1:20">
      <c r="A51" s="55" t="s">
        <v>194</v>
      </c>
      <c r="B51" s="55">
        <v>0.127</v>
      </c>
      <c r="C51" s="55" t="s">
        <v>105</v>
      </c>
      <c r="D51" s="55" t="s">
        <v>195</v>
      </c>
      <c r="E51" s="55" t="s">
        <v>31</v>
      </c>
      <c r="F51" s="55" t="s">
        <v>200</v>
      </c>
      <c r="G51" s="47">
        <f t="shared" si="20"/>
        <v>235.79136</v>
      </c>
      <c r="H51" s="47">
        <f t="shared" si="21"/>
        <v>261.9249024</v>
      </c>
      <c r="I51" s="47">
        <f t="shared" si="22"/>
        <v>275.08992</v>
      </c>
      <c r="J51" s="47">
        <f t="shared" si="23"/>
        <v>70.0060181333333</v>
      </c>
      <c r="K51" s="47">
        <f t="shared" si="24"/>
        <v>60.0995061333333</v>
      </c>
      <c r="L51" s="47">
        <f t="shared" si="25"/>
        <v>93.4790616666667</v>
      </c>
      <c r="M51" s="47">
        <f t="shared" si="26"/>
        <v>90.1700683333333</v>
      </c>
      <c r="N51" s="47">
        <f t="shared" si="27"/>
        <v>190.55708</v>
      </c>
      <c r="O51" s="47">
        <f t="shared" si="28"/>
        <v>56.8328133333333</v>
      </c>
      <c r="P51" s="47">
        <f t="shared" si="29"/>
        <v>53.7162192</v>
      </c>
      <c r="Q51" s="56">
        <v>19.64928</v>
      </c>
      <c r="R51" s="63"/>
      <c r="S51" s="38"/>
      <c r="T51" s="38"/>
    </row>
    <row r="52" s="1" customFormat="1" ht="17.4" spans="1:20">
      <c r="A52" s="55" t="s">
        <v>194</v>
      </c>
      <c r="B52" s="55">
        <v>0.127</v>
      </c>
      <c r="C52" s="55" t="s">
        <v>105</v>
      </c>
      <c r="D52" s="55" t="s">
        <v>195</v>
      </c>
      <c r="E52" s="57" t="s">
        <v>34</v>
      </c>
      <c r="F52" s="55" t="s">
        <v>200</v>
      </c>
      <c r="G52" s="47">
        <f t="shared" si="20"/>
        <v>303.77088</v>
      </c>
      <c r="H52" s="47">
        <f t="shared" si="21"/>
        <v>337.4388192</v>
      </c>
      <c r="I52" s="47">
        <f t="shared" si="22"/>
        <v>354.39936</v>
      </c>
      <c r="J52" s="47">
        <f t="shared" si="23"/>
        <v>90.1890117333333</v>
      </c>
      <c r="K52" s="47">
        <f t="shared" si="24"/>
        <v>77.4264157333333</v>
      </c>
      <c r="L52" s="47">
        <f t="shared" si="25"/>
        <v>120.429420416667</v>
      </c>
      <c r="M52" s="47">
        <f t="shared" si="26"/>
        <v>116.166432083333</v>
      </c>
      <c r="N52" s="47">
        <f t="shared" si="27"/>
        <v>245.49539</v>
      </c>
      <c r="O52" s="47">
        <f t="shared" si="28"/>
        <v>73.2179233333333</v>
      </c>
      <c r="P52" s="47">
        <f t="shared" si="29"/>
        <v>69.2028036</v>
      </c>
      <c r="Q52" s="56">
        <v>25.31424</v>
      </c>
      <c r="R52" s="63"/>
      <c r="S52" s="38"/>
      <c r="T52" s="38"/>
    </row>
    <row r="53" s="1" customFormat="1" ht="17.4" spans="1:20">
      <c r="A53" s="55" t="s">
        <v>194</v>
      </c>
      <c r="B53" s="55">
        <v>0.127</v>
      </c>
      <c r="C53" s="55" t="s">
        <v>105</v>
      </c>
      <c r="D53" s="55" t="s">
        <v>195</v>
      </c>
      <c r="E53" s="55" t="s">
        <v>31</v>
      </c>
      <c r="F53" s="55" t="s">
        <v>40</v>
      </c>
      <c r="G53" s="47">
        <f t="shared" si="20"/>
        <v>221.37024</v>
      </c>
      <c r="H53" s="47">
        <f t="shared" si="21"/>
        <v>245.9054416</v>
      </c>
      <c r="I53" s="47">
        <f t="shared" si="22"/>
        <v>258.26528</v>
      </c>
      <c r="J53" s="47">
        <f t="shared" si="23"/>
        <v>65.7244143111111</v>
      </c>
      <c r="K53" s="47">
        <f t="shared" si="24"/>
        <v>56.4237896444444</v>
      </c>
      <c r="L53" s="47">
        <f t="shared" si="25"/>
        <v>87.7618345138889</v>
      </c>
      <c r="M53" s="47">
        <f t="shared" si="26"/>
        <v>84.6552209027778</v>
      </c>
      <c r="N53" s="47">
        <f t="shared" si="27"/>
        <v>178.902511666667</v>
      </c>
      <c r="O53" s="47">
        <f t="shared" si="28"/>
        <v>53.3568894444444</v>
      </c>
      <c r="P53" s="47">
        <f t="shared" si="29"/>
        <v>50.4309078</v>
      </c>
      <c r="Q53" s="56">
        <v>18.44752</v>
      </c>
      <c r="R53" s="63"/>
      <c r="S53" s="38"/>
      <c r="T53" s="38"/>
    </row>
    <row r="54" s="1" customFormat="1" ht="17.4" spans="1:20">
      <c r="A54" s="55" t="s">
        <v>194</v>
      </c>
      <c r="B54" s="55">
        <v>0.127</v>
      </c>
      <c r="C54" s="55" t="s">
        <v>105</v>
      </c>
      <c r="D54" s="55" t="s">
        <v>195</v>
      </c>
      <c r="E54" s="57" t="s">
        <v>34</v>
      </c>
      <c r="F54" s="55" t="s">
        <v>40</v>
      </c>
      <c r="G54" s="47">
        <f t="shared" si="20"/>
        <v>286.72896</v>
      </c>
      <c r="H54" s="47">
        <f t="shared" si="21"/>
        <v>318.5080864</v>
      </c>
      <c r="I54" s="47">
        <f t="shared" si="22"/>
        <v>334.51712</v>
      </c>
      <c r="J54" s="47">
        <f t="shared" si="23"/>
        <v>85.1292972444444</v>
      </c>
      <c r="K54" s="47">
        <f t="shared" si="24"/>
        <v>73.0826985777778</v>
      </c>
      <c r="L54" s="47">
        <f t="shared" si="25"/>
        <v>113.673181805556</v>
      </c>
      <c r="M54" s="47">
        <f t="shared" si="26"/>
        <v>109.649352361111</v>
      </c>
      <c r="N54" s="47">
        <f t="shared" si="27"/>
        <v>231.722796666667</v>
      </c>
      <c r="O54" s="47">
        <f t="shared" si="28"/>
        <v>69.1103077777778</v>
      </c>
      <c r="P54" s="47">
        <f t="shared" si="29"/>
        <v>65.3204412</v>
      </c>
      <c r="Q54" s="56">
        <v>23.89408</v>
      </c>
      <c r="R54" s="63"/>
      <c r="S54" s="38"/>
      <c r="T54" s="38"/>
    </row>
    <row r="55" s="1" customFormat="1" ht="17.4" spans="1:20">
      <c r="A55" s="55" t="s">
        <v>194</v>
      </c>
      <c r="B55" s="55">
        <v>0.127</v>
      </c>
      <c r="C55" s="55" t="s">
        <v>105</v>
      </c>
      <c r="D55" s="55" t="s">
        <v>195</v>
      </c>
      <c r="E55" s="55" t="s">
        <v>31</v>
      </c>
      <c r="F55" s="55" t="s">
        <v>203</v>
      </c>
      <c r="G55" s="47">
        <f t="shared" si="20"/>
        <v>223.68192</v>
      </c>
      <c r="H55" s="47">
        <f t="shared" si="21"/>
        <v>248.4733328</v>
      </c>
      <c r="I55" s="47">
        <f t="shared" si="22"/>
        <v>260.96224</v>
      </c>
      <c r="J55" s="47">
        <f t="shared" si="23"/>
        <v>66.4107478222222</v>
      </c>
      <c r="K55" s="47">
        <f t="shared" si="24"/>
        <v>57.0130004888889</v>
      </c>
      <c r="L55" s="47">
        <f t="shared" si="25"/>
        <v>88.6782959027778</v>
      </c>
      <c r="M55" s="47">
        <f t="shared" si="26"/>
        <v>85.5392411805556</v>
      </c>
      <c r="N55" s="47">
        <f t="shared" si="27"/>
        <v>180.770718333333</v>
      </c>
      <c r="O55" s="47">
        <f t="shared" si="28"/>
        <v>53.9140738888889</v>
      </c>
      <c r="P55" s="47">
        <f t="shared" si="29"/>
        <v>50.9575374</v>
      </c>
      <c r="Q55" s="56">
        <v>18.64016</v>
      </c>
      <c r="R55" s="63"/>
      <c r="S55" s="38"/>
      <c r="T55" s="38"/>
    </row>
    <row r="56" s="1" customFormat="1" ht="17.4" spans="1:20">
      <c r="A56" s="55" t="s">
        <v>194</v>
      </c>
      <c r="B56" s="55">
        <v>0.127</v>
      </c>
      <c r="C56" s="55" t="s">
        <v>105</v>
      </c>
      <c r="D56" s="55" t="s">
        <v>195</v>
      </c>
      <c r="E56" s="57" t="s">
        <v>34</v>
      </c>
      <c r="F56" s="55" t="s">
        <v>203</v>
      </c>
      <c r="G56" s="47">
        <f t="shared" si="20"/>
        <v>288.14016</v>
      </c>
      <c r="H56" s="47">
        <f t="shared" si="21"/>
        <v>320.0756944</v>
      </c>
      <c r="I56" s="47">
        <f t="shared" si="22"/>
        <v>336.16352</v>
      </c>
      <c r="J56" s="47">
        <f t="shared" si="23"/>
        <v>85.5482799111111</v>
      </c>
      <c r="K56" s="47">
        <f t="shared" si="24"/>
        <v>73.4423912444445</v>
      </c>
      <c r="L56" s="47">
        <f t="shared" si="25"/>
        <v>114.232649513889</v>
      </c>
      <c r="M56" s="47">
        <f t="shared" si="26"/>
        <v>110.189015902778</v>
      </c>
      <c r="N56" s="47">
        <f t="shared" si="27"/>
        <v>232.863271666667</v>
      </c>
      <c r="O56" s="47">
        <f t="shared" si="28"/>
        <v>69.4504494444444</v>
      </c>
      <c r="P56" s="47">
        <f t="shared" si="29"/>
        <v>65.6419302</v>
      </c>
      <c r="Q56" s="56">
        <v>24.01168</v>
      </c>
      <c r="R56" s="63"/>
      <c r="S56" s="38"/>
      <c r="T56" s="38"/>
    </row>
    <row r="57" s="1" customFormat="1" ht="17.4" spans="1:20">
      <c r="A57" s="55" t="s">
        <v>194</v>
      </c>
      <c r="B57" s="55">
        <v>0.127</v>
      </c>
      <c r="C57" s="55" t="s">
        <v>105</v>
      </c>
      <c r="D57" s="55" t="s">
        <v>106</v>
      </c>
      <c r="E57" s="57" t="s">
        <v>41</v>
      </c>
      <c r="F57" s="55" t="s">
        <v>203</v>
      </c>
      <c r="G57" s="47">
        <f t="shared" si="20"/>
        <v>362.75904</v>
      </c>
      <c r="H57" s="47">
        <f t="shared" si="21"/>
        <v>402.9648336</v>
      </c>
      <c r="I57" s="47">
        <f t="shared" si="22"/>
        <v>423.21888</v>
      </c>
      <c r="J57" s="47">
        <f t="shared" si="23"/>
        <v>107.7024872</v>
      </c>
      <c r="K57" s="47">
        <f t="shared" si="24"/>
        <v>92.4615692</v>
      </c>
      <c r="L57" s="47">
        <f t="shared" si="25"/>
        <v>143.815170625</v>
      </c>
      <c r="M57" s="47">
        <f t="shared" si="26"/>
        <v>138.724368125</v>
      </c>
      <c r="N57" s="47">
        <f t="shared" si="27"/>
        <v>293.167245</v>
      </c>
      <c r="O57" s="47">
        <f t="shared" si="28"/>
        <v>87.435845</v>
      </c>
      <c r="P57" s="47">
        <f t="shared" si="29"/>
        <v>82.6410438</v>
      </c>
      <c r="Q57" s="56">
        <v>30.22992</v>
      </c>
      <c r="R57" s="63"/>
      <c r="S57" s="38"/>
      <c r="T57" s="38"/>
    </row>
    <row r="58" s="1" customFormat="1" ht="17.4" spans="1:20">
      <c r="A58" s="55" t="s">
        <v>194</v>
      </c>
      <c r="B58" s="55">
        <v>0.145</v>
      </c>
      <c r="C58" s="55" t="s">
        <v>105</v>
      </c>
      <c r="D58" s="55" t="s">
        <v>195</v>
      </c>
      <c r="E58" s="55" t="s">
        <v>31</v>
      </c>
      <c r="F58" s="55" t="s">
        <v>203</v>
      </c>
      <c r="G58" s="47">
        <f t="shared" si="20"/>
        <v>233.10336</v>
      </c>
      <c r="H58" s="47">
        <f t="shared" si="21"/>
        <v>258.9389824</v>
      </c>
      <c r="I58" s="47">
        <f t="shared" si="22"/>
        <v>271.95392</v>
      </c>
      <c r="J58" s="47">
        <f t="shared" si="23"/>
        <v>69.2079559111111</v>
      </c>
      <c r="K58" s="47">
        <f t="shared" si="24"/>
        <v>59.4143772444445</v>
      </c>
      <c r="L58" s="47">
        <f t="shared" si="25"/>
        <v>92.4134088888889</v>
      </c>
      <c r="M58" s="47">
        <f t="shared" si="26"/>
        <v>89.1421377777778</v>
      </c>
      <c r="N58" s="47">
        <f t="shared" si="27"/>
        <v>188.384746666667</v>
      </c>
      <c r="O58" s="47">
        <f t="shared" si="28"/>
        <v>56.1849244444445</v>
      </c>
      <c r="P58" s="47">
        <f t="shared" si="29"/>
        <v>53.1038592</v>
      </c>
      <c r="Q58" s="56">
        <v>19.42528</v>
      </c>
      <c r="R58" s="63"/>
      <c r="S58" s="38"/>
      <c r="T58" s="38"/>
    </row>
    <row r="59" s="1" customFormat="1" ht="17.4" spans="1:20">
      <c r="A59" s="55" t="s">
        <v>194</v>
      </c>
      <c r="B59" s="55">
        <v>0.145</v>
      </c>
      <c r="C59" s="55" t="s">
        <v>105</v>
      </c>
      <c r="D59" s="55" t="s">
        <v>195</v>
      </c>
      <c r="E59" s="57" t="s">
        <v>34</v>
      </c>
      <c r="F59" s="55" t="s">
        <v>203</v>
      </c>
      <c r="G59" s="47">
        <f t="shared" si="20"/>
        <v>299.12064</v>
      </c>
      <c r="H59" s="47">
        <f t="shared" si="21"/>
        <v>332.2731776</v>
      </c>
      <c r="I59" s="47">
        <f t="shared" si="22"/>
        <v>348.97408</v>
      </c>
      <c r="J59" s="47">
        <f t="shared" si="23"/>
        <v>88.8083640888889</v>
      </c>
      <c r="K59" s="47">
        <f t="shared" si="24"/>
        <v>76.2411427555556</v>
      </c>
      <c r="L59" s="47">
        <f t="shared" si="25"/>
        <v>118.585841111111</v>
      </c>
      <c r="M59" s="47">
        <f t="shared" si="26"/>
        <v>114.388112222222</v>
      </c>
      <c r="N59" s="47">
        <f t="shared" si="27"/>
        <v>241.737253333333</v>
      </c>
      <c r="O59" s="47">
        <f t="shared" si="28"/>
        <v>72.0970755555556</v>
      </c>
      <c r="P59" s="47">
        <f t="shared" si="29"/>
        <v>68.1434208</v>
      </c>
      <c r="Q59" s="56">
        <v>24.92672</v>
      </c>
      <c r="R59" s="63"/>
      <c r="S59" s="38"/>
      <c r="T59" s="38"/>
    </row>
    <row r="60" s="1" customFormat="1" ht="17.4" spans="1:20">
      <c r="A60" s="55" t="s">
        <v>194</v>
      </c>
      <c r="B60" s="55">
        <v>0.145</v>
      </c>
      <c r="C60" s="55" t="s">
        <v>105</v>
      </c>
      <c r="D60" s="55" t="s">
        <v>201</v>
      </c>
      <c r="E60" s="57" t="s">
        <v>109</v>
      </c>
      <c r="F60" s="55" t="s">
        <v>203</v>
      </c>
      <c r="G60" s="47">
        <f t="shared" ref="G60:G72" si="30">Q60*12</f>
        <v>346.7112</v>
      </c>
      <c r="H60" s="47">
        <f t="shared" ref="H60:H72" si="31">Q60*13.33</f>
        <v>385.138358</v>
      </c>
      <c r="I60" s="47">
        <f t="shared" ref="I60:I72" si="32">Q60*14</f>
        <v>404.4964</v>
      </c>
      <c r="J60" s="47">
        <f t="shared" ref="J60:J72" si="33">21.2*24.2/144*Q60</f>
        <v>102.937913222222</v>
      </c>
      <c r="K60" s="47">
        <f t="shared" ref="K60:K72" si="34">18.2*24.2/144*Q60</f>
        <v>88.3712273888889</v>
      </c>
      <c r="L60" s="47">
        <f t="shared" ref="L60:L72" si="35">28.25*24.25/144*Q60</f>
        <v>137.453033246528</v>
      </c>
      <c r="M60" s="47">
        <f t="shared" ref="M60:M72" si="36">27.25*24.25/144*Q60</f>
        <v>132.587439149306</v>
      </c>
      <c r="N60" s="47">
        <f t="shared" ref="N60:N72" si="37">28.5*49/144*Q60</f>
        <v>280.198027083333</v>
      </c>
      <c r="O60" s="47">
        <f t="shared" ref="O60:O72" si="38">17*24.5/144*Q60</f>
        <v>83.5678326388889</v>
      </c>
      <c r="P60" s="47">
        <f t="shared" ref="P60:P72" si="39">24.3*16.2/144*Q60</f>
        <v>78.98514525</v>
      </c>
      <c r="Q60" s="56">
        <v>28.8926</v>
      </c>
      <c r="R60" s="63"/>
      <c r="S60" s="38"/>
      <c r="T60" s="38"/>
    </row>
    <row r="61" s="1" customFormat="1" ht="17.4" spans="1:20">
      <c r="A61" s="55" t="s">
        <v>194</v>
      </c>
      <c r="B61" s="55">
        <v>0.152</v>
      </c>
      <c r="C61" s="55" t="s">
        <v>105</v>
      </c>
      <c r="D61" s="55" t="s">
        <v>195</v>
      </c>
      <c r="E61" s="55" t="s">
        <v>31</v>
      </c>
      <c r="F61" s="55" t="s">
        <v>40</v>
      </c>
      <c r="G61" s="47">
        <f t="shared" si="30"/>
        <v>239.33952</v>
      </c>
      <c r="H61" s="47">
        <f t="shared" si="31"/>
        <v>265.8663168</v>
      </c>
      <c r="I61" s="47">
        <f t="shared" si="32"/>
        <v>279.22944</v>
      </c>
      <c r="J61" s="47">
        <f t="shared" si="33"/>
        <v>71.0594602666667</v>
      </c>
      <c r="K61" s="47">
        <f t="shared" si="34"/>
        <v>61.0038762666667</v>
      </c>
      <c r="L61" s="47">
        <f t="shared" si="35"/>
        <v>94.8857233333333</v>
      </c>
      <c r="M61" s="47">
        <f t="shared" si="36"/>
        <v>91.5269366666667</v>
      </c>
      <c r="N61" s="47">
        <f t="shared" si="37"/>
        <v>193.42456</v>
      </c>
      <c r="O61" s="47">
        <f t="shared" si="38"/>
        <v>57.6880266666667</v>
      </c>
      <c r="P61" s="47">
        <f t="shared" si="39"/>
        <v>54.5245344</v>
      </c>
      <c r="Q61" s="56">
        <v>19.94496</v>
      </c>
      <c r="R61" s="63"/>
      <c r="S61" s="38"/>
      <c r="T61" s="38"/>
    </row>
    <row r="62" s="1" customFormat="1" ht="17.4" spans="1:20">
      <c r="A62" s="55" t="s">
        <v>194</v>
      </c>
      <c r="B62" s="55">
        <v>0.152</v>
      </c>
      <c r="C62" s="55" t="s">
        <v>105</v>
      </c>
      <c r="D62" s="55" t="s">
        <v>195</v>
      </c>
      <c r="E62" s="57" t="s">
        <v>34</v>
      </c>
      <c r="F62" s="55" t="s">
        <v>40</v>
      </c>
      <c r="G62" s="47">
        <f t="shared" si="30"/>
        <v>314.54976</v>
      </c>
      <c r="H62" s="47">
        <f t="shared" si="31"/>
        <v>349.4123584</v>
      </c>
      <c r="I62" s="47">
        <f t="shared" si="32"/>
        <v>366.97472</v>
      </c>
      <c r="J62" s="47">
        <f t="shared" si="33"/>
        <v>93.3892412444444</v>
      </c>
      <c r="K62" s="47">
        <f t="shared" si="34"/>
        <v>80.1737825777778</v>
      </c>
      <c r="L62" s="47">
        <f t="shared" si="35"/>
        <v>124.702688055556</v>
      </c>
      <c r="M62" s="47">
        <f t="shared" si="36"/>
        <v>120.288433611111</v>
      </c>
      <c r="N62" s="47">
        <f t="shared" si="37"/>
        <v>254.206446666667</v>
      </c>
      <c r="O62" s="47">
        <f t="shared" si="38"/>
        <v>75.8159577777778</v>
      </c>
      <c r="P62" s="47">
        <f t="shared" si="39"/>
        <v>71.6583672</v>
      </c>
      <c r="Q62" s="56">
        <v>26.21248</v>
      </c>
      <c r="R62" s="63"/>
      <c r="S62" s="38"/>
      <c r="T62" s="38"/>
    </row>
    <row r="63" s="1" customFormat="1" ht="17.4" spans="1:20">
      <c r="A63" s="55" t="s">
        <v>194</v>
      </c>
      <c r="B63" s="55">
        <v>0.152</v>
      </c>
      <c r="C63" s="55" t="s">
        <v>105</v>
      </c>
      <c r="D63" s="55" t="s">
        <v>201</v>
      </c>
      <c r="E63" s="57" t="s">
        <v>109</v>
      </c>
      <c r="F63" s="55" t="s">
        <v>40</v>
      </c>
      <c r="G63" s="47">
        <f t="shared" si="30"/>
        <v>345.24672</v>
      </c>
      <c r="H63" s="47">
        <f t="shared" si="31"/>
        <v>383.5115648</v>
      </c>
      <c r="I63" s="47">
        <f t="shared" si="32"/>
        <v>402.78784</v>
      </c>
      <c r="J63" s="47">
        <f t="shared" si="33"/>
        <v>102.503111822222</v>
      </c>
      <c r="K63" s="47">
        <f t="shared" si="34"/>
        <v>87.9979544888889</v>
      </c>
      <c r="L63" s="47">
        <f t="shared" si="35"/>
        <v>136.872442777778</v>
      </c>
      <c r="M63" s="47">
        <f t="shared" si="36"/>
        <v>132.027400555556</v>
      </c>
      <c r="N63" s="47">
        <f t="shared" si="37"/>
        <v>279.014493333333</v>
      </c>
      <c r="O63" s="47">
        <f t="shared" si="38"/>
        <v>83.2148488888889</v>
      </c>
      <c r="P63" s="47">
        <f t="shared" si="39"/>
        <v>78.6515184</v>
      </c>
      <c r="Q63" s="56">
        <v>28.77056</v>
      </c>
      <c r="R63" s="63"/>
      <c r="S63" s="38"/>
      <c r="T63" s="38"/>
    </row>
    <row r="64" s="1" customFormat="1" ht="17.4" spans="1:20">
      <c r="A64" s="55" t="s">
        <v>194</v>
      </c>
      <c r="B64" s="55">
        <v>0.152</v>
      </c>
      <c r="C64" s="55" t="s">
        <v>105</v>
      </c>
      <c r="D64" s="55" t="s">
        <v>195</v>
      </c>
      <c r="E64" s="55" t="s">
        <v>31</v>
      </c>
      <c r="F64" s="55" t="s">
        <v>203</v>
      </c>
      <c r="G64" s="47">
        <f t="shared" si="30"/>
        <v>241.4496</v>
      </c>
      <c r="H64" s="47">
        <f t="shared" si="31"/>
        <v>268.210264</v>
      </c>
      <c r="I64" s="47">
        <f t="shared" si="32"/>
        <v>281.6912</v>
      </c>
      <c r="J64" s="47">
        <f t="shared" si="33"/>
        <v>71.6859391111111</v>
      </c>
      <c r="K64" s="47">
        <f t="shared" si="34"/>
        <v>61.5417024444444</v>
      </c>
      <c r="L64" s="47">
        <f t="shared" si="35"/>
        <v>95.7222607638889</v>
      </c>
      <c r="M64" s="47">
        <f t="shared" si="36"/>
        <v>92.3338621527778</v>
      </c>
      <c r="N64" s="47">
        <f t="shared" si="37"/>
        <v>195.129841666667</v>
      </c>
      <c r="O64" s="47">
        <f t="shared" si="38"/>
        <v>58.1966194444445</v>
      </c>
      <c r="P64" s="47">
        <f t="shared" si="39"/>
        <v>55.005237</v>
      </c>
      <c r="Q64" s="56">
        <v>20.1208</v>
      </c>
      <c r="R64" s="63"/>
      <c r="S64" s="38"/>
      <c r="T64" s="38"/>
    </row>
    <row r="65" s="1" customFormat="1" ht="17.4" spans="1:20">
      <c r="A65" s="55" t="s">
        <v>194</v>
      </c>
      <c r="B65" s="55">
        <v>0.152</v>
      </c>
      <c r="C65" s="55" t="s">
        <v>105</v>
      </c>
      <c r="D65" s="55" t="s">
        <v>195</v>
      </c>
      <c r="E65" s="57" t="s">
        <v>107</v>
      </c>
      <c r="F65" s="55" t="s">
        <v>203</v>
      </c>
      <c r="G65" s="47">
        <f t="shared" si="30"/>
        <v>289.99488</v>
      </c>
      <c r="H65" s="47">
        <f t="shared" si="31"/>
        <v>322.1359792</v>
      </c>
      <c r="I65" s="47">
        <f t="shared" si="32"/>
        <v>338.32736</v>
      </c>
      <c r="J65" s="47">
        <f t="shared" si="33"/>
        <v>86.0989428444445</v>
      </c>
      <c r="K65" s="47">
        <f t="shared" si="34"/>
        <v>73.9151301777778</v>
      </c>
      <c r="L65" s="47">
        <f t="shared" si="35"/>
        <v>114.967949930556</v>
      </c>
      <c r="M65" s="47">
        <f t="shared" si="36"/>
        <v>110.898287986111</v>
      </c>
      <c r="N65" s="47">
        <f t="shared" si="37"/>
        <v>234.362181666667</v>
      </c>
      <c r="O65" s="47">
        <f t="shared" si="38"/>
        <v>69.8974927777778</v>
      </c>
      <c r="P65" s="47">
        <f t="shared" si="39"/>
        <v>66.0644586</v>
      </c>
      <c r="Q65" s="56">
        <v>24.16624</v>
      </c>
      <c r="R65" s="63"/>
      <c r="S65" s="38"/>
      <c r="T65" s="38"/>
    </row>
    <row r="66" s="1" customFormat="1" ht="17.4" spans="1:20">
      <c r="A66" s="55" t="s">
        <v>194</v>
      </c>
      <c r="B66" s="55">
        <v>0.152</v>
      </c>
      <c r="C66" s="55" t="s">
        <v>105</v>
      </c>
      <c r="D66" s="55" t="s">
        <v>195</v>
      </c>
      <c r="E66" s="57" t="s">
        <v>34</v>
      </c>
      <c r="F66" s="55" t="s">
        <v>203</v>
      </c>
      <c r="G66" s="47">
        <f t="shared" si="30"/>
        <v>310.54464</v>
      </c>
      <c r="H66" s="47">
        <f t="shared" si="31"/>
        <v>344.9633376</v>
      </c>
      <c r="I66" s="47">
        <f t="shared" si="32"/>
        <v>362.30208</v>
      </c>
      <c r="J66" s="47">
        <f t="shared" si="33"/>
        <v>92.2001285333333</v>
      </c>
      <c r="K66" s="47">
        <f t="shared" si="34"/>
        <v>79.1529405333333</v>
      </c>
      <c r="L66" s="47">
        <f t="shared" si="35"/>
        <v>123.114865416667</v>
      </c>
      <c r="M66" s="47">
        <f t="shared" si="36"/>
        <v>118.756817083333</v>
      </c>
      <c r="N66" s="47">
        <f t="shared" si="37"/>
        <v>250.96967</v>
      </c>
      <c r="O66" s="47">
        <f t="shared" si="38"/>
        <v>74.8506033333334</v>
      </c>
      <c r="P66" s="47">
        <f t="shared" si="39"/>
        <v>70.7459508</v>
      </c>
      <c r="Q66" s="56">
        <v>25.87872</v>
      </c>
      <c r="R66" s="63"/>
      <c r="S66" s="38"/>
      <c r="T66" s="38"/>
    </row>
    <row r="67" s="1" customFormat="1" ht="17.4" spans="1:20">
      <c r="A67" s="55" t="s">
        <v>194</v>
      </c>
      <c r="B67" s="55">
        <v>0.152</v>
      </c>
      <c r="C67" s="55" t="s">
        <v>105</v>
      </c>
      <c r="D67" s="55" t="s">
        <v>201</v>
      </c>
      <c r="E67" s="57" t="s">
        <v>109</v>
      </c>
      <c r="F67" s="55" t="s">
        <v>203</v>
      </c>
      <c r="G67" s="47">
        <f t="shared" si="30"/>
        <v>345.24672</v>
      </c>
      <c r="H67" s="47">
        <f t="shared" si="31"/>
        <v>383.5115648</v>
      </c>
      <c r="I67" s="47">
        <f t="shared" si="32"/>
        <v>402.78784</v>
      </c>
      <c r="J67" s="47">
        <f t="shared" si="33"/>
        <v>102.503111822222</v>
      </c>
      <c r="K67" s="47">
        <f t="shared" si="34"/>
        <v>87.9979544888889</v>
      </c>
      <c r="L67" s="47">
        <f t="shared" si="35"/>
        <v>136.872442777778</v>
      </c>
      <c r="M67" s="47">
        <f t="shared" si="36"/>
        <v>132.027400555556</v>
      </c>
      <c r="N67" s="47">
        <f t="shared" si="37"/>
        <v>279.014493333333</v>
      </c>
      <c r="O67" s="47">
        <f t="shared" si="38"/>
        <v>83.2148488888889</v>
      </c>
      <c r="P67" s="47">
        <f t="shared" si="39"/>
        <v>78.6515184</v>
      </c>
      <c r="Q67" s="56">
        <v>28.77056</v>
      </c>
      <c r="R67" s="63"/>
      <c r="S67" s="38"/>
      <c r="T67" s="38"/>
    </row>
    <row r="68" s="1" customFormat="1" ht="17.4" spans="1:20">
      <c r="A68" s="55" t="s">
        <v>194</v>
      </c>
      <c r="B68" s="55">
        <v>0.178</v>
      </c>
      <c r="C68" s="55" t="s">
        <v>105</v>
      </c>
      <c r="D68" s="55" t="s">
        <v>195</v>
      </c>
      <c r="E68" s="55" t="s">
        <v>31</v>
      </c>
      <c r="F68" s="55" t="s">
        <v>203</v>
      </c>
      <c r="G68" s="47">
        <f t="shared" si="30"/>
        <v>254.87616</v>
      </c>
      <c r="H68" s="47">
        <f t="shared" si="31"/>
        <v>283.1249344</v>
      </c>
      <c r="I68" s="47">
        <f t="shared" si="32"/>
        <v>297.35552</v>
      </c>
      <c r="J68" s="47">
        <f t="shared" si="33"/>
        <v>75.6722599111111</v>
      </c>
      <c r="K68" s="47">
        <f t="shared" si="34"/>
        <v>64.9639212444444</v>
      </c>
      <c r="L68" s="47">
        <f t="shared" si="35"/>
        <v>101.045196388889</v>
      </c>
      <c r="M68" s="47">
        <f t="shared" si="36"/>
        <v>97.4683752777778</v>
      </c>
      <c r="N68" s="47">
        <f t="shared" si="37"/>
        <v>205.980646666667</v>
      </c>
      <c r="O68" s="47">
        <f t="shared" si="38"/>
        <v>61.4328244444444</v>
      </c>
      <c r="P68" s="47">
        <f t="shared" si="39"/>
        <v>58.0639752</v>
      </c>
      <c r="Q68" s="56">
        <v>21.23968</v>
      </c>
      <c r="R68" s="63"/>
      <c r="S68" s="38"/>
      <c r="T68" s="38"/>
    </row>
    <row r="69" s="1" customFormat="1" ht="17.4" spans="1:20">
      <c r="A69" s="55" t="s">
        <v>194</v>
      </c>
      <c r="B69" s="55">
        <v>0.178</v>
      </c>
      <c r="C69" s="55" t="s">
        <v>105</v>
      </c>
      <c r="D69" s="55" t="s">
        <v>195</v>
      </c>
      <c r="E69" s="57" t="s">
        <v>34</v>
      </c>
      <c r="F69" s="55" t="s">
        <v>203</v>
      </c>
      <c r="G69" s="47">
        <f t="shared" si="30"/>
        <v>333.32544</v>
      </c>
      <c r="H69" s="47">
        <f t="shared" si="31"/>
        <v>370.2690096</v>
      </c>
      <c r="I69" s="47">
        <f t="shared" si="32"/>
        <v>388.87968</v>
      </c>
      <c r="J69" s="47">
        <f t="shared" si="33"/>
        <v>98.9637058666667</v>
      </c>
      <c r="K69" s="47">
        <f t="shared" si="34"/>
        <v>84.9594078666667</v>
      </c>
      <c r="L69" s="47">
        <f t="shared" si="35"/>
        <v>132.146272708333</v>
      </c>
      <c r="M69" s="47">
        <f t="shared" si="36"/>
        <v>127.468528541667</v>
      </c>
      <c r="N69" s="47">
        <f t="shared" si="37"/>
        <v>269.380195</v>
      </c>
      <c r="O69" s="47">
        <f t="shared" si="38"/>
        <v>80.3414616666667</v>
      </c>
      <c r="P69" s="47">
        <f t="shared" si="39"/>
        <v>75.9357018</v>
      </c>
      <c r="Q69" s="56">
        <v>27.77712</v>
      </c>
      <c r="R69" s="63"/>
      <c r="S69" s="38"/>
      <c r="T69" s="38"/>
    </row>
    <row r="70" s="1" customFormat="1" ht="17.4" spans="1:20">
      <c r="A70" s="55" t="s">
        <v>194</v>
      </c>
      <c r="B70" s="55">
        <v>0.203</v>
      </c>
      <c r="C70" s="55" t="s">
        <v>105</v>
      </c>
      <c r="D70" s="55" t="s">
        <v>195</v>
      </c>
      <c r="E70" s="55" t="s">
        <v>31</v>
      </c>
      <c r="F70" s="55" t="s">
        <v>44</v>
      </c>
      <c r="G70" s="47">
        <f t="shared" si="30"/>
        <v>270.96384</v>
      </c>
      <c r="H70" s="47">
        <f t="shared" si="31"/>
        <v>300.9956656</v>
      </c>
      <c r="I70" s="47">
        <f t="shared" si="32"/>
        <v>316.12448</v>
      </c>
      <c r="J70" s="47">
        <f t="shared" si="33"/>
        <v>80.4486623111111</v>
      </c>
      <c r="K70" s="47">
        <f t="shared" si="34"/>
        <v>69.0644176444444</v>
      </c>
      <c r="L70" s="47">
        <f t="shared" si="35"/>
        <v>107.423128263889</v>
      </c>
      <c r="M70" s="47">
        <f t="shared" si="36"/>
        <v>103.620539652778</v>
      </c>
      <c r="N70" s="47">
        <f t="shared" si="37"/>
        <v>218.982061666667</v>
      </c>
      <c r="O70" s="47">
        <f t="shared" si="38"/>
        <v>65.3104394444445</v>
      </c>
      <c r="P70" s="47">
        <f t="shared" si="39"/>
        <v>61.7289498</v>
      </c>
      <c r="Q70" s="56">
        <v>22.58032</v>
      </c>
      <c r="R70" s="63"/>
      <c r="S70" s="38"/>
      <c r="T70" s="38"/>
    </row>
    <row r="71" s="1" customFormat="1" ht="17.4" spans="1:20">
      <c r="A71" s="55" t="s">
        <v>194</v>
      </c>
      <c r="B71" s="55">
        <v>0.203</v>
      </c>
      <c r="C71" s="55" t="s">
        <v>105</v>
      </c>
      <c r="D71" s="55" t="s">
        <v>195</v>
      </c>
      <c r="E71" s="57" t="s">
        <v>34</v>
      </c>
      <c r="F71" s="55" t="s">
        <v>44</v>
      </c>
      <c r="G71" s="47">
        <f t="shared" si="30"/>
        <v>341.6448</v>
      </c>
      <c r="H71" s="47">
        <f t="shared" si="31"/>
        <v>379.510432</v>
      </c>
      <c r="I71" s="47">
        <f t="shared" si="32"/>
        <v>398.5856</v>
      </c>
      <c r="J71" s="47">
        <f t="shared" si="33"/>
        <v>101.433708444444</v>
      </c>
      <c r="K71" s="47">
        <f t="shared" si="34"/>
        <v>87.0798817777778</v>
      </c>
      <c r="L71" s="47">
        <f t="shared" si="35"/>
        <v>135.444468055556</v>
      </c>
      <c r="M71" s="47">
        <f t="shared" si="36"/>
        <v>130.649973611111</v>
      </c>
      <c r="N71" s="47">
        <f t="shared" si="37"/>
        <v>276.103566666667</v>
      </c>
      <c r="O71" s="47">
        <f t="shared" si="38"/>
        <v>82.3466777777778</v>
      </c>
      <c r="P71" s="47">
        <f t="shared" si="39"/>
        <v>77.830956</v>
      </c>
      <c r="Q71" s="56">
        <v>28.4704</v>
      </c>
      <c r="R71" s="63"/>
      <c r="S71" s="38"/>
      <c r="T71" s="38"/>
    </row>
    <row r="72" s="1" customFormat="1" ht="17.4" spans="1:20">
      <c r="A72" s="55" t="s">
        <v>194</v>
      </c>
      <c r="B72" s="55">
        <v>0.203</v>
      </c>
      <c r="C72" s="55" t="s">
        <v>105</v>
      </c>
      <c r="D72" s="55" t="s">
        <v>106</v>
      </c>
      <c r="E72" s="57" t="s">
        <v>41</v>
      </c>
      <c r="F72" s="55" t="s">
        <v>44</v>
      </c>
      <c r="G72" s="47">
        <f t="shared" si="30"/>
        <v>521.05536</v>
      </c>
      <c r="H72" s="47">
        <f t="shared" si="31"/>
        <v>578.8056624</v>
      </c>
      <c r="I72" s="47">
        <f t="shared" si="32"/>
        <v>607.89792</v>
      </c>
      <c r="J72" s="47">
        <f t="shared" si="33"/>
        <v>154.700371466667</v>
      </c>
      <c r="K72" s="47">
        <f t="shared" si="34"/>
        <v>132.808809466667</v>
      </c>
      <c r="L72" s="47">
        <f t="shared" si="35"/>
        <v>206.571462708333</v>
      </c>
      <c r="M72" s="47">
        <f t="shared" si="36"/>
        <v>199.259198541667</v>
      </c>
      <c r="N72" s="47">
        <f t="shared" si="37"/>
        <v>421.095955</v>
      </c>
      <c r="O72" s="47">
        <f t="shared" si="38"/>
        <v>125.590021666667</v>
      </c>
      <c r="P72" s="47">
        <f t="shared" si="39"/>
        <v>118.7029242</v>
      </c>
      <c r="Q72" s="56">
        <v>43.42128</v>
      </c>
      <c r="R72" s="63"/>
      <c r="S72" s="38"/>
      <c r="T72" s="38"/>
    </row>
    <row r="73" s="1" customFormat="1" ht="17.4" spans="1:20">
      <c r="A73" s="55" t="s">
        <v>194</v>
      </c>
      <c r="B73" s="55">
        <v>0.254</v>
      </c>
      <c r="C73" s="55" t="s">
        <v>105</v>
      </c>
      <c r="D73" s="55" t="s">
        <v>195</v>
      </c>
      <c r="E73" s="55" t="s">
        <v>31</v>
      </c>
      <c r="F73" s="55" t="s">
        <v>48</v>
      </c>
      <c r="G73" s="47">
        <f t="shared" ref="G73:G78" si="40">Q73*12</f>
        <v>306.21696</v>
      </c>
      <c r="H73" s="47">
        <f t="shared" ref="H73:H78" si="41">Q73*13.33</f>
        <v>340.1560064</v>
      </c>
      <c r="I73" s="47">
        <f t="shared" ref="I73:I78" si="42">Q73*14</f>
        <v>357.25312</v>
      </c>
      <c r="J73" s="47">
        <f t="shared" ref="J73:J78" si="43">21.2*24.2/144*Q73</f>
        <v>90.9152483555555</v>
      </c>
      <c r="K73" s="47">
        <f t="shared" ref="K73:K78" si="44">18.2*24.2/144*Q73</f>
        <v>78.0498830222222</v>
      </c>
      <c r="L73" s="47">
        <f t="shared" ref="L73:L78" si="45">28.25*24.25/144*Q73</f>
        <v>121.399164444444</v>
      </c>
      <c r="M73" s="47">
        <f t="shared" ref="M73:M78" si="46">27.25*24.25/144*Q73</f>
        <v>117.101848888889</v>
      </c>
      <c r="N73" s="47">
        <f t="shared" ref="N73:N78" si="47">28.5*49/144*Q73</f>
        <v>247.472213333333</v>
      </c>
      <c r="O73" s="47">
        <f t="shared" ref="O73:O78" si="48">17*24.5/144*Q73</f>
        <v>73.8075022222222</v>
      </c>
      <c r="P73" s="47">
        <f t="shared" ref="P73:P78" si="49">24.3*16.2/144*Q73</f>
        <v>69.7600512</v>
      </c>
      <c r="Q73" s="56">
        <v>25.51808</v>
      </c>
      <c r="R73" s="63"/>
      <c r="S73" s="38"/>
      <c r="T73" s="38"/>
    </row>
    <row r="74" s="1" customFormat="1" ht="17.4" spans="1:20">
      <c r="A74" s="55" t="s">
        <v>194</v>
      </c>
      <c r="B74" s="55">
        <v>0.254</v>
      </c>
      <c r="C74" s="55" t="s">
        <v>105</v>
      </c>
      <c r="D74" s="55" t="s">
        <v>195</v>
      </c>
      <c r="E74" s="57" t="s">
        <v>34</v>
      </c>
      <c r="F74" s="55" t="s">
        <v>48</v>
      </c>
      <c r="G74" s="47">
        <f t="shared" si="40"/>
        <v>364.51968</v>
      </c>
      <c r="H74" s="47">
        <f t="shared" si="41"/>
        <v>404.9206112</v>
      </c>
      <c r="I74" s="47">
        <f t="shared" si="42"/>
        <v>425.27296</v>
      </c>
      <c r="J74" s="47">
        <f t="shared" si="43"/>
        <v>108.225217955556</v>
      </c>
      <c r="K74" s="47">
        <f t="shared" si="44"/>
        <v>92.9103286222222</v>
      </c>
      <c r="L74" s="47">
        <f t="shared" si="45"/>
        <v>144.513173194444</v>
      </c>
      <c r="M74" s="47">
        <f t="shared" si="46"/>
        <v>139.397662638889</v>
      </c>
      <c r="N74" s="47">
        <f t="shared" si="47"/>
        <v>294.590123333333</v>
      </c>
      <c r="O74" s="47">
        <f t="shared" si="48"/>
        <v>87.8602122222222</v>
      </c>
      <c r="P74" s="47">
        <f t="shared" si="49"/>
        <v>83.0421396</v>
      </c>
      <c r="Q74" s="56">
        <v>30.37664</v>
      </c>
      <c r="R74" s="63"/>
      <c r="S74" s="38"/>
      <c r="T74" s="38"/>
    </row>
    <row r="75" s="1" customFormat="1" ht="17.4" spans="1:20">
      <c r="A75" s="55" t="s">
        <v>194</v>
      </c>
      <c r="B75" s="55">
        <v>0.305</v>
      </c>
      <c r="C75" s="55" t="s">
        <v>105</v>
      </c>
      <c r="D75" s="55" t="s">
        <v>195</v>
      </c>
      <c r="E75" s="55" t="s">
        <v>31</v>
      </c>
      <c r="F75" s="55" t="s">
        <v>204</v>
      </c>
      <c r="G75" s="47">
        <f t="shared" si="40"/>
        <v>341.59104</v>
      </c>
      <c r="H75" s="47">
        <f t="shared" si="41"/>
        <v>379.4507136</v>
      </c>
      <c r="I75" s="47">
        <f t="shared" si="42"/>
        <v>398.52288</v>
      </c>
      <c r="J75" s="47">
        <f t="shared" si="43"/>
        <v>101.4177472</v>
      </c>
      <c r="K75" s="47">
        <f t="shared" si="44"/>
        <v>87.0661792</v>
      </c>
      <c r="L75" s="47">
        <f t="shared" si="45"/>
        <v>135.423155</v>
      </c>
      <c r="M75" s="47">
        <f t="shared" si="46"/>
        <v>130.629415</v>
      </c>
      <c r="N75" s="47">
        <f t="shared" si="47"/>
        <v>276.06012</v>
      </c>
      <c r="O75" s="47">
        <f t="shared" si="48"/>
        <v>82.33372</v>
      </c>
      <c r="P75" s="47">
        <f t="shared" si="49"/>
        <v>77.8187088</v>
      </c>
      <c r="Q75" s="56">
        <v>28.46592</v>
      </c>
      <c r="R75" s="63"/>
      <c r="S75" s="38"/>
      <c r="T75" s="38"/>
    </row>
    <row r="76" s="1" customFormat="1" ht="17.4" spans="1:20">
      <c r="A76" s="55" t="s">
        <v>194</v>
      </c>
      <c r="B76" s="55">
        <v>0.305</v>
      </c>
      <c r="C76" s="55" t="s">
        <v>105</v>
      </c>
      <c r="D76" s="55" t="s">
        <v>195</v>
      </c>
      <c r="E76" s="57" t="s">
        <v>34</v>
      </c>
      <c r="F76" s="55" t="s">
        <v>204</v>
      </c>
      <c r="G76" s="47">
        <f t="shared" si="40"/>
        <v>435.48288</v>
      </c>
      <c r="H76" s="47">
        <f t="shared" si="41"/>
        <v>483.7488992</v>
      </c>
      <c r="I76" s="47">
        <f t="shared" si="42"/>
        <v>508.06336</v>
      </c>
      <c r="J76" s="47">
        <f t="shared" si="43"/>
        <v>129.294060622222</v>
      </c>
      <c r="K76" s="47">
        <f t="shared" si="44"/>
        <v>110.997731288889</v>
      </c>
      <c r="L76" s="47">
        <f t="shared" si="45"/>
        <v>172.646406527778</v>
      </c>
      <c r="M76" s="47">
        <f t="shared" si="46"/>
        <v>166.535029305556</v>
      </c>
      <c r="N76" s="47">
        <f t="shared" si="47"/>
        <v>351.939723333333</v>
      </c>
      <c r="O76" s="47">
        <f t="shared" si="48"/>
        <v>104.964478888889</v>
      </c>
      <c r="P76" s="47">
        <f t="shared" si="49"/>
        <v>99.2084436</v>
      </c>
      <c r="Q76" s="56">
        <v>36.29024</v>
      </c>
      <c r="R76" s="63"/>
      <c r="S76" s="38"/>
      <c r="T76" s="38"/>
    </row>
    <row r="77" s="1" customFormat="1" ht="17.4" spans="1:20">
      <c r="A77" s="55" t="s">
        <v>194</v>
      </c>
      <c r="B77" s="55">
        <v>0.406</v>
      </c>
      <c r="C77" s="55" t="s">
        <v>105</v>
      </c>
      <c r="D77" s="55" t="s">
        <v>195</v>
      </c>
      <c r="E77" s="55" t="s">
        <v>31</v>
      </c>
      <c r="F77" s="55" t="s">
        <v>205</v>
      </c>
      <c r="G77" s="47">
        <f t="shared" si="40"/>
        <v>428.56128</v>
      </c>
      <c r="H77" s="47">
        <f t="shared" si="41"/>
        <v>476.0601552</v>
      </c>
      <c r="I77" s="47">
        <f t="shared" si="42"/>
        <v>499.98816</v>
      </c>
      <c r="J77" s="47">
        <f t="shared" si="43"/>
        <v>127.2390504</v>
      </c>
      <c r="K77" s="47">
        <f t="shared" si="44"/>
        <v>109.2335244</v>
      </c>
      <c r="L77" s="47">
        <f t="shared" si="45"/>
        <v>169.902350625</v>
      </c>
      <c r="M77" s="47">
        <f t="shared" si="46"/>
        <v>163.888108125</v>
      </c>
      <c r="N77" s="47">
        <f t="shared" si="47"/>
        <v>346.345965</v>
      </c>
      <c r="O77" s="47">
        <f t="shared" si="48"/>
        <v>103.296165</v>
      </c>
      <c r="P77" s="47">
        <f t="shared" si="49"/>
        <v>97.6316166</v>
      </c>
      <c r="Q77" s="56">
        <v>35.71344</v>
      </c>
      <c r="R77" s="63"/>
      <c r="S77" s="38"/>
      <c r="T77" s="38"/>
    </row>
    <row r="78" s="1" customFormat="1" ht="17.4" spans="1:20">
      <c r="A78" s="55" t="s">
        <v>194</v>
      </c>
      <c r="B78" s="55">
        <v>0.406</v>
      </c>
      <c r="C78" s="55" t="s">
        <v>105</v>
      </c>
      <c r="D78" s="55" t="s">
        <v>202</v>
      </c>
      <c r="E78" s="55" t="s">
        <v>31</v>
      </c>
      <c r="F78" s="55" t="s">
        <v>205</v>
      </c>
      <c r="G78" s="47">
        <f t="shared" si="40"/>
        <v>519.81888</v>
      </c>
      <c r="H78" s="47">
        <f t="shared" si="41"/>
        <v>577.4321392</v>
      </c>
      <c r="I78" s="47">
        <f t="shared" si="42"/>
        <v>606.45536</v>
      </c>
      <c r="J78" s="47">
        <f t="shared" si="43"/>
        <v>154.333262844444</v>
      </c>
      <c r="K78" s="47">
        <f t="shared" si="44"/>
        <v>132.493650177778</v>
      </c>
      <c r="L78" s="47">
        <f t="shared" si="45"/>
        <v>206.081262430556</v>
      </c>
      <c r="M78" s="47">
        <f t="shared" si="46"/>
        <v>198.786350486111</v>
      </c>
      <c r="N78" s="47">
        <f t="shared" si="47"/>
        <v>420.096681666667</v>
      </c>
      <c r="O78" s="47">
        <f t="shared" si="48"/>
        <v>125.291992777778</v>
      </c>
      <c r="P78" s="47">
        <f t="shared" si="49"/>
        <v>118.4212386</v>
      </c>
      <c r="Q78" s="56">
        <v>43.31824</v>
      </c>
      <c r="R78" s="63"/>
      <c r="S78" s="38"/>
      <c r="T78" s="38"/>
    </row>
    <row r="79" s="1" customFormat="1" ht="17.4" spans="1:20">
      <c r="A79" s="55" t="s">
        <v>194</v>
      </c>
      <c r="B79" s="55">
        <v>0.406</v>
      </c>
      <c r="C79" s="55" t="s">
        <v>105</v>
      </c>
      <c r="D79" s="55" t="s">
        <v>195</v>
      </c>
      <c r="E79" s="57" t="s">
        <v>34</v>
      </c>
      <c r="F79" s="55" t="s">
        <v>205</v>
      </c>
      <c r="G79" s="47">
        <f t="shared" ref="G79:G91" si="50">Q79*12</f>
        <v>491.2992</v>
      </c>
      <c r="H79" s="47">
        <f t="shared" ref="H79:H91" si="51">Q79*13.33</f>
        <v>545.751528</v>
      </c>
      <c r="I79" s="47">
        <f t="shared" ref="I79:I91" si="52">Q79*14</f>
        <v>573.1824</v>
      </c>
      <c r="J79" s="47">
        <f t="shared" ref="J79:J91" si="53">21.2*24.2/144*Q79</f>
        <v>145.865822666667</v>
      </c>
      <c r="K79" s="47">
        <f t="shared" ref="K79:K91" si="54">18.2*24.2/144*Q79</f>
        <v>125.224432666667</v>
      </c>
      <c r="L79" s="47">
        <f t="shared" ref="L79:L91" si="55">28.25*24.25/144*Q79</f>
        <v>194.774686458333</v>
      </c>
      <c r="M79" s="47">
        <f t="shared" ref="M79:M91" si="56">27.25*24.25/144*Q79</f>
        <v>187.880007291667</v>
      </c>
      <c r="N79" s="47">
        <f t="shared" ref="N79:N91" si="57">28.5*49/144*Q79</f>
        <v>397.048225</v>
      </c>
      <c r="O79" s="47">
        <f t="shared" ref="O79:O91" si="58">17*24.5/144*Q79</f>
        <v>118.417891666667</v>
      </c>
      <c r="P79" s="47">
        <f t="shared" ref="P79:P91" si="59">24.3*16.2/144*Q79</f>
        <v>111.924099</v>
      </c>
      <c r="Q79" s="56">
        <v>40.9416</v>
      </c>
      <c r="R79" s="63"/>
      <c r="S79" s="38"/>
      <c r="T79" s="38"/>
    </row>
    <row r="80" s="1" customFormat="1" ht="17.4" spans="1:20">
      <c r="A80" s="55" t="s">
        <v>194</v>
      </c>
      <c r="B80" s="55">
        <v>0.406</v>
      </c>
      <c r="C80" s="55" t="s">
        <v>105</v>
      </c>
      <c r="D80" s="55" t="s">
        <v>106</v>
      </c>
      <c r="E80" s="57" t="s">
        <v>41</v>
      </c>
      <c r="F80" s="55" t="s">
        <v>205</v>
      </c>
      <c r="G80" s="47">
        <f t="shared" si="50"/>
        <v>623.99232</v>
      </c>
      <c r="H80" s="47">
        <f t="shared" si="51"/>
        <v>693.1514688</v>
      </c>
      <c r="I80" s="47">
        <f t="shared" si="52"/>
        <v>727.99104</v>
      </c>
      <c r="J80" s="47">
        <f t="shared" si="53"/>
        <v>185.262164266667</v>
      </c>
      <c r="K80" s="47">
        <f t="shared" si="54"/>
        <v>159.045820266667</v>
      </c>
      <c r="L80" s="47">
        <f t="shared" si="55"/>
        <v>247.380635833333</v>
      </c>
      <c r="M80" s="47">
        <f t="shared" si="56"/>
        <v>238.623799166667</v>
      </c>
      <c r="N80" s="47">
        <f t="shared" si="57"/>
        <v>504.28546</v>
      </c>
      <c r="O80" s="47">
        <f t="shared" si="58"/>
        <v>150.400926666667</v>
      </c>
      <c r="P80" s="47">
        <f t="shared" si="59"/>
        <v>142.1532504</v>
      </c>
      <c r="Q80" s="56">
        <v>51.99936</v>
      </c>
      <c r="R80" s="63"/>
      <c r="S80" s="38"/>
      <c r="T80" s="38"/>
    </row>
    <row r="81" s="1" customFormat="1" ht="17.4" spans="1:20">
      <c r="A81" s="55" t="s">
        <v>194</v>
      </c>
      <c r="B81" s="55">
        <v>0.508</v>
      </c>
      <c r="C81" s="55" t="s">
        <v>105</v>
      </c>
      <c r="D81" s="55" t="s">
        <v>195</v>
      </c>
      <c r="E81" s="55" t="s">
        <v>31</v>
      </c>
      <c r="F81" s="55" t="s">
        <v>116</v>
      </c>
      <c r="G81" s="47">
        <f t="shared" si="50"/>
        <v>456.11328</v>
      </c>
      <c r="H81" s="47">
        <f t="shared" si="51"/>
        <v>506.6658352</v>
      </c>
      <c r="I81" s="47">
        <f t="shared" si="52"/>
        <v>532.13216</v>
      </c>
      <c r="J81" s="47">
        <f t="shared" si="53"/>
        <v>135.419188177778</v>
      </c>
      <c r="K81" s="47">
        <f t="shared" si="54"/>
        <v>116.256095511111</v>
      </c>
      <c r="L81" s="47">
        <f t="shared" si="55"/>
        <v>180.825291597222</v>
      </c>
      <c r="M81" s="47">
        <f t="shared" si="56"/>
        <v>174.424396319444</v>
      </c>
      <c r="N81" s="47">
        <f t="shared" si="57"/>
        <v>368.612381666667</v>
      </c>
      <c r="O81" s="47">
        <f t="shared" si="58"/>
        <v>109.937026111111</v>
      </c>
      <c r="P81" s="47">
        <f t="shared" si="59"/>
        <v>103.9083066</v>
      </c>
      <c r="Q81" s="56">
        <v>38.00944</v>
      </c>
      <c r="R81" s="63"/>
      <c r="S81" s="38"/>
      <c r="T81" s="38"/>
    </row>
    <row r="82" s="1" customFormat="1" ht="17.4" spans="1:20">
      <c r="A82" s="55" t="s">
        <v>194</v>
      </c>
      <c r="B82" s="55">
        <v>0.508</v>
      </c>
      <c r="C82" s="55" t="s">
        <v>105</v>
      </c>
      <c r="D82" s="55" t="s">
        <v>32</v>
      </c>
      <c r="E82" s="55" t="s">
        <v>31</v>
      </c>
      <c r="F82" s="55" t="s">
        <v>116</v>
      </c>
      <c r="G82" s="47">
        <f t="shared" si="50"/>
        <v>437.2032</v>
      </c>
      <c r="H82" s="47">
        <f t="shared" si="51"/>
        <v>485.659888</v>
      </c>
      <c r="I82" s="47">
        <f t="shared" si="52"/>
        <v>510.0704</v>
      </c>
      <c r="J82" s="47">
        <f t="shared" si="53"/>
        <v>129.804820444444</v>
      </c>
      <c r="K82" s="47">
        <f t="shared" si="54"/>
        <v>111.436213777778</v>
      </c>
      <c r="L82" s="47">
        <f t="shared" si="55"/>
        <v>173.328424305556</v>
      </c>
      <c r="M82" s="47">
        <f t="shared" si="56"/>
        <v>167.192904861111</v>
      </c>
      <c r="N82" s="47">
        <f t="shared" si="57"/>
        <v>353.330016666667</v>
      </c>
      <c r="O82" s="47">
        <f t="shared" si="58"/>
        <v>105.379127777778</v>
      </c>
      <c r="P82" s="47">
        <f t="shared" si="59"/>
        <v>99.600354</v>
      </c>
      <c r="Q82" s="56">
        <v>36.4336</v>
      </c>
      <c r="R82" s="63"/>
      <c r="S82" s="38"/>
      <c r="T82" s="38"/>
    </row>
    <row r="83" s="1" customFormat="1" ht="17.4" spans="1:20">
      <c r="A83" s="55" t="s">
        <v>194</v>
      </c>
      <c r="B83" s="55">
        <v>0.508</v>
      </c>
      <c r="C83" s="55" t="s">
        <v>105</v>
      </c>
      <c r="D83" s="55" t="s">
        <v>195</v>
      </c>
      <c r="E83" s="57" t="s">
        <v>34</v>
      </c>
      <c r="F83" s="55" t="s">
        <v>116</v>
      </c>
      <c r="G83" s="47">
        <f t="shared" si="50"/>
        <v>517.53408</v>
      </c>
      <c r="H83" s="47">
        <f t="shared" si="51"/>
        <v>574.8941072</v>
      </c>
      <c r="I83" s="47">
        <f t="shared" si="52"/>
        <v>603.78976</v>
      </c>
      <c r="J83" s="47">
        <f t="shared" si="53"/>
        <v>153.654909955556</v>
      </c>
      <c r="K83" s="47">
        <f t="shared" si="54"/>
        <v>131.911290622222</v>
      </c>
      <c r="L83" s="47">
        <f t="shared" si="55"/>
        <v>205.175457569444</v>
      </c>
      <c r="M83" s="47">
        <f t="shared" si="56"/>
        <v>197.912609513889</v>
      </c>
      <c r="N83" s="47">
        <f t="shared" si="57"/>
        <v>418.250198333333</v>
      </c>
      <c r="O83" s="47">
        <f t="shared" si="58"/>
        <v>124.741287222222</v>
      </c>
      <c r="P83" s="47">
        <f t="shared" si="59"/>
        <v>117.9007326</v>
      </c>
      <c r="Q83" s="56">
        <v>43.12784</v>
      </c>
      <c r="R83" s="63"/>
      <c r="S83" s="38"/>
      <c r="T83" s="38"/>
    </row>
    <row r="84" s="1" customFormat="1" ht="17.4" spans="1:20">
      <c r="A84" s="55" t="s">
        <v>194</v>
      </c>
      <c r="B84" s="55">
        <v>0.635</v>
      </c>
      <c r="C84" s="55" t="s">
        <v>105</v>
      </c>
      <c r="D84" s="55" t="s">
        <v>195</v>
      </c>
      <c r="E84" s="55" t="s">
        <v>31</v>
      </c>
      <c r="F84" s="55" t="s">
        <v>206</v>
      </c>
      <c r="G84" s="47">
        <f t="shared" si="50"/>
        <v>534.34752</v>
      </c>
      <c r="H84" s="47">
        <f t="shared" si="51"/>
        <v>593.5710368</v>
      </c>
      <c r="I84" s="47">
        <f t="shared" si="52"/>
        <v>623.40544</v>
      </c>
      <c r="J84" s="47">
        <f t="shared" si="53"/>
        <v>158.646789155556</v>
      </c>
      <c r="K84" s="47">
        <f t="shared" si="54"/>
        <v>136.196771822222</v>
      </c>
      <c r="L84" s="47">
        <f t="shared" si="55"/>
        <v>211.841115694444</v>
      </c>
      <c r="M84" s="47">
        <f t="shared" si="56"/>
        <v>204.342315138889</v>
      </c>
      <c r="N84" s="47">
        <f t="shared" si="57"/>
        <v>431.838143333333</v>
      </c>
      <c r="O84" s="47">
        <f t="shared" si="58"/>
        <v>128.793832222222</v>
      </c>
      <c r="P84" s="47">
        <f t="shared" si="59"/>
        <v>121.7310444</v>
      </c>
      <c r="Q84" s="56">
        <v>44.52896</v>
      </c>
      <c r="R84" s="63"/>
      <c r="S84" s="38"/>
      <c r="T84" s="38"/>
    </row>
    <row r="85" s="1" customFormat="1" ht="17.4" spans="1:20">
      <c r="A85" s="55" t="s">
        <v>194</v>
      </c>
      <c r="B85" s="55">
        <v>0.635</v>
      </c>
      <c r="C85" s="55" t="s">
        <v>105</v>
      </c>
      <c r="D85" s="55" t="s">
        <v>195</v>
      </c>
      <c r="E85" s="57" t="s">
        <v>34</v>
      </c>
      <c r="F85" s="55" t="s">
        <v>206</v>
      </c>
      <c r="G85" s="47">
        <f t="shared" si="50"/>
        <v>599.51808</v>
      </c>
      <c r="H85" s="47">
        <f t="shared" si="51"/>
        <v>665.9646672</v>
      </c>
      <c r="I85" s="47">
        <f t="shared" si="52"/>
        <v>699.43776</v>
      </c>
      <c r="J85" s="47">
        <f t="shared" si="53"/>
        <v>177.995807733333</v>
      </c>
      <c r="K85" s="47">
        <f t="shared" si="54"/>
        <v>152.807721733333</v>
      </c>
      <c r="L85" s="47">
        <f t="shared" si="55"/>
        <v>237.677867291667</v>
      </c>
      <c r="M85" s="47">
        <f t="shared" si="56"/>
        <v>229.264491458333</v>
      </c>
      <c r="N85" s="47">
        <f t="shared" si="57"/>
        <v>484.506365</v>
      </c>
      <c r="O85" s="47">
        <f t="shared" si="58"/>
        <v>144.501898333333</v>
      </c>
      <c r="P85" s="47">
        <f t="shared" si="59"/>
        <v>136.5777126</v>
      </c>
      <c r="Q85" s="56">
        <v>49.95984</v>
      </c>
      <c r="R85" s="63"/>
      <c r="S85" s="38"/>
      <c r="T85" s="38"/>
    </row>
    <row r="86" s="1" customFormat="1" ht="17.4" spans="1:20">
      <c r="A86" s="55" t="s">
        <v>194</v>
      </c>
      <c r="B86" s="55">
        <v>0.711</v>
      </c>
      <c r="C86" s="55" t="s">
        <v>105</v>
      </c>
      <c r="D86" s="55" t="s">
        <v>195</v>
      </c>
      <c r="E86" s="55" t="s">
        <v>31</v>
      </c>
      <c r="F86" s="55" t="s">
        <v>206</v>
      </c>
      <c r="G86" s="47">
        <f t="shared" si="50"/>
        <v>601.42656</v>
      </c>
      <c r="H86" s="47">
        <f t="shared" si="51"/>
        <v>668.0846704</v>
      </c>
      <c r="I86" s="47">
        <f t="shared" si="52"/>
        <v>701.66432</v>
      </c>
      <c r="J86" s="47">
        <f t="shared" si="53"/>
        <v>178.562431911111</v>
      </c>
      <c r="K86" s="47">
        <f t="shared" si="54"/>
        <v>153.294163244444</v>
      </c>
      <c r="L86" s="47">
        <f t="shared" si="55"/>
        <v>238.434480763889</v>
      </c>
      <c r="M86" s="47">
        <f t="shared" si="56"/>
        <v>229.994322152778</v>
      </c>
      <c r="N86" s="47">
        <f t="shared" si="57"/>
        <v>486.048721666667</v>
      </c>
      <c r="O86" s="47">
        <f t="shared" si="58"/>
        <v>144.961899444444</v>
      </c>
      <c r="P86" s="47">
        <f t="shared" si="59"/>
        <v>137.0124882</v>
      </c>
      <c r="Q86" s="56">
        <v>50.11888</v>
      </c>
      <c r="R86" s="63"/>
      <c r="S86" s="38"/>
      <c r="T86" s="38"/>
    </row>
    <row r="87" s="1" customFormat="1" ht="17.4" spans="1:20">
      <c r="A87" s="55" t="s">
        <v>194</v>
      </c>
      <c r="B87" s="55">
        <v>0.711</v>
      </c>
      <c r="C87" s="55" t="s">
        <v>105</v>
      </c>
      <c r="D87" s="55" t="s">
        <v>195</v>
      </c>
      <c r="E87" s="57" t="s">
        <v>34</v>
      </c>
      <c r="F87" s="55" t="s">
        <v>206</v>
      </c>
      <c r="G87" s="47">
        <f t="shared" si="50"/>
        <v>665.89824</v>
      </c>
      <c r="H87" s="47">
        <f t="shared" si="51"/>
        <v>739.7019616</v>
      </c>
      <c r="I87" s="47">
        <f t="shared" si="52"/>
        <v>776.88128</v>
      </c>
      <c r="J87" s="47">
        <f t="shared" si="53"/>
        <v>197.703954311111</v>
      </c>
      <c r="K87" s="47">
        <f t="shared" si="54"/>
        <v>169.726979644444</v>
      </c>
      <c r="L87" s="47">
        <f t="shared" si="55"/>
        <v>263.994162638889</v>
      </c>
      <c r="M87" s="47">
        <f t="shared" si="56"/>
        <v>254.649236527778</v>
      </c>
      <c r="N87" s="47">
        <f t="shared" si="57"/>
        <v>538.152136666667</v>
      </c>
      <c r="O87" s="47">
        <f t="shared" si="58"/>
        <v>160.501514444444</v>
      </c>
      <c r="P87" s="47">
        <f t="shared" si="59"/>
        <v>151.6999428</v>
      </c>
      <c r="Q87" s="56">
        <v>55.49152</v>
      </c>
      <c r="R87" s="63"/>
      <c r="S87" s="38"/>
      <c r="T87" s="38"/>
    </row>
    <row r="88" s="1" customFormat="1" ht="17.4" spans="1:20">
      <c r="A88" s="55" t="s">
        <v>194</v>
      </c>
      <c r="B88" s="55">
        <v>0.762</v>
      </c>
      <c r="C88" s="55" t="s">
        <v>105</v>
      </c>
      <c r="D88" s="55" t="s">
        <v>195</v>
      </c>
      <c r="E88" s="55" t="s">
        <v>31</v>
      </c>
      <c r="F88" s="55" t="s">
        <v>207</v>
      </c>
      <c r="G88" s="47">
        <f t="shared" si="50"/>
        <v>609.79968</v>
      </c>
      <c r="H88" s="47">
        <f t="shared" si="51"/>
        <v>677.3858112</v>
      </c>
      <c r="I88" s="47">
        <f t="shared" si="52"/>
        <v>711.43296</v>
      </c>
      <c r="J88" s="47">
        <f t="shared" si="53"/>
        <v>181.048395733333</v>
      </c>
      <c r="K88" s="47">
        <f t="shared" si="54"/>
        <v>155.428339733333</v>
      </c>
      <c r="L88" s="47">
        <f t="shared" si="55"/>
        <v>241.753989166667</v>
      </c>
      <c r="M88" s="47">
        <f t="shared" si="56"/>
        <v>233.196325833333</v>
      </c>
      <c r="N88" s="47">
        <f t="shared" si="57"/>
        <v>492.81554</v>
      </c>
      <c r="O88" s="47">
        <f t="shared" si="58"/>
        <v>146.980073333333</v>
      </c>
      <c r="P88" s="47">
        <f t="shared" si="59"/>
        <v>138.9199896</v>
      </c>
      <c r="Q88" s="56">
        <v>50.81664</v>
      </c>
      <c r="R88" s="63"/>
      <c r="S88" s="38"/>
      <c r="T88" s="38"/>
    </row>
    <row r="89" s="1" customFormat="1" ht="17.4" spans="1:20">
      <c r="A89" s="55" t="s">
        <v>194</v>
      </c>
      <c r="B89" s="55">
        <v>0.762</v>
      </c>
      <c r="C89" s="55" t="s">
        <v>105</v>
      </c>
      <c r="D89" s="55" t="s">
        <v>195</v>
      </c>
      <c r="E89" s="57" t="s">
        <v>34</v>
      </c>
      <c r="F89" s="55" t="s">
        <v>207</v>
      </c>
      <c r="G89" s="47">
        <f t="shared" si="50"/>
        <v>677.53728</v>
      </c>
      <c r="H89" s="47">
        <f t="shared" si="51"/>
        <v>752.6309952</v>
      </c>
      <c r="I89" s="47">
        <f t="shared" si="52"/>
        <v>790.46016</v>
      </c>
      <c r="J89" s="47">
        <f t="shared" si="53"/>
        <v>201.159563733333</v>
      </c>
      <c r="K89" s="47">
        <f t="shared" si="54"/>
        <v>172.693587733333</v>
      </c>
      <c r="L89" s="47">
        <f t="shared" si="55"/>
        <v>268.608439166667</v>
      </c>
      <c r="M89" s="47">
        <f t="shared" si="56"/>
        <v>259.100175833333</v>
      </c>
      <c r="N89" s="47">
        <f t="shared" si="57"/>
        <v>547.55834</v>
      </c>
      <c r="O89" s="47">
        <f t="shared" si="58"/>
        <v>163.306873333333</v>
      </c>
      <c r="P89" s="47">
        <f t="shared" si="59"/>
        <v>154.3514616</v>
      </c>
      <c r="Q89" s="56">
        <v>56.46144</v>
      </c>
      <c r="R89" s="63"/>
      <c r="S89" s="38"/>
      <c r="T89" s="38"/>
    </row>
    <row r="90" s="1" customFormat="1" ht="17.4" spans="1:20">
      <c r="A90" s="55" t="s">
        <v>194</v>
      </c>
      <c r="B90" s="55">
        <v>1.118</v>
      </c>
      <c r="C90" s="55" t="s">
        <v>105</v>
      </c>
      <c r="D90" s="55" t="s">
        <v>195</v>
      </c>
      <c r="E90" s="57" t="s">
        <v>34</v>
      </c>
      <c r="F90" s="55" t="s">
        <v>208</v>
      </c>
      <c r="G90" s="47">
        <f t="shared" si="50"/>
        <v>962.15616</v>
      </c>
      <c r="H90" s="47">
        <f t="shared" si="51"/>
        <v>1068.7951344</v>
      </c>
      <c r="I90" s="47">
        <f t="shared" si="52"/>
        <v>1122.51552</v>
      </c>
      <c r="J90" s="47">
        <f t="shared" si="53"/>
        <v>285.662382133333</v>
      </c>
      <c r="K90" s="47">
        <f t="shared" si="54"/>
        <v>245.238460133333</v>
      </c>
      <c r="L90" s="47">
        <f t="shared" si="55"/>
        <v>381.445083541667</v>
      </c>
      <c r="M90" s="47">
        <f t="shared" si="56"/>
        <v>367.942602708333</v>
      </c>
      <c r="N90" s="47">
        <f t="shared" si="57"/>
        <v>777.575855</v>
      </c>
      <c r="O90" s="47">
        <f t="shared" si="58"/>
        <v>231.908588333333</v>
      </c>
      <c r="P90" s="47">
        <f t="shared" si="59"/>
        <v>219.1912002</v>
      </c>
      <c r="Q90" s="56">
        <v>80.17968</v>
      </c>
      <c r="R90" s="63"/>
      <c r="S90" s="38"/>
      <c r="T90" s="38"/>
    </row>
    <row r="91" s="1" customFormat="1" ht="17.4" spans="1:20">
      <c r="A91" s="55" t="s">
        <v>194</v>
      </c>
      <c r="B91" s="55">
        <v>1.188</v>
      </c>
      <c r="C91" s="55" t="s">
        <v>105</v>
      </c>
      <c r="D91" s="55" t="s">
        <v>195</v>
      </c>
      <c r="E91" s="57" t="s">
        <v>34</v>
      </c>
      <c r="F91" s="55" t="s">
        <v>208</v>
      </c>
      <c r="G91" s="47">
        <f t="shared" si="50"/>
        <v>995.232</v>
      </c>
      <c r="H91" s="47">
        <f t="shared" si="51"/>
        <v>1105.53688</v>
      </c>
      <c r="I91" s="47">
        <f t="shared" si="52"/>
        <v>1161.104</v>
      </c>
      <c r="J91" s="47">
        <f t="shared" si="53"/>
        <v>295.482537777778</v>
      </c>
      <c r="K91" s="47">
        <f t="shared" si="54"/>
        <v>253.668971111111</v>
      </c>
      <c r="L91" s="47">
        <f t="shared" si="55"/>
        <v>394.557940972222</v>
      </c>
      <c r="M91" s="47">
        <f t="shared" si="56"/>
        <v>380.591288194444</v>
      </c>
      <c r="N91" s="47">
        <f t="shared" si="57"/>
        <v>804.306416666667</v>
      </c>
      <c r="O91" s="47">
        <f t="shared" si="58"/>
        <v>239.880861111111</v>
      </c>
      <c r="P91" s="47">
        <f t="shared" si="59"/>
        <v>226.72629</v>
      </c>
      <c r="Q91" s="56">
        <v>82.936</v>
      </c>
      <c r="R91" s="63"/>
      <c r="S91" s="38"/>
      <c r="T91" s="38"/>
    </row>
    <row r="92" s="1" customFormat="1" ht="17.4" spans="1:20">
      <c r="A92" s="38" t="s">
        <v>75</v>
      </c>
      <c r="B92" s="38"/>
      <c r="C92" s="38"/>
      <c r="D92" s="38"/>
      <c r="E92" s="39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26"/>
      <c r="S92" s="38"/>
      <c r="T92" s="38"/>
    </row>
    <row r="93" s="1" customFormat="1" ht="17.4" spans="1:20">
      <c r="A93" s="38" t="s">
        <v>76</v>
      </c>
      <c r="B93" s="38"/>
      <c r="C93" s="38"/>
      <c r="D93" s="38"/>
      <c r="E93" s="41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38"/>
      <c r="T93" s="38"/>
    </row>
    <row r="94" s="1" customFormat="1" ht="17.4" spans="1:20">
      <c r="A94" s="38" t="s">
        <v>77</v>
      </c>
      <c r="B94" s="38"/>
      <c r="C94" s="38"/>
      <c r="D94" s="38"/>
      <c r="E94" s="41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38"/>
      <c r="T94" s="38"/>
    </row>
    <row r="95" s="6" customFormat="1" ht="17.4" spans="1:20">
      <c r="A95" s="6" t="s">
        <v>160</v>
      </c>
      <c r="I95" s="42"/>
      <c r="J95" s="42"/>
      <c r="K95" s="42"/>
      <c r="L95" s="42"/>
      <c r="M95" s="42"/>
      <c r="N95" s="42"/>
      <c r="O95" s="42"/>
      <c r="P95" s="42"/>
      <c r="Q95" s="42"/>
      <c r="R95" s="26"/>
      <c r="S95" s="38"/>
      <c r="T95" s="38"/>
    </row>
    <row r="96" customHeight="1" spans="1:20">
      <c r="A96" s="6" t="s">
        <v>170</v>
      </c>
    </row>
    <row r="97" s="6" customFormat="1" ht="18" customHeight="1" spans="1:18">
      <c r="A97" s="1" t="s">
        <v>80</v>
      </c>
      <c r="B97" s="1"/>
      <c r="C97" s="1"/>
      <c r="D97" s="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1"/>
    </row>
  </sheetData>
  <mergeCells count="7">
    <mergeCell ref="A1:R1"/>
    <mergeCell ref="A2:R2"/>
    <mergeCell ref="A3:R3"/>
    <mergeCell ref="A5:B5"/>
    <mergeCell ref="A7:B7"/>
    <mergeCell ref="A8:B8"/>
    <mergeCell ref="D11:E11"/>
  </mergeCells>
  <pageMargins left="0.7" right="0.7" top="0.75" bottom="0.75" header="0.3" footer="0.3"/>
  <pageSetup paperSize="9" scale="57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EI59"/>
  <sheetViews>
    <sheetView view="pageBreakPreview" zoomScaleNormal="100" workbookViewId="0">
      <selection activeCell="J20" sqref="J20"/>
    </sheetView>
  </sheetViews>
  <sheetFormatPr defaultColWidth="9" defaultRowHeight="12.75" customHeight="1"/>
  <cols>
    <col min="1" max="1" width="11.1111111111111" style="72" customWidth="1"/>
    <col min="2" max="2" width="9" style="72" customWidth="1"/>
    <col min="3" max="3" width="10.2222222222222" style="72" customWidth="1"/>
    <col min="4" max="4" width="10" style="72" customWidth="1"/>
    <col min="5" max="5" width="15.5555555555556" style="72" customWidth="1"/>
    <col min="6" max="6" width="14.8796296296296" style="74" customWidth="1"/>
    <col min="7" max="7" width="11.6666666666667" style="75" customWidth="1"/>
    <col min="8" max="16384" width="9" style="72"/>
  </cols>
  <sheetData>
    <row r="1" s="68" customFormat="1" ht="97" customHeight="1" spans="1:139">
      <c r="A1" s="76"/>
      <c r="B1" s="76"/>
      <c r="C1" s="76"/>
      <c r="D1" s="76"/>
      <c r="E1" s="76"/>
      <c r="F1" s="76"/>
      <c r="G1" s="76"/>
    </row>
    <row r="2" s="69" customFormat="1" customHeight="1" spans="1:139">
      <c r="A2" s="71" t="s">
        <v>0</v>
      </c>
      <c r="B2" s="71"/>
      <c r="C2" s="71"/>
      <c r="D2" s="71"/>
      <c r="E2" s="71"/>
      <c r="F2" s="71"/>
      <c r="G2" s="71"/>
    </row>
    <row r="3" s="68" customFormat="1" customHeight="1" spans="1:139">
      <c r="A3" s="71" t="s">
        <v>1</v>
      </c>
      <c r="B3" s="71"/>
      <c r="C3" s="71"/>
      <c r="D3" s="71"/>
      <c r="E3" s="71"/>
      <c r="F3" s="71"/>
      <c r="G3" s="71"/>
      <c r="DQ3" s="70"/>
      <c r="DR3" s="70"/>
      <c r="DS3" s="70"/>
      <c r="DT3" s="70"/>
      <c r="DU3" s="70"/>
      <c r="DV3" s="70"/>
      <c r="DW3" s="70"/>
      <c r="DX3" s="70"/>
      <c r="DY3" s="70"/>
      <c r="DZ3" s="70"/>
      <c r="EA3" s="70"/>
      <c r="EB3" s="70"/>
      <c r="EC3" s="70"/>
      <c r="ED3" s="70"/>
      <c r="EE3" s="70"/>
      <c r="EF3" s="70"/>
      <c r="EG3" s="70"/>
      <c r="EH3" s="70"/>
      <c r="EI3" s="70"/>
    </row>
    <row r="4" s="68" customFormat="1" customHeight="1" spans="1:139">
      <c r="DQ4" s="70"/>
      <c r="DR4" s="70"/>
      <c r="DS4" s="70"/>
      <c r="DT4" s="70"/>
      <c r="DU4" s="70"/>
      <c r="DV4" s="70"/>
      <c r="DW4" s="70"/>
      <c r="DX4" s="70"/>
      <c r="DY4" s="70"/>
      <c r="DZ4" s="70"/>
      <c r="EA4" s="70"/>
      <c r="EB4" s="70"/>
      <c r="EC4" s="70"/>
      <c r="ED4" s="70"/>
      <c r="EE4" s="70"/>
      <c r="EF4" s="70"/>
      <c r="EG4" s="70"/>
      <c r="EH4" s="70"/>
      <c r="EI4" s="70"/>
    </row>
    <row r="5" s="68" customFormat="1" ht="15" customHeight="1" spans="1:139">
      <c r="A5" s="77" t="s">
        <v>2</v>
      </c>
      <c r="B5" s="77"/>
      <c r="C5" s="78"/>
      <c r="D5" s="69"/>
      <c r="F5" s="79" t="s">
        <v>3</v>
      </c>
      <c r="G5" s="79"/>
      <c r="DL5" s="70"/>
      <c r="DM5" s="70"/>
      <c r="DN5" s="70"/>
      <c r="DO5" s="70"/>
      <c r="DP5" s="70"/>
      <c r="DQ5" s="70"/>
      <c r="DR5" s="70"/>
      <c r="DS5" s="70"/>
      <c r="DT5" s="70"/>
      <c r="DU5" s="70"/>
      <c r="DV5" s="70"/>
      <c r="DW5" s="70"/>
      <c r="DX5" s="70"/>
      <c r="DY5" s="70"/>
      <c r="DZ5" s="70"/>
      <c r="EA5" s="70"/>
      <c r="EB5" s="70"/>
      <c r="EC5" s="70"/>
      <c r="ED5" s="70"/>
    </row>
    <row r="6" s="68" customFormat="1" ht="15" customHeight="1" spans="1:139">
      <c r="A6" s="79" t="s">
        <v>209</v>
      </c>
      <c r="B6" s="79"/>
      <c r="C6" s="80"/>
      <c r="D6" s="69"/>
      <c r="F6" s="79" t="s">
        <v>5</v>
      </c>
      <c r="G6" s="79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</row>
    <row r="7" s="68" customFormat="1" ht="15" customHeight="1" spans="1:139">
      <c r="A7" s="77" t="s">
        <v>6</v>
      </c>
      <c r="B7" s="77"/>
      <c r="C7" s="78"/>
      <c r="D7" s="69"/>
      <c r="F7" s="79" t="s">
        <v>7</v>
      </c>
      <c r="G7" s="79"/>
      <c r="DL7" s="70"/>
      <c r="DM7" s="70"/>
      <c r="DN7" s="70"/>
      <c r="DO7" s="70"/>
      <c r="DP7" s="70"/>
      <c r="DQ7" s="70"/>
      <c r="DR7" s="70"/>
      <c r="DS7" s="70"/>
      <c r="DT7" s="70"/>
      <c r="DU7" s="70"/>
      <c r="DV7" s="70"/>
      <c r="DW7" s="70"/>
      <c r="DX7" s="70"/>
      <c r="DY7" s="70"/>
      <c r="DZ7" s="70"/>
      <c r="EA7" s="70"/>
      <c r="EB7" s="70"/>
      <c r="EC7" s="70"/>
      <c r="ED7" s="70"/>
    </row>
    <row r="8" s="70" customFormat="1" ht="15" customHeight="1" spans="1:139">
      <c r="A8" s="77" t="s">
        <v>8</v>
      </c>
      <c r="B8" s="77"/>
      <c r="C8" s="81"/>
      <c r="D8" s="82"/>
      <c r="F8" s="79" t="s">
        <v>9</v>
      </c>
      <c r="G8" s="79"/>
    </row>
    <row r="9" s="71" customFormat="1" ht="14.25" customHeight="1" spans="1:139">
      <c r="A9" s="83" t="s">
        <v>210</v>
      </c>
      <c r="B9" s="84"/>
      <c r="C9" s="85"/>
      <c r="E9" s="86"/>
    </row>
    <row r="11" s="71" customFormat="1" ht="15" spans="1:139">
      <c r="A11" s="87" t="s">
        <v>11</v>
      </c>
      <c r="B11" s="88" t="s">
        <v>84</v>
      </c>
      <c r="C11" s="89" t="s">
        <v>85</v>
      </c>
      <c r="D11" s="90" t="s">
        <v>86</v>
      </c>
      <c r="E11" s="87" t="s">
        <v>87</v>
      </c>
      <c r="F11" s="87" t="s">
        <v>88</v>
      </c>
      <c r="G11" s="87" t="s">
        <v>28</v>
      </c>
    </row>
    <row r="12" s="71" customFormat="1" ht="15" spans="1:139">
      <c r="A12" s="87" t="s">
        <v>211</v>
      </c>
      <c r="B12" s="88">
        <v>1027</v>
      </c>
      <c r="C12" s="89">
        <v>0.7</v>
      </c>
      <c r="D12" s="90" t="s">
        <v>212</v>
      </c>
      <c r="E12" s="91">
        <v>89.488</v>
      </c>
      <c r="F12" s="92">
        <f>E12*D12</f>
        <v>26846.4</v>
      </c>
      <c r="G12" s="87"/>
    </row>
    <row r="13" s="71" customFormat="1" ht="15" spans="1:139">
      <c r="A13" s="87" t="s">
        <v>211</v>
      </c>
      <c r="B13" s="88">
        <v>1037</v>
      </c>
      <c r="C13" s="89">
        <v>0.7</v>
      </c>
      <c r="D13" s="90" t="s">
        <v>212</v>
      </c>
      <c r="E13" s="91">
        <v>63.2464</v>
      </c>
      <c r="F13" s="92">
        <f t="shared" ref="F13:F20" si="0">E13*D13</f>
        <v>18973.92</v>
      </c>
      <c r="G13" s="87"/>
    </row>
    <row r="14" s="71" customFormat="1" ht="15" spans="1:139">
      <c r="A14" s="87" t="s">
        <v>211</v>
      </c>
      <c r="B14" s="88">
        <v>1037</v>
      </c>
      <c r="C14" s="89">
        <v>0.74</v>
      </c>
      <c r="D14" s="90" t="s">
        <v>212</v>
      </c>
      <c r="E14" s="91">
        <v>71.4448</v>
      </c>
      <c r="F14" s="92">
        <f t="shared" si="0"/>
        <v>21433.44</v>
      </c>
      <c r="G14" s="87"/>
    </row>
    <row r="15" s="71" customFormat="1" ht="15" spans="1:139">
      <c r="A15" s="87" t="s">
        <v>211</v>
      </c>
      <c r="B15" s="88">
        <v>1037</v>
      </c>
      <c r="C15" s="89">
        <v>0.77</v>
      </c>
      <c r="D15" s="90" t="s">
        <v>212</v>
      </c>
      <c r="E15" s="91">
        <v>75.8464</v>
      </c>
      <c r="F15" s="92">
        <f t="shared" si="0"/>
        <v>22753.92</v>
      </c>
      <c r="G15" s="87"/>
    </row>
    <row r="16" s="72" customFormat="1" ht="15.6" spans="1:139">
      <c r="A16" s="14" t="s">
        <v>211</v>
      </c>
      <c r="B16" s="14">
        <v>1035</v>
      </c>
      <c r="C16" s="67">
        <v>0.72</v>
      </c>
      <c r="D16" s="62" t="s">
        <v>212</v>
      </c>
      <c r="E16" s="93">
        <v>75.0736</v>
      </c>
      <c r="F16" s="94">
        <f t="shared" si="0"/>
        <v>22522.08</v>
      </c>
      <c r="G16" s="87"/>
    </row>
    <row r="17" s="72" customFormat="1" ht="15.6" spans="1:7">
      <c r="A17" s="14" t="s">
        <v>211</v>
      </c>
      <c r="B17" s="14">
        <v>1035</v>
      </c>
      <c r="C17" s="67">
        <v>0.75</v>
      </c>
      <c r="D17" s="62" t="s">
        <v>212</v>
      </c>
      <c r="E17" s="93">
        <v>79.3968</v>
      </c>
      <c r="F17" s="94">
        <f t="shared" si="0"/>
        <v>23819.04</v>
      </c>
      <c r="G17" s="87"/>
    </row>
    <row r="18" s="72" customFormat="1" ht="15.6" spans="1:7">
      <c r="A18" s="14" t="s">
        <v>211</v>
      </c>
      <c r="B18" s="14">
        <v>1035</v>
      </c>
      <c r="C18" s="67">
        <v>0.77</v>
      </c>
      <c r="D18" s="62" t="s">
        <v>212</v>
      </c>
      <c r="E18" s="93">
        <v>88.1104</v>
      </c>
      <c r="F18" s="94">
        <f t="shared" si="0"/>
        <v>26433.12</v>
      </c>
      <c r="G18" s="87"/>
    </row>
    <row r="19" s="72" customFormat="1" ht="15.6" spans="1:7">
      <c r="A19" s="14" t="s">
        <v>211</v>
      </c>
      <c r="B19" s="14">
        <v>106</v>
      </c>
      <c r="C19" s="67">
        <v>0.75</v>
      </c>
      <c r="D19" s="62" t="s">
        <v>212</v>
      </c>
      <c r="E19" s="93">
        <v>69.9888</v>
      </c>
      <c r="F19" s="94">
        <f t="shared" si="0"/>
        <v>20996.64</v>
      </c>
      <c r="G19" s="87"/>
    </row>
    <row r="20" s="72" customFormat="1" ht="15.6" spans="1:7">
      <c r="A20" s="14" t="s">
        <v>211</v>
      </c>
      <c r="B20" s="14">
        <v>106</v>
      </c>
      <c r="C20" s="67">
        <v>0.77</v>
      </c>
      <c r="D20" s="62" t="s">
        <v>212</v>
      </c>
      <c r="E20" s="93">
        <v>95.5472</v>
      </c>
      <c r="F20" s="94">
        <f t="shared" si="0"/>
        <v>28664.16</v>
      </c>
      <c r="G20" s="87"/>
    </row>
    <row r="21" s="72" customFormat="1" ht="15.6" spans="1:7">
      <c r="A21" s="14" t="s">
        <v>211</v>
      </c>
      <c r="B21" s="14">
        <v>106</v>
      </c>
      <c r="C21" s="67">
        <v>0.78</v>
      </c>
      <c r="D21" s="62" t="s">
        <v>212</v>
      </c>
      <c r="E21" s="93">
        <v>98.56</v>
      </c>
      <c r="F21" s="94">
        <f t="shared" ref="F21:F26" si="1">E21*D21</f>
        <v>29568</v>
      </c>
      <c r="G21" s="87"/>
    </row>
    <row r="22" s="72" customFormat="1" ht="15.6" spans="1:7">
      <c r="A22" s="14" t="s">
        <v>211</v>
      </c>
      <c r="B22" s="14">
        <v>1067</v>
      </c>
      <c r="C22" s="67">
        <v>0.66</v>
      </c>
      <c r="D22" s="62" t="s">
        <v>212</v>
      </c>
      <c r="E22" s="93">
        <v>58.4528</v>
      </c>
      <c r="F22" s="94">
        <f t="shared" si="1"/>
        <v>17535.84</v>
      </c>
      <c r="G22" s="87"/>
    </row>
    <row r="23" s="72" customFormat="1" ht="15.6" spans="1:7">
      <c r="A23" s="14" t="s">
        <v>211</v>
      </c>
      <c r="B23" s="14">
        <v>1067</v>
      </c>
      <c r="C23" s="67">
        <v>0.71</v>
      </c>
      <c r="D23" s="62" t="s">
        <v>212</v>
      </c>
      <c r="E23" s="93">
        <v>72.5312</v>
      </c>
      <c r="F23" s="94">
        <f t="shared" si="1"/>
        <v>21759.36</v>
      </c>
      <c r="G23" s="87"/>
    </row>
    <row r="24" s="72" customFormat="1" ht="15.6" spans="1:7">
      <c r="A24" s="14" t="s">
        <v>211</v>
      </c>
      <c r="B24" s="14">
        <v>1067</v>
      </c>
      <c r="C24" s="67">
        <v>0.74</v>
      </c>
      <c r="D24" s="62" t="s">
        <v>212</v>
      </c>
      <c r="E24" s="93">
        <v>77.4368</v>
      </c>
      <c r="F24" s="94">
        <f t="shared" si="1"/>
        <v>23231.04</v>
      </c>
      <c r="G24" s="87"/>
    </row>
    <row r="25" s="72" customFormat="1" ht="15.6" spans="1:7">
      <c r="A25" s="14" t="s">
        <v>211</v>
      </c>
      <c r="B25" s="14">
        <v>1067</v>
      </c>
      <c r="C25" s="67">
        <v>0.76</v>
      </c>
      <c r="D25" s="62" t="s">
        <v>212</v>
      </c>
      <c r="E25" s="93">
        <v>83.5296</v>
      </c>
      <c r="F25" s="94">
        <f t="shared" si="1"/>
        <v>25058.88</v>
      </c>
      <c r="G25" s="87"/>
    </row>
    <row r="26" s="72" customFormat="1" ht="15.6" spans="1:7">
      <c r="A26" s="14" t="s">
        <v>211</v>
      </c>
      <c r="B26" s="14">
        <v>1078</v>
      </c>
      <c r="C26" s="67">
        <v>0.64</v>
      </c>
      <c r="D26" s="62" t="s">
        <v>212</v>
      </c>
      <c r="E26" s="93">
        <v>74.8496</v>
      </c>
      <c r="F26" s="94">
        <f t="shared" si="1"/>
        <v>22454.88</v>
      </c>
      <c r="G26" s="87"/>
    </row>
    <row r="27" s="72" customFormat="1" ht="15.6" spans="1:7">
      <c r="A27" s="14" t="s">
        <v>211</v>
      </c>
      <c r="B27" s="14">
        <v>1078</v>
      </c>
      <c r="C27" s="67">
        <v>0.65</v>
      </c>
      <c r="D27" s="62" t="s">
        <v>212</v>
      </c>
      <c r="E27" s="93">
        <v>74.8496</v>
      </c>
      <c r="F27" s="94">
        <f t="shared" ref="F27:F43" si="2">E27*D27</f>
        <v>22454.88</v>
      </c>
      <c r="G27" s="87"/>
    </row>
    <row r="28" s="72" customFormat="1" ht="15.6" spans="1:7">
      <c r="A28" s="14" t="s">
        <v>211</v>
      </c>
      <c r="B28" s="14">
        <v>1078</v>
      </c>
      <c r="C28" s="67">
        <v>0.68</v>
      </c>
      <c r="D28" s="62" t="s">
        <v>212</v>
      </c>
      <c r="E28" s="93">
        <v>83.7536</v>
      </c>
      <c r="F28" s="94">
        <f t="shared" si="2"/>
        <v>25126.08</v>
      </c>
      <c r="G28" s="87"/>
    </row>
    <row r="29" s="72" customFormat="1" ht="15.6" spans="1:7">
      <c r="A29" s="14" t="s">
        <v>211</v>
      </c>
      <c r="B29" s="14">
        <v>1078</v>
      </c>
      <c r="C29" s="67">
        <v>0.71</v>
      </c>
      <c r="D29" s="62" t="s">
        <v>212</v>
      </c>
      <c r="E29" s="93">
        <v>94.5616</v>
      </c>
      <c r="F29" s="94">
        <f t="shared" si="2"/>
        <v>28368.48</v>
      </c>
      <c r="G29" s="87"/>
    </row>
    <row r="30" s="72" customFormat="1" ht="15.6" spans="1:7">
      <c r="A30" s="14" t="s">
        <v>211</v>
      </c>
      <c r="B30" s="14">
        <v>1078</v>
      </c>
      <c r="C30" s="67">
        <v>0.73</v>
      </c>
      <c r="D30" s="62" t="s">
        <v>212</v>
      </c>
      <c r="E30" s="93">
        <v>102.816</v>
      </c>
      <c r="F30" s="94">
        <f t="shared" si="2"/>
        <v>30844.8</v>
      </c>
      <c r="G30" s="87"/>
    </row>
    <row r="31" s="72" customFormat="1" ht="15.6" spans="1:7">
      <c r="A31" s="14" t="s">
        <v>211</v>
      </c>
      <c r="B31" s="14">
        <v>1080</v>
      </c>
      <c r="C31" s="67">
        <v>0.65</v>
      </c>
      <c r="D31" s="62" t="s">
        <v>212</v>
      </c>
      <c r="E31" s="93">
        <v>77.672</v>
      </c>
      <c r="F31" s="94">
        <f t="shared" si="2"/>
        <v>23301.6</v>
      </c>
      <c r="G31" s="87"/>
    </row>
    <row r="32" s="72" customFormat="1" ht="15.6" spans="1:7">
      <c r="A32" s="14" t="s">
        <v>211</v>
      </c>
      <c r="B32" s="14">
        <v>1080</v>
      </c>
      <c r="C32" s="67">
        <v>0.68</v>
      </c>
      <c r="D32" s="62" t="s">
        <v>212</v>
      </c>
      <c r="E32" s="93">
        <v>83.496</v>
      </c>
      <c r="F32" s="94">
        <f t="shared" si="2"/>
        <v>25048.8</v>
      </c>
      <c r="G32" s="87"/>
    </row>
    <row r="33" s="72" customFormat="1" ht="15.6" spans="1:133">
      <c r="A33" s="14" t="s">
        <v>211</v>
      </c>
      <c r="B33" s="14">
        <v>1080</v>
      </c>
      <c r="C33" s="67">
        <v>0.71</v>
      </c>
      <c r="D33" s="62" t="s">
        <v>212</v>
      </c>
      <c r="E33" s="93">
        <v>94.4384</v>
      </c>
      <c r="F33" s="94">
        <f t="shared" si="2"/>
        <v>28331.52</v>
      </c>
      <c r="G33" s="87"/>
    </row>
    <row r="34" s="72" customFormat="1" ht="15.6" spans="1:133">
      <c r="A34" s="14" t="s">
        <v>211</v>
      </c>
      <c r="B34" s="14">
        <v>1080</v>
      </c>
      <c r="C34" s="67">
        <v>0.72</v>
      </c>
      <c r="D34" s="62" t="s">
        <v>212</v>
      </c>
      <c r="E34" s="93">
        <v>98.4592</v>
      </c>
      <c r="F34" s="94">
        <f t="shared" si="2"/>
        <v>29537.76</v>
      </c>
      <c r="G34" s="87"/>
    </row>
    <row r="35" s="72" customFormat="1" ht="15.6" spans="1:133">
      <c r="A35" s="14" t="s">
        <v>211</v>
      </c>
      <c r="B35" s="14">
        <v>1080</v>
      </c>
      <c r="C35" s="67">
        <v>0.73</v>
      </c>
      <c r="D35" s="62" t="s">
        <v>212</v>
      </c>
      <c r="E35" s="93">
        <v>102.8048</v>
      </c>
      <c r="F35" s="94">
        <f t="shared" si="2"/>
        <v>30841.44</v>
      </c>
      <c r="G35" s="87"/>
    </row>
    <row r="36" s="72" customFormat="1" ht="15.6" spans="1:133">
      <c r="A36" s="14" t="s">
        <v>211</v>
      </c>
      <c r="B36" s="14">
        <v>2116</v>
      </c>
      <c r="C36" s="67">
        <v>0.55</v>
      </c>
      <c r="D36" s="62" t="s">
        <v>213</v>
      </c>
      <c r="E36" s="93">
        <v>101.7184</v>
      </c>
      <c r="F36" s="94">
        <f t="shared" si="2"/>
        <v>20343.68</v>
      </c>
      <c r="G36" s="87"/>
    </row>
    <row r="37" s="72" customFormat="1" ht="15.6" spans="1:133">
      <c r="A37" s="14" t="s">
        <v>211</v>
      </c>
      <c r="B37" s="14">
        <v>2116</v>
      </c>
      <c r="C37" s="67">
        <v>0.56</v>
      </c>
      <c r="D37" s="62" t="s">
        <v>213</v>
      </c>
      <c r="E37" s="93">
        <v>106.3888</v>
      </c>
      <c r="F37" s="94">
        <f t="shared" si="2"/>
        <v>21277.76</v>
      </c>
      <c r="G37" s="87"/>
    </row>
    <row r="38" s="72" customFormat="1" ht="15.6" spans="1:133">
      <c r="A38" s="14" t="s">
        <v>211</v>
      </c>
      <c r="B38" s="14">
        <v>2116</v>
      </c>
      <c r="C38" s="67">
        <v>0.57</v>
      </c>
      <c r="D38" s="62" t="s">
        <v>213</v>
      </c>
      <c r="E38" s="93">
        <v>106.3888</v>
      </c>
      <c r="F38" s="94">
        <f t="shared" si="2"/>
        <v>21277.76</v>
      </c>
      <c r="G38" s="87"/>
    </row>
    <row r="39" s="72" customFormat="1" ht="15.6" spans="1:133">
      <c r="A39" s="14" t="s">
        <v>211</v>
      </c>
      <c r="B39" s="14">
        <v>2116</v>
      </c>
      <c r="C39" s="67">
        <v>0.59</v>
      </c>
      <c r="D39" s="62" t="s">
        <v>213</v>
      </c>
      <c r="E39" s="93">
        <v>117.2416</v>
      </c>
      <c r="F39" s="94">
        <f t="shared" si="2"/>
        <v>23448.32</v>
      </c>
      <c r="G39" s="87"/>
    </row>
    <row r="40" s="72" customFormat="1" ht="15.6" spans="1:133">
      <c r="A40" s="87" t="s">
        <v>211</v>
      </c>
      <c r="B40" s="87">
        <v>3313</v>
      </c>
      <c r="C40" s="95">
        <v>0.55</v>
      </c>
      <c r="D40" s="90" t="s">
        <v>212</v>
      </c>
      <c r="E40" s="91">
        <v>84.2576</v>
      </c>
      <c r="F40" s="92">
        <f t="shared" si="2"/>
        <v>25277.28</v>
      </c>
      <c r="G40" s="87"/>
    </row>
    <row r="41" s="72" customFormat="1" ht="15.6" spans="1:133">
      <c r="A41" s="87" t="s">
        <v>211</v>
      </c>
      <c r="B41" s="87">
        <v>3313</v>
      </c>
      <c r="C41" s="95">
        <v>0.57</v>
      </c>
      <c r="D41" s="90" t="s">
        <v>212</v>
      </c>
      <c r="E41" s="91">
        <v>89.6896</v>
      </c>
      <c r="F41" s="92">
        <f t="shared" si="2"/>
        <v>26906.88</v>
      </c>
      <c r="G41" s="87"/>
    </row>
    <row r="42" s="72" customFormat="1" ht="15.6" spans="1:133">
      <c r="A42" s="87" t="s">
        <v>211</v>
      </c>
      <c r="B42" s="87">
        <v>3313</v>
      </c>
      <c r="C42" s="95">
        <v>0.59</v>
      </c>
      <c r="D42" s="90" t="s">
        <v>212</v>
      </c>
      <c r="E42" s="91">
        <v>95.9952</v>
      </c>
      <c r="F42" s="92">
        <f t="shared" si="2"/>
        <v>28798.56</v>
      </c>
      <c r="G42" s="87"/>
    </row>
    <row r="43" s="72" customFormat="1" ht="15.6" spans="1:133">
      <c r="A43" s="87" t="s">
        <v>211</v>
      </c>
      <c r="B43" s="87">
        <v>3313</v>
      </c>
      <c r="C43" s="95">
        <v>0.61</v>
      </c>
      <c r="D43" s="90" t="s">
        <v>212</v>
      </c>
      <c r="E43" s="91">
        <v>101.1024</v>
      </c>
      <c r="F43" s="92">
        <f t="shared" si="2"/>
        <v>30330.72</v>
      </c>
      <c r="G43" s="87"/>
    </row>
    <row r="44" s="73" customFormat="1" ht="15.6" spans="1:133">
      <c r="A44" s="73" t="s">
        <v>75</v>
      </c>
      <c r="E44" s="96"/>
      <c r="F44" s="96"/>
      <c r="G44" s="97"/>
    </row>
    <row r="45" s="68" customFormat="1" ht="17.4" spans="1:133">
      <c r="A45" s="73" t="s">
        <v>76</v>
      </c>
      <c r="B45" s="73"/>
      <c r="C45" s="73"/>
      <c r="D45" s="73"/>
      <c r="E45" s="98"/>
      <c r="F45" s="98"/>
      <c r="G45" s="99"/>
    </row>
    <row r="46" s="68" customFormat="1" ht="17.4" spans="1:133">
      <c r="A46" s="73" t="s">
        <v>77</v>
      </c>
      <c r="B46" s="73"/>
      <c r="C46" s="73"/>
      <c r="D46" s="73"/>
      <c r="E46" s="98"/>
      <c r="F46" s="98"/>
      <c r="G46" s="99"/>
    </row>
    <row r="47" s="72" customFormat="1" ht="15.6" spans="1:133">
      <c r="A47" s="72" t="s">
        <v>160</v>
      </c>
    </row>
    <row r="48" s="68" customFormat="1" ht="17.4" spans="1:133">
      <c r="A48" s="68" t="s">
        <v>80</v>
      </c>
      <c r="E48" s="99"/>
      <c r="G48" s="98"/>
      <c r="DK48" s="70"/>
      <c r="DL48" s="70"/>
      <c r="DM48" s="70"/>
      <c r="DN48" s="70"/>
      <c r="DO48" s="70"/>
      <c r="DP48" s="70"/>
      <c r="DQ48" s="70"/>
      <c r="DR48" s="70"/>
      <c r="DS48" s="70"/>
      <c r="DT48" s="70"/>
      <c r="DU48" s="70"/>
      <c r="DV48" s="70"/>
      <c r="DW48" s="70"/>
      <c r="DX48" s="70"/>
      <c r="DY48" s="70"/>
      <c r="DZ48" s="70"/>
      <c r="EA48" s="70"/>
      <c r="EB48" s="70"/>
      <c r="EC48" s="70"/>
    </row>
    <row r="59" s="72" customFormat="1" customHeight="1" spans="4:7">
      <c r="D59" s="98"/>
      <c r="F59" s="74"/>
      <c r="G59" s="75"/>
    </row>
  </sheetData>
  <mergeCells count="6">
    <mergeCell ref="A1:G1"/>
    <mergeCell ref="A2:G2"/>
    <mergeCell ref="A3:G3"/>
    <mergeCell ref="A5:B5"/>
    <mergeCell ref="A7:B7"/>
    <mergeCell ref="A8:B8"/>
  </mergeCells>
  <pageMargins left="0.75" right="0.75" top="1" bottom="1" header="0.5" footer="0.5"/>
  <pageSetup paperSize="9" scale="8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"/>
  <sheetViews>
    <sheetView view="pageBreakPreview" zoomScale="85" zoomScaleNormal="85" topLeftCell="A2" workbookViewId="0">
      <selection activeCell="J34" sqref="J34:J49"/>
    </sheetView>
  </sheetViews>
  <sheetFormatPr defaultColWidth="9" defaultRowHeight="12.75" customHeight="1"/>
  <cols>
    <col min="1" max="1" width="10.7777777777778" style="6" customWidth="1"/>
    <col min="2" max="2" width="9" style="6" customWidth="1"/>
    <col min="3" max="3" width="9" style="6"/>
    <col min="4" max="4" width="10.2222222222222" style="6" customWidth="1"/>
    <col min="5" max="5" width="7.97222222222222" style="6" customWidth="1"/>
    <col min="6" max="6" width="9.22222222222222" style="6" customWidth="1"/>
    <col min="7" max="9" width="8.87962962962963" style="6" customWidth="1"/>
    <col min="10" max="11" width="10.1111111111111" style="6" customWidth="1"/>
    <col min="12" max="13" width="12.6666666666667" style="6" customWidth="1"/>
    <col min="14" max="14" width="9.66666666666667" style="6" customWidth="1"/>
    <col min="15" max="15" width="8.55555555555556" style="6" customWidth="1"/>
    <col min="16" max="16" width="10.1111111111111" style="6" customWidth="1"/>
    <col min="17" max="17" width="11.5555555555556" style="6" customWidth="1"/>
    <col min="18" max="18" width="10.5833333333333" style="28" customWidth="1"/>
    <col min="19" max="19" width="11.5555555555556" style="6"/>
    <col min="20" max="16384" width="9" style="6"/>
  </cols>
  <sheetData>
    <row r="1" s="1" customFormat="1" ht="99" customHeight="1" spans="1:19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="2" customFormat="1" customHeight="1" spans="1:19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="1" customFormat="1" customHeight="1" spans="1:19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="1" customFormat="1" customHeight="1" spans="1:1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="1" customFormat="1" ht="15" customHeight="1" spans="1:19">
      <c r="A5" s="9" t="s">
        <v>2</v>
      </c>
      <c r="B5" s="9"/>
      <c r="C5" s="58"/>
      <c r="D5" s="2"/>
      <c r="J5" s="10"/>
      <c r="K5" s="10"/>
      <c r="L5" s="10"/>
      <c r="M5" s="10"/>
      <c r="N5" s="10"/>
      <c r="O5" s="10" t="s">
        <v>3</v>
      </c>
      <c r="P5" s="10"/>
      <c r="Q5" s="10"/>
    </row>
    <row r="6" s="1" customFormat="1" ht="15" customHeight="1" spans="1:19">
      <c r="A6" s="10" t="s">
        <v>4</v>
      </c>
      <c r="B6" s="10"/>
      <c r="C6" s="59"/>
      <c r="D6" s="2"/>
      <c r="J6" s="10"/>
      <c r="K6" s="10"/>
      <c r="L6" s="10"/>
      <c r="M6" s="10"/>
      <c r="N6" s="10"/>
      <c r="O6" s="10" t="s">
        <v>5</v>
      </c>
      <c r="P6" s="10"/>
      <c r="Q6" s="10"/>
    </row>
    <row r="7" s="1" customFormat="1" ht="15" customHeight="1" spans="1:19">
      <c r="A7" s="9" t="s">
        <v>6</v>
      </c>
      <c r="B7" s="9"/>
      <c r="C7" s="58"/>
      <c r="D7" s="2"/>
      <c r="J7" s="10"/>
      <c r="K7" s="10"/>
      <c r="L7" s="10"/>
      <c r="M7" s="10"/>
      <c r="N7" s="10"/>
      <c r="O7" s="10" t="s">
        <v>7</v>
      </c>
      <c r="P7" s="10"/>
      <c r="Q7" s="10"/>
    </row>
    <row r="8" s="3" customFormat="1" ht="15" customHeight="1" spans="1:19">
      <c r="A8" s="9" t="s">
        <v>8</v>
      </c>
      <c r="B8" s="9"/>
      <c r="C8" s="60"/>
      <c r="D8" s="61"/>
      <c r="J8" s="10"/>
      <c r="K8" s="10"/>
      <c r="L8" s="10"/>
      <c r="M8" s="10"/>
      <c r="N8" s="10"/>
      <c r="O8" s="10" t="s">
        <v>9</v>
      </c>
      <c r="P8" s="10"/>
      <c r="Q8" s="10"/>
    </row>
    <row r="9" s="4" customFormat="1" ht="14.25" customHeight="1" spans="1:19">
      <c r="A9" s="11" t="s">
        <v>214</v>
      </c>
      <c r="B9" s="12"/>
      <c r="C9" s="27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1" s="4" customFormat="1" ht="28.5" customHeight="1" spans="1:19">
      <c r="A11" s="14" t="s">
        <v>11</v>
      </c>
      <c r="B11" s="14" t="s">
        <v>12</v>
      </c>
      <c r="C11" s="15" t="s">
        <v>13</v>
      </c>
      <c r="D11" s="62" t="s">
        <v>15</v>
      </c>
      <c r="E11" s="62"/>
      <c r="F11" s="14" t="s">
        <v>16</v>
      </c>
      <c r="G11" s="14" t="s">
        <v>17</v>
      </c>
      <c r="H11" s="14" t="s">
        <v>18</v>
      </c>
      <c r="I11" s="14" t="s">
        <v>19</v>
      </c>
      <c r="J11" s="14" t="s">
        <v>20</v>
      </c>
      <c r="K11" s="14" t="s">
        <v>21</v>
      </c>
      <c r="L11" s="14" t="s">
        <v>22</v>
      </c>
      <c r="M11" s="14" t="s">
        <v>23</v>
      </c>
      <c r="N11" s="14" t="s">
        <v>24</v>
      </c>
      <c r="O11" s="14" t="s">
        <v>25</v>
      </c>
      <c r="P11" s="14" t="s">
        <v>26</v>
      </c>
      <c r="Q11" s="19" t="s">
        <v>27</v>
      </c>
      <c r="R11" s="14" t="s">
        <v>28</v>
      </c>
    </row>
    <row r="12" s="38" customFormat="1" ht="20" customHeight="1" spans="1:19">
      <c r="A12" s="55" t="s">
        <v>215</v>
      </c>
      <c r="B12" s="55">
        <v>0.076</v>
      </c>
      <c r="C12" s="55" t="s">
        <v>105</v>
      </c>
      <c r="D12" s="55" t="s">
        <v>175</v>
      </c>
      <c r="E12" s="57" t="s">
        <v>109</v>
      </c>
      <c r="F12" s="55" t="s">
        <v>197</v>
      </c>
      <c r="G12" s="47">
        <f t="shared" ref="G12:G15" si="0">Q12*12</f>
        <v>271.60896</v>
      </c>
      <c r="H12" s="47">
        <f t="shared" ref="H12:H15" si="1">Q12*13.33</f>
        <v>301.7122864</v>
      </c>
      <c r="I12" s="47">
        <f t="shared" ref="I12:I15" si="2">Q12*14</f>
        <v>316.87712</v>
      </c>
      <c r="J12" s="47">
        <f t="shared" ref="J12:J15" si="3">21.2*24.2/144*Q12</f>
        <v>80.6401972444444</v>
      </c>
      <c r="K12" s="47">
        <f t="shared" ref="K12:K15" si="4">18.2*24.2/144*Q12</f>
        <v>69.2288485777778</v>
      </c>
      <c r="L12" s="47">
        <f t="shared" ref="L12:L15" si="5">28.25*24.25/144*Q12</f>
        <v>107.678884930556</v>
      </c>
      <c r="M12" s="47">
        <f t="shared" ref="M12:M15" si="6">27.25*24.25/144*Q12</f>
        <v>103.867242986111</v>
      </c>
      <c r="N12" s="47">
        <f t="shared" ref="N12:N15" si="7">28.5*49/144*Q12</f>
        <v>219.503421666667</v>
      </c>
      <c r="O12" s="47">
        <f t="shared" ref="O12:O15" si="8">17*24.5/144*Q12</f>
        <v>65.4659327777778</v>
      </c>
      <c r="P12" s="47">
        <f t="shared" ref="P12:P15" si="9">24.3*16.2/144*Q12</f>
        <v>61.8759162</v>
      </c>
      <c r="Q12" s="56">
        <v>22.63408</v>
      </c>
      <c r="R12" s="63"/>
      <c r="S12" s="6"/>
    </row>
    <row r="13" s="38" customFormat="1" ht="20" customHeight="1" spans="1:19">
      <c r="A13" s="55" t="s">
        <v>215</v>
      </c>
      <c r="B13" s="55">
        <v>0.076</v>
      </c>
      <c r="C13" s="55" t="s">
        <v>105</v>
      </c>
      <c r="D13" s="55" t="s">
        <v>216</v>
      </c>
      <c r="E13" s="57" t="s">
        <v>34</v>
      </c>
      <c r="F13" s="55" t="s">
        <v>197</v>
      </c>
      <c r="G13" s="47">
        <f t="shared" si="0"/>
        <v>270.96384</v>
      </c>
      <c r="H13" s="47">
        <f t="shared" si="1"/>
        <v>300.9956656</v>
      </c>
      <c r="I13" s="47">
        <f t="shared" si="2"/>
        <v>316.12448</v>
      </c>
      <c r="J13" s="47">
        <f t="shared" si="3"/>
        <v>80.4486623111111</v>
      </c>
      <c r="K13" s="47">
        <f t="shared" si="4"/>
        <v>69.0644176444444</v>
      </c>
      <c r="L13" s="47">
        <f t="shared" si="5"/>
        <v>107.423128263889</v>
      </c>
      <c r="M13" s="47">
        <f t="shared" si="6"/>
        <v>103.620539652778</v>
      </c>
      <c r="N13" s="47">
        <f t="shared" si="7"/>
        <v>218.982061666667</v>
      </c>
      <c r="O13" s="47">
        <f t="shared" si="8"/>
        <v>65.3104394444445</v>
      </c>
      <c r="P13" s="47">
        <f t="shared" si="9"/>
        <v>61.7289498</v>
      </c>
      <c r="Q13" s="56">
        <v>22.58032</v>
      </c>
      <c r="R13" s="63"/>
      <c r="S13" s="6"/>
    </row>
    <row r="14" s="38" customFormat="1" ht="20" customHeight="1" spans="1:19">
      <c r="A14" s="55" t="s">
        <v>215</v>
      </c>
      <c r="B14" s="55">
        <v>0.102</v>
      </c>
      <c r="C14" s="55" t="s">
        <v>105</v>
      </c>
      <c r="D14" s="55" t="s">
        <v>195</v>
      </c>
      <c r="E14" s="57" t="s">
        <v>31</v>
      </c>
      <c r="F14" s="55" t="s">
        <v>197</v>
      </c>
      <c r="G14" s="47">
        <f t="shared" si="0"/>
        <v>219.2064</v>
      </c>
      <c r="H14" s="47">
        <f t="shared" si="1"/>
        <v>243.501776</v>
      </c>
      <c r="I14" s="47">
        <f t="shared" si="2"/>
        <v>255.7408</v>
      </c>
      <c r="J14" s="47">
        <f t="shared" si="3"/>
        <v>65.0819742222222</v>
      </c>
      <c r="K14" s="47">
        <f t="shared" si="4"/>
        <v>55.8722608888889</v>
      </c>
      <c r="L14" s="47">
        <f t="shared" si="5"/>
        <v>86.9039840277778</v>
      </c>
      <c r="M14" s="47">
        <f t="shared" si="6"/>
        <v>83.8277368055556</v>
      </c>
      <c r="N14" s="47">
        <f t="shared" si="7"/>
        <v>177.153783333333</v>
      </c>
      <c r="O14" s="47">
        <f t="shared" si="8"/>
        <v>52.8353388888889</v>
      </c>
      <c r="P14" s="47">
        <f t="shared" si="9"/>
        <v>49.937958</v>
      </c>
      <c r="Q14" s="56">
        <v>18.2672</v>
      </c>
      <c r="R14" s="63"/>
      <c r="S14" s="6"/>
    </row>
    <row r="15" s="38" customFormat="1" ht="20" customHeight="1" spans="1:19">
      <c r="A15" s="55" t="s">
        <v>215</v>
      </c>
      <c r="B15" s="55">
        <v>0.102</v>
      </c>
      <c r="C15" s="55" t="s">
        <v>105</v>
      </c>
      <c r="D15" s="55" t="s">
        <v>146</v>
      </c>
      <c r="E15" s="57" t="s">
        <v>107</v>
      </c>
      <c r="F15" s="55" t="s">
        <v>36</v>
      </c>
      <c r="G15" s="47">
        <f t="shared" si="0"/>
        <v>214.8384</v>
      </c>
      <c r="H15" s="47">
        <f t="shared" si="1"/>
        <v>238.649656</v>
      </c>
      <c r="I15" s="47">
        <f t="shared" si="2"/>
        <v>250.6448</v>
      </c>
      <c r="J15" s="47">
        <f t="shared" si="3"/>
        <v>63.7851231111111</v>
      </c>
      <c r="K15" s="47">
        <f t="shared" si="4"/>
        <v>54.7589264444444</v>
      </c>
      <c r="L15" s="47">
        <f t="shared" si="5"/>
        <v>85.1722982638889</v>
      </c>
      <c r="M15" s="47">
        <f t="shared" si="6"/>
        <v>82.1573496527778</v>
      </c>
      <c r="N15" s="47">
        <f t="shared" si="7"/>
        <v>173.623741666667</v>
      </c>
      <c r="O15" s="47">
        <f t="shared" si="8"/>
        <v>51.7825194444445</v>
      </c>
      <c r="P15" s="47">
        <f t="shared" si="9"/>
        <v>48.942873</v>
      </c>
      <c r="Q15" s="56">
        <v>17.9032</v>
      </c>
      <c r="R15" s="63"/>
      <c r="S15" s="6"/>
    </row>
    <row r="16" s="38" customFormat="1" ht="20" customHeight="1" spans="1:19">
      <c r="A16" s="55" t="s">
        <v>215</v>
      </c>
      <c r="B16" s="55">
        <v>0.102</v>
      </c>
      <c r="C16" s="55" t="s">
        <v>105</v>
      </c>
      <c r="D16" s="55" t="s">
        <v>216</v>
      </c>
      <c r="E16" s="57" t="s">
        <v>34</v>
      </c>
      <c r="F16" s="55" t="s">
        <v>197</v>
      </c>
      <c r="G16" s="47">
        <f t="shared" ref="G16:G29" si="10">Q16*12</f>
        <v>281.67552</v>
      </c>
      <c r="H16" s="47">
        <f t="shared" ref="H16:H29" si="11">Q16*13.33</f>
        <v>312.8945568</v>
      </c>
      <c r="I16" s="47">
        <f t="shared" ref="I16:I29" si="12">Q16*14</f>
        <v>328.62144</v>
      </c>
      <c r="J16" s="47">
        <f t="shared" ref="J16:J29" si="13">21.2*24.2/144*Q16</f>
        <v>83.6289402666667</v>
      </c>
      <c r="K16" s="47">
        <f t="shared" ref="K16:K29" si="14">18.2*24.2/144*Q16</f>
        <v>71.7946562666667</v>
      </c>
      <c r="L16" s="47">
        <f t="shared" ref="L16:L29" si="15">28.25*24.25/144*Q16</f>
        <v>111.669754583333</v>
      </c>
      <c r="M16" s="47">
        <f t="shared" ref="M16:M29" si="16">27.25*24.25/144*Q16</f>
        <v>107.716842916667</v>
      </c>
      <c r="N16" s="47">
        <f t="shared" ref="N16:N29" si="17">28.5*49/144*Q16</f>
        <v>227.63881</v>
      </c>
      <c r="O16" s="47">
        <f t="shared" ref="O16:O29" si="18">17*24.5/144*Q16</f>
        <v>67.8922766666667</v>
      </c>
      <c r="P16" s="47">
        <f t="shared" ref="P16:P29" si="19">24.3*16.2/144*Q16</f>
        <v>64.1692044</v>
      </c>
      <c r="Q16" s="56">
        <v>23.47296</v>
      </c>
      <c r="R16" s="63"/>
      <c r="S16" s="6"/>
    </row>
    <row r="17" s="38" customFormat="1" ht="20" customHeight="1" spans="1:19">
      <c r="A17" s="55" t="s">
        <v>215</v>
      </c>
      <c r="B17" s="55">
        <v>0.102</v>
      </c>
      <c r="C17" s="55" t="s">
        <v>105</v>
      </c>
      <c r="D17" s="55" t="s">
        <v>146</v>
      </c>
      <c r="E17" s="57" t="s">
        <v>34</v>
      </c>
      <c r="F17" s="55" t="s">
        <v>197</v>
      </c>
      <c r="G17" s="47">
        <f t="shared" si="10"/>
        <v>252.12096</v>
      </c>
      <c r="H17" s="47">
        <f t="shared" si="11"/>
        <v>280.0643664</v>
      </c>
      <c r="I17" s="47">
        <f t="shared" si="12"/>
        <v>294.14112</v>
      </c>
      <c r="J17" s="47">
        <f t="shared" si="13"/>
        <v>74.8542461333333</v>
      </c>
      <c r="K17" s="47">
        <f t="shared" si="14"/>
        <v>64.2616641333333</v>
      </c>
      <c r="L17" s="47">
        <f t="shared" si="15"/>
        <v>99.9529022916667</v>
      </c>
      <c r="M17" s="47">
        <f t="shared" si="16"/>
        <v>96.4147464583333</v>
      </c>
      <c r="N17" s="47">
        <f t="shared" si="17"/>
        <v>203.754005</v>
      </c>
      <c r="O17" s="47">
        <f t="shared" si="18"/>
        <v>60.7687383333333</v>
      </c>
      <c r="P17" s="47">
        <f t="shared" si="19"/>
        <v>57.4363062</v>
      </c>
      <c r="Q17" s="56">
        <v>21.01008</v>
      </c>
      <c r="R17" s="63"/>
      <c r="S17" s="6"/>
    </row>
    <row r="18" s="38" customFormat="1" ht="20" customHeight="1" spans="1:19">
      <c r="A18" s="55" t="s">
        <v>215</v>
      </c>
      <c r="B18" s="55">
        <v>0.102</v>
      </c>
      <c r="C18" s="55" t="s">
        <v>105</v>
      </c>
      <c r="D18" s="55" t="s">
        <v>146</v>
      </c>
      <c r="E18" s="57" t="s">
        <v>34</v>
      </c>
      <c r="F18" s="55" t="s">
        <v>200</v>
      </c>
      <c r="G18" s="47">
        <f t="shared" si="10"/>
        <v>253.16928</v>
      </c>
      <c r="H18" s="47">
        <f t="shared" si="11"/>
        <v>281.2288752</v>
      </c>
      <c r="I18" s="47">
        <f t="shared" si="12"/>
        <v>295.36416</v>
      </c>
      <c r="J18" s="47">
        <f t="shared" si="13"/>
        <v>75.1654904</v>
      </c>
      <c r="K18" s="47">
        <f t="shared" si="14"/>
        <v>64.5288644</v>
      </c>
      <c r="L18" s="47">
        <f t="shared" si="15"/>
        <v>100.368506875</v>
      </c>
      <c r="M18" s="47">
        <f t="shared" si="16"/>
        <v>96.815639375</v>
      </c>
      <c r="N18" s="47">
        <f t="shared" si="17"/>
        <v>204.601215</v>
      </c>
      <c r="O18" s="47">
        <f t="shared" si="18"/>
        <v>61.021415</v>
      </c>
      <c r="P18" s="47">
        <f t="shared" si="19"/>
        <v>57.6751266</v>
      </c>
      <c r="Q18" s="56">
        <v>21.09744</v>
      </c>
      <c r="R18" s="63"/>
      <c r="S18" s="6"/>
    </row>
    <row r="19" s="38" customFormat="1" ht="20" customHeight="1" spans="1:19">
      <c r="A19" s="55" t="s">
        <v>215</v>
      </c>
      <c r="B19" s="55">
        <v>0.102</v>
      </c>
      <c r="C19" s="55" t="s">
        <v>105</v>
      </c>
      <c r="D19" s="55" t="s">
        <v>175</v>
      </c>
      <c r="E19" s="57" t="s">
        <v>109</v>
      </c>
      <c r="F19" s="55" t="s">
        <v>197</v>
      </c>
      <c r="G19" s="47">
        <f t="shared" si="10"/>
        <v>347.6256</v>
      </c>
      <c r="H19" s="47">
        <f t="shared" si="11"/>
        <v>386.154104</v>
      </c>
      <c r="I19" s="47">
        <f t="shared" si="12"/>
        <v>405.5632</v>
      </c>
      <c r="J19" s="47">
        <f t="shared" si="13"/>
        <v>103.209396888889</v>
      </c>
      <c r="K19" s="47">
        <f t="shared" si="14"/>
        <v>88.6042935555556</v>
      </c>
      <c r="L19" s="47">
        <f t="shared" si="15"/>
        <v>137.815545486111</v>
      </c>
      <c r="M19" s="47">
        <f t="shared" si="16"/>
        <v>132.937119097222</v>
      </c>
      <c r="N19" s="47">
        <f t="shared" si="17"/>
        <v>280.937008333333</v>
      </c>
      <c r="O19" s="47">
        <f t="shared" si="18"/>
        <v>83.7882305555556</v>
      </c>
      <c r="P19" s="47">
        <f t="shared" si="19"/>
        <v>79.193457</v>
      </c>
      <c r="Q19" s="56">
        <v>28.9688</v>
      </c>
      <c r="R19" s="63"/>
      <c r="S19" s="6"/>
    </row>
    <row r="20" s="38" customFormat="1" ht="20" customHeight="1" spans="1:19">
      <c r="A20" s="55" t="s">
        <v>215</v>
      </c>
      <c r="B20" s="55">
        <v>0.102</v>
      </c>
      <c r="C20" s="55" t="s">
        <v>105</v>
      </c>
      <c r="D20" s="55" t="s">
        <v>175</v>
      </c>
      <c r="E20" s="57" t="s">
        <v>109</v>
      </c>
      <c r="F20" s="55" t="s">
        <v>200</v>
      </c>
      <c r="G20" s="47">
        <f t="shared" si="10"/>
        <v>349.31904</v>
      </c>
      <c r="H20" s="47">
        <f t="shared" si="11"/>
        <v>388.0352336</v>
      </c>
      <c r="I20" s="47">
        <f t="shared" si="12"/>
        <v>407.53888</v>
      </c>
      <c r="J20" s="47">
        <f t="shared" si="13"/>
        <v>103.712176088889</v>
      </c>
      <c r="K20" s="47">
        <f t="shared" si="14"/>
        <v>89.0359247555556</v>
      </c>
      <c r="L20" s="47">
        <f t="shared" si="15"/>
        <v>138.486906736111</v>
      </c>
      <c r="M20" s="47">
        <f t="shared" si="16"/>
        <v>133.584715347222</v>
      </c>
      <c r="N20" s="47">
        <f t="shared" si="17"/>
        <v>282.305578333333</v>
      </c>
      <c r="O20" s="47">
        <f t="shared" si="18"/>
        <v>84.1964005555556</v>
      </c>
      <c r="P20" s="47">
        <f t="shared" si="19"/>
        <v>79.5792438</v>
      </c>
      <c r="Q20" s="56">
        <v>29.10992</v>
      </c>
      <c r="R20" s="63"/>
      <c r="S20" s="6"/>
    </row>
    <row r="21" s="38" customFormat="1" ht="20" customHeight="1" spans="1:19">
      <c r="A21" s="55" t="s">
        <v>215</v>
      </c>
      <c r="B21" s="55">
        <v>0.102</v>
      </c>
      <c r="C21" s="55" t="s">
        <v>105</v>
      </c>
      <c r="D21" s="55" t="s">
        <v>106</v>
      </c>
      <c r="E21" s="57" t="s">
        <v>41</v>
      </c>
      <c r="F21" s="55" t="s">
        <v>200</v>
      </c>
      <c r="G21" s="47">
        <f t="shared" si="10"/>
        <v>360.16512</v>
      </c>
      <c r="H21" s="47">
        <f t="shared" si="11"/>
        <v>400.0834208</v>
      </c>
      <c r="I21" s="47">
        <f t="shared" si="12"/>
        <v>420.19264</v>
      </c>
      <c r="J21" s="47">
        <f t="shared" si="13"/>
        <v>106.932357155556</v>
      </c>
      <c r="K21" s="47">
        <f t="shared" si="14"/>
        <v>91.8004198222222</v>
      </c>
      <c r="L21" s="47">
        <f t="shared" si="15"/>
        <v>142.786815694444</v>
      </c>
      <c r="M21" s="47">
        <f t="shared" si="16"/>
        <v>137.732415138889</v>
      </c>
      <c r="N21" s="47">
        <f t="shared" si="17"/>
        <v>291.070943333333</v>
      </c>
      <c r="O21" s="47">
        <f t="shared" si="18"/>
        <v>86.8106322222222</v>
      </c>
      <c r="P21" s="47">
        <f t="shared" si="19"/>
        <v>82.0501164</v>
      </c>
      <c r="Q21" s="56">
        <v>30.01376</v>
      </c>
      <c r="R21" s="63"/>
      <c r="S21" s="6"/>
    </row>
    <row r="22" s="38" customFormat="1" ht="20" customHeight="1" spans="1:19">
      <c r="A22" s="55" t="s">
        <v>215</v>
      </c>
      <c r="B22" s="55">
        <v>0.127</v>
      </c>
      <c r="C22" s="55" t="s">
        <v>105</v>
      </c>
      <c r="D22" s="55" t="s">
        <v>216</v>
      </c>
      <c r="E22" s="57" t="s">
        <v>34</v>
      </c>
      <c r="F22" s="55" t="s">
        <v>203</v>
      </c>
      <c r="G22" s="47">
        <f t="shared" si="10"/>
        <v>298.65024</v>
      </c>
      <c r="H22" s="47">
        <f t="shared" si="11"/>
        <v>331.7506416</v>
      </c>
      <c r="I22" s="47">
        <f t="shared" si="12"/>
        <v>348.42528</v>
      </c>
      <c r="J22" s="47">
        <f t="shared" si="13"/>
        <v>88.6687032</v>
      </c>
      <c r="K22" s="47">
        <f t="shared" si="14"/>
        <v>76.1212452</v>
      </c>
      <c r="L22" s="47">
        <f t="shared" si="15"/>
        <v>118.399351875</v>
      </c>
      <c r="M22" s="47">
        <f t="shared" si="16"/>
        <v>114.208224375</v>
      </c>
      <c r="N22" s="47">
        <f t="shared" si="17"/>
        <v>241.357095</v>
      </c>
      <c r="O22" s="47">
        <f t="shared" si="18"/>
        <v>71.983695</v>
      </c>
      <c r="P22" s="47">
        <f t="shared" si="19"/>
        <v>68.0362578</v>
      </c>
      <c r="Q22" s="56">
        <v>24.88752</v>
      </c>
      <c r="R22" s="63"/>
      <c r="S22" s="6"/>
    </row>
    <row r="23" s="38" customFormat="1" ht="20" customHeight="1" spans="1:19">
      <c r="A23" s="55" t="s">
        <v>215</v>
      </c>
      <c r="B23" s="55">
        <v>0.127</v>
      </c>
      <c r="C23" s="55" t="s">
        <v>105</v>
      </c>
      <c r="D23" s="55" t="s">
        <v>146</v>
      </c>
      <c r="E23" s="57" t="s">
        <v>34</v>
      </c>
      <c r="F23" s="55" t="s">
        <v>203</v>
      </c>
      <c r="G23" s="47">
        <f t="shared" si="10"/>
        <v>255.0912</v>
      </c>
      <c r="H23" s="47">
        <f t="shared" si="11"/>
        <v>283.363808</v>
      </c>
      <c r="I23" s="47">
        <f t="shared" si="12"/>
        <v>297.6064</v>
      </c>
      <c r="J23" s="47">
        <f t="shared" si="13"/>
        <v>75.7361048888889</v>
      </c>
      <c r="K23" s="47">
        <f t="shared" si="14"/>
        <v>65.0187315555556</v>
      </c>
      <c r="L23" s="47">
        <f t="shared" si="15"/>
        <v>101.130448611111</v>
      </c>
      <c r="M23" s="47">
        <f t="shared" si="16"/>
        <v>97.5506097222222</v>
      </c>
      <c r="N23" s="47">
        <f t="shared" si="17"/>
        <v>206.154433333333</v>
      </c>
      <c r="O23" s="47">
        <f t="shared" si="18"/>
        <v>61.4846555555556</v>
      </c>
      <c r="P23" s="47">
        <f t="shared" si="19"/>
        <v>58.112964</v>
      </c>
      <c r="Q23" s="56">
        <v>21.2576</v>
      </c>
      <c r="R23" s="63"/>
      <c r="S23" s="6"/>
    </row>
    <row r="24" s="38" customFormat="1" ht="20" customHeight="1" spans="1:19">
      <c r="A24" s="55" t="s">
        <v>215</v>
      </c>
      <c r="B24" s="55">
        <v>0.152</v>
      </c>
      <c r="C24" s="55" t="s">
        <v>105</v>
      </c>
      <c r="D24" s="55" t="s">
        <v>146</v>
      </c>
      <c r="E24" s="57" t="s">
        <v>34</v>
      </c>
      <c r="F24" s="55" t="s">
        <v>203</v>
      </c>
      <c r="G24" s="47">
        <f t="shared" si="10"/>
        <v>322.19712</v>
      </c>
      <c r="H24" s="47">
        <f t="shared" si="11"/>
        <v>357.9073008</v>
      </c>
      <c r="I24" s="47">
        <f t="shared" si="12"/>
        <v>375.89664</v>
      </c>
      <c r="J24" s="47">
        <f t="shared" si="13"/>
        <v>95.6597282666667</v>
      </c>
      <c r="K24" s="47">
        <f t="shared" si="14"/>
        <v>82.1229742666667</v>
      </c>
      <c r="L24" s="47">
        <f t="shared" si="15"/>
        <v>127.734470208333</v>
      </c>
      <c r="M24" s="47">
        <f t="shared" si="16"/>
        <v>123.212896041667</v>
      </c>
      <c r="N24" s="47">
        <f t="shared" si="17"/>
        <v>260.386735</v>
      </c>
      <c r="O24" s="47">
        <f t="shared" si="18"/>
        <v>77.6592016666667</v>
      </c>
      <c r="P24" s="47">
        <f t="shared" si="19"/>
        <v>73.4005314</v>
      </c>
      <c r="Q24" s="56">
        <v>26.84976</v>
      </c>
      <c r="R24" s="63"/>
      <c r="S24" s="6"/>
    </row>
    <row r="25" s="38" customFormat="1" ht="20" customHeight="1" spans="1:19">
      <c r="A25" s="55" t="s">
        <v>215</v>
      </c>
      <c r="B25" s="55">
        <v>0.178</v>
      </c>
      <c r="C25" s="55" t="s">
        <v>105</v>
      </c>
      <c r="D25" s="55" t="s">
        <v>146</v>
      </c>
      <c r="E25" s="57" t="s">
        <v>34</v>
      </c>
      <c r="F25" s="55" t="s">
        <v>203</v>
      </c>
      <c r="G25" s="47">
        <f t="shared" si="10"/>
        <v>337.08864</v>
      </c>
      <c r="H25" s="47">
        <f t="shared" si="11"/>
        <v>374.4492976</v>
      </c>
      <c r="I25" s="47">
        <f t="shared" si="12"/>
        <v>393.27008</v>
      </c>
      <c r="J25" s="47">
        <f t="shared" si="13"/>
        <v>100.080992977778</v>
      </c>
      <c r="K25" s="47">
        <f t="shared" si="14"/>
        <v>85.9185883111111</v>
      </c>
      <c r="L25" s="47">
        <f t="shared" si="15"/>
        <v>133.638186597222</v>
      </c>
      <c r="M25" s="47">
        <f t="shared" si="16"/>
        <v>128.907631319444</v>
      </c>
      <c r="N25" s="47">
        <f t="shared" si="17"/>
        <v>272.421461666667</v>
      </c>
      <c r="O25" s="47">
        <f t="shared" si="18"/>
        <v>81.2485061111111</v>
      </c>
      <c r="P25" s="47">
        <f t="shared" si="19"/>
        <v>76.7930058</v>
      </c>
      <c r="Q25" s="56">
        <v>28.09072</v>
      </c>
      <c r="R25" s="63"/>
      <c r="S25" s="6"/>
    </row>
    <row r="26" s="38" customFormat="1" ht="20" customHeight="1" spans="1:19">
      <c r="A26" s="55" t="s">
        <v>215</v>
      </c>
      <c r="B26" s="55">
        <v>0.152</v>
      </c>
      <c r="C26" s="55" t="s">
        <v>105</v>
      </c>
      <c r="D26" s="55" t="s">
        <v>216</v>
      </c>
      <c r="E26" s="57" t="s">
        <v>34</v>
      </c>
      <c r="F26" s="55" t="s">
        <v>203</v>
      </c>
      <c r="G26" s="47">
        <f t="shared" si="10"/>
        <v>342.5184</v>
      </c>
      <c r="H26" s="47">
        <f t="shared" si="11"/>
        <v>380.480856</v>
      </c>
      <c r="I26" s="47">
        <f t="shared" si="12"/>
        <v>399.6048</v>
      </c>
      <c r="J26" s="47">
        <f t="shared" si="13"/>
        <v>101.693078666667</v>
      </c>
      <c r="K26" s="47">
        <f t="shared" si="14"/>
        <v>87.3025486666667</v>
      </c>
      <c r="L26" s="47">
        <f t="shared" si="15"/>
        <v>135.790805208333</v>
      </c>
      <c r="M26" s="47">
        <f t="shared" si="16"/>
        <v>130.984051041667</v>
      </c>
      <c r="N26" s="47">
        <f t="shared" si="17"/>
        <v>276.809575</v>
      </c>
      <c r="O26" s="47">
        <f t="shared" si="18"/>
        <v>82.5572416666667</v>
      </c>
      <c r="P26" s="47">
        <f t="shared" si="19"/>
        <v>78.029973</v>
      </c>
      <c r="Q26" s="56">
        <v>28.5432</v>
      </c>
      <c r="R26" s="63"/>
      <c r="S26" s="6"/>
    </row>
    <row r="27" s="38" customFormat="1" ht="20" customHeight="1" spans="1:19">
      <c r="A27" s="55" t="s">
        <v>215</v>
      </c>
      <c r="B27" s="55">
        <v>0.203</v>
      </c>
      <c r="C27" s="55" t="s">
        <v>105</v>
      </c>
      <c r="D27" s="55" t="s">
        <v>106</v>
      </c>
      <c r="E27" s="57" t="s">
        <v>41</v>
      </c>
      <c r="F27" s="55" t="s">
        <v>44</v>
      </c>
      <c r="G27" s="47">
        <f t="shared" si="10"/>
        <v>432.08256</v>
      </c>
      <c r="H27" s="47">
        <f t="shared" si="11"/>
        <v>479.9717104</v>
      </c>
      <c r="I27" s="47">
        <f t="shared" si="12"/>
        <v>504.09632</v>
      </c>
      <c r="J27" s="47">
        <f t="shared" si="13"/>
        <v>128.284511911111</v>
      </c>
      <c r="K27" s="47">
        <f t="shared" si="14"/>
        <v>110.131043244444</v>
      </c>
      <c r="L27" s="47">
        <f t="shared" si="15"/>
        <v>171.298355763889</v>
      </c>
      <c r="M27" s="47">
        <f t="shared" si="16"/>
        <v>165.234697152778</v>
      </c>
      <c r="N27" s="47">
        <f t="shared" si="17"/>
        <v>349.191721666667</v>
      </c>
      <c r="O27" s="47">
        <f t="shared" si="18"/>
        <v>104.144899444444</v>
      </c>
      <c r="P27" s="47">
        <f t="shared" si="19"/>
        <v>98.4338082</v>
      </c>
      <c r="Q27" s="56">
        <v>36.00688</v>
      </c>
      <c r="R27" s="63"/>
      <c r="S27" s="6"/>
    </row>
    <row r="28" s="38" customFormat="1" ht="20" customHeight="1" spans="1:19">
      <c r="A28" s="55" t="s">
        <v>215</v>
      </c>
      <c r="B28" s="55">
        <v>0.406</v>
      </c>
      <c r="C28" s="55" t="s">
        <v>105</v>
      </c>
      <c r="D28" s="55" t="s">
        <v>146</v>
      </c>
      <c r="E28" s="57" t="s">
        <v>34</v>
      </c>
      <c r="F28" s="55" t="s">
        <v>205</v>
      </c>
      <c r="G28" s="47">
        <f t="shared" si="10"/>
        <v>468.41088</v>
      </c>
      <c r="H28" s="47">
        <f t="shared" si="11"/>
        <v>520.3264192</v>
      </c>
      <c r="I28" s="47">
        <f t="shared" si="12"/>
        <v>546.47936</v>
      </c>
      <c r="J28" s="47">
        <f t="shared" si="13"/>
        <v>139.070322844444</v>
      </c>
      <c r="K28" s="47">
        <f t="shared" si="14"/>
        <v>119.390560177778</v>
      </c>
      <c r="L28" s="47">
        <f t="shared" si="15"/>
        <v>185.700653055556</v>
      </c>
      <c r="M28" s="47">
        <f t="shared" si="16"/>
        <v>179.127178611111</v>
      </c>
      <c r="N28" s="47">
        <f t="shared" si="17"/>
        <v>378.550806666667</v>
      </c>
      <c r="O28" s="47">
        <f t="shared" si="18"/>
        <v>112.901117777778</v>
      </c>
      <c r="P28" s="47">
        <f t="shared" si="19"/>
        <v>106.7098536</v>
      </c>
      <c r="Q28" s="56">
        <v>39.03424</v>
      </c>
      <c r="R28" s="63"/>
      <c r="S28" s="6"/>
    </row>
    <row r="29" s="38" customFormat="1" ht="20" customHeight="1" spans="1:19">
      <c r="A29" s="55" t="s">
        <v>215</v>
      </c>
      <c r="B29" s="55">
        <v>0.762</v>
      </c>
      <c r="C29" s="55" t="s">
        <v>105</v>
      </c>
      <c r="D29" s="55" t="s">
        <v>146</v>
      </c>
      <c r="E29" s="57" t="s">
        <v>34</v>
      </c>
      <c r="F29" s="55" t="s">
        <v>207</v>
      </c>
      <c r="G29" s="47">
        <f t="shared" si="10"/>
        <v>699.216</v>
      </c>
      <c r="H29" s="47">
        <f t="shared" si="11"/>
        <v>776.71244</v>
      </c>
      <c r="I29" s="47">
        <f t="shared" si="12"/>
        <v>815.752</v>
      </c>
      <c r="J29" s="47">
        <f t="shared" si="13"/>
        <v>207.595935555556</v>
      </c>
      <c r="K29" s="47">
        <f t="shared" si="14"/>
        <v>178.219152222222</v>
      </c>
      <c r="L29" s="47">
        <f t="shared" si="15"/>
        <v>277.202928819444</v>
      </c>
      <c r="M29" s="47">
        <f t="shared" si="16"/>
        <v>267.390435763889</v>
      </c>
      <c r="N29" s="47">
        <f t="shared" si="17"/>
        <v>565.078208333333</v>
      </c>
      <c r="O29" s="47">
        <f t="shared" si="18"/>
        <v>168.532097222222</v>
      </c>
      <c r="P29" s="47">
        <f t="shared" si="19"/>
        <v>159.290145</v>
      </c>
      <c r="Q29" s="56">
        <v>58.268</v>
      </c>
      <c r="R29" s="63"/>
      <c r="S29" s="6"/>
    </row>
    <row r="30" ht="7" customHeight="1"/>
    <row r="31" customHeight="1" spans="1:19">
      <c r="A31" s="11" t="s">
        <v>217</v>
      </c>
      <c r="B31" s="12"/>
      <c r="C31" s="27"/>
      <c r="D31" s="4"/>
      <c r="E31" s="13"/>
      <c r="F31" s="4"/>
    </row>
    <row r="32" customHeight="1" spans="1:19">
      <c r="F32" s="28"/>
    </row>
    <row r="33" ht="41" customHeight="1" spans="1:9">
      <c r="A33" s="14" t="s">
        <v>11</v>
      </c>
      <c r="B33" s="29" t="s">
        <v>84</v>
      </c>
      <c r="C33" s="64" t="s">
        <v>85</v>
      </c>
      <c r="D33" s="15" t="s">
        <v>218</v>
      </c>
      <c r="E33" s="14" t="s">
        <v>189</v>
      </c>
      <c r="F33" s="14"/>
      <c r="G33" s="31" t="s">
        <v>88</v>
      </c>
      <c r="H33" s="31"/>
      <c r="I33" s="45" t="s">
        <v>28</v>
      </c>
    </row>
    <row r="34" ht="16" customHeight="1" spans="1:9">
      <c r="A34" s="14" t="s">
        <v>219</v>
      </c>
      <c r="B34" s="29">
        <v>1035</v>
      </c>
      <c r="C34" s="64">
        <v>0.73</v>
      </c>
      <c r="D34" s="62" t="s">
        <v>212</v>
      </c>
      <c r="E34" s="53">
        <v>82.72432</v>
      </c>
      <c r="F34" s="53"/>
      <c r="G34" s="65">
        <f>E34*D34</f>
        <v>24817.296</v>
      </c>
      <c r="H34" s="65"/>
      <c r="I34" s="66"/>
    </row>
    <row r="35" ht="16" customHeight="1" spans="1:9">
      <c r="A35" s="14" t="s">
        <v>219</v>
      </c>
      <c r="B35" s="29">
        <v>1035</v>
      </c>
      <c r="C35" s="64">
        <v>0.75</v>
      </c>
      <c r="D35" s="62" t="s">
        <v>212</v>
      </c>
      <c r="E35" s="53">
        <v>89.00192</v>
      </c>
      <c r="F35" s="53"/>
      <c r="G35" s="65">
        <f>E35*D35</f>
        <v>26700.576</v>
      </c>
      <c r="H35" s="65"/>
      <c r="I35" s="66"/>
    </row>
    <row r="36" ht="16" customHeight="1" spans="1:9">
      <c r="A36" s="14" t="s">
        <v>219</v>
      </c>
      <c r="B36" s="29">
        <v>1035</v>
      </c>
      <c r="C36" s="64">
        <v>0.77</v>
      </c>
      <c r="D36" s="62" t="s">
        <v>212</v>
      </c>
      <c r="E36" s="53">
        <v>89.19568</v>
      </c>
      <c r="F36" s="53"/>
      <c r="G36" s="65">
        <f>E36*D36</f>
        <v>26758.704</v>
      </c>
      <c r="H36" s="65"/>
      <c r="I36" s="66"/>
    </row>
    <row r="37" ht="16" customHeight="1" spans="1:9">
      <c r="A37" s="14" t="s">
        <v>219</v>
      </c>
      <c r="B37" s="29">
        <v>1078</v>
      </c>
      <c r="C37" s="64">
        <v>0.64</v>
      </c>
      <c r="D37" s="62" t="s">
        <v>212</v>
      </c>
      <c r="E37" s="53">
        <v>83.82528</v>
      </c>
      <c r="F37" s="53"/>
      <c r="G37" s="65">
        <f t="shared" ref="G37:G42" si="20">E37*D37</f>
        <v>25147.584</v>
      </c>
      <c r="H37" s="65"/>
      <c r="I37" s="66"/>
    </row>
    <row r="38" ht="16" customHeight="1" spans="1:9">
      <c r="A38" s="14" t="s">
        <v>219</v>
      </c>
      <c r="B38" s="29">
        <v>1078</v>
      </c>
      <c r="C38" s="64">
        <v>0.67</v>
      </c>
      <c r="D38" s="62" t="s">
        <v>212</v>
      </c>
      <c r="E38" s="53">
        <v>89.0512</v>
      </c>
      <c r="F38" s="53"/>
      <c r="G38" s="31">
        <f t="shared" si="20"/>
        <v>26715.36</v>
      </c>
      <c r="H38" s="31"/>
      <c r="I38" s="66"/>
    </row>
    <row r="39" ht="16" customHeight="1" spans="1:9">
      <c r="A39" s="14" t="s">
        <v>219</v>
      </c>
      <c r="B39" s="29">
        <v>1078</v>
      </c>
      <c r="C39" s="64">
        <v>0.69</v>
      </c>
      <c r="D39" s="62" t="s">
        <v>212</v>
      </c>
      <c r="E39" s="53">
        <v>97.2272</v>
      </c>
      <c r="F39" s="53"/>
      <c r="G39" s="31">
        <f t="shared" si="20"/>
        <v>29168.16</v>
      </c>
      <c r="H39" s="31"/>
      <c r="I39" s="66"/>
    </row>
    <row r="40" ht="16" customHeight="1" spans="1:9">
      <c r="A40" s="14" t="s">
        <v>219</v>
      </c>
      <c r="B40" s="29">
        <v>1078</v>
      </c>
      <c r="C40" s="64">
        <v>0.72</v>
      </c>
      <c r="D40" s="62" t="s">
        <v>212</v>
      </c>
      <c r="E40" s="53">
        <v>94.2032</v>
      </c>
      <c r="F40" s="53"/>
      <c r="G40" s="65">
        <f t="shared" si="20"/>
        <v>28260.96</v>
      </c>
      <c r="H40" s="65"/>
      <c r="I40" s="48" t="s">
        <v>220</v>
      </c>
    </row>
    <row r="41" ht="16" customHeight="1" spans="1:9">
      <c r="A41" s="14" t="s">
        <v>219</v>
      </c>
      <c r="B41" s="29">
        <v>1078</v>
      </c>
      <c r="C41" s="64">
        <v>0.74</v>
      </c>
      <c r="D41" s="62" t="s">
        <v>212</v>
      </c>
      <c r="E41" s="53">
        <v>117.01648</v>
      </c>
      <c r="F41" s="53"/>
      <c r="G41" s="65">
        <f t="shared" si="20"/>
        <v>35104.944</v>
      </c>
      <c r="H41" s="65"/>
      <c r="I41" s="66"/>
    </row>
    <row r="42" ht="16" customHeight="1" spans="1:9">
      <c r="A42" s="14" t="s">
        <v>219</v>
      </c>
      <c r="B42" s="14">
        <v>106</v>
      </c>
      <c r="C42" s="67">
        <v>0.73</v>
      </c>
      <c r="D42" s="62" t="s">
        <v>212</v>
      </c>
      <c r="E42" s="53">
        <v>61.8128</v>
      </c>
      <c r="F42" s="53"/>
      <c r="G42" s="31">
        <f t="shared" si="20"/>
        <v>18543.84</v>
      </c>
      <c r="H42" s="31"/>
      <c r="I42" s="66"/>
    </row>
    <row r="43" ht="16" customHeight="1" spans="1:9">
      <c r="A43" s="14" t="s">
        <v>219</v>
      </c>
      <c r="B43" s="14">
        <v>1080</v>
      </c>
      <c r="C43" s="67">
        <v>0.64</v>
      </c>
      <c r="D43" s="62" t="s">
        <v>212</v>
      </c>
      <c r="E43" s="53">
        <v>77.31808</v>
      </c>
      <c r="F43" s="53"/>
      <c r="G43" s="65">
        <f t="shared" ref="G43:G49" si="21">E43*D43</f>
        <v>23195.424</v>
      </c>
      <c r="H43" s="65"/>
      <c r="I43" s="66"/>
    </row>
    <row r="44" ht="16" customHeight="1" spans="1:9">
      <c r="A44" s="14" t="s">
        <v>219</v>
      </c>
      <c r="B44" s="14">
        <v>1080</v>
      </c>
      <c r="C44" s="67">
        <v>0.67</v>
      </c>
      <c r="D44" s="62" t="s">
        <v>212</v>
      </c>
      <c r="E44" s="53">
        <v>84.04256</v>
      </c>
      <c r="F44" s="53"/>
      <c r="G44" s="65">
        <f t="shared" si="21"/>
        <v>25212.768</v>
      </c>
      <c r="H44" s="65"/>
      <c r="I44" s="66"/>
    </row>
    <row r="45" ht="16" customHeight="1" spans="1:9">
      <c r="A45" s="14" t="s">
        <v>219</v>
      </c>
      <c r="B45" s="14">
        <v>1080</v>
      </c>
      <c r="C45" s="67">
        <v>0.68</v>
      </c>
      <c r="D45" s="62" t="s">
        <v>212</v>
      </c>
      <c r="E45" s="53">
        <v>83.49824</v>
      </c>
      <c r="F45" s="53"/>
      <c r="G45" s="65">
        <f t="shared" si="21"/>
        <v>25049.472</v>
      </c>
      <c r="H45" s="65"/>
      <c r="I45" s="66"/>
    </row>
    <row r="46" ht="16" customHeight="1" spans="1:9">
      <c r="A46" s="14" t="s">
        <v>219</v>
      </c>
      <c r="B46" s="14">
        <v>1080</v>
      </c>
      <c r="C46" s="67">
        <v>0.69</v>
      </c>
      <c r="D46" s="62" t="s">
        <v>212</v>
      </c>
      <c r="E46" s="53">
        <v>86.36544</v>
      </c>
      <c r="F46" s="53"/>
      <c r="G46" s="65">
        <f t="shared" si="21"/>
        <v>25909.632</v>
      </c>
      <c r="H46" s="65"/>
      <c r="I46" s="66"/>
    </row>
    <row r="47" ht="16" customHeight="1" spans="1:9">
      <c r="A47" s="14" t="s">
        <v>219</v>
      </c>
      <c r="B47" s="14">
        <v>2116</v>
      </c>
      <c r="C47" s="67">
        <v>0.54</v>
      </c>
      <c r="D47" s="62" t="s">
        <v>213</v>
      </c>
      <c r="E47" s="53">
        <v>107.46064</v>
      </c>
      <c r="F47" s="53"/>
      <c r="G47" s="65">
        <f t="shared" si="21"/>
        <v>21492.128</v>
      </c>
      <c r="H47" s="65"/>
      <c r="I47" s="66"/>
    </row>
    <row r="48" ht="16" customHeight="1" spans="1:9">
      <c r="A48" s="14" t="s">
        <v>219</v>
      </c>
      <c r="B48" s="14">
        <v>2116</v>
      </c>
      <c r="C48" s="67">
        <v>0.56</v>
      </c>
      <c r="D48" s="62" t="s">
        <v>213</v>
      </c>
      <c r="E48" s="53">
        <v>105.0056</v>
      </c>
      <c r="F48" s="53"/>
      <c r="G48" s="31">
        <f t="shared" si="21"/>
        <v>21001.12</v>
      </c>
      <c r="H48" s="31"/>
      <c r="I48" s="66"/>
    </row>
    <row r="49" ht="16" customHeight="1" spans="1:18">
      <c r="A49" s="14" t="s">
        <v>219</v>
      </c>
      <c r="B49" s="14">
        <v>2116</v>
      </c>
      <c r="C49" s="67">
        <v>0.58</v>
      </c>
      <c r="D49" s="62" t="s">
        <v>213</v>
      </c>
      <c r="E49" s="53">
        <v>107.46064</v>
      </c>
      <c r="F49" s="53"/>
      <c r="G49" s="65">
        <f t="shared" si="21"/>
        <v>21492.128</v>
      </c>
      <c r="H49" s="65"/>
      <c r="I49" s="66"/>
    </row>
    <row r="50" s="1" customFormat="1" ht="17.4" spans="1:18">
      <c r="A50" s="38" t="s">
        <v>75</v>
      </c>
      <c r="B50" s="38"/>
      <c r="C50" s="38"/>
      <c r="D50" s="38"/>
      <c r="E50" s="39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</row>
    <row r="51" s="1" customFormat="1" ht="17.4" spans="1:18">
      <c r="A51" s="38" t="s">
        <v>76</v>
      </c>
      <c r="B51" s="38"/>
      <c r="C51" s="38"/>
      <c r="D51" s="38"/>
      <c r="E51" s="41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="1" customFormat="1" ht="17.4" spans="1:18">
      <c r="A52" s="38" t="s">
        <v>77</v>
      </c>
      <c r="B52" s="38"/>
      <c r="C52" s="38"/>
      <c r="D52" s="38"/>
      <c r="E52" s="41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="6" customFormat="1" ht="17.4" spans="1:18">
      <c r="A53" s="6" t="s">
        <v>160</v>
      </c>
      <c r="I53" s="42"/>
      <c r="J53" s="42"/>
      <c r="K53" s="42"/>
      <c r="L53" s="42"/>
      <c r="M53" s="42"/>
      <c r="N53" s="42"/>
      <c r="O53" s="42"/>
      <c r="P53" s="42"/>
      <c r="Q53" s="42"/>
      <c r="R53" s="28"/>
    </row>
    <row r="54" ht="16" customHeight="1" spans="1:18">
      <c r="A54" s="6" t="s">
        <v>170</v>
      </c>
    </row>
    <row r="55" customFormat="1" ht="16" customHeight="1" spans="1: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28"/>
    </row>
    <row r="56" customFormat="1" ht="16" customHeight="1" spans="1: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28"/>
    </row>
    <row r="57" s="6" customFormat="1" ht="21" customHeight="1" spans="1:18">
      <c r="A57" s="1" t="s">
        <v>80</v>
      </c>
      <c r="B57" s="1"/>
      <c r="C57" s="1"/>
      <c r="D57" s="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1"/>
    </row>
  </sheetData>
  <mergeCells count="41">
    <mergeCell ref="A1:R1"/>
    <mergeCell ref="A2:R2"/>
    <mergeCell ref="A3:R3"/>
    <mergeCell ref="A5:B5"/>
    <mergeCell ref="A7:B7"/>
    <mergeCell ref="A8:B8"/>
    <mergeCell ref="D11:E11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  <mergeCell ref="E38:F38"/>
    <mergeCell ref="G38:H38"/>
    <mergeCell ref="E39:F39"/>
    <mergeCell ref="G39:H39"/>
    <mergeCell ref="E40:F40"/>
    <mergeCell ref="G40:H40"/>
    <mergeCell ref="E41:F41"/>
    <mergeCell ref="G41:H41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E48:F48"/>
    <mergeCell ref="G48:H48"/>
    <mergeCell ref="E49:F49"/>
    <mergeCell ref="G49:H49"/>
  </mergeCells>
  <pageMargins left="0.75" right="0.75" top="1" bottom="1" header="0.5" footer="0.5"/>
  <pageSetup paperSize="9" scale="46" orientation="landscape"/>
  <headerFooter/>
  <rowBreaks count="1" manualBreakCount="1">
    <brk id="30" max="17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view="pageBreakPreview" zoomScaleNormal="100" topLeftCell="A4" workbookViewId="0">
      <selection activeCell="M8" sqref="M8"/>
    </sheetView>
  </sheetViews>
  <sheetFormatPr defaultColWidth="8.88888888888889" defaultRowHeight="15.6"/>
  <cols>
    <col min="1" max="1" width="12.8888888888889" style="6" customWidth="1"/>
    <col min="2" max="3" width="8.88888888888889" style="6"/>
    <col min="4" max="4" width="9.44444444444444" style="6" customWidth="1"/>
    <col min="5" max="6" width="8.88888888888889" style="6"/>
    <col min="7" max="9" width="8.66666666666667" style="6" customWidth="1"/>
    <col min="10" max="10" width="13" style="6" customWidth="1"/>
    <col min="11" max="11" width="11.4444444444444" style="6" customWidth="1"/>
    <col min="12" max="12" width="8.66666666666667" style="6" customWidth="1"/>
    <col min="13" max="13" width="11.8888888888889" style="6" customWidth="1"/>
    <col min="14" max="14" width="10.7777777777778" style="6" customWidth="1"/>
    <col min="15" max="15" width="11.8888888888889" style="6" customWidth="1"/>
    <col min="16" max="16" width="11.1111111111111" style="6" customWidth="1"/>
    <col min="17" max="17" width="14.1111111111111" style="6" customWidth="1"/>
    <col min="18" max="16384" width="8.88888888888889" style="6"/>
  </cols>
  <sheetData>
    <row r="1" s="1" customFormat="1" ht="99" customHeight="1" spans="1:16">
      <c r="A1" s="8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8"/>
    </row>
    <row r="2" s="2" customFormat="1" ht="12.75" customHeight="1" spans="1:16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="1" customFormat="1" ht="12.75" customHeight="1" spans="1:16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="1" customFormat="1" ht="12.75" customHeight="1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="1" customFormat="1" ht="15" customHeight="1" spans="1:16">
      <c r="A5" s="9" t="s">
        <v>2</v>
      </c>
      <c r="B5" s="9"/>
      <c r="C5" s="9"/>
      <c r="D5" s="9"/>
      <c r="E5" s="9"/>
      <c r="I5" s="10"/>
      <c r="J5" s="10"/>
      <c r="K5" s="10"/>
      <c r="L5" s="10"/>
      <c r="M5" s="10" t="s">
        <v>3</v>
      </c>
      <c r="N5" s="10"/>
      <c r="P5" s="10"/>
    </row>
    <row r="6" s="1" customFormat="1" ht="15" customHeight="1" spans="1:16">
      <c r="A6" s="9" t="s">
        <v>209</v>
      </c>
      <c r="B6" s="9"/>
      <c r="C6" s="9"/>
      <c r="D6" s="9"/>
      <c r="E6" s="9"/>
      <c r="I6" s="10"/>
      <c r="J6" s="10"/>
      <c r="K6" s="10"/>
      <c r="L6" s="10"/>
      <c r="M6" s="10" t="s">
        <v>5</v>
      </c>
      <c r="N6" s="10"/>
      <c r="P6" s="10"/>
    </row>
    <row r="7" s="1" customFormat="1" ht="15" customHeight="1" spans="1:16">
      <c r="A7" s="9" t="s">
        <v>6</v>
      </c>
      <c r="B7" s="9"/>
      <c r="C7" s="9"/>
      <c r="D7" s="9"/>
      <c r="E7" s="9"/>
      <c r="I7" s="10"/>
      <c r="J7" s="10"/>
      <c r="K7" s="10"/>
      <c r="L7" s="10"/>
      <c r="M7" s="10" t="s">
        <v>7</v>
      </c>
      <c r="N7" s="10"/>
      <c r="P7" s="10"/>
    </row>
    <row r="8" s="3" customFormat="1" ht="15" customHeight="1" spans="1:16">
      <c r="A8" s="9" t="s">
        <v>8</v>
      </c>
      <c r="B8" s="9"/>
      <c r="C8" s="9"/>
      <c r="D8" s="9"/>
      <c r="E8" s="9"/>
      <c r="I8" s="10"/>
      <c r="J8" s="10"/>
      <c r="K8" s="10"/>
      <c r="L8" s="10"/>
      <c r="M8" s="10" t="s">
        <v>9</v>
      </c>
      <c r="N8" s="10"/>
      <c r="P8" s="10"/>
    </row>
    <row r="9" s="4" customFormat="1" ht="14.25" customHeight="1" spans="1:16">
      <c r="A9" s="11" t="s">
        <v>221</v>
      </c>
      <c r="B9" s="12"/>
      <c r="C9" s="12"/>
      <c r="D9" s="12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="4" customFormat="1" ht="14.25" customHeight="1" spans="1:16">
      <c r="A10" s="11"/>
      <c r="B10" s="12"/>
      <c r="C10" s="12"/>
      <c r="D10" s="12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="6" customFormat="1" ht="30" spans="1:16">
      <c r="A11" s="14" t="s">
        <v>11</v>
      </c>
      <c r="B11" s="14" t="s">
        <v>12</v>
      </c>
      <c r="C11" s="15" t="s">
        <v>13</v>
      </c>
      <c r="D11" s="16" t="s">
        <v>15</v>
      </c>
      <c r="E11" s="17"/>
      <c r="F11" s="14" t="s">
        <v>16</v>
      </c>
      <c r="G11" s="47" t="s">
        <v>17</v>
      </c>
      <c r="H11" s="47" t="s">
        <v>18</v>
      </c>
      <c r="I11" s="47" t="s">
        <v>19</v>
      </c>
      <c r="J11" s="47" t="s">
        <v>22</v>
      </c>
      <c r="K11" s="47" t="s">
        <v>23</v>
      </c>
      <c r="L11" s="47" t="s">
        <v>24</v>
      </c>
      <c r="M11" s="47" t="s">
        <v>25</v>
      </c>
      <c r="N11" s="47" t="s">
        <v>26</v>
      </c>
      <c r="O11" s="47" t="s">
        <v>27</v>
      </c>
    </row>
    <row r="12" s="6" customFormat="1" spans="1:16">
      <c r="A12" s="55" t="s">
        <v>222</v>
      </c>
      <c r="B12" s="55">
        <v>0.1</v>
      </c>
      <c r="C12" s="55" t="s">
        <v>105</v>
      </c>
      <c r="D12" s="55" t="s">
        <v>223</v>
      </c>
      <c r="E12" s="55" t="s">
        <v>31</v>
      </c>
      <c r="F12" s="55" t="s">
        <v>36</v>
      </c>
      <c r="G12" s="47">
        <f>O12*12</f>
        <v>229.362336</v>
      </c>
      <c r="H12" s="47">
        <f>O12*13.33</f>
        <v>254.78332824</v>
      </c>
      <c r="I12" s="47">
        <f>O12*14</f>
        <v>267.589392</v>
      </c>
      <c r="J12" s="47">
        <f>28.25*24.25/144*O12</f>
        <v>90.9302866354167</v>
      </c>
      <c r="K12" s="47">
        <f>27.25*24.25/144*O12</f>
        <v>87.7115154270833</v>
      </c>
      <c r="L12" s="47">
        <f>28.5*49/144*O12</f>
        <v>185.36140175</v>
      </c>
      <c r="M12" s="47">
        <f>17*24.5/144*O12</f>
        <v>55.2832250833333</v>
      </c>
      <c r="N12" s="47">
        <f>24.3*16.2/144*O12</f>
        <v>52.25160717</v>
      </c>
      <c r="O12" s="56">
        <v>19.113528</v>
      </c>
    </row>
    <row r="13" s="6" customFormat="1" spans="1:16">
      <c r="A13" s="55" t="s">
        <v>222</v>
      </c>
      <c r="B13" s="55">
        <v>0.102</v>
      </c>
      <c r="C13" s="55" t="s">
        <v>105</v>
      </c>
      <c r="D13" s="55" t="s">
        <v>223</v>
      </c>
      <c r="E13" s="55" t="s">
        <v>34</v>
      </c>
      <c r="F13" s="55" t="s">
        <v>200</v>
      </c>
      <c r="G13" s="47">
        <f t="shared" ref="G13:G18" si="0">O13*12</f>
        <v>380.120832</v>
      </c>
      <c r="H13" s="47">
        <f t="shared" ref="H13:H18" si="1">O13*13.33</f>
        <v>422.25089088</v>
      </c>
      <c r="I13" s="47">
        <f t="shared" ref="I13:I18" si="2">O13*14</f>
        <v>443.474304</v>
      </c>
      <c r="J13" s="47">
        <f t="shared" ref="J13:J18" si="3">28.25*24.25/144*O13</f>
        <v>150.698221916667</v>
      </c>
      <c r="K13" s="47">
        <f t="shared" ref="K13:K18" si="4">27.25*24.25/144*O13</f>
        <v>145.363771583333</v>
      </c>
      <c r="L13" s="47">
        <f t="shared" ref="L13:L18" si="5">28.5*49/144*O13</f>
        <v>307.198346</v>
      </c>
      <c r="M13" s="47">
        <f t="shared" ref="M13:M18" si="6">17*24.5/144*O13</f>
        <v>91.6205593333333</v>
      </c>
      <c r="N13" s="47">
        <f t="shared" ref="N13:N18" si="7">24.3*16.2/144*O13</f>
        <v>86.59627704</v>
      </c>
      <c r="O13" s="56">
        <v>31.676736</v>
      </c>
    </row>
    <row r="14" s="6" customFormat="1" spans="1:16">
      <c r="A14" s="55" t="s">
        <v>222</v>
      </c>
      <c r="B14" s="55">
        <v>0.102</v>
      </c>
      <c r="C14" s="55" t="s">
        <v>105</v>
      </c>
      <c r="D14" s="55" t="s">
        <v>106</v>
      </c>
      <c r="E14" s="57" t="s">
        <v>41</v>
      </c>
      <c r="F14" s="55" t="s">
        <v>200</v>
      </c>
      <c r="G14" s="47">
        <f t="shared" si="0"/>
        <v>404.02656</v>
      </c>
      <c r="H14" s="47">
        <f t="shared" si="1"/>
        <v>448.8061704</v>
      </c>
      <c r="I14" s="47">
        <f t="shared" si="2"/>
        <v>471.36432</v>
      </c>
      <c r="J14" s="47">
        <f t="shared" si="3"/>
        <v>160.175604895833</v>
      </c>
      <c r="K14" s="47">
        <f t="shared" si="4"/>
        <v>154.505671979167</v>
      </c>
      <c r="L14" s="47">
        <f t="shared" si="5"/>
        <v>326.5179925</v>
      </c>
      <c r="M14" s="47">
        <f t="shared" si="6"/>
        <v>97.3825591666667</v>
      </c>
      <c r="N14" s="47">
        <f t="shared" si="7"/>
        <v>92.0423007</v>
      </c>
      <c r="O14" s="56">
        <v>33.66888</v>
      </c>
    </row>
    <row r="15" s="6" customFormat="1" spans="1:16">
      <c r="A15" s="55" t="s">
        <v>222</v>
      </c>
      <c r="B15" s="55">
        <v>0.152</v>
      </c>
      <c r="C15" s="55" t="s">
        <v>105</v>
      </c>
      <c r="D15" s="55" t="s">
        <v>146</v>
      </c>
      <c r="E15" s="55" t="s">
        <v>34</v>
      </c>
      <c r="F15" s="55" t="s">
        <v>203</v>
      </c>
      <c r="G15" s="47">
        <f t="shared" si="0"/>
        <v>307.542816</v>
      </c>
      <c r="H15" s="47">
        <f t="shared" si="1"/>
        <v>341.62881144</v>
      </c>
      <c r="I15" s="47">
        <f t="shared" si="2"/>
        <v>358.799952</v>
      </c>
      <c r="J15" s="47">
        <f t="shared" si="3"/>
        <v>121.924797677083</v>
      </c>
      <c r="K15" s="47">
        <f t="shared" si="4"/>
        <v>117.608875635417</v>
      </c>
      <c r="L15" s="47">
        <f t="shared" si="5"/>
        <v>248.54371675</v>
      </c>
      <c r="M15" s="47">
        <f t="shared" si="6"/>
        <v>74.1270734166667</v>
      </c>
      <c r="N15" s="47">
        <f t="shared" si="7"/>
        <v>70.06209777</v>
      </c>
      <c r="O15" s="56">
        <v>25.628568</v>
      </c>
    </row>
    <row r="16" s="6" customFormat="1" spans="1:16">
      <c r="A16" s="55" t="s">
        <v>222</v>
      </c>
      <c r="B16" s="55">
        <v>0.152</v>
      </c>
      <c r="C16" s="55" t="s">
        <v>105</v>
      </c>
      <c r="D16" s="55" t="s">
        <v>223</v>
      </c>
      <c r="E16" s="55" t="s">
        <v>34</v>
      </c>
      <c r="F16" s="55" t="s">
        <v>203</v>
      </c>
      <c r="G16" s="47">
        <f t="shared" si="0"/>
        <v>340.070976</v>
      </c>
      <c r="H16" s="47">
        <f t="shared" si="1"/>
        <v>377.76217584</v>
      </c>
      <c r="I16" s="47">
        <f t="shared" si="2"/>
        <v>396.749472</v>
      </c>
      <c r="J16" s="47">
        <f t="shared" si="3"/>
        <v>134.820528354167</v>
      </c>
      <c r="K16" s="47">
        <f t="shared" si="4"/>
        <v>130.048120270833</v>
      </c>
      <c r="L16" s="47">
        <f t="shared" si="5"/>
        <v>274.8316655</v>
      </c>
      <c r="M16" s="47">
        <f t="shared" si="6"/>
        <v>81.9673388333333</v>
      </c>
      <c r="N16" s="47">
        <f t="shared" si="7"/>
        <v>77.47241922</v>
      </c>
      <c r="O16" s="56">
        <v>28.339248</v>
      </c>
    </row>
    <row r="17" s="6" customFormat="1" spans="1:16">
      <c r="A17" s="55" t="s">
        <v>222</v>
      </c>
      <c r="B17" s="55">
        <v>0.406</v>
      </c>
      <c r="C17" s="55" t="s">
        <v>105</v>
      </c>
      <c r="D17" s="55" t="s">
        <v>223</v>
      </c>
      <c r="E17" s="55" t="s">
        <v>34</v>
      </c>
      <c r="F17" s="55" t="s">
        <v>205</v>
      </c>
      <c r="G17" s="47">
        <f t="shared" si="0"/>
        <v>584.758944</v>
      </c>
      <c r="H17" s="47">
        <f t="shared" si="1"/>
        <v>649.56972696</v>
      </c>
      <c r="I17" s="47">
        <f t="shared" si="2"/>
        <v>682.218768</v>
      </c>
      <c r="J17" s="47">
        <f t="shared" si="3"/>
        <v>231.826634302083</v>
      </c>
      <c r="K17" s="47">
        <f t="shared" si="4"/>
        <v>223.620381760417</v>
      </c>
      <c r="L17" s="47">
        <f t="shared" si="5"/>
        <v>472.57862575</v>
      </c>
      <c r="M17" s="47">
        <f t="shared" si="6"/>
        <v>140.944502416667</v>
      </c>
      <c r="N17" s="47">
        <f t="shared" si="7"/>
        <v>133.21539693</v>
      </c>
      <c r="O17" s="56">
        <v>48.729912</v>
      </c>
    </row>
    <row r="18" s="6" customFormat="1" spans="1:16">
      <c r="A18" s="55" t="s">
        <v>222</v>
      </c>
      <c r="B18" s="55">
        <v>0.635</v>
      </c>
      <c r="C18" s="55" t="s">
        <v>105</v>
      </c>
      <c r="D18" s="55" t="s">
        <v>223</v>
      </c>
      <c r="E18" s="55" t="s">
        <v>34</v>
      </c>
      <c r="F18" s="55" t="s">
        <v>206</v>
      </c>
      <c r="G18" s="47">
        <f t="shared" si="0"/>
        <v>708.0696</v>
      </c>
      <c r="H18" s="47">
        <f t="shared" si="1"/>
        <v>786.547314</v>
      </c>
      <c r="I18" s="47">
        <f t="shared" si="2"/>
        <v>826.0812</v>
      </c>
      <c r="J18" s="47">
        <f t="shared" si="3"/>
        <v>280.71292265625</v>
      </c>
      <c r="K18" s="47">
        <f t="shared" si="4"/>
        <v>270.77618203125</v>
      </c>
      <c r="L18" s="47">
        <f t="shared" si="5"/>
        <v>572.23333125</v>
      </c>
      <c r="M18" s="47">
        <f t="shared" si="6"/>
        <v>170.66608125</v>
      </c>
      <c r="N18" s="47">
        <f t="shared" si="7"/>
        <v>161.30710575</v>
      </c>
      <c r="O18" s="56">
        <v>59.0058</v>
      </c>
    </row>
    <row r="20" s="6" customFormat="1" ht="12.75" customHeight="1" spans="1:16">
      <c r="P20" s="28"/>
    </row>
    <row r="21" s="6" customFormat="1" ht="12.75" customHeight="1" spans="1:16">
      <c r="A21" s="11" t="s">
        <v>224</v>
      </c>
      <c r="B21" s="12"/>
      <c r="C21" s="27"/>
      <c r="D21" s="4"/>
      <c r="E21" s="13"/>
      <c r="F21" s="4"/>
      <c r="G21" s="4"/>
      <c r="P21" s="28"/>
    </row>
    <row r="22" spans="1:16">
      <c r="F22" s="28"/>
    </row>
    <row r="23" ht="30" spans="1:16">
      <c r="A23" s="14" t="s">
        <v>11</v>
      </c>
      <c r="B23" s="29" t="s">
        <v>84</v>
      </c>
      <c r="C23" s="30" t="s">
        <v>168</v>
      </c>
      <c r="D23" s="15" t="s">
        <v>169</v>
      </c>
      <c r="E23" s="14" t="s">
        <v>87</v>
      </c>
      <c r="F23" s="14"/>
      <c r="G23" s="14" t="s">
        <v>88</v>
      </c>
      <c r="H23" s="14"/>
      <c r="I23" s="14" t="s">
        <v>28</v>
      </c>
    </row>
    <row r="24" spans="1:16">
      <c r="A24" s="45" t="s">
        <v>225</v>
      </c>
      <c r="B24" s="45">
        <v>106</v>
      </c>
      <c r="C24" s="45">
        <v>74</v>
      </c>
      <c r="D24" s="45">
        <v>300</v>
      </c>
      <c r="E24" s="53">
        <v>141.232</v>
      </c>
      <c r="F24" s="53"/>
      <c r="G24" s="14">
        <f t="shared" ref="G24:G30" si="8">E24*D24</f>
        <v>42369.6</v>
      </c>
      <c r="H24" s="14"/>
      <c r="I24" s="14"/>
    </row>
    <row r="25" spans="1:16">
      <c r="A25" s="45" t="s">
        <v>225</v>
      </c>
      <c r="B25" s="45">
        <v>1035</v>
      </c>
      <c r="C25" s="45">
        <v>77</v>
      </c>
      <c r="D25" s="45">
        <v>300</v>
      </c>
      <c r="E25" s="53">
        <v>136.5392</v>
      </c>
      <c r="F25" s="53"/>
      <c r="G25" s="14">
        <f t="shared" si="8"/>
        <v>40961.76</v>
      </c>
      <c r="H25" s="14"/>
      <c r="I25" s="14"/>
    </row>
    <row r="26" spans="1:16">
      <c r="A26" s="45" t="s">
        <v>225</v>
      </c>
      <c r="B26" s="45">
        <v>1080</v>
      </c>
      <c r="C26" s="45">
        <v>68</v>
      </c>
      <c r="D26" s="45">
        <v>300</v>
      </c>
      <c r="E26" s="53">
        <v>145.6224</v>
      </c>
      <c r="F26" s="53"/>
      <c r="G26" s="14">
        <f t="shared" si="8"/>
        <v>43686.72</v>
      </c>
      <c r="H26" s="14"/>
      <c r="I26" s="14"/>
    </row>
    <row r="27" spans="1:16">
      <c r="A27" s="45" t="s">
        <v>225</v>
      </c>
      <c r="B27" s="45">
        <v>2116</v>
      </c>
      <c r="C27" s="45">
        <v>54</v>
      </c>
      <c r="D27" s="45">
        <v>250</v>
      </c>
      <c r="E27" s="53">
        <v>154.896</v>
      </c>
      <c r="F27" s="53"/>
      <c r="G27" s="14">
        <f t="shared" si="8"/>
        <v>38724</v>
      </c>
      <c r="H27" s="14"/>
      <c r="I27" s="14"/>
    </row>
    <row r="28" spans="1:16">
      <c r="A28" s="45" t="s">
        <v>225</v>
      </c>
      <c r="B28" s="45">
        <v>1078</v>
      </c>
      <c r="C28" s="45">
        <v>65</v>
      </c>
      <c r="D28" s="45">
        <v>300</v>
      </c>
      <c r="E28" s="53">
        <v>126.0336</v>
      </c>
      <c r="F28" s="53"/>
      <c r="G28" s="14">
        <f t="shared" si="8"/>
        <v>37810.08</v>
      </c>
      <c r="H28" s="14"/>
      <c r="I28" s="14"/>
    </row>
    <row r="29" spans="1:16">
      <c r="A29" s="45" t="s">
        <v>225</v>
      </c>
      <c r="B29" s="45">
        <v>1078</v>
      </c>
      <c r="C29" s="45">
        <v>68</v>
      </c>
      <c r="D29" s="45">
        <v>300</v>
      </c>
      <c r="E29" s="53">
        <v>135.9008</v>
      </c>
      <c r="F29" s="53"/>
      <c r="G29" s="14">
        <f t="shared" si="8"/>
        <v>40770.24</v>
      </c>
      <c r="H29" s="14"/>
      <c r="I29" s="14"/>
    </row>
    <row r="30" spans="1:16">
      <c r="A30" s="45" t="s">
        <v>225</v>
      </c>
      <c r="B30" s="45">
        <v>1078</v>
      </c>
      <c r="C30" s="45">
        <v>71</v>
      </c>
      <c r="D30" s="45">
        <v>300</v>
      </c>
      <c r="E30" s="53">
        <v>142.632</v>
      </c>
      <c r="F30" s="53"/>
      <c r="G30" s="14">
        <f t="shared" si="8"/>
        <v>42789.6</v>
      </c>
      <c r="H30" s="14"/>
      <c r="I30" s="14"/>
    </row>
    <row r="32" s="1" customFormat="1" ht="17.4" spans="1:16">
      <c r="A32" s="38" t="s">
        <v>75</v>
      </c>
      <c r="B32" s="38"/>
      <c r="C32" s="38"/>
      <c r="D32" s="38"/>
      <c r="E32" s="39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</row>
    <row r="33" s="1" customFormat="1" ht="17.4" spans="1:16">
      <c r="A33" s="38" t="s">
        <v>76</v>
      </c>
      <c r="B33" s="38"/>
      <c r="C33" s="38"/>
      <c r="D33" s="38"/>
      <c r="E33" s="41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="1" customFormat="1" ht="17.4" spans="1:16">
      <c r="A34" s="38" t="s">
        <v>77</v>
      </c>
      <c r="B34" s="38"/>
      <c r="C34" s="38"/>
      <c r="D34" s="38"/>
      <c r="E34" s="41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="6" customFormat="1" ht="17.4" spans="1:16">
      <c r="A35" s="6" t="s">
        <v>160</v>
      </c>
      <c r="I35" s="42"/>
      <c r="J35" s="42"/>
      <c r="K35" s="42"/>
      <c r="L35" s="42"/>
      <c r="M35" s="42"/>
      <c r="N35" s="42"/>
      <c r="O35" s="42"/>
      <c r="P35" s="28"/>
    </row>
    <row r="36" spans="1:16">
      <c r="A36" s="6" t="s">
        <v>170</v>
      </c>
    </row>
    <row r="37" s="6" customFormat="1" ht="18" customHeight="1" spans="1:16">
      <c r="A37" s="1" t="s">
        <v>80</v>
      </c>
      <c r="B37" s="1"/>
      <c r="C37" s="1"/>
      <c r="D37" s="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1"/>
    </row>
  </sheetData>
  <mergeCells count="24">
    <mergeCell ref="B1:O1"/>
    <mergeCell ref="A2:P2"/>
    <mergeCell ref="A3:P3"/>
    <mergeCell ref="A5:B5"/>
    <mergeCell ref="A6:B6"/>
    <mergeCell ref="A7:B7"/>
    <mergeCell ref="A8:B8"/>
    <mergeCell ref="D11:E11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</mergeCells>
  <pageMargins left="0.75" right="0.75" top="1" bottom="1" header="0.5" footer="0.5"/>
  <pageSetup paperSize="9" scale="66" orientation="landscape"/>
  <headerFooter/>
  <colBreaks count="1" manualBreakCount="1">
    <brk id="15" max="1048575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"/>
  <sheetViews>
    <sheetView view="pageBreakPreview" zoomScale="85" zoomScaleNormal="85" topLeftCell="A5" workbookViewId="0">
      <selection activeCell="E27" sqref="E27:F37"/>
    </sheetView>
  </sheetViews>
  <sheetFormatPr defaultColWidth="8.88888888888889" defaultRowHeight="15.6"/>
  <cols>
    <col min="1" max="3" width="8.88888888888889" style="6"/>
    <col min="4" max="4" width="11.5555555555556" style="6" customWidth="1"/>
    <col min="5" max="7" width="8.88888888888889" style="6"/>
    <col min="8" max="9" width="9.33333333333333" style="6" customWidth="1"/>
    <col min="10" max="10" width="12.6666666666667" style="6" customWidth="1"/>
    <col min="11" max="11" width="10.1111111111111" style="6" customWidth="1"/>
    <col min="12" max="13" width="12.6666666666667" style="6" customWidth="1"/>
    <col min="14" max="15" width="8.55555555555556" style="6" customWidth="1"/>
    <col min="16" max="16" width="10.1111111111111" style="6" customWidth="1"/>
    <col min="17" max="17" width="11.5555555555556" style="6" customWidth="1"/>
    <col min="18" max="18" width="11.1111111111111" style="6" customWidth="1"/>
    <col min="19" max="19" width="11.5555555555556" style="6"/>
    <col min="20" max="20" width="12.8888888888889" style="6"/>
    <col min="21" max="16384" width="8.88888888888889" style="6"/>
  </cols>
  <sheetData>
    <row r="1" s="1" customFormat="1" ht="99" customHeight="1" spans="1:20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="2" customFormat="1" ht="12.75" customHeight="1" spans="1:2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="1" customFormat="1" ht="12.75" customHeight="1" spans="1:2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="1" customFormat="1" ht="12.75" customHeight="1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="1" customFormat="1" ht="15" customHeight="1" spans="1:20">
      <c r="A5" s="9" t="s">
        <v>2</v>
      </c>
      <c r="B5" s="9"/>
      <c r="C5" s="9"/>
      <c r="D5" s="9"/>
      <c r="E5" s="9"/>
      <c r="J5" s="10"/>
      <c r="K5" s="10"/>
      <c r="L5" s="10"/>
      <c r="M5" s="10"/>
      <c r="N5" s="10"/>
      <c r="O5" s="10" t="s">
        <v>3</v>
      </c>
      <c r="P5" s="10"/>
      <c r="R5" s="10"/>
    </row>
    <row r="6" s="1" customFormat="1" ht="15" customHeight="1" spans="1:20">
      <c r="A6" s="10" t="s">
        <v>4</v>
      </c>
      <c r="B6" s="10"/>
      <c r="C6" s="10"/>
      <c r="D6" s="9"/>
      <c r="E6" s="9"/>
      <c r="J6" s="10"/>
      <c r="K6" s="10"/>
      <c r="L6" s="10"/>
      <c r="M6" s="10"/>
      <c r="N6" s="10"/>
      <c r="O6" s="10" t="s">
        <v>5</v>
      </c>
      <c r="P6" s="10"/>
      <c r="R6" s="10"/>
    </row>
    <row r="7" s="1" customFormat="1" ht="15" customHeight="1" spans="1:20">
      <c r="A7" s="9" t="s">
        <v>6</v>
      </c>
      <c r="B7" s="9"/>
      <c r="C7" s="9"/>
      <c r="D7" s="9"/>
      <c r="E7" s="9"/>
      <c r="J7" s="10"/>
      <c r="K7" s="10"/>
      <c r="L7" s="10"/>
      <c r="M7" s="10"/>
      <c r="N7" s="10"/>
      <c r="O7" s="10" t="s">
        <v>7</v>
      </c>
      <c r="P7" s="10"/>
      <c r="R7" s="10"/>
    </row>
    <row r="8" s="3" customFormat="1" ht="15" customHeight="1" spans="1:20">
      <c r="A8" s="9" t="s">
        <v>8</v>
      </c>
      <c r="B8" s="9"/>
      <c r="C8" s="9"/>
      <c r="D8" s="9"/>
      <c r="E8" s="9"/>
      <c r="J8" s="10"/>
      <c r="K8" s="10"/>
      <c r="L8" s="10"/>
      <c r="M8" s="10"/>
      <c r="N8" s="10"/>
      <c r="O8" s="10" t="s">
        <v>9</v>
      </c>
      <c r="P8" s="10"/>
      <c r="R8" s="10"/>
    </row>
    <row r="9" s="4" customFormat="1" ht="14.25" customHeight="1" spans="1:20">
      <c r="A9" s="11" t="s">
        <v>226</v>
      </c>
      <c r="B9" s="12"/>
      <c r="C9" s="12"/>
      <c r="D9" s="12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="4" customFormat="1" ht="14.25" customHeight="1" spans="1:20">
      <c r="A10" s="11"/>
      <c r="B10" s="12"/>
      <c r="C10" s="12"/>
      <c r="D10" s="12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ht="30" spans="1:20">
      <c r="A11" s="14" t="s">
        <v>11</v>
      </c>
      <c r="B11" s="14" t="s">
        <v>12</v>
      </c>
      <c r="C11" s="15" t="s">
        <v>13</v>
      </c>
      <c r="D11" s="16" t="s">
        <v>15</v>
      </c>
      <c r="E11" s="17"/>
      <c r="F11" s="14" t="s">
        <v>16</v>
      </c>
      <c r="G11" s="14" t="s">
        <v>17</v>
      </c>
      <c r="H11" s="14" t="s">
        <v>18</v>
      </c>
      <c r="I11" s="14" t="s">
        <v>19</v>
      </c>
      <c r="J11" s="14" t="s">
        <v>20</v>
      </c>
      <c r="K11" s="14" t="s">
        <v>21</v>
      </c>
      <c r="L11" s="14" t="s">
        <v>22</v>
      </c>
      <c r="M11" s="14" t="s">
        <v>23</v>
      </c>
      <c r="N11" s="14" t="s">
        <v>24</v>
      </c>
      <c r="O11" s="14" t="s">
        <v>25</v>
      </c>
      <c r="P11" s="14" t="s">
        <v>26</v>
      </c>
      <c r="Q11" s="19" t="s">
        <v>27</v>
      </c>
    </row>
    <row r="12" spans="1:20">
      <c r="A12" s="45" t="s">
        <v>227</v>
      </c>
      <c r="B12" s="45">
        <v>0.076</v>
      </c>
      <c r="C12" s="45" t="s">
        <v>105</v>
      </c>
      <c r="D12" s="45" t="s">
        <v>202</v>
      </c>
      <c r="E12" s="46" t="s">
        <v>34</v>
      </c>
      <c r="F12" s="45" t="s">
        <v>197</v>
      </c>
      <c r="G12" s="47">
        <f>Q12*12</f>
        <v>308.32704</v>
      </c>
      <c r="H12" s="47">
        <f>Q12*13.33</f>
        <v>342.4999536</v>
      </c>
      <c r="I12" s="47">
        <f>Q12*14</f>
        <v>359.71488</v>
      </c>
      <c r="J12" s="47">
        <f>21.2*24.2/144*Q12</f>
        <v>91.5417272</v>
      </c>
      <c r="K12" s="47">
        <f>18.2*24.2/144*Q12</f>
        <v>78.5877092</v>
      </c>
      <c r="L12" s="47">
        <f>28.25*24.25/144*Q12</f>
        <v>122.235701875</v>
      </c>
      <c r="M12" s="47">
        <f>27.25*24.25/144*Q12</f>
        <v>117.908774375</v>
      </c>
      <c r="N12" s="47">
        <f>28.5*49/144*Q12</f>
        <v>249.177495</v>
      </c>
      <c r="O12" s="47">
        <f>17*24.5/144*Q12</f>
        <v>74.316095</v>
      </c>
      <c r="P12" s="47">
        <f>24.3*16.2/144*Q12</f>
        <v>70.2407538</v>
      </c>
      <c r="Q12" s="48">
        <v>25.69392</v>
      </c>
    </row>
    <row r="13" spans="1:20">
      <c r="A13" s="45" t="s">
        <v>227</v>
      </c>
      <c r="B13" s="45">
        <v>0.102</v>
      </c>
      <c r="C13" s="45" t="s">
        <v>105</v>
      </c>
      <c r="D13" s="45" t="s">
        <v>202</v>
      </c>
      <c r="E13" s="45" t="s">
        <v>31</v>
      </c>
      <c r="F13" s="45" t="s">
        <v>200</v>
      </c>
      <c r="G13" s="47">
        <f t="shared" ref="G13:G21" si="0">Q13*12</f>
        <v>264.37824</v>
      </c>
      <c r="H13" s="47">
        <f t="shared" ref="H13:H21" si="1">Q13*13.33</f>
        <v>293.6801616</v>
      </c>
      <c r="I13" s="47">
        <f t="shared" ref="I13:I21" si="2">Q13*14</f>
        <v>308.44128</v>
      </c>
      <c r="J13" s="47">
        <f t="shared" ref="J13:J21" si="3">21.2*24.2/144*Q13</f>
        <v>78.4934098666667</v>
      </c>
      <c r="K13" s="47">
        <f t="shared" ref="K13:K21" si="4">18.2*24.2/144*Q13</f>
        <v>67.3858518666667</v>
      </c>
      <c r="L13" s="47">
        <f t="shared" ref="L13:L21" si="5">28.25*24.25/144*Q13</f>
        <v>104.812278958333</v>
      </c>
      <c r="M13" s="47">
        <f t="shared" ref="M13:M21" si="6">27.25*24.25/144*Q13</f>
        <v>101.102109791667</v>
      </c>
      <c r="N13" s="47">
        <f t="shared" ref="N13:N21" si="7">28.5*49/144*Q13</f>
        <v>213.659845</v>
      </c>
      <c r="O13" s="47">
        <f t="shared" ref="O13:O21" si="8">17*24.5/144*Q13</f>
        <v>63.7231116666667</v>
      </c>
      <c r="P13" s="47">
        <f t="shared" ref="P13:P21" si="9">24.3*16.2/144*Q13</f>
        <v>60.2286678</v>
      </c>
      <c r="Q13" s="48">
        <v>22.03152</v>
      </c>
    </row>
    <row r="14" spans="1:20">
      <c r="A14" s="45" t="s">
        <v>227</v>
      </c>
      <c r="B14" s="45">
        <v>0.102</v>
      </c>
      <c r="C14" s="45" t="s">
        <v>105</v>
      </c>
      <c r="D14" s="45" t="s">
        <v>202</v>
      </c>
      <c r="E14" s="45" t="s">
        <v>107</v>
      </c>
      <c r="F14" s="45" t="s">
        <v>200</v>
      </c>
      <c r="G14" s="47">
        <f t="shared" si="0"/>
        <v>317.41248</v>
      </c>
      <c r="H14" s="47">
        <f t="shared" si="1"/>
        <v>352.5923632</v>
      </c>
      <c r="I14" s="47">
        <f t="shared" si="2"/>
        <v>370.31456</v>
      </c>
      <c r="J14" s="47">
        <f t="shared" si="3"/>
        <v>94.2391775111111</v>
      </c>
      <c r="K14" s="47">
        <f t="shared" si="4"/>
        <v>80.9034448444445</v>
      </c>
      <c r="L14" s="47">
        <f t="shared" si="5"/>
        <v>125.837608263889</v>
      </c>
      <c r="M14" s="47">
        <f t="shared" si="6"/>
        <v>121.383179652778</v>
      </c>
      <c r="N14" s="47">
        <f t="shared" si="7"/>
        <v>256.519981666667</v>
      </c>
      <c r="O14" s="47">
        <f t="shared" si="8"/>
        <v>76.5059594444445</v>
      </c>
      <c r="P14" s="47">
        <f t="shared" si="9"/>
        <v>72.3105306</v>
      </c>
      <c r="Q14" s="48">
        <v>26.45104</v>
      </c>
    </row>
    <row r="15" spans="1:20">
      <c r="A15" s="45" t="s">
        <v>227</v>
      </c>
      <c r="B15" s="45">
        <v>0.127</v>
      </c>
      <c r="C15" s="45" t="s">
        <v>105</v>
      </c>
      <c r="D15" s="45" t="s">
        <v>202</v>
      </c>
      <c r="E15" s="45" t="s">
        <v>31</v>
      </c>
      <c r="F15" s="45" t="s">
        <v>203</v>
      </c>
      <c r="G15" s="47">
        <f t="shared" si="0"/>
        <v>272.16</v>
      </c>
      <c r="H15" s="47">
        <f t="shared" si="1"/>
        <v>302.3244</v>
      </c>
      <c r="I15" s="47">
        <f t="shared" si="2"/>
        <v>317.52</v>
      </c>
      <c r="J15" s="47">
        <f t="shared" si="3"/>
        <v>80.8038</v>
      </c>
      <c r="K15" s="47">
        <f t="shared" si="4"/>
        <v>69.3693</v>
      </c>
      <c r="L15" s="47">
        <f t="shared" si="5"/>
        <v>107.89734375</v>
      </c>
      <c r="M15" s="47">
        <f t="shared" si="6"/>
        <v>104.07796875</v>
      </c>
      <c r="N15" s="47">
        <f t="shared" si="7"/>
        <v>219.94875</v>
      </c>
      <c r="O15" s="47">
        <f t="shared" si="8"/>
        <v>65.59875</v>
      </c>
      <c r="P15" s="47">
        <f t="shared" si="9"/>
        <v>62.00145</v>
      </c>
      <c r="Q15" s="48">
        <v>22.68</v>
      </c>
    </row>
    <row r="16" spans="1:20">
      <c r="A16" s="45" t="s">
        <v>227</v>
      </c>
      <c r="B16" s="45">
        <v>0.102</v>
      </c>
      <c r="C16" s="45" t="s">
        <v>105</v>
      </c>
      <c r="D16" s="45" t="s">
        <v>202</v>
      </c>
      <c r="E16" s="46" t="s">
        <v>34</v>
      </c>
      <c r="F16" s="45" t="s">
        <v>200</v>
      </c>
      <c r="G16" s="47">
        <f t="shared" si="0"/>
        <v>396.42624</v>
      </c>
      <c r="H16" s="47">
        <f t="shared" si="1"/>
        <v>440.3634816</v>
      </c>
      <c r="I16" s="47">
        <f t="shared" si="2"/>
        <v>462.49728</v>
      </c>
      <c r="J16" s="47">
        <f t="shared" si="3"/>
        <v>117.698216533333</v>
      </c>
      <c r="K16" s="47">
        <f t="shared" si="4"/>
        <v>101.042808533333</v>
      </c>
      <c r="L16" s="47">
        <f t="shared" si="5"/>
        <v>157.162471666667</v>
      </c>
      <c r="M16" s="47">
        <f t="shared" si="6"/>
        <v>151.599198333333</v>
      </c>
      <c r="N16" s="47">
        <f t="shared" si="7"/>
        <v>320.37572</v>
      </c>
      <c r="O16" s="47">
        <f t="shared" si="8"/>
        <v>95.5506533333333</v>
      </c>
      <c r="P16" s="47">
        <f t="shared" si="9"/>
        <v>90.3108528</v>
      </c>
      <c r="Q16" s="48">
        <v>33.03552</v>
      </c>
      <c r="T16" s="49"/>
    </row>
    <row r="17" spans="1:20">
      <c r="A17" s="45" t="s">
        <v>227</v>
      </c>
      <c r="B17" s="45">
        <v>0.102</v>
      </c>
      <c r="C17" s="45" t="s">
        <v>105</v>
      </c>
      <c r="D17" s="50" t="s">
        <v>228</v>
      </c>
      <c r="E17" s="46" t="s">
        <v>109</v>
      </c>
      <c r="F17" s="45" t="s">
        <v>200</v>
      </c>
      <c r="G17" s="47">
        <f t="shared" si="0"/>
        <v>433.3056</v>
      </c>
      <c r="H17" s="47">
        <f t="shared" si="1"/>
        <v>481.330304</v>
      </c>
      <c r="I17" s="47">
        <f t="shared" si="2"/>
        <v>505.5232</v>
      </c>
      <c r="J17" s="47">
        <f t="shared" si="3"/>
        <v>128.647630222222</v>
      </c>
      <c r="K17" s="47">
        <f t="shared" si="4"/>
        <v>110.442776888889</v>
      </c>
      <c r="L17" s="47">
        <f t="shared" si="5"/>
        <v>171.783227777778</v>
      </c>
      <c r="M17" s="47">
        <f t="shared" si="6"/>
        <v>165.702405555556</v>
      </c>
      <c r="N17" s="47">
        <f t="shared" si="7"/>
        <v>350.180133333333</v>
      </c>
      <c r="O17" s="47">
        <f t="shared" si="8"/>
        <v>104.439688888889</v>
      </c>
      <c r="P17" s="47">
        <f t="shared" si="9"/>
        <v>98.712432</v>
      </c>
      <c r="Q17" s="48">
        <v>36.1088</v>
      </c>
      <c r="T17" s="49"/>
    </row>
    <row r="18" spans="1:20">
      <c r="A18" s="45" t="s">
        <v>227</v>
      </c>
      <c r="B18" s="45">
        <v>0.102</v>
      </c>
      <c r="C18" s="45" t="s">
        <v>105</v>
      </c>
      <c r="D18" s="45" t="s">
        <v>106</v>
      </c>
      <c r="E18" s="46" t="s">
        <v>41</v>
      </c>
      <c r="F18" s="45" t="s">
        <v>200</v>
      </c>
      <c r="G18" s="47">
        <f t="shared" si="0"/>
        <v>484.21632</v>
      </c>
      <c r="H18" s="47">
        <f t="shared" si="1"/>
        <v>537.8836288</v>
      </c>
      <c r="I18" s="47">
        <f t="shared" si="2"/>
        <v>564.91904</v>
      </c>
      <c r="J18" s="47">
        <f t="shared" si="3"/>
        <v>143.762928711111</v>
      </c>
      <c r="K18" s="47">
        <f t="shared" si="4"/>
        <v>123.419118044444</v>
      </c>
      <c r="L18" s="47">
        <f t="shared" si="5"/>
        <v>191.966691388889</v>
      </c>
      <c r="M18" s="47">
        <f t="shared" si="6"/>
        <v>185.171410277778</v>
      </c>
      <c r="N18" s="47">
        <f t="shared" si="7"/>
        <v>391.324126666667</v>
      </c>
      <c r="O18" s="47">
        <f t="shared" si="8"/>
        <v>116.710704444444</v>
      </c>
      <c r="P18" s="47">
        <f t="shared" si="9"/>
        <v>110.3105304</v>
      </c>
      <c r="Q18" s="48">
        <v>40.35136</v>
      </c>
      <c r="T18" s="49"/>
    </row>
    <row r="19" spans="1:20">
      <c r="A19" s="45" t="s">
        <v>227</v>
      </c>
      <c r="B19" s="45">
        <v>0.127</v>
      </c>
      <c r="C19" s="45" t="s">
        <v>105</v>
      </c>
      <c r="D19" s="45" t="s">
        <v>106</v>
      </c>
      <c r="E19" s="46" t="s">
        <v>41</v>
      </c>
      <c r="F19" s="45" t="s">
        <v>203</v>
      </c>
      <c r="G19" s="47">
        <f t="shared" si="0"/>
        <v>430.09344</v>
      </c>
      <c r="H19" s="47">
        <f t="shared" si="1"/>
        <v>477.7621296</v>
      </c>
      <c r="I19" s="47">
        <f t="shared" si="2"/>
        <v>501.77568</v>
      </c>
      <c r="J19" s="47">
        <f t="shared" si="3"/>
        <v>127.693945866667</v>
      </c>
      <c r="K19" s="47">
        <f t="shared" si="4"/>
        <v>109.624047866667</v>
      </c>
      <c r="L19" s="47">
        <f t="shared" si="5"/>
        <v>170.509772708333</v>
      </c>
      <c r="M19" s="47">
        <f t="shared" si="6"/>
        <v>164.474028541667</v>
      </c>
      <c r="N19" s="47">
        <f t="shared" si="7"/>
        <v>347.584195</v>
      </c>
      <c r="O19" s="47">
        <f t="shared" si="8"/>
        <v>103.665461666667</v>
      </c>
      <c r="P19" s="47">
        <f t="shared" si="9"/>
        <v>97.9806618</v>
      </c>
      <c r="Q19" s="48">
        <v>35.84112</v>
      </c>
    </row>
    <row r="20" spans="1:20">
      <c r="A20" s="45" t="s">
        <v>227</v>
      </c>
      <c r="B20" s="45">
        <v>0.152</v>
      </c>
      <c r="C20" s="45" t="s">
        <v>105</v>
      </c>
      <c r="D20" s="45" t="s">
        <v>202</v>
      </c>
      <c r="E20" s="45" t="s">
        <v>31</v>
      </c>
      <c r="F20" s="45" t="s">
        <v>203</v>
      </c>
      <c r="G20" s="47">
        <f t="shared" si="0"/>
        <v>298.47552</v>
      </c>
      <c r="H20" s="47">
        <f t="shared" si="1"/>
        <v>331.5565568</v>
      </c>
      <c r="I20" s="47">
        <f t="shared" si="2"/>
        <v>348.22144</v>
      </c>
      <c r="J20" s="47">
        <f t="shared" si="3"/>
        <v>88.6168291555555</v>
      </c>
      <c r="K20" s="47">
        <f t="shared" si="4"/>
        <v>76.0767118222222</v>
      </c>
      <c r="L20" s="47">
        <f t="shared" si="5"/>
        <v>118.330084444444</v>
      </c>
      <c r="M20" s="47">
        <f t="shared" si="6"/>
        <v>114.141408888889</v>
      </c>
      <c r="N20" s="47">
        <f t="shared" si="7"/>
        <v>241.215893333333</v>
      </c>
      <c r="O20" s="47">
        <f t="shared" si="8"/>
        <v>71.9415822222222</v>
      </c>
      <c r="P20" s="47">
        <f t="shared" si="9"/>
        <v>67.9964544</v>
      </c>
      <c r="Q20" s="48">
        <v>24.87296</v>
      </c>
    </row>
    <row r="21" spans="1:20">
      <c r="A21" s="45" t="s">
        <v>227</v>
      </c>
      <c r="B21" s="45">
        <v>0.178</v>
      </c>
      <c r="C21" s="45" t="s">
        <v>105</v>
      </c>
      <c r="D21" s="45" t="s">
        <v>202</v>
      </c>
      <c r="E21" s="45" t="s">
        <v>31</v>
      </c>
      <c r="F21" s="45" t="s">
        <v>203</v>
      </c>
      <c r="G21" s="47">
        <f t="shared" si="0"/>
        <v>334.77696</v>
      </c>
      <c r="H21" s="47">
        <f t="shared" si="1"/>
        <v>371.8814064</v>
      </c>
      <c r="I21" s="47">
        <f t="shared" si="2"/>
        <v>390.57312</v>
      </c>
      <c r="J21" s="47">
        <f t="shared" si="3"/>
        <v>99.3946594666667</v>
      </c>
      <c r="K21" s="47">
        <f t="shared" si="4"/>
        <v>85.3293774666667</v>
      </c>
      <c r="L21" s="47">
        <f t="shared" si="5"/>
        <v>132.721725208333</v>
      </c>
      <c r="M21" s="47">
        <f t="shared" si="6"/>
        <v>128.023611041667</v>
      </c>
      <c r="N21" s="47">
        <f t="shared" si="7"/>
        <v>270.553255</v>
      </c>
      <c r="O21" s="47">
        <f t="shared" si="8"/>
        <v>80.6913216666667</v>
      </c>
      <c r="P21" s="47">
        <f t="shared" si="9"/>
        <v>76.2663762</v>
      </c>
      <c r="Q21" s="48">
        <v>27.89808</v>
      </c>
    </row>
    <row r="23" s="6" customFormat="1" ht="12.75" customHeight="1" spans="1:20">
      <c r="R23" s="28"/>
    </row>
    <row r="24" ht="17.4" spans="1:20">
      <c r="A24" s="11" t="s">
        <v>229</v>
      </c>
      <c r="B24" s="12"/>
      <c r="C24" s="27"/>
      <c r="D24" s="4"/>
      <c r="E24" s="13"/>
      <c r="F24" s="4"/>
      <c r="G24" s="4"/>
    </row>
    <row r="25" spans="1:20">
      <c r="F25" s="28"/>
      <c r="G25" s="51"/>
    </row>
    <row r="26" ht="30" spans="1:20">
      <c r="A26" s="14" t="s">
        <v>11</v>
      </c>
      <c r="B26" s="29" t="s">
        <v>84</v>
      </c>
      <c r="C26" s="30" t="s">
        <v>168</v>
      </c>
      <c r="D26" s="15" t="s">
        <v>169</v>
      </c>
      <c r="E26" s="14" t="s">
        <v>87</v>
      </c>
      <c r="F26" s="14"/>
      <c r="G26" s="14" t="s">
        <v>88</v>
      </c>
      <c r="H26" s="14"/>
      <c r="I26" s="14" t="s">
        <v>28</v>
      </c>
    </row>
    <row r="27" spans="1:20">
      <c r="A27" s="14" t="s">
        <v>230</v>
      </c>
      <c r="B27" s="29">
        <v>106</v>
      </c>
      <c r="C27" s="52">
        <v>72</v>
      </c>
      <c r="D27" s="14">
        <v>300</v>
      </c>
      <c r="E27" s="53">
        <v>66.0352</v>
      </c>
      <c r="F27" s="53"/>
      <c r="G27" s="14">
        <f>E27*D27</f>
        <v>19810.56</v>
      </c>
      <c r="H27" s="14"/>
      <c r="I27" s="14"/>
      <c r="J27" s="49"/>
    </row>
    <row r="28" spans="1:20">
      <c r="A28" s="14" t="s">
        <v>230</v>
      </c>
      <c r="B28" s="29">
        <v>106</v>
      </c>
      <c r="C28" s="52">
        <v>75</v>
      </c>
      <c r="D28" s="14">
        <v>300</v>
      </c>
      <c r="E28" s="53">
        <v>78.9152</v>
      </c>
      <c r="F28" s="53"/>
      <c r="G28" s="14">
        <f>E28*D28</f>
        <v>23674.56</v>
      </c>
      <c r="H28" s="14"/>
      <c r="I28" s="14"/>
      <c r="J28" s="49"/>
    </row>
    <row r="29" spans="1:20">
      <c r="A29" s="14" t="s">
        <v>230</v>
      </c>
      <c r="B29" s="29">
        <v>106</v>
      </c>
      <c r="C29" s="52">
        <v>77</v>
      </c>
      <c r="D29" s="14">
        <v>300</v>
      </c>
      <c r="E29" s="53">
        <v>85.1088</v>
      </c>
      <c r="F29" s="53"/>
      <c r="G29" s="14">
        <f>E29*D29</f>
        <v>25532.64</v>
      </c>
      <c r="H29" s="14"/>
      <c r="I29" s="14"/>
      <c r="J29" s="49"/>
    </row>
    <row r="30" spans="1:20">
      <c r="A30" s="14" t="s">
        <v>230</v>
      </c>
      <c r="B30" s="14">
        <v>1035</v>
      </c>
      <c r="C30" s="14">
        <v>72</v>
      </c>
      <c r="D30" s="14">
        <v>300</v>
      </c>
      <c r="E30" s="53">
        <v>59.9536</v>
      </c>
      <c r="F30" s="53"/>
      <c r="G30" s="14">
        <f t="shared" ref="G30:G37" si="10">E30*D30</f>
        <v>17986.08</v>
      </c>
      <c r="H30" s="14"/>
      <c r="I30" s="14"/>
      <c r="J30" s="51"/>
    </row>
    <row r="31" spans="1:20">
      <c r="A31" s="14" t="s">
        <v>230</v>
      </c>
      <c r="B31" s="14">
        <v>1078</v>
      </c>
      <c r="C31" s="14">
        <v>65</v>
      </c>
      <c r="D31" s="14">
        <v>300</v>
      </c>
      <c r="E31" s="53">
        <v>64.5904</v>
      </c>
      <c r="F31" s="53"/>
      <c r="G31" s="14">
        <f t="shared" si="10"/>
        <v>19377.12</v>
      </c>
      <c r="H31" s="14"/>
      <c r="I31" s="14"/>
      <c r="J31" s="51"/>
    </row>
    <row r="32" spans="1:20">
      <c r="A32" s="14" t="s">
        <v>230</v>
      </c>
      <c r="B32" s="14">
        <v>1078</v>
      </c>
      <c r="C32" s="14">
        <v>69</v>
      </c>
      <c r="D32" s="14">
        <v>300</v>
      </c>
      <c r="E32" s="53">
        <v>74.2448</v>
      </c>
      <c r="F32" s="53"/>
      <c r="G32" s="14">
        <f t="shared" si="10"/>
        <v>22273.44</v>
      </c>
      <c r="H32" s="14"/>
      <c r="I32" s="14"/>
      <c r="J32" s="51"/>
    </row>
    <row r="33" spans="1:18">
      <c r="A33" s="14" t="s">
        <v>230</v>
      </c>
      <c r="B33" s="14">
        <v>1078</v>
      </c>
      <c r="C33" s="14">
        <v>73</v>
      </c>
      <c r="D33" s="14">
        <v>300</v>
      </c>
      <c r="E33" s="53">
        <v>88.1664</v>
      </c>
      <c r="F33" s="53"/>
      <c r="G33" s="14">
        <f t="shared" si="10"/>
        <v>26449.92</v>
      </c>
      <c r="H33" s="14"/>
      <c r="I33" s="14"/>
      <c r="J33" s="51"/>
    </row>
    <row r="34" spans="1:18">
      <c r="A34" s="14" t="s">
        <v>230</v>
      </c>
      <c r="B34" s="14">
        <v>1080</v>
      </c>
      <c r="C34" s="14">
        <v>68</v>
      </c>
      <c r="D34" s="14">
        <v>300</v>
      </c>
      <c r="E34" s="53">
        <v>73.6848</v>
      </c>
      <c r="F34" s="53"/>
      <c r="G34" s="14">
        <f t="shared" si="10"/>
        <v>22105.44</v>
      </c>
      <c r="H34" s="14"/>
      <c r="I34" s="14"/>
      <c r="J34" s="51"/>
    </row>
    <row r="35" spans="1:18">
      <c r="A35" s="14" t="s">
        <v>230</v>
      </c>
      <c r="B35" s="14">
        <v>1080</v>
      </c>
      <c r="C35" s="14">
        <v>73</v>
      </c>
      <c r="D35" s="14">
        <v>300</v>
      </c>
      <c r="E35" s="53">
        <v>101.1248</v>
      </c>
      <c r="F35" s="53"/>
      <c r="G35" s="54">
        <f t="shared" si="10"/>
        <v>30337.44</v>
      </c>
      <c r="H35" s="54"/>
      <c r="I35" s="14"/>
      <c r="J35" s="51"/>
    </row>
    <row r="36" spans="1:18">
      <c r="A36" s="14" t="s">
        <v>230</v>
      </c>
      <c r="B36" s="14">
        <v>2116</v>
      </c>
      <c r="C36" s="14">
        <v>57</v>
      </c>
      <c r="D36" s="14">
        <v>300</v>
      </c>
      <c r="E36" s="53">
        <v>99.0864</v>
      </c>
      <c r="F36" s="53"/>
      <c r="G36" s="14">
        <f t="shared" si="10"/>
        <v>29725.92</v>
      </c>
      <c r="H36" s="14"/>
      <c r="I36" s="14"/>
      <c r="J36" s="51"/>
    </row>
    <row r="37" spans="1:18">
      <c r="A37" s="14" t="s">
        <v>230</v>
      </c>
      <c r="B37" s="14">
        <v>3313</v>
      </c>
      <c r="C37" s="14">
        <v>59</v>
      </c>
      <c r="D37" s="14">
        <v>300</v>
      </c>
      <c r="E37" s="53">
        <v>80.5168</v>
      </c>
      <c r="F37" s="53"/>
      <c r="G37" s="14">
        <f t="shared" si="10"/>
        <v>24155.04</v>
      </c>
      <c r="H37" s="14"/>
      <c r="I37" s="14"/>
      <c r="J37" s="51"/>
    </row>
    <row r="39" s="1" customFormat="1" ht="17.4" spans="1:18">
      <c r="A39" s="38" t="s">
        <v>75</v>
      </c>
      <c r="B39" s="38"/>
      <c r="C39" s="38"/>
      <c r="D39" s="38"/>
      <c r="E39" s="39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</row>
    <row r="40" s="1" customFormat="1" ht="17.4" spans="1:18">
      <c r="A40" s="38" t="s">
        <v>76</v>
      </c>
      <c r="B40" s="38"/>
      <c r="C40" s="38"/>
      <c r="D40" s="38"/>
      <c r="E40" s="41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s="1" customFormat="1" ht="17.4" spans="1:18">
      <c r="A41" s="38" t="s">
        <v>77</v>
      </c>
      <c r="B41" s="38"/>
      <c r="C41" s="38"/>
      <c r="D41" s="38"/>
      <c r="E41" s="41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="6" customFormat="1" ht="17.4" spans="1:18">
      <c r="A42" s="6" t="s">
        <v>160</v>
      </c>
      <c r="I42" s="42"/>
      <c r="J42" s="42"/>
      <c r="K42" s="42"/>
      <c r="L42" s="42"/>
      <c r="M42" s="42"/>
      <c r="N42" s="42"/>
      <c r="O42" s="42"/>
      <c r="P42" s="42"/>
      <c r="Q42" s="42"/>
      <c r="R42" s="28"/>
    </row>
    <row r="43" s="6" customFormat="1" ht="12.75" customHeight="1" spans="1:18">
      <c r="A43" s="6" t="s">
        <v>170</v>
      </c>
      <c r="R43" s="28"/>
    </row>
    <row r="44" s="6" customFormat="1" ht="19" customHeight="1" spans="1:18">
      <c r="A44" s="1" t="s">
        <v>80</v>
      </c>
      <c r="B44" s="1"/>
      <c r="C44" s="1"/>
      <c r="D44" s="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1"/>
    </row>
  </sheetData>
  <mergeCells count="31">
    <mergeCell ref="A1:Q1"/>
    <mergeCell ref="A2:R2"/>
    <mergeCell ref="A3:R3"/>
    <mergeCell ref="A5:B5"/>
    <mergeCell ref="A7:B7"/>
    <mergeCell ref="A8:B8"/>
    <mergeCell ref="D11:E11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</mergeCells>
  <pageMargins left="0.75" right="0.75" top="1" bottom="1" header="0.5" footer="0.5"/>
  <pageSetup paperSize="9" scale="60" orientation="landscape"/>
  <headerFooter/>
  <colBreaks count="1" manualBreakCount="1">
    <brk id="17" max="1048575" man="1"/>
  </col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view="pageBreakPreview" zoomScaleNormal="100" topLeftCell="A12" workbookViewId="0">
      <selection activeCell="M31" sqref="M31"/>
    </sheetView>
  </sheetViews>
  <sheetFormatPr defaultColWidth="8.88888888888889" defaultRowHeight="14.4"/>
  <cols>
    <col min="1" max="6" width="8.88888888888889" style="5"/>
    <col min="7" max="9" width="7.55555555555556" style="5" customWidth="1"/>
    <col min="10" max="11" width="9.33333333333333" style="5" customWidth="1"/>
    <col min="12" max="13" width="11.5555555555556" style="5" customWidth="1"/>
    <col min="14" max="15" width="7.88888888888889" style="5" customWidth="1"/>
    <col min="16" max="16" width="10.2222222222222" style="5" customWidth="1"/>
    <col min="17" max="17" width="11.5555555555556" style="5" customWidth="1"/>
    <col min="18" max="18" width="11.1111111111111" style="5" customWidth="1"/>
    <col min="19" max="19" width="8.88888888888889" style="5"/>
    <col min="20" max="21" width="13" style="5"/>
    <col min="22" max="16384" width="8.88888888888889" style="5"/>
  </cols>
  <sheetData>
    <row r="1" s="1" customFormat="1" ht="99" customHeight="1" spans="1:20">
      <c r="A1" s="7" t="s">
        <v>231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="2" customFormat="1" ht="12.75" customHeight="1" spans="1:2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="1" customFormat="1" ht="12.75" customHeight="1" spans="1:2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="1" customFormat="1" ht="12.75" customHeight="1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="1" customFormat="1" ht="15" customHeight="1" spans="1:20">
      <c r="A5" s="9" t="s">
        <v>2</v>
      </c>
      <c r="B5" s="9"/>
      <c r="C5" s="9"/>
      <c r="D5" s="9"/>
      <c r="E5" s="9"/>
      <c r="J5" s="10"/>
      <c r="K5" s="10"/>
      <c r="L5" s="10"/>
      <c r="M5" s="10"/>
      <c r="N5" s="10"/>
      <c r="O5" s="10" t="s">
        <v>3</v>
      </c>
      <c r="P5" s="10"/>
      <c r="R5" s="10"/>
    </row>
    <row r="6" s="1" customFormat="1" ht="15" customHeight="1" spans="1:20">
      <c r="A6" s="10" t="s">
        <v>4</v>
      </c>
      <c r="B6" s="10"/>
      <c r="C6" s="10"/>
      <c r="D6" s="9"/>
      <c r="E6" s="9"/>
      <c r="J6" s="10"/>
      <c r="K6" s="10"/>
      <c r="L6" s="10"/>
      <c r="M6" s="10"/>
      <c r="N6" s="10"/>
      <c r="O6" s="10" t="s">
        <v>5</v>
      </c>
      <c r="P6" s="10"/>
      <c r="R6" s="10"/>
    </row>
    <row r="7" s="1" customFormat="1" ht="15" customHeight="1" spans="1:20">
      <c r="A7" s="9" t="s">
        <v>6</v>
      </c>
      <c r="B7" s="9"/>
      <c r="C7" s="9"/>
      <c r="D7" s="9"/>
      <c r="E7" s="9"/>
      <c r="J7" s="10"/>
      <c r="K7" s="10"/>
      <c r="L7" s="10"/>
      <c r="M7" s="10"/>
      <c r="N7" s="10"/>
      <c r="O7" s="10" t="s">
        <v>7</v>
      </c>
      <c r="P7" s="10"/>
      <c r="R7" s="10"/>
    </row>
    <row r="8" s="3" customFormat="1" ht="15" customHeight="1" spans="1:20">
      <c r="A8" s="9" t="s">
        <v>8</v>
      </c>
      <c r="B8" s="9"/>
      <c r="C8" s="9"/>
      <c r="D8" s="9"/>
      <c r="E8" s="9"/>
      <c r="J8" s="10"/>
      <c r="K8" s="10"/>
      <c r="L8" s="10"/>
      <c r="M8" s="10"/>
      <c r="N8" s="10"/>
      <c r="O8" s="10" t="s">
        <v>9</v>
      </c>
      <c r="P8" s="10"/>
      <c r="R8" s="10"/>
    </row>
    <row r="9" s="4" customFormat="1" ht="14.25" customHeight="1" spans="1:20">
      <c r="A9" s="11" t="s">
        <v>232</v>
      </c>
      <c r="B9" s="12"/>
      <c r="C9" s="12"/>
      <c r="D9" s="12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="4" customFormat="1" ht="14.25" customHeight="1" spans="1:20">
      <c r="A10" s="11"/>
      <c r="B10" s="12"/>
      <c r="C10" s="12"/>
      <c r="D10" s="12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ht="30" spans="1:20">
      <c r="A11" s="14" t="s">
        <v>11</v>
      </c>
      <c r="B11" s="14" t="s">
        <v>12</v>
      </c>
      <c r="C11" s="15" t="s">
        <v>13</v>
      </c>
      <c r="D11" s="16" t="s">
        <v>15</v>
      </c>
      <c r="E11" s="17"/>
      <c r="F11" s="14" t="s">
        <v>16</v>
      </c>
      <c r="G11" s="18" t="s">
        <v>17</v>
      </c>
      <c r="H11" s="18" t="s">
        <v>18</v>
      </c>
      <c r="I11" s="18" t="s">
        <v>19</v>
      </c>
      <c r="J11" s="18" t="s">
        <v>20</v>
      </c>
      <c r="K11" s="18" t="s">
        <v>21</v>
      </c>
      <c r="L11" s="18" t="s">
        <v>22</v>
      </c>
      <c r="M11" s="18" t="s">
        <v>23</v>
      </c>
      <c r="N11" s="18" t="s">
        <v>24</v>
      </c>
      <c r="O11" s="18" t="s">
        <v>25</v>
      </c>
      <c r="P11" s="18" t="s">
        <v>26</v>
      </c>
      <c r="Q11" s="19" t="s">
        <v>27</v>
      </c>
    </row>
    <row r="12" spans="1:20">
      <c r="A12" s="20" t="s">
        <v>233</v>
      </c>
      <c r="B12" s="20">
        <v>0.076</v>
      </c>
      <c r="C12" s="20" t="s">
        <v>105</v>
      </c>
      <c r="D12" s="20" t="s">
        <v>202</v>
      </c>
      <c r="E12" s="21" t="s">
        <v>31</v>
      </c>
      <c r="F12" s="20" t="s">
        <v>197</v>
      </c>
      <c r="G12" s="22">
        <f>Q12*12</f>
        <v>243.6</v>
      </c>
      <c r="H12" s="22">
        <f>Q12*13.33</f>
        <v>270.599</v>
      </c>
      <c r="I12" s="22">
        <f>Q12*14</f>
        <v>284.2</v>
      </c>
      <c r="J12" s="22">
        <f>21.2*24.2/144*Q12</f>
        <v>72.3243888888889</v>
      </c>
      <c r="K12" s="22">
        <f>18.2*24.2/144*Q12</f>
        <v>62.0898055555556</v>
      </c>
      <c r="L12" s="22">
        <f>28.25*24.25/144*Q12</f>
        <v>96.5747829861111</v>
      </c>
      <c r="M12" s="22">
        <f>27.25*24.25/144*Q12</f>
        <v>93.1562065972222</v>
      </c>
      <c r="N12" s="22">
        <f>28.5*49/144*Q12</f>
        <v>196.867708333333</v>
      </c>
      <c r="O12" s="22">
        <f>17*24.5/144*Q12</f>
        <v>58.7149305555556</v>
      </c>
      <c r="P12" s="22">
        <f>24.3*16.2/144*Q12</f>
        <v>55.495125</v>
      </c>
      <c r="Q12" s="23">
        <v>20.3</v>
      </c>
    </row>
    <row r="13" spans="1:20">
      <c r="A13" s="20" t="s">
        <v>233</v>
      </c>
      <c r="B13" s="20">
        <v>0.076</v>
      </c>
      <c r="C13" s="20" t="s">
        <v>105</v>
      </c>
      <c r="D13" s="20" t="s">
        <v>202</v>
      </c>
      <c r="E13" s="21" t="s">
        <v>34</v>
      </c>
      <c r="F13" s="20" t="s">
        <v>197</v>
      </c>
      <c r="G13" s="22">
        <f>Q13*12</f>
        <v>300.41088</v>
      </c>
      <c r="H13" s="22">
        <f>Q13*13.33</f>
        <v>333.7064192</v>
      </c>
      <c r="I13" s="22">
        <f>Q13*14</f>
        <v>350.47936</v>
      </c>
      <c r="J13" s="22">
        <f>21.2*24.2/144*Q13</f>
        <v>89.1914339555556</v>
      </c>
      <c r="K13" s="22">
        <f>18.2*24.2/144*Q13</f>
        <v>76.5700046222222</v>
      </c>
      <c r="L13" s="22">
        <f>28.25*24.25/144*Q13</f>
        <v>119.097354444444</v>
      </c>
      <c r="M13" s="22">
        <f>27.25*24.25/144*Q13</f>
        <v>114.881518888889</v>
      </c>
      <c r="N13" s="22">
        <f>28.5*49/144*Q13</f>
        <v>242.779973333333</v>
      </c>
      <c r="O13" s="22">
        <f>17*24.5/144*Q13</f>
        <v>72.4080622222222</v>
      </c>
      <c r="P13" s="22">
        <f>24.3*16.2/144*Q13</f>
        <v>68.4373536</v>
      </c>
      <c r="Q13" s="23">
        <v>25.03424</v>
      </c>
    </row>
    <row r="14" spans="1:20">
      <c r="A14" s="20" t="s">
        <v>233</v>
      </c>
      <c r="B14" s="20">
        <v>0.102</v>
      </c>
      <c r="C14" s="20" t="s">
        <v>105</v>
      </c>
      <c r="D14" s="20" t="s">
        <v>202</v>
      </c>
      <c r="E14" s="21" t="s">
        <v>31</v>
      </c>
      <c r="F14" s="20" t="s">
        <v>200</v>
      </c>
      <c r="G14" s="22">
        <f t="shared" ref="G14:G22" si="0">Q14*12</f>
        <v>264.432</v>
      </c>
      <c r="H14" s="22">
        <f t="shared" ref="H14:H22" si="1">Q14*13.33</f>
        <v>293.73988</v>
      </c>
      <c r="I14" s="22">
        <f t="shared" ref="I14:I22" si="2">Q14*14</f>
        <v>308.504</v>
      </c>
      <c r="J14" s="22">
        <f t="shared" ref="J14:J22" si="3">21.2*24.2/144*Q14</f>
        <v>78.5093711111111</v>
      </c>
      <c r="K14" s="22">
        <f t="shared" ref="K14:K22" si="4">18.2*24.2/144*Q14</f>
        <v>67.3995544444444</v>
      </c>
      <c r="L14" s="22">
        <f t="shared" ref="L14:L22" si="5">28.25*24.25/144*Q14</f>
        <v>104.833592013889</v>
      </c>
      <c r="M14" s="22">
        <f t="shared" ref="M14:M22" si="6">27.25*24.25/144*Q14</f>
        <v>101.122668402778</v>
      </c>
      <c r="N14" s="22">
        <f t="shared" ref="N14:N22" si="7">28.5*49/144*Q14</f>
        <v>213.703291666667</v>
      </c>
      <c r="O14" s="22">
        <f t="shared" ref="O14:O22" si="8">17*24.5/144*Q14</f>
        <v>63.7360694444444</v>
      </c>
      <c r="P14" s="22">
        <f t="shared" ref="P14:P22" si="9">24.3*16.2/144*Q14</f>
        <v>60.240915</v>
      </c>
      <c r="Q14" s="23">
        <v>22.036</v>
      </c>
      <c r="T14" s="25"/>
    </row>
    <row r="15" spans="1:20">
      <c r="A15" s="20" t="s">
        <v>233</v>
      </c>
      <c r="B15" s="20">
        <v>0.102</v>
      </c>
      <c r="C15" s="20" t="s">
        <v>105</v>
      </c>
      <c r="D15" s="20" t="s">
        <v>202</v>
      </c>
      <c r="E15" s="21" t="s">
        <v>107</v>
      </c>
      <c r="F15" s="20" t="s">
        <v>200</v>
      </c>
      <c r="G15" s="22">
        <f t="shared" si="0"/>
        <v>339.97824</v>
      </c>
      <c r="H15" s="22">
        <f t="shared" si="1"/>
        <v>377.6591616</v>
      </c>
      <c r="I15" s="22">
        <f t="shared" si="2"/>
        <v>396.64128</v>
      </c>
      <c r="J15" s="22">
        <f t="shared" si="3"/>
        <v>100.938909866667</v>
      </c>
      <c r="K15" s="22">
        <f t="shared" si="4"/>
        <v>86.6551018666667</v>
      </c>
      <c r="L15" s="22">
        <f t="shared" si="5"/>
        <v>134.783763333333</v>
      </c>
      <c r="M15" s="22">
        <f t="shared" si="6"/>
        <v>130.012656666667</v>
      </c>
      <c r="N15" s="22">
        <f t="shared" si="7"/>
        <v>274.75672</v>
      </c>
      <c r="O15" s="22">
        <f t="shared" si="8"/>
        <v>81.9449866666667</v>
      </c>
      <c r="P15" s="22">
        <f t="shared" si="9"/>
        <v>77.4512928</v>
      </c>
      <c r="Q15" s="23">
        <v>28.33152</v>
      </c>
      <c r="T15" s="25"/>
    </row>
    <row r="16" spans="1:20">
      <c r="A16" s="20" t="s">
        <v>233</v>
      </c>
      <c r="B16" s="20">
        <v>0.102</v>
      </c>
      <c r="C16" s="20" t="s">
        <v>105</v>
      </c>
      <c r="D16" s="20" t="s">
        <v>202</v>
      </c>
      <c r="E16" s="21" t="s">
        <v>34</v>
      </c>
      <c r="F16" s="20" t="s">
        <v>200</v>
      </c>
      <c r="G16" s="22">
        <f t="shared" si="0"/>
        <v>469.01568</v>
      </c>
      <c r="H16" s="22">
        <f t="shared" si="1"/>
        <v>520.9982512</v>
      </c>
      <c r="I16" s="22">
        <f t="shared" si="2"/>
        <v>547.18496</v>
      </c>
      <c r="J16" s="22">
        <f t="shared" si="3"/>
        <v>139.249886844444</v>
      </c>
      <c r="K16" s="22">
        <f t="shared" si="4"/>
        <v>119.544714177778</v>
      </c>
      <c r="L16" s="22">
        <f t="shared" si="5"/>
        <v>185.940424930556</v>
      </c>
      <c r="M16" s="22">
        <f t="shared" si="6"/>
        <v>179.358462986111</v>
      </c>
      <c r="N16" s="22">
        <f t="shared" si="7"/>
        <v>379.039581666667</v>
      </c>
      <c r="O16" s="22">
        <f t="shared" si="8"/>
        <v>113.046892777778</v>
      </c>
      <c r="P16" s="22">
        <f t="shared" si="9"/>
        <v>106.8476346</v>
      </c>
      <c r="Q16" s="23">
        <v>39.08464</v>
      </c>
      <c r="T16" s="25"/>
    </row>
    <row r="17" spans="1:20">
      <c r="A17" s="20" t="s">
        <v>233</v>
      </c>
      <c r="B17" s="20">
        <v>0.127</v>
      </c>
      <c r="C17" s="20" t="s">
        <v>105</v>
      </c>
      <c r="D17" s="20" t="s">
        <v>202</v>
      </c>
      <c r="E17" s="21" t="s">
        <v>31</v>
      </c>
      <c r="F17" s="20" t="s">
        <v>203</v>
      </c>
      <c r="G17" s="22">
        <f t="shared" si="0"/>
        <v>355.87776</v>
      </c>
      <c r="H17" s="22">
        <f t="shared" si="1"/>
        <v>395.3208784</v>
      </c>
      <c r="I17" s="22">
        <f t="shared" si="2"/>
        <v>415.19072</v>
      </c>
      <c r="J17" s="22">
        <f t="shared" si="3"/>
        <v>105.659447911111</v>
      </c>
      <c r="K17" s="22">
        <f t="shared" si="4"/>
        <v>90.7076392444445</v>
      </c>
      <c r="L17" s="22">
        <f t="shared" si="5"/>
        <v>141.087099513889</v>
      </c>
      <c r="M17" s="22">
        <f t="shared" si="6"/>
        <v>136.092865902778</v>
      </c>
      <c r="N17" s="22">
        <f t="shared" si="7"/>
        <v>287.606071666667</v>
      </c>
      <c r="O17" s="22">
        <f t="shared" si="8"/>
        <v>85.7772494444445</v>
      </c>
      <c r="P17" s="22">
        <f t="shared" si="9"/>
        <v>81.0734022</v>
      </c>
      <c r="Q17" s="23">
        <v>29.65648</v>
      </c>
      <c r="T17" s="25"/>
    </row>
    <row r="18" spans="1:20">
      <c r="A18" s="20" t="s">
        <v>233</v>
      </c>
      <c r="B18" s="20">
        <v>0.127</v>
      </c>
      <c r="C18" s="20" t="s">
        <v>105</v>
      </c>
      <c r="D18" s="20" t="s">
        <v>202</v>
      </c>
      <c r="E18" s="21" t="s">
        <v>34</v>
      </c>
      <c r="F18" s="20" t="s">
        <v>203</v>
      </c>
      <c r="G18" s="22">
        <f t="shared" si="0"/>
        <v>450.8448</v>
      </c>
      <c r="H18" s="22">
        <f t="shared" si="1"/>
        <v>500.813432</v>
      </c>
      <c r="I18" s="22">
        <f t="shared" si="2"/>
        <v>525.9856</v>
      </c>
      <c r="J18" s="22">
        <f t="shared" si="3"/>
        <v>133.854986222222</v>
      </c>
      <c r="K18" s="22">
        <f t="shared" si="4"/>
        <v>114.913242888889</v>
      </c>
      <c r="L18" s="22">
        <f t="shared" si="5"/>
        <v>178.736612152778</v>
      </c>
      <c r="M18" s="22">
        <f t="shared" si="6"/>
        <v>172.409652430556</v>
      </c>
      <c r="N18" s="22">
        <f t="shared" si="7"/>
        <v>364.354608333333</v>
      </c>
      <c r="O18" s="22">
        <f t="shared" si="8"/>
        <v>108.667163888889</v>
      </c>
      <c r="P18" s="22">
        <f t="shared" si="9"/>
        <v>102.708081</v>
      </c>
      <c r="Q18" s="23">
        <v>37.5704</v>
      </c>
      <c r="T18" s="25"/>
    </row>
    <row r="19" spans="1:20">
      <c r="A19" s="20" t="s">
        <v>233</v>
      </c>
      <c r="B19" s="20">
        <v>0.152</v>
      </c>
      <c r="C19" s="20" t="s">
        <v>105</v>
      </c>
      <c r="D19" s="20" t="s">
        <v>202</v>
      </c>
      <c r="E19" s="21" t="s">
        <v>31</v>
      </c>
      <c r="F19" s="20" t="s">
        <v>203</v>
      </c>
      <c r="G19" s="22">
        <f t="shared" si="0"/>
        <v>363.3504</v>
      </c>
      <c r="H19" s="22">
        <f t="shared" si="1"/>
        <v>403.621736</v>
      </c>
      <c r="I19" s="22">
        <f t="shared" si="2"/>
        <v>423.9088</v>
      </c>
      <c r="J19" s="22">
        <f t="shared" si="3"/>
        <v>107.878060888889</v>
      </c>
      <c r="K19" s="22">
        <f t="shared" si="4"/>
        <v>92.6122975555556</v>
      </c>
      <c r="L19" s="22">
        <f t="shared" si="5"/>
        <v>144.049614236111</v>
      </c>
      <c r="M19" s="22">
        <f t="shared" si="6"/>
        <v>138.950512847222</v>
      </c>
      <c r="N19" s="22">
        <f t="shared" si="7"/>
        <v>293.645158333333</v>
      </c>
      <c r="O19" s="22">
        <f t="shared" si="8"/>
        <v>87.5783805555556</v>
      </c>
      <c r="P19" s="22">
        <f t="shared" si="9"/>
        <v>82.775763</v>
      </c>
      <c r="Q19" s="23">
        <v>30.2792</v>
      </c>
      <c r="T19" s="25"/>
    </row>
    <row r="20" spans="1:20">
      <c r="A20" s="20" t="s">
        <v>233</v>
      </c>
      <c r="B20" s="20">
        <v>0.152</v>
      </c>
      <c r="C20" s="20" t="s">
        <v>105</v>
      </c>
      <c r="D20" s="20" t="s">
        <v>202</v>
      </c>
      <c r="E20" s="21" t="s">
        <v>34</v>
      </c>
      <c r="F20" s="20" t="s">
        <v>203</v>
      </c>
      <c r="G20" s="22">
        <f t="shared" si="0"/>
        <v>465.18528</v>
      </c>
      <c r="H20" s="22">
        <f t="shared" si="1"/>
        <v>516.7433152</v>
      </c>
      <c r="I20" s="22">
        <f t="shared" si="2"/>
        <v>542.71616</v>
      </c>
      <c r="J20" s="22">
        <f t="shared" si="3"/>
        <v>138.112648177778</v>
      </c>
      <c r="K20" s="22">
        <f t="shared" si="4"/>
        <v>118.568405511111</v>
      </c>
      <c r="L20" s="22">
        <f t="shared" si="5"/>
        <v>184.421869722222</v>
      </c>
      <c r="M20" s="22">
        <f t="shared" si="6"/>
        <v>177.893661944444</v>
      </c>
      <c r="N20" s="22">
        <f t="shared" si="7"/>
        <v>375.944006666667</v>
      </c>
      <c r="O20" s="22">
        <f t="shared" si="8"/>
        <v>112.123651111111</v>
      </c>
      <c r="P20" s="22">
        <f t="shared" si="9"/>
        <v>105.9750216</v>
      </c>
      <c r="Q20" s="23">
        <v>38.76544</v>
      </c>
      <c r="T20" s="25"/>
    </row>
    <row r="21" spans="1:20">
      <c r="A21" s="20" t="s">
        <v>233</v>
      </c>
      <c r="B21" s="20">
        <v>0.178</v>
      </c>
      <c r="C21" s="20" t="s">
        <v>105</v>
      </c>
      <c r="D21" s="20" t="s">
        <v>202</v>
      </c>
      <c r="E21" s="21" t="s">
        <v>31</v>
      </c>
      <c r="F21" s="20" t="s">
        <v>203</v>
      </c>
      <c r="G21" s="22">
        <f t="shared" si="0"/>
        <v>411.81504</v>
      </c>
      <c r="H21" s="22">
        <f t="shared" si="1"/>
        <v>457.4578736</v>
      </c>
      <c r="I21" s="22">
        <f t="shared" si="2"/>
        <v>480.45088</v>
      </c>
      <c r="J21" s="22">
        <f t="shared" si="3"/>
        <v>122.267122755556</v>
      </c>
      <c r="K21" s="22">
        <f t="shared" si="4"/>
        <v>104.965171422222</v>
      </c>
      <c r="L21" s="22">
        <f t="shared" si="5"/>
        <v>163.263333819444</v>
      </c>
      <c r="M21" s="22">
        <f t="shared" si="6"/>
        <v>157.484100763889</v>
      </c>
      <c r="N21" s="22">
        <f t="shared" si="7"/>
        <v>332.812328333333</v>
      </c>
      <c r="O21" s="22">
        <f t="shared" si="8"/>
        <v>99.2598172222222</v>
      </c>
      <c r="P21" s="22">
        <f t="shared" si="9"/>
        <v>93.8166138</v>
      </c>
      <c r="Q21" s="23">
        <v>34.31792</v>
      </c>
      <c r="T21" s="25"/>
    </row>
    <row r="22" spans="1:20">
      <c r="A22" s="20" t="s">
        <v>233</v>
      </c>
      <c r="B22" s="20">
        <v>0.178</v>
      </c>
      <c r="C22" s="20" t="s">
        <v>105</v>
      </c>
      <c r="D22" s="20" t="s">
        <v>202</v>
      </c>
      <c r="E22" s="21" t="s">
        <v>34</v>
      </c>
      <c r="F22" s="20" t="s">
        <v>203</v>
      </c>
      <c r="G22" s="22">
        <f t="shared" si="0"/>
        <v>492.25344</v>
      </c>
      <c r="H22" s="22">
        <f t="shared" si="1"/>
        <v>546.8115296</v>
      </c>
      <c r="I22" s="22">
        <f t="shared" si="2"/>
        <v>574.29568</v>
      </c>
      <c r="J22" s="22">
        <f t="shared" si="3"/>
        <v>146.149134755556</v>
      </c>
      <c r="K22" s="22">
        <f t="shared" si="4"/>
        <v>125.467653422222</v>
      </c>
      <c r="L22" s="22">
        <f t="shared" si="5"/>
        <v>195.152993194444</v>
      </c>
      <c r="M22" s="22">
        <f t="shared" si="6"/>
        <v>188.244922638889</v>
      </c>
      <c r="N22" s="22">
        <f t="shared" si="7"/>
        <v>397.819403333333</v>
      </c>
      <c r="O22" s="22">
        <f t="shared" si="8"/>
        <v>118.647892222222</v>
      </c>
      <c r="P22" s="22">
        <f t="shared" si="9"/>
        <v>112.1414868</v>
      </c>
      <c r="Q22" s="23">
        <v>41.02112</v>
      </c>
      <c r="T22" s="25"/>
    </row>
    <row r="23" s="5" customFormat="1" ht="17.4" spans="1:20">
      <c r="E23" s="26"/>
    </row>
    <row r="24" s="6" customFormat="1" ht="12.75" customHeight="1" spans="1:20">
      <c r="R24" s="28"/>
    </row>
    <row r="25" ht="17.4" spans="1:20">
      <c r="A25" s="11" t="s">
        <v>234</v>
      </c>
      <c r="B25" s="12"/>
      <c r="C25" s="27"/>
      <c r="D25" s="4"/>
      <c r="E25" s="13"/>
      <c r="F25" s="4"/>
      <c r="G25" s="4"/>
    </row>
    <row r="26" ht="15.6" spans="1:20">
      <c r="A26" s="6"/>
      <c r="B26" s="6"/>
      <c r="C26" s="6"/>
      <c r="D26" s="6"/>
      <c r="E26" s="6"/>
      <c r="F26" s="28"/>
      <c r="G26" s="28"/>
    </row>
    <row r="27" ht="30" spans="1:20">
      <c r="A27" s="14" t="s">
        <v>11</v>
      </c>
      <c r="B27" s="29" t="s">
        <v>84</v>
      </c>
      <c r="C27" s="30" t="s">
        <v>168</v>
      </c>
      <c r="D27" s="15" t="s">
        <v>169</v>
      </c>
      <c r="E27" s="31" t="s">
        <v>189</v>
      </c>
      <c r="F27" s="31"/>
      <c r="G27" s="14" t="s">
        <v>88</v>
      </c>
      <c r="H27" s="14"/>
      <c r="I27" s="14" t="s">
        <v>28</v>
      </c>
    </row>
    <row r="28" spans="1:20">
      <c r="A28" s="20" t="s">
        <v>235</v>
      </c>
      <c r="B28" s="20">
        <v>1035</v>
      </c>
      <c r="C28" s="20">
        <v>74</v>
      </c>
      <c r="D28" s="20">
        <v>300</v>
      </c>
      <c r="E28" s="32">
        <v>156.9344</v>
      </c>
      <c r="F28" s="33"/>
      <c r="G28" s="34">
        <f t="shared" ref="G28:G32" si="10">E28*D28</f>
        <v>47080.32</v>
      </c>
      <c r="H28" s="35"/>
      <c r="I28" s="43"/>
    </row>
    <row r="29" spans="1:20">
      <c r="A29" s="20" t="s">
        <v>235</v>
      </c>
      <c r="B29" s="20">
        <v>1078</v>
      </c>
      <c r="C29" s="20">
        <v>68</v>
      </c>
      <c r="D29" s="20">
        <v>300</v>
      </c>
      <c r="E29" s="32">
        <v>162.7808</v>
      </c>
      <c r="F29" s="33"/>
      <c r="G29" s="34">
        <f t="shared" si="10"/>
        <v>48834.24</v>
      </c>
      <c r="H29" s="35"/>
      <c r="I29" s="43"/>
    </row>
    <row r="30" spans="1:20">
      <c r="A30" s="20" t="s">
        <v>235</v>
      </c>
      <c r="B30" s="20">
        <v>1078</v>
      </c>
      <c r="C30" s="20">
        <v>71</v>
      </c>
      <c r="D30" s="20">
        <v>300</v>
      </c>
      <c r="E30" s="32">
        <v>179.5584</v>
      </c>
      <c r="F30" s="33"/>
      <c r="G30" s="34">
        <f t="shared" si="10"/>
        <v>53867.52</v>
      </c>
      <c r="H30" s="35"/>
      <c r="I30" s="43"/>
    </row>
    <row r="31" spans="1:20">
      <c r="A31" s="20" t="s">
        <v>235</v>
      </c>
      <c r="B31" s="20">
        <v>1078</v>
      </c>
      <c r="C31" s="20">
        <v>75</v>
      </c>
      <c r="D31" s="20">
        <v>300</v>
      </c>
      <c r="E31" s="32">
        <v>183.1648</v>
      </c>
      <c r="F31" s="33"/>
      <c r="G31" s="34">
        <f t="shared" si="10"/>
        <v>54949.44</v>
      </c>
      <c r="H31" s="35"/>
      <c r="I31" s="43"/>
    </row>
    <row r="32" spans="1:20">
      <c r="A32" s="20" t="s">
        <v>235</v>
      </c>
      <c r="B32" s="20">
        <v>1080</v>
      </c>
      <c r="C32" s="20">
        <v>68</v>
      </c>
      <c r="D32" s="20">
        <v>300</v>
      </c>
      <c r="E32" s="32">
        <v>125</v>
      </c>
      <c r="F32" s="33"/>
      <c r="G32" s="32">
        <f t="shared" si="10"/>
        <v>37500</v>
      </c>
      <c r="H32" s="33"/>
      <c r="I32" s="43"/>
    </row>
    <row r="33" spans="1:18">
      <c r="A33" s="20" t="s">
        <v>235</v>
      </c>
      <c r="B33" s="20">
        <v>1080</v>
      </c>
      <c r="C33" s="20">
        <v>71</v>
      </c>
      <c r="D33" s="20">
        <v>300</v>
      </c>
      <c r="E33" s="32">
        <v>135.12</v>
      </c>
      <c r="F33" s="33"/>
      <c r="G33" s="32">
        <f t="shared" ref="G33:G37" si="11">E33*D33</f>
        <v>40536</v>
      </c>
      <c r="H33" s="33"/>
      <c r="I33" s="43"/>
    </row>
    <row r="34" spans="1:18">
      <c r="A34" s="20" t="s">
        <v>235</v>
      </c>
      <c r="B34" s="20">
        <v>1080</v>
      </c>
      <c r="C34" s="20">
        <v>75</v>
      </c>
      <c r="D34" s="20">
        <v>300</v>
      </c>
      <c r="E34" s="32">
        <v>167</v>
      </c>
      <c r="F34" s="33"/>
      <c r="G34" s="32">
        <f t="shared" si="11"/>
        <v>50100</v>
      </c>
      <c r="H34" s="33"/>
      <c r="I34" s="43"/>
    </row>
    <row r="35" spans="1:18">
      <c r="A35" s="20" t="s">
        <v>235</v>
      </c>
      <c r="B35" s="20">
        <v>2116</v>
      </c>
      <c r="C35" s="20">
        <v>59</v>
      </c>
      <c r="D35" s="20">
        <v>300</v>
      </c>
      <c r="E35" s="32">
        <v>165.76</v>
      </c>
      <c r="F35" s="33"/>
      <c r="G35" s="32">
        <f t="shared" si="11"/>
        <v>49728</v>
      </c>
      <c r="H35" s="33"/>
      <c r="I35" s="43"/>
    </row>
    <row r="36" spans="1:18">
      <c r="A36" s="20" t="s">
        <v>235</v>
      </c>
      <c r="B36" s="20">
        <v>3313</v>
      </c>
      <c r="C36" s="20">
        <v>59</v>
      </c>
      <c r="D36" s="20">
        <v>300</v>
      </c>
      <c r="E36" s="32">
        <v>148</v>
      </c>
      <c r="F36" s="33"/>
      <c r="G36" s="32">
        <f t="shared" si="11"/>
        <v>44400</v>
      </c>
      <c r="H36" s="33"/>
      <c r="I36" s="43"/>
    </row>
    <row r="37" ht="15.6" spans="1:18">
      <c r="A37" s="20" t="s">
        <v>235</v>
      </c>
      <c r="B37" s="20">
        <v>3313</v>
      </c>
      <c r="C37" s="20">
        <v>62</v>
      </c>
      <c r="D37" s="20">
        <v>300</v>
      </c>
      <c r="E37" s="32">
        <v>152.46</v>
      </c>
      <c r="F37" s="33"/>
      <c r="G37" s="32">
        <f t="shared" si="11"/>
        <v>45738</v>
      </c>
      <c r="H37" s="33"/>
      <c r="I37" s="44"/>
    </row>
    <row r="40" s="1" customFormat="1" ht="17.4" spans="1:18">
      <c r="A40" s="38" t="s">
        <v>75</v>
      </c>
      <c r="B40" s="38"/>
      <c r="C40" s="38"/>
      <c r="D40" s="38"/>
      <c r="E40" s="39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</row>
    <row r="41" s="1" customFormat="1" ht="17.4" spans="1:18">
      <c r="A41" s="38" t="s">
        <v>76</v>
      </c>
      <c r="B41" s="38"/>
      <c r="C41" s="38"/>
      <c r="D41" s="38"/>
      <c r="E41" s="41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</row>
    <row r="42" s="1" customFormat="1" ht="17.4" spans="1:18">
      <c r="A42" s="38" t="s">
        <v>77</v>
      </c>
      <c r="B42" s="38"/>
      <c r="C42" s="38"/>
      <c r="D42" s="38"/>
      <c r="E42" s="41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s="6" customFormat="1" ht="17.4" spans="1:18">
      <c r="A43" s="6" t="s">
        <v>160</v>
      </c>
      <c r="I43" s="42"/>
      <c r="J43" s="42"/>
      <c r="K43" s="42"/>
      <c r="L43" s="42"/>
      <c r="M43" s="42"/>
      <c r="N43" s="42"/>
      <c r="O43" s="42"/>
      <c r="P43" s="42"/>
      <c r="Q43" s="42"/>
      <c r="R43" s="28"/>
    </row>
    <row r="44" s="6" customFormat="1" ht="12.75" customHeight="1" spans="1:18">
      <c r="A44" s="6" t="s">
        <v>170</v>
      </c>
      <c r="R44" s="28"/>
    </row>
    <row r="45" s="6" customFormat="1" ht="19" customHeight="1" spans="1:18">
      <c r="A45" s="1" t="s">
        <v>80</v>
      </c>
      <c r="B45" s="1"/>
      <c r="C45" s="1"/>
      <c r="D45" s="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1"/>
    </row>
  </sheetData>
  <mergeCells count="29">
    <mergeCell ref="A1:Q1"/>
    <mergeCell ref="A2:R2"/>
    <mergeCell ref="A3:R3"/>
    <mergeCell ref="A5:B5"/>
    <mergeCell ref="A7:B7"/>
    <mergeCell ref="A8:B8"/>
    <mergeCell ref="D11:E11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</mergeCells>
  <pageMargins left="0.7" right="0.7" top="0.75" bottom="0.75" header="0.3" footer="0.3"/>
  <pageSetup paperSize="9" scale="67" orientation="landscape"/>
  <headerFooter/>
  <colBreaks count="1" manualBreakCount="1">
    <brk id="17" max="1048575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view="pageBreakPreview" zoomScaleNormal="100" topLeftCell="A4" workbookViewId="0">
      <selection activeCell="N19" sqref="N19"/>
    </sheetView>
  </sheetViews>
  <sheetFormatPr defaultColWidth="8.88888888888889" defaultRowHeight="14.4"/>
  <cols>
    <col min="1" max="6" width="8.88888888888889" style="5"/>
    <col min="7" max="8" width="7.55555555555556" style="5" customWidth="1"/>
    <col min="9" max="9" width="8.55555555555556" style="5" customWidth="1"/>
    <col min="10" max="11" width="9.33333333333333" style="5" customWidth="1"/>
    <col min="12" max="12" width="10.5555555555556" style="5" customWidth="1"/>
    <col min="13" max="13" width="10.2222222222222" style="5" customWidth="1"/>
    <col min="14" max="15" width="7.88888888888889" style="5" customWidth="1"/>
    <col min="16" max="16" width="10.2222222222222" style="5" customWidth="1"/>
    <col min="17" max="17" width="11.5555555555556" style="5" customWidth="1"/>
    <col min="18" max="18" width="11.1111111111111" style="5" customWidth="1"/>
    <col min="19" max="19" width="8.88888888888889" style="5"/>
    <col min="20" max="21" width="13" style="5"/>
    <col min="22" max="16384" width="8.88888888888889" style="5"/>
  </cols>
  <sheetData>
    <row r="1" s="1" customFormat="1" ht="99" customHeight="1" spans="1:20">
      <c r="A1" s="7" t="s">
        <v>231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</row>
    <row r="2" s="2" customFormat="1" ht="12.75" customHeight="1" spans="1:2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="1" customFormat="1" ht="12.75" customHeight="1" spans="1:20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="1" customFormat="1" ht="12.75" customHeight="1" spans="1:2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="1" customFormat="1" ht="15" customHeight="1" spans="1:20">
      <c r="A5" s="9" t="s">
        <v>2</v>
      </c>
      <c r="B5" s="9"/>
      <c r="C5" s="9"/>
      <c r="D5" s="9"/>
      <c r="E5" s="9"/>
      <c r="J5" s="10"/>
      <c r="K5" s="10"/>
      <c r="L5" s="10"/>
      <c r="M5" s="10"/>
      <c r="N5" s="10"/>
      <c r="O5" s="10" t="s">
        <v>3</v>
      </c>
      <c r="P5" s="10"/>
      <c r="R5" s="10"/>
    </row>
    <row r="6" s="1" customFormat="1" ht="15" customHeight="1" spans="1:20">
      <c r="A6" s="10" t="s">
        <v>4</v>
      </c>
      <c r="B6" s="10"/>
      <c r="C6" s="10"/>
      <c r="D6" s="9"/>
      <c r="E6" s="9"/>
      <c r="J6" s="10"/>
      <c r="K6" s="10"/>
      <c r="L6" s="10"/>
      <c r="M6" s="10"/>
      <c r="N6" s="10"/>
      <c r="O6" s="10" t="s">
        <v>5</v>
      </c>
      <c r="P6" s="10"/>
      <c r="R6" s="10"/>
    </row>
    <row r="7" s="1" customFormat="1" ht="15" customHeight="1" spans="1:20">
      <c r="A7" s="9" t="s">
        <v>6</v>
      </c>
      <c r="B7" s="9"/>
      <c r="C7" s="9"/>
      <c r="D7" s="9"/>
      <c r="E7" s="9"/>
      <c r="J7" s="10"/>
      <c r="K7" s="10"/>
      <c r="L7" s="10"/>
      <c r="M7" s="10"/>
      <c r="N7" s="10"/>
      <c r="O7" s="10" t="s">
        <v>7</v>
      </c>
      <c r="P7" s="10"/>
      <c r="R7" s="10"/>
    </row>
    <row r="8" s="3" customFormat="1" ht="15" customHeight="1" spans="1:20">
      <c r="A8" s="9" t="s">
        <v>8</v>
      </c>
      <c r="B8" s="9"/>
      <c r="C8" s="9"/>
      <c r="D8" s="9"/>
      <c r="E8" s="9"/>
      <c r="J8" s="10"/>
      <c r="K8" s="10"/>
      <c r="L8" s="10"/>
      <c r="M8" s="10"/>
      <c r="N8" s="10"/>
      <c r="O8" s="10" t="s">
        <v>9</v>
      </c>
      <c r="P8" s="10"/>
      <c r="R8" s="10"/>
    </row>
    <row r="9" s="4" customFormat="1" ht="14.25" customHeight="1" spans="1:20">
      <c r="A9" s="11" t="s">
        <v>236</v>
      </c>
      <c r="B9" s="12"/>
      <c r="C9" s="12"/>
      <c r="D9" s="12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="4" customFormat="1" ht="14.25" customHeight="1" spans="1:20">
      <c r="A10" s="11"/>
      <c r="B10" s="12"/>
      <c r="C10" s="12"/>
      <c r="D10" s="12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="5" customFormat="1" ht="30" spans="1:20">
      <c r="A11" s="14" t="s">
        <v>11</v>
      </c>
      <c r="B11" s="14" t="s">
        <v>12</v>
      </c>
      <c r="C11" s="15" t="s">
        <v>13</v>
      </c>
      <c r="D11" s="16" t="s">
        <v>15</v>
      </c>
      <c r="E11" s="17"/>
      <c r="F11" s="14" t="s">
        <v>16</v>
      </c>
      <c r="G11" s="18" t="s">
        <v>17</v>
      </c>
      <c r="H11" s="18" t="s">
        <v>18</v>
      </c>
      <c r="I11" s="18" t="s">
        <v>19</v>
      </c>
      <c r="J11" s="18" t="s">
        <v>20</v>
      </c>
      <c r="K11" s="18" t="s">
        <v>21</v>
      </c>
      <c r="L11" s="18" t="s">
        <v>22</v>
      </c>
      <c r="M11" s="18" t="s">
        <v>23</v>
      </c>
      <c r="N11" s="18" t="s">
        <v>24</v>
      </c>
      <c r="O11" s="18" t="s">
        <v>25</v>
      </c>
      <c r="P11" s="18" t="s">
        <v>26</v>
      </c>
      <c r="Q11" s="19" t="s">
        <v>27</v>
      </c>
    </row>
    <row r="12" s="5" customFormat="1" spans="1:20">
      <c r="A12" s="20" t="s">
        <v>237</v>
      </c>
      <c r="B12" s="20">
        <v>0.089</v>
      </c>
      <c r="C12" s="20" t="s">
        <v>105</v>
      </c>
      <c r="D12" s="20" t="s">
        <v>202</v>
      </c>
      <c r="E12" s="21" t="s">
        <v>34</v>
      </c>
      <c r="F12" s="20" t="s">
        <v>200</v>
      </c>
      <c r="G12" s="22">
        <f>Q12*12</f>
        <v>607.66272</v>
      </c>
      <c r="H12" s="22">
        <f>Q12*13.33</f>
        <v>675.0120048</v>
      </c>
      <c r="I12" s="22">
        <f>Q12*14</f>
        <v>708.93984</v>
      </c>
      <c r="J12" s="22">
        <f>21.2*24.2/144*Q12</f>
        <v>180.413936266667</v>
      </c>
      <c r="K12" s="22">
        <f>18.2*24.2/144*Q12</f>
        <v>154.883662266667</v>
      </c>
      <c r="L12" s="22">
        <f>28.25*24.25/144*Q12</f>
        <v>240.906795208333</v>
      </c>
      <c r="M12" s="22">
        <f>27.25*24.25/144*Q12</f>
        <v>232.379121041667</v>
      </c>
      <c r="N12" s="22">
        <f>28.5*49/144*Q12</f>
        <v>491.088535</v>
      </c>
      <c r="O12" s="22">
        <f>17*24.5/144*Q12</f>
        <v>146.465001666667</v>
      </c>
      <c r="P12" s="22">
        <f>24.3*16.2/144*Q12</f>
        <v>138.4331634</v>
      </c>
      <c r="Q12" s="23">
        <v>50.63856</v>
      </c>
    </row>
    <row r="13" s="5" customFormat="1" spans="1:20">
      <c r="A13" s="20" t="s">
        <v>237</v>
      </c>
      <c r="B13" s="20">
        <v>0.089</v>
      </c>
      <c r="C13" s="20" t="s">
        <v>105</v>
      </c>
      <c r="D13" s="24" t="s">
        <v>228</v>
      </c>
      <c r="E13" s="21" t="s">
        <v>109</v>
      </c>
      <c r="F13" s="20" t="s">
        <v>200</v>
      </c>
      <c r="G13" s="22">
        <f>Q13*12</f>
        <v>632.67456</v>
      </c>
      <c r="H13" s="22">
        <f>Q13*13.33</f>
        <v>702.7959904</v>
      </c>
      <c r="I13" s="22">
        <f>Q13*14</f>
        <v>738.12032</v>
      </c>
      <c r="J13" s="22">
        <f>21.2*24.2/144*Q13</f>
        <v>187.839905244444</v>
      </c>
      <c r="K13" s="22">
        <f>18.2*24.2/144*Q13</f>
        <v>161.258786577778</v>
      </c>
      <c r="L13" s="22">
        <f>28.25*24.25/144*Q13</f>
        <v>250.822694305556</v>
      </c>
      <c r="M13" s="22">
        <f>27.25*24.25/144*Q13</f>
        <v>241.944014861111</v>
      </c>
      <c r="N13" s="22">
        <f>28.5*49/144*Q13</f>
        <v>511.302096666667</v>
      </c>
      <c r="O13" s="22">
        <f>17*24.5/144*Q13</f>
        <v>152.493607777778</v>
      </c>
      <c r="P13" s="22">
        <f>24.3*16.2/144*Q13</f>
        <v>144.1311732</v>
      </c>
      <c r="Q13" s="23">
        <v>52.72288</v>
      </c>
    </row>
    <row r="14" s="5" customFormat="1" spans="1:20">
      <c r="A14" s="20" t="s">
        <v>237</v>
      </c>
      <c r="B14" s="20">
        <v>0.089</v>
      </c>
      <c r="C14" s="20" t="s">
        <v>105</v>
      </c>
      <c r="D14" s="20" t="s">
        <v>106</v>
      </c>
      <c r="E14" s="21" t="s">
        <v>41</v>
      </c>
      <c r="F14" s="20" t="s">
        <v>200</v>
      </c>
      <c r="G14" s="22">
        <f>Q14*12</f>
        <v>695.76192</v>
      </c>
      <c r="H14" s="22">
        <f>Q14*13.33</f>
        <v>772.8755328</v>
      </c>
      <c r="I14" s="22">
        <f>Q14*14</f>
        <v>811.72224</v>
      </c>
      <c r="J14" s="22">
        <f>21.2*24.2/144*Q14</f>
        <v>206.5704256</v>
      </c>
      <c r="K14" s="22">
        <f>18.2*24.2/144*Q14</f>
        <v>177.3387616</v>
      </c>
      <c r="L14" s="22">
        <f>28.25*24.25/144*Q14</f>
        <v>275.833565</v>
      </c>
      <c r="M14" s="22">
        <f>27.25*24.25/144*Q14</f>
        <v>266.069545</v>
      </c>
      <c r="N14" s="22">
        <f>28.5*49/144*Q14</f>
        <v>562.28676</v>
      </c>
      <c r="O14" s="22">
        <f>17*24.5/144*Q14</f>
        <v>167.69956</v>
      </c>
      <c r="P14" s="22">
        <f>24.3*16.2/144*Q14</f>
        <v>158.5032624</v>
      </c>
      <c r="Q14" s="23">
        <v>57.98016</v>
      </c>
      <c r="R14" s="5"/>
      <c r="S14" s="5"/>
      <c r="T14" s="25"/>
    </row>
    <row r="15" s="5" customFormat="1" ht="17.4" spans="1:20">
      <c r="E15" s="26"/>
    </row>
    <row r="16" s="6" customFormat="1" ht="12.75" customHeight="1" spans="1:20">
      <c r="L16" s="5"/>
      <c r="M16" s="5"/>
      <c r="N16" s="5"/>
      <c r="O16" s="5"/>
      <c r="P16" s="5"/>
      <c r="Q16" s="5"/>
      <c r="R16" s="5"/>
      <c r="S16" s="5"/>
    </row>
    <row r="17" s="5" customFormat="1" ht="17.4" spans="1:19">
      <c r="A17" s="11" t="s">
        <v>238</v>
      </c>
      <c r="B17" s="12"/>
      <c r="C17" s="27"/>
      <c r="D17" s="4"/>
      <c r="E17" s="13"/>
      <c r="F17" s="4"/>
      <c r="G17" s="4"/>
      <c r="L17" s="6"/>
      <c r="M17" s="6"/>
      <c r="N17" s="6"/>
      <c r="O17" s="6"/>
      <c r="P17" s="6"/>
      <c r="Q17" s="6"/>
      <c r="R17" s="28"/>
      <c r="S17" s="6"/>
    </row>
    <row r="18" s="5" customFormat="1" ht="15.6" spans="1:19">
      <c r="A18" s="6"/>
      <c r="B18" s="6"/>
      <c r="C18" s="6"/>
      <c r="D18" s="6"/>
      <c r="E18" s="6"/>
      <c r="F18" s="28"/>
      <c r="G18" s="28"/>
    </row>
    <row r="19" s="5" customFormat="1" ht="30" spans="1:19">
      <c r="A19" s="14" t="s">
        <v>11</v>
      </c>
      <c r="B19" s="29" t="s">
        <v>84</v>
      </c>
      <c r="C19" s="30" t="s">
        <v>168</v>
      </c>
      <c r="D19" s="15" t="s">
        <v>169</v>
      </c>
      <c r="E19" s="31" t="s">
        <v>189</v>
      </c>
      <c r="F19" s="31"/>
      <c r="G19" s="14" t="s">
        <v>88</v>
      </c>
      <c r="H19" s="14"/>
      <c r="I19" s="31" t="s">
        <v>28</v>
      </c>
    </row>
    <row r="20" s="5" customFormat="1" spans="1:19">
      <c r="A20" s="20" t="s">
        <v>239</v>
      </c>
      <c r="B20" s="20">
        <v>106</v>
      </c>
      <c r="C20" s="20">
        <v>76</v>
      </c>
      <c r="D20" s="20">
        <v>300</v>
      </c>
      <c r="E20" s="32">
        <v>166.6784</v>
      </c>
      <c r="F20" s="33"/>
      <c r="G20" s="34">
        <f>E20*D20</f>
        <v>50003.52</v>
      </c>
      <c r="H20" s="35"/>
      <c r="I20" s="36"/>
    </row>
    <row r="21" s="5" customFormat="1" spans="1:19">
      <c r="A21" s="20" t="s">
        <v>239</v>
      </c>
      <c r="B21" s="20">
        <v>1080</v>
      </c>
      <c r="C21" s="20">
        <v>67</v>
      </c>
      <c r="D21" s="20">
        <v>300</v>
      </c>
      <c r="E21" s="32">
        <v>172.8496</v>
      </c>
      <c r="F21" s="33"/>
      <c r="G21" s="34">
        <f>E21*D21</f>
        <v>51854.88</v>
      </c>
      <c r="H21" s="35"/>
      <c r="I21" s="36"/>
    </row>
    <row r="22" s="5" customFormat="1" spans="1:19">
      <c r="A22" s="20" t="s">
        <v>239</v>
      </c>
      <c r="B22" s="20">
        <v>1080</v>
      </c>
      <c r="C22" s="20">
        <v>74</v>
      </c>
      <c r="D22" s="20">
        <v>300</v>
      </c>
      <c r="E22" s="32">
        <v>209.8768</v>
      </c>
      <c r="F22" s="33"/>
      <c r="G22" s="34">
        <f>E22*D22</f>
        <v>62963.04</v>
      </c>
      <c r="H22" s="35"/>
      <c r="I22" s="36"/>
    </row>
    <row r="23" s="5" customFormat="1" spans="1:19">
      <c r="J23" s="37"/>
    </row>
    <row r="24" s="5" customFormat="1" spans="1:19">
      <c r="J24" s="37"/>
    </row>
    <row r="25" s="1" customFormat="1" ht="17.4" spans="1:19">
      <c r="A25" s="38" t="s">
        <v>75</v>
      </c>
      <c r="B25" s="38"/>
      <c r="C25" s="38"/>
      <c r="D25" s="38"/>
      <c r="E25" s="39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</row>
    <row r="26" s="1" customFormat="1" ht="17.4" spans="1:19">
      <c r="A26" s="38" t="s">
        <v>76</v>
      </c>
      <c r="B26" s="38"/>
      <c r="C26" s="38"/>
      <c r="D26" s="38"/>
      <c r="E26" s="41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="1" customFormat="1" ht="17.4" spans="1:19">
      <c r="A27" s="38" t="s">
        <v>77</v>
      </c>
      <c r="B27" s="38"/>
      <c r="C27" s="38"/>
      <c r="D27" s="38"/>
      <c r="E27" s="41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="6" customFormat="1" ht="17.4" spans="1:19">
      <c r="A28" s="6" t="s">
        <v>160</v>
      </c>
      <c r="I28" s="42"/>
      <c r="J28" s="42"/>
      <c r="K28" s="42"/>
      <c r="L28" s="42"/>
      <c r="M28" s="42"/>
      <c r="N28" s="42"/>
      <c r="O28" s="42"/>
      <c r="P28" s="42"/>
      <c r="Q28" s="42"/>
      <c r="R28" s="28"/>
    </row>
    <row r="29" s="6" customFormat="1" ht="12.75" customHeight="1" spans="1:19">
      <c r="A29" s="6" t="s">
        <v>170</v>
      </c>
      <c r="R29" s="28"/>
    </row>
    <row r="30" s="6" customFormat="1" ht="19" customHeight="1" spans="1:19">
      <c r="A30" s="1" t="s">
        <v>80</v>
      </c>
      <c r="B30" s="1"/>
      <c r="C30" s="1"/>
      <c r="D30" s="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1"/>
    </row>
  </sheetData>
  <mergeCells count="15">
    <mergeCell ref="A1:Q1"/>
    <mergeCell ref="A2:R2"/>
    <mergeCell ref="A3:R3"/>
    <mergeCell ref="A5:B5"/>
    <mergeCell ref="A7:B7"/>
    <mergeCell ref="A8:B8"/>
    <mergeCell ref="D11:E11"/>
    <mergeCell ref="E19:F19"/>
    <mergeCell ref="G19:H19"/>
    <mergeCell ref="E20:F20"/>
    <mergeCell ref="G20:H20"/>
    <mergeCell ref="E21:F21"/>
    <mergeCell ref="G21:H21"/>
    <mergeCell ref="E22:F22"/>
    <mergeCell ref="G22:H22"/>
  </mergeCells>
  <pageMargins left="0.75" right="0.75" top="1" bottom="1" header="0.5" footer="0.5"/>
  <pageSetup paperSize="9" scale="67" orientation="landscape"/>
  <headerFooter/>
  <colBreaks count="1" manualBreakCount="1">
    <brk id="17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NY2150</vt:lpstr>
      <vt:lpstr>NY2150PP</vt:lpstr>
      <vt:lpstr>NY2170</vt:lpstr>
      <vt:lpstr>NY2170PP</vt:lpstr>
      <vt:lpstr>NY3170M</vt:lpstr>
      <vt:lpstr>NY3170MPP</vt:lpstr>
      <vt:lpstr>NY6180</vt:lpstr>
      <vt:lpstr>NY6180L</vt:lpstr>
      <vt:lpstr>NY3170M2</vt:lpstr>
      <vt:lpstr>NY3170M2PP</vt:lpstr>
      <vt:lpstr>NY3170LK</vt:lpstr>
      <vt:lpstr>NY6300</vt:lpstr>
      <vt:lpstr>NY6300PP</vt:lpstr>
      <vt:lpstr>NY6300S</vt:lpstr>
      <vt:lpstr>NY6300SN</vt:lpstr>
      <vt:lpstr>NY-P1</vt:lpstr>
      <vt:lpstr>NY-P2</vt:lpstr>
      <vt:lpstr>NY-P3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吴成令</dc:creator>
  <cp:lastModifiedBy>思念是一种病</cp:lastModifiedBy>
  <dcterms:created xsi:type="dcterms:W3CDTF">2023-05-12T11:15:00Z</dcterms:created>
  <dcterms:modified xsi:type="dcterms:W3CDTF">2026-08-05T02:33:41Z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340B3645F95D49C1A41F54FFB37492F7_13</vt:lpwstr>
  </property>
  <property fmtid="{D5CDD505-2E9C-101B-9397-08002B2CF9AE}" pid="4" name="CalculationRule">
    <vt:i4>0</vt:i4>
  </property>
</Properties>
</file>