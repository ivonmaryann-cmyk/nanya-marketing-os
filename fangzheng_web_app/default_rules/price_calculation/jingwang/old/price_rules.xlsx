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基板" sheetId="1" r:id="rId3"/>
    <sheet name="PP" sheetId="2" r:id="rId4"/>
  </sheets>
  <definedNames>
    <definedName name="_xlnm._FilterDatabase" localSheetId="1">PP!$A$1:$N$490</definedName>
    <definedName name="_xlnm._FilterDatabase" localSheetId="0">基板!$A$1:$AB$1909</definedName>
  </definedNames>
  <calcPr calcId="191029"/>
</workbook>
</file>

<file path=xl/sharedStrings.xml><?xml version="1.0" encoding="utf-8"?>
<sst xmlns="http://schemas.openxmlformats.org/spreadsheetml/2006/main" count="2734" uniqueCount="2734">
  <si>
    <t/>
  </si>
  <si>
    <t>24*49</t>
  </si>
  <si>
    <t>27*49</t>
  </si>
  <si>
    <t>28*49</t>
  </si>
  <si>
    <t>37*49</t>
  </si>
  <si>
    <t>历史价格</t>
  </si>
  <si>
    <t>41*49最新价格(ROUND)</t>
  </si>
  <si>
    <t>43*49</t>
  </si>
  <si>
    <t>74*49</t>
  </si>
  <si>
    <t>82*49</t>
  </si>
  <si>
    <t>86*49</t>
  </si>
  <si>
    <t>铜厚</t>
  </si>
  <si>
    <t>值从(5)</t>
  </si>
  <si>
    <t>铜箔类型</t>
  </si>
  <si>
    <t>c</t>
  </si>
  <si>
    <t>NY2140</t>
  </si>
  <si>
    <t>是否含铜</t>
  </si>
  <si>
    <t>不含铜</t>
  </si>
  <si>
    <t>1080*1</t>
  </si>
  <si>
    <t>HTE</t>
  </si>
  <si>
    <t>NY21400.08111080*1HTE不含铜</t>
  </si>
  <si>
    <t>H</t>
  </si>
  <si>
    <t>NY21400.08HH1080*1HTE不含铜</t>
  </si>
  <si>
    <t>2116*1</t>
  </si>
  <si>
    <t>NY21400.1112116*1HTE不含铜</t>
  </si>
  <si>
    <t>2313*1</t>
  </si>
  <si>
    <t>NY21400.1112313*1HTE不含铜</t>
  </si>
  <si>
    <t>106*2</t>
  </si>
  <si>
    <t>NY21400.122106*2HTE不含铜</t>
  </si>
  <si>
    <t>NY21400.133106*2HTE不含铜</t>
  </si>
  <si>
    <t>NY21400.144106*2HTE不含铜</t>
  </si>
  <si>
    <t>NY21400.1HH2116*1HTE不含铜</t>
  </si>
  <si>
    <t>NY21400.1HH2313*1HTE不含铜</t>
  </si>
  <si>
    <t>NY21400.1H12313*1HTE不含铜</t>
  </si>
  <si>
    <t>NY21400.11112116*1HTE不含铜</t>
  </si>
  <si>
    <t>NY21400.13112116*1HTE不含铜</t>
  </si>
  <si>
    <t>NY21400.1322106*2HTE不含铜</t>
  </si>
  <si>
    <t>NY21400.1344106*2HTE不含铜</t>
  </si>
  <si>
    <t>NY21400.13HH2116*1HTE不含铜</t>
  </si>
  <si>
    <t>1506*1</t>
  </si>
  <si>
    <t>NY21400.15111506*1HTE不含铜</t>
  </si>
  <si>
    <t>NY21400.15HH1506*1HTE不含铜</t>
  </si>
  <si>
    <t>NY21400.16111506*1HTE不含铜</t>
  </si>
  <si>
    <t>1080*2</t>
  </si>
  <si>
    <t>NY21400.16221080*2HTE不含铜</t>
  </si>
  <si>
    <t>NY21400.16HH1506*1HTE不含铜</t>
  </si>
  <si>
    <t>7628*1</t>
  </si>
  <si>
    <t>NY21400.18117628*1HTE不含铜</t>
  </si>
  <si>
    <t>2313*2</t>
  </si>
  <si>
    <t>NY21400.18222313*2HTE不含铜</t>
  </si>
  <si>
    <t>NY21400.18HH7628*1HTE不含铜</t>
  </si>
  <si>
    <t>NY21400.2117628*1HTE不含铜</t>
  </si>
  <si>
    <t>2116*2</t>
  </si>
  <si>
    <t>NY21400.2222116*2HTE不含铜</t>
  </si>
  <si>
    <t>NY21400.2332313*2HTE不含铜</t>
  </si>
  <si>
    <t>NY21400.2HH7628*1HTE不含铜</t>
  </si>
  <si>
    <t>NY21400.23112116*2HTE不含铜</t>
  </si>
  <si>
    <t>NY21400.23442116*2HTE不含铜</t>
  </si>
  <si>
    <t>NY21400.25112116*2HTE不含铜</t>
  </si>
  <si>
    <t>NY21400.25332116*2HTE不含铜</t>
  </si>
  <si>
    <t>NY21400.25HH2116*2HTE不含铜</t>
  </si>
  <si>
    <t>NY21400.26222116*2HTE不含铜</t>
  </si>
  <si>
    <t>NY21400.26HH2116*2HTE不含铜</t>
  </si>
  <si>
    <t>1080*1+2116*1+1080*1</t>
  </si>
  <si>
    <t>NY21400.28111080*1+2116*1+1080*1HTE不含铜</t>
  </si>
  <si>
    <t>NY21400.28221080*1+2116*1+1080*1HTE不含铜</t>
  </si>
  <si>
    <t>NY21400.28HH1080*1+2116*1+1080*1HTE不含铜</t>
  </si>
  <si>
    <t>1506*2</t>
  </si>
  <si>
    <t>NY21400.3111506*2HTE不含铜</t>
  </si>
  <si>
    <t>NY21400.3221506*2HTE不含铜</t>
  </si>
  <si>
    <t>NY21400.3331506*2HTE不含铜</t>
  </si>
  <si>
    <t>NY21400.3441506*2HTE不含铜</t>
  </si>
  <si>
    <t>NY21400.3HH1506*2HTE不含铜</t>
  </si>
  <si>
    <t>NY21400.32441506*2HTE不含铜</t>
  </si>
  <si>
    <t>NY21400.33111506*2HTE不含铜</t>
  </si>
  <si>
    <t>NY21400.33221506*2HTE不含铜</t>
  </si>
  <si>
    <t>7628*2</t>
  </si>
  <si>
    <t>NY21400.35117628*2HTE不含铜</t>
  </si>
  <si>
    <t>NY21400.351.51.57628*2HTE不含铜</t>
  </si>
  <si>
    <t>NY21400.35337628*2HTE不含铜</t>
  </si>
  <si>
    <t>NY21400.36117628*2HTE不含铜</t>
  </si>
  <si>
    <t>NY21400.36227628*2HTE不含铜</t>
  </si>
  <si>
    <t>NY21400.36HH7628*2HTE不含铜</t>
  </si>
  <si>
    <t>NY21400.38117628*2HTE不含铜</t>
  </si>
  <si>
    <t>NY21400.4117628*2HTE不含铜</t>
  </si>
  <si>
    <t>NY21400.41.51.57628*2HTE不含铜</t>
  </si>
  <si>
    <t>NY21400.4227628*2HTE不含铜</t>
  </si>
  <si>
    <t>NY21400.4337628*2HTE不含铜</t>
  </si>
  <si>
    <t>NY21400.4HH7628*2HTE不含铜</t>
  </si>
  <si>
    <t>NY21400.41HH7628*2HTE不含铜</t>
  </si>
  <si>
    <t>NY21400.42447628*2HTE不含铜</t>
  </si>
  <si>
    <t>7628*1+1080*1+7628*1</t>
  </si>
  <si>
    <t>NY21400.43117628*1+1080*1+7628*1HTE不含铜</t>
  </si>
  <si>
    <t>7628*2+1080*1</t>
  </si>
  <si>
    <t>NY21400.43117628*2+1080*1HTE不含铜</t>
  </si>
  <si>
    <t>NY21400.43227628*1+1080*1+7628*1HTE不含铜</t>
  </si>
  <si>
    <t>NY21400.43337628*1+1080*1+7628*1HTE不含铜</t>
  </si>
  <si>
    <t>NY21400.43HH7628*1+1080*1+7628*1HTE不含铜</t>
  </si>
  <si>
    <t>NY21400.45337628*1+1080*1+7628*1HTE不含铜</t>
  </si>
  <si>
    <t>NY21400.46117628*1+1080*1+7628*1HTE不含铜</t>
  </si>
  <si>
    <t>NY21400.46337628*1+1080*1+7628*1HTE不含铜</t>
  </si>
  <si>
    <t>NY21400.46HH7628*1+1080*1+7628*1HTE不含铜</t>
  </si>
  <si>
    <t>7628*1+2116*1+7628*1</t>
  </si>
  <si>
    <t>NY21400.49337628*1+2116*1+7628*1HTE不含铜</t>
  </si>
  <si>
    <t>NY21400.5117628*1+2116*1+7628*1HTE不含铜</t>
  </si>
  <si>
    <t>NY21400.5HH7628*1+2116*1+7628*1HTE不含铜</t>
  </si>
  <si>
    <t>NY21400.51117628*1+2116*1+7628*1HTE不含铜</t>
  </si>
  <si>
    <t>NY21400.51337628*1+2116*1+7628*1HTE不含铜</t>
  </si>
  <si>
    <t>NY21400.51HH7628*1+2116*1+7628*1HTE不含铜</t>
  </si>
  <si>
    <t>NY21400.52447628*1+2116*1+7628*1HTE不含铜</t>
  </si>
  <si>
    <t>7628*3</t>
  </si>
  <si>
    <t>NY21400.53117628*3HTE不含铜</t>
  </si>
  <si>
    <t>NY21400.56227628*3HTE不含铜</t>
  </si>
  <si>
    <t>NY21400.56HH7628*3HTE不含铜</t>
  </si>
  <si>
    <t>NY21400.59337628*3HTE不含铜</t>
  </si>
  <si>
    <t>NY21400.6117628*3HTE不含铜</t>
  </si>
  <si>
    <t>NY21400.61.51.57628*3HTE不含铜</t>
  </si>
  <si>
    <t>NY21400.6337628*3HTE不含铜</t>
  </si>
  <si>
    <t>NY21400.61227628*3HTE不含铜</t>
  </si>
  <si>
    <t>NY21400.61337628*3HTE不含铜</t>
  </si>
  <si>
    <t>2116*1+7628*2+2116*1</t>
  </si>
  <si>
    <t>NY21400.63112116*1+7628*2+2116*1HTE不含铜</t>
  </si>
  <si>
    <t>7628*1+1506*2+7628*1</t>
  </si>
  <si>
    <t>NY21400.66117628*1+1506*2+7628*1HTE不含铜</t>
  </si>
  <si>
    <t>NY21400.66222116*1+7628*2+2116*1HTE不含铜</t>
  </si>
  <si>
    <t>NY21400.66227628*1+1506*2+7628*1HTE不含铜</t>
  </si>
  <si>
    <t>7628*2+2116*2</t>
  </si>
  <si>
    <t>NY21400.66HH7628*2+2116*2HTE不含铜</t>
  </si>
  <si>
    <t>7628*4</t>
  </si>
  <si>
    <t>NY21400.7117628*4HTE不含铜</t>
  </si>
  <si>
    <t>NY21400.7227628*4HTE不含铜</t>
  </si>
  <si>
    <t>NY21400.7HH7628*4HTE不含铜</t>
  </si>
  <si>
    <t>NY21400.71117628*4HTE不含铜</t>
  </si>
  <si>
    <t>NY21400.71HH7628*4HTE不含铜</t>
  </si>
  <si>
    <t>NY21400.73117628*4HTE不含铜</t>
  </si>
  <si>
    <t>NY21400.73HH7628*4HTE不含铜</t>
  </si>
  <si>
    <t>NY21400.76HH7628*4HTE不含铜</t>
  </si>
  <si>
    <t>含铜</t>
  </si>
  <si>
    <t>NY21400.8117628*4HTE含铜</t>
  </si>
  <si>
    <t>NY21400.85HH7628*4HTE含铜</t>
  </si>
  <si>
    <t>7628*2+2116*1+7628*2</t>
  </si>
  <si>
    <t>NY21400.9117628*2+2116*1+7628*2HTE含铜</t>
  </si>
  <si>
    <t>NY21400.91.51.57628*4HTE含铜</t>
  </si>
  <si>
    <t>NY21400.9227628*4HTE含铜</t>
  </si>
  <si>
    <t>NY21400.9337628*4HTE含铜</t>
  </si>
  <si>
    <t>7628*4+2116*1</t>
  </si>
  <si>
    <t>NY21400.9HH7628*4+2116*1HTE含铜</t>
  </si>
  <si>
    <t>7628*5</t>
  </si>
  <si>
    <t>NY21401117628*5HTE含铜</t>
  </si>
  <si>
    <t>NY214011.51.57628*5HTE含铜</t>
  </si>
  <si>
    <t>NY21401227628*5HTE含铜</t>
  </si>
  <si>
    <t>NY21401337628*4HTE含铜</t>
  </si>
  <si>
    <t>NY21401HH7628*5HTE含铜</t>
  </si>
  <si>
    <t>7628*6</t>
  </si>
  <si>
    <t>NY21401.1117628*6HTE含铜</t>
  </si>
  <si>
    <t>NY21401.11.51.57628*5HTE含铜</t>
  </si>
  <si>
    <t>NY21401.1227628*5HTE含铜</t>
  </si>
  <si>
    <t>NY21401.1337628*5HTE含铜</t>
  </si>
  <si>
    <t>NY21401.1HH7628*6HTE含铜</t>
  </si>
  <si>
    <t>NY21401.2117628*6HTE含铜</t>
  </si>
  <si>
    <t>NY21401.2227628*6HTE含铜</t>
  </si>
  <si>
    <t>NY21401.2337628*5HTE含铜</t>
  </si>
  <si>
    <t>NY21401.2HH7628*6HTE含铜</t>
  </si>
  <si>
    <t>7628*7</t>
  </si>
  <si>
    <t>NY21401.3117628*7HTE含铜</t>
  </si>
  <si>
    <t>NY21401.3HH7628*7HTE含铜</t>
  </si>
  <si>
    <t>NY21401.4117628*7HTE含铜</t>
  </si>
  <si>
    <t>NY21401.41.51.57628*7HTE含铜</t>
  </si>
  <si>
    <t>NY21401.4227628*7HTE含铜</t>
  </si>
  <si>
    <t>NY21401.4337628*6HTE含铜</t>
  </si>
  <si>
    <t>NY21401.4HH7628*7HTE含铜</t>
  </si>
  <si>
    <t>7628*8</t>
  </si>
  <si>
    <t>NY21401.45117628*8HTE含铜</t>
  </si>
  <si>
    <t>NY21401.45HH7628*8HTE含铜</t>
  </si>
  <si>
    <t>NY21401.5117628*8HTE含铜</t>
  </si>
  <si>
    <t>NY21401.51.51.57628*8HTE含铜</t>
  </si>
  <si>
    <t>NY21401.5227628*7HTE含铜</t>
  </si>
  <si>
    <t>NY21401.5337628*7HTE含铜</t>
  </si>
  <si>
    <t>NY21401.5447628*7HTE含铜</t>
  </si>
  <si>
    <t>NY21401.5HH7628*8HTE含铜</t>
  </si>
  <si>
    <t>NY21401.6117628*8HTE含铜</t>
  </si>
  <si>
    <t>NY21401.61.51.57628*8HTE含铜</t>
  </si>
  <si>
    <t>NY21401.6227628*8HTE含铜</t>
  </si>
  <si>
    <t>NY21401.6337628*7HTE含铜</t>
  </si>
  <si>
    <t>NY21401.6447628*7HTE含铜</t>
  </si>
  <si>
    <t>NY21401.6HH7628*8HTE含铜</t>
  </si>
  <si>
    <t>7628*9</t>
  </si>
  <si>
    <t>NY21401.7117628*9HTE含铜</t>
  </si>
  <si>
    <t>NY21401.71.51.57628*9HTE含铜</t>
  </si>
  <si>
    <t>NY21401.7227628*8HTE含铜</t>
  </si>
  <si>
    <t>NY21401.7337628*8HTE含铜</t>
  </si>
  <si>
    <t>NY21401.8227628*9HTE含铜</t>
  </si>
  <si>
    <t>NY21401.8337628*8HTE含铜</t>
  </si>
  <si>
    <t>7628*10</t>
  </si>
  <si>
    <t>NY21401.8HH7628*10HTE含铜</t>
  </si>
  <si>
    <t>NY21401.9117628*10HTE含铜</t>
  </si>
  <si>
    <t>NY21401.9227628*10HTE含铜</t>
  </si>
  <si>
    <t>NY21401.9337628*9HTE含铜</t>
  </si>
  <si>
    <t>NY21401.9HH7628*10HTE含铜</t>
  </si>
  <si>
    <t>7628*11</t>
  </si>
  <si>
    <t>NY21402117628*11HTE含铜</t>
  </si>
  <si>
    <t>NY214021.51.57628*10HTE含铜</t>
  </si>
  <si>
    <t>NY21402227628*10HTE含铜</t>
  </si>
  <si>
    <t>NY21402337628*10HTE含铜</t>
  </si>
  <si>
    <t>NY21402HH7628*11HTE含铜</t>
  </si>
  <si>
    <t>NY21402.1117628*11HTE含铜</t>
  </si>
  <si>
    <t>7628*12</t>
  </si>
  <si>
    <t>NY21402.3HH7628*12HTE含铜</t>
  </si>
  <si>
    <t>7628*13</t>
  </si>
  <si>
    <t>NY21402.4117628*13HTE含铜</t>
  </si>
  <si>
    <t>NY21402.4HH7628*13HTE含铜</t>
  </si>
  <si>
    <t>NY2150</t>
  </si>
  <si>
    <t>106*1</t>
  </si>
  <si>
    <t>NY21500.0511106*1HTE不含铜</t>
  </si>
  <si>
    <t>NY21500.075111080*1HTE不含铜</t>
  </si>
  <si>
    <t>RTF</t>
  </si>
  <si>
    <t>NY21500.075HH1080*1RTF不含铜</t>
  </si>
  <si>
    <t>NY21500.075HH1080*1HTE不含铜</t>
  </si>
  <si>
    <t>NY21500.075221080*1HTE不含铜</t>
  </si>
  <si>
    <t>NY21500.081H1080*1HTE不含铜</t>
  </si>
  <si>
    <t>NY21500.08111080*1HTE不含铜</t>
  </si>
  <si>
    <t>NY21500.08331080*1HTE不含铜</t>
  </si>
  <si>
    <t>NY21500.08HH1080*1HTE不含铜</t>
  </si>
  <si>
    <t>NY21500.09112313*1HTE不含铜</t>
  </si>
  <si>
    <t>NY21500.09HH2313*1HTE不含铜</t>
  </si>
  <si>
    <t>1037*2</t>
  </si>
  <si>
    <t>NY21500.09HH1037*2HTE不含铜</t>
  </si>
  <si>
    <t>NY21500.11H2116*1HTE不含铜</t>
  </si>
  <si>
    <t>NY21500.11H2313*1HTE不含铜</t>
  </si>
  <si>
    <t>NY21500.1112116*1HTE不含铜</t>
  </si>
  <si>
    <t>NY21500.1112313*1HTE不含铜</t>
  </si>
  <si>
    <t>NY21500.111106*2HTE不含铜</t>
  </si>
  <si>
    <t>NY21500.112106*2HTE不含铜</t>
  </si>
  <si>
    <t>NY21500.1122116*1HTE不含铜</t>
  </si>
  <si>
    <t>NY21500.122106*2RTF不含铜</t>
  </si>
  <si>
    <t>NY21500.122106*2HTE不含铜</t>
  </si>
  <si>
    <t>NY21500.1222116*1HTE不含铜</t>
  </si>
  <si>
    <t>NY21500.133106*2RTF不含铜</t>
  </si>
  <si>
    <t>NY21500.133106*2HTE不含铜</t>
  </si>
  <si>
    <t>NY21500.1332116*1HTE不含铜</t>
  </si>
  <si>
    <t>NY21500.144106*2HTE不含铜</t>
  </si>
  <si>
    <t>NY21500.1HH2116*1HTE不含铜</t>
  </si>
  <si>
    <t>NY21500.1HH2313*1HTE不含铜</t>
  </si>
  <si>
    <t>NY21500.1HH106*2HTE不含铜</t>
  </si>
  <si>
    <t>NY21500.11112116*1HTE不含铜</t>
  </si>
  <si>
    <t>NY21500.1111106*2HTE不含铜</t>
  </si>
  <si>
    <t>NY21500.1133106*2HTE不含铜</t>
  </si>
  <si>
    <t>NY21500.1122106*2HTE不含铜</t>
  </si>
  <si>
    <t>NY21500.11HH2116*1HTE不含铜</t>
  </si>
  <si>
    <t>NY21500.11HH106*2HTE不含铜</t>
  </si>
  <si>
    <t>NY21500.121H2116*1HTE不含铜</t>
  </si>
  <si>
    <t>NY21500.1244106*2HTE不含铜</t>
  </si>
  <si>
    <t>NY21500.12HH2116*1HTE不含铜</t>
  </si>
  <si>
    <t>NY21500.12H12116*1HTE不含铜</t>
  </si>
  <si>
    <t>NY21500.131H1080*2HTE不含铜</t>
  </si>
  <si>
    <t>NY21500.131H2116*1HTE不含铜</t>
  </si>
  <si>
    <t>NY21500.13112116*1HTE不含铜</t>
  </si>
  <si>
    <t>NY21500.13112116*1RTF不含铜</t>
  </si>
  <si>
    <t>NY21500.13111080*2HTE不含铜</t>
  </si>
  <si>
    <t>NY21500.13222116*1HTE不含铜</t>
  </si>
  <si>
    <t>NY21500.1322106*2HTE不含铜</t>
  </si>
  <si>
    <t>NY21500.13221080*2HTE不含铜</t>
  </si>
  <si>
    <t>NY21500.1333106*2HTE不含铜</t>
  </si>
  <si>
    <t>NY21500.1344106*2HTE不含铜</t>
  </si>
  <si>
    <t>NY21500.13HH2116*1HTE不含铜</t>
  </si>
  <si>
    <t>NY21500.13HH1080*2HTE不含铜</t>
  </si>
  <si>
    <t>NY21500.15111506*1HTE不含铜</t>
  </si>
  <si>
    <t>NY21500.15111080*2HTE不含铜</t>
  </si>
  <si>
    <t>NY21500.15221080*2HTE不含铜</t>
  </si>
  <si>
    <t>NY21500.15221506*1HTE不含铜</t>
  </si>
  <si>
    <t>NY21500.15331080*2HTE不含铜</t>
  </si>
  <si>
    <t>NY21500.15441080*2HTE不含铜</t>
  </si>
  <si>
    <t>NY21500.15HH1506*1HTE不含铜</t>
  </si>
  <si>
    <t>NY21500.15HH1080*2HTE不含铜</t>
  </si>
  <si>
    <t>NY21500.16221080*2HTE不含铜</t>
  </si>
  <si>
    <t>NY21500.16HH1506*1HTE不含铜</t>
  </si>
  <si>
    <t>2113*2</t>
  </si>
  <si>
    <t>NY21500.178332113*2HTE不含铜</t>
  </si>
  <si>
    <t>NY21500.18117628*1HTE不含铜</t>
  </si>
  <si>
    <t>NY21500.18112313*2HTE不含铜</t>
  </si>
  <si>
    <t>NY21500.16221506*1HTE不含铜</t>
  </si>
  <si>
    <t>NY21500.18222313*2HTE不含铜</t>
  </si>
  <si>
    <t>NY21500.18HH7628*1HTE不含铜</t>
  </si>
  <si>
    <t>NY21500.18HH2313*2HTE不含铜</t>
  </si>
  <si>
    <t>NY21500.19332313*2HTE不含铜</t>
  </si>
  <si>
    <t>NY21500.2117628*1HTE不含铜</t>
  </si>
  <si>
    <t>NY21500.2112313*2HTE不含铜</t>
  </si>
  <si>
    <t>NY21500.2112116*2HTE不含铜</t>
  </si>
  <si>
    <t>NY21500.2127628*1HTE不含铜</t>
  </si>
  <si>
    <t>NY21500.2227628*1HTE不含铜</t>
  </si>
  <si>
    <t>NY21500.2222113*2HTE不含铜</t>
  </si>
  <si>
    <t>NY21500.2222116*2HTE不含铜</t>
  </si>
  <si>
    <t>1080*3</t>
  </si>
  <si>
    <t>NY21500.2221080*3HTE不含铜</t>
  </si>
  <si>
    <t>1080*1+106*1+1080*1</t>
  </si>
  <si>
    <t>NY21500.2221080*1+106*1+1080*1HTE不含铜</t>
  </si>
  <si>
    <t>NY21500.2332116*2HTE不含铜</t>
  </si>
  <si>
    <t>NY21500.2332313*2HTE不含铜</t>
  </si>
  <si>
    <t>NY21500.2442313*2HTE不含铜</t>
  </si>
  <si>
    <t>NY21500.2HH7628*1HTE不含铜</t>
  </si>
  <si>
    <t>NY21500.2HH2116*2HTE不含铜</t>
  </si>
  <si>
    <t>NY21500.2HH2313*2HTE不含铜</t>
  </si>
  <si>
    <t>NY21500.23122116*2HTE不含铜</t>
  </si>
  <si>
    <t>NY21500.23112116*2HTE不含铜</t>
  </si>
  <si>
    <t>NY21500.23332116*2HTE不含铜</t>
  </si>
  <si>
    <t>NY21500.23221080*3HTE不含铜</t>
  </si>
  <si>
    <t>NY21500.23222116*2HTE不含铜</t>
  </si>
  <si>
    <t>NY21500.23442116*2HTE不含铜</t>
  </si>
  <si>
    <t>NY21500.23HH2116*2HTE不含铜</t>
  </si>
  <si>
    <t>NY21500.25112116*2HTE不含铜</t>
  </si>
  <si>
    <t>NY21500.25222116*2HTE不含铜</t>
  </si>
  <si>
    <t>NY21500.25332116*2HTE不含铜</t>
  </si>
  <si>
    <t>NY21500.25HH2116*2HTE不含铜</t>
  </si>
  <si>
    <t>NY21500.26112116*2HTE不含铜</t>
  </si>
  <si>
    <t>NY21500.26122116*2HTE不含铜</t>
  </si>
  <si>
    <t>NY21500.26222116*2HTE不含铜</t>
  </si>
  <si>
    <t>NY21500.26HH2116*2HTE不含铜</t>
  </si>
  <si>
    <t>NY21500.28111080*1+2116*1+1080*1HTE不含铜</t>
  </si>
  <si>
    <t>NY21500.28222116*2HTE不含铜</t>
  </si>
  <si>
    <t>NY21500.29221506*2HTE不含铜</t>
  </si>
  <si>
    <t>2116*1+1080*1+2116*1</t>
  </si>
  <si>
    <t>NY21500.29222116*1+1080*1+2116*1HTE不含铜</t>
  </si>
  <si>
    <t>NY21500.3111506*2HTE不含铜</t>
  </si>
  <si>
    <t>2313*3</t>
  </si>
  <si>
    <t>NY21500.3112313*3HTE不含铜</t>
  </si>
  <si>
    <t>3313*3</t>
  </si>
  <si>
    <t>NY21500.3223313*3HTE不含铜</t>
  </si>
  <si>
    <t>NY21500.3221506*2HTE不含铜</t>
  </si>
  <si>
    <t>NY21500.3331506*2HTE不含铜</t>
  </si>
  <si>
    <t>NY21500.3HH1506*2HTE不含铜</t>
  </si>
  <si>
    <t>NY21500.32441506*2HTE不含铜</t>
  </si>
  <si>
    <t>NY21500.33111506*2HTE不含铜</t>
  </si>
  <si>
    <t>NY21500.33121506*2HTE不含铜</t>
  </si>
  <si>
    <t>NY21500.33221506*2HTE不含铜</t>
  </si>
  <si>
    <t>NY21500.33HH1506*2HTE不含铜</t>
  </si>
  <si>
    <t>NY21500.35117628*2HTE不含铜</t>
  </si>
  <si>
    <t>NY21500.35337628*2HTE不含铜</t>
  </si>
  <si>
    <t>NY21500.36107628*2HTE不含铜</t>
  </si>
  <si>
    <t>NY21500.36117628*2HTE不含铜</t>
  </si>
  <si>
    <t>NY21500.36227628*2HTE不含铜</t>
  </si>
  <si>
    <t>NY21500.36337628*2HTE不含铜</t>
  </si>
  <si>
    <t>NY21500.36HH7628*2HTE不含铜</t>
  </si>
  <si>
    <t>NY21500.38117628*2HTE不含铜</t>
  </si>
  <si>
    <t>NY21500.38227628*2HTE不含铜</t>
  </si>
  <si>
    <t>NY21500.38337628*2HTE不含铜</t>
  </si>
  <si>
    <t>NY21500.38HH7628*2HTE不含铜</t>
  </si>
  <si>
    <t>NY21500.39337628*2HTE不含铜</t>
  </si>
  <si>
    <t>NY21500.4117628*2HTE不含铜</t>
  </si>
  <si>
    <t>NY21500.4227628*2HTE不含铜</t>
  </si>
  <si>
    <t>2116*1+7628*1+2116*1</t>
  </si>
  <si>
    <t>NY21500.4222116*1+7628*1+2116*1HTE不含铜</t>
  </si>
  <si>
    <t>NY21500.4337628*2HTE不含铜</t>
  </si>
  <si>
    <t>5月新报价</t>
  </si>
  <si>
    <t>NY21500.4447628*2HTE不含铜</t>
  </si>
  <si>
    <t>NY21500.4HH7628*2HTE不含铜</t>
  </si>
  <si>
    <t>NY21500.42447628*2HTE不含铜</t>
  </si>
  <si>
    <t>NY21500.43117628*1+1080*1+7628*1HTE不含铜</t>
  </si>
  <si>
    <t>NY21500.43227628*1+1080*1+7628*1HTE不含铜</t>
  </si>
  <si>
    <t>NY21500.43337628*1+1080*1+7628*1HTE不含铜</t>
  </si>
  <si>
    <t>NY21500.43HH7628*1+1080*1+7628*1HTE不含铜</t>
  </si>
  <si>
    <t>NY21500.451H7628*1+1080*1+7628*1HTE不含铜</t>
  </si>
  <si>
    <t>NY21500.45337628*1+1080*1+7628*1HTE不含铜</t>
  </si>
  <si>
    <t>NY21500.46117628*1+1080*1+7628*1HTE不含铜</t>
  </si>
  <si>
    <t>NY21500.4621HTE不含铜</t>
  </si>
  <si>
    <t>NY21500.46227628*1+1080*1+7628*1HTE不含铜</t>
  </si>
  <si>
    <t>NY21500.46227628*1+2116*1+7628*1HTE不含铜</t>
  </si>
  <si>
    <t>NY21500.46337628*1+1080*1+7628*1HTE不含铜</t>
  </si>
  <si>
    <t>NY21500.46447628*1+1080*1+7628*1HTE不含铜</t>
  </si>
  <si>
    <t>NY21500.46HH7628*1+1080*1+7628*1HTE不含铜</t>
  </si>
  <si>
    <t>NY21500.46HH7628*2+1080*1HTE不含铜</t>
  </si>
  <si>
    <t>NY21500.47HH7628*1+2116*1+7628*1HTE不含铜</t>
  </si>
  <si>
    <t>NY21500.48117628*1+2116*1+7628*1HTE不含铜</t>
  </si>
  <si>
    <t>NY21500.49337628*1+2116*1+7628*1HTE不含铜</t>
  </si>
  <si>
    <t>NY21500.5117628*1+2116*1+7628*1HTE不含铜</t>
  </si>
  <si>
    <t>NY21500.5127628*1+2116*1+7628*1HTE不含铜</t>
  </si>
  <si>
    <t>NY21500.5227628*1+2116*1+7628*1HTE不含铜</t>
  </si>
  <si>
    <t>NY21500.5HH7628*1+2116*1+7628*1HTE不含铜</t>
  </si>
  <si>
    <t>7628*2+2116*1</t>
  </si>
  <si>
    <t>NY21500.51117628*2+2116*1HTE不含铜</t>
  </si>
  <si>
    <t>NY21500.51227628*1+2116*1+7628*1HTE不含铜</t>
  </si>
  <si>
    <t>NY21500.51337628*1+2116*1+7628*1HTE不含铜</t>
  </si>
  <si>
    <t>NY21500.51HH7628*2+2116*1HTE不含铜</t>
  </si>
  <si>
    <t>NY21500.52447628*1+2116*1+7628*1HTE不含铜</t>
  </si>
  <si>
    <t>NY21500.53117628*3HTE不含铜</t>
  </si>
  <si>
    <t>NY21500.53227628*3HTE不含铜</t>
  </si>
  <si>
    <t>NY21500.53HH7628*3HTE不含铜</t>
  </si>
  <si>
    <t>NY21500.56117628*3HTE不含铜</t>
  </si>
  <si>
    <t>2116*5</t>
  </si>
  <si>
    <t>NY21500.56112116*5HTE不含铜</t>
  </si>
  <si>
    <t>NY21500.561.51.57628*3HTE不含铜</t>
  </si>
  <si>
    <t>NY21500.56227628*3HTE不含铜</t>
  </si>
  <si>
    <t>NY21500.562.52.57628*3HTE不含铜</t>
  </si>
  <si>
    <t>NY21500.56HH7628*3HTE不含铜</t>
  </si>
  <si>
    <t>NY21500.59337628*3HTE不含铜</t>
  </si>
  <si>
    <t>NY21500.6117628*3HTE不含铜</t>
  </si>
  <si>
    <t>NY21500.61.51.57628*3HTE不含铜</t>
  </si>
  <si>
    <t>NY21500.6227628*3HTE不含铜</t>
  </si>
  <si>
    <t>NY21500.6HH7628*3HTE不含铜</t>
  </si>
  <si>
    <t>NY21500.61117628*3HTE不含铜</t>
  </si>
  <si>
    <t>NY21500.61337628*3HTE不含铜</t>
  </si>
  <si>
    <t>7667*3</t>
  </si>
  <si>
    <t>NY21500.63117667*3HTE含铜</t>
  </si>
  <si>
    <t>7628*1+2116*2+7628*1</t>
  </si>
  <si>
    <t>NY21500.63117628*1+2116*2+7628*1HTE不含铜</t>
  </si>
  <si>
    <t>NY21500.63HH7628*1+2116*2+7628*1HTE不含铜</t>
  </si>
  <si>
    <t>NY21500.64117628*1+2116*2+7628*1HTE不含铜</t>
  </si>
  <si>
    <t>NY21500.64227628*1+2116*2+7628*1HTE不含铜</t>
  </si>
  <si>
    <t>NY21500.66227628*1+1506*2+7628*1HTE不含铜</t>
  </si>
  <si>
    <t>NY21500.66117628*2+2116*2不含铜</t>
  </si>
  <si>
    <t>NY21500.66227628*4HTE不含铜</t>
  </si>
  <si>
    <t>NY21500.66HH7628*1+1506*2+7628*1HTE不含铜</t>
  </si>
  <si>
    <t>NY21500.7117628*4HTE不含铜</t>
  </si>
  <si>
    <t>NY21500.71117628*4HTE不含铜</t>
  </si>
  <si>
    <t>2116*6</t>
  </si>
  <si>
    <t>NY21500.71112116*6HTE不含铜</t>
  </si>
  <si>
    <t>NY21500.71227628*4HTE不含铜</t>
  </si>
  <si>
    <t>NY21500.71HH7628*4HTE不含铜</t>
  </si>
  <si>
    <t>NY21500.73117628*4HTE不含铜</t>
  </si>
  <si>
    <t>NY21500.731.51.57628*4HTE不含铜</t>
  </si>
  <si>
    <t>NY21500.73HH7628*4HTE不含铜</t>
  </si>
  <si>
    <t>NY21500.76117628*4HTE不含铜</t>
  </si>
  <si>
    <t>NY21500.76217628*4HTE不含铜</t>
  </si>
  <si>
    <t>NY21500.76HH7628*4HTE不含铜</t>
  </si>
  <si>
    <t>NY21500.765HH7628*4HTE不含铜</t>
  </si>
  <si>
    <t>NY21500.8HH7628*4HTE含铜</t>
  </si>
  <si>
    <t>NY21500.8117628*4HTE含铜</t>
  </si>
  <si>
    <t>NY21500.85117628*4HTE含铜</t>
  </si>
  <si>
    <t>NY21500.85HH7628*4HTE含铜</t>
  </si>
  <si>
    <t>NY21500.85HH7628*4+2116*1HTE含铜</t>
  </si>
  <si>
    <t>7628*2+1080*1+7628*2</t>
  </si>
  <si>
    <t>NY21500.9117628*2+1080*1+7628*2HTE含铜</t>
  </si>
  <si>
    <t>NY21500.9117628*2+2116*1+7628*2HTE含铜</t>
  </si>
  <si>
    <t>NY21500.91.51.57628*4HTE含铜</t>
  </si>
  <si>
    <t>NY21500.9227628*4HTE含铜</t>
  </si>
  <si>
    <t>NY21500.9337628*4HTE含铜</t>
  </si>
  <si>
    <t>NY21500.9447628*1+2116*2+7628*1HTE含铜</t>
  </si>
  <si>
    <t>NY21500.9HH7628*5HTE含铜</t>
  </si>
  <si>
    <t>NY21500.9HH7628*2+2116*1+7628*2HTE含铜</t>
  </si>
  <si>
    <t>NY21500.94117628*5HTE含铜</t>
  </si>
  <si>
    <t>NY21500.95HH7628*5HTE含铜</t>
  </si>
  <si>
    <t>NY21501117628*5HTE含铜</t>
  </si>
  <si>
    <t>NY215011.51.57628*5HTE含铜</t>
  </si>
  <si>
    <t>NY21501227628*2+2116*1+7628*2HTE含铜</t>
  </si>
  <si>
    <t>NY21501227628*5HTE含铜</t>
  </si>
  <si>
    <t>NY21501337628*4HTE含铜</t>
  </si>
  <si>
    <t>NY21501337628*4+2116*1HTE含铜</t>
  </si>
  <si>
    <t>NY21501447628*4HTE含铜</t>
  </si>
  <si>
    <t>NY21501HH7628*5HTE含铜</t>
  </si>
  <si>
    <t>NY21501.1117628*6HTE含铜</t>
  </si>
  <si>
    <t>NY21501.1227628*5HTE含铜</t>
  </si>
  <si>
    <t>NY21501.1337628*5HTE含铜</t>
  </si>
  <si>
    <t>NY21501.1HH7628*6HTE含铜</t>
  </si>
  <si>
    <t>J</t>
  </si>
  <si>
    <t>NY21501.1JJ7628*6HTE含铜</t>
  </si>
  <si>
    <t>NY21501.15117628*6HTE含铜</t>
  </si>
  <si>
    <t>NY21501.2117628*6HTE含铜</t>
  </si>
  <si>
    <t>NY21501.2227628*6HTE含铜</t>
  </si>
  <si>
    <t>NY21501.2337628*5HTE含铜</t>
  </si>
  <si>
    <t>NY21501.2447628*5HTE含铜</t>
  </si>
  <si>
    <t>NY21501.2HH7628*6HTE含铜</t>
  </si>
  <si>
    <t>NY21501.3117628*7HTE含铜</t>
  </si>
  <si>
    <t>NY21501.3227628*6HTE含铜</t>
  </si>
  <si>
    <t>NY21501.3337628*6HTE含铜</t>
  </si>
  <si>
    <t>NY21501.3HH7628*7HTE含铜</t>
  </si>
  <si>
    <t>NY21501.4117628*7HTE含铜</t>
  </si>
  <si>
    <t>NY21501.41.51.57628*7HTE含铜</t>
  </si>
  <si>
    <t>NY21501.4227628*7HTE含铜</t>
  </si>
  <si>
    <t>NY21501.4337628*6HTE含铜</t>
  </si>
  <si>
    <t>NY21501.4HH7628*7HTE含铜</t>
  </si>
  <si>
    <t>NY21501.42HH7628*8HTE不含铜</t>
  </si>
  <si>
    <t>NY21501.45117628*7HTE含铜</t>
  </si>
  <si>
    <t>F</t>
  </si>
  <si>
    <t>NY21501.45FF7628*7HTE含铜</t>
  </si>
  <si>
    <t>NY21501.45227628*7HTE含铜</t>
  </si>
  <si>
    <t>NY21501.45HH7628*8HTE含铜</t>
  </si>
  <si>
    <t>NY21501.5117628*8HTE含铜</t>
  </si>
  <si>
    <t>NY21501.51.51.57628*8HTE含铜</t>
  </si>
  <si>
    <t>NY21501.5227628*7HTE含铜</t>
  </si>
  <si>
    <t>NY21501.52.52.57628*7HTE含铜</t>
  </si>
  <si>
    <t>NY21501.5337628*7HTE含铜</t>
  </si>
  <si>
    <t>NY21501.5447628*7HTE含铜</t>
  </si>
  <si>
    <t>NY21501.5HH7628*8HTE含铜</t>
  </si>
  <si>
    <t>NY21501.5JJ7628*8HTE含铜</t>
  </si>
  <si>
    <t>NY21501.6107628*8HTE含铜</t>
  </si>
  <si>
    <t>NY21501.6117628*8HTE含铜</t>
  </si>
  <si>
    <t>NY21501.6227628*8HTE含铜</t>
  </si>
  <si>
    <t>NY21501.6337628*7HTE含铜</t>
  </si>
  <si>
    <t>NY21501.6447628*7HTE含铜</t>
  </si>
  <si>
    <t>NY21501.6HH7628*8HTE含铜</t>
  </si>
  <si>
    <t>NY21501.7117628*9HTE含铜</t>
  </si>
  <si>
    <t>NY21501.7HH7628*9HTE含铜</t>
  </si>
  <si>
    <t>NY21501.8117628*9HTE含铜</t>
  </si>
  <si>
    <t>NY21501.81.51.57628*9HTE含铜</t>
  </si>
  <si>
    <t>NY21501.8227628*9HTE含铜</t>
  </si>
  <si>
    <t>NY21501.8337628*8HTE含铜</t>
  </si>
  <si>
    <t>NY21501.9117628*10HTE含铜</t>
  </si>
  <si>
    <t>NY21501.91.51.57628*10HTE含铜</t>
  </si>
  <si>
    <t>NY21501.9227628*10HTE含铜</t>
  </si>
  <si>
    <t>NY21501.9337628*9HTE含铜</t>
  </si>
  <si>
    <t>NY21501.9447628*9HTE含铜</t>
  </si>
  <si>
    <t>NY21501.9HH7628*10HTE含铜</t>
  </si>
  <si>
    <t>NY21502117628*11HTE含铜</t>
  </si>
  <si>
    <t>NY21502HH7628*11HTE含铜</t>
  </si>
  <si>
    <t>NY21502.1117628*11HTE含铜</t>
  </si>
  <si>
    <t>NY21502.2117628*12HTE含铜</t>
  </si>
  <si>
    <t>NY21502.3117628*12HTE含铜</t>
  </si>
  <si>
    <t>NY21502.3227628*12HTE含铜</t>
  </si>
  <si>
    <t>7628*17</t>
  </si>
  <si>
    <t>NY21503.2HH7628*17HTE含铜</t>
  </si>
  <si>
    <t>NY21502.4117628*13HTE含铜</t>
  </si>
  <si>
    <t>NY21502.4HH7628*13HTE含铜</t>
  </si>
  <si>
    <t>NY21502.5HH7628*13HTE含铜</t>
  </si>
  <si>
    <t>7628*14</t>
  </si>
  <si>
    <t>NY21502.6117628*14HTE含铜</t>
  </si>
  <si>
    <t>NY21502.6HH7628*14HTE含铜</t>
  </si>
  <si>
    <t>7628*15</t>
  </si>
  <si>
    <t>NY21502.9117628*15HTE含铜</t>
  </si>
  <si>
    <t>NY21502.9HH7628*15HTE含铜</t>
  </si>
  <si>
    <t>7628*16</t>
  </si>
  <si>
    <t>NY21502.9HH7628*16HTE含铜</t>
  </si>
  <si>
    <t>NY21502.3HH7628*12HTE含铜</t>
  </si>
  <si>
    <t>NY2150H</t>
  </si>
  <si>
    <t>NY2150H0.075HH1080*1HTE不含铜</t>
  </si>
  <si>
    <t>NY2150H0.08HH1080*1HTE不含铜</t>
  </si>
  <si>
    <t>NY2150H0.1112116*1HTE不含铜</t>
  </si>
  <si>
    <t>NY2150H0.1112313*1HTE不含铜</t>
  </si>
  <si>
    <t>NY2150H0.1HH2116*1HTE不含铜</t>
  </si>
  <si>
    <t>NY2150H0.11112116*1HTE不含铜</t>
  </si>
  <si>
    <t>NY2150H0.13111080*2HTE不含铜</t>
  </si>
  <si>
    <t>1*2116</t>
  </si>
  <si>
    <t>NY2150H0.13111*2116HTE不含铜</t>
  </si>
  <si>
    <t>NY2150H0.13HH1*2116HTE不含铜</t>
  </si>
  <si>
    <t>NY2150H0.13331*2116HTE不含铜</t>
  </si>
  <si>
    <t>NY2150H0.2117628*1HTE不含铜</t>
  </si>
  <si>
    <t>NY2150H0.2227628*1HTE不含铜</t>
  </si>
  <si>
    <t>NY2150H0.25112116*2HTE不含铜</t>
  </si>
  <si>
    <t>NY2150H0.25222116*2HTE不含铜</t>
  </si>
  <si>
    <t>NY2150H0.2222313*2HTE不含铜</t>
  </si>
  <si>
    <t>NY2150H0.2222116*2HTE不含铜</t>
  </si>
  <si>
    <t>NY2150H0.2332116*2HTE不含铜</t>
  </si>
  <si>
    <t>NY2150H0.23112116*2HTE不含铜</t>
  </si>
  <si>
    <t>NY2150H0.23222116*2HTE不含铜</t>
  </si>
  <si>
    <t>NY2150H0.25HH2116*2HTE不含铜</t>
  </si>
  <si>
    <t>NY2150H0.26HH2116*2HTE不含铜</t>
  </si>
  <si>
    <t>2116*2+1080*1</t>
  </si>
  <si>
    <t>NY2150H0.28222116*2+1080*1HTE不含铜</t>
  </si>
  <si>
    <t>NY2150H0.3221506*2HTE不含铜</t>
  </si>
  <si>
    <t>NY2150H0.31221506*2HTE不含铜</t>
  </si>
  <si>
    <t>NY2150H0.3331506*2HTE不含铜</t>
  </si>
  <si>
    <t>NY2150H0.33111506*2HTE不含铜</t>
  </si>
  <si>
    <t>NY2150H0.33221506*2HTE不含铜</t>
  </si>
  <si>
    <t>NY2150H0.35117628*2HTE不含铜</t>
  </si>
  <si>
    <t>NY2150H0.35227628*2HTE不含铜</t>
  </si>
  <si>
    <t>NY2150H0.36117628*2HTE不含铜</t>
  </si>
  <si>
    <t>NY2150H0.36227628*2HTE不含铜</t>
  </si>
  <si>
    <t>NY2150H0.36337628*2HTE不含铜</t>
  </si>
  <si>
    <t>NY2150H0.36HH7628*2HTE不含铜</t>
  </si>
  <si>
    <t>NY2150H0.38117628*2HTE不含铜</t>
  </si>
  <si>
    <t>NY2150H0.38337628*2HTE不含铜</t>
  </si>
  <si>
    <t>NY2150H0.4227628*2HTE不含铜</t>
  </si>
  <si>
    <t>NY2150H0.4337628*2HTE不含铜</t>
  </si>
  <si>
    <t>NY2150H0.43117628*1+1080*1+7628*1HTE不含铜</t>
  </si>
  <si>
    <t>NY2150H0.43337628*1+1080*1+7628*1HTE不含铜</t>
  </si>
  <si>
    <t>NY2150H0.46227628*1+1080*1+7628*1HTE不含铜</t>
  </si>
  <si>
    <t>1506*3</t>
  </si>
  <si>
    <t>NY2150H0.46331506*3HTE不含铜</t>
  </si>
  <si>
    <t>NY2150H0.46337628*1+2116*1+7628*1HTE不含铜</t>
  </si>
  <si>
    <t>NY2150H0.46HH7628*1+1080*1+7628*1HTE不含铜</t>
  </si>
  <si>
    <t>NY2150H0.5227628*1+2116*1+7628*1HTE不含铜</t>
  </si>
  <si>
    <t>NY2150H0.5337628*1+2116*1+7628*1HTE不含铜</t>
  </si>
  <si>
    <t>NY2150H0.5117628*1+2116*1+7628*1HTE不含铜</t>
  </si>
  <si>
    <t>NY2150H0.53117628*3HTE不含铜</t>
  </si>
  <si>
    <t>NY2150H0.53127628*3HTE不含铜</t>
  </si>
  <si>
    <t>NY2150H0.53227628*3HTE不含铜</t>
  </si>
  <si>
    <t>NY2150H0.56117628*3HTE不含铜</t>
  </si>
  <si>
    <t>NY2150H0.6HH7628*3HTE不含铜</t>
  </si>
  <si>
    <t>NY2150H0.6227628*3HTE不含铜</t>
  </si>
  <si>
    <t>NY2150H0.61227628*3HTE不含铜</t>
  </si>
  <si>
    <t>NY2150H0.63117628*2+2116*2HTE不含铜</t>
  </si>
  <si>
    <t>7628*2+1506*2</t>
  </si>
  <si>
    <t>NY2150H0.66HH7628*2+1506*2HTE不含铜</t>
  </si>
  <si>
    <t>NY2150H0.66227628*2+1506*2HTE不含铜</t>
  </si>
  <si>
    <t>NY2150H0.71117628*4HTE不含铜</t>
  </si>
  <si>
    <t>NY2150H0.71227628*4HTE不含铜</t>
  </si>
  <si>
    <t>NY2150H0.71HH7628*4HTE不含铜</t>
  </si>
  <si>
    <t>NY2150H0.8117628*4HTE含铜</t>
  </si>
  <si>
    <t>NY2150H0.8HH7628*4HTE含铜</t>
  </si>
  <si>
    <t>NY2150H0.9HH7628*2+2116*1+7628*2HTE含铜</t>
  </si>
  <si>
    <t>NY2150H0.9117628*2+2116*1+7628*2HTE含铜</t>
  </si>
  <si>
    <t>NY2150H0.9117628*2+1080*1+7628*2HTE含铜</t>
  </si>
  <si>
    <t>NY2150H0.73117628*4HTE不含铜</t>
  </si>
  <si>
    <t>NY2150H0.9227628*4HTE含铜</t>
  </si>
  <si>
    <t>NY2150H1117628*5HTE含铜</t>
  </si>
  <si>
    <t>NY2150H1227628*4+2116*1HTE含铜</t>
  </si>
  <si>
    <t>NY2150H1227628*5HTE含铜</t>
  </si>
  <si>
    <t>NY2150H1337628*4HTE含铜</t>
  </si>
  <si>
    <t>NY2150H1HH7628*5HTE含铜</t>
  </si>
  <si>
    <t>NY2150H1.1117628*6HTE含铜</t>
  </si>
  <si>
    <t>NY2150H1.1227628*5HTE含铜</t>
  </si>
  <si>
    <t>NY2150H1.1HH7628*6HTE含铜</t>
  </si>
  <si>
    <t>NY2150H1.2HH7628*6HTE含铜</t>
  </si>
  <si>
    <t>NY2150H1.2117628*6HTE含铜</t>
  </si>
  <si>
    <t>NY2150H1.2227628*6HTE含铜</t>
  </si>
  <si>
    <t>NY2150H1.3227628*6HTE含铜</t>
  </si>
  <si>
    <t>NY2150H1.3117628*7HTE含铜</t>
  </si>
  <si>
    <t>NY2150H1.3HH7628*7HTE含铜</t>
  </si>
  <si>
    <t>NY2150H1.4117628*7HTE含铜</t>
  </si>
  <si>
    <t>NY2150H1.4HH7628*7HTE含铜</t>
  </si>
  <si>
    <t>NY2150H1.5117628*8HTE含铜</t>
  </si>
  <si>
    <t>NY2150H1.5227628*7HTE含铜</t>
  </si>
  <si>
    <t>NY2150H1.5227628*8HTE含铜</t>
  </si>
  <si>
    <t>NY2150H1.5HH7628*8HTE含铜</t>
  </si>
  <si>
    <t>NY2150H1.8117628*9HTE含铜</t>
  </si>
  <si>
    <t>NY2150H1.81.51.57628*9HTE含铜</t>
  </si>
  <si>
    <t>NY2150H1.8227628*9HTE含铜</t>
  </si>
  <si>
    <t>NY2150H1.9117628*10HTE含铜</t>
  </si>
  <si>
    <t>NY2150H1.91.51.57628*10HTE含铜</t>
  </si>
  <si>
    <t>NY2150H1.9227628*10HTE含铜</t>
  </si>
  <si>
    <t>NY2150H1.9HH7628*10HTE含铜</t>
  </si>
  <si>
    <t>NY2150H2.3HH7628*13HTE含铜</t>
  </si>
  <si>
    <t>NY2150H2.4HH7628*13HTE含铜</t>
  </si>
  <si>
    <t>NY2150H3.1HH7628*17HTE含铜</t>
  </si>
  <si>
    <t>NY2170</t>
  </si>
  <si>
    <t>NY21700.0511106*1HTE不含铜</t>
  </si>
  <si>
    <t>1086*1</t>
  </si>
  <si>
    <t>NY21700.076111086*1HTE不含铜</t>
  </si>
  <si>
    <t>NY21700.075221086*1HTE不含铜</t>
  </si>
  <si>
    <t>NY21700.075111080*1HTE不含铜</t>
  </si>
  <si>
    <t>NY21700.075HH1086*1HTE不含铜</t>
  </si>
  <si>
    <t>NY21700.075HH1080*1HTE不含铜</t>
  </si>
  <si>
    <t>NY21700.075H11080*1HTE不含铜</t>
  </si>
  <si>
    <t>NY21700.08111080*1HTE不含铜</t>
  </si>
  <si>
    <t>NY21700.081H1086*1HTE不含铜</t>
  </si>
  <si>
    <t>NY21700.08HH1080*1HTE不含铜</t>
  </si>
  <si>
    <t>NY21700.11H2313*1HTE不含铜</t>
  </si>
  <si>
    <t>NY21700.11H2116*1HTE不含铜</t>
  </si>
  <si>
    <t>NY21700.1112116*1RTF不含铜</t>
  </si>
  <si>
    <t>NY21700.1112116*1HTE不含铜</t>
  </si>
  <si>
    <t>NY21700.1112313*1HTE不含铜</t>
  </si>
  <si>
    <t>3313*1</t>
  </si>
  <si>
    <t>NY21700.1113313*1HTE不含铜</t>
  </si>
  <si>
    <t>NY21700.112106*2HTE不含铜</t>
  </si>
  <si>
    <t>NY21700.122106*2HTE不含铜</t>
  </si>
  <si>
    <t>NY21700.133106*2HTE不含铜</t>
  </si>
  <si>
    <t>NY21700.144106*2HTE不含铜</t>
  </si>
  <si>
    <t>NY21700.1HH2116*1HTE不含铜</t>
  </si>
  <si>
    <t>NY21700.1HH2313*1HTE不含铜</t>
  </si>
  <si>
    <t>NY21700.1H22116*1HTE不含铜</t>
  </si>
  <si>
    <t>NY21700.111106*2HTE不含铜</t>
  </si>
  <si>
    <t>NY21700.1122106*2HTE不含铜</t>
  </si>
  <si>
    <t>NY21700.1111106*2HTE不含铜</t>
  </si>
  <si>
    <t>NY21700.11HH106*2HTE不含铜</t>
  </si>
  <si>
    <t>NY21700.1233106*2HTE不含铜</t>
  </si>
  <si>
    <t>NY21700.1244106*2HTE不含铜</t>
  </si>
  <si>
    <t>1067*2</t>
  </si>
  <si>
    <t>NY21700.12HH1067*2HTE不含铜</t>
  </si>
  <si>
    <t>NY21700.131H2116*1HTE不含铜</t>
  </si>
  <si>
    <t>NY21700.13112116*1HTE不含铜</t>
  </si>
  <si>
    <t>NY21700.1312106*2HTE不含铜</t>
  </si>
  <si>
    <t>NY21700.1133106*2RTF不含铜</t>
  </si>
  <si>
    <t>NY21700.15551080*2HTE不含铜</t>
  </si>
  <si>
    <t>NY21700.15551080*2RTF不含铜</t>
  </si>
  <si>
    <t>NY21700.15111080*2RTF不含铜</t>
  </si>
  <si>
    <t>NY21700.15121080*2RTF不含铜</t>
  </si>
  <si>
    <t>NY21700.53227628*3HTE不含铜</t>
  </si>
  <si>
    <t>NY21701.3227628*6HTE含铜</t>
  </si>
  <si>
    <t>NY21700.1322106*2HTE不含铜</t>
  </si>
  <si>
    <t>NY21700.1333106*2HTE不含铜</t>
  </si>
  <si>
    <t>NY21700.1344106*2HTE不含铜</t>
  </si>
  <si>
    <t>NY21700.13HH2116*1HTE不含铜</t>
  </si>
  <si>
    <t>NY21700.13HH1080*2HTE不含铜</t>
  </si>
  <si>
    <t>NY21700.13H22116*1HTE不含铜</t>
  </si>
  <si>
    <t>NY21700.14HH1080*2HTE不含铜</t>
  </si>
  <si>
    <t>NY21700.15111506*1HTE不含铜</t>
  </si>
  <si>
    <t>NY21700.15111080*2HTE不含铜</t>
  </si>
  <si>
    <t>NY21700.15121506*1HTE不含铜</t>
  </si>
  <si>
    <t>NY21700.15221506*1HTE不含铜</t>
  </si>
  <si>
    <t>NY21700.15221080*2HTE不含铜</t>
  </si>
  <si>
    <t>NY21700.15HH1080*2HTE不含铜</t>
  </si>
  <si>
    <t>NY21700.15HH1506*1HTE不含铜</t>
  </si>
  <si>
    <t>NY21700.15H11506*1HTE不含铜</t>
  </si>
  <si>
    <t>NY21700.15H21080*2HTE不含铜</t>
  </si>
  <si>
    <t>NY21700.16221080*2HTE不含铜</t>
  </si>
  <si>
    <t>NY21700.16HH1506*1HTE不含铜</t>
  </si>
  <si>
    <t>NY21700.16HH1080*2HTE不含铜</t>
  </si>
  <si>
    <t>NY21700.18117628*1HTE不含铜</t>
  </si>
  <si>
    <t>NY21700.18112313*2HTE不含铜</t>
  </si>
  <si>
    <t>NY21700.18122313*2HTE不含铜</t>
  </si>
  <si>
    <t>NY21700.18227628*1HTE不含铜</t>
  </si>
  <si>
    <t>3313*2</t>
  </si>
  <si>
    <t>NY21700.18223313*2HTE不含铜</t>
  </si>
  <si>
    <t>NY21700.18222313*2HTE不含铜</t>
  </si>
  <si>
    <t>2*106+1*1080</t>
  </si>
  <si>
    <t>NY21700.18222*106+1*1080HTE不含铜</t>
  </si>
  <si>
    <t>NY21700.18HH1506*1HTE不含铜</t>
  </si>
  <si>
    <t>NY21700.18HH7628*1HTE不含铜</t>
  </si>
  <si>
    <t>NY21700.18HH2313*2HTE不含铜</t>
  </si>
  <si>
    <t>NY21700.2117628*1HTE不含铜</t>
  </si>
  <si>
    <t>NY21700.2122313*2HTE不含铜</t>
  </si>
  <si>
    <t>NY21700.2227628*1HTE不含铜</t>
  </si>
  <si>
    <t>NY21700.2222313*2HTE不含铜</t>
  </si>
  <si>
    <t>NY21700.2222116*2HTE不含铜</t>
  </si>
  <si>
    <t>NY21700.2332313*2HTE不含铜</t>
  </si>
  <si>
    <t>NY21700.2HH7628*1HTE不含铜</t>
  </si>
  <si>
    <t>NY21700.21HH7628*1HTE不含铜</t>
  </si>
  <si>
    <t>NY21700.23112116*2HTE不含铜</t>
  </si>
  <si>
    <t>NY21700.23222116*2HTE不含铜</t>
  </si>
  <si>
    <t>NY21700.23332116*2HTE不含铜</t>
  </si>
  <si>
    <t>NY21700.23442116*2HTE不含铜</t>
  </si>
  <si>
    <t>NY21700.23HH2116*2HTE不含铜</t>
  </si>
  <si>
    <t>NY21700.25112116*2HTE不含铜</t>
  </si>
  <si>
    <t>NY21700.25122116*2HTE不含铜</t>
  </si>
  <si>
    <t>NY21700.25222116*2HTE不含铜</t>
  </si>
  <si>
    <t>NY21700.25332116*2HTE不含铜</t>
  </si>
  <si>
    <t>NY21700.25HH2116*2HTE不含铜</t>
  </si>
  <si>
    <t>NY21700.25H22116*2HTE不含铜</t>
  </si>
  <si>
    <t>NY21700.26222116*2HTE不含铜</t>
  </si>
  <si>
    <t>NY21700.26HH2116*2HTE不含铜</t>
  </si>
  <si>
    <t>NY21700.28111080*1+2116*1+1080*1HTE不含铜</t>
  </si>
  <si>
    <t>NY21700.305223313*3HTE不含铜</t>
  </si>
  <si>
    <t>NY21700.3111506*2HTE不含铜</t>
  </si>
  <si>
    <t>NY21700.3211506*2HTE不含铜</t>
  </si>
  <si>
    <t>NY21700.3221506*2HTE不含铜</t>
  </si>
  <si>
    <t>NY21700.3331506*2HTE不含铜</t>
  </si>
  <si>
    <t>NY21700.3HH1506*2HTE不含铜</t>
  </si>
  <si>
    <t>NY21700.3HH3313*3HTE不含铜</t>
  </si>
  <si>
    <t>NY21700.32441506*2HTE不含铜</t>
  </si>
  <si>
    <t>NY21700.33111506*2RTF不含铜</t>
  </si>
  <si>
    <t>NY21700.33111506*2HTE不含铜</t>
  </si>
  <si>
    <t>NY21700.33221506*2HTE不含铜</t>
  </si>
  <si>
    <t>NY21700.33HH1506*2HTE不含铜</t>
  </si>
  <si>
    <t>NY21700.35117628*2HTE不含铜</t>
  </si>
  <si>
    <t>NY21700.36117628*2HTE不含铜</t>
  </si>
  <si>
    <t>NY21700.36217628*2HTE不含铜</t>
  </si>
  <si>
    <t>NY21700.36227628*2HTE不含铜</t>
  </si>
  <si>
    <t>NY21700.36HH7628*2HTE不含铜</t>
  </si>
  <si>
    <t>NY21700.38117628*2HTE不含铜</t>
  </si>
  <si>
    <t>NY21700.38HH7628*2HTE不含铜</t>
  </si>
  <si>
    <t>NY21700.4117628*2HTE不含铜</t>
  </si>
  <si>
    <t>NY21700.4227628*2HTE不含铜</t>
  </si>
  <si>
    <t>NY21700.4337628*2HTE不含铜</t>
  </si>
  <si>
    <t>NY21700.4HH7628*2HTE不含铜</t>
  </si>
  <si>
    <t>NY21700.42447628*2HTE不含铜</t>
  </si>
  <si>
    <t>NY21700.431H7628*1+1080*1+7628*1HTE不含铜</t>
  </si>
  <si>
    <t>NY21700.43117628*1+1080*1+7628*1HTE不含铜</t>
  </si>
  <si>
    <t>NY21700.46227628*1+1080*1+7628*1HTE不含铜</t>
  </si>
  <si>
    <t>NY21700.46337628*1+1080*1+7628*1HTE不含铜</t>
  </si>
  <si>
    <t>NY21700.46447628*1+1080*1+7628*1HTE不含铜</t>
  </si>
  <si>
    <t>NY21700.46117628*1+1080*1+7628*1HTE不含铜</t>
  </si>
  <si>
    <t>NY21700.46HH7628*1+2116*1+7628*1HTE不含铜</t>
  </si>
  <si>
    <t>NY21700.48117628*1+2116*1+7628*1HTE不含铜</t>
  </si>
  <si>
    <t>NY21700.49337628*1+2116*1+7628*1HTE不含铜</t>
  </si>
  <si>
    <t>2116*1+7628*2</t>
  </si>
  <si>
    <t>NY21700.5112116*1+7628*2HTE不含铜</t>
  </si>
  <si>
    <t>NY21700.5112116*5HTE不含铜</t>
  </si>
  <si>
    <t>NY21700.5HH7628*1+2116*1+7628*1HTE不含铜</t>
  </si>
  <si>
    <t>NY21700.5122116*5HTE不含铜</t>
  </si>
  <si>
    <t>NY21700.5222116*5HTE不含铜</t>
  </si>
  <si>
    <t>NY21700.5H22116*1+7628*2RTF不含铜</t>
  </si>
  <si>
    <t>NY21700.51117628*2+2116*1HTE不含铜</t>
  </si>
  <si>
    <t>NY21700.51227628*1+2116*1+7628*1HTE不含铜</t>
  </si>
  <si>
    <t>NY21700.51337628*1+2116*1+7628*1HTE不含铜</t>
  </si>
  <si>
    <t>NY21700.51HH7628*2+2116*1HTE不含铜</t>
  </si>
  <si>
    <t>NY21700.52447628*1+2116*1+7628*1HTE不含铜</t>
  </si>
  <si>
    <t>NY21700.53117628*3HTE不含铜</t>
  </si>
  <si>
    <t>NY21700.53HH7628*3HTE不含铜</t>
  </si>
  <si>
    <t>NY21700.56337628*3HTE不含铜</t>
  </si>
  <si>
    <t>NY21700.56227628*3HTE不含铜</t>
  </si>
  <si>
    <t>NY21700.56HH7628*3HTE不含铜</t>
  </si>
  <si>
    <t>NY21700.59337628*3HTE不含铜</t>
  </si>
  <si>
    <t>NY21700.6117628*3HTE不含铜</t>
  </si>
  <si>
    <t>NY21700.6227628*3HTE不含铜</t>
  </si>
  <si>
    <t>NY21700.6HH7628*3HTE不含铜</t>
  </si>
  <si>
    <t>NY21700.61H17628*3HTE不含铜</t>
  </si>
  <si>
    <t>NY21700.61227628*3HTE不含铜</t>
  </si>
  <si>
    <t>NY21700.61117628*3HTE不含铜</t>
  </si>
  <si>
    <t>NY21700.61337628*3HTE不含铜</t>
  </si>
  <si>
    <t>NY21700.63112116*1+7628*2+2116*1HTE不含铜</t>
  </si>
  <si>
    <t>NY21700.63HH2116*1+7628*2+2116*1HTE不含铜</t>
  </si>
  <si>
    <t>NY21700.66117628*2+1506*2HTE不含铜</t>
  </si>
  <si>
    <t>NY21700.66227628*2+1506*2HTE不含铜</t>
  </si>
  <si>
    <t>NY21700.66HH7628*2+1506*2HTE不含铜</t>
  </si>
  <si>
    <t>NY21700.67HH7628*1+1506*2+7628*1HTE不含铜</t>
  </si>
  <si>
    <t>NY21700.7117628*4HTE不含铜</t>
  </si>
  <si>
    <t>2116*7</t>
  </si>
  <si>
    <t>NY21700.7HH2116*7HTE不含铜</t>
  </si>
  <si>
    <t>NY21700.7HH7628*4HTE不含铜</t>
  </si>
  <si>
    <t>NY21700.71117628*4HTE不含铜</t>
  </si>
  <si>
    <t>NY21700.71HH2116*7HTE不含铜</t>
  </si>
  <si>
    <t>NY21700.71112116*7HTE不含铜</t>
  </si>
  <si>
    <t>NY21700.71227628*4HTE不含铜</t>
  </si>
  <si>
    <t>NY21700.73117628*4HTE不含铜</t>
  </si>
  <si>
    <t>NY21700.76HH7628*4HTE不含铜</t>
  </si>
  <si>
    <t>NY21700.85227628*4HTE含铜</t>
  </si>
  <si>
    <t>NY21700.9117628*4+2116*1HTE含铜</t>
  </si>
  <si>
    <t>2116*8</t>
  </si>
  <si>
    <t>NY21700.9112116*8HTE含铜</t>
  </si>
  <si>
    <t>NY21700.9227628*4HTE含铜</t>
  </si>
  <si>
    <t>NY21700.9337628*4HTE含铜</t>
  </si>
  <si>
    <t>NY21700.9HH7628*2+2116*1+7628*2HTE含铜</t>
  </si>
  <si>
    <t>NY21701117628*5HTE含铜</t>
  </si>
  <si>
    <t>2116*9</t>
  </si>
  <si>
    <t>NY21701112116*9HTE含铜</t>
  </si>
  <si>
    <t>NY21701227628*5HTE含铜</t>
  </si>
  <si>
    <t>NY21701337628*4HTE含铜</t>
  </si>
  <si>
    <t>NY21701HH7628*5HTE含铜</t>
  </si>
  <si>
    <t>NY21701.1117628*6HTE含铜</t>
  </si>
  <si>
    <t>NY21701.1227628*5HTE含铜</t>
  </si>
  <si>
    <t>NY21701.1337628*5HTE含铜</t>
  </si>
  <si>
    <t>NY21701.1HH7628*6HTE含铜</t>
  </si>
  <si>
    <t>NY21701.2117628*6HTE含铜</t>
  </si>
  <si>
    <t>NY21701.2227628*6HTE含铜</t>
  </si>
  <si>
    <t>NY21701.2337628*5HTE含铜</t>
  </si>
  <si>
    <t>NY21701.2447628*5HTE含铜</t>
  </si>
  <si>
    <t>NY21701.2HH7628*6HTE含铜</t>
  </si>
  <si>
    <t>NY21701.3127628*7HTE含铜</t>
  </si>
  <si>
    <t>NY21701.27117628*6HTE含铜</t>
  </si>
  <si>
    <t>NY21701.3117628*7HTE含铜</t>
  </si>
  <si>
    <t>NY21701.4117628*7HTE含铜</t>
  </si>
  <si>
    <t>NY21701.4227628*7HTE含铜</t>
  </si>
  <si>
    <t>NY21701.41.51.57628*7HTE含铜</t>
  </si>
  <si>
    <t>NY21701.4337628*6HTE含铜</t>
  </si>
  <si>
    <t>NY21701.4447628*6HTE含铜</t>
  </si>
  <si>
    <t>NY21701.4HH7628*7HTE含铜</t>
  </si>
  <si>
    <t>NY21701.5117628*8HTE含铜</t>
  </si>
  <si>
    <t>NY21701.51.51.57628*8HTE含铜</t>
  </si>
  <si>
    <t>NY21701.5227628*7HTE含铜</t>
  </si>
  <si>
    <t>NY21701.5337628*7HTE含铜</t>
  </si>
  <si>
    <t>NY21701.5HH7628*8HTE含铜</t>
  </si>
  <si>
    <t>NY21701.6117628*8HTE含铜</t>
  </si>
  <si>
    <t>NY21701.6227628*8HTE含铜</t>
  </si>
  <si>
    <t>NY21701.6337628*7HTE含铜</t>
  </si>
  <si>
    <t>NY21701.6447628*7HTE含铜</t>
  </si>
  <si>
    <t>NY21701.6HH7628*8HTE含铜</t>
  </si>
  <si>
    <t>NY21701.8337628*7HTE含铜</t>
  </si>
  <si>
    <t>NY21701.9117628*10HTE含铜</t>
  </si>
  <si>
    <t>NY21701.9227628*10HTE含铜</t>
  </si>
  <si>
    <t>NY21701.9337628*9HTE含铜</t>
  </si>
  <si>
    <t>NY21701.9HH7628*10HTE含铜</t>
  </si>
  <si>
    <t>NY21702117628*11HTE含铜</t>
  </si>
  <si>
    <t>NY21702227628*10HTE含铜</t>
  </si>
  <si>
    <t>NY21702337628*10HTE含铜</t>
  </si>
  <si>
    <t>NY21702HH7628*11HTE含铜</t>
  </si>
  <si>
    <t>NY21702.2117628*12HTE含铜</t>
  </si>
  <si>
    <t>NY21702.2HH7628*12HTE含铜</t>
  </si>
  <si>
    <t>NY21702.31.51.57628*12HTE含铜</t>
  </si>
  <si>
    <t>NY21702.3117628*12HTE含铜</t>
  </si>
  <si>
    <t>NY21702.3227628*12HTE含铜</t>
  </si>
  <si>
    <t>NY21702.3337628*11HTE含铜</t>
  </si>
  <si>
    <t>NY21702.3337628*12HTE含铜</t>
  </si>
  <si>
    <t>NY21702.3447628*11HTE含铜</t>
  </si>
  <si>
    <t>NY21702.4117628*13HTE含铜</t>
  </si>
  <si>
    <t>NY21702.4227628*12HTE含铜</t>
  </si>
  <si>
    <t>NY21702.4337628*12HTE含铜</t>
  </si>
  <si>
    <t>NY21702.4HH7628*13HTE含铜</t>
  </si>
  <si>
    <t>NY21702.6117628*14HTE含铜</t>
  </si>
  <si>
    <t>NY21702.8117628*15HTE含铜</t>
  </si>
  <si>
    <t>NY2170H</t>
  </si>
  <si>
    <t>NY2170H0.1366106*2HTE不含铜</t>
  </si>
  <si>
    <t>NY2170H0.1HH2116*1HTE不含铜</t>
  </si>
  <si>
    <t>NY2170H0.11H2116*1HTE不含铜</t>
  </si>
  <si>
    <t>NY2170H0.1112116*1HTE不含铜</t>
  </si>
  <si>
    <t>NY2170H0.15H11506*1HTE不含铜</t>
  </si>
  <si>
    <t>NY2170H0.2112116*2HTE不含铜</t>
  </si>
  <si>
    <t>2*7628+1*1080</t>
  </si>
  <si>
    <t>NY2170H0.46222*7628+1*1080HTE不含铜</t>
  </si>
  <si>
    <t>2*7628+1*2116</t>
  </si>
  <si>
    <t>NY2170H0.51112*7628+1*2116HTE不含铜</t>
  </si>
  <si>
    <t>NY2170H0.7HH2116*7HTE含铜</t>
  </si>
  <si>
    <t>NY2170H1117628*5HTE含铜</t>
  </si>
  <si>
    <t>NY2170H1337628*4HTE含铜</t>
  </si>
  <si>
    <t>NY2170H1HH7628*5HTE含铜</t>
  </si>
  <si>
    <t>NY2170H1.5117628*8HTE含铜</t>
  </si>
  <si>
    <t>NY2170H1.5337628*7HTE含铜</t>
  </si>
  <si>
    <t>NY2170H1.5HH7628*8HTE含铜</t>
  </si>
  <si>
    <t>NY2170H1.9HH7628*10HTE含铜</t>
  </si>
  <si>
    <t>NY3150HC</t>
  </si>
  <si>
    <t>NY3150HC0.08331080*1HTE不含铜</t>
  </si>
  <si>
    <t>NY3150HC0.1112116*1HTE不含铜</t>
  </si>
  <si>
    <t>NY3150HC0.1122116*1HTE不含铜</t>
  </si>
  <si>
    <t>NY3150HC0.1332116*1HTE不含铜</t>
  </si>
  <si>
    <t>NY3150HC0.1HH2116*1HTE不含铜</t>
  </si>
  <si>
    <t>NY3150HC0.13112116*1HTE不含铜</t>
  </si>
  <si>
    <t>NY3150HC0.13HH2116*1HTE不含铜</t>
  </si>
  <si>
    <t>NY3150HC0.15HH1506*1HTE不含铜</t>
  </si>
  <si>
    <t>NY3150HC0.15331080*2HTE不含铜</t>
  </si>
  <si>
    <t>NY3150HC0.2117628*1HTE不含铜</t>
  </si>
  <si>
    <t>NY3150HC0.2332116*2HTE不含铜</t>
  </si>
  <si>
    <t>NY3150HC0.2337628*1HTE不含铜</t>
  </si>
  <si>
    <t>NY3150HC0.2HH7628*1HTE不含铜</t>
  </si>
  <si>
    <t>NY3150HC0.23117628*2HTE不含铜</t>
  </si>
  <si>
    <t>NY3150HC0.23112116*2HTE不含铜</t>
  </si>
  <si>
    <t>NY3150HC0.23222116*2HTE不含铜</t>
  </si>
  <si>
    <t>NY3150HC0.23332116*2HTE不含铜</t>
  </si>
  <si>
    <t>NY3150HC0.25222116*2HTE不含铜</t>
  </si>
  <si>
    <t>NY3150HC0.26222116*2HTE不含铜</t>
  </si>
  <si>
    <t>2116*2+1080</t>
  </si>
  <si>
    <t>NY3150HC0.3112116*2+1080HTE不含铜</t>
  </si>
  <si>
    <t>NY3150HC0.3331506*2HTE不含铜</t>
  </si>
  <si>
    <t>NY3150HC0.33111506*2HTE不含铜</t>
  </si>
  <si>
    <t>NY3150HC0.33221506*2HTE不含铜</t>
  </si>
  <si>
    <t>NY3150HC0.33HH1506*2HTE不含铜</t>
  </si>
  <si>
    <t>NY3150HC0.36117628*2HTE不含铜</t>
  </si>
  <si>
    <t>NY3150HC0.36227628*2HTE不含铜</t>
  </si>
  <si>
    <t>NY3150HC0.38117628*2HTE不含铜</t>
  </si>
  <si>
    <t>NY3150HC0.4227628*2HTE不含铜</t>
  </si>
  <si>
    <t>NY3150HC0.4337628*2HTE不含铜</t>
  </si>
  <si>
    <t>NY3150HC0.41117628*2HTE不含铜</t>
  </si>
  <si>
    <t>NY3150HC0.41227628*2HTE不含铜</t>
  </si>
  <si>
    <t>NY3150HC0.46HH7628*1+1080*1+7628*1HTE不含铜</t>
  </si>
  <si>
    <t>NY3150HC0.46117628*1+1080*1+7628*1HTE不含铜</t>
  </si>
  <si>
    <t>NY3150HC0.46227628*1+1080*1+7628*1HTE不含铜</t>
  </si>
  <si>
    <t>NY3150HC0.51337628*2+2116*1HTE不含铜</t>
  </si>
  <si>
    <t>NY3150HC0.53117628*3HTE不含铜</t>
  </si>
  <si>
    <t>NY3150HC0.56227628*3HTE不含铜</t>
  </si>
  <si>
    <t>NY3150HC0.611.51.57628*3HTE不含铜</t>
  </si>
  <si>
    <t>NY3150HC0.61227628*3HTE不含铜</t>
  </si>
  <si>
    <t>NY3150HC0.61337628*3HTE不含铜</t>
  </si>
  <si>
    <t>NY3150HC0.63117628*2+2116*2HTE不含铜</t>
  </si>
  <si>
    <t>NY3150HC0.66HH7628*2+1506*2HTE不含铜</t>
  </si>
  <si>
    <t>NY3150HC0.66227628*2+1506*2HTE不含铜</t>
  </si>
  <si>
    <t>NY3150HC0.71227628*4HTE不含铜</t>
  </si>
  <si>
    <t>NY3150HC0.73117628*4HTE不含铜</t>
  </si>
  <si>
    <t>NY3150HC0.8117628*4HTE含铜</t>
  </si>
  <si>
    <t>NY3150HC0.9117628*5HTE含铜</t>
  </si>
  <si>
    <t>NY3150HC0.9117628*4+2116*1HTE含铜</t>
  </si>
  <si>
    <t>NY3150HC0.91.51.57628*4+2116*1HTE含铜</t>
  </si>
  <si>
    <t>NY3150HC0.9227628*4HTE含铜</t>
  </si>
  <si>
    <t>NY3150HC0.9HH7628*4+2116*1HTE含铜</t>
  </si>
  <si>
    <t>NY3150HC1117628*5HTE含铜</t>
  </si>
  <si>
    <t>NY3150HC12.52.57628*4+2116*1HTE含铜</t>
  </si>
  <si>
    <t>NY3150HC1337628*5HTE含铜</t>
  </si>
  <si>
    <t>NY3150HC1HH7628*5HTE含铜</t>
  </si>
  <si>
    <t>NY3150HC1.1117628*6HTE含铜</t>
  </si>
  <si>
    <t>NY3150HC1.11.51.57628*5HTE含铜</t>
  </si>
  <si>
    <t>NY3150HC1.1337628*5HTE含铜</t>
  </si>
  <si>
    <t>NY3150HC1.2117628*6HTE含铜</t>
  </si>
  <si>
    <t>NY3150HC1.2227628*6HTE含铜</t>
  </si>
  <si>
    <t>NY3150HC1.2337628*5HTE含铜</t>
  </si>
  <si>
    <t>NY3150HC1.3117628*7HTE含铜</t>
  </si>
  <si>
    <t>NY3150HC1.3227628*6HTE含铜</t>
  </si>
  <si>
    <t>NY3150HC1.3337628*6HTE含铜</t>
  </si>
  <si>
    <t>NY3150HC1.4HH7628*7HTE含铜</t>
  </si>
  <si>
    <t>NY3150HC1.41.51.57628*7HTE含铜</t>
  </si>
  <si>
    <t>NY3150HC1.4227628*7HTE含铜</t>
  </si>
  <si>
    <t>NY3150HC1.4337628*7HTE含铜</t>
  </si>
  <si>
    <t>NY3150HC1.451.51.57628*7HTE含铜</t>
  </si>
  <si>
    <t>NY3150HC1.5117628*8HTE含铜</t>
  </si>
  <si>
    <t>NY3150HC1.51.51.57628*7HTE含铜</t>
  </si>
  <si>
    <t>NY3150HC1.5227628*7HTE含铜</t>
  </si>
  <si>
    <t>NY3150HC1.5HH7628*8HTE含铜</t>
  </si>
  <si>
    <t>NY3150HC1.6117628*8HTE含铜</t>
  </si>
  <si>
    <t>NY3150HC1.9117628*10HTE含铜</t>
  </si>
  <si>
    <t>NY3150HC1.91.51.57628*10HTE含铜</t>
  </si>
  <si>
    <t>NY3150HC1.9227628*10HTE含铜</t>
  </si>
  <si>
    <t>NY3150HC1.9HH7628*10HTE含铜</t>
  </si>
  <si>
    <t>NY3150HC2.3117628*12HTE含铜</t>
  </si>
  <si>
    <t>NY3150HF</t>
  </si>
  <si>
    <t>1086*2</t>
  </si>
  <si>
    <t>NY3150HF0.15331086*2HTE不含铜</t>
  </si>
  <si>
    <t>NY3150HF0.15331086*2RTF不含铜</t>
  </si>
  <si>
    <t>NY3150HF0.08HH1080*1HTE不含铜</t>
  </si>
  <si>
    <t>NY3150HF0.1112116*1HTE不含铜</t>
  </si>
  <si>
    <t>NY3150HF0.1HH2116*1HTE不含铜</t>
  </si>
  <si>
    <t>NY3150HF0.13331080*2HTE不含铜</t>
  </si>
  <si>
    <t>NY3150HF0.13221080*2HTE不含铜</t>
  </si>
  <si>
    <t>NY3150HF0.13112116*1HTE不含铜</t>
  </si>
  <si>
    <t>NY3150HF0.13HH2116*1HTE不含铜</t>
  </si>
  <si>
    <t>NY3150HF0.15221506*1HTE不含铜</t>
  </si>
  <si>
    <t>NY3150HF0.15111506*1HTE不含铜</t>
  </si>
  <si>
    <t>NY3150HF0.15HH1506*1HTE不含铜</t>
  </si>
  <si>
    <t>NY3150HF0.21112116*2HTE不含铜</t>
  </si>
  <si>
    <t>NY3150HF0.2117628*1HTE不含铜</t>
  </si>
  <si>
    <t>NY3150HF0.2222313*2HTE不含铜</t>
  </si>
  <si>
    <t>NY3150HF0.2227628*1HTE不含铜</t>
  </si>
  <si>
    <t>NY3150HF0.2HH7628*1HTE不含铜</t>
  </si>
  <si>
    <t>NY3150HF0.22222116*2HTE不含铜</t>
  </si>
  <si>
    <t>NY3150HF0.2332313*2HTE不含铜</t>
  </si>
  <si>
    <t>NY3150HF0.23332116*2HTE不含铜</t>
  </si>
  <si>
    <t>NY3150HF0.26222116*2HTE不含铜</t>
  </si>
  <si>
    <t>NY3150HF0.3221506*2HTE不含铜</t>
  </si>
  <si>
    <t>NY3150HF0.3111506*2HTE不含铜</t>
  </si>
  <si>
    <t>NY3150HF0.3112116*1+1080*1+2116*1HTE不含铜</t>
  </si>
  <si>
    <t>NY3150HF0.3HH1506*2HTE不含铜</t>
  </si>
  <si>
    <t>NY3150HF0.33111506*2HTE不含铜</t>
  </si>
  <si>
    <t>NY3150HF0.35111506*2HTE不含铜</t>
  </si>
  <si>
    <t>NY3150HF0.35117628*2HTE不含铜</t>
  </si>
  <si>
    <t>NY3150HF0.36117628*2HTE不含铜</t>
  </si>
  <si>
    <t>NY3150HF0.36227628*2HTE不含铜</t>
  </si>
  <si>
    <t>NY3150HF0.4447628*2HTE不含铜</t>
  </si>
  <si>
    <t>NY3150HF0.43117628*2+1080*1HTE不含铜</t>
  </si>
  <si>
    <t>NY3150HF0.46117628*2+1080*1HTE不含铜</t>
  </si>
  <si>
    <t>NY3150HF0.46227628*2+1080*1HTE不含铜</t>
  </si>
  <si>
    <t>NY3150HF0.46HH7628*2+1080*1HTE不含铜</t>
  </si>
  <si>
    <t>NY3150HF0.53117628*3HTE不含铜</t>
  </si>
  <si>
    <t>NY3150HF0.56HH7628*3HTE不含铜</t>
  </si>
  <si>
    <t>NY3150HF0.61117628*3HTE不含铜</t>
  </si>
  <si>
    <t>NY3150HF0.61227628*3HTE不含铜</t>
  </si>
  <si>
    <t>NY3150HF0.61HH7628*3HTE不含铜</t>
  </si>
  <si>
    <t>NY3150HF0.66HH7628*2+1506*2HTE不含铜</t>
  </si>
  <si>
    <t>NY3150HF0.66227628*2+1506*2HTE不含铜</t>
  </si>
  <si>
    <t>7625*4</t>
  </si>
  <si>
    <t>NY3150HF0.71.51.57625*4HTE不含铜</t>
  </si>
  <si>
    <t>NY3150HF0.71227628*4HTE不含铜</t>
  </si>
  <si>
    <t>NY3150HF0.71117628*4HTE不含铜</t>
  </si>
  <si>
    <t>NY3150HF0.71HH7628*4HTE不含铜</t>
  </si>
  <si>
    <t>NY3150HF0.73117628*4HTE不含铜</t>
  </si>
  <si>
    <t>NY3150HF0.73HH7628*4HTE不含铜</t>
  </si>
  <si>
    <t>NY3150HF0.76HH7628*4HTE不含铜</t>
  </si>
  <si>
    <t>NY3150HF0.81.51.57628*4HTE含铜</t>
  </si>
  <si>
    <t>NY3150HF0.8227628*4HTE含铜</t>
  </si>
  <si>
    <t>NY3150HF0.9117628*4+2116*1HTE含铜</t>
  </si>
  <si>
    <t>7628*2+2116+7628*2</t>
  </si>
  <si>
    <t>NY3150HF0.9227628*2+2116+7628*2HTE含铜</t>
  </si>
  <si>
    <t>NY3150HF0.91.51.57628*2+2116+7628*2HTE含铜</t>
  </si>
  <si>
    <t>NY3150HF0.9HH7628*4+2116*1HTE含铜</t>
  </si>
  <si>
    <t>NY3150HF1117628*5HTE含铜</t>
  </si>
  <si>
    <t>NY3150HF11.51.57628*5HTE含铜</t>
  </si>
  <si>
    <t>NY3150HF1.1117628*6HTE含铜</t>
  </si>
  <si>
    <t>NY3150HF1.11.51.57628*5HTE含铜</t>
  </si>
  <si>
    <t>NY3150HF1.11.51.57628*6HTE含铜</t>
  </si>
  <si>
    <t>NY3150HF1.1HH7628*6HTE含铜</t>
  </si>
  <si>
    <t>NY3150HF1.2HH7628*6HTE含铜</t>
  </si>
  <si>
    <t>NY3150HF1.2117628*6HTE含铜</t>
  </si>
  <si>
    <t>NY3150HF1.3117628*7HTE含铜</t>
  </si>
  <si>
    <t>NY3150HF1.4HH7628*7HTE含铜</t>
  </si>
  <si>
    <t>NY3150HF1.4117628*7HTE含铜</t>
  </si>
  <si>
    <t>NY3150HF1.41.51.57628*7HTE含铜</t>
  </si>
  <si>
    <t>NY3150HF1.5117628*8HTE含铜</t>
  </si>
  <si>
    <t>NY3150HF1.5227628*7HTE含铜</t>
  </si>
  <si>
    <t>NY3150HF1.5227628*8HTE含铜</t>
  </si>
  <si>
    <t>NY3150HF1.51.51.57628*8HTE含铜</t>
  </si>
  <si>
    <t>NY3150HF1.5HH7628*8HTE含铜</t>
  </si>
  <si>
    <t>NY3150HF1.6227628*8HTE含铜</t>
  </si>
  <si>
    <t>NY3150HF2.3HH7628*12HTE含铜</t>
  </si>
  <si>
    <t>NY3170HC</t>
  </si>
  <si>
    <t>NY3170HC0.1112116*1HTE不含铜</t>
  </si>
  <si>
    <t>NY3170HC0.111106*2HTE不含铜</t>
  </si>
  <si>
    <t>NY3170HC0.122106*2HTE不含铜</t>
  </si>
  <si>
    <t>NY3170HC0.133106*2HTE不含铜</t>
  </si>
  <si>
    <t>NY3170HC0.144106*2HTE不含铜</t>
  </si>
  <si>
    <t>NY3170HC0.12722106*2HTE不含铜</t>
  </si>
  <si>
    <t>NY3170HC0.13HH2116*1HTE不含铜</t>
  </si>
  <si>
    <t>NY3170HC0.13112116*1HTE不含铜</t>
  </si>
  <si>
    <t>NY3170HC0.15441080*2HTE不含铜</t>
  </si>
  <si>
    <t>NY3170HC0.15551080*2HTE不含铜</t>
  </si>
  <si>
    <t>NY3170HC0.18117628*1HTE不含铜</t>
  </si>
  <si>
    <t>NY3170HC0.2112116*2HTE不含铜</t>
  </si>
  <si>
    <t>NY3170HC0.2122116*2HTE不含铜</t>
  </si>
  <si>
    <t>NY3170HC0.2222116*2HTE不含铜</t>
  </si>
  <si>
    <t>NY3170HC0.23112116*2HTE不含铜</t>
  </si>
  <si>
    <t>NY3170HC0.23222116*2HTE不含铜</t>
  </si>
  <si>
    <t>NY3170HC0.23332116*2HTE不含铜</t>
  </si>
  <si>
    <t>NY3170HC0.25112116*2HTE不含铜</t>
  </si>
  <si>
    <t>NY3170HC0.25222116*2HTE不含铜</t>
  </si>
  <si>
    <t>NY3170HC0.3112116*2+1080*1HTE不含铜</t>
  </si>
  <si>
    <t>NY3170HC0.3331506*2HTE不含铜</t>
  </si>
  <si>
    <t>NY3170HC0.36117628*2HTE不含铜</t>
  </si>
  <si>
    <t>NY3170HC0.4117628*2HTE不含铜</t>
  </si>
  <si>
    <t>NY3170HC0.73117628*4HTE含铜</t>
  </si>
  <si>
    <t>NY3170HC0.73117628*4HTE不含铜</t>
  </si>
  <si>
    <t>NY3170HC0.9117628*5HTE含铜</t>
  </si>
  <si>
    <t>NY3170HC1117628*5HTE含铜</t>
  </si>
  <si>
    <t>NY3170HC1.2117628*6HTE含铜</t>
  </si>
  <si>
    <t>NY3170HC1.4HH7628*7HTE含铜</t>
  </si>
  <si>
    <t>NY3170HC1.5117628*8HTE含铜</t>
  </si>
  <si>
    <t>NY3170HC1.6227628*8HTE含铜</t>
  </si>
  <si>
    <t>NY3170HC1.6337628*8HTE含铜</t>
  </si>
  <si>
    <t>NY3170HF</t>
  </si>
  <si>
    <t>NY3170HF0.13HH2116*1HTE不含铜</t>
  </si>
  <si>
    <t>NY3170HF0.13112116*1HTE不含铜</t>
  </si>
  <si>
    <t>NY3170HF0.102HH2116*1HTE不含铜</t>
  </si>
  <si>
    <t>NY3170HF1.7HH7628*9HTE不含铜</t>
  </si>
  <si>
    <t>NY3170LK</t>
  </si>
  <si>
    <t>NY3170LK0.076111080*1RTF不含铜</t>
  </si>
  <si>
    <t>NY3170LK0.076121080*1RTF不含铜</t>
  </si>
  <si>
    <t>NY3170LK0.076HH1080*1RTF不含铜</t>
  </si>
  <si>
    <t>NY3170LK0.102111*2116RTF不含铜</t>
  </si>
  <si>
    <t>1035*2</t>
  </si>
  <si>
    <t>NY3170LK0.127H11035*2RTF不含铜</t>
  </si>
  <si>
    <t>1078*2</t>
  </si>
  <si>
    <t>NY3170LK0.127H11078*2RTF不含铜</t>
  </si>
  <si>
    <t>2*3313</t>
  </si>
  <si>
    <t>RTF2</t>
  </si>
  <si>
    <t>NY3170LK0.178112*3313RTF2不含铜</t>
  </si>
  <si>
    <t>3*2116</t>
  </si>
  <si>
    <t>NY3170LK0.305HH3*2116RTF不含铜</t>
  </si>
  <si>
    <t>NY3170LK0.305113*2116RTF不含铜</t>
  </si>
  <si>
    <t>NY3170LK0.381113*2116RTF2不含铜</t>
  </si>
  <si>
    <t>8*2116</t>
  </si>
  <si>
    <t>NY3170LK0.9HH8*2116RTF不含铜</t>
  </si>
  <si>
    <t>NY3170M</t>
  </si>
  <si>
    <t>1067*1</t>
  </si>
  <si>
    <t>NY3170M0.05HH1067*1RTF不含铜</t>
  </si>
  <si>
    <t>NY3170M0.05H11067*1RTF不含铜</t>
  </si>
  <si>
    <t>1037*1</t>
  </si>
  <si>
    <t>NY3170M0.053HH1037*1RTF不含铜</t>
  </si>
  <si>
    <t>NY3170M0.064HH1080*1RTF不含铜</t>
  </si>
  <si>
    <t>1078*1</t>
  </si>
  <si>
    <t>NY3170M0.064HH1078*1RTF不含铜</t>
  </si>
  <si>
    <t>NY3170M0.064H11078*1RTF不含铜</t>
  </si>
  <si>
    <t>NY3170M0.076111080*1RTF不含铜</t>
  </si>
  <si>
    <t>NY3170M0.076111078*1RTF2不含铜</t>
  </si>
  <si>
    <t>NY3170M0.076121078*1RTF不含铜</t>
  </si>
  <si>
    <t>NY3170M0.076221086*1RTF不含铜</t>
  </si>
  <si>
    <t>NY3170M0.076221080*1RTF不含铜</t>
  </si>
  <si>
    <t>1027*2</t>
  </si>
  <si>
    <t>NY3170M0.076221027*2RTF不含铜</t>
  </si>
  <si>
    <t>NY3170M0.076221078*1RTF不含铜</t>
  </si>
  <si>
    <t>NY3170M0.076HH1078*1RTF2不含铜</t>
  </si>
  <si>
    <t>NY3170M0.076HH1078*1RTF不含铜</t>
  </si>
  <si>
    <t>NY3170M0.076HH1086*1RTF不含铜</t>
  </si>
  <si>
    <t>NY3170M0.076HH1080*1RTF不含铜</t>
  </si>
  <si>
    <t>NY3170M0.089113313*1RTF不含铜</t>
  </si>
  <si>
    <t>NY3170M0.089HH3313*1RTF不含铜</t>
  </si>
  <si>
    <t>NY3170M0.089HH3313*1HTE不含铜</t>
  </si>
  <si>
    <t>NY3170M0.102112116*1RTF不含铜</t>
  </si>
  <si>
    <t>NY3170M0.102112116*1RTF2不含铜</t>
  </si>
  <si>
    <t>NY3170M0.102113313*1RTF不含铜</t>
  </si>
  <si>
    <t>RTF2/RTF</t>
  </si>
  <si>
    <t>NY3170M0.10212106*2RTF2/RTF不含铜</t>
  </si>
  <si>
    <t>NY3170M0.10211106*2RTF2不含铜</t>
  </si>
  <si>
    <t>曙光东海项目</t>
  </si>
  <si>
    <t>NY3170M0.10211106*2RTF不含铜</t>
  </si>
  <si>
    <t>NY3170M0.10212106*2RTF不含铜</t>
  </si>
  <si>
    <t>NY3170M0.102122116*1RTF不含铜</t>
  </si>
  <si>
    <t>NY3170M0.102123313*1RTF不含铜</t>
  </si>
  <si>
    <t>NY3170M0.102223313*1RTF不含铜</t>
  </si>
  <si>
    <t>NY3170M0.10222106*2RTF不含铜</t>
  </si>
  <si>
    <t>NY3170M0.102221067*2RTF不含铜</t>
  </si>
  <si>
    <t>NY3170M0.102HH1067*2RTF2不含铜</t>
  </si>
  <si>
    <t>NY3170M0.102HH3313*1RTF不含铜</t>
  </si>
  <si>
    <t>NY3170M0.102HH2116*1RTF不含铜</t>
  </si>
  <si>
    <t>NY3170M0.114112116*1RTF不含铜</t>
  </si>
  <si>
    <t>NY3170M0.114111067*2RTF不含铜</t>
  </si>
  <si>
    <t>NY3170M0.114HH2116*1RTF不含铜</t>
  </si>
  <si>
    <t>NY3170M0.127111067*2RTF不含铜</t>
  </si>
  <si>
    <t>NY3170M0.127121067*2RTF不含铜</t>
  </si>
  <si>
    <t>NY3170M0.127112116*1RTF不含铜</t>
  </si>
  <si>
    <t>NY3170M0.127122116*1RTF不含铜</t>
  </si>
  <si>
    <t>NY3170M0.127222116*1RTF不含铜</t>
  </si>
  <si>
    <t>NY3170M0.127221067*2RTF不含铜</t>
  </si>
  <si>
    <t>NY3170M0.127331067*2RTF不含铜</t>
  </si>
  <si>
    <t>NY3170M0.127111078*2RTF不含铜</t>
  </si>
  <si>
    <t>NY3170M0.127111080*2RTF不含铜</t>
  </si>
  <si>
    <t>NY3170M0.127121080*2RTF不含铜</t>
  </si>
  <si>
    <t>NY3170M0.127121078*2RTF不含铜</t>
  </si>
  <si>
    <t>NY3170M0.127221080*2RTF不含铜</t>
  </si>
  <si>
    <t>NY3170M0.127331078*2RTF不含铜</t>
  </si>
  <si>
    <t>NY3170M0.127HH1078*2RTF不含铜</t>
  </si>
  <si>
    <t>NY3170M0.152111078*2RTF不含铜</t>
  </si>
  <si>
    <t>NY3170M0.152111080*2RTF不含铜</t>
  </si>
  <si>
    <t>NY3170M0.152121078*2RTF不含铜</t>
  </si>
  <si>
    <t>NY3170M0.152121506*1RTF不含铜</t>
  </si>
  <si>
    <t>NY3170M0.152221078*2RTF不含铜</t>
  </si>
  <si>
    <t>NY3170M0.152221080*2RTF不含铜</t>
  </si>
  <si>
    <t>NY3170M0.178223313*2RTF不含铜</t>
  </si>
  <si>
    <t>NY3170M0.2031H2116*2RTF不含铜</t>
  </si>
  <si>
    <t>NY3170M0.203117628*1RTF不含铜</t>
  </si>
  <si>
    <t>NY3170M0.203112116*2RTF不含铜</t>
  </si>
  <si>
    <t>NY3170M0.203113313*2RTF不含铜</t>
  </si>
  <si>
    <t>NY3170M0.203123313*2RTF不含铜</t>
  </si>
  <si>
    <t>NY3170M0.203127628*1RTF不含铜</t>
  </si>
  <si>
    <t>NY3170M0.2031H3313*2RTF不含铜</t>
  </si>
  <si>
    <t>NY3170M0.203227628*1RTF不含铜</t>
  </si>
  <si>
    <t>NY3170M0.203222116*2RTF不含铜</t>
  </si>
  <si>
    <t>NY3170M0.203223313*2RTF不含铜</t>
  </si>
  <si>
    <t>NY3170M0.229222116*2RTF不含铜</t>
  </si>
  <si>
    <t>NY3170M0.229221080*3RTF不含铜</t>
  </si>
  <si>
    <t>NY3170M0.254112116*2RTF不含铜</t>
  </si>
  <si>
    <t>NY3170M0.254222116*2RTF不含铜</t>
  </si>
  <si>
    <t>NY3170M0.254H12116*2RTF不含铜</t>
  </si>
  <si>
    <t>2116*3</t>
  </si>
  <si>
    <t>NY3170M0.305112116*3RTF不含铜</t>
  </si>
  <si>
    <t>NY3170M0.305122116*3RTF不含铜</t>
  </si>
  <si>
    <t>NY3170M0.305222116*3RTF不含铜</t>
  </si>
  <si>
    <t>NY3170M0.305HH2116*3RTF不含铜</t>
  </si>
  <si>
    <t>NY3170M0.305H12116*3RTF不含铜</t>
  </si>
  <si>
    <t>NY3170M0.33221506*2RTF不含铜</t>
  </si>
  <si>
    <t>NY3170M0.356117628*2RTF不含铜</t>
  </si>
  <si>
    <t>NY3170M0.356222116*3RTF不含铜</t>
  </si>
  <si>
    <t>NY3170M0.381112116*3RTF不含铜</t>
  </si>
  <si>
    <t>NY3170M0.381122116*3RTF不含铜</t>
  </si>
  <si>
    <t>NY3170M0.381222116*3RTF不含铜</t>
  </si>
  <si>
    <t>NY3170M0.406117628*2RTF不含铜</t>
  </si>
  <si>
    <t>NY3170M0.457117628*2+2116*1RTF不含铜</t>
  </si>
  <si>
    <t>2116*4</t>
  </si>
  <si>
    <t>NY3170M0.457112116*4RTF不含铜</t>
  </si>
  <si>
    <t>NY3170M0.457222116*4RTF不含铜</t>
  </si>
  <si>
    <t>NY3170M0.457227628*2+2116*1RTF不含铜</t>
  </si>
  <si>
    <t>NY3170M0.508112116*5RTF不含铜</t>
  </si>
  <si>
    <t>NY3170M0.508112116*5RTF2不含铜</t>
  </si>
  <si>
    <t>NY3170M0.508222116*5RTF不含铜</t>
  </si>
  <si>
    <t>NY3170M0.533227628*3RTF不含铜</t>
  </si>
  <si>
    <t>NY3170M0.61HH2116*6RTF不含铜</t>
  </si>
  <si>
    <t>NY3170M0.61112116*6RTF不含铜</t>
  </si>
  <si>
    <t>NY3170M0.61222116*6RTF不含铜</t>
  </si>
  <si>
    <t>NY3170M0.71117628*4RTF不含铜</t>
  </si>
  <si>
    <t>NY3170M0.71112116*6RTF不含铜</t>
  </si>
  <si>
    <t>NY3170M0.89112116*9RTF2不含铜</t>
  </si>
  <si>
    <t>NY3170M0.96112116*9RTF含铜</t>
  </si>
  <si>
    <t>NY3170M0.96112116*9RTF2含铜</t>
  </si>
  <si>
    <t>2116*10</t>
  </si>
  <si>
    <t>NY3170M1HH2116*10RTF不含铜</t>
  </si>
  <si>
    <t>2116*11</t>
  </si>
  <si>
    <t>NY3170M1.23112116*11RTF不含铜</t>
  </si>
  <si>
    <t>2116*12</t>
  </si>
  <si>
    <t>NY3170M1.3112116*12RTF含铜</t>
  </si>
  <si>
    <t>NY3170M1.31117628*7RTF含铜</t>
  </si>
  <si>
    <t>NY3170M1.4227628*7RTF含铜</t>
  </si>
  <si>
    <t>NY3170M1.7117628*9HTE含铜</t>
  </si>
  <si>
    <t>NY3170M1.7HH7628*9HTE含铜</t>
  </si>
  <si>
    <t>NY3170M1.7HH7628*9RTF含铜</t>
  </si>
  <si>
    <t>2116*15</t>
  </si>
  <si>
    <t>NY3170M1.7HH2116*15HTE含铜</t>
  </si>
  <si>
    <t>NY3170M2.1117628*11RTF不含铜</t>
  </si>
  <si>
    <t>NY3170M2.1HH7628*11RTF不含铜</t>
  </si>
  <si>
    <t>NY3170M2</t>
  </si>
  <si>
    <t>NY3170M20.051HH106*1RTF不含铜</t>
  </si>
  <si>
    <t>NY3170M20.05311106*1RTF2不含铜</t>
  </si>
  <si>
    <t>NY3170M20.064111078*1RTF2不含铜</t>
  </si>
  <si>
    <t>NY3170M20.064H11078*1RTF2不含铜</t>
  </si>
  <si>
    <t>NY3170M20.064HH1078*1RTF2不含铜</t>
  </si>
  <si>
    <t>NY3170M20.064HH1080*1RTF2不含铜</t>
  </si>
  <si>
    <t>银杉项目专项</t>
  </si>
  <si>
    <t>NY3170M20.076221078*1RTF不含铜</t>
  </si>
  <si>
    <t>NY3170M20.076H11078*1RTF2不含铜</t>
  </si>
  <si>
    <t>RTF3</t>
  </si>
  <si>
    <t>NY3170M20.076HH1078*1RTF3不含铜</t>
  </si>
  <si>
    <t>NY3170M20.076H11078*1RTF3不含铜</t>
  </si>
  <si>
    <t>NY3170M20.076HH1078*1RTF2不含铜</t>
  </si>
  <si>
    <t>NY3170M20.076121078*1RTF不含铜</t>
  </si>
  <si>
    <t>NY3170M20.076111078*1RTF2不含铜</t>
  </si>
  <si>
    <t>NY3170M20.076111080*1RTF2不含铜</t>
  </si>
  <si>
    <t>NY3170M20.076HH1080*1RTF2不含铜</t>
  </si>
  <si>
    <t>NY3170M20.089111078*1RTF2不含铜</t>
  </si>
  <si>
    <t>2113*1</t>
  </si>
  <si>
    <t>NY3170M20.089112113*1RTF不含铜</t>
  </si>
  <si>
    <t>NY3170M20.089112113*1RTF2不含铜</t>
  </si>
  <si>
    <t>NY3170M20.089113313*1RTF2不含铜</t>
  </si>
  <si>
    <t>NY3170M20.089123313*1RTF不含铜</t>
  </si>
  <si>
    <t>NY3170M20.089123313*1RTF2不含铜</t>
  </si>
  <si>
    <t>NY3170M20.089HH2113*1RTF2不含铜</t>
  </si>
  <si>
    <t>NY3170M20.102HH106*2RTF2不含铜</t>
  </si>
  <si>
    <t>NY3170M20.102112116*1RTF2不含铜</t>
  </si>
  <si>
    <t>NY3170M20.102HH3313*1RTF不含铜</t>
  </si>
  <si>
    <t>NY3170M20.102113313*1RTF2不含铜</t>
  </si>
  <si>
    <t>NY3170M20.102HH1067*2RTF不含铜</t>
  </si>
  <si>
    <t>NY3170M20.102111067*2RTF2不含铜</t>
  </si>
  <si>
    <t>NY3170M20.102111086*1RTF2不含铜</t>
  </si>
  <si>
    <t>NY3170M20.102121067*2RTF不含铜</t>
  </si>
  <si>
    <t>NY3170M20.102123313*1RTF不含铜</t>
  </si>
  <si>
    <t>NY3170M20.102H1106*2RTF2不含铜</t>
  </si>
  <si>
    <t>NY3170M20.10222106*2RTF不含铜</t>
  </si>
  <si>
    <t>NY3170M20.114113313*1RTF2不含铜</t>
  </si>
  <si>
    <t>NY3170M20.114H11067*2RTF2不含铜</t>
  </si>
  <si>
    <t>NY3170M20.114111067*2RTF2不含铜</t>
  </si>
  <si>
    <t>NY3170M20.127122116*1RTF不含铜</t>
  </si>
  <si>
    <t>NY3170M20.127HH1078*2RTF2不含铜</t>
  </si>
  <si>
    <t>NY3170M20.127H21078*2RTF2/RTF不含铜</t>
  </si>
  <si>
    <t>NY3170M20.127111078*2RTF2不含铜</t>
  </si>
  <si>
    <t>NY3170M20.127111080*2RTF2不含铜</t>
  </si>
  <si>
    <t>NY3170M20.13112116*1RTF2不含铜</t>
  </si>
  <si>
    <t>NY3170M20.13111086*1RTF2不含铜</t>
  </si>
  <si>
    <t>0.13(0.127)</t>
  </si>
  <si>
    <t>NY3170M20.13(0.127)122116*1RTF2/RTF不含铜</t>
  </si>
  <si>
    <t>NY3170M20.13222116*1RTF不含铜</t>
  </si>
  <si>
    <t>NY3170M20.14221078*2RTF不含铜</t>
  </si>
  <si>
    <t>NY3170M20.152H11506*1RTF不含铜</t>
  </si>
  <si>
    <t>NY3170M20.152111078*2RTF2不含铜</t>
  </si>
  <si>
    <t>NY3170M20.152121506*1RTF不含铜</t>
  </si>
  <si>
    <t>NY3170M20.152221078*2RTF不含铜</t>
  </si>
  <si>
    <t>NY3170M20.152HH1506*2RTF不含铜</t>
  </si>
  <si>
    <t>NY3170M20.152HH1080*2RTF不含铜</t>
  </si>
  <si>
    <t>NY3170M20.152121080*2RTF不含铜</t>
  </si>
  <si>
    <t>NY3170M20.203123313*2RTF不含铜</t>
  </si>
  <si>
    <t>NY3170M20.203112116*2RTF2不含铜</t>
  </si>
  <si>
    <t>NY3170M20.254HH2116*2RTF不含铜</t>
  </si>
  <si>
    <t>NY3170M20.254H12116*2RTF不含铜</t>
  </si>
  <si>
    <t>NY3170M20.254222116*2RTF不含铜</t>
  </si>
  <si>
    <t>NY3170M20.305111506*2RTF2不含铜</t>
  </si>
  <si>
    <t>NY3170M20.305221506*2RTF不含铜</t>
  </si>
  <si>
    <t>NY3170M20.381112116*3RTF不含铜</t>
  </si>
  <si>
    <t>NY3170M20.381HH2116*3RTF不含铜</t>
  </si>
  <si>
    <t>NY3170M20.381HH2116*3RTF2不含铜</t>
  </si>
  <si>
    <t>NY3170M20.381222116*3RTF不含铜</t>
  </si>
  <si>
    <t>3313*4</t>
  </si>
  <si>
    <t>NY3170M20.381223313*4RTF不含铜</t>
  </si>
  <si>
    <t>NY3170M20.4117628*2RTF2不含铜</t>
  </si>
  <si>
    <t>NY3170M20.457112116*4RTF2不含铜</t>
  </si>
  <si>
    <t>NY3170M20.457112116*4RTF不含铜</t>
  </si>
  <si>
    <t>NY3170M20.508227628*2+2116*1RTF不含铜</t>
  </si>
  <si>
    <t>NY3170M20.508223313*4RTF不含铜</t>
  </si>
  <si>
    <t>NY3170M20.508117628*2+2116*1RTF2不含铜</t>
  </si>
  <si>
    <t>NY3170M20.61HH2116*6RTF不含铜</t>
  </si>
  <si>
    <t>NY3170M20.61HH7628*3RTF不含铜</t>
  </si>
  <si>
    <t>2*2116+2*7628</t>
  </si>
  <si>
    <t>NY3170M20.635112*2116+2*7628RTF2不含铜</t>
  </si>
  <si>
    <t>NY3170M20.711HH2116*7RTF不含铜</t>
  </si>
  <si>
    <t>NY3170M20.711HH7628*3RTF不含铜</t>
  </si>
  <si>
    <t>NY3170M20.711222116*7RTF不含铜</t>
  </si>
  <si>
    <t>NY3170M21H17628*5RTF2不含铜</t>
  </si>
  <si>
    <t>NY3170M21.067HH2116*10RTF2不含铜</t>
  </si>
  <si>
    <t>NY3170M21.5117628*5RTF2不含铜</t>
  </si>
  <si>
    <t>5*2116</t>
  </si>
  <si>
    <t>NY3170M20.508115*2116RTF2不含铜</t>
  </si>
  <si>
    <t>NY3170M20.508225*2116RTF不含铜</t>
  </si>
  <si>
    <t>NY6180</t>
  </si>
  <si>
    <t>NY61800.076111080*1RTF不含铜</t>
  </si>
  <si>
    <t>NY61800.089111027*2RTF不含铜</t>
  </si>
  <si>
    <t>NY61800.089121027*2RTF不含铜</t>
  </si>
  <si>
    <t>NY61800.089221027*2RTF不含铜</t>
  </si>
  <si>
    <t>NY61800.102113313*1RTF不含铜</t>
  </si>
  <si>
    <t>NY61800.102111067*2RTF不含铜</t>
  </si>
  <si>
    <t>NY61800.10244106*2RTF不含铜</t>
  </si>
  <si>
    <t>NY61800.102HH3313*1RTF不含铜</t>
  </si>
  <si>
    <t>NY61800.102HH1067*2RTF不含铜</t>
  </si>
  <si>
    <t>NY61800.102HH106*2RTF不含铜</t>
  </si>
  <si>
    <t>NY61800.102H11067*2RTF不含铜</t>
  </si>
  <si>
    <t>NY61800.102121067*2RTF不含铜</t>
  </si>
  <si>
    <t>NY61800.114HH1067*2RTF不含铜</t>
  </si>
  <si>
    <t>NY61800.114HH2116*1RTF不含铜</t>
  </si>
  <si>
    <t>NY61800.114112116*1RTF不含铜</t>
  </si>
  <si>
    <t>NY61800.127112116*1RTF不含铜</t>
  </si>
  <si>
    <t>NY61800.127H12116*1RTF不含铜</t>
  </si>
  <si>
    <t>NY61800.127HH2116*1RTF不含铜</t>
  </si>
  <si>
    <t>NY61800.127111080*2RTF不含铜</t>
  </si>
  <si>
    <t>NY61800.127HH1080*2RTF不含铜</t>
  </si>
  <si>
    <t>NY61800.152221078*2RTF不含铜</t>
  </si>
  <si>
    <t>NY61800.152111080*2RTF不含铜</t>
  </si>
  <si>
    <t>NY61800.254HH2116*2RTF不含铜</t>
  </si>
  <si>
    <t>NY61800.381HH2116*3RTF不含铜</t>
  </si>
  <si>
    <t>NY61800.381112116*3RTF不含铜</t>
  </si>
  <si>
    <t>NY61800.381222116*3RTF不含铜</t>
  </si>
  <si>
    <t>NY61800.508112116*4RTF不含铜</t>
  </si>
  <si>
    <t>NY61800.61132116*5RTF不含铜</t>
  </si>
  <si>
    <t>NY61800.66112116*5RTF不含铜</t>
  </si>
  <si>
    <t>NY61800.66HH1080*2RTF不含铜</t>
  </si>
  <si>
    <t>NY61800.762112116*6RTF不含铜</t>
  </si>
  <si>
    <t>NY61800.762222116*6RTF不含铜</t>
  </si>
  <si>
    <t>NY61801112116*8RTF含铜</t>
  </si>
  <si>
    <t>NY61801.27112116*10RTF含铜</t>
  </si>
  <si>
    <t>NY61801.34112116*10RTF含铜</t>
  </si>
  <si>
    <t>NY61801.4HH2116*11RTF不含铜</t>
  </si>
  <si>
    <t>NY61801.4HH2116*1RTF不含铜</t>
  </si>
  <si>
    <t>2116*13</t>
  </si>
  <si>
    <t>NY61801.645112116*13RTF含铜</t>
  </si>
  <si>
    <t>NY6180HF</t>
  </si>
  <si>
    <t>NY6180HF0.076121080*1RTF含铜</t>
  </si>
  <si>
    <t>NY6180L</t>
  </si>
  <si>
    <t>NY6180L0.076H11080*1RTF2不含铜</t>
  </si>
  <si>
    <t>NY6180L0.089111037*2RTF2不含铜</t>
  </si>
  <si>
    <t>NY6180L0.089111027*2RTF2不含铜</t>
  </si>
  <si>
    <t>NY6180L0.089221027*2RTF2不含铜</t>
  </si>
  <si>
    <t>RTF/RTF2</t>
  </si>
  <si>
    <t>NY6180L0.089121037*2RTF/RTF2不含铜</t>
  </si>
  <si>
    <t>NY6180L0.102HH3313*1RTF2不含铜</t>
  </si>
  <si>
    <t>NY6180L0.102113313*1RTF2不含铜</t>
  </si>
  <si>
    <t>NY6180L0.102111035*2RTF2不含铜</t>
  </si>
  <si>
    <t>NY6180L0.102111067*2RTF不含铜</t>
  </si>
  <si>
    <t>NY6180L0.102111067*2RTF2不含铜</t>
  </si>
  <si>
    <t>NY6180L0.102221067*2RTF不含铜</t>
  </si>
  <si>
    <t>NY6180L0.102HH1067*2RTF2不含铜</t>
  </si>
  <si>
    <t>NY6180L0.102H11035*2RTF2不含铜</t>
  </si>
  <si>
    <t>NY6180L0.102H11067*2RTF2不含铜</t>
  </si>
  <si>
    <t>NY6180L0.114111067*2RTF2不含铜</t>
  </si>
  <si>
    <t>NY6180L0.127112116*1RTF2不含铜</t>
  </si>
  <si>
    <t>NY6180L0.127121078*2RTF2/RTF不含铜</t>
  </si>
  <si>
    <t>NY6180L0.127111078*2RTF2不含铜</t>
  </si>
  <si>
    <t>NY6180L0.127111080*2RTF2不含铜</t>
  </si>
  <si>
    <t>NY6180L0.127112116*1RTF3不含铜</t>
  </si>
  <si>
    <t>NY6180L0.127222116*1RTF不含铜</t>
  </si>
  <si>
    <t>NY6180L0.14111078*2RTF2不含铜</t>
  </si>
  <si>
    <t>NY6180L0.14111080*2RTF2不含铜</t>
  </si>
  <si>
    <t>NY6180L0.152111080*2RTF2不含铜</t>
  </si>
  <si>
    <t>NY6180L0.152HH1080*2RTF2不含铜</t>
  </si>
  <si>
    <t>NY6180L0.152HH1078*2RTF2不含铜</t>
  </si>
  <si>
    <t>NY6180L0.152H11080*2RTF2不含铜</t>
  </si>
  <si>
    <t>NY6180L0.305112116*3RTF2不含铜</t>
  </si>
  <si>
    <t>NY6180L0.406112116*4RTF2不含铜</t>
  </si>
  <si>
    <t>NY6180L0.508112116*5RTF2不含铜</t>
  </si>
  <si>
    <t>NY6180L0.508HH2116*5RTF2不含铜</t>
  </si>
  <si>
    <t>NY6180L0.559112116*5RTF2不含铜</t>
  </si>
  <si>
    <t>NY6180L0.61HH7628*3RTF2不含铜</t>
  </si>
  <si>
    <t>NY6180L0.61HH7628*3RTF3不含铜</t>
  </si>
  <si>
    <t>NY6180L0.711112116*7RTF2不含铜</t>
  </si>
  <si>
    <t>NY6180L1.2112116*10RTF2含铜</t>
  </si>
  <si>
    <t>NY6200</t>
  </si>
  <si>
    <t>1035*1</t>
  </si>
  <si>
    <t>NY62000.076121035*1RTF2/RTF不含铜</t>
  </si>
  <si>
    <t>NY62000.076111078*1RTF2不含铜</t>
  </si>
  <si>
    <t>NY62000.076221080*1RTF不含铜</t>
  </si>
  <si>
    <t>NY62000.076HH1086*1RTF不含铜</t>
  </si>
  <si>
    <t>NY62000.076HH1078*1RTF2不含铜</t>
  </si>
  <si>
    <t>NY62000.076HH1080*1RTF不含铜</t>
  </si>
  <si>
    <t>NY62000.076H11078*1RTF2不含铜</t>
  </si>
  <si>
    <t>NY62000.089HH1067*2RTF不含铜</t>
  </si>
  <si>
    <t>NY62000.089111067*2RTF2不含铜</t>
  </si>
  <si>
    <t>NY62000.089123313*1RTF2/RTF不含铜</t>
  </si>
  <si>
    <t>NY62000.091123313*1RTF2/RTF不含铜</t>
  </si>
  <si>
    <t>NY62000.102111067*2RTF2不含铜</t>
  </si>
  <si>
    <t>NY62000.102111067*2RTF不含铜</t>
  </si>
  <si>
    <t>NY62000.102221067*2RTF不含铜</t>
  </si>
  <si>
    <t>NY62000.102113313*1RTF2不含铜</t>
  </si>
  <si>
    <t>NY62000.102HH1067*2RTF2不含铜</t>
  </si>
  <si>
    <t>NY62000.102HH1067*2RTF不含铜</t>
  </si>
  <si>
    <t>NY62000.102H11067*2RTF不含铜</t>
  </si>
  <si>
    <t>NY62000.114112116*1RTF不含铜</t>
  </si>
  <si>
    <t>NY62000.114111067*2RTF不含铜</t>
  </si>
  <si>
    <t>NY62000.127111078*2RTF不含铜</t>
  </si>
  <si>
    <t>NY62000.127111078*2RTF2不含铜</t>
  </si>
  <si>
    <t>NY62000.127221078*2RTF不含铜</t>
  </si>
  <si>
    <t>NY62000.127HH1078*2RTF不含铜</t>
  </si>
  <si>
    <t>NY62000.127HH1078*2RTF2不含铜</t>
  </si>
  <si>
    <t>NY62000.127HH1080*2RTF不含铜</t>
  </si>
  <si>
    <t>NY62000.127HH1080*2RTF2不含铜</t>
  </si>
  <si>
    <t>NY62000.127111080*2RTF2不含铜</t>
  </si>
  <si>
    <t>NY62000.132111080*2RTF不含铜</t>
  </si>
  <si>
    <t>NY62000.152111080*2RTF2不含铜</t>
  </si>
  <si>
    <t>NY62000.152111080*2RTF不含铜</t>
  </si>
  <si>
    <t>NY62000.152HH1080*2RTF不含铜</t>
  </si>
  <si>
    <t>NY62000.152111078*2RTF2不含铜</t>
  </si>
  <si>
    <t>NY62000.178113313*2RTF不含铜</t>
  </si>
  <si>
    <t>NY62000.203113313*2HTE不含铜</t>
  </si>
  <si>
    <t>NY62000.203113313*2RTF不含铜</t>
  </si>
  <si>
    <t>NY62000.203113313*2RTF2不含铜</t>
  </si>
  <si>
    <t>NY62000.203223313*2RTF不含铜</t>
  </si>
  <si>
    <t>NY62000.254112116*2RTF2不含铜</t>
  </si>
  <si>
    <t>NY62000.254112116*2RTF不含铜</t>
  </si>
  <si>
    <t>NY62000.305112116*3RTF2不含铜</t>
  </si>
  <si>
    <t>NY62000.305112116*3RTF不含铜</t>
  </si>
  <si>
    <t>NY62000.305222116*3RTF不含铜</t>
  </si>
  <si>
    <t>NY62000.457HH2116*4RTF不含铜</t>
  </si>
  <si>
    <t>NY62000.508112116*5RTF2不含铜</t>
  </si>
  <si>
    <t>NY62000.762112116*7RTF不含铜</t>
  </si>
  <si>
    <t>NY62001.086112116*9RTF含铜</t>
  </si>
  <si>
    <t>NY62001.155HH2116*10RTF含铜</t>
  </si>
  <si>
    <t>NY6288</t>
  </si>
  <si>
    <t>NY62880.089HH3313*1RTF2不含铜</t>
  </si>
  <si>
    <t>NY62880.102HH1067*2RTF2不含铜</t>
  </si>
  <si>
    <t>NY62880.152221080*2RTF不含铜</t>
  </si>
  <si>
    <t>NY62880.152221080*2RTF2不含铜</t>
  </si>
  <si>
    <t>NY62880.152HH1080*2RTF2不含铜</t>
  </si>
  <si>
    <t>NY6288HH2116*1RTF2不含铜</t>
  </si>
  <si>
    <t>NY6288HH1080*2RTF2不含铜</t>
  </si>
  <si>
    <t>NY6300</t>
  </si>
  <si>
    <t>HVLP</t>
  </si>
  <si>
    <t>NY63000.064111078*1HVLP不含铜</t>
  </si>
  <si>
    <t>NY63000.076111078*1HVLP不含铜</t>
  </si>
  <si>
    <t>NY63000.076111078*1RTF2不含铜</t>
  </si>
  <si>
    <t>NY63000.076221080*1RTF不含铜</t>
  </si>
  <si>
    <t>NY63000.076221078*1RTF不含铜</t>
  </si>
  <si>
    <t>NY63000.076HH1078*1HVLP不含铜</t>
  </si>
  <si>
    <t>NY63000.076H11078*1HVLP不含铜</t>
  </si>
  <si>
    <t>NY63000.089HH1035*2HVLP不含铜</t>
  </si>
  <si>
    <t>NY63000.089111035*2HVLP不含铜</t>
  </si>
  <si>
    <t>NY63000.089221035*2RTF不含铜</t>
  </si>
  <si>
    <t>NY63000.102113313*1HVLP不含铜</t>
  </si>
  <si>
    <t>NY63000.102111035*2RTF2不含铜</t>
  </si>
  <si>
    <t>NY63000.102111035*2HVLP不含铜</t>
  </si>
  <si>
    <t>NY63000.1021H3313*1HVLP不含铜</t>
  </si>
  <si>
    <t>HVLP /RTF</t>
  </si>
  <si>
    <t>NY63000.102121035*2HVLP /RTF不含铜</t>
  </si>
  <si>
    <t>NY63000.102223313*1RTF不含铜</t>
  </si>
  <si>
    <t>NY63000.102221035*2RTF不含铜</t>
  </si>
  <si>
    <t>NY63000.102HH1080*1HVLP不含铜</t>
  </si>
  <si>
    <t>3313×1</t>
  </si>
  <si>
    <t>NY63000.102HH3313×1HVLP不含铜</t>
  </si>
  <si>
    <t>NY63000.102HH1035*2HVLP不含铜</t>
  </si>
  <si>
    <t>NY63000.102H11035*2HVLP不含铜</t>
  </si>
  <si>
    <t>NY63000.114111067*2HVLP不含铜</t>
  </si>
  <si>
    <t>NY63000.127112116*1HVLP不含铜</t>
  </si>
  <si>
    <t>NY63000.127111078*2HVLP不含铜</t>
  </si>
  <si>
    <t>NY63000.127111080*2HVLP不含铜</t>
  </si>
  <si>
    <t>HVLP/RTF</t>
  </si>
  <si>
    <t>NY63000.127121078*2HVLP/RTF不含铜</t>
  </si>
  <si>
    <t>NY63000.127221078*2RTF不含铜</t>
  </si>
  <si>
    <t>NY63000.127HH2116*1HVLP不含铜</t>
  </si>
  <si>
    <t>NY63000.127HH1080*2HVLP不含铜</t>
  </si>
  <si>
    <t>NY63000.127HH1078*2HVLP不含铜</t>
  </si>
  <si>
    <t>NY63000.127H11078*2HVLP不含铜</t>
  </si>
  <si>
    <t>NY63000.145HH1078*2HVLP不含铜</t>
  </si>
  <si>
    <t>NY63000.145111078*2HVLP不含铜</t>
  </si>
  <si>
    <t>NY63000.145121078*2HVLP/RTF不含铜</t>
  </si>
  <si>
    <t>NY63000.145H11078*2HVLP不含铜</t>
  </si>
  <si>
    <t>NY62000.15111078*2RTF不含铜</t>
  </si>
  <si>
    <t>NY63000.15111078*2HVLP不含铜</t>
  </si>
  <si>
    <t>NY63000.15221078*2HVLP不含铜</t>
  </si>
  <si>
    <t>NY63000.152221080*2RTF不含铜</t>
  </si>
  <si>
    <t>NY63000.152111078*2HVLP不含铜</t>
  </si>
  <si>
    <t>NY63000.152111080*2HVLP不含铜</t>
  </si>
  <si>
    <t>NY63000.152121080*2RTF不含铜</t>
  </si>
  <si>
    <t>NY63000.152HH1080*2HVLP不含铜</t>
  </si>
  <si>
    <t>NY63000.152HH1078*2HVLP不含铜</t>
  </si>
  <si>
    <t>NY63000.178111078*2HVLP不含铜</t>
  </si>
  <si>
    <t>NY63000.178HH1078*2HVLP不含铜</t>
  </si>
  <si>
    <t>NY63000.203113313*2HVLP不含铜</t>
  </si>
  <si>
    <t>NY63000.203H13313*2HVLP不含铜</t>
  </si>
  <si>
    <t>NY63000.203HH3313*2HVLP不含铜</t>
  </si>
  <si>
    <t>NY63000.23222116*2RTF不含铜</t>
  </si>
  <si>
    <t>NY63000.254HH2116*2HVLP不含铜</t>
  </si>
  <si>
    <t>NY63000.254222116*2RTF不含铜</t>
  </si>
  <si>
    <t>NY63000.305HH3313*3HVLP不含铜</t>
  </si>
  <si>
    <t>NY63000.356HH2116*3HVLP不含铜</t>
  </si>
  <si>
    <t>NY63000.356112116*3HVLP不含铜</t>
  </si>
  <si>
    <t>NY63000.406113313*4HVLP不含铜</t>
  </si>
  <si>
    <t>NY63000.406HH3313*4HVLP不含铜</t>
  </si>
  <si>
    <t>NY63000.508112116*5HVLP不含铜</t>
  </si>
  <si>
    <t>NY63000.508HH2116*5HVLP不含铜</t>
  </si>
  <si>
    <t>NY63000.635112116*6HVLP不含铜</t>
  </si>
  <si>
    <t>NY63000.635HH2116*6HVLP不含铜</t>
  </si>
  <si>
    <t>NY63000.762112116*7HVLP不含铜</t>
  </si>
  <si>
    <t>NY63000.762HH2116*9HVLP不含铜</t>
  </si>
  <si>
    <t>NY63001.118HH2116*11HVLP不含铜</t>
  </si>
  <si>
    <t>NY63001.27112116*11HVLP不含铜</t>
  </si>
  <si>
    <t>11*2116</t>
  </si>
  <si>
    <t>NY63001.153HH11*2116HVLP含铜</t>
  </si>
  <si>
    <t>14*2116</t>
  </si>
  <si>
    <t>NY63001.51114*2116HVLP含铜</t>
  </si>
  <si>
    <t>NY63001.67HH2116*15HVLP不含铜</t>
  </si>
  <si>
    <t>NY63000.711HH2116*6HVLP不含铜</t>
  </si>
  <si>
    <t>NY63000.102111067*2HVLP不含铜</t>
  </si>
  <si>
    <t>NY6300S</t>
  </si>
  <si>
    <t>NY6300S0.05111106*1RTF2不含铜</t>
  </si>
  <si>
    <t>NY6300S0.051HH1078*1RTF2不含铜</t>
  </si>
  <si>
    <t>NY6300S0.064221078*1RTF不含铜</t>
  </si>
  <si>
    <t>NY6300S0.064111078*1RTF2不含铜</t>
  </si>
  <si>
    <t>NY6300S0.064121078*1RTF不含铜</t>
  </si>
  <si>
    <t>NY6300S0.064111078*1RTF3不含铜</t>
  </si>
  <si>
    <t>NY6300S0.064HH1078*1RTF3不含铜</t>
  </si>
  <si>
    <t>NY6300S0.064HH1078*1RTF不含铜</t>
  </si>
  <si>
    <t>NY6300S0.076H11078*1RTF2不含铜</t>
  </si>
  <si>
    <t>NY6300S0.075221080*1RTF不含铜</t>
  </si>
  <si>
    <t>NY6300S0.076111078*1RTF2不含铜</t>
  </si>
  <si>
    <t>银杉项目</t>
  </si>
  <si>
    <t>NY6300S0.076111078*1RTF不含铜</t>
  </si>
  <si>
    <t>NY6300S0.076111078*1RTF3不含铜</t>
  </si>
  <si>
    <t>NY6300S0.076121078*1RTF不含铜</t>
  </si>
  <si>
    <t>NY6300S0.076121078*1HVLP/RTF不含铜</t>
  </si>
  <si>
    <t>NY6300S0.076121078*1RTF2/RTF不含铜</t>
  </si>
  <si>
    <t>NY6300S0.076111078*1HVLP不含铜</t>
  </si>
  <si>
    <t>RTF3/RTF</t>
  </si>
  <si>
    <t>NY6300S0.076121078*1RTF3/RTF不含铜</t>
  </si>
  <si>
    <t>NY6300S0.076121027*2RTF2/RTF不含铜</t>
  </si>
  <si>
    <t>NY6300S0.076121027*2RTF不含铜</t>
  </si>
  <si>
    <t>RTF4</t>
  </si>
  <si>
    <t>NY6300S0.076111035*1RTF4不含铜</t>
  </si>
  <si>
    <t>NY6300S0.076221078*1RTF不含铜</t>
  </si>
  <si>
    <t>NY6300S0.076221027*2RTF不含铜</t>
  </si>
  <si>
    <t>NY6300S0.089111078*1RTF2不含铜</t>
  </si>
  <si>
    <t>NY6300S0.089121080*1RTF3/RTF不含铜</t>
  </si>
  <si>
    <t>NY6300S0.089121078*1RTF3/RTF不含铜</t>
  </si>
  <si>
    <t>NY6300S0.089221078*1RTF不含铜</t>
  </si>
  <si>
    <t>NY6300S0.076HH1035*1HVLP不含铜</t>
  </si>
  <si>
    <t>NY6300S0.076HH1078*1RTF3不含铜</t>
  </si>
  <si>
    <t>银杉专项价格</t>
  </si>
  <si>
    <t>NY6300S0.076HH1078*1RTF2不含铜</t>
  </si>
  <si>
    <t>HVLP3</t>
  </si>
  <si>
    <t>NY6300S0.102113313*1HVLP3不含铜</t>
  </si>
  <si>
    <t>NY6300S0.102113313*1RTF3不含铜</t>
  </si>
  <si>
    <t>NY6300S0.102123313*1RTF3/RTF不含铜</t>
  </si>
  <si>
    <t>NY6300S0.102113313*1RTF2不含铜</t>
  </si>
  <si>
    <t>NY6300S0.1021H3313*1HVLP不含铜</t>
  </si>
  <si>
    <t>NY6300S0.102221078*1RTF不含铜</t>
  </si>
  <si>
    <t>NY6300S0.1021H1078*1RTF不含铜</t>
  </si>
  <si>
    <t>NY6300S0.1021H1078*1RTF2不含铜</t>
  </si>
  <si>
    <t>NY6300S0.1021H1078*1RTF3不含铜</t>
  </si>
  <si>
    <t>NY6300S0.102111035*2RTF2不含铜</t>
  </si>
  <si>
    <t>辽河、洛河</t>
  </si>
  <si>
    <t>NY6300S0.102111078*1RTF2不含铜</t>
  </si>
  <si>
    <t>洛河/辽河</t>
  </si>
  <si>
    <t>NY6300S0.102123313*1RTF不含铜</t>
  </si>
  <si>
    <t>NY6300S0.102111078*1RTF3不含铜</t>
  </si>
  <si>
    <t>HVLP1</t>
  </si>
  <si>
    <t>NY6300S0.102111035*2HVLP1不含铜</t>
  </si>
  <si>
    <t>NY6300S0.102111035*2RTF4不含铜</t>
  </si>
  <si>
    <t>NY6300S0.102111078*1RTF不含铜</t>
  </si>
  <si>
    <t>NY6300S0.102121035*2RTF不含铜</t>
  </si>
  <si>
    <t>NY6300S0.102111035*2RTF3不含铜</t>
  </si>
  <si>
    <t>NY6300S0.102121078*1RTF不含铜</t>
  </si>
  <si>
    <t>NY6300S0.102121078*1RTF3/RTF不含铜</t>
  </si>
  <si>
    <t>NY6300S0.102121078*1RTF2/RTF不含铜</t>
  </si>
  <si>
    <t>NY6300S0.102123313*1RTF2/RTF不含铜</t>
  </si>
  <si>
    <t>NY6300S0.102121035*2RTF2/RTF不含铜</t>
  </si>
  <si>
    <t>NY6300S0.102111078*1RTF4不含铜</t>
  </si>
  <si>
    <t>NY6300S0.102121035*2RTF3/RTF不含铜</t>
  </si>
  <si>
    <t>NY6300S0.102221035*2RTF不含铜</t>
  </si>
  <si>
    <t>NY6300S0.102223313*1RTF不含铜</t>
  </si>
  <si>
    <t>NY6300S0.102221067*2RTF不含铜</t>
  </si>
  <si>
    <t>NY6300S0.102231067*2RTF不含铜</t>
  </si>
  <si>
    <t>NY6300S0.102HH3313*1HVLP不含铜</t>
  </si>
  <si>
    <t>NY6300S0.102HH3313*1RTF不含铜</t>
  </si>
  <si>
    <t>NY6300S0.102HH1078*1RTF3不含铜</t>
  </si>
  <si>
    <t>NY6300S0.102HH1078*1RTF2不含铜</t>
  </si>
  <si>
    <t>NY6300S0.102HH1035*2RTF3不含铜</t>
  </si>
  <si>
    <t>NY6300S0.102HH1035*2HVLP不含铜</t>
  </si>
  <si>
    <t>NY6300S0.102HH1035*2RTF2不含铜</t>
  </si>
  <si>
    <t>NY6300S0.089221037*2RTF不含铜</t>
  </si>
  <si>
    <t>NY6300S0.127112116*1HVLP不含铜</t>
  </si>
  <si>
    <t>NY6300S0.127121080*2HVLP/RTF不含铜</t>
  </si>
  <si>
    <t>NY6300S0.127121078*2HVLP/RTF不含铜</t>
  </si>
  <si>
    <t>NY6300S0.127122116*1HVLP/RTF不含铜</t>
  </si>
  <si>
    <t>NY6300S0.127111080*2RTF2不含铜</t>
  </si>
  <si>
    <t>NY6300S0.127111078*2RTF2不含铜</t>
  </si>
  <si>
    <t>RTF2、RTF</t>
  </si>
  <si>
    <t>NY6300S0.127121078*2RTF2、RTF不含铜</t>
  </si>
  <si>
    <t>NY6300S0.127112116*1RTF2不含铜</t>
  </si>
  <si>
    <t>NY6300S0.127221067*2RTF不含铜</t>
  </si>
  <si>
    <t>NY6300S0.127221078*2RTF不含铜</t>
  </si>
  <si>
    <t>NY6300S0.127222116*1RTF不含铜</t>
  </si>
  <si>
    <t>NY6300S0.127113313*1RTF2不含铜</t>
  </si>
  <si>
    <t>NY6300S0.127111067*2RTF3不含铜</t>
  </si>
  <si>
    <t>NY6300S0.127111078*2RTF4不含铜</t>
  </si>
  <si>
    <t>NY6300S0.127HH2116*1RTF2不含铜</t>
  </si>
  <si>
    <t>NY6300S0.127H12116*1RTF2不含铜</t>
  </si>
  <si>
    <t>NY6300S0.127H12116*1HVLP不含铜</t>
  </si>
  <si>
    <t>NY6300S0.127HH1078*2RTF2不含铜</t>
  </si>
  <si>
    <t>NY6300S0.152111078*2RTF3不含铜</t>
  </si>
  <si>
    <t>NY6300S0.152111078*2HVLP不含铜</t>
  </si>
  <si>
    <t>NY6300S0.152111078*2RTF2不含铜</t>
  </si>
  <si>
    <t>NY6300S0.152111080*2HVLP3不含铜</t>
  </si>
  <si>
    <t>NY6300S0.152111078*2RTF4不含铜</t>
  </si>
  <si>
    <t>NY6300S0.152221080*2RTF不含铜</t>
  </si>
  <si>
    <t>NY6300S0.152221078*2RTF不含铜</t>
  </si>
  <si>
    <t>NY6300S0.152121080*2RTF2/RTF不含铜</t>
  </si>
  <si>
    <t>NY6300S0.178121078*2RTF2/RTF不含铜</t>
  </si>
  <si>
    <t>NY6300S0.178111078*2RTF3不含铜</t>
  </si>
  <si>
    <t>NY6300S0.178111078*2RTF2不含铜</t>
  </si>
  <si>
    <t>NY6300S0.178221078*2RTF不含铜</t>
  </si>
  <si>
    <t>NY6300S0.2HH3313*2RTF2不含铜</t>
  </si>
  <si>
    <t>NY6300S0.203223313*2RTF不含铜</t>
  </si>
  <si>
    <t>NY6300S0.203113313*2RTF不含铜</t>
  </si>
  <si>
    <t>NY6300S0.203113313*2RTF2不含铜</t>
  </si>
  <si>
    <t>NY6300S0.203123313*2RTF2/RTF不含铜</t>
  </si>
  <si>
    <t>NY6300S0.203HH3313*2RTF不含铜</t>
  </si>
  <si>
    <t>NY6300S0.203HH3313*2RTF2不含铜</t>
  </si>
  <si>
    <t>NY6300S0.203HH3313*2HVLP不含铜</t>
  </si>
  <si>
    <t>NY6300S0.203H13313*2RTF2不含铜</t>
  </si>
  <si>
    <t>NY6300S0.254211080*2RTF2/RTF不含铜</t>
  </si>
  <si>
    <t>NY6300S0.254212116*2RTF不含铜</t>
  </si>
  <si>
    <t>NY6300S0.305113313*3RTF2不含铜</t>
  </si>
  <si>
    <t>NY6300S0.305123313*3RTF2/RTF不含铜</t>
  </si>
  <si>
    <t>NY6300S0.305HH3313*3RTF不含铜</t>
  </si>
  <si>
    <t>NY6300S0.305223313*3RTF不含铜</t>
  </si>
  <si>
    <t>NY6300S0.305HH3313*3RTF2不含铜</t>
  </si>
  <si>
    <t>NY6300S0.254112116*2RTF2不含铜</t>
  </si>
  <si>
    <t>NY6300S0.36112116*3RTF不含铜</t>
  </si>
  <si>
    <t>NY6300S0.381223313*4RTF不含铜</t>
  </si>
  <si>
    <t>NY6300S0.381113313*4RTF3不含铜</t>
  </si>
  <si>
    <t>NY6300S0.406113313*4RTF2不含铜</t>
  </si>
  <si>
    <t>NY6300S0.406H13313*4RTF2不含铜</t>
  </si>
  <si>
    <t>NY6300S0.406123313*4RTF2不含铜</t>
  </si>
  <si>
    <t>NY6300S0.406HH3313*4HVLP不含铜</t>
  </si>
  <si>
    <t>NY6300S0.406HH3313*4RTF2不含铜</t>
  </si>
  <si>
    <t>NY6300S0.508HH2116*5RTF2不含铜</t>
  </si>
  <si>
    <t>NY6300S0.508112116*4RTF2不含铜</t>
  </si>
  <si>
    <t>NY6300S0.508222116*5RTF不含铜</t>
  </si>
  <si>
    <t>NY6300S0.508112116*5RTF3不含铜</t>
  </si>
  <si>
    <t>NY6300S0.508112116*5RTF2不含铜</t>
  </si>
  <si>
    <t>NY6300S1.035112116*8RTF2含铜</t>
  </si>
  <si>
    <t>NY6300S0.61112116*5RTF2不含铜</t>
  </si>
  <si>
    <t>NY6300S0.66222116*6RTF不含铜</t>
  </si>
  <si>
    <t>NY6300S0.762222116*6RTF不含铜</t>
  </si>
  <si>
    <t>NY6300S0.762222116*7RTF不含铜</t>
  </si>
  <si>
    <t>NY6300S0.838112116*8RTF3不含铜</t>
  </si>
  <si>
    <t>NY6300SN</t>
  </si>
  <si>
    <t>NY6300SN0.064HH1078*1RTF3不含铜</t>
  </si>
  <si>
    <t>NY6300SN0.064HH1078*1RTF不含铜</t>
  </si>
  <si>
    <t>NY6300SN0.076111035*1RTF3不含铜</t>
  </si>
  <si>
    <t>NY6300SN0.076111078*1RTF不含铜</t>
  </si>
  <si>
    <t>NY6300SN0.076111078*1RTF4不含铜</t>
  </si>
  <si>
    <t>NY6300SN0.076111078*1RTF3不含铜</t>
  </si>
  <si>
    <t>NY6300SN0.076121078*1RTF不含铜</t>
  </si>
  <si>
    <t>NY6300SN0.076121078*1RTF3/RTF不含铜</t>
  </si>
  <si>
    <t>NY6300SN0.0761H1035*1RTF3不含铜</t>
  </si>
  <si>
    <t>NY6300SN0.0761H1078*1RTF3不含铜</t>
  </si>
  <si>
    <t>NY6300SN0.076111067*1RTF3不含铜</t>
  </si>
  <si>
    <t>RTF4/RTF</t>
  </si>
  <si>
    <t>NY6300SN0.076121078*1RTF4/RTF不含铜</t>
  </si>
  <si>
    <t>NY6300SN0.076121067*1RTF3/RTF不含铜</t>
  </si>
  <si>
    <t>NY6300SN0.076121078*1HVLP/RTF不含铜</t>
  </si>
  <si>
    <t>NY6300SN0.076221035*1RTF不含铜</t>
  </si>
  <si>
    <t>NY6300SN0.076221078*1RTF不含铜</t>
  </si>
  <si>
    <t>NY6300SN0.089121035*2RTF3/RTF不含铜</t>
  </si>
  <si>
    <t>NY6300SN0.102113313*1RTF3不含铜</t>
  </si>
  <si>
    <t>NY6300SN0.102111078*1RTF3不含铜</t>
  </si>
  <si>
    <t>NY6300SN0.102121086*1RTF3不含铜</t>
  </si>
  <si>
    <t>NY6300SN0.102HH1078*1RTF4不含铜</t>
  </si>
  <si>
    <t>NY6300SN0.102111067*1RTF3不含铜</t>
  </si>
  <si>
    <t>NY6300SN0.102111086*1RTF3不含铜</t>
  </si>
  <si>
    <t>NY6300SN0.102221035*2RTF不含铜</t>
  </si>
  <si>
    <t>NY6300S0.102HH3313*1RTF2不含铜</t>
  </si>
  <si>
    <t>NY6300S0.102HH3313*1RTF3不含铜</t>
  </si>
  <si>
    <t>HVLP2</t>
  </si>
  <si>
    <t>NY6300S0.102HH3313*1HVLP2不含铜</t>
  </si>
  <si>
    <t>NY6300SN0.102H13313*1RTF不含铜</t>
  </si>
  <si>
    <t>NY6300SN0.102223313*1RTF不含铜</t>
  </si>
  <si>
    <t>NY6300SN0.102123313*1RTF不含铜</t>
  </si>
  <si>
    <t>NY6300SN0.102121035*2RTF3/RTF不含铜</t>
  </si>
  <si>
    <t>NY6300SN0.102121078*1RTF3/RTF不含铜</t>
  </si>
  <si>
    <t>NY6300SN0.102111035*2RTF2不含铜</t>
  </si>
  <si>
    <t>NY6300SN0.102111035*2RTF3不含铜</t>
  </si>
  <si>
    <t>NY6300SN0.102121078*1RTF4/RTF不含铜</t>
  </si>
  <si>
    <t>NY6300SN0.102111035*2RTF4不含铜</t>
  </si>
  <si>
    <t>NY6300SN0.102123313*1RTF4/RTF不含铜</t>
  </si>
  <si>
    <t>NY6300SN0.102111035*2HVLP2不含铜</t>
  </si>
  <si>
    <t>NY6300SN0.102111035*2HVLP不含铜</t>
  </si>
  <si>
    <t>NY6300SN0.076HH1035*1HVLP不含铜</t>
  </si>
  <si>
    <t>NY6300SN0.076HH1078*1HVLP不含铜</t>
  </si>
  <si>
    <t>NY6300SN0.102HH1035*2HVLP不含铜</t>
  </si>
  <si>
    <t>NY6300SN0.127112116*1RTF不含铜</t>
  </si>
  <si>
    <t>NY6300SN0.127111078*2RTF2不含铜</t>
  </si>
  <si>
    <t>NY6300SN0.127111078*2RTF3不含铜</t>
  </si>
  <si>
    <t>NY6300SN0.127111035*2RTF3不含铜</t>
  </si>
  <si>
    <t>NY6300SN0.127111035*2RTF4不含铜</t>
  </si>
  <si>
    <t>NY6300SN0.127221035*2RTF不含铜</t>
  </si>
  <si>
    <t>NY6300SN0.127221078*2RTF不含铜</t>
  </si>
  <si>
    <t>NY6300SN0.127HH1078*2RTF3不含铜</t>
  </si>
  <si>
    <t>NY6300SN0.127HH1035*2RTF3不含铜</t>
  </si>
  <si>
    <t>NY6300SN0.152221080*2RTF不含铜</t>
  </si>
  <si>
    <t>NY6300SN0.152121078*2RTF不含铜</t>
  </si>
  <si>
    <t>NY6300SN0.152121080*2RTF不含铜</t>
  </si>
  <si>
    <t>NY6300SN0.152111078*2HVLP2不含铜</t>
  </si>
  <si>
    <t>NY6300SN0.152H11078*2HVLP2不含铜</t>
  </si>
  <si>
    <t>NY6300SN0.152111078*2RTF3不含铜</t>
  </si>
  <si>
    <t>NY6300SN0.18111078*2HVLP3不含铜</t>
  </si>
  <si>
    <t>NY6300SN0.203223313*2RTF不含铜</t>
  </si>
  <si>
    <t>NY6300SN0.305H13313*3RTF4不含铜</t>
  </si>
  <si>
    <t>NY6300SN0.365H12116*4RTF4不含铜</t>
  </si>
  <si>
    <t>NY6300SN0.406113313*4RTF3不含铜</t>
  </si>
  <si>
    <t>NY6300SN0.406112116*4RTF4不含铜</t>
  </si>
  <si>
    <t>NY6300SN0.864112116*8HVLP不含铜</t>
  </si>
  <si>
    <t>NY6666</t>
  </si>
  <si>
    <t>RTF/RTF3</t>
  </si>
  <si>
    <t>NY66660.1H11078*1RTF/RTF3不含铜</t>
  </si>
  <si>
    <t>NY66660.1111078*1RTF2不含铜</t>
  </si>
  <si>
    <t>HVLP3/RTF</t>
  </si>
  <si>
    <t>NY66660.127121035*2HVLP3/RTF不含铜</t>
  </si>
  <si>
    <t>NY66660.127221035*2RTF不含铜</t>
  </si>
  <si>
    <t>NY6666N</t>
  </si>
  <si>
    <t>NY6666N0.102H11035*2RTF4不含铜</t>
  </si>
  <si>
    <t>NY6666N0.102121035*2RTF4/RTF不含铜</t>
  </si>
  <si>
    <t>NY6666N0.102121035*2RTF不含铜</t>
  </si>
  <si>
    <t>NY6666N0.076HH1078*1HVLP不含铜</t>
  </si>
  <si>
    <t>NY6666N0.076111078*1RTF3不含铜</t>
  </si>
  <si>
    <t>NY6666N0.076111035*1RTF3不含铜</t>
  </si>
  <si>
    <t>NY6666N0.076111078*1RTF4不含铜</t>
  </si>
  <si>
    <t>NY6666N0.076121078*1RTF不含铜</t>
  </si>
  <si>
    <t>NY6666N0.076111078*1HVLP2不含铜</t>
  </si>
  <si>
    <t>NY6666N0.089111035*1RTF3不含铜</t>
  </si>
  <si>
    <t>NY6666N0.089111035*1RTF4不含铜</t>
  </si>
  <si>
    <t>NY6666N0.102111078*1RTF4不含铜</t>
  </si>
  <si>
    <t>NY6666N0.102111078*1RTF3不含铜</t>
  </si>
  <si>
    <t>NY6666N0.102111035*2RTF3不含铜</t>
  </si>
  <si>
    <t>NY6666N0.102111035*2RTF4不含铜</t>
  </si>
  <si>
    <t>NY6666N0.102111035*2HVLP2不含铜</t>
  </si>
  <si>
    <t>NY6666N0.102221078*1RTF不含铜</t>
  </si>
  <si>
    <t>NY6666N0.102223313*1RTF不含铜</t>
  </si>
  <si>
    <t>NY6666N0.127121078*2RTF不含铜</t>
  </si>
  <si>
    <t>NY6666N0.127111078*2RTF3不含铜</t>
  </si>
  <si>
    <t>NY6666N0.127112116*1RTF3不含铜</t>
  </si>
  <si>
    <t>NY6666N0.127112116*1RTF4不含铜</t>
  </si>
  <si>
    <t>NY6666N0.127111035*2RTF3不含铜</t>
  </si>
  <si>
    <t>NY6666N0.127111035*2RTF4不含铜</t>
  </si>
  <si>
    <t>NY6666N0.127111078*2HVLP2不含铜</t>
  </si>
  <si>
    <t>NY6666N0.127221035*2HVLP2不含铜</t>
  </si>
  <si>
    <t>NY6666N0.146111078*2HVLP2不含铜</t>
  </si>
  <si>
    <t>NY6666N0.15111078*2RTF3不含铜</t>
  </si>
  <si>
    <t>NY6666N0.152111078*2RTF4不含铜</t>
  </si>
  <si>
    <t>NY6666N0.25112116*2HVLP2不含铜</t>
  </si>
  <si>
    <t>NY6666SE</t>
  </si>
  <si>
    <t>NY6666SE0.152111078*2RTF2不含铜</t>
  </si>
  <si>
    <t>NY6666SE0.178111078*2RTF2不含铜</t>
  </si>
  <si>
    <t>NY6666SE0.102111035*2RTF2不含铜</t>
  </si>
  <si>
    <t>NY6666SE0.089221035*2RTF不含铜</t>
  </si>
  <si>
    <t>NY6666SE0.127111078*2RTF2不含铜</t>
  </si>
  <si>
    <t>NY6666SE0.127111035*2RTF2不含铜</t>
  </si>
  <si>
    <t>NY8888</t>
  </si>
  <si>
    <t>NY88880.076111078*1HVLP3不含铜</t>
  </si>
  <si>
    <t>NY88880.089111078*1HVLP3不含铜</t>
  </si>
  <si>
    <t>HVLP3/HVLP4</t>
  </si>
  <si>
    <t>NY88880.089111078*1HVLP3/HVLP4不含铜</t>
  </si>
  <si>
    <t>NY88880.102111035*2HVLP3不含铜</t>
  </si>
  <si>
    <t>NY88880.102111035*2HVLP3/HVLP4不含铜</t>
  </si>
  <si>
    <t>NY88880.127111078*2HVLP3不含铜</t>
  </si>
  <si>
    <t>NY88880.127111078*2HVLP3/HVLP4不含铜</t>
  </si>
  <si>
    <t>NY88880.152111078*2HVLP3不含铜</t>
  </si>
  <si>
    <t>NY88880.152111078*2HVLP3/HVLP4不含铜</t>
  </si>
  <si>
    <t>NY8888N</t>
  </si>
  <si>
    <t>NY8888N0.076H11078*1RTF4不含铜</t>
  </si>
  <si>
    <t>NY8888N0.076121078*1RTF4/RTF不含铜</t>
  </si>
  <si>
    <t>NY8888N0.102H11035*2RTF4不含铜</t>
  </si>
  <si>
    <t>NY8888N0.102121035*2RTF4/RTF不含铜</t>
  </si>
  <si>
    <t>NY8888N0.102111078*1RTF4不含铜</t>
  </si>
  <si>
    <t>NY8888N0.102121035*2RTF4不含铜</t>
  </si>
  <si>
    <t>NY8888N0.076111078*1RTF3不含铜</t>
  </si>
  <si>
    <t>1</t>
  </si>
  <si>
    <t>2</t>
  </si>
  <si>
    <t>NY8888N0.076121078*1RTF3/RTF不含铜</t>
  </si>
  <si>
    <t>NY8888N0.076221078*1RTF不含铜</t>
  </si>
  <si>
    <t>NY8888N0.102111035*2HVLP3不含铜</t>
  </si>
  <si>
    <t>NY8888N0.127111078*2RTF3不含铜</t>
  </si>
  <si>
    <t>NY8888N0.127HH1078*2RTF3不含铜</t>
  </si>
  <si>
    <t>NY8888N0.406113313*4HVLP3不含铜</t>
  </si>
  <si>
    <t>NY-A1</t>
  </si>
  <si>
    <t>NY-A10.08HH1080*1HTE不含铜</t>
  </si>
  <si>
    <t>NY-A10.1112116*1HTE不含铜</t>
  </si>
  <si>
    <t>NY-A10.1112313*1HTE不含铜</t>
  </si>
  <si>
    <t>NY-A10.1HH2313*1HTE不含铜</t>
  </si>
  <si>
    <t>NY-A10.13111080*2HTE不含铜</t>
  </si>
  <si>
    <t>NY-A10.13HH2116*1HTE不含铜</t>
  </si>
  <si>
    <t>NY-A10.2117628*1HTE不含铜</t>
  </si>
  <si>
    <t>NY-A10.2112116*3HTE不含铜</t>
  </si>
  <si>
    <t>NY-A10.23112116*2HTE不含铜</t>
  </si>
  <si>
    <t>NY-A10.23222116*2HTE不含铜</t>
  </si>
  <si>
    <t>NY-A10.23332116*2HTE不含铜</t>
  </si>
  <si>
    <t>NY-A10.23442116*2HTE不含铜</t>
  </si>
  <si>
    <t>NY-A10.26222116*2HTE不含铜</t>
  </si>
  <si>
    <t>NY-A10.3HH1506*2HTE不含铜</t>
  </si>
  <si>
    <t>NY-A10.3222116*3HTE不含铜</t>
  </si>
  <si>
    <t>NY-A10.33HH1506*2HTE不含铜</t>
  </si>
  <si>
    <t>NY-A10.33111506*2HTE不含铜</t>
  </si>
  <si>
    <t>NY-A10.36HH7628*2HTE不含铜</t>
  </si>
  <si>
    <t>NY-A10.36227628*2HTE不含铜</t>
  </si>
  <si>
    <t>NY-A10.38117628*2HTE不含铜</t>
  </si>
  <si>
    <t>NY-A10.43117628*2+1080*1HTE不含铜</t>
  </si>
  <si>
    <t>4月报价单41*49 177</t>
  </si>
  <si>
    <t>NY-A10.4117628*2HTE不含铜</t>
  </si>
  <si>
    <t>NY-A10.46227628*2+1080*1HTE不含铜</t>
  </si>
  <si>
    <t>NY-A10.46117628*2+1080*1HTE不含铜</t>
  </si>
  <si>
    <t>NY-A10.46HH7628*2+1080*1HTE不含铜</t>
  </si>
  <si>
    <t>NY-A10.5HH7628*1+2116*1+7628*1HTE不含铜</t>
  </si>
  <si>
    <t>NY-A10.51117628*2+2116*1HTE不含铜</t>
  </si>
  <si>
    <t>NY-A10.51337628*3HTE不含铜</t>
  </si>
  <si>
    <t>NY-A10.51HH7628*2+2116*1HTE不含铜</t>
  </si>
  <si>
    <t>NY-A10.53117628*3HTE不含铜</t>
  </si>
  <si>
    <t>NY-A10.53HH7628*3HTE不含铜</t>
  </si>
  <si>
    <t>NY-A10.59337628*3HTE不含铜</t>
  </si>
  <si>
    <t>NY-A10.6227628*3HTE不含铜</t>
  </si>
  <si>
    <t>NY-A10.61117628*3HTE不含铜</t>
  </si>
  <si>
    <t>NY-A10.63117628*2+1506*2HTE不含铜</t>
  </si>
  <si>
    <t>NY-A10.66227628*2+1506*2HTE不含铜</t>
  </si>
  <si>
    <t>NY-A10.66HH7628*2+1506*2HTE不含铜</t>
  </si>
  <si>
    <t>NY-A10.73117628*4HTE不含铜</t>
  </si>
  <si>
    <t>NY-A10.9117628*5HTE含铜</t>
  </si>
  <si>
    <t>NY-A10.9227628*4HTE含铜</t>
  </si>
  <si>
    <t>NY-A10.9HH7628*5HTE含铜</t>
  </si>
  <si>
    <t>NY-A11HH7628*5HTE含铜</t>
  </si>
  <si>
    <t>NY-A11117628*5HTE含铜</t>
  </si>
  <si>
    <t>NY-A11227628*5HTE含铜</t>
  </si>
  <si>
    <t>NY-A11.1117628*6HTE含铜</t>
  </si>
  <si>
    <t>NY-A11.1227628*5HTE含铜</t>
  </si>
  <si>
    <t>NY-A11.2117628*6HTE含铜</t>
  </si>
  <si>
    <t>NY-A11.3117628*6HTE含铜</t>
  </si>
  <si>
    <t>NY-A11.3227628*6HTE含铜</t>
  </si>
  <si>
    <t>NY-A11.4117628*7HTE含铜</t>
  </si>
  <si>
    <t>NY-A11.41.51.57628*7HTE含铜</t>
  </si>
  <si>
    <t>NY-A11.4227628*7HTE含铜</t>
  </si>
  <si>
    <t>NY-A11.4HH7628*7HTE含铜</t>
  </si>
  <si>
    <t>NY-A11.45HH7628*8HTE含铜</t>
  </si>
  <si>
    <t>NY-A11.5117628*8HTE含铜</t>
  </si>
  <si>
    <t>NY-A11.51.51.57628*8HTE含铜</t>
  </si>
  <si>
    <t>NY-A11.5222116*13HTE含铜</t>
  </si>
  <si>
    <t>NY-A11.5227628*7HTE含铜</t>
  </si>
  <si>
    <t>NY-A11.5HH7628*8HTE含铜</t>
  </si>
  <si>
    <t>NY-A10.2227628*1HTE不含铜</t>
  </si>
  <si>
    <t>NY-A10.2222313*2HTE不含铜</t>
  </si>
  <si>
    <t>NY-A1 （B）</t>
  </si>
  <si>
    <t>NY-A1 （B）0.125112116*1HTE不含铜</t>
  </si>
  <si>
    <t>NY-A1 （B）0.13222116*1HTE不含铜</t>
  </si>
  <si>
    <t>NY-A1 （B）0.152111506*1HTE不含铜</t>
  </si>
  <si>
    <t>NY-A1 （B）0.15111506*1HTE不含铜</t>
  </si>
  <si>
    <t>NY-A1 （B）0.2117628*1HTE不含铜</t>
  </si>
  <si>
    <t>NY-A1 （B）0.2122116*2HTE不含铜</t>
  </si>
  <si>
    <t>NY-A1 （B）0.2222116*2HTE不含铜</t>
  </si>
  <si>
    <t>NY-A1 （B）0.25112116*2HTE不含铜</t>
  </si>
  <si>
    <t>NY-A1 （B）0.25222116*2HTE不含铜</t>
  </si>
  <si>
    <t>NY-A1 （B）0.25332116*2HTE不含铜</t>
  </si>
  <si>
    <t>NY-A1 （B）0.3112116*3HTE不含铜</t>
  </si>
  <si>
    <t>NY-A1 （B）0.35117628*2HTE不含铜</t>
  </si>
  <si>
    <t>NY-A1 （B）0.35227628*2HTE不含铜</t>
  </si>
  <si>
    <t>NY-A1 （B）0.35337628*2HTE不含铜</t>
  </si>
  <si>
    <t>NY-A1 （B）0.36117628*2HTE不含铜</t>
  </si>
  <si>
    <t>NY-A1 （B）0.36227628*2HTE不含铜</t>
  </si>
  <si>
    <t>NY-A1 （B）0.36337628*2HTE不含铜</t>
  </si>
  <si>
    <t>NY-A1 （B）0.4227628*2HTE不含铜</t>
  </si>
  <si>
    <t>NY-A10.4337628*2HTE不含铜</t>
  </si>
  <si>
    <t>NY-A1 （B）0.4HH7628*2HTE不含铜</t>
  </si>
  <si>
    <t>NY-A1 （B）0.43117628*2+1080*1HTE不含铜</t>
  </si>
  <si>
    <t>NY-A10.56227628*3HTE不含铜</t>
  </si>
  <si>
    <t>NY-A1（B）</t>
  </si>
  <si>
    <t>NY-A1（B）0.56HH7628*3HTE不含铜</t>
  </si>
  <si>
    <t>NY-A1 （B）0.63117628*3HTE不含铜</t>
  </si>
  <si>
    <t>NY-A1 （B）0.71117628*4HTE不含铜</t>
  </si>
  <si>
    <t>NY-A1 （B）0.71HH7628*4HTE不含铜</t>
  </si>
  <si>
    <t>NY-A1 （B）0.73117628*4HTE不含铜</t>
  </si>
  <si>
    <t>NY-A1 （B）0.8117628*4HTE含铜</t>
  </si>
  <si>
    <t>NY-A1 （B）1.5117628*8HTE含铜</t>
  </si>
  <si>
    <t>NY-A1 （B）1.55HH7628*8HTE含铜</t>
  </si>
  <si>
    <t>NY-A1 （B）1.6117628*8HTE含铜</t>
  </si>
  <si>
    <t>NY-A1 （B）1.6HH7628*8HTE含铜</t>
  </si>
  <si>
    <t xml:space="preserve">NY-A1 </t>
  </si>
  <si>
    <t>NY-A1 1.8FF7628*10HTE含铜</t>
  </si>
  <si>
    <t>NY-A1 1.8227628*9HTE含铜</t>
  </si>
  <si>
    <t>NY-A11.9HH7628*10HTE含铜</t>
  </si>
  <si>
    <t>NY-A11.9227628*9HTE含铜</t>
  </si>
  <si>
    <t>NY-A1 （B）2117628*10HTE含铜</t>
  </si>
  <si>
    <t>NY-A1(B)</t>
  </si>
  <si>
    <t>NY-A1(B)0.13111*2116HTE不含铜</t>
  </si>
  <si>
    <t>NY-A2</t>
  </si>
  <si>
    <t>NY-A20.08912106*2RTF不含铜</t>
  </si>
  <si>
    <t>NY-A20.08922106*2RTF不含铜</t>
  </si>
  <si>
    <t>NY-A20.1112116*1HTE不含铜</t>
  </si>
  <si>
    <t>NY-A20.1122313*1HTE不含铜</t>
  </si>
  <si>
    <t>NY-A20.1222313*1HTE不含铜</t>
  </si>
  <si>
    <t>NY-A20.122106*2HTE不含铜</t>
  </si>
  <si>
    <t>NY-A20.13112116*1HTE不含铜</t>
  </si>
  <si>
    <t>NY-A20.13HH2116*1HTE不含铜</t>
  </si>
  <si>
    <t>NY-A20.15111506*1HTE不含铜</t>
  </si>
  <si>
    <t>NY-A20.15111086*2HTE不含铜</t>
  </si>
  <si>
    <t>NY-A20.15HH1506*1HTE不含铜</t>
  </si>
  <si>
    <t>NY-A20.18122313*2HTE不含铜</t>
  </si>
  <si>
    <t>NY-A20.18122313*2RTF不含铜</t>
  </si>
  <si>
    <t>NY-A20.18222313*2HTE不含铜</t>
  </si>
  <si>
    <t>NY-A20.18222313*2RTF不含铜</t>
  </si>
  <si>
    <t>NY-A20.2112116*2HTE不含铜</t>
  </si>
  <si>
    <t>NY-A20.2122116*2HTE不含铜</t>
  </si>
  <si>
    <t>NY-A20.2227628*1HTE不含铜</t>
  </si>
  <si>
    <t>NY-A20.2222116*2HTE不含铜</t>
  </si>
  <si>
    <t>NY-A20.23112116*2HTE不含铜</t>
  </si>
  <si>
    <t>NY-A20.25112116*2HTE不含铜</t>
  </si>
  <si>
    <t>NY-A20.25332116*2HTE不含铜</t>
  </si>
  <si>
    <t>NY-A20.3111506*2HTE不含铜</t>
  </si>
  <si>
    <t>NY-A20.3112116*3HTE不含铜</t>
  </si>
  <si>
    <t>NY-A20.3221506*2HTE不含铜</t>
  </si>
  <si>
    <t>NY-A20.3222116*3HTE不含铜</t>
  </si>
  <si>
    <t>NY-A20.35117628*2HTE不含铜</t>
  </si>
  <si>
    <t>NY-A20.36117628*2HTE不含铜</t>
  </si>
  <si>
    <t>NY-A20.36227628*2HTE不含铜</t>
  </si>
  <si>
    <t>NY-A20.4117628*2HTE不含铜</t>
  </si>
  <si>
    <t>NY-A20.4337628*2HTE不含铜</t>
  </si>
  <si>
    <t>NY-A20.46112116*4HTE不含铜</t>
  </si>
  <si>
    <t>NY-A20.5337628*3不含铜</t>
  </si>
  <si>
    <t>NY-A20.71117628*4HTE不含铜</t>
  </si>
  <si>
    <t>NY-A20.73117628*4HTE不含铜</t>
  </si>
  <si>
    <t>NY-A20.9227628*4HTE不含铜</t>
  </si>
  <si>
    <t>NY-A21117628*5HTE含铜</t>
  </si>
  <si>
    <t>NY-A21227628*5HTE含铜</t>
  </si>
  <si>
    <t>NY-A21.1227628*5HTE不含铜</t>
  </si>
  <si>
    <t>NY-A21.2117628*6HTE不含铜</t>
  </si>
  <si>
    <t>NY-A21.5HH7628*9HTE不含铜</t>
  </si>
  <si>
    <t>NY-A21.5117628*8HTE不含铜</t>
  </si>
  <si>
    <t>NY-A2（B）</t>
  </si>
  <si>
    <t>NY-A2（B）0.13112116*1HTE不含铜</t>
  </si>
  <si>
    <t>NY-A2（B）0.13222116*1HTE不含铜</t>
  </si>
  <si>
    <t>NY-A2（B）0.2117628*1HTE不含铜</t>
  </si>
  <si>
    <t>NY-A2（B）0.2112116*2HTE不含铜</t>
  </si>
  <si>
    <t>NY-A2（B）0.2122116*2HTE不含铜</t>
  </si>
  <si>
    <t>NY-A2（B）0.2222116*2HTE不含铜</t>
  </si>
  <si>
    <t>NY-A2（B）0.25222116*2HTE不含铜</t>
  </si>
  <si>
    <t>NY-A3HF</t>
  </si>
  <si>
    <t>NY-A3HF0.101HH3313*1HTE不含铜</t>
  </si>
  <si>
    <t>NY-A3HF0.1223313*1HTE不含铜</t>
  </si>
  <si>
    <t>NY-A3HF0.2117628*1HTE不含铜</t>
  </si>
  <si>
    <t>NYHP-7300</t>
  </si>
  <si>
    <t>-</t>
  </si>
  <si>
    <t>NYHP-73000.76211-HVLP不含铜</t>
  </si>
  <si>
    <t>NYHP-7350D</t>
  </si>
  <si>
    <t>NYHP-7350D0.508HH-HVLP不含铜</t>
  </si>
  <si>
    <t>NYHP-7350D0.50811-HVLP不含铜</t>
  </si>
  <si>
    <t>NY-P1</t>
  </si>
  <si>
    <t>NY-P10.0761H1078*1HVLP2不含铜</t>
  </si>
  <si>
    <t>NY-P10.076111078*1HVLP2不含铜</t>
  </si>
  <si>
    <t>NY-P10.076121078*1RTF不含铜</t>
  </si>
  <si>
    <t>NY-P10.076HH1078*1HVLP2不含铜</t>
  </si>
  <si>
    <t>NY-P10.089221078*1RTF不含铜</t>
  </si>
  <si>
    <t>NY-P10.102221035*2RTF不含铜</t>
  </si>
  <si>
    <t>HVLP2/RTF</t>
  </si>
  <si>
    <t>NY-P10.102121035*2HVLP2/RTF不含铜</t>
  </si>
  <si>
    <t>NY-P10.1021H1035*2HVLP不含铜</t>
  </si>
  <si>
    <t>NY-P10.102111035*2HVLP不含铜</t>
  </si>
  <si>
    <t>NY-P10.102111035*2HVLP2不含铜</t>
  </si>
  <si>
    <t>NY-P10.102HH1035*2HVLP不含铜</t>
  </si>
  <si>
    <t>NY-P10.102HH1035*2HVLP2不含铜</t>
  </si>
  <si>
    <t>NY-P10.127111078*2HVLP不含铜</t>
  </si>
  <si>
    <t>NY-P10.127111078*2HVLP2不含铜</t>
  </si>
  <si>
    <t>NY-P10.127121078*2HVLP2/RTF不含铜</t>
  </si>
  <si>
    <t>NY-P10.127221078*2RTF不含铜</t>
  </si>
  <si>
    <t>NY-P10.127HH1078*2HVLP2不含铜</t>
  </si>
  <si>
    <t>NY-P10.15111078*2HVLP不含铜</t>
  </si>
  <si>
    <t>NY-P10.152HH1078*2HVLP2不含铜</t>
  </si>
  <si>
    <t>NY-P10.152111078*2HVLP2不含铜</t>
  </si>
  <si>
    <t>NY-P10.178111078*2HVLP2不含铜</t>
  </si>
  <si>
    <t>NY-P10.178221078*2RTF不含铜</t>
  </si>
  <si>
    <t>NY-P10.178HH1078*2HVLP2不含铜</t>
  </si>
  <si>
    <t>NY-P10.18111078*2HVLP不含铜</t>
  </si>
  <si>
    <t>NY-P10.21H3313*2HVLP不含铜</t>
  </si>
  <si>
    <t>NY-P10.2113313*2HVLP不含铜</t>
  </si>
  <si>
    <t>RTF/HVLP</t>
  </si>
  <si>
    <t>NY-P10.2213313*2RTF/HVLP不含铜</t>
  </si>
  <si>
    <t>NY-P10.2HH3313*2HVLP不含铜</t>
  </si>
  <si>
    <t>NY-P10.4213313*4RTF/HVLP不含铜</t>
  </si>
  <si>
    <t>NY-P10.56112116*5RTF/HVLP不含铜</t>
  </si>
  <si>
    <t>NY-P2</t>
  </si>
  <si>
    <t>NY-P20.127112116HVLP2不含铜</t>
  </si>
  <si>
    <t>NY-P20.127111078*2HVLP2不含铜</t>
  </si>
  <si>
    <t>NY-P20.127221078*2RTF不含铜</t>
  </si>
  <si>
    <t>NY-P2C</t>
  </si>
  <si>
    <t>HVLP1/RTF</t>
  </si>
  <si>
    <t>NY-P2C0.089121078*2HVLP1/RTF不含铜</t>
  </si>
  <si>
    <t>NY-P2C0.089221078*2RTF不含铜</t>
  </si>
  <si>
    <t>NY-P2C0.114121035*2HVLP/RTF不含铜</t>
  </si>
  <si>
    <t>NY-P2C0.114221035*2RTF不含铜</t>
  </si>
  <si>
    <t>NY-P2C0.1111035*2HVLP1不含铜</t>
  </si>
  <si>
    <t>1*3313</t>
  </si>
  <si>
    <t>NY-P2C0.102121*3313RTF不含铜</t>
  </si>
  <si>
    <t>NY-P2C0.1113313*1HVLP1不含铜</t>
  </si>
  <si>
    <t>NY-P2C0.1111078*2HVLP1不含铜</t>
  </si>
  <si>
    <t>NY-P2C0.114111035*2HVLP1不含铜</t>
  </si>
  <si>
    <t>NY-P2C0.114HH1035*2HVLP1不含铜</t>
  </si>
  <si>
    <t>NY-P2C0.114H11035*2HVLP1不含铜</t>
  </si>
  <si>
    <t>NY-P2C0.127HH1078*2HVLP1不含铜</t>
  </si>
  <si>
    <t>NY-P2C0.127112116*1HVLP2不含铜</t>
  </si>
  <si>
    <t>NY-P2C0.127111078*2HVLP2不含铜</t>
  </si>
  <si>
    <t>NY-P2C0.127111078*2HVLP1不含铜</t>
  </si>
  <si>
    <t>NY-P2C0.127H11078*2HVLP1不含铜</t>
  </si>
  <si>
    <t>NY-P2C0.15HH1078*2HVLP不含铜</t>
  </si>
  <si>
    <t>NY-P2C0.15HH1078*2HVLP2不含铜</t>
  </si>
  <si>
    <t>NY-P2C0.151H1078*2HVLP2不含铜</t>
  </si>
  <si>
    <t>NY-P2C0.152111078*2HVLP1不含铜</t>
  </si>
  <si>
    <t>NY-P2C0.152111078*2HVLP2不含铜</t>
  </si>
  <si>
    <t>NY-P2C0.178111078*2HVLP1不含铜</t>
  </si>
  <si>
    <t>NY-P2C0.18HH1078*2HVLP3不含铜</t>
  </si>
  <si>
    <t>NY-P2C0.18111078*2HVLP3不含铜</t>
  </si>
  <si>
    <t>NY-P3</t>
  </si>
  <si>
    <t>2*1035</t>
  </si>
  <si>
    <t>NY-P30.127222*1035RTF不含铜</t>
  </si>
  <si>
    <t>2*1078</t>
  </si>
  <si>
    <t>NY-P30.127222*1078RTF不含铜</t>
  </si>
  <si>
    <t>NY-P30.076111078*1HVLP2不含铜</t>
  </si>
  <si>
    <t>NY-P30.076H11078*1HVLP2不含铜</t>
  </si>
  <si>
    <t>NY-P30.089111035*2HVLP不含铜</t>
  </si>
  <si>
    <t>NY-P30.089121037*2HVLP1/RTF不含铜</t>
  </si>
  <si>
    <t>NY-P30.089121035*2HVLP1/RTF不含铜</t>
  </si>
  <si>
    <t>NY-P30.102121035*2RTF不含铜</t>
  </si>
  <si>
    <t>NY-P30.102111035*2HVLP2不含铜</t>
  </si>
  <si>
    <t>NY-P30.102221035*2RTF不含铜</t>
  </si>
  <si>
    <t>NY-P30.102H13313*1HVLP2不含铜</t>
  </si>
  <si>
    <t>NY-P30.102HH1035*2HVLP2不含铜</t>
  </si>
  <si>
    <t>NY-P30.127112116*1HVLP2不含铜</t>
  </si>
  <si>
    <t>NY-P30.127HH2*1078HVLP不含铜</t>
  </si>
  <si>
    <t>NY-P30.127HH2*1078HVLP2不含铜</t>
  </si>
  <si>
    <t>NY-P30.127111035*2HVLP2不含铜</t>
  </si>
  <si>
    <t>NY-P30.127111078*2HVLP2不含铜</t>
  </si>
  <si>
    <t>NY-P30.127222116*1RTF不含铜</t>
  </si>
  <si>
    <t>NY-P30.152HH2*1078HVLP2不含铜</t>
  </si>
  <si>
    <t>NY-P30.152111078*2HVLP2不含铜</t>
  </si>
  <si>
    <t>NY-P30.178H11078*2HVLP2不含铜</t>
  </si>
  <si>
    <t>NY-P30.178HH1078*2HVLP2不含铜</t>
  </si>
  <si>
    <t>NY-P3C</t>
  </si>
  <si>
    <t>NY-P3C0.076H11078*1HVLP2不含铜</t>
  </si>
  <si>
    <t>NY-P3C0.102111078*1HVLP2不含铜</t>
  </si>
  <si>
    <t>NY-P30.254112116*2HVLP2不含铜</t>
  </si>
  <si>
    <t>NY-P4</t>
  </si>
  <si>
    <t>NY-P40.076111035*1HVLP3不含铜</t>
  </si>
  <si>
    <t>NY-P40.076111078*1HVLP3不含铜</t>
  </si>
  <si>
    <t>NY-P40.076H11078*1HVLP3不含铜</t>
  </si>
  <si>
    <t>NY-P40.089H11078*1HVLP3不含铜</t>
  </si>
  <si>
    <t>NY-P40.102111035*2HVLP3不含铜</t>
  </si>
  <si>
    <t>NY-P40.102221035*2RTF不含铜</t>
  </si>
  <si>
    <t>NY-P40.102HH1035*2HVLP3不含铜</t>
  </si>
  <si>
    <t>NY-P40.127111078*2HVLP3不含铜</t>
  </si>
  <si>
    <t>NY-P40.127221078*2RTF不含铜</t>
  </si>
  <si>
    <t>NY-P40.152111078*2HVLP3不含铜</t>
  </si>
  <si>
    <t>NY-P40.178111078*2HVLP3不含铜</t>
  </si>
  <si>
    <t>NY3150HC0.2227628*1HTE不含铜</t>
  </si>
  <si>
    <t>NY3150HC0.2222116*2HTE不含铜</t>
  </si>
  <si>
    <t>NY-A10.3111506*2HTE不含铜</t>
  </si>
  <si>
    <t>NY-A20.08H11086*1HTE不含铜</t>
  </si>
  <si>
    <t>NY-A20.102H12116*1HTE不含铜</t>
  </si>
  <si>
    <t>NY-A20.08111080*1HTE不含铜</t>
  </si>
  <si>
    <t>SF</t>
  </si>
  <si>
    <t>新价</t>
  </si>
  <si>
    <t>RC</t>
  </si>
  <si>
    <t>NY2140P</t>
  </si>
  <si>
    <t>RC72%</t>
  </si>
  <si>
    <t>NY2140P106RC72%</t>
  </si>
  <si>
    <t>RC63%</t>
  </si>
  <si>
    <t>NY2140P1080RC63%</t>
  </si>
  <si>
    <t>RC66%</t>
  </si>
  <si>
    <t>NY2140P1080RC66%</t>
  </si>
  <si>
    <t>RC68%</t>
  </si>
  <si>
    <t>NY2140P1080RC68%</t>
  </si>
  <si>
    <t>RC45%</t>
  </si>
  <si>
    <t>NY2140P1506RC45%</t>
  </si>
  <si>
    <t>RC48%</t>
  </si>
  <si>
    <t>NY2140P1506RC48%</t>
  </si>
  <si>
    <t>RC50%</t>
  </si>
  <si>
    <t>NY2140P1506RC50%</t>
  </si>
  <si>
    <t>RC51%</t>
  </si>
  <si>
    <t>NY2140P2116RC51%</t>
  </si>
  <si>
    <t>RC53%</t>
  </si>
  <si>
    <t>NY2140P2116RC53%</t>
  </si>
  <si>
    <t>RC54%</t>
  </si>
  <si>
    <t>NY2140P2116RC54%</t>
  </si>
  <si>
    <t>RC57%</t>
  </si>
  <si>
    <t>NY2140P2116RC57%</t>
  </si>
  <si>
    <t>RC58%</t>
  </si>
  <si>
    <t>NY2140P2313RC58%</t>
  </si>
  <si>
    <t>RC44%</t>
  </si>
  <si>
    <t>NY2140P7628RC44%</t>
  </si>
  <si>
    <t>RC47%</t>
  </si>
  <si>
    <t>NY2140P7628RC47%</t>
  </si>
  <si>
    <t>RC49%</t>
  </si>
  <si>
    <t>NY2140P7628RC49%</t>
  </si>
  <si>
    <t>NY2140P7628RC51%</t>
  </si>
  <si>
    <t>NY2150HP</t>
  </si>
  <si>
    <t>RC76%</t>
  </si>
  <si>
    <t>NY2150HP106RC76%</t>
  </si>
  <si>
    <t>RC63-64%</t>
  </si>
  <si>
    <t>NY2150HP1080RC63-64%</t>
  </si>
  <si>
    <t>NY2150HP1080RC68%</t>
  </si>
  <si>
    <t>RC70%</t>
  </si>
  <si>
    <t>NY2150HP1080RC70%</t>
  </si>
  <si>
    <t>NY2150HP1506RC48%</t>
  </si>
  <si>
    <t>RC52%</t>
  </si>
  <si>
    <t>NY2150HP2116RC52%</t>
  </si>
  <si>
    <t>RC53-56%</t>
  </si>
  <si>
    <t>NY2150HP2116RC53-56%</t>
  </si>
  <si>
    <t>NY2150HP2116RC58%</t>
  </si>
  <si>
    <t>RC59%</t>
  </si>
  <si>
    <t>NY2150HP2116RC59%</t>
  </si>
  <si>
    <t>RC60-61%</t>
  </si>
  <si>
    <t>NY2150HP2116RC60-61%</t>
  </si>
  <si>
    <t>NY2150HP2313RC58%</t>
  </si>
  <si>
    <t>NY2150HP7628RC44%</t>
  </si>
  <si>
    <t>RC45-46%</t>
  </si>
  <si>
    <t>NY2150HP7628RC45-46%</t>
  </si>
  <si>
    <t>RC48-49%</t>
  </si>
  <si>
    <t>NY2150HP7628RC48-49%</t>
  </si>
  <si>
    <t>RC50-52%</t>
  </si>
  <si>
    <t>NY2150HP7628RC50-52%</t>
  </si>
  <si>
    <t>NY2150P</t>
  </si>
  <si>
    <t>NY2150P106RC72%</t>
  </si>
  <si>
    <t>RC75%</t>
  </si>
  <si>
    <t>NY2150P106RC75%</t>
  </si>
  <si>
    <t>RC76-77%</t>
  </si>
  <si>
    <t>NY2150P106RC76-77%</t>
  </si>
  <si>
    <t>RC78%</t>
  </si>
  <si>
    <t>NY2150P106RC78%</t>
  </si>
  <si>
    <t>NY2150P1080RC63%</t>
  </si>
  <si>
    <t>RC65%</t>
  </si>
  <si>
    <t>NY2150P1080RC65%</t>
  </si>
  <si>
    <t>RC67-68%</t>
  </si>
  <si>
    <t>NY2150P1080RC67-68%</t>
  </si>
  <si>
    <t>RC69-71%</t>
  </si>
  <si>
    <t>NY2150P1080RC69-71%</t>
  </si>
  <si>
    <t>RC45-48%</t>
  </si>
  <si>
    <t>NY2150P1506RC45-48%</t>
  </si>
  <si>
    <t>NY2150P1506RC50%</t>
  </si>
  <si>
    <t>RC55-58%</t>
  </si>
  <si>
    <t>NY2150P3313RC55-58%</t>
  </si>
  <si>
    <t>RC60%</t>
  </si>
  <si>
    <t>NY2150P3313RC60%</t>
  </si>
  <si>
    <t>NY2150P2116RC50%</t>
  </si>
  <si>
    <t>NY2150P2116RC53%</t>
  </si>
  <si>
    <t>RC55%</t>
  </si>
  <si>
    <t>NY2150P2116RC55%</t>
  </si>
  <si>
    <t>RC56%</t>
  </si>
  <si>
    <t>NY2150P2116RC56%</t>
  </si>
  <si>
    <t>NY2150P2116RC57%</t>
  </si>
  <si>
    <t>NY2150P2116RC58%</t>
  </si>
  <si>
    <t>NY2150P2116RC60%</t>
  </si>
  <si>
    <t>RC61%</t>
  </si>
  <si>
    <t>NY2150P2116RC61%</t>
  </si>
  <si>
    <t>RC56-58%</t>
  </si>
  <si>
    <t>NY2150P2313RC56-58%</t>
  </si>
  <si>
    <t>NY2150P7628RC44%</t>
  </si>
  <si>
    <t>NY2150P7628RC45%</t>
  </si>
  <si>
    <t>RC46-48%</t>
  </si>
  <si>
    <t>NY2150P7628RC46-48%</t>
  </si>
  <si>
    <t>RC49-50%</t>
  </si>
  <si>
    <t>NY2150P7628RC49-50%</t>
  </si>
  <si>
    <t>NY2150P7628RC52%</t>
  </si>
  <si>
    <t>NY2170P</t>
  </si>
  <si>
    <t>RC71-72%</t>
  </si>
  <si>
    <t>NY2170P106RC71-72%</t>
  </si>
  <si>
    <t>RC74-75%</t>
  </si>
  <si>
    <t>NY2170P106RC74-75%</t>
  </si>
  <si>
    <t>RC76-78%</t>
  </si>
  <si>
    <t>NY2170P106RC76-78%</t>
  </si>
  <si>
    <t>NY2170P1080RC63-64%</t>
  </si>
  <si>
    <t>RC65-66%</t>
  </si>
  <si>
    <t>NY2170P1080RC65-66%</t>
  </si>
  <si>
    <t>NY2170P1080RC67-68%</t>
  </si>
  <si>
    <t>RC70-71%</t>
  </si>
  <si>
    <t>NY2170P1080RC70-71%</t>
  </si>
  <si>
    <t>NY2170P1080RC72%</t>
  </si>
  <si>
    <t>NY2170P1078RC68%</t>
  </si>
  <si>
    <t>NY2170P1506RC48%</t>
  </si>
  <si>
    <t>NY2170P1506RC50%</t>
  </si>
  <si>
    <t>RC6-58%</t>
  </si>
  <si>
    <t>NY2170P2113RC6-58%</t>
  </si>
  <si>
    <t>RC50-53%</t>
  </si>
  <si>
    <t>NY2170P2116RC50-53%</t>
  </si>
  <si>
    <t>RC54-57%</t>
  </si>
  <si>
    <t>NY2170P2116RC54-57%</t>
  </si>
  <si>
    <t>RC58-61%</t>
  </si>
  <si>
    <t>NY2170P2116RC58-61%</t>
  </si>
  <si>
    <t>NY2170P3313RC57%</t>
  </si>
  <si>
    <t>NY2170P2313RC57%</t>
  </si>
  <si>
    <t>RC58-60%</t>
  </si>
  <si>
    <t>NY2170P2313RC58-60%</t>
  </si>
  <si>
    <t>NY2170P7628RC48%</t>
  </si>
  <si>
    <t>NY2170P7628RC49%</t>
  </si>
  <si>
    <t>NY2170P7628RC50-52%</t>
  </si>
  <si>
    <t>NY2170HP</t>
  </si>
  <si>
    <t>NY2170HP106RC78%</t>
  </si>
  <si>
    <t>NY2170HP106RC76%</t>
  </si>
  <si>
    <t>RC69%</t>
  </si>
  <si>
    <t>NY2170HP1080RC69%</t>
  </si>
  <si>
    <t>RC64%</t>
  </si>
  <si>
    <t>NY2170HP1080RC64%</t>
  </si>
  <si>
    <t>NY2170HP2116RC59%</t>
  </si>
  <si>
    <t>NY2170HP2116RC61%</t>
  </si>
  <si>
    <t>NY2170HP2313RC60%</t>
  </si>
  <si>
    <t>NY3150HCP</t>
  </si>
  <si>
    <t>NY3150HCP1080RC65%</t>
  </si>
  <si>
    <t>NY3150HCP1080RC68%</t>
  </si>
  <si>
    <t>NY3150HCP1506RC48%</t>
  </si>
  <si>
    <t>RC52-54%</t>
  </si>
  <si>
    <t>NY3150HCP2116RC52-54%</t>
  </si>
  <si>
    <t>NY3150HCP2116RC56-58%</t>
  </si>
  <si>
    <t>NY3150HCP2116RC61%</t>
  </si>
  <si>
    <t>NY3150HCP7628RC44%</t>
  </si>
  <si>
    <t>NY3150HCP7628RC49%</t>
  </si>
  <si>
    <t>NY3150HCP7628RC50%</t>
  </si>
  <si>
    <t>NY3150HCP7628RC52%</t>
  </si>
  <si>
    <t>NY3150HFP</t>
  </si>
  <si>
    <t>NY3150HFP106RC75%</t>
  </si>
  <si>
    <t>RC72</t>
  </si>
  <si>
    <t>NY3150HFP106RC72</t>
  </si>
  <si>
    <t>RC73%</t>
  </si>
  <si>
    <t>NY3150HFP106RC73%</t>
  </si>
  <si>
    <t>RC48-50%</t>
  </si>
  <si>
    <t>NY3150HFP1506RC48-50%</t>
  </si>
  <si>
    <t>NY3150HFP2313RC57%</t>
  </si>
  <si>
    <t>NY3150HFP2116RC50%</t>
  </si>
  <si>
    <t>NY3150HFP2116RC52%</t>
  </si>
  <si>
    <t>NY3150HFP2116RC60%</t>
  </si>
  <si>
    <t>NY3150HFP2116RC53%</t>
  </si>
  <si>
    <t>NY3150HFP2116RC56-58%</t>
  </si>
  <si>
    <t>NY3150HFP1080RC64%</t>
  </si>
  <si>
    <t>NY3150HFP1080RC68%</t>
  </si>
  <si>
    <t>NY3150HFP2313RC58%</t>
  </si>
  <si>
    <t>NY3150HFP7628RC45-46%</t>
  </si>
  <si>
    <t>NY3150HFP7628RC49%</t>
  </si>
  <si>
    <t>NY3150HFP7628RC50%</t>
  </si>
  <si>
    <t>NY3150HFP7628RC52%</t>
  </si>
  <si>
    <t>NY3170HCP</t>
  </si>
  <si>
    <t>NY3170HCP106RC69%</t>
  </si>
  <si>
    <t>RC74%</t>
  </si>
  <si>
    <t>NY3170HCP106RC74%</t>
  </si>
  <si>
    <t>NY3170HCP106RC76%</t>
  </si>
  <si>
    <t>RC79%</t>
  </si>
  <si>
    <t>NY3170HCP106RC79%</t>
  </si>
  <si>
    <t>NY3170HCP1080RC65%</t>
  </si>
  <si>
    <t>RC68-69%</t>
  </si>
  <si>
    <t>NY3170HCP1080RC68-69%</t>
  </si>
  <si>
    <t>NY3170HCP1080RC73%</t>
  </si>
  <si>
    <t>NY3170HCP2116RC55%</t>
  </si>
  <si>
    <t>NY3170HCP2116RC56-58%</t>
  </si>
  <si>
    <t>RC59-60%</t>
  </si>
  <si>
    <t>NY3170HCP2116RC59-60%</t>
  </si>
  <si>
    <t>RC61-63%</t>
  </si>
  <si>
    <t>NY3170HCP2116RC61-63%</t>
  </si>
  <si>
    <t>NY3170HCP7628RC49%</t>
  </si>
  <si>
    <t>NY3170HCP7628RC52%</t>
  </si>
  <si>
    <t>NY3170HFP</t>
  </si>
  <si>
    <t>NY3170HFP1080RC68%</t>
  </si>
  <si>
    <t>NY3170HFP1080RC69%</t>
  </si>
  <si>
    <t>NY3170HFP1080RC72%</t>
  </si>
  <si>
    <t>RC57-60%</t>
  </si>
  <si>
    <t>NY3170HFP2116RC57-60%</t>
  </si>
  <si>
    <t>NY3170HFP7628RC45%</t>
  </si>
  <si>
    <t>NY3170HFP7628RC57-60%</t>
  </si>
  <si>
    <t>NY3170M2P</t>
  </si>
  <si>
    <t>RC71.5%</t>
  </si>
  <si>
    <t>NY3170M2P106RC71.5%</t>
  </si>
  <si>
    <t>NY3170M2P106RC75%</t>
  </si>
  <si>
    <t>RC71%</t>
  </si>
  <si>
    <t>NY3170M2P1035RC71%</t>
  </si>
  <si>
    <t>NY3170M2P1035RC75%</t>
  </si>
  <si>
    <t>NY3170M2P1067RC70%</t>
  </si>
  <si>
    <t>NY3170M2P1067RC73%</t>
  </si>
  <si>
    <t>银杉项目专案</t>
  </si>
  <si>
    <t>NY3170M2P1067RC76%</t>
  </si>
  <si>
    <t>NY3170M2P1078RC72%</t>
  </si>
  <si>
    <t>RC64-66%</t>
  </si>
  <si>
    <t>NY3170M2P1078RC64-66%</t>
  </si>
  <si>
    <t>NY3170M2P1078RC69%</t>
  </si>
  <si>
    <t>RC62%</t>
  </si>
  <si>
    <t>NY3170M2P1078RC62%</t>
  </si>
  <si>
    <t>NY3170M2P1080RC61%</t>
  </si>
  <si>
    <t>RC63-66%</t>
  </si>
  <si>
    <t>NY3170M2P1080RC63-66%</t>
  </si>
  <si>
    <t>NY3170M2P1080RC69%</t>
  </si>
  <si>
    <t>NY3170M2P1080RC72%</t>
  </si>
  <si>
    <t>RC53-55%</t>
  </si>
  <si>
    <t>NY3170M2P2116RC53-55%</t>
  </si>
  <si>
    <t>RC56-57%</t>
  </si>
  <si>
    <t>NY3170M2P2116RC56-57%</t>
  </si>
  <si>
    <t>NY3170M2P2116RC59%</t>
  </si>
  <si>
    <t>NY3170M2P2116RC62%</t>
  </si>
  <si>
    <t>NY3170M2P33130.57</t>
  </si>
  <si>
    <t>RC59-61%</t>
  </si>
  <si>
    <t>NY3170M2P3313RC59-61%</t>
  </si>
  <si>
    <t>NY3170M2P7628RC48%</t>
  </si>
  <si>
    <t>NY3170MP</t>
  </si>
  <si>
    <t>NY3170MP106RC72%</t>
  </si>
  <si>
    <t>NY3170MP106RC75%</t>
  </si>
  <si>
    <t>NY3170MP1035RC70%</t>
  </si>
  <si>
    <t>NY3170MP1035RC72%</t>
  </si>
  <si>
    <t>RC77%</t>
  </si>
  <si>
    <t>NY3170MP1035RC77%</t>
  </si>
  <si>
    <t>RC70-72%</t>
  </si>
  <si>
    <t>NY3170MP1067RC70-72%</t>
  </si>
  <si>
    <t>NY3170MP1067RC75%</t>
  </si>
  <si>
    <t>NY3170MP1067RC77%</t>
  </si>
  <si>
    <t>RC61-62%</t>
  </si>
  <si>
    <t>NY3170MP1078RC61-62%</t>
  </si>
  <si>
    <t>NY3170MP1078RC63-64%</t>
  </si>
  <si>
    <t>NY3170MP1078RC65%</t>
  </si>
  <si>
    <t>RC68-70%</t>
  </si>
  <si>
    <t>NY3170MP1078RC68-70%</t>
  </si>
  <si>
    <t>NY3170MP1078RC72%</t>
  </si>
  <si>
    <t>NY3170MP1080RC61-62%</t>
  </si>
  <si>
    <t>NY3170MP1080RC63%</t>
  </si>
  <si>
    <t>NY3170MP1080RC65%</t>
  </si>
  <si>
    <t>NY3170MP1080RC68-69%</t>
  </si>
  <si>
    <t>NY3170MP1080RC70%</t>
  </si>
  <si>
    <t>NY3170MP2313RC57%</t>
  </si>
  <si>
    <t>RC56%-57%</t>
  </si>
  <si>
    <t>NY3170MP2113RC56%-57%</t>
  </si>
  <si>
    <t>NY3170MP2116RC53%</t>
  </si>
  <si>
    <t>NY3170MP2116RC55%</t>
  </si>
  <si>
    <t>NY3170MP2116RC57%</t>
  </si>
  <si>
    <t>NY3170MP2116RC58%</t>
  </si>
  <si>
    <t>NY3170MP2116RC62%</t>
  </si>
  <si>
    <t>NY3170MP2116RC60%</t>
  </si>
  <si>
    <t>R62%</t>
  </si>
  <si>
    <t>NY3170MP3313R62%</t>
  </si>
  <si>
    <t>R60%</t>
  </si>
  <si>
    <t>NY3170MP3313R60%</t>
  </si>
  <si>
    <t>NY3170MP3313RC58%</t>
  </si>
  <si>
    <t>NY3170MP3313RC56%</t>
  </si>
  <si>
    <t>NY3170MP7628RC46-48%</t>
  </si>
  <si>
    <t>NY3170MP7628RC49%</t>
  </si>
  <si>
    <t>NY3170LKP</t>
  </si>
  <si>
    <t>NY3170LKP3313RC59%</t>
  </si>
  <si>
    <t>NY3170LKP2116RC60%</t>
  </si>
  <si>
    <t>NY6180LP</t>
  </si>
  <si>
    <t>NY6180LP106RC72%</t>
  </si>
  <si>
    <t>NY6180LP106RC75%</t>
  </si>
  <si>
    <t>NY6180LP1035RC70%</t>
  </si>
  <si>
    <t>RC72-73%</t>
  </si>
  <si>
    <t>NY6180LP1035RC72-73%</t>
  </si>
  <si>
    <t>NY6180LP1037RC68-70%</t>
  </si>
  <si>
    <t>NY6180LP1037RC72-73%</t>
  </si>
  <si>
    <t>NY6180LP1067RC70-72%</t>
  </si>
  <si>
    <t>NY6180LP1078RC64%</t>
  </si>
  <si>
    <t>RC66-68%</t>
  </si>
  <si>
    <t>NY6180LP1078RC66-68%</t>
  </si>
  <si>
    <t>NY6180LP1035RC74%</t>
  </si>
  <si>
    <t>RC62-63%</t>
  </si>
  <si>
    <t>NY6180LP1080RC62-63%</t>
  </si>
  <si>
    <t>NY6180LP1080RC64%</t>
  </si>
  <si>
    <t>NY6180LP1080RC66-68%</t>
  </si>
  <si>
    <t>NY6180LP1080RC70%</t>
  </si>
  <si>
    <t>NY6180LP1080RC73%</t>
  </si>
  <si>
    <t>NY6180LP1080RC71%</t>
  </si>
  <si>
    <t>RC53-54%</t>
  </si>
  <si>
    <t>NY6180LP2116RC53-54%</t>
  </si>
  <si>
    <t>RC55-57%</t>
  </si>
  <si>
    <t>NY6180LP2116RC55-57%</t>
  </si>
  <si>
    <t>NY6180LP2116RC58-60%</t>
  </si>
  <si>
    <t>NY6180LP2116RC61%</t>
  </si>
  <si>
    <t>NY6180LP2116RC62-63%</t>
  </si>
  <si>
    <t>NY6180LP3313RC57%</t>
  </si>
  <si>
    <t>NY6180LP3313RC59%</t>
  </si>
  <si>
    <t>NY6180LP3313RC61%</t>
  </si>
  <si>
    <t>NY6180HFP</t>
  </si>
  <si>
    <t>NY6180HFP1080RC70%</t>
  </si>
  <si>
    <t>NY6180P</t>
  </si>
  <si>
    <t>NY6180P106RC79%</t>
  </si>
  <si>
    <t>RC83%</t>
  </si>
  <si>
    <t>NY6180P106RC83%</t>
  </si>
  <si>
    <t>RC85%</t>
  </si>
  <si>
    <t>NY6180P106RC85%</t>
  </si>
  <si>
    <t>NY6180P1067RC72%</t>
  </si>
  <si>
    <t>NY6180P1067RC74%</t>
  </si>
  <si>
    <t>NY6180P1067RC79%</t>
  </si>
  <si>
    <t>NY6180P1078RC72%</t>
  </si>
  <si>
    <t>RC67%</t>
  </si>
  <si>
    <t>NY6180P1078RC67%</t>
  </si>
  <si>
    <t>NY6180P1078RC69%</t>
  </si>
  <si>
    <t>NY6180P1080RC62%</t>
  </si>
  <si>
    <t>NY6180P1080RC67%</t>
  </si>
  <si>
    <t>NY6180P1080RC70%</t>
  </si>
  <si>
    <t>NY6180P1080RC72%</t>
  </si>
  <si>
    <t>NY6180P1080RC77%</t>
  </si>
  <si>
    <t>NY6180P2116RC52%</t>
  </si>
  <si>
    <t>NY6180P2116RC55-57%</t>
  </si>
  <si>
    <t>NY6180P2116RC59%</t>
  </si>
  <si>
    <t>NY6180P2116RC60%</t>
  </si>
  <si>
    <t>NY6180P2116RC63%</t>
  </si>
  <si>
    <t>NY6180P2116RC62%</t>
  </si>
  <si>
    <t>NY6180P3313RC56%</t>
  </si>
  <si>
    <t>NY6180P3313RC59%</t>
  </si>
  <si>
    <t>NY6180P3313RC63%</t>
  </si>
  <si>
    <t>NY6200P</t>
  </si>
  <si>
    <t>NY6200P106RC70%</t>
  </si>
  <si>
    <t>RC72-74%</t>
  </si>
  <si>
    <t>NY6200P106RC72-74%</t>
  </si>
  <si>
    <t>NY6200P106RC76%</t>
  </si>
  <si>
    <t>NY6200P1037RC68-70%</t>
  </si>
  <si>
    <t>RC69-70%</t>
  </si>
  <si>
    <t>NY6200P1067RC69-70%</t>
  </si>
  <si>
    <t>NY6200P1067RC73%</t>
  </si>
  <si>
    <t>NY6200P1067RC76%</t>
  </si>
  <si>
    <t>NY6200P1078RC66%</t>
  </si>
  <si>
    <t>NY6200P1078RC69-70%</t>
  </si>
  <si>
    <t>NY6200P10800.62</t>
  </si>
  <si>
    <t>NY6200P10800.64</t>
  </si>
  <si>
    <t>NY6200P1080RC66%</t>
  </si>
  <si>
    <t>NY6200P1080RC68-70%</t>
  </si>
  <si>
    <t>NY6200P1080RC72-74%</t>
  </si>
  <si>
    <t>NY6200P2116RC54%</t>
  </si>
  <si>
    <t>RC55-56%</t>
  </si>
  <si>
    <t>NY6200P2116RC55-56%</t>
  </si>
  <si>
    <t>NY6200P2116RC57%</t>
  </si>
  <si>
    <t>RC58-59%</t>
  </si>
  <si>
    <t>NY6200P2116RC58-59%</t>
  </si>
  <si>
    <t>NY6200P2116RC60%</t>
  </si>
  <si>
    <t>NY6200P3313RC57%</t>
  </si>
  <si>
    <t>NY6200P3313RC59%</t>
  </si>
  <si>
    <t>NY6200P3313RC61%</t>
  </si>
  <si>
    <t>NY6200P3313RC63%</t>
  </si>
  <si>
    <t>NY6288P</t>
  </si>
  <si>
    <t>NY6288P1067RC74%</t>
  </si>
  <si>
    <t>NY6288P1078RC67%</t>
  </si>
  <si>
    <t>NY6288P1080RC67%</t>
  </si>
  <si>
    <t>NY6288P1080RC70%</t>
  </si>
  <si>
    <t>NY6288P2116RC62%</t>
  </si>
  <si>
    <t>NY6288P3313RC61%</t>
  </si>
  <si>
    <t>NY6300P</t>
  </si>
  <si>
    <t>NY6300P106RC71-72%</t>
  </si>
  <si>
    <t>NY6300P106RC75%</t>
  </si>
  <si>
    <t>NY6300P106RC76%</t>
  </si>
  <si>
    <t>RC77-78%</t>
  </si>
  <si>
    <t>NY6300P106RC77-78%</t>
  </si>
  <si>
    <t>NY6300P1035RC72-73%</t>
  </si>
  <si>
    <t>NY6300P1035RC77%</t>
  </si>
  <si>
    <t>NY6300P1037RC70%</t>
  </si>
  <si>
    <t>NY6300P1067RC76%</t>
  </si>
  <si>
    <t>NY6300P1067RC71-72%</t>
  </si>
  <si>
    <t>NY6300P1067RC66%</t>
  </si>
  <si>
    <t>NY6300P1078RC65%</t>
  </si>
  <si>
    <t>NY6300P1078RC68%</t>
  </si>
  <si>
    <t>NY6300P1078RC74%</t>
  </si>
  <si>
    <t>NY6300P1080RC64%</t>
  </si>
  <si>
    <t>NY6300P1080RC65%</t>
  </si>
  <si>
    <t>NY6300P1080RC68%</t>
  </si>
  <si>
    <t>NY6300P1080RC71%</t>
  </si>
  <si>
    <t>NY6300P1080RC72%</t>
  </si>
  <si>
    <t>NY6300P1080RC74%</t>
  </si>
  <si>
    <t>NY6300P2116RC54%</t>
  </si>
  <si>
    <t>NY6300P2116RC55%</t>
  </si>
  <si>
    <t>NY6300P2116RC56-57%</t>
  </si>
  <si>
    <t>NY6300P2116RC59%</t>
  </si>
  <si>
    <t>RC57-59%</t>
  </si>
  <si>
    <t>NY6300P3313RC57-59%</t>
  </si>
  <si>
    <t>NY6300P3313RC61%</t>
  </si>
  <si>
    <t>NY6300SNP</t>
  </si>
  <si>
    <t>RC72-73</t>
  </si>
  <si>
    <t>NY6300SNP1035RC72-73</t>
  </si>
  <si>
    <t>RC75</t>
  </si>
  <si>
    <t>NY6300SNP1035RC75</t>
  </si>
  <si>
    <t>RC77</t>
  </si>
  <si>
    <t>NY6300SNP1035RC77</t>
  </si>
  <si>
    <t>RC62</t>
  </si>
  <si>
    <t>NY6300SNP1078RC62</t>
  </si>
  <si>
    <t>RC65</t>
  </si>
  <si>
    <t>NY6300SNP1078RC65</t>
  </si>
  <si>
    <t>RC70</t>
  </si>
  <si>
    <t>NY6300SNP1078RC70</t>
  </si>
  <si>
    <t>RC68</t>
  </si>
  <si>
    <t>NY6300SNP1078RC68</t>
  </si>
  <si>
    <t>RC73-75</t>
  </si>
  <si>
    <t>NY6300SNP1078RC73-75</t>
  </si>
  <si>
    <t>NY6300SNP1078RC77</t>
  </si>
  <si>
    <t>NY6300SNP1067RC71%</t>
  </si>
  <si>
    <t>RC75-76%</t>
  </si>
  <si>
    <t>NY6300SNP1067RC75-76%</t>
  </si>
  <si>
    <t>NY6300SNP2116RC56%</t>
  </si>
  <si>
    <t>NY6300SNP2116RC68%</t>
  </si>
  <si>
    <t>NY6300SP</t>
  </si>
  <si>
    <t>RC71-73%</t>
  </si>
  <si>
    <t>NY6300SP106RC71-73%</t>
  </si>
  <si>
    <t>NY6300SP106RC75-76%</t>
  </si>
  <si>
    <t>NY6300SP1035RC70%</t>
  </si>
  <si>
    <t>NY6300SP1035RC73%</t>
  </si>
  <si>
    <t>NY6300SP1035RC75%</t>
  </si>
  <si>
    <t>NY6300SP1035RC77%</t>
  </si>
  <si>
    <t>NY6300SP1067RC67%</t>
  </si>
  <si>
    <t>NY6300SP1067RC70%</t>
  </si>
  <si>
    <t>NY6300SP1067RC73%</t>
  </si>
  <si>
    <t>NY6300SP1067RC74%</t>
  </si>
  <si>
    <t>NY6300SP1067RC76%</t>
  </si>
  <si>
    <t>RC60-63%</t>
  </si>
  <si>
    <t>NY6300SP1078RC60-63%</t>
  </si>
  <si>
    <t>NY6300SP1078RC64%</t>
  </si>
  <si>
    <t>NY6300SP1078RC65-66%</t>
  </si>
  <si>
    <t>NY6300SP1078RC67-68%</t>
  </si>
  <si>
    <t>NY6300SP1078RC69-71%</t>
  </si>
  <si>
    <t>NY6300SP1078RC72-74%</t>
  </si>
  <si>
    <t>NY6300SP1080RC61-62%</t>
  </si>
  <si>
    <t>RC64-67%</t>
  </si>
  <si>
    <t>NY6300SP1080RC64-67%</t>
  </si>
  <si>
    <t>NY6300SP1080RC68-70%</t>
  </si>
  <si>
    <t>RC73-74%</t>
  </si>
  <si>
    <t>NY6300SP1080RC73-74%</t>
  </si>
  <si>
    <t>RC54-55%</t>
  </si>
  <si>
    <t>NY6300SP2116RC54-55%</t>
  </si>
  <si>
    <t>RC56-57</t>
  </si>
  <si>
    <t>NY6300SP2116RC56-57</t>
  </si>
  <si>
    <t>RC58</t>
  </si>
  <si>
    <t>NY6300SP2116RC58</t>
  </si>
  <si>
    <t>RC59</t>
  </si>
  <si>
    <t>NY6300SP2116RC59</t>
  </si>
  <si>
    <t>RC60-61</t>
  </si>
  <si>
    <t>NY6300SP2116RC60-61</t>
  </si>
  <si>
    <t>NY6300SP3313RC55-57%</t>
  </si>
  <si>
    <t>NY6300SP3313RC58-59%</t>
  </si>
  <si>
    <t>NY6666SEP</t>
  </si>
  <si>
    <t>NY6666SEP1078RC62%</t>
  </si>
  <si>
    <t>NY6666SEP1078RC66%</t>
  </si>
  <si>
    <t>NY6666SEP1078RC70%</t>
  </si>
  <si>
    <t>NY6666SEP1080RC66%</t>
  </si>
  <si>
    <t>NY6666SEP1080RC68%</t>
  </si>
  <si>
    <t>NY6666SEP1080RC70%</t>
  </si>
  <si>
    <t>NY6666SEP1035RC70%</t>
  </si>
  <si>
    <t>NY6666SEP1035RC74%</t>
  </si>
  <si>
    <t>NY66661035RC66%</t>
  </si>
  <si>
    <t>RC70-74%</t>
  </si>
  <si>
    <t>NY66661035RC70-74%</t>
  </si>
  <si>
    <t>NY66661080RC66%</t>
  </si>
  <si>
    <t>RC71-74%</t>
  </si>
  <si>
    <t>NY6666N1035RC71-74%</t>
  </si>
  <si>
    <t>RC75-77%</t>
  </si>
  <si>
    <t>NY6666N1035RC75-77%</t>
  </si>
  <si>
    <t>NY6666N1035RC78%</t>
  </si>
  <si>
    <t>RC65-67%</t>
  </si>
  <si>
    <t>NY6666N1078RC65-67%</t>
  </si>
  <si>
    <t>NY6666N1078RC69%</t>
  </si>
  <si>
    <t>NY6666N1078RC71%</t>
  </si>
  <si>
    <t>NY6666N1080RC65%</t>
  </si>
  <si>
    <t>NY6666N1080RC68-69%</t>
  </si>
  <si>
    <t>NY6666N2116RC56-57%</t>
  </si>
  <si>
    <t>NY-8888N</t>
  </si>
  <si>
    <t>NY-8888N1035RC73%</t>
  </si>
  <si>
    <t>NY-8888N1035RC75%</t>
  </si>
  <si>
    <t>NY-8888N1035RC77%</t>
  </si>
  <si>
    <t>NY-8888N1067RC75%</t>
  </si>
  <si>
    <t>NY-8888N1078RC67%</t>
  </si>
  <si>
    <t>NY-8888N1078RC69%</t>
  </si>
  <si>
    <t>NY-8888</t>
  </si>
  <si>
    <t>NY-88881035RC67%</t>
  </si>
  <si>
    <t>NY-88881035RC73%</t>
  </si>
  <si>
    <t>NY-88881035RC75%</t>
  </si>
  <si>
    <t>NY-88881035RC76%</t>
  </si>
  <si>
    <t>NY-88881035RC77%</t>
  </si>
  <si>
    <t>NY-88881078RC60%</t>
  </si>
  <si>
    <t>NY-88881078RC65%</t>
  </si>
  <si>
    <t>RC70-73%</t>
  </si>
  <si>
    <t>NY-88881078RC70-73%</t>
  </si>
  <si>
    <t>NY-A1P</t>
  </si>
  <si>
    <t>NY-A1P2116RC53%</t>
  </si>
  <si>
    <t>NY-A1P2116RC54%</t>
  </si>
  <si>
    <t>NY-A1P2116RC58%</t>
  </si>
  <si>
    <t>NY-A1P1035RC77%</t>
  </si>
  <si>
    <t>NY-A1P1080RC64%</t>
  </si>
  <si>
    <t>NY-A1P1080RC67%</t>
  </si>
  <si>
    <t>NY-A1P1080RC68%</t>
  </si>
  <si>
    <t>NY-A1P1080RC70%</t>
  </si>
  <si>
    <t>NY-A1P1506RC48%</t>
  </si>
  <si>
    <t>NY-A1P2116RC60%</t>
  </si>
  <si>
    <t>NY-A1P7628RC44%</t>
  </si>
  <si>
    <t>RC46%</t>
  </si>
  <si>
    <t>NY-A1P7628RC46%</t>
  </si>
  <si>
    <t>NY-A1P7628RC48%</t>
  </si>
  <si>
    <t>NY-A1P7628RC49%</t>
  </si>
  <si>
    <t>NY-A1P7628RC50%</t>
  </si>
  <si>
    <t>NY-A1P7628RC52%</t>
  </si>
  <si>
    <t>NY-A1P7628RC54%</t>
  </si>
  <si>
    <t>NY-A1P（B）</t>
  </si>
  <si>
    <t>NY-A1P（B）1080RC64%</t>
  </si>
  <si>
    <t>NY-A1P（B）1080RC67%</t>
  </si>
  <si>
    <t>NY-A1P（B）1080RC68%</t>
  </si>
  <si>
    <t>NY-A1P（B）1080RC70%</t>
  </si>
  <si>
    <t>NY-A1P（B）1506RC48%</t>
  </si>
  <si>
    <t>RC52-53%</t>
  </si>
  <si>
    <t>NY-A1P（B）2116RC52-53%</t>
  </si>
  <si>
    <t>RC54-56%</t>
  </si>
  <si>
    <t>NY-A1P（B）2116RC54-56%</t>
  </si>
  <si>
    <t>NY-A1P（B）2116RC58-60%</t>
  </si>
  <si>
    <t>NY-A1P（B）2313RC57%</t>
  </si>
  <si>
    <t>NY-A1P（B）7628RC44%</t>
  </si>
  <si>
    <t>NY-A1P（B）7628RC45-46%</t>
  </si>
  <si>
    <t>NY-A1P（B）7628RC48%</t>
  </si>
  <si>
    <t>NY-A1P（B）7628RC49%</t>
  </si>
  <si>
    <t>NY-A1P（B）7628RC50%</t>
  </si>
  <si>
    <t>NY-A1P（B）7628RC52%</t>
  </si>
  <si>
    <t>NY-A2P</t>
  </si>
  <si>
    <t>NY-A2P106RC76%</t>
  </si>
  <si>
    <t>NY-A2P106RC74%</t>
  </si>
  <si>
    <t>NY-A2P1067RC74%</t>
  </si>
  <si>
    <t>NY-A2P1035RC70</t>
  </si>
  <si>
    <t>RC64-65%</t>
  </si>
  <si>
    <t>NY-A2P1080RC64-65%</t>
  </si>
  <si>
    <t>NY-A2P1080RC67-68%</t>
  </si>
  <si>
    <t>NY-A2P1080RC70-72%</t>
  </si>
  <si>
    <t>NY-A2P1506RC50%</t>
  </si>
  <si>
    <t>NY-A2P2313RC58%</t>
  </si>
  <si>
    <t>NY-A2P2113RC58%</t>
  </si>
  <si>
    <t>NY-A2P2116RC52-54%</t>
  </si>
  <si>
    <t>NY-A2P2116RC55-57%</t>
  </si>
  <si>
    <t>NY-A2P2116RC59-60%</t>
  </si>
  <si>
    <t>NY-A2P2116RC61%</t>
  </si>
  <si>
    <t>NY-A2P2116RC63%</t>
  </si>
  <si>
    <t>RC 42-45%</t>
  </si>
  <si>
    <t>NY-A2P7628RC 42-45%</t>
  </si>
  <si>
    <t>RC 49-50%</t>
  </si>
  <si>
    <t>NY-A2P7628RC 49-50%</t>
  </si>
  <si>
    <t>NY-A2P7628RC52%</t>
  </si>
  <si>
    <t>NY-A2P(B)</t>
  </si>
  <si>
    <t>NY-A2P(B)1080RC67-68%</t>
  </si>
  <si>
    <t>NY-A2P(B)2116RC55-56%</t>
  </si>
  <si>
    <t>NY-A2P(B)2116RC58-60%</t>
  </si>
  <si>
    <t>RC 49-52%</t>
  </si>
  <si>
    <t>NY-A2P(B)7628RC 49-52%</t>
  </si>
  <si>
    <t>NY-A2P(B)7628RC45%</t>
  </si>
  <si>
    <t>NY-A3HF1080RC67%</t>
  </si>
  <si>
    <t>NY-A3HF1080RC71%</t>
  </si>
  <si>
    <t>NY-A3HF106RC71%</t>
  </si>
  <si>
    <t>NY-A3HF106RC77%</t>
  </si>
  <si>
    <t>NY-P1P</t>
  </si>
  <si>
    <t>NY-P1P106RC72%</t>
  </si>
  <si>
    <t>NY-P1P106RC74-75%</t>
  </si>
  <si>
    <t>NY-P1P106RC77%</t>
  </si>
  <si>
    <t>NY-P1P1035RC71-73%</t>
  </si>
  <si>
    <t>RC74-77%</t>
  </si>
  <si>
    <t>NY-P1P1035RC74-77%</t>
  </si>
  <si>
    <t>NY-P1P1078RC68-69%</t>
  </si>
  <si>
    <t>NY-P1P1078RC71-73%</t>
  </si>
  <si>
    <t>NY-P1P1080RC65%</t>
  </si>
  <si>
    <t>NY-P1P1080RC68-69%</t>
  </si>
  <si>
    <t>NY-P1P1080RC71%</t>
  </si>
  <si>
    <t>NY-P1P1080RC73%</t>
  </si>
  <si>
    <t>NY-P1P2116RC57%</t>
  </si>
  <si>
    <t>NY-P1P3313RC57-59%</t>
  </si>
  <si>
    <t>NY-P3CP</t>
  </si>
  <si>
    <t>NY-P3CP1078RC68%</t>
  </si>
  <si>
    <t>NY-P3CP1080RC68%</t>
  </si>
  <si>
    <t>NY-P3CP1080RC72%</t>
  </si>
  <si>
    <t>NY-P3CP1035RC72%</t>
  </si>
  <si>
    <t>NY-P3CP1035RC76-77%</t>
  </si>
  <si>
    <t>NY-P3CP2116RC60%</t>
  </si>
  <si>
    <t>NY-P3P</t>
  </si>
  <si>
    <t>RC72-75%</t>
  </si>
  <si>
    <t>NY-P3P106RC72-75%</t>
  </si>
  <si>
    <t>NY-P3P106RC76-77%</t>
  </si>
  <si>
    <t>NY-P3P1035RC65%</t>
  </si>
  <si>
    <t>NY-P3P1035RC67%</t>
  </si>
  <si>
    <t>NY-P3P1035RC68%</t>
  </si>
  <si>
    <t>NY-P3P1035RC70%</t>
  </si>
  <si>
    <t>NY-P3P1035RC72%</t>
  </si>
  <si>
    <t>NY-P3P1035RC73%</t>
  </si>
  <si>
    <t>RC73-75%</t>
  </si>
  <si>
    <t>NY-P3P1035RC73-75%</t>
  </si>
  <si>
    <t>NY-P3P1035RC75%</t>
  </si>
  <si>
    <t>NY-P3P1035RC76-77%</t>
  </si>
  <si>
    <t>RC78-80%</t>
  </si>
  <si>
    <t>NY-P3P1035RC78-80%</t>
  </si>
  <si>
    <t>NY-P3P1078RC64-66%</t>
  </si>
  <si>
    <t>NY-P3P1078RC68%</t>
  </si>
  <si>
    <t>NY-P3P1078RC70%</t>
  </si>
  <si>
    <t>NY-P3P1080RC64%</t>
  </si>
  <si>
    <t>NY-P3P1080RC67%</t>
  </si>
  <si>
    <t>NY-P3P1080RC72-74%</t>
  </si>
  <si>
    <t>NY-P3P2116RC57%</t>
  </si>
  <si>
    <t>NY-P3P3313RC58%</t>
  </si>
  <si>
    <t>NY-P4P</t>
  </si>
  <si>
    <t>NY-P4P1035RC74%</t>
  </si>
  <si>
    <t>NY-P4P1078RC66%</t>
  </si>
  <si>
    <t>NY-P4P1078RC71%</t>
  </si>
  <si>
    <t>NY-P2P</t>
  </si>
  <si>
    <t>NY-P2P1078RC71%</t>
  </si>
  <si>
    <t>NY-P2(C)P</t>
  </si>
  <si>
    <t>RC62-64%</t>
  </si>
  <si>
    <t>NY-P2(C)P3313RC62-64%</t>
  </si>
  <si>
    <t>NY-P2(C)P3313RC56-58%</t>
  </si>
  <si>
    <t>NY-P2(C)P1035RC70%</t>
  </si>
  <si>
    <t>NY-P2(C)P1035RC77-78%</t>
  </si>
  <si>
    <t>RC67-70%</t>
  </si>
  <si>
    <t>NY-P2(C)P1078RC67-70%</t>
  </si>
  <si>
    <t>NY-P2(C)P1078RC72%</t>
  </si>
  <si>
    <t>NY-P2(C)P1078RC75%</t>
  </si>
  <si>
    <t>NY-P2(C)P1078RC76-78%</t>
  </si>
  <si>
    <t>NY-P2(C)P1080RC69-71%</t>
  </si>
  <si>
    <t>NY-P2(C)P1080RC72%</t>
  </si>
  <si>
    <t>NY2150HP1080RC65%</t>
  </si>
  <si>
    <t>NY9999Q</t>
  </si>
  <si>
    <t>NY9999Q1035RC78%</t>
  </si>
  <si>
    <t>NY6300SP1067RC56%</t>
  </si>
  <si>
    <t>NY6300SP1080RC72%</t>
  </si>
  <si>
    <t>NY6300SNP1080RC65%</t>
  </si>
  <si>
    <t>NY6300SNP2116RC58%</t>
  </si>
  <si>
    <t>NY6300SNP3313RC56%</t>
  </si>
  <si>
    <t>NY6300SNP1080RC68%</t>
  </si>
  <si>
    <t>NY6300SNP1080RC69-71%</t>
  </si>
  <si>
    <t>NY6300SNP1080RC77%</t>
  </si>
  <si>
    <t>NY3170M2P2116RC60%</t>
  </si>
  <si>
    <t>NY-A1P106RC78%</t>
  </si>
</sst>
</file>

<file path=xl/styles.xml><?xml version="1.0" encoding="utf-8"?>
<styleSheet xmlns="http://schemas.openxmlformats.org/spreadsheetml/2006/main">
  <numFmts count="17">
    <numFmt numFmtId="300" formatCode="#,##0.00_ "/>
    <numFmt numFmtId="301" formatCode="#,##0.0_ "/>
    <numFmt numFmtId="302" formatCode="yyyy&quot;年&quot;m&quot;月&quot;d&quot;日&quot;;@"/>
    <numFmt numFmtId="303" formatCode="0.00_);[Red]\(0.00\)"/>
    <numFmt numFmtId="304" formatCode="0_ "/>
    <numFmt numFmtId="305" formatCode="m&quot;月&quot;d&quot;日&quot;;@"/>
    <numFmt numFmtId="306" formatCode="0.000"/>
    <numFmt numFmtId="307" formatCode="0.00_);[Red](0.00)"/>
    <numFmt numFmtId="308" formatCode="0.00_ "/>
    <numFmt numFmtId="309" formatCode="0.0_ "/>
    <numFmt numFmtId="310" formatCode="General"/>
    <numFmt numFmtId="311" formatCode="0.00%"/>
    <numFmt numFmtId="312" formatCode="_ &quot;￥&quot;* #,##0_ ;_ &quot;￥&quot;* \-#,##0_ ;_ &quot;￥&quot;* &quot;-&quot;_ ;_ @_ "/>
    <numFmt numFmtId="313" formatCode="_ * #,##0.00_ ;_ * \-#,##0.00_ ;_ * &quot;-&quot;??_ ;_ @_ "/>
    <numFmt numFmtId="314" formatCode="_ &quot;￥&quot;* #,##0.00_ ;_ &quot;￥&quot;* \-#,##0.00_ ;_ &quot;￥&quot;* &quot;-&quot;??_ ;_ @_ "/>
    <numFmt numFmtId="315" formatCode="_ * #,##0_ ;_ * \-#,##0_ ;_ * &quot;-&quot;_ ;_ @_ "/>
    <numFmt numFmtId="316" formatCode="0%"/>
  </numFmts>
  <fonts count="40">
    <font>
      <name val="等线"/>
      <charset val="134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sz val="11"/>
    </font>
    <font>
      <name val="宋体"/>
      <sz val="11"/>
    </font>
    <font>
      <name val="宋体"/>
      <i val="true"/>
      <sz val="11"/>
    </font>
    <font>
      <name val="宋体"/>
      <charset val="134"/>
      <i val="true"/>
      <sz val="11"/>
    </font>
    <font>
      <name val="宋体"/>
      <charset val="134"/>
      <b val="true"/>
      <sz val="11"/>
    </font>
    <font>
      <name val="'Microsoft YaHei UI'"/>
      <charset val="134"/>
      <sz val="10"/>
    </font>
    <font>
      <name val="宋体"/>
      <charset val="134"/>
      <color rgb="FFDE3C36"/>
      <sz val="11"/>
    </font>
    <font>
      <name val="宋体"/>
      <color rgb="FFDE3C36"/>
      <sz val="11"/>
    </font>
    <font>
      <name val="宋体"/>
      <charset val="134"/>
      <color rgb="FFFF0000"/>
      <sz val="11"/>
    </font>
    <font/>
    <font>
      <sz val="11"/>
    </font>
    <font>
      <charset val="134"/>
      <sz val="11"/>
    </font>
    <font>
      <name val="宋体"/>
      <charset val="134"/>
      <sz val="10"/>
    </font>
    <font>
      <name val="等线"/>
      <color rgb="FFDE3C36"/>
      <sz val="10"/>
    </font>
    <font>
      <name val="宋体"/>
      <sz val="11"/>
    </font>
    <font>
      <name val="等线"/>
      <charset val="134"/>
      <color rgb="FFDE3C36"/>
      <sz val="10"/>
      <scheme val="minor"/>
    </font>
    <font>
      <name val="等线"/>
      <charset val="134"/>
      <color theme="1"/>
      <sz val="10"/>
      <scheme val="minor"/>
    </font>
    <font>
      <name val="等线"/>
      <charset val="0"/>
      <color theme="1"/>
      <sz val="11"/>
      <scheme val="minor"/>
    </font>
    <font>
      <name val="等线"/>
      <charset val="134"/>
      <b val="true"/>
      <color theme="3"/>
      <sz val="13"/>
      <scheme val="minor"/>
    </font>
    <font>
      <name val="等线"/>
      <charset val="0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b val="true"/>
      <color theme="3"/>
      <sz val="11"/>
      <scheme val="minor"/>
    </font>
    <font>
      <name val="等线"/>
      <charset val="134"/>
      <b val="true"/>
      <color theme="3"/>
      <sz val="18"/>
      <scheme val="minor"/>
    </font>
    <font>
      <name val="等线"/>
      <charset val="0"/>
      <b val="true"/>
      <color theme="1"/>
      <sz val="11"/>
      <scheme val="minor"/>
    </font>
    <font>
      <name val="等线"/>
      <charset val="0"/>
      <b val="true"/>
      <color rgb="FFFA7D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true"/>
      <color rgb="FFFFFFFF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true"/>
      <color rgb="FF3F3F3F"/>
      <sz val="11"/>
      <scheme val="minor"/>
    </font>
    <font>
      <name val="等线"/>
      <charset val="0"/>
      <i val="true"/>
      <color rgb="FF7F7F7F"/>
      <sz val="11"/>
      <scheme val="minor"/>
    </font>
    <font>
      <name val="等线"/>
      <charset val="134"/>
      <b val="true"/>
      <color theme="3"/>
      <sz val="15"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rgb="FFFA7D00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rgb="FF0000FF"/>
      <sz val="11"/>
      <u/>
      <scheme val="minor"/>
    </font>
    <font>
      <name val="等线"/>
      <charset val="0"/>
      <color rgb="FF006100"/>
      <sz val="11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8CDDFA"/>
        <bgColor indexed="64"/>
      </patternFill>
    </fill>
    <fill/>
    <fill>
      <patternFill patternType="solid">
        <fgColor rgb="FFFFEEAD"/>
        <bgColor auto="true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/>
    <fill>
      <patternFill patternType="solid">
        <fgColor rgb="FFFFEEAD"/>
        <bgColor auto="true"/>
      </patternFill>
    </fill>
    <fill>
      <patternFill patternType="solid">
        <fgColor rgb="FF8CDDFA"/>
      </patternFill>
    </fill>
    <fill>
      <patternFill patternType="solid">
        <fgColor rgb="FFFDEBFF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/>
    </fill>
    <fill>
      <patternFill patternType="solid">
        <fgColor rgb="FFE5F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7FF"/>
      </patternFill>
    </fill>
    <fill>
      <patternFill patternType="solid">
        <fgColor rgb="FFF2C7FF"/>
      </patternFill>
    </fill>
    <fill>
      <patternFill patternType="solid">
        <fgColor rgb="FFF2C7FF"/>
      </patternFill>
    </fill>
    <fill>
      <patternFill patternType="solid">
        <fgColor rgb="FFFFFF00"/>
        <bgColor indexed="64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theme="6" tint="0.599994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/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>
    <xf numFmtId="310" fontId="19" fillId="0" borderId="15" xfId="0">
      <alignment vertical="center"/>
    </xf>
    <xf numFmtId="310" fontId="20" fillId="25" borderId="15" xfId="0" applyNumberFormat="false" applyBorder="false" applyAlignment="false" applyProtection="false">
      <alignment vertical="center"/>
    </xf>
    <xf numFmtId="310" fontId="20" fillId="26" borderId="15" xfId="0" applyNumberFormat="false" applyBorder="false" applyAlignment="false" applyProtection="false">
      <alignment vertical="center"/>
    </xf>
    <xf numFmtId="310" fontId="21" fillId="16" borderId="17" xfId="0" applyNumberFormat="false" applyFill="false" applyAlignment="false" applyProtection="false">
      <alignment vertical="center"/>
    </xf>
    <xf numFmtId="310" fontId="22" fillId="27" borderId="15" xfId="0" applyNumberFormat="false" applyBorder="false" applyAlignment="false" applyProtection="false">
      <alignment vertical="center"/>
    </xf>
    <xf numFmtId="310" fontId="23" fillId="28" borderId="18" xfId="0" applyNumberFormat="false" applyFont="false" applyAlignment="false" applyProtection="false">
      <alignment vertical="center"/>
    </xf>
    <xf numFmtId="310" fontId="20" fillId="29" borderId="15" xfId="0" applyNumberFormat="false" applyBorder="false" applyAlignment="false" applyProtection="false">
      <alignment vertical="center"/>
    </xf>
    <xf numFmtId="310" fontId="22" fillId="30" borderId="15" xfId="0" applyNumberFormat="false" applyBorder="false" applyAlignment="false" applyProtection="false">
      <alignment vertical="center"/>
    </xf>
    <xf numFmtId="310" fontId="20" fillId="31" borderId="15" xfId="0" applyNumberFormat="false" applyBorder="false" applyAlignment="false" applyProtection="false">
      <alignment vertical="center"/>
    </xf>
    <xf numFmtId="310" fontId="24" fillId="16" borderId="19" xfId="0" applyNumberFormat="false" applyFill="false" applyAlignment="false" applyProtection="false">
      <alignment vertical="center"/>
    </xf>
    <xf numFmtId="310" fontId="25" fillId="16" borderId="15" xfId="0" applyNumberFormat="false" applyFill="false" applyBorder="false" applyAlignment="false" applyProtection="false">
      <alignment vertical="center"/>
    </xf>
    <xf numFmtId="310" fontId="22" fillId="32" borderId="15" xfId="0" applyNumberFormat="false" applyBorder="false" applyAlignment="false" applyProtection="false">
      <alignment vertical="center"/>
    </xf>
    <xf numFmtId="310" fontId="26" fillId="16" borderId="20" xfId="0" applyNumberFormat="false" applyFill="false" applyAlignment="false" applyProtection="false">
      <alignment vertical="center"/>
    </xf>
    <xf numFmtId="312" fontId="23" fillId="16" borderId="15" xfId="0" applyFont="false" applyFill="false" applyBorder="false" applyAlignment="false" applyProtection="false">
      <alignment vertical="center"/>
    </xf>
    <xf numFmtId="310" fontId="22" fillId="33" borderId="15" xfId="0" applyNumberFormat="false" applyBorder="false" applyAlignment="false" applyProtection="false">
      <alignment vertical="center"/>
    </xf>
    <xf numFmtId="310" fontId="27" fillId="34" borderId="21" xfId="0" applyNumberFormat="false" applyAlignment="false" applyProtection="false">
      <alignment vertical="center"/>
    </xf>
    <xf numFmtId="310" fontId="28" fillId="35" borderId="15" xfId="0" applyNumberFormat="false" applyBorder="false" applyAlignment="false" applyProtection="false">
      <alignment vertical="center"/>
    </xf>
    <xf numFmtId="310" fontId="29" fillId="36" borderId="22" xfId="0" applyNumberFormat="false" applyAlignment="false" applyProtection="false">
      <alignment vertical="center"/>
    </xf>
    <xf numFmtId="310" fontId="22" fillId="37" borderId="15" xfId="0" applyNumberFormat="false" applyBorder="false" applyAlignment="false" applyProtection="false">
      <alignment vertical="center"/>
    </xf>
    <xf numFmtId="313" fontId="23" fillId="16" borderId="15" xfId="0" applyFont="false" applyFill="false" applyBorder="false" applyAlignment="false" applyProtection="false">
      <alignment vertical="center"/>
    </xf>
    <xf numFmtId="310" fontId="30" fillId="38" borderId="21" xfId="0" applyNumberFormat="false" applyAlignment="false" applyProtection="false">
      <alignment vertical="center"/>
    </xf>
    <xf numFmtId="310" fontId="20" fillId="39" borderId="15" xfId="0" applyNumberFormat="false" applyBorder="false" applyAlignment="false" applyProtection="false">
      <alignment vertical="center"/>
    </xf>
    <xf numFmtId="310" fontId="20" fillId="40" borderId="15" xfId="0" applyNumberFormat="false" applyBorder="false" applyAlignment="false" applyProtection="false">
      <alignment vertical="center"/>
    </xf>
    <xf numFmtId="314" fontId="23" fillId="16" borderId="15" xfId="0" applyFont="false" applyFill="false" applyBorder="false" applyAlignment="false" applyProtection="false">
      <alignment vertical="center"/>
    </xf>
    <xf numFmtId="310" fontId="22" fillId="41" borderId="15" xfId="0" applyNumberFormat="false" applyBorder="false" applyAlignment="false" applyProtection="false">
      <alignment vertical="center"/>
    </xf>
    <xf numFmtId="310" fontId="20" fillId="42" borderId="15" xfId="0" applyNumberFormat="false" applyBorder="false" applyAlignment="false" applyProtection="false">
      <alignment vertical="center"/>
    </xf>
    <xf numFmtId="310" fontId="31" fillId="34" borderId="23" xfId="0" applyNumberFormat="false" applyAlignment="false" applyProtection="false">
      <alignment vertical="center"/>
    </xf>
    <xf numFmtId="310" fontId="20" fillId="43" borderId="15" xfId="0" applyNumberFormat="false" applyBorder="false" applyAlignment="false" applyProtection="false">
      <alignment vertical="center"/>
    </xf>
    <xf numFmtId="310" fontId="22" fillId="44" borderId="15" xfId="0" applyNumberFormat="false" applyBorder="false" applyAlignment="false" applyProtection="false">
      <alignment vertical="center"/>
    </xf>
    <xf numFmtId="310" fontId="22" fillId="45" borderId="15" xfId="0" applyNumberFormat="false" applyBorder="false" applyAlignment="false" applyProtection="false">
      <alignment vertical="center"/>
    </xf>
    <xf numFmtId="310" fontId="24" fillId="16" borderId="15" xfId="0" applyNumberFormat="false" applyFill="false" applyBorder="false" applyAlignment="false" applyProtection="false">
      <alignment vertical="center"/>
    </xf>
    <xf numFmtId="310" fontId="22" fillId="46" borderId="15" xfId="0" applyNumberFormat="false" applyBorder="false" applyAlignment="false" applyProtection="false">
      <alignment vertical="center"/>
    </xf>
    <xf numFmtId="310" fontId="32" fillId="16" borderId="15" xfId="0" applyNumberFormat="false" applyFill="false" applyBorder="false" applyAlignment="false" applyProtection="false">
      <alignment vertical="center"/>
    </xf>
    <xf numFmtId="310" fontId="33" fillId="16" borderId="17" xfId="0" applyNumberFormat="false" applyFill="false" applyAlignment="false" applyProtection="false">
      <alignment vertical="center"/>
    </xf>
    <xf numFmtId="310" fontId="22" fillId="47" borderId="15" xfId="0" applyNumberFormat="false" applyBorder="false" applyAlignment="false" applyProtection="false">
      <alignment vertical="center"/>
    </xf>
    <xf numFmtId="310" fontId="20" fillId="48" borderId="15" xfId="0" applyNumberFormat="false" applyBorder="false" applyAlignment="false" applyProtection="false">
      <alignment vertical="center"/>
    </xf>
    <xf numFmtId="310" fontId="20" fillId="49" borderId="15" xfId="0" applyNumberFormat="false" applyBorder="false" applyAlignment="false" applyProtection="false">
      <alignment vertical="center"/>
    </xf>
    <xf numFmtId="315" fontId="23" fillId="16" borderId="15" xfId="0" applyFont="false" applyFill="false" applyBorder="false" applyAlignment="false" applyProtection="false">
      <alignment vertical="center"/>
    </xf>
    <xf numFmtId="310" fontId="20" fillId="50" borderId="15" xfId="0" applyNumberFormat="false" applyBorder="false" applyAlignment="false" applyProtection="false">
      <alignment vertical="center"/>
    </xf>
    <xf numFmtId="310" fontId="34" fillId="16" borderId="15" xfId="0" applyNumberFormat="false" applyFill="false" applyBorder="false" applyAlignment="false" applyProtection="false">
      <alignment vertical="center"/>
    </xf>
    <xf numFmtId="310" fontId="35" fillId="16" borderId="24" xfId="0" applyNumberFormat="false" applyFill="false" applyAlignment="false" applyProtection="false">
      <alignment vertical="center"/>
    </xf>
    <xf numFmtId="310" fontId="20" fillId="51" borderId="15" xfId="0" applyNumberFormat="false" applyBorder="false" applyAlignment="false" applyProtection="false">
      <alignment vertical="center"/>
    </xf>
    <xf numFmtId="316" fontId="23" fillId="16" borderId="15" xfId="0" applyFont="false" applyFill="false" applyBorder="false" applyAlignment="false" applyProtection="false">
      <alignment vertical="center"/>
    </xf>
    <xf numFmtId="310" fontId="22" fillId="52" borderId="15" xfId="0" applyNumberFormat="false" applyBorder="false" applyAlignment="false" applyProtection="false">
      <alignment vertical="center"/>
    </xf>
    <xf numFmtId="310" fontId="36" fillId="16" borderId="15" xfId="0" applyNumberFormat="false" applyFill="false" applyBorder="false" applyAlignment="false" applyProtection="false">
      <alignment vertical="center"/>
    </xf>
    <xf numFmtId="310" fontId="37" fillId="53" borderId="15" xfId="0" applyNumberFormat="false" applyBorder="false" applyAlignment="false" applyProtection="false">
      <alignment vertical="center"/>
    </xf>
    <xf numFmtId="310" fontId="22" fillId="54" borderId="15" xfId="0" applyNumberFormat="false" applyBorder="false" applyAlignment="false" applyProtection="false">
      <alignment vertical="center"/>
    </xf>
    <xf numFmtId="310" fontId="38" fillId="16" borderId="15" xfId="0" applyNumberFormat="false" applyFill="false" applyBorder="false" applyAlignment="false" applyProtection="false">
      <alignment vertical="center"/>
    </xf>
    <xf numFmtId="310" fontId="39" fillId="55" borderId="15" xfId="0" applyNumberFormat="false" applyBorder="false" applyAlignment="false" applyProtection="false">
      <alignment vertical="center"/>
    </xf>
  </cellStyleXfs>
  <cellXfs count="28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9" fontId="3" fillId="0" borderId="1" xfId="0" applyNumberFormat="true" applyFont="true" applyBorder="true">
      <alignment vertical="center"/>
    </xf>
    <xf numFmtId="310" fontId="3" fillId="0" borderId="2" xfId="0" applyFont="true" applyBorder="true">
      <alignment vertical="center"/>
    </xf>
    <xf numFmtId="300" fontId="3" fillId="0" borderId="2" xfId="0" applyNumberFormat="true" applyFont="true" applyBorder="true">
      <alignment vertical="center"/>
    </xf>
    <xf numFmtId="301" fontId="3" fillId="2" borderId="2" xfId="0" applyNumberFormat="true" applyFont="true" applyFill="true" applyBorder="true">
      <alignment vertical="center"/>
    </xf>
    <xf numFmtId="301" fontId="4" fillId="2" borderId="1" xfId="0" applyNumberFormat="true" applyFont="true" applyFill="true" applyBorder="true">
      <alignment vertical="center"/>
    </xf>
    <xf numFmtId="300" fontId="4" fillId="0" borderId="1" xfId="0" applyNumberFormat="true" applyFont="true" applyBorder="true">
      <alignment vertical="center"/>
    </xf>
    <xf numFmtId="300" fontId="4" fillId="0" borderId="1" xfId="0">
      <alignment vertical="center"/>
    </xf>
    <xf numFmtId="0" fontId="4" fillId="0" borderId="1" xfId="0" applyNumberFormat="true" applyFont="true" applyBorder="true" applyAlignment="true">
      <alignment horizontal="center" vertical="center"/>
    </xf>
    <xf numFmtId="0" fontId="4" fillId="0" borderId="1" xfId="0">
      <alignment horizontal="center" vertical="center"/>
    </xf>
    <xf numFmtId="310" fontId="4" fillId="0" borderId="1" xfId="0" applyFont="true" applyBorder="true" applyAlignment="true">
      <alignment horizontal="center" vertical="center"/>
    </xf>
    <xf numFmtId="302" fontId="4" fillId="0" borderId="1" xfId="0" applyNumberFormat="true" applyFont="true" applyBorder="true" applyAlignment="true">
      <alignment horizontal="center" vertical="center"/>
    </xf>
    <xf numFmtId="310" fontId="4" fillId="0" borderId="1" xfId="0" applyFont="true" applyBorder="true">
      <alignment vertical="center"/>
    </xf>
    <xf numFmtId="310" fontId="3" fillId="0" borderId="2" xfId="0" applyFont="true" applyBorder="true" applyAlignment="true">
      <alignment horizontal="center" vertical="center"/>
    </xf>
    <xf numFmtId="9" fontId="3" fillId="0" borderId="1" xfId="0" applyNumberFormat="true" applyFont="true" applyBorder="true" applyAlignment="true">
      <alignment horizontal="left" vertical="center"/>
    </xf>
    <xf numFmtId="0" fontId="4" fillId="0" borderId="1" xfId="0" applyNumberFormat="true" applyFont="true" applyBorder="true">
      <alignment vertical="center"/>
    </xf>
    <xf numFmtId="310" fontId="3" fillId="0" borderId="1" xfId="0" applyFont="true" applyBorder="true">
      <alignment vertical="center"/>
    </xf>
    <xf numFmtId="303" fontId="3" fillId="0" borderId="2" xfId="0" applyNumberFormat="true" applyFont="true" applyBorder="true" applyAlignment="true">
      <alignment horizontal="center" vertical="center"/>
    </xf>
    <xf numFmtId="304" fontId="3" fillId="2" borderId="2" xfId="0" applyNumberFormat="true" applyFont="true" applyFill="true" applyBorder="true" applyAlignment="true">
      <alignment horizontal="center" vertical="center"/>
    </xf>
    <xf numFmtId="304" fontId="4" fillId="2" borderId="3" xfId="0" applyNumberFormat="true" applyFont="true" applyFill="true" applyBorder="true" applyAlignment="true">
      <alignment horizontal="center" vertical="center"/>
    </xf>
    <xf numFmtId="300" fontId="4" fillId="0" borderId="3" xfId="0" applyNumberFormat="true" applyFont="true" applyBorder="true" applyAlignment="true">
      <alignment horizontal="center" vertical="center"/>
    </xf>
    <xf numFmtId="310" fontId="4" fillId="0" borderId="3" xfId="0" applyFont="true" applyBorder="true" applyAlignment="true">
      <alignment horizontal="center" vertical="center"/>
    </xf>
    <xf numFmtId="310" fontId="3" fillId="0" borderId="4" xfId="0" applyFont="true" applyBorder="true" applyAlignment="true">
      <alignment horizontal="center" vertical="center"/>
    </xf>
    <xf numFmtId="0" fontId="3" fillId="0" borderId="1" xfId="0" applyNumberFormat="true" applyFont="true" applyBorder="true">
      <alignment vertical="center"/>
    </xf>
    <xf numFmtId="304" fontId="4" fillId="2" borderId="1" xfId="0" applyNumberFormat="true" applyFont="true" applyFill="true" applyBorder="true" applyAlignment="true">
      <alignment horizontal="center" vertical="center"/>
    </xf>
    <xf numFmtId="300" fontId="4" fillId="0" borderId="1" xfId="0" applyNumberFormat="true" applyFont="true" applyBorder="true" applyAlignment="true">
      <alignment horizontal="center" vertical="center"/>
    </xf>
    <xf fontId="3" fillId="0" borderId="1" xfId="0">
      <alignment vertical="center"/>
    </xf>
    <xf numFmtId="310" fontId="5" fillId="0" borderId="1" xfId="0" applyFont="true" applyBorder="true" applyAlignment="true">
      <alignment horizontal="center" vertical="center"/>
    </xf>
    <xf fontId="3" fillId="0" borderId="1" xfId="0">
      <alignment horizontal="center" vertical="center"/>
    </xf>
    <xf numFmtId="310" fontId="3" fillId="0" borderId="1" xfId="0" applyFont="true" applyBorder="true" applyAlignment="true">
      <alignment horizontal="center" vertical="center"/>
    </xf>
    <xf fontId="6" fillId="0" borderId="1" xfId="0">
      <alignment vertical="center"/>
    </xf>
    <xf numFmtId="0" fontId="6" fillId="0" borderId="1" xfId="0" applyNumberFormat="true" applyFont="true" applyBorder="true">
      <alignment vertical="center"/>
    </xf>
    <xf numFmtId="310" fontId="6" fillId="0" borderId="1" xfId="0" applyFont="true" applyBorder="true">
      <alignment vertical="center"/>
    </xf>
    <xf fontId="7" fillId="0" borderId="1" xfId="0">
      <alignment vertical="center"/>
    </xf>
    <xf numFmtId="0" fontId="7" fillId="0" borderId="1" xfId="0" applyNumberFormat="true" applyFont="true" applyBorder="true">
      <alignment vertical="center"/>
    </xf>
    <xf numFmtId="310" fontId="7" fillId="0" borderId="1" xfId="0" applyFont="true" applyBorder="true">
      <alignment vertical="center"/>
    </xf>
    <xf numFmtId="304" fontId="3" fillId="2" borderId="2" xfId="0">
      <alignment horizontal="center" vertical="center"/>
    </xf>
    <xf numFmtId="300" fontId="3" fillId="0" borderId="2" xfId="0">
      <alignment horizontal="center" vertical="center"/>
    </xf>
    <xf fontId="3" fillId="0" borderId="2" xfId="0">
      <alignment horizontal="center" vertical="center"/>
    </xf>
    <xf numFmtId="9" fontId="4" fillId="0" borderId="1" xfId="0" applyNumberFormat="true" applyFont="true" applyBorder="true">
      <alignment vertical="center"/>
    </xf>
    <xf numFmtId="303" fontId="4" fillId="0" borderId="1" xfId="0" applyNumberFormat="true" applyFont="true" applyBorder="true" applyAlignment="true">
      <alignment horizontal="center" vertical="center"/>
    </xf>
    <xf numFmtId="304" fontId="4" fillId="2" borderId="1" xfId="0">
      <alignment horizontal="center" vertical="center"/>
    </xf>
    <xf numFmtId="300" fontId="4" fillId="0" borderId="1" xfId="0">
      <alignment horizontal="center" vertical="center"/>
    </xf>
    <xf fontId="4" fillId="0" borderId="1" xfId="0">
      <alignment horizontal="center" vertical="center"/>
    </xf>
    <xf numFmtId="305" fontId="4" fillId="0" borderId="1" xfId="0">
      <alignment vertical="center"/>
    </xf>
    <xf fontId="0" fillId="0" borderId="1" xfId="0">
      <alignment vertical="center"/>
    </xf>
    <xf numFmtId="305" fontId="4" fillId="0" borderId="1" xfId="0" applyNumberFormat="true" applyFont="true" applyBorder="true">
      <alignment vertical="center"/>
    </xf>
    <xf fontId="4" fillId="0" borderId="1" xfId="0">
      <alignment vertical="center"/>
    </xf>
    <xf numFmtId="305" fontId="3" fillId="0" borderId="1" xfId="0" applyNumberFormat="true" applyFont="true" applyBorder="true">
      <alignment vertical="center"/>
    </xf>
    <xf numFmtId="9" fontId="3" fillId="0" borderId="1" xfId="0">
      <alignment vertical="center"/>
    </xf>
    <xf numFmtId="303" fontId="3" fillId="0" borderId="2" xfId="0">
      <alignment horizontal="center" vertical="center"/>
    </xf>
    <xf numFmtId="305" fontId="3" fillId="0" borderId="1" xfId="0" applyNumberFormat="true" applyFont="true" applyBorder="true" applyAlignment="true">
      <alignment horizontal="left" vertical="center"/>
    </xf>
    <xf fontId="8" fillId="0" borderId="2" xfId="0">
      <alignment vertical="center"/>
    </xf>
    <xf numFmtId="310" fontId="3" fillId="0" borderId="1" xfId="0" applyFont="true" applyBorder="true" applyAlignment="true">
      <alignment vertical="bottom"/>
    </xf>
    <xf numFmtId="306" fontId="3" fillId="0" borderId="2" xfId="0">
      <alignment horizontal="center" vertical="center"/>
    </xf>
    <xf numFmtId="0" fontId="9" fillId="0" borderId="1" xfId="0" applyNumberFormat="true" applyFont="true" applyBorder="true">
      <alignment vertical="center"/>
    </xf>
    <xf numFmtId="310" fontId="9" fillId="0" borderId="1" xfId="0" applyFont="true" applyBorder="true">
      <alignment vertical="center"/>
    </xf>
    <xf fontId="10" fillId="0" borderId="1" xfId="0">
      <alignment horizontal="center" vertical="center"/>
    </xf>
    <xf numFmtId="310" fontId="10" fillId="0" borderId="1" xfId="0" applyFont="true" applyBorder="true" applyAlignment="true">
      <alignment horizontal="center" vertical="center"/>
    </xf>
    <xf numFmtId="310" fontId="10" fillId="0" borderId="1" xfId="0" applyFont="true" applyBorder="true">
      <alignment vertical="center"/>
    </xf>
    <xf numFmtId="0" fontId="10" fillId="0" borderId="1" xfId="0" applyNumberFormat="true" applyFont="true" applyBorder="true">
      <alignment vertical="center"/>
    </xf>
    <xf fontId="9" fillId="0" borderId="2" xfId="0">
      <alignment horizontal="center" vertical="center"/>
    </xf>
    <xf numFmtId="310" fontId="9" fillId="0" borderId="2" xfId="0" applyFont="true" applyBorder="true" applyAlignment="true">
      <alignment horizontal="center" vertical="center"/>
    </xf>
    <xf numFmtId="9" fontId="4" fillId="0" borderId="1" xfId="0">
      <alignment vertical="center"/>
    </xf>
    <xf numFmtId="303" fontId="4" fillId="0" borderId="1" xfId="0">
      <alignment horizontal="center" vertical="center"/>
    </xf>
    <xf numFmtId="304" fontId="3" fillId="3" borderId="2" xfId="0" applyNumberFormat="true" applyFont="true" applyFill="true" applyBorder="true" applyAlignment="true">
      <alignment horizontal="center" vertical="center"/>
    </xf>
    <xf numFmtId="310" fontId="3" fillId="3" borderId="2" xfId="0" applyFont="true" applyFill="true" applyBorder="true" applyAlignment="true">
      <alignment horizontal="center" vertical="center"/>
    </xf>
    <xf numFmtId="310" fontId="3" fillId="3" borderId="1" xfId="0" applyFont="true" applyFill="true" applyBorder="true">
      <alignment vertical="center"/>
    </xf>
    <xf numFmtId="0" fontId="0" fillId="3" borderId="1" xfId="0">
      <alignment vertical="center"/>
    </xf>
    <xf fontId="4" fillId="4" borderId="1" xfId="0">
      <alignment horizontal="center" vertical="center"/>
    </xf>
    <xf fontId="11" fillId="0" borderId="2" xfId="0">
      <alignment horizontal="center" vertical="center"/>
    </xf>
    <xf numFmtId="310" fontId="11" fillId="0" borderId="2" xfId="0" applyFont="true" applyBorder="true" applyAlignment="true">
      <alignment horizontal="center" vertical="center"/>
    </xf>
    <xf numFmtId="0" fontId="3" fillId="0" borderId="2" xfId="0">
      <alignment horizontal="center" vertical="center"/>
    </xf>
    <xf numFmtId="0" fontId="12" fillId="2" borderId="1" xfId="0">
      <alignment horizontal="center" vertical="center"/>
    </xf>
    <xf fontId="3" fillId="0" borderId="2" xfId="0">
      <alignment vertical="center"/>
    </xf>
    <xf numFmtId="9" fontId="13" fillId="0" borderId="1" xfId="0">
      <alignment horizontal="right" vertical="center" textRotation="0" indent="0" justifyLastLine="false" shrinkToFit="false"/>
    </xf>
    <xf numFmtId="307" fontId="13" fillId="0" borderId="1" xfId="0">
      <alignment horizontal="center" vertical="center" textRotation="0" indent="0" justifyLastLine="false" shrinkToFit="false"/>
    </xf>
    <xf numFmtId="304" fontId="13" fillId="5" borderId="1" xfId="0">
      <alignment horizontal="center" vertical="center" textRotation="0" indent="0" justifyLastLine="false" shrinkToFit="false"/>
    </xf>
    <xf numFmtId="304" fontId="13" fillId="5" borderId="1" xfId="0">
      <alignment horizontal="center" vertical="center" textRotation="0"/>
    </xf>
    <xf numFmtId="300" fontId="13" fillId="0" borderId="1" xfId="0">
      <alignment horizontal="center" vertical="center" textRotation="0"/>
    </xf>
    <xf numFmtId="0" fontId="13" fillId="0" borderId="1" xfId="0">
      <alignment horizontal="center" vertical="center" textRotation="0"/>
    </xf>
    <xf fontId="13" fillId="0" borderId="1" xfId="0">
      <alignment horizontal="center" vertical="center"/>
    </xf>
    <xf numFmtId="0" fontId="13" fillId="0" borderId="1" xfId="0">
      <alignment horizontal="center" vertical="center" textRotation="0" indent="0" justifyLastLine="false" shrinkToFit="false"/>
    </xf>
    <xf fontId="13" fillId="0" borderId="1" xfId="0">
      <alignment vertical="center"/>
    </xf>
    <xf fontId="0" fillId="0" borderId="1" xfId="0">
      <alignment vertical="center"/>
    </xf>
    <xf fontId="3" fillId="0" borderId="2" xfId="0">
      <alignment horizontal="center"/>
    </xf>
    <xf numFmtId="303" fontId="3" fillId="3" borderId="2" xfId="0" applyNumberFormat="true" applyFont="true" applyFill="true" applyBorder="true" applyAlignment="true">
      <alignment horizontal="center" vertical="center"/>
    </xf>
    <xf numFmtId="304" fontId="3" fillId="3" borderId="2" xfId="0">
      <alignment horizontal="center" vertical="center"/>
    </xf>
    <xf numFmtId="300" fontId="3" fillId="3" borderId="2" xfId="0">
      <alignment horizontal="center" vertical="center"/>
    </xf>
    <xf fontId="3" fillId="3" borderId="2" xfId="0">
      <alignment horizontal="center" vertical="center"/>
    </xf>
    <xf numFmtId="305" fontId="3" fillId="3" borderId="1" xfId="0" applyNumberFormat="true" applyFont="true" applyFill="true" applyBorder="true" applyAlignment="true">
      <alignment horizontal="left" vertical="center"/>
    </xf>
    <xf numFmtId="304" fontId="3" fillId="2" borderId="5" xfId="0">
      <alignment horizontal="center" vertical="center"/>
    </xf>
    <xf numFmtId="300" fontId="3" fillId="0" borderId="5" xfId="0">
      <alignment horizontal="center" vertical="center"/>
    </xf>
    <xf fontId="3" fillId="0" borderId="5" xfId="0">
      <alignment horizontal="center" vertical="center"/>
    </xf>
    <xf numFmtId="310" fontId="3" fillId="0" borderId="5" xfId="0" applyFont="true" applyBorder="true" applyAlignment="true">
      <alignment horizontal="center" vertical="center"/>
    </xf>
    <xf numFmtId="304" fontId="3" fillId="2" borderId="4" xfId="0">
      <alignment horizontal="center" vertical="center"/>
    </xf>
    <xf numFmtId="300" fontId="3" fillId="0" borderId="4" xfId="0">
      <alignment horizontal="center" vertical="center"/>
    </xf>
    <xf fontId="3" fillId="0" borderId="4" xfId="0">
      <alignment horizontal="center" vertical="center"/>
    </xf>
    <xf numFmtId="9" fontId="3" fillId="6" borderId="1" xfId="0" applyNumberFormat="true" applyFont="true" applyFill="true" applyBorder="true">
      <alignment vertical="center"/>
    </xf>
    <xf numFmtId="303" fontId="3" fillId="6" borderId="2" xfId="0" applyNumberFormat="true" applyFont="true" applyFill="true" applyBorder="true" applyAlignment="true">
      <alignment horizontal="center" vertical="center"/>
    </xf>
    <xf numFmtId="304" fontId="3" fillId="7" borderId="2" xfId="0" applyNumberFormat="true" applyFont="true" applyFill="true" applyBorder="true" applyAlignment="true">
      <alignment horizontal="center" vertical="center"/>
    </xf>
    <xf numFmtId="304" fontId="3" fillId="8" borderId="2" xfId="0">
      <alignment horizontal="center" vertical="center"/>
    </xf>
    <xf numFmtId="300" fontId="3" fillId="6" borderId="2" xfId="0">
      <alignment horizontal="center" vertical="center"/>
    </xf>
    <xf fontId="3" fillId="6" borderId="2" xfId="0">
      <alignment horizontal="center" vertical="center"/>
    </xf>
    <xf numFmtId="310" fontId="3" fillId="6" borderId="2" xfId="0" applyFont="true" applyFill="true" applyBorder="true" applyAlignment="true">
      <alignment horizontal="center" vertical="center"/>
    </xf>
    <xf numFmtId="310" fontId="3" fillId="6" borderId="2" xfId="0" applyFont="true" applyFill="true" applyBorder="true" applyAlignment="true">
      <alignment vertical="bottom"/>
    </xf>
    <xf numFmtId="310" fontId="3" fillId="6" borderId="1" xfId="0" applyFont="true" applyFill="true" applyBorder="true">
      <alignment vertical="center"/>
    </xf>
    <xf fontId="0" fillId="7" borderId="1" xfId="0">
      <alignment vertical="center"/>
    </xf>
    <xf numFmtId="305" fontId="4" fillId="9" borderId="1" xfId="0">
      <alignment vertical="center"/>
    </xf>
    <xf numFmtId="303" fontId="4" fillId="9" borderId="1" xfId="0" applyNumberFormat="true" applyFont="true" applyFill="true" applyBorder="true" applyAlignment="true">
      <alignment horizontal="center" vertical="center"/>
    </xf>
    <xf numFmtId="300" fontId="4" fillId="9" borderId="1" xfId="0">
      <alignment horizontal="center" vertical="center"/>
    </xf>
    <xf numFmtId="0" fontId="4" fillId="9" borderId="1" xfId="0">
      <alignment horizontal="center" vertical="center"/>
    </xf>
    <xf fontId="4" fillId="9" borderId="1" xfId="0">
      <alignment horizontal="center" vertical="center"/>
    </xf>
    <xf numFmtId="310" fontId="4" fillId="9" borderId="1" xfId="0" applyFont="true" applyFill="true" applyBorder="true" applyAlignment="true">
      <alignment horizontal="center" vertical="center"/>
    </xf>
    <xf numFmtId="310" fontId="4" fillId="9" borderId="1" xfId="0" applyFont="true" applyFill="true" applyBorder="true">
      <alignment vertical="center"/>
    </xf>
    <xf fontId="0" fillId="9" borderId="1" xfId="0">
      <alignment vertical="center"/>
    </xf>
    <xf numFmtId="304" fontId="3" fillId="2" borderId="2" xfId="0">
      <alignment horizontal="center" vertical="center" justifyLastLine="false" shrinkToFit="false"/>
    </xf>
    <xf numFmtId="300" fontId="3" fillId="0" borderId="2" xfId="0">
      <alignment horizontal="center" vertical="center" justifyLastLine="false" shrinkToFit="false"/>
    </xf>
    <xf fontId="3" fillId="0" borderId="2" xfId="0">
      <alignment horizontal="center" vertical="center" justifyLastLine="false" shrinkToFit="false"/>
    </xf>
    <xf fontId="7" fillId="0" borderId="2" xfId="0">
      <alignment horizontal="center" vertical="center"/>
    </xf>
    <xf numFmtId="310" fontId="7" fillId="0" borderId="2" xfId="0" applyFont="true" applyBorder="true" applyAlignment="true">
      <alignment horizontal="center" vertical="center"/>
    </xf>
    <xf numFmtId="0" fontId="14" fillId="10" borderId="1" xfId="0">
      <alignment horizontal="center" vertical="center"/>
    </xf>
    <xf numFmtId="305" fontId="4" fillId="0" borderId="1" xfId="0" applyNumberFormat="true" applyFont="true" applyBorder="true" applyAlignment="true">
      <alignment horizontal="left" vertical="center"/>
    </xf>
    <xf numFmtId="9" fontId="4" fillId="0" borderId="1" xfId="0" applyNumberFormat="true" applyFont="true" applyBorder="true" applyAlignment="true">
      <alignment horizontal="left" vertical="center"/>
    </xf>
    <xf numFmtId="0" fontId="5" fillId="0" borderId="1" xfId="0" applyNumberFormat="true" applyFont="true" applyBorder="true">
      <alignment vertical="center"/>
    </xf>
    <xf numFmtId="310" fontId="4" fillId="0" borderId="1" xfId="0" applyFont="true" applyBorder="true" applyAlignment="true">
      <alignment vertical="bottom"/>
    </xf>
    <xf numFmtId="304" fontId="4" fillId="11" borderId="1" xfId="0">
      <alignment horizontal="center" vertical="center"/>
    </xf>
    <xf numFmtId="305" fontId="3" fillId="0" borderId="1" xfId="0">
      <alignment vertical="center"/>
    </xf>
    <xf numFmtId="0" fontId="3" fillId="0" borderId="2" xfId="0" applyNumberFormat="true" applyFont="true" applyBorder="true" applyAlignment="true">
      <alignment horizontal="center" vertical="center"/>
    </xf>
    <xf numFmtId="303" fontId="3" fillId="0" borderId="2" xfId="0">
      <alignment horizontal="center" vertical="center" justifyLastLine="false" shrinkToFit="false"/>
    </xf>
    <xf numFmtId="308" fontId="3" fillId="0" borderId="2" xfId="0">
      <alignment horizontal="center" vertical="center"/>
    </xf>
    <xf numFmtId="303" fontId="4" fillId="0" borderId="1" xfId="0">
      <alignment horizontal="center" vertical="center" justifyLastLine="false" shrinkToFit="false"/>
    </xf>
    <xf numFmtId="304" fontId="4" fillId="2" borderId="1" xfId="0">
      <alignment horizontal="center" vertical="center" justifyLastLine="false" shrinkToFit="false"/>
    </xf>
    <xf numFmtId="308" fontId="4" fillId="0" borderId="1" xfId="0">
      <alignment horizontal="center" vertical="center"/>
    </xf>
    <xf fontId="4" fillId="0" borderId="1" xfId="0">
      <alignment horizontal="center" vertical="center" justifyLastLine="false" shrinkToFit="false"/>
    </xf>
    <xf fontId="15" fillId="0" borderId="2" xfId="0">
      <alignment vertical="center"/>
    </xf>
    <xf numFmtId="304" fontId="3" fillId="12" borderId="2" xfId="0" applyNumberFormat="true" applyFont="true" applyFill="true" applyBorder="true" applyAlignment="true">
      <alignment horizontal="center" vertical="center"/>
    </xf>
    <xf numFmtId="304" fontId="4" fillId="12" borderId="1" xfId="0" applyNumberFormat="true" applyFont="true" applyFill="true" applyBorder="true" applyAlignment="true">
      <alignment horizontal="center" vertical="center"/>
    </xf>
    <xf numFmtId="304" fontId="3" fillId="13" borderId="2" xfId="0" applyNumberFormat="true" applyFont="true" applyFill="true" applyBorder="true" applyAlignment="true">
      <alignment horizontal="center" vertical="center"/>
    </xf>
    <xf numFmtId="0" fontId="11" fillId="0" borderId="1" xfId="0" applyNumberFormat="true" applyFont="true" applyBorder="true">
      <alignment vertical="center"/>
    </xf>
    <xf numFmtId="310" fontId="11" fillId="0" borderId="1" xfId="0" applyFont="true" applyBorder="true">
      <alignment vertical="center"/>
    </xf>
    <xf numFmtId="9" fontId="3" fillId="14" borderId="1" xfId="0" applyNumberFormat="true" applyFont="true" applyFill="true" applyBorder="true">
      <alignment vertical="center"/>
    </xf>
    <xf numFmtId="303" fontId="3" fillId="14" borderId="2" xfId="0" applyNumberFormat="true" applyFont="true" applyFill="true" applyBorder="true" applyAlignment="true">
      <alignment horizontal="center" vertical="center"/>
    </xf>
    <xf numFmtId="304" fontId="3" fillId="15" borderId="2" xfId="0" applyNumberFormat="true" applyFont="true" applyFill="true" applyBorder="true" applyAlignment="true">
      <alignment horizontal="center" vertical="center"/>
    </xf>
    <xf numFmtId="304" fontId="3" fillId="11" borderId="2" xfId="0">
      <alignment horizontal="center" vertical="center"/>
    </xf>
    <xf numFmtId="300" fontId="3" fillId="14" borderId="2" xfId="0">
      <alignment horizontal="center" vertical="center"/>
    </xf>
    <xf fontId="3" fillId="14" borderId="2" xfId="0">
      <alignment horizontal="center" vertical="center"/>
    </xf>
    <xf numFmtId="310" fontId="3" fillId="14" borderId="2" xfId="0" applyFont="true" applyFill="true" applyBorder="true" applyAlignment="true">
      <alignment horizontal="center" vertical="center"/>
    </xf>
    <xf numFmtId="310" fontId="3" fillId="14" borderId="1" xfId="0" applyFont="true" applyFill="true" applyBorder="true">
      <alignment vertical="center"/>
    </xf>
    <xf fontId="0" fillId="15" borderId="1" xfId="0">
      <alignment vertical="center"/>
    </xf>
    <xf numFmtId="310" fontId="11" fillId="0" borderId="2" xfId="0" applyFont="true" applyBorder="true">
      <alignment vertical="center"/>
    </xf>
    <xf numFmtId="310" fontId="7" fillId="0" borderId="2" xfId="0" applyFont="true" applyBorder="true">
      <alignment vertical="center"/>
    </xf>
    <xf numFmtId="305" fontId="3" fillId="0" borderId="2" xfId="0" applyNumberFormat="true" applyFont="true" applyBorder="true">
      <alignment vertical="center"/>
    </xf>
    <xf numFmtId="305" fontId="13" fillId="0" borderId="1" xfId="0">
      <alignment horizontal="right" vertical="center" textRotation="0" indent="0" justifyLastLine="false" shrinkToFit="false"/>
    </xf>
    <xf numFmtId="304" fontId="3" fillId="0" borderId="2" xfId="0" applyNumberFormat="true" applyFont="true" applyBorder="true" applyAlignment="true">
      <alignment horizontal="center" vertical="center"/>
    </xf>
    <xf numFmtId="303" fontId="9" fillId="0" borderId="2" xfId="0" applyNumberFormat="true" applyFont="true" applyBorder="true" applyAlignment="true">
      <alignment horizontal="center" vertical="center"/>
    </xf>
    <xf numFmtId="304" fontId="9" fillId="2" borderId="2" xfId="0" applyNumberFormat="true" applyFont="true" applyFill="true" applyBorder="true" applyAlignment="true">
      <alignment horizontal="center" vertical="center"/>
    </xf>
    <xf numFmtId="304" fontId="9" fillId="2" borderId="2" xfId="0">
      <alignment horizontal="center" vertical="center"/>
    </xf>
    <xf numFmtId="300" fontId="9" fillId="0" borderId="2" xfId="0">
      <alignment horizontal="center" vertical="center"/>
    </xf>
    <xf numFmtId="0" fontId="16" fillId="16" borderId="1" xfId="0">
      <alignment vertical="center"/>
    </xf>
    <xf numFmtId="9" fontId="9" fillId="0" borderId="1" xfId="0" applyNumberFormat="true" applyFont="true" applyBorder="true">
      <alignment vertical="center"/>
    </xf>
    <xf numFmtId="305" fontId="3" fillId="3" borderId="1" xfId="0" applyNumberFormat="true" applyFont="true" applyFill="true" applyBorder="true" applyAlignment="true">
      <alignment horizontal="right" vertical="center"/>
    </xf>
    <xf numFmtId="304" fontId="4" fillId="3" borderId="1" xfId="0" applyNumberFormat="true" applyFont="true" applyFill="true" applyBorder="true" applyAlignment="true">
      <alignment horizontal="center" vertical="center"/>
    </xf>
    <xf numFmtId="304" fontId="4" fillId="3" borderId="1" xfId="0">
      <alignment horizontal="center" vertical="center"/>
    </xf>
    <xf numFmtId="310" fontId="4" fillId="3" borderId="1" xfId="0" applyFont="true" applyFill="true" applyBorder="true" applyAlignment="true">
      <alignment horizontal="center" vertical="center"/>
    </xf>
    <xf numFmtId="305" fontId="4" fillId="3" borderId="1" xfId="0" applyNumberFormat="true" applyFont="true" applyFill="true" applyBorder="true" applyAlignment="true">
      <alignment horizontal="right" vertical="center"/>
    </xf>
    <xf numFmtId="304" fontId="3" fillId="17" borderId="2" xfId="0" applyNumberFormat="true" applyFont="true" applyFill="true" applyBorder="true" applyAlignment="true">
      <alignment horizontal="center" vertical="center"/>
    </xf>
    <xf numFmtId="304" fontId="3" fillId="17" borderId="2" xfId="0">
      <alignment horizontal="center" vertical="center"/>
    </xf>
    <xf numFmtId="304" fontId="3" fillId="0" borderId="2" xfId="0">
      <alignment horizontal="center" vertical="center"/>
    </xf>
    <xf numFmtId="49" fontId="3" fillId="0" borderId="2" xfId="0">
      <alignment horizontal="center" vertical="center"/>
    </xf>
    <xf numFmtId="9" fontId="3" fillId="18" borderId="1" xfId="0" applyNumberFormat="true" applyFont="true" applyFill="true" applyBorder="true">
      <alignment vertical="center"/>
    </xf>
    <xf numFmtId="304" fontId="3" fillId="18" borderId="2" xfId="0" applyNumberFormat="true" applyFont="true" applyFill="true" applyBorder="true" applyAlignment="true">
      <alignment horizontal="center" vertical="center"/>
    </xf>
    <xf numFmtId="310" fontId="3" fillId="18" borderId="2" xfId="0" applyFont="true" applyFill="true" applyBorder="true" applyAlignment="true">
      <alignment horizontal="center" vertical="center"/>
    </xf>
    <xf numFmtId="310" fontId="3" fillId="18" borderId="1" xfId="0" applyFont="true" applyFill="true" applyBorder="true">
      <alignment vertical="center"/>
    </xf>
    <xf numFmtId="0" fontId="0" fillId="18" borderId="1" xfId="0">
      <alignment vertical="center"/>
    </xf>
    <xf numFmtId="9" fontId="3" fillId="19" borderId="1" xfId="0" applyNumberFormat="true" applyFont="true" applyFill="true" applyBorder="true">
      <alignment vertical="center"/>
    </xf>
    <xf numFmtId="303" fontId="3" fillId="19" borderId="2" xfId="0" applyNumberFormat="true" applyFont="true" applyFill="true" applyBorder="true" applyAlignment="true">
      <alignment horizontal="center" vertical="center"/>
    </xf>
    <xf numFmtId="304" fontId="3" fillId="20" borderId="2" xfId="0" applyNumberFormat="true" applyFont="true" applyFill="true" applyBorder="true" applyAlignment="true">
      <alignment horizontal="center" vertical="center"/>
    </xf>
    <xf numFmtId="304" fontId="3" fillId="21" borderId="2" xfId="0">
      <alignment horizontal="center" vertical="center"/>
    </xf>
    <xf numFmtId="300" fontId="3" fillId="19" borderId="2" xfId="0">
      <alignment horizontal="center" vertical="center"/>
    </xf>
    <xf fontId="3" fillId="19" borderId="2" xfId="0">
      <alignment horizontal="center" vertical="center"/>
    </xf>
    <xf numFmtId="310" fontId="3" fillId="19" borderId="2" xfId="0" applyFont="true" applyFill="true" applyBorder="true" applyAlignment="true">
      <alignment horizontal="center" vertical="center"/>
    </xf>
    <xf numFmtId="9" fontId="3" fillId="19" borderId="1" xfId="0" applyNumberFormat="true" applyFont="true" applyFill="true" applyBorder="true" applyAlignment="true">
      <alignment horizontal="left" vertical="center"/>
    </xf>
    <xf numFmtId="310" fontId="3" fillId="19" borderId="1" xfId="0" applyFont="true" applyFill="true" applyBorder="true">
      <alignment vertical="center"/>
    </xf>
    <xf fontId="0" fillId="20" borderId="1" xfId="0">
      <alignment vertical="center"/>
    </xf>
    <xf numFmtId="9" fontId="4" fillId="18" borderId="1" xfId="0" applyNumberFormat="true" applyFont="true" applyFill="true" applyBorder="true">
      <alignment vertical="center"/>
    </xf>
    <xf numFmtId="304" fontId="4" fillId="18" borderId="1" xfId="0" applyNumberFormat="true" applyFont="true" applyFill="true" applyBorder="true" applyAlignment="true">
      <alignment horizontal="center" vertical="center"/>
    </xf>
    <xf numFmtId="310" fontId="4" fillId="18" borderId="1" xfId="0" applyFont="true" applyFill="true" applyBorder="true" applyAlignment="true">
      <alignment horizontal="center" vertical="center"/>
    </xf>
    <xf numFmtId="305" fontId="4" fillId="18" borderId="1" xfId="0" applyNumberFormat="true" applyFont="true" applyFill="true" applyBorder="true">
      <alignment vertical="center"/>
    </xf>
    <xf numFmtId="310" fontId="4" fillId="18" borderId="1" xfId="0" applyFont="true" applyFill="true" applyBorder="true">
      <alignment vertical="center"/>
    </xf>
    <xf fontId="6" fillId="0" borderId="2" xfId="0">
      <alignment horizontal="center" vertical="center"/>
    </xf>
    <xf numFmtId="310" fontId="6" fillId="0" borderId="2" xfId="0" applyFont="true" applyBorder="true" applyAlignment="true">
      <alignment horizontal="center" vertical="center"/>
    </xf>
    <xf numFmtId="9" fontId="4" fillId="22" borderId="1" xfId="0" applyNumberFormat="true" applyFont="true" applyFill="true" applyBorder="true">
      <alignment vertical="center"/>
    </xf>
    <xf numFmtId="310" fontId="4" fillId="22" borderId="1" xfId="0" applyFont="true" applyFill="true" applyBorder="true" applyAlignment="true">
      <alignment horizontal="center" vertical="center"/>
    </xf>
    <xf numFmtId="310" fontId="4" fillId="22" borderId="1" xfId="0" applyFont="true" applyFill="true" applyBorder="true">
      <alignment vertical="center"/>
    </xf>
    <xf numFmtId="0" fontId="0" fillId="22" borderId="1" xfId="0">
      <alignment vertical="center"/>
    </xf>
    <xf fontId="3" fillId="0" borderId="2" xfId="0">
      <alignment horizontal="center" justifyLastLine="false" shrinkToFit="false"/>
    </xf>
    <xf fontId="4" fillId="0" borderId="1" xfId="0">
      <alignment horizontal="center"/>
    </xf>
    <xf numFmtId="0" fontId="4" fillId="0" borderId="1" xfId="0">
      <alignment horizontal="center"/>
    </xf>
    <xf numFmtId="309" fontId="3" fillId="0" borderId="2" xfId="0">
      <alignment horizontal="center" vertical="center"/>
    </xf>
    <xf numFmtId="300" fontId="13" fillId="5" borderId="1" xfId="0">
      <alignment horizontal="center" vertical="center" textRotation="0" indent="0" justifyLastLine="false" shrinkToFit="false"/>
    </xf>
    <xf numFmtId="0" fontId="13" fillId="0" borderId="1" xfId="0">
      <alignment vertical="center" textRotation="0" indent="0" justifyLastLine="false" shrinkToFit="false"/>
    </xf>
    <xf fontId="3" fillId="0" borderId="2" xfId="0">
      <alignment vertical="bottom"/>
    </xf>
    <xf numFmtId="0" fontId="0" fillId="16" borderId="1" xfId="0">
      <alignment vertical="center"/>
    </xf>
    <xf fontId="17" fillId="0" borderId="1" xfId="0">
      <alignment horizontal="center" vertical="center"/>
    </xf>
    <xf numFmtId="0" fontId="17" fillId="0" borderId="1" xfId="0">
      <alignment horizontal="center" vertical="center"/>
    </xf>
    <xf numFmtId="310" fontId="17" fillId="0" borderId="1" xfId="0" applyFont="true" applyBorder="true" applyAlignment="true">
      <alignment horizontal="center" vertical="center"/>
    </xf>
    <xf numFmtId="303" fontId="3" fillId="0" borderId="2" xfId="0" applyNumberFormat="true" applyFont="true" applyBorder="true">
      <alignment vertical="center"/>
    </xf>
    <xf numFmtId="303" fontId="4" fillId="2" borderId="1" xfId="0">
      <alignment horizontal="center" vertical="center"/>
    </xf>
    <xf fontId="4" fillId="0" borderId="0" xfId="0">
      <alignment vertical="center"/>
    </xf>
    <xf numFmtId="303" fontId="3" fillId="0" borderId="6" xfId="0" applyNumberFormat="true" applyFont="true" applyBorder="true">
      <alignment vertical="center"/>
    </xf>
    <xf numFmtId="308" fontId="4" fillId="2" borderId="3" xfId="0">
      <alignment horizontal="center" vertical="center"/>
    </xf>
    <xf fontId="4" fillId="0" borderId="7" xfId="0">
      <alignment horizontal="center" vertical="center"/>
    </xf>
    <xf numFmtId="310" fontId="4" fillId="0" borderId="15" xfId="0" applyFont="true">
      <alignment vertical="center"/>
    </xf>
    <xf numFmtId="308" fontId="3" fillId="2" borderId="6" xfId="0">
      <alignment horizontal="center" vertical="center"/>
    </xf>
    <xf numFmtId="310" fontId="3" fillId="0" borderId="8" xfId="0" applyFont="true" applyBorder="true" applyAlignment="true">
      <alignment horizontal="center" vertical="center"/>
    </xf>
    <xf numFmtId="310" fontId="3" fillId="0" borderId="15" xfId="0" applyFont="true">
      <alignment vertical="center"/>
    </xf>
    <xf numFmtId="308" fontId="3" fillId="2" borderId="6" xfId="0" applyNumberFormat="true" applyFont="true" applyFill="true" applyBorder="true" applyAlignment="true">
      <alignment horizontal="center" vertical="center"/>
    </xf>
    <xf numFmtId="310" fontId="3" fillId="0" borderId="9" xfId="0" applyFont="true" applyBorder="true" applyAlignment="true">
      <alignment horizontal="center" vertical="center"/>
    </xf>
    <xf numFmtId="310" fontId="3" fillId="0" borderId="6" xfId="0" applyFont="true" applyBorder="true" applyAlignment="true">
      <alignment horizontal="center" vertical="center"/>
    </xf>
    <xf numFmtId="310" fontId="3" fillId="18" borderId="8" xfId="0" applyFont="true" applyFill="true" applyBorder="true" applyAlignment="true">
      <alignment horizontal="center" vertical="center"/>
    </xf>
    <xf numFmtId="310" fontId="3" fillId="18" borderId="15" xfId="0" applyFont="true" applyFill="true">
      <alignment vertical="center"/>
    </xf>
    <xf numFmtId="303" fontId="3" fillId="23" borderId="6" xfId="0" applyNumberFormat="true" applyFont="true" applyFill="true" applyBorder="true">
      <alignment vertical="center"/>
    </xf>
    <xf numFmtId="308" fontId="3" fillId="24" borderId="6" xfId="0" applyNumberFormat="true" applyFont="true" applyFill="true" applyBorder="true" applyAlignment="true">
      <alignment horizontal="center" vertical="center"/>
    </xf>
    <xf numFmtId="310" fontId="3" fillId="24" borderId="8" xfId="0" applyFont="true" applyFill="true" applyBorder="true" applyAlignment="true">
      <alignment horizontal="center" vertical="center"/>
    </xf>
    <xf numFmtId="310" fontId="3" fillId="24" borderId="2" xfId="0" applyFont="true" applyFill="true" applyBorder="true" applyAlignment="true">
      <alignment horizontal="center" vertical="center"/>
    </xf>
    <xf numFmtId="310" fontId="3" fillId="24" borderId="15" xfId="0" applyFont="true" applyFill="true">
      <alignment vertical="center"/>
    </xf>
    <xf numFmtId="310" fontId="11" fillId="0" borderId="8" xfId="0" applyFont="true" applyBorder="true" applyAlignment="true">
      <alignment horizontal="center" vertical="center"/>
    </xf>
    <xf numFmtId="310" fontId="11" fillId="0" borderId="15" xfId="0" applyFont="true">
      <alignment vertical="center"/>
    </xf>
    <xf numFmtId="310" fontId="3" fillId="23" borderId="8" xfId="0" applyFont="true" applyFill="true" applyBorder="true" applyAlignment="true">
      <alignment horizontal="center" vertical="center"/>
    </xf>
    <xf numFmtId="310" fontId="3" fillId="23" borderId="2" xfId="0" applyFont="true" applyFill="true" applyBorder="true" applyAlignment="true">
      <alignment horizontal="center" vertical="center"/>
    </xf>
    <xf numFmtId="310" fontId="3" fillId="23" borderId="15" xfId="0" applyFont="true" applyFill="true">
      <alignment vertical="center"/>
    </xf>
    <xf numFmtId="310" fontId="3" fillId="3" borderId="15" xfId="0" applyFont="true" applyFill="true">
      <alignment vertical="center"/>
    </xf>
    <xf numFmtId="303" fontId="4" fillId="0" borderId="3" xfId="0" applyNumberFormat="true" applyFont="true" applyBorder="true">
      <alignment vertical="center"/>
    </xf>
    <xf numFmtId="308" fontId="4" fillId="2" borderId="3" xfId="0" applyNumberFormat="true" applyFont="true" applyFill="true" applyBorder="true" applyAlignment="true">
      <alignment horizontal="center" vertical="center"/>
    </xf>
    <xf numFmtId="310" fontId="4" fillId="0" borderId="10" xfId="0" applyFont="true" applyBorder="true" applyAlignment="true">
      <alignment horizontal="center" vertical="center"/>
    </xf>
    <xf numFmtId="310" fontId="3" fillId="0" borderId="11" xfId="0" applyFont="true" applyBorder="true" applyAlignment="true">
      <alignment horizontal="center" vertical="center"/>
    </xf>
    <xf numFmtId="310" fontId="3" fillId="0" borderId="12" xfId="0" applyFont="true" applyBorder="true" applyAlignment="true">
      <alignment horizontal="center" vertical="center"/>
    </xf>
    <xf fontId="4" fillId="0" borderId="10" xfId="0">
      <alignment horizontal="center" vertical="center"/>
    </xf>
    <xf numFmtId="305" fontId="4" fillId="0" borderId="0" xfId="0">
      <alignment vertical="center"/>
    </xf>
    <xf fontId="3" fillId="0" borderId="13" xfId="0">
      <alignment horizontal="center" vertical="center"/>
    </xf>
    <xf fontId="3" fillId="0" borderId="0" xfId="0">
      <alignment vertical="center"/>
    </xf>
    <xf numFmtId="0" fontId="3" fillId="0" borderId="0" xfId="0">
      <alignment vertical="center"/>
    </xf>
    <xf numFmtId="0" fontId="3" fillId="0" borderId="15" xfId="0" applyNumberFormat="true" applyFont="true">
      <alignment vertical="center"/>
    </xf>
    <xf numFmtId="9" fontId="3" fillId="0" borderId="2" xfId="0" applyNumberFormat="true" applyFont="true" applyBorder="true" applyAlignment="true">
      <alignment horizontal="center" vertical="center"/>
    </xf>
    <xf numFmtId="304" fontId="4" fillId="0" borderId="1" xfId="0" applyNumberFormat="true" applyFont="true" applyBorder="true" applyAlignment="true">
      <alignment horizontal="center" vertical="center"/>
    </xf>
    <xf numFmtId="305" fontId="4" fillId="0" borderId="15" xfId="0" applyNumberFormat="true" applyFont="true">
      <alignment vertical="center"/>
    </xf>
    <xf numFmtId="310" fontId="4" fillId="3" borderId="15" xfId="0" applyFont="true" applyFill="true">
      <alignment vertical="center"/>
    </xf>
    <xf numFmtId="304" fontId="11" fillId="0" borderId="2" xfId="0" applyNumberFormat="true" applyFont="true" applyBorder="true" applyAlignment="true">
      <alignment horizontal="center" vertical="center"/>
    </xf>
    <xf numFmtId="310" fontId="3" fillId="0" borderId="14" xfId="0" applyFont="true" applyBorder="true" applyAlignment="true">
      <alignment horizontal="center" vertical="center"/>
    </xf>
    <xf numFmtId="310" fontId="3" fillId="12" borderId="2" xfId="0" applyFont="true" applyFill="true" applyBorder="true" applyAlignment="true">
      <alignment horizontal="center" vertical="center"/>
    </xf>
    <xf numFmtId="310" fontId="3" fillId="12" borderId="14" xfId="0" applyFont="true" applyFill="true" applyBorder="true" applyAlignment="true">
      <alignment horizontal="center" vertical="center"/>
    </xf>
    <xf numFmtId="310" fontId="3" fillId="12" borderId="15" xfId="0" applyFont="true" applyFill="true">
      <alignment vertical="center"/>
    </xf>
    <xf numFmtId="9" fontId="3" fillId="0" borderId="14" xfId="0" applyNumberFormat="true" applyFont="true" applyBorder="true" applyAlignment="true">
      <alignment horizontal="center" vertical="center"/>
    </xf>
    <xf numFmtId="0" fontId="3" fillId="0" borderId="14" xfId="0" applyNumberFormat="true" applyFont="true" applyBorder="true" applyAlignment="true">
      <alignment horizontal="center" vertical="center"/>
    </xf>
    <xf numFmtId="308" fontId="4" fillId="15" borderId="3" xfId="0" applyNumberFormat="true" applyFont="true" applyFill="true" applyBorder="true" applyAlignment="true">
      <alignment horizontal="center" vertical="center"/>
    </xf>
    <xf numFmtId="0" fontId="4" fillId="3" borderId="1" xfId="0" applyNumberFormat="true" applyFont="true" applyFill="true" applyBorder="true" applyAlignment="true">
      <alignment horizontal="center" vertical="center"/>
    </xf>
    <xf numFmtId="0" fontId="3" fillId="3" borderId="2" xfId="0" applyNumberFormat="true" applyFont="true" applyFill="true" applyBorder="true" applyAlignment="true">
      <alignment horizontal="center" vertical="center"/>
    </xf>
    <xf numFmtId="0" fontId="4" fillId="0" borderId="15" xfId="0" applyNumberFormat="true" applyFont="true">
      <alignment vertical="center"/>
    </xf>
    <xf numFmtId="310" fontId="4" fillId="12" borderId="15" xfId="0" applyFont="true" applyFill="true">
      <alignment vertical="center"/>
    </xf>
    <xf numFmtId="303" fontId="3" fillId="14" borderId="6" xfId="0" applyNumberFormat="true" applyFont="true" applyFill="true" applyBorder="true">
      <alignment vertical="center"/>
    </xf>
    <xf numFmtId="308" fontId="3" fillId="15" borderId="6" xfId="0" applyNumberFormat="true" applyFont="true" applyFill="true" applyBorder="true" applyAlignment="true">
      <alignment horizontal="center" vertical="center"/>
    </xf>
    <xf numFmtId="310" fontId="3" fillId="14" borderId="15" xfId="0" applyFont="true" applyFill="true">
      <alignment vertical="center"/>
    </xf>
    <xf numFmtId="304" fontId="3" fillId="0" borderId="6" xfId="0" applyNumberFormat="true" applyFont="true" applyBorder="true" applyAlignment="true">
      <alignment horizontal="center" vertical="center"/>
    </xf>
    <xf numFmtId="310" fontId="3" fillId="12" borderId="12" xfId="0" applyFont="true" applyFill="true" applyBorder="true" applyAlignment="true">
      <alignment horizontal="center" vertical="center"/>
    </xf>
    <xf numFmtId="0" fontId="3" fillId="0" borderId="12" xfId="0" applyNumberFormat="true" applyFont="true" applyBorder="true" applyAlignment="true">
      <alignment horizontal="center" vertical="center"/>
    </xf>
    <xf numFmtId="0" fontId="3" fillId="0" borderId="8" xfId="0" applyNumberFormat="true" applyFont="true" applyBorder="true" applyAlignment="true">
      <alignment horizontal="center" vertical="center"/>
    </xf>
    <xf numFmtId="308" fontId="4" fillId="2" borderId="15" xfId="0" applyNumberFormat="true" applyFont="true" applyFill="true" applyAlignment="true">
      <alignment horizontal="center" vertical="center"/>
    </xf>
    <xf numFmtId="0" fontId="4" fillId="0" borderId="15" xfId="0" applyNumberFormat="true" applyFont="true" applyAlignment="true">
      <alignment horizontal="center" vertical="center"/>
    </xf>
    <xf numFmtId="310" fontId="19" fillId="3" borderId="15" xfId="0" applyNumberFormat="true" applyFill="true" applyBorder="true" applyAlignment="true">
      <alignment vertical="center"/>
    </xf>
    <xf fontId="0" fillId="7" borderId="0" xfId="0">
      <alignment vertical="center"/>
    </xf>
    <xf fontId="0" fillId="15" borderId="0" xfId="0">
      <alignment vertical="center"/>
    </xf>
    <xf numFmtId="310" fontId="18" fillId="16" borderId="15" xfId="0" applyNumberFormat="true" applyFont="true" applyFill="true" applyBorder="true" applyAlignment="true">
      <alignment vertical="center"/>
    </xf>
    <xf numFmtId="310" fontId="19" fillId="18" borderId="15" xfId="0" applyNumberFormat="true" applyFill="true" applyBorder="true" applyAlignment="true">
      <alignment vertical="center"/>
    </xf>
    <xf fontId="0" fillId="20" borderId="0" xfId="0">
      <alignment vertical="center"/>
    </xf>
    <xf numFmtId="310" fontId="19" fillId="18" borderId="16" xfId="0" applyNumberFormat="true" applyFill="true" applyBorder="true" applyAlignment="true">
      <alignment vertical="center"/>
    </xf>
    <xf numFmtId="310" fontId="19" fillId="16" borderId="2" xfId="0" applyNumberFormat="true" applyFill="true" applyBorder="true" applyAlignment="true">
      <alignment vertical="center"/>
    </xf>
    <xf numFmtId="310" fontId="19" fillId="16" borderId="1" xfId="0" applyNumberFormat="true" applyFill="true" applyBorder="true" applyAlignment="true">
      <alignment vertical="center"/>
    </xf>
    <xf numFmtId="311" fontId="19" fillId="16" borderId="2" xfId="0" applyNumberFormat="true" applyFill="true" applyBorder="true" applyAlignment="true">
      <alignment vertical="center"/>
    </xf>
    <xf numFmtId="310" fontId="19" fillId="2" borderId="2" xfId="0" applyNumberFormat="true" applyFill="true" applyBorder="true" applyAlignment="true">
      <alignment vertical="center"/>
    </xf>
    <xf fontId="0" fillId="24" borderId="0" xfId="0">
      <alignment vertical="center"/>
    </xf>
    <xf numFmtId="310" fontId="19" fillId="2" borderId="15" xfId="0" applyNumberFormat="true" applyFill="true" applyBorder="true" applyAlignment="true">
      <alignment vertical="center"/>
    </xf>
  </cellXfs>
  <cellStyles>
    <cellStyle name="常规" xfId="0" builtinId="0"/>
    <cellStyle name="40% - 强调文字颜色 3" xfId="1" builtinId="39"/>
    <cellStyle name="40% - 强调文字颜色 6" xfId="2" builtinId="51"/>
    <cellStyle name="标题 2" xfId="3" builtinId="17"/>
    <cellStyle name="强调文字颜色 3" xfId="4" builtinId="37"/>
    <cellStyle name="注释" xfId="5" builtinId="10"/>
    <cellStyle name="40% - 强调文字颜色 5" xfId="6" builtinId="47"/>
    <cellStyle name="强调文字颜色 6" xfId="7" builtinId="49"/>
    <cellStyle name="20% - 强调文字颜色 6" xfId="8" builtinId="50"/>
    <cellStyle name="标题 3" xfId="9" builtinId="18"/>
    <cellStyle name="标题" xfId="10" builtinId="15"/>
    <cellStyle name="60% - 强调文字颜色 6" xfId="11" builtinId="52"/>
    <cellStyle name="汇总" xfId="12" builtinId="25"/>
    <cellStyle name="货币[0]" xfId="13" builtinId="7"/>
    <cellStyle name="60% - 强调文字颜色 4" xfId="14" builtinId="44"/>
    <cellStyle name="计算" xfId="15" builtinId="22"/>
    <cellStyle name="差" xfId="16" builtinId="27"/>
    <cellStyle name="检查单元格" xfId="17" builtinId="23"/>
    <cellStyle name="60% - 强调文字颜色 3" xfId="18" builtinId="40"/>
    <cellStyle name="千位分隔" xfId="19" builtinId="3"/>
    <cellStyle name="输入" xfId="20" builtinId="20"/>
    <cellStyle name="20% - 强调文字颜色 1" xfId="21" builtinId="30"/>
    <cellStyle name="40% - 强调文字颜色 1" xfId="22" builtinId="31"/>
    <cellStyle name="货币" xfId="23" builtinId="4"/>
    <cellStyle name="强调文字颜色 4" xfId="24" builtinId="41"/>
    <cellStyle name="20% - 强调文字颜色 3" xfId="25" builtinId="38"/>
    <cellStyle name="输出" xfId="26" builtinId="21"/>
    <cellStyle name="20% - 强调文字颜色 2" xfId="27" builtinId="34"/>
    <cellStyle name="60% - 强调文字颜色 1" xfId="28" builtinId="32"/>
    <cellStyle name="强调文字颜色 1" xfId="29" builtinId="29"/>
    <cellStyle name="标题 4" xfId="30" builtinId="19"/>
    <cellStyle name="60% - 强调文字颜色 2" xfId="31" builtinId="36"/>
    <cellStyle name="解释性文本" xfId="32" builtinId="53"/>
    <cellStyle name="标题 1" xfId="33" builtinId="16"/>
    <cellStyle name="强调文字颜色 2" xfId="34" builtinId="33"/>
    <cellStyle name="40% - 强调文字颜色 2" xfId="35" builtinId="35"/>
    <cellStyle name="40% - 强调文字颜色 4" xfId="36" builtinId="43"/>
    <cellStyle name="千位分隔[0]" xfId="37" builtinId="6"/>
    <cellStyle name="20% - 强调文字颜色 5" xfId="38" builtinId="46"/>
    <cellStyle name="已访问的超链接" xfId="39" builtinId="9"/>
    <cellStyle name="链接单元格" xfId="40" builtinId="24"/>
    <cellStyle name="20% - 强调文字颜色 4" xfId="41" builtinId="42"/>
    <cellStyle name="百分比" xfId="42" builtinId="5"/>
    <cellStyle name="60% - 强调文字颜色 5" xfId="43" builtinId="48"/>
    <cellStyle name="警告文本" xfId="44" builtinId="11"/>
    <cellStyle name="适中" xfId="45" builtinId="28"/>
    <cellStyle name="强调文字颜色 5" xfId="46" builtinId="45"/>
    <cellStyle name="超链接" xfId="47" builtinId="8"/>
    <cellStyle name="好" xfId="48" builtinId="26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基板" filterMode="true"/>
  <dimension ref="AB1920"/>
  <sheetViews>
    <sheetView showGridLines="true" tabSelected="false" topLeftCell="H1" zoomScale="70" zoomScaleNormal="70" workbookViewId="0"/>
  </sheetViews>
  <sheetFormatPr defaultColWidth="10" defaultRowHeight="13.2"/>
  <cols>
    <col min="1" max="1" width="14.5625" style="281" customWidth="true"/>
    <col min="2" max="2" width="17.713" style="48" customWidth="true"/>
    <col min="3" max="5" width="10.9259" style="48" customWidth="true"/>
    <col min="6" max="6" width="9.84375" style="48" customWidth="true"/>
    <col min="7" max="7" width="26.8426" style="282" hidden="true" customWidth="true"/>
    <col min="8" max="8" width="26.8426" style="282" customWidth="true"/>
    <col min="9" max="9" width="10.6481" style="48" customWidth="true"/>
    <col min="10" max="11" width="17.3981" style="48" customWidth="true"/>
    <col min="12" max="12" width="10.9259" style="48" customWidth="true"/>
    <col min="13" max="14" width="14.713" style="279" customWidth="true"/>
    <col min="15" max="17" width="10.713" style="279" customWidth="true"/>
    <col min="18" max="18" width="14.713" style="279" customWidth="true"/>
    <col min="19" max="19" width="10.713" style="279" customWidth="true"/>
    <col min="20" max="20" width="24.713" style="279" customWidth="true"/>
    <col min="21" max="21" width="10.713" style="48" customWidth="true"/>
    <col min="22" max="22" width="18.713" style="48" customWidth="true"/>
    <col min="23" max="23" width="16.0508" style="48" customWidth="true"/>
    <col min="24" max="24" width="42.4922" style="48" customWidth="true"/>
    <col min="25" max="28" width="9.71296" style="48" customWidth="true"/>
    <col min="29" max="29" width="10" style="48"/>
  </cols>
  <sheetData>
    <row r="1" spans="1:28">
      <c r="A1" s="4" t="s"/>
      <c r="B1" s="5" t="s"/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9" t="s">
        <v>8</v>
      </c>
      <c r="K1" s="10" t="s">
        <v>9</v>
      </c>
      <c r="L1" s="9" t="s">
        <v>10</v>
      </c>
      <c r="M1" s="11" t="s"/>
      <c r="N1" s="12" t="s"/>
      <c r="O1" s="13" t="s"/>
      <c r="P1" s="11" t="s">
        <v>11</v>
      </c>
      <c r="Q1" s="12" t="s">
        <v>11</v>
      </c>
      <c r="R1" s="14" t="s"/>
      <c r="S1" s="13" t="s">
        <v>12</v>
      </c>
      <c r="T1" s="15" t="s"/>
      <c r="U1" s="16" t="s">
        <v>13</v>
      </c>
      <c r="V1" s="16" t="s">
        <v>14</v>
      </c>
      <c r="W1" s="17" t="s"/>
      <c r="X1" s="18" t="s"/>
      <c r="Y1" s="19" t="s"/>
      <c r="Z1" s="19" t="s"/>
      <c r="AA1" s="19" t="s"/>
      <c r="AB1" s="19" t="s"/>
    </row>
    <row r="2" spans="1:28" ht="14.4">
      <c r="A2" s="4">
        <f>=H2/G2-1</f>
        <v>0.0973451327433628</v>
      </c>
      <c r="B2" s="20">
        <f>=F2/12</f>
        <v>9.3</v>
      </c>
      <c r="C2" s="20">
        <f>=J2/3</f>
        <v>74.4</v>
      </c>
      <c r="D2" s="20">
        <f>=K2/3</f>
        <v>82.6666666666667</v>
      </c>
      <c r="E2" s="20">
        <f>=L2/3</f>
        <v>86.8</v>
      </c>
      <c r="F2" s="20">
        <f>=H2*0.9</f>
        <v>111.6</v>
      </c>
      <c r="G2" s="21">
        <v>113</v>
      </c>
      <c r="H2" s="22">
        <v>124</v>
      </c>
      <c r="I2" s="23">
        <f>=H2*1.05</f>
        <v>130.2</v>
      </c>
      <c r="J2" s="23">
        <f>=F2*2</f>
        <v>223.2</v>
      </c>
      <c r="K2" s="23">
        <f>=H2*2</f>
        <v>248</v>
      </c>
      <c r="L2" s="23">
        <f>=I2*2</f>
        <v>260.4</v>
      </c>
      <c r="M2" s="24" t="s">
        <v>15</v>
      </c>
      <c r="N2" s="24">
        <v>0.08</v>
      </c>
      <c r="O2" s="24" t="s"/>
      <c r="P2" s="24">
        <v>1</v>
      </c>
      <c r="Q2" s="24">
        <v>1</v>
      </c>
      <c r="R2" s="24" t="s">
        <v>16</v>
      </c>
      <c r="S2" s="24" t="s">
        <v>17</v>
      </c>
      <c r="T2" s="24" t="s">
        <v>18</v>
      </c>
      <c r="U2" s="25" t="s">
        <v>13</v>
      </c>
      <c r="V2" s="25" t="s">
        <v>19</v>
      </c>
      <c r="W2" s="26" t="s"/>
      <c r="X2" s="26" t="s">
        <f>=M2&amp;N2&amp;P2&amp;Q2&amp;T2&amp;V2&amp;S2</f>
        <v>20</v>
      </c>
      <c r="Y2" s="19" t="s"/>
      <c r="Z2" s="19" t="s"/>
      <c r="AA2" s="19" t="s"/>
      <c r="AB2" s="19" t="s"/>
    </row>
    <row r="3" spans="1:28" ht="14.4">
      <c r="A3" s="4">
        <f>=H3/G3-1</f>
        <v>0.105882352941177</v>
      </c>
      <c r="B3" s="20">
        <f>=F3/12</f>
        <v>7.05</v>
      </c>
      <c r="C3" s="20">
        <f>=J3/3</f>
        <v>56.4</v>
      </c>
      <c r="D3" s="20">
        <f>=K3/3</f>
        <v>62.6666666666667</v>
      </c>
      <c r="E3" s="20">
        <f>=L3/3</f>
        <v>65.8</v>
      </c>
      <c r="F3" s="20">
        <f>=H3*0.9</f>
        <v>84.6</v>
      </c>
      <c r="G3" s="21">
        <v>85</v>
      </c>
      <c r="H3" s="27">
        <v>94</v>
      </c>
      <c r="I3" s="28">
        <f>=H3*1.05</f>
        <v>98.7</v>
      </c>
      <c r="J3" s="28">
        <f>=F3*2</f>
        <v>169.2</v>
      </c>
      <c r="K3" s="28">
        <f>=H3*2</f>
        <v>188</v>
      </c>
      <c r="L3" s="28">
        <f>=I3*2</f>
        <v>197.4</v>
      </c>
      <c r="M3" s="13" t="s">
        <v>15</v>
      </c>
      <c r="N3" s="13">
        <v>0.08</v>
      </c>
      <c r="O3" s="13" t="s"/>
      <c r="P3" s="13" t="s">
        <v>21</v>
      </c>
      <c r="Q3" s="13" t="s">
        <v>21</v>
      </c>
      <c r="R3" s="13" t="s">
        <v>16</v>
      </c>
      <c r="S3" s="13" t="s">
        <v>17</v>
      </c>
      <c r="T3" s="13" t="s">
        <v>18</v>
      </c>
      <c r="U3" s="16" t="s">
        <v>13</v>
      </c>
      <c r="V3" s="16" t="s">
        <v>19</v>
      </c>
      <c r="W3" s="29" t="s"/>
      <c r="X3" s="26" t="s">
        <f>=M3&amp;N3&amp;P3&amp;Q3&amp;T3&amp;V3&amp;S3</f>
        <v>22</v>
      </c>
      <c r="Y3" s="19" t="s"/>
      <c r="Z3" s="19" t="s"/>
      <c r="AA3" s="19" t="s"/>
      <c r="AB3" s="19" t="s"/>
    </row>
    <row r="4" spans="1:28" ht="14.4">
      <c r="A4" s="4">
        <f>=H4/G4-1</f>
        <v>0.0973451327433628</v>
      </c>
      <c r="B4" s="20">
        <f>=F4/12</f>
        <v>9.3</v>
      </c>
      <c r="C4" s="20">
        <f>=J4/3</f>
        <v>74.4</v>
      </c>
      <c r="D4" s="20">
        <f>=K4/3</f>
        <v>82.6666666666667</v>
      </c>
      <c r="E4" s="20">
        <f>=L4/3</f>
        <v>86.8</v>
      </c>
      <c r="F4" s="20">
        <f>=H4*0.9</f>
        <v>111.6</v>
      </c>
      <c r="G4" s="21">
        <v>113</v>
      </c>
      <c r="H4" s="27">
        <v>124</v>
      </c>
      <c r="I4" s="28">
        <f>=H4*1.05</f>
        <v>130.2</v>
      </c>
      <c r="J4" s="28">
        <f>=F4*2</f>
        <v>223.2</v>
      </c>
      <c r="K4" s="28">
        <f>=H4*2</f>
        <v>248</v>
      </c>
      <c r="L4" s="28">
        <f>=I4*2</f>
        <v>260.4</v>
      </c>
      <c r="M4" s="13" t="s">
        <v>15</v>
      </c>
      <c r="N4" s="13">
        <v>0.1</v>
      </c>
      <c r="O4" s="13" t="s"/>
      <c r="P4" s="13">
        <v>1</v>
      </c>
      <c r="Q4" s="13">
        <v>1</v>
      </c>
      <c r="R4" s="13" t="s">
        <v>16</v>
      </c>
      <c r="S4" s="13" t="s">
        <v>17</v>
      </c>
      <c r="T4" s="13" t="s">
        <v>23</v>
      </c>
      <c r="U4" s="16" t="s">
        <v>13</v>
      </c>
      <c r="V4" s="16" t="s">
        <v>19</v>
      </c>
      <c r="W4" s="29" t="s"/>
      <c r="X4" s="26" t="s">
        <f>=M4&amp;N4&amp;P4&amp;Q4&amp;T4&amp;V4&amp;S4</f>
        <v>24</v>
      </c>
      <c r="Y4" s="19" t="s"/>
      <c r="Z4" s="19" t="s"/>
      <c r="AA4" s="19" t="s"/>
      <c r="AB4" s="19" t="s"/>
    </row>
    <row r="5" spans="1:28" ht="14.4">
      <c r="A5" s="4">
        <f>=H5/G5-1</f>
        <v>0.0973451327433628</v>
      </c>
      <c r="B5" s="20">
        <f>=F5/12</f>
        <v>9.3</v>
      </c>
      <c r="C5" s="20">
        <f>=J5/3</f>
        <v>74.4</v>
      </c>
      <c r="D5" s="20">
        <f>=K5/3</f>
        <v>82.6666666666667</v>
      </c>
      <c r="E5" s="20">
        <f>=L5/3</f>
        <v>86.8</v>
      </c>
      <c r="F5" s="20">
        <f>=H5*0.9</f>
        <v>111.6</v>
      </c>
      <c r="G5" s="21">
        <v>113</v>
      </c>
      <c r="H5" s="27">
        <v>124</v>
      </c>
      <c r="I5" s="28">
        <f>=H5*1.05</f>
        <v>130.2</v>
      </c>
      <c r="J5" s="28">
        <f>=F5*2</f>
        <v>223.2</v>
      </c>
      <c r="K5" s="28">
        <f>=H5*2</f>
        <v>248</v>
      </c>
      <c r="L5" s="28">
        <f>=I5*2</f>
        <v>260.4</v>
      </c>
      <c r="M5" s="13" t="s">
        <v>15</v>
      </c>
      <c r="N5" s="13">
        <v>0.1</v>
      </c>
      <c r="O5" s="13" t="s"/>
      <c r="P5" s="13">
        <v>1</v>
      </c>
      <c r="Q5" s="13">
        <v>1</v>
      </c>
      <c r="R5" s="13" t="s">
        <v>16</v>
      </c>
      <c r="S5" s="13" t="s">
        <v>17</v>
      </c>
      <c r="T5" s="13" t="s">
        <v>25</v>
      </c>
      <c r="U5" s="16" t="s">
        <v>13</v>
      </c>
      <c r="V5" s="16" t="s">
        <v>19</v>
      </c>
      <c r="W5" s="29" t="s"/>
      <c r="X5" s="26" t="s">
        <f>=M5&amp;N5&amp;P5&amp;Q5&amp;T5&amp;V5&amp;S5</f>
        <v>26</v>
      </c>
      <c r="Y5" s="19" t="s"/>
      <c r="Z5" s="19" t="s"/>
      <c r="AA5" s="19" t="s"/>
      <c r="AB5" s="19" t="s"/>
    </row>
    <row r="6" spans="1:28" ht="14.4">
      <c r="A6" s="4">
        <f>=H6/G6-1</f>
        <v>0.102127659574468</v>
      </c>
      <c r="B6" s="20">
        <f>=F6/12</f>
        <v>19.425</v>
      </c>
      <c r="C6" s="20">
        <f>=J6/3</f>
        <v>155.4</v>
      </c>
      <c r="D6" s="20">
        <f>=K6/3</f>
        <v>172.666666666667</v>
      </c>
      <c r="E6" s="20">
        <f>=L6/3</f>
        <v>181.3</v>
      </c>
      <c r="F6" s="20">
        <f>=H6*0.9</f>
        <v>233.1</v>
      </c>
      <c r="G6" s="21">
        <v>235</v>
      </c>
      <c r="H6" s="27">
        <v>259</v>
      </c>
      <c r="I6" s="28">
        <f>=H6*1.05</f>
        <v>271.95</v>
      </c>
      <c r="J6" s="28">
        <f>=F6*2</f>
        <v>466.2</v>
      </c>
      <c r="K6" s="28">
        <f>=H6*2</f>
        <v>518</v>
      </c>
      <c r="L6" s="28">
        <f>=I6*2</f>
        <v>543.9</v>
      </c>
      <c r="M6" s="13" t="s">
        <v>15</v>
      </c>
      <c r="N6" s="13">
        <v>0.1</v>
      </c>
      <c r="O6" s="13" t="s"/>
      <c r="P6" s="13">
        <v>2</v>
      </c>
      <c r="Q6" s="13">
        <v>2</v>
      </c>
      <c r="R6" s="13" t="s">
        <v>16</v>
      </c>
      <c r="S6" s="13" t="s">
        <v>17</v>
      </c>
      <c r="T6" s="13" t="s">
        <v>27</v>
      </c>
      <c r="U6" s="16" t="s">
        <v>13</v>
      </c>
      <c r="V6" s="16" t="s">
        <v>19</v>
      </c>
      <c r="W6" s="29" t="s"/>
      <c r="X6" s="26" t="s">
        <f>=M6&amp;N6&amp;P6&amp;Q6&amp;T6&amp;V6&amp;S6</f>
        <v>28</v>
      </c>
      <c r="Y6" s="19" t="s"/>
      <c r="Z6" s="19" t="s"/>
      <c r="AA6" s="19" t="s"/>
      <c r="AB6" s="19" t="s"/>
    </row>
    <row r="7" spans="1:28" ht="14.4">
      <c r="A7" s="4">
        <f>=H7/G7-1</f>
        <v>0.10077519379845</v>
      </c>
      <c r="B7" s="20">
        <f>=F7/12</f>
        <v>31.95</v>
      </c>
      <c r="C7" s="20">
        <f>=J7/3</f>
        <v>255.6</v>
      </c>
      <c r="D7" s="20">
        <f>=K7/3</f>
        <v>284</v>
      </c>
      <c r="E7" s="20">
        <f>=L7/3</f>
        <v>298.2</v>
      </c>
      <c r="F7" s="20">
        <f>=H7*0.9</f>
        <v>383.4</v>
      </c>
      <c r="G7" s="21">
        <v>387</v>
      </c>
      <c r="H7" s="27">
        <v>426</v>
      </c>
      <c r="I7" s="28">
        <f>=H7*1.05</f>
        <v>447.3</v>
      </c>
      <c r="J7" s="28">
        <f>=F7*2</f>
        <v>766.8</v>
      </c>
      <c r="K7" s="28">
        <f>=H7*2</f>
        <v>852</v>
      </c>
      <c r="L7" s="28">
        <f>=I7*2</f>
        <v>894.6</v>
      </c>
      <c r="M7" s="13" t="s">
        <v>15</v>
      </c>
      <c r="N7" s="13">
        <v>0.1</v>
      </c>
      <c r="O7" s="13" t="s"/>
      <c r="P7" s="13">
        <v>3</v>
      </c>
      <c r="Q7" s="13">
        <v>3</v>
      </c>
      <c r="R7" s="13" t="s">
        <v>16</v>
      </c>
      <c r="S7" s="13" t="s">
        <v>17</v>
      </c>
      <c r="T7" s="13" t="s">
        <v>27</v>
      </c>
      <c r="U7" s="16" t="s">
        <v>13</v>
      </c>
      <c r="V7" s="16" t="s">
        <v>19</v>
      </c>
      <c r="W7" s="29" t="s"/>
      <c r="X7" s="26" t="s">
        <f>=M7&amp;N7&amp;P7&amp;Q7&amp;T7&amp;V7&amp;S7</f>
        <v>29</v>
      </c>
      <c r="Y7" s="19" t="s"/>
      <c r="Z7" s="19" t="s"/>
      <c r="AA7" s="19" t="s"/>
      <c r="AB7" s="19" t="s"/>
    </row>
    <row r="8" spans="1:28" ht="14.4">
      <c r="A8" s="4">
        <f>=H8/G8-1</f>
        <v>0.1</v>
      </c>
      <c r="B8" s="20">
        <f>=F8/12</f>
        <v>55.275</v>
      </c>
      <c r="C8" s="20">
        <f>=J8/3</f>
        <v>442.2</v>
      </c>
      <c r="D8" s="20">
        <f>=K8/3</f>
        <v>491.333333333333</v>
      </c>
      <c r="E8" s="20">
        <f>=L8/3</f>
        <v>515.9</v>
      </c>
      <c r="F8" s="20">
        <f>=H8*0.9</f>
        <v>663.3</v>
      </c>
      <c r="G8" s="21">
        <v>670</v>
      </c>
      <c r="H8" s="27">
        <v>737</v>
      </c>
      <c r="I8" s="28">
        <f>=H8*1.05</f>
        <v>773.85</v>
      </c>
      <c r="J8" s="28">
        <f>=F8*2</f>
        <v>1326.6</v>
      </c>
      <c r="K8" s="28">
        <f>=H8*2</f>
        <v>1474</v>
      </c>
      <c r="L8" s="28">
        <f>=I8*2</f>
        <v>1547.7</v>
      </c>
      <c r="M8" s="13" t="s">
        <v>15</v>
      </c>
      <c r="N8" s="13">
        <v>0.1</v>
      </c>
      <c r="O8" s="13" t="s"/>
      <c r="P8" s="13">
        <v>4</v>
      </c>
      <c r="Q8" s="13">
        <v>4</v>
      </c>
      <c r="R8" s="13" t="s">
        <v>16</v>
      </c>
      <c r="S8" s="13" t="s">
        <v>17</v>
      </c>
      <c r="T8" s="13" t="s">
        <v>27</v>
      </c>
      <c r="U8" s="16" t="s">
        <v>13</v>
      </c>
      <c r="V8" s="16" t="s">
        <v>19</v>
      </c>
      <c r="W8" s="29" t="s"/>
      <c r="X8" s="26" t="s">
        <f>=M8&amp;N8&amp;P8&amp;Q8&amp;T8&amp;V8&amp;S8</f>
        <v>30</v>
      </c>
      <c r="Y8" s="19" t="s"/>
      <c r="Z8" s="19" t="s"/>
      <c r="AA8" s="19" t="s"/>
      <c r="AB8" s="19" t="s"/>
    </row>
    <row r="9" spans="1:28" ht="14.4">
      <c r="A9" s="4">
        <f>=H9/G9-1</f>
        <v>0.105882352941177</v>
      </c>
      <c r="B9" s="20">
        <f>=F9/12</f>
        <v>7.05</v>
      </c>
      <c r="C9" s="20">
        <f>=J9/3</f>
        <v>56.4</v>
      </c>
      <c r="D9" s="20">
        <f>=K9/3</f>
        <v>62.6666666666667</v>
      </c>
      <c r="E9" s="20">
        <f>=L9/3</f>
        <v>65.8</v>
      </c>
      <c r="F9" s="20">
        <f>=H9*0.9</f>
        <v>84.6</v>
      </c>
      <c r="G9" s="21">
        <v>85</v>
      </c>
      <c r="H9" s="27">
        <v>94</v>
      </c>
      <c r="I9" s="28">
        <f>=H9*1.05</f>
        <v>98.7</v>
      </c>
      <c r="J9" s="28">
        <f>=F9*2</f>
        <v>169.2</v>
      </c>
      <c r="K9" s="28">
        <f>=H9*2</f>
        <v>188</v>
      </c>
      <c r="L9" s="28">
        <f>=I9*2</f>
        <v>197.4</v>
      </c>
      <c r="M9" s="13" t="s">
        <v>15</v>
      </c>
      <c r="N9" s="13">
        <v>0.1</v>
      </c>
      <c r="O9" s="13" t="s"/>
      <c r="P9" s="13" t="s">
        <v>21</v>
      </c>
      <c r="Q9" s="13" t="s">
        <v>21</v>
      </c>
      <c r="R9" s="13" t="s">
        <v>16</v>
      </c>
      <c r="S9" s="13" t="s">
        <v>17</v>
      </c>
      <c r="T9" s="13" t="s">
        <v>23</v>
      </c>
      <c r="U9" s="16" t="s">
        <v>13</v>
      </c>
      <c r="V9" s="16" t="s">
        <v>19</v>
      </c>
      <c r="W9" s="29" t="s"/>
      <c r="X9" s="26" t="s">
        <f>=M9&amp;N9&amp;P9&amp;Q9&amp;T9&amp;V9&amp;S9</f>
        <v>31</v>
      </c>
      <c r="Y9" s="19" t="s"/>
      <c r="Z9" s="19" t="s"/>
      <c r="AA9" s="19" t="s"/>
      <c r="AB9" s="19" t="s"/>
    </row>
    <row r="10" spans="1:28" ht="14.4">
      <c r="A10" s="4">
        <f>=H10/G10-1</f>
        <v>0.105882352941177</v>
      </c>
      <c r="B10" s="20">
        <f>=F10/12</f>
        <v>7.05</v>
      </c>
      <c r="C10" s="20">
        <f>=J10/3</f>
        <v>56.4</v>
      </c>
      <c r="D10" s="20">
        <f>=K10/3</f>
        <v>62.6666666666667</v>
      </c>
      <c r="E10" s="20">
        <f>=L10/3</f>
        <v>65.8</v>
      </c>
      <c r="F10" s="20">
        <f>=H10*0.9</f>
        <v>84.6</v>
      </c>
      <c r="G10" s="21">
        <v>85</v>
      </c>
      <c r="H10" s="27">
        <v>94</v>
      </c>
      <c r="I10" s="28">
        <f>=H10*1.05</f>
        <v>98.7</v>
      </c>
      <c r="J10" s="28">
        <f>=F10*2</f>
        <v>169.2</v>
      </c>
      <c r="K10" s="28">
        <f>=H10*2</f>
        <v>188</v>
      </c>
      <c r="L10" s="28">
        <f>=I10*2</f>
        <v>197.4</v>
      </c>
      <c r="M10" s="13" t="s">
        <v>15</v>
      </c>
      <c r="N10" s="13">
        <v>0.1</v>
      </c>
      <c r="O10" s="13" t="s"/>
      <c r="P10" s="13" t="s">
        <v>21</v>
      </c>
      <c r="Q10" s="13" t="s">
        <v>21</v>
      </c>
      <c r="R10" s="13" t="s">
        <v>16</v>
      </c>
      <c r="S10" s="30" t="s">
        <v>17</v>
      </c>
      <c r="T10" s="13" t="s">
        <v>25</v>
      </c>
      <c r="U10" s="16" t="s">
        <v>13</v>
      </c>
      <c r="V10" s="16" t="s">
        <v>19</v>
      </c>
      <c r="W10" s="29" t="s"/>
      <c r="X10" s="26" t="s">
        <f>=M10&amp;N10&amp;P10&amp;Q10&amp;T10&amp;V10&amp;S10</f>
        <v>32</v>
      </c>
      <c r="Y10" s="19" t="s"/>
      <c r="Z10" s="19" t="s"/>
      <c r="AA10" s="19" t="s"/>
      <c r="AB10" s="19" t="s"/>
    </row>
    <row r="11" spans="1:28" ht="14.4">
      <c r="A11" s="4">
        <f>=H11/G11-1</f>
        <v>0.101851851851852</v>
      </c>
      <c r="B11" s="20">
        <f>=F11/12</f>
        <v>8.925</v>
      </c>
      <c r="C11" s="20">
        <f>=J11/3</f>
        <v>71.4</v>
      </c>
      <c r="D11" s="20">
        <f>=K11/3</f>
        <v>79.3333333333333</v>
      </c>
      <c r="E11" s="20">
        <f>=L11/3</f>
        <v>83.3</v>
      </c>
      <c r="F11" s="20">
        <f>=H11*0.9</f>
        <v>107.1</v>
      </c>
      <c r="G11" s="21">
        <v>108</v>
      </c>
      <c r="H11" s="27">
        <v>119</v>
      </c>
      <c r="I11" s="28">
        <f>=H11*1.05</f>
        <v>124.95</v>
      </c>
      <c r="J11" s="28">
        <f>=F11*2</f>
        <v>214.2</v>
      </c>
      <c r="K11" s="28">
        <f>=H11*2</f>
        <v>238</v>
      </c>
      <c r="L11" s="28">
        <f>=I11*2</f>
        <v>249.9</v>
      </c>
      <c r="M11" s="13" t="s">
        <v>15</v>
      </c>
      <c r="N11" s="13">
        <v>0.1</v>
      </c>
      <c r="O11" s="13" t="s"/>
      <c r="P11" s="13" t="s">
        <v>21</v>
      </c>
      <c r="Q11" s="13">
        <v>1</v>
      </c>
      <c r="R11" s="13" t="s">
        <v>16</v>
      </c>
      <c r="S11" s="13" t="s">
        <v>17</v>
      </c>
      <c r="T11" s="13" t="s">
        <v>25</v>
      </c>
      <c r="U11" s="16" t="s">
        <v>13</v>
      </c>
      <c r="V11" s="16" t="s">
        <v>19</v>
      </c>
      <c r="W11" s="29" t="s"/>
      <c r="X11" s="26" t="s">
        <f>=M11&amp;N11&amp;P11&amp;Q11&amp;T11&amp;V11&amp;S11</f>
        <v>33</v>
      </c>
      <c r="Y11" s="19" t="s"/>
      <c r="Z11" s="19" t="s"/>
      <c r="AA11" s="19" t="s"/>
      <c r="AB11" s="19" t="s"/>
    </row>
    <row r="12" spans="1:28" ht="14.4">
      <c r="A12" s="4">
        <f>=H12/G12-1</f>
        <v>0.0973451327433628</v>
      </c>
      <c r="B12" s="20">
        <f>=F12/12</f>
        <v>9.3</v>
      </c>
      <c r="C12" s="20">
        <f>=J12/3</f>
        <v>74.4</v>
      </c>
      <c r="D12" s="20">
        <f>=K12/3</f>
        <v>82.6666666666667</v>
      </c>
      <c r="E12" s="20">
        <f>=L12/3</f>
        <v>86.8</v>
      </c>
      <c r="F12" s="20">
        <f>=H12*0.9</f>
        <v>111.6</v>
      </c>
      <c r="G12" s="21">
        <v>113</v>
      </c>
      <c r="H12" s="27">
        <v>124</v>
      </c>
      <c r="I12" s="28">
        <f>=H12*1.05</f>
        <v>130.2</v>
      </c>
      <c r="J12" s="28">
        <f>=F12*2</f>
        <v>223.2</v>
      </c>
      <c r="K12" s="28">
        <f>=H12*2</f>
        <v>248</v>
      </c>
      <c r="L12" s="28">
        <f>=I12*2</f>
        <v>260.4</v>
      </c>
      <c r="M12" s="13" t="s">
        <v>15</v>
      </c>
      <c r="N12" s="13">
        <v>0.11</v>
      </c>
      <c r="O12" s="13" t="s"/>
      <c r="P12" s="13">
        <v>1</v>
      </c>
      <c r="Q12" s="13">
        <v>1</v>
      </c>
      <c r="R12" s="13" t="s">
        <v>16</v>
      </c>
      <c r="S12" s="13" t="s">
        <v>17</v>
      </c>
      <c r="T12" s="13" t="s">
        <v>23</v>
      </c>
      <c r="U12" s="16" t="s">
        <v>13</v>
      </c>
      <c r="V12" s="16" t="s">
        <v>19</v>
      </c>
      <c r="W12" s="29" t="s"/>
      <c r="X12" s="26" t="s">
        <f>=M12&amp;N12&amp;P12&amp;Q12&amp;T12&amp;V12&amp;S12</f>
        <v>34</v>
      </c>
      <c r="Y12" s="19" t="s"/>
      <c r="Z12" s="19" t="s"/>
      <c r="AA12" s="19" t="s"/>
      <c r="AB12" s="19" t="s"/>
    </row>
    <row r="13" spans="1:28" ht="14.4">
      <c r="A13" s="4">
        <f>=H13/G13-1</f>
        <v>0.0973451327433628</v>
      </c>
      <c r="B13" s="20">
        <f>=F13/12</f>
        <v>9.3</v>
      </c>
      <c r="C13" s="20">
        <f>=J13/3</f>
        <v>74.4</v>
      </c>
      <c r="D13" s="20">
        <f>=K13/3</f>
        <v>82.6666666666667</v>
      </c>
      <c r="E13" s="20">
        <f>=L13/3</f>
        <v>86.8</v>
      </c>
      <c r="F13" s="20">
        <f>=H13*0.9</f>
        <v>111.6</v>
      </c>
      <c r="G13" s="21">
        <v>113</v>
      </c>
      <c r="H13" s="27">
        <v>124</v>
      </c>
      <c r="I13" s="28">
        <f>=H13*1.05</f>
        <v>130.2</v>
      </c>
      <c r="J13" s="28">
        <f>=F13*2</f>
        <v>223.2</v>
      </c>
      <c r="K13" s="28">
        <f>=H13*2</f>
        <v>248</v>
      </c>
      <c r="L13" s="28">
        <f>=I13*2</f>
        <v>260.4</v>
      </c>
      <c r="M13" s="13" t="s">
        <v>15</v>
      </c>
      <c r="N13" s="13">
        <v>0.13</v>
      </c>
      <c r="O13" s="13" t="s"/>
      <c r="P13" s="13">
        <v>1</v>
      </c>
      <c r="Q13" s="13">
        <v>1</v>
      </c>
      <c r="R13" s="13" t="s">
        <v>16</v>
      </c>
      <c r="S13" s="13" t="s">
        <v>17</v>
      </c>
      <c r="T13" s="13" t="s">
        <v>23</v>
      </c>
      <c r="U13" s="16" t="s">
        <v>13</v>
      </c>
      <c r="V13" s="16" t="s">
        <v>19</v>
      </c>
      <c r="W13" s="29" t="s"/>
      <c r="X13" s="26" t="s">
        <f>=M13&amp;N13&amp;P13&amp;Q13&amp;T13&amp;V13&amp;S13</f>
        <v>35</v>
      </c>
      <c r="Y13" s="19" t="s"/>
      <c r="Z13" s="19" t="s"/>
      <c r="AA13" s="19" t="s"/>
      <c r="AB13" s="19" t="s"/>
    </row>
    <row r="14" spans="1:28" ht="14.4">
      <c r="A14" s="4">
        <f>=H14/G14-1</f>
        <v>0.102127659574468</v>
      </c>
      <c r="B14" s="20">
        <f>=F14/12</f>
        <v>19.425</v>
      </c>
      <c r="C14" s="20">
        <f>=J14/3</f>
        <v>155.4</v>
      </c>
      <c r="D14" s="20">
        <f>=K14/3</f>
        <v>172.666666666667</v>
      </c>
      <c r="E14" s="20">
        <f>=L14/3</f>
        <v>181.3</v>
      </c>
      <c r="F14" s="20">
        <f>=H14*0.9</f>
        <v>233.1</v>
      </c>
      <c r="G14" s="21">
        <v>235</v>
      </c>
      <c r="H14" s="27">
        <v>259</v>
      </c>
      <c r="I14" s="28">
        <f>=H14*1.05</f>
        <v>271.95</v>
      </c>
      <c r="J14" s="28">
        <f>=F14*2</f>
        <v>466.2</v>
      </c>
      <c r="K14" s="28">
        <f>=H14*2</f>
        <v>518</v>
      </c>
      <c r="L14" s="28">
        <f>=I14*2</f>
        <v>543.9</v>
      </c>
      <c r="M14" s="13" t="s">
        <v>15</v>
      </c>
      <c r="N14" s="13">
        <v>0.13</v>
      </c>
      <c r="O14" s="13" t="s"/>
      <c r="P14" s="13">
        <v>2</v>
      </c>
      <c r="Q14" s="13">
        <v>2</v>
      </c>
      <c r="R14" s="13" t="s">
        <v>16</v>
      </c>
      <c r="S14" s="13" t="s">
        <v>17</v>
      </c>
      <c r="T14" s="13" t="s">
        <v>27</v>
      </c>
      <c r="U14" s="16" t="s">
        <v>13</v>
      </c>
      <c r="V14" s="16" t="s">
        <v>19</v>
      </c>
      <c r="W14" s="29" t="s"/>
      <c r="X14" s="26" t="s">
        <f>=M14&amp;N14&amp;P14&amp;Q14&amp;T14&amp;V14&amp;S14</f>
        <v>36</v>
      </c>
      <c r="Y14" s="19" t="s"/>
      <c r="Z14" s="19" t="s"/>
      <c r="AA14" s="19" t="s"/>
      <c r="AB14" s="19" t="s"/>
    </row>
    <row r="15" spans="1:28" ht="14.4">
      <c r="A15" s="4">
        <f>=H15/G15-1</f>
        <v>0.0998509687034277</v>
      </c>
      <c r="B15" s="20">
        <f>=F15/12</f>
        <v>55.35</v>
      </c>
      <c r="C15" s="20">
        <f>=J15/3</f>
        <v>442.8</v>
      </c>
      <c r="D15" s="20">
        <f>=K15/3</f>
        <v>492</v>
      </c>
      <c r="E15" s="20">
        <f>=L15/3</f>
        <v>516.6</v>
      </c>
      <c r="F15" s="20">
        <f>=H15*0.9</f>
        <v>664.2</v>
      </c>
      <c r="G15" s="21">
        <v>671</v>
      </c>
      <c r="H15" s="27">
        <v>738</v>
      </c>
      <c r="I15" s="28">
        <f>=H15*1.05</f>
        <v>774.9</v>
      </c>
      <c r="J15" s="28">
        <f>=F15*2</f>
        <v>1328.4</v>
      </c>
      <c r="K15" s="28">
        <f>=H15*2</f>
        <v>1476</v>
      </c>
      <c r="L15" s="28">
        <f>=I15*2</f>
        <v>1549.8</v>
      </c>
      <c r="M15" s="13" t="s">
        <v>15</v>
      </c>
      <c r="N15" s="13">
        <v>0.13</v>
      </c>
      <c r="O15" s="13" t="s"/>
      <c r="P15" s="13">
        <v>4</v>
      </c>
      <c r="Q15" s="13">
        <v>4</v>
      </c>
      <c r="R15" s="13" t="s">
        <v>16</v>
      </c>
      <c r="S15" s="13" t="s">
        <v>17</v>
      </c>
      <c r="T15" s="13" t="s">
        <v>27</v>
      </c>
      <c r="U15" s="16" t="s">
        <v>13</v>
      </c>
      <c r="V15" s="16" t="s">
        <v>19</v>
      </c>
      <c r="W15" s="29" t="s"/>
      <c r="X15" s="26" t="s">
        <f>=M15&amp;N15&amp;P15&amp;Q15&amp;T15&amp;V15&amp;S15</f>
        <v>37</v>
      </c>
      <c r="Y15" s="19" t="s"/>
      <c r="Z15" s="19" t="s"/>
      <c r="AA15" s="19" t="s"/>
      <c r="AB15" s="19" t="s"/>
    </row>
    <row r="16" spans="1:28" ht="14.4">
      <c r="A16" s="4">
        <f>=H16/G16-1</f>
        <v>0.0975609756097562</v>
      </c>
      <c r="B16" s="20">
        <f>=F16/12</f>
        <v>6.75</v>
      </c>
      <c r="C16" s="20">
        <f>=J16/3</f>
        <v>54</v>
      </c>
      <c r="D16" s="20">
        <f>=K16/3</f>
        <v>60</v>
      </c>
      <c r="E16" s="20">
        <f>=L16/3</f>
        <v>63</v>
      </c>
      <c r="F16" s="20">
        <f>=H16*0.9</f>
        <v>81</v>
      </c>
      <c r="G16" s="21">
        <v>82</v>
      </c>
      <c r="H16" s="27">
        <v>90</v>
      </c>
      <c r="I16" s="28">
        <f>=H16*1.05</f>
        <v>94.5</v>
      </c>
      <c r="J16" s="28">
        <f>=F16*2</f>
        <v>162</v>
      </c>
      <c r="K16" s="28">
        <f>=H16*2</f>
        <v>180</v>
      </c>
      <c r="L16" s="28">
        <f>=I16*2</f>
        <v>189</v>
      </c>
      <c r="M16" s="13" t="s">
        <v>15</v>
      </c>
      <c r="N16" s="13">
        <v>0.13</v>
      </c>
      <c r="O16" s="13" t="s"/>
      <c r="P16" s="13" t="s">
        <v>21</v>
      </c>
      <c r="Q16" s="13" t="s">
        <v>21</v>
      </c>
      <c r="R16" s="13" t="s">
        <v>16</v>
      </c>
      <c r="S16" s="13" t="s">
        <v>17</v>
      </c>
      <c r="T16" s="13" t="s">
        <v>23</v>
      </c>
      <c r="U16" s="16" t="s">
        <v>13</v>
      </c>
      <c r="V16" s="16" t="s">
        <v>19</v>
      </c>
      <c r="W16" s="29" t="s"/>
      <c r="X16" s="26" t="s">
        <f>=M16&amp;N16&amp;P16&amp;Q16&amp;T16&amp;V16&amp;S16</f>
        <v>38</v>
      </c>
      <c r="Y16" s="19" t="s"/>
      <c r="Z16" s="19" t="s"/>
      <c r="AA16" s="19" t="s"/>
      <c r="AB16" s="19" t="s"/>
    </row>
    <row r="17" spans="1:28" ht="14.4">
      <c r="A17" s="4">
        <f>=H17/G17-1</f>
        <v>0.0964912280701755</v>
      </c>
      <c r="B17" s="20">
        <f>=F17/12</f>
        <v>9.375</v>
      </c>
      <c r="C17" s="20">
        <f>=J17/3</f>
        <v>75</v>
      </c>
      <c r="D17" s="20">
        <f>=K17/3</f>
        <v>83.3333333333333</v>
      </c>
      <c r="E17" s="20">
        <f>=L17/3</f>
        <v>87.5</v>
      </c>
      <c r="F17" s="20">
        <f>=H17*0.9</f>
        <v>112.5</v>
      </c>
      <c r="G17" s="21">
        <v>114</v>
      </c>
      <c r="H17" s="27">
        <v>125</v>
      </c>
      <c r="I17" s="28">
        <f>=H17*1.05</f>
        <v>131.25</v>
      </c>
      <c r="J17" s="28">
        <f>=F17*2</f>
        <v>225</v>
      </c>
      <c r="K17" s="28">
        <f>=H17*2</f>
        <v>250</v>
      </c>
      <c r="L17" s="28">
        <f>=I17*2</f>
        <v>262.5</v>
      </c>
      <c r="M17" s="13" t="s">
        <v>15</v>
      </c>
      <c r="N17" s="13">
        <v>0.15</v>
      </c>
      <c r="O17" s="13" t="s"/>
      <c r="P17" s="13">
        <v>1</v>
      </c>
      <c r="Q17" s="13">
        <v>1</v>
      </c>
      <c r="R17" s="13" t="s">
        <v>16</v>
      </c>
      <c r="S17" s="13" t="s">
        <v>17</v>
      </c>
      <c r="T17" s="13" t="s">
        <v>39</v>
      </c>
      <c r="U17" s="16" t="s">
        <v>13</v>
      </c>
      <c r="V17" s="16" t="s">
        <v>19</v>
      </c>
      <c r="W17" s="29" t="s"/>
      <c r="X17" s="26" t="s">
        <f>=M17&amp;N17&amp;P17&amp;Q17&amp;T17&amp;V17&amp;S17</f>
        <v>40</v>
      </c>
      <c r="Y17" s="19" t="s"/>
      <c r="Z17" s="19" t="s"/>
      <c r="AA17" s="19" t="s"/>
      <c r="AB17" s="19" t="s"/>
    </row>
    <row r="18" spans="1:28" ht="14.4">
      <c r="A18" s="4">
        <f>=H18/G18-1</f>
        <v>0.103448275862069</v>
      </c>
      <c r="B18" s="20">
        <f>=F18/12</f>
        <v>7.2</v>
      </c>
      <c r="C18" s="20">
        <f>=J18/3</f>
        <v>57.6</v>
      </c>
      <c r="D18" s="20">
        <f>=K18/3</f>
        <v>64</v>
      </c>
      <c r="E18" s="20">
        <f>=L18/3</f>
        <v>67.2</v>
      </c>
      <c r="F18" s="20">
        <f>=H18*0.9</f>
        <v>86.4</v>
      </c>
      <c r="G18" s="21">
        <v>87</v>
      </c>
      <c r="H18" s="27">
        <v>96</v>
      </c>
      <c r="I18" s="28">
        <f>=H18*1.05</f>
        <v>100.8</v>
      </c>
      <c r="J18" s="28">
        <f>=F18*2</f>
        <v>172.8</v>
      </c>
      <c r="K18" s="28">
        <f>=H18*2</f>
        <v>192</v>
      </c>
      <c r="L18" s="28">
        <f>=I18*2</f>
        <v>201.6</v>
      </c>
      <c r="M18" s="13" t="s">
        <v>15</v>
      </c>
      <c r="N18" s="13">
        <v>0.15</v>
      </c>
      <c r="O18" s="13" t="s"/>
      <c r="P18" s="13" t="s">
        <v>21</v>
      </c>
      <c r="Q18" s="13" t="s">
        <v>21</v>
      </c>
      <c r="R18" s="13" t="s">
        <v>16</v>
      </c>
      <c r="S18" s="13" t="s">
        <v>17</v>
      </c>
      <c r="T18" s="13" t="s">
        <v>39</v>
      </c>
      <c r="U18" s="16" t="s">
        <v>13</v>
      </c>
      <c r="V18" s="16" t="s">
        <v>19</v>
      </c>
      <c r="W18" s="29" t="s"/>
      <c r="X18" s="26" t="s">
        <f>=M18&amp;N18&amp;P18&amp;Q18&amp;T18&amp;V18&amp;S18</f>
        <v>41</v>
      </c>
      <c r="Y18" s="19" t="s"/>
      <c r="Z18" s="19" t="s"/>
      <c r="AA18" s="19" t="s"/>
      <c r="AB18" s="19" t="s"/>
    </row>
    <row r="19" spans="1:28" ht="14.4">
      <c r="A19" s="4">
        <f>=H19/G19-1</f>
        <v>0.0964912280701755</v>
      </c>
      <c r="B19" s="20">
        <f>=F19/12</f>
        <v>9.375</v>
      </c>
      <c r="C19" s="20">
        <f>=J19/3</f>
        <v>75</v>
      </c>
      <c r="D19" s="20">
        <f>=K19/3</f>
        <v>83.3333333333333</v>
      </c>
      <c r="E19" s="20">
        <f>=L19/3</f>
        <v>87.5</v>
      </c>
      <c r="F19" s="20">
        <f>=H19*0.9</f>
        <v>112.5</v>
      </c>
      <c r="G19" s="21">
        <v>114</v>
      </c>
      <c r="H19" s="27">
        <v>125</v>
      </c>
      <c r="I19" s="28">
        <f>=H19*1.05</f>
        <v>131.25</v>
      </c>
      <c r="J19" s="28">
        <f>=F19*2</f>
        <v>225</v>
      </c>
      <c r="K19" s="28">
        <f>=H19*2</f>
        <v>250</v>
      </c>
      <c r="L19" s="28">
        <f>=I19*2</f>
        <v>262.5</v>
      </c>
      <c r="M19" s="13" t="s">
        <v>15</v>
      </c>
      <c r="N19" s="13">
        <v>0.16</v>
      </c>
      <c r="O19" s="13" t="s"/>
      <c r="P19" s="13">
        <v>1</v>
      </c>
      <c r="Q19" s="13">
        <v>1</v>
      </c>
      <c r="R19" s="13" t="s">
        <v>16</v>
      </c>
      <c r="S19" s="13" t="s">
        <v>17</v>
      </c>
      <c r="T19" s="13" t="s">
        <v>39</v>
      </c>
      <c r="U19" s="16" t="s">
        <v>13</v>
      </c>
      <c r="V19" s="16" t="s">
        <v>19</v>
      </c>
      <c r="W19" s="29" t="s"/>
      <c r="X19" s="26" t="s">
        <f>=M19&amp;N19&amp;P19&amp;Q19&amp;T19&amp;V19&amp;S19</f>
        <v>42</v>
      </c>
      <c r="Y19" s="19" t="s"/>
      <c r="Z19" s="19" t="s"/>
      <c r="AA19" s="19" t="s"/>
      <c r="AB19" s="19" t="s"/>
    </row>
    <row r="20" spans="1:28" ht="14.4">
      <c r="A20" s="4">
        <f>=H20/G20-1</f>
        <v>0.102127659574468</v>
      </c>
      <c r="B20" s="20">
        <f>=F20/12</f>
        <v>19.425</v>
      </c>
      <c r="C20" s="20">
        <f>=J20/3</f>
        <v>155.4</v>
      </c>
      <c r="D20" s="20">
        <f>=K20/3</f>
        <v>172.666666666667</v>
      </c>
      <c r="E20" s="20">
        <f>=L20/3</f>
        <v>181.3</v>
      </c>
      <c r="F20" s="20">
        <f>=H20*0.9</f>
        <v>233.1</v>
      </c>
      <c r="G20" s="21">
        <v>235</v>
      </c>
      <c r="H20" s="27">
        <v>259</v>
      </c>
      <c r="I20" s="28">
        <f>=H20*1.05</f>
        <v>271.95</v>
      </c>
      <c r="J20" s="28">
        <f>=F20*2</f>
        <v>466.2</v>
      </c>
      <c r="K20" s="28">
        <f>=H20*2</f>
        <v>518</v>
      </c>
      <c r="L20" s="28">
        <f>=I20*2</f>
        <v>543.9</v>
      </c>
      <c r="M20" s="13" t="s">
        <v>15</v>
      </c>
      <c r="N20" s="13">
        <v>0.16</v>
      </c>
      <c r="O20" s="13" t="s"/>
      <c r="P20" s="13">
        <v>2</v>
      </c>
      <c r="Q20" s="13">
        <v>2</v>
      </c>
      <c r="R20" s="13" t="s">
        <v>16</v>
      </c>
      <c r="S20" s="13" t="s">
        <v>17</v>
      </c>
      <c r="T20" s="13" t="s">
        <v>43</v>
      </c>
      <c r="U20" s="16" t="s">
        <v>13</v>
      </c>
      <c r="V20" s="16" t="s">
        <v>19</v>
      </c>
      <c r="W20" s="29" t="s"/>
      <c r="X20" s="26" t="s">
        <f>=M20&amp;N20&amp;P20&amp;Q20&amp;T20&amp;V20&amp;S20</f>
        <v>44</v>
      </c>
      <c r="Y20" s="19" t="s"/>
      <c r="Z20" s="19" t="s"/>
      <c r="AA20" s="19" t="s"/>
      <c r="AB20" s="19" t="s"/>
    </row>
    <row r="21" spans="1:28" ht="14.4">
      <c r="A21" s="4">
        <f>=H21/G21-1</f>
        <v>0.103448275862069</v>
      </c>
      <c r="B21" s="20">
        <f>=F21/12</f>
        <v>7.2</v>
      </c>
      <c r="C21" s="20">
        <f>=J21/3</f>
        <v>57.6</v>
      </c>
      <c r="D21" s="20">
        <f>=K21/3</f>
        <v>64</v>
      </c>
      <c r="E21" s="20">
        <f>=L21/3</f>
        <v>67.2</v>
      </c>
      <c r="F21" s="20">
        <f>=H21*0.9</f>
        <v>86.4</v>
      </c>
      <c r="G21" s="21">
        <v>87</v>
      </c>
      <c r="H21" s="27">
        <v>96</v>
      </c>
      <c r="I21" s="28">
        <f>=H21*1.05</f>
        <v>100.8</v>
      </c>
      <c r="J21" s="28">
        <f>=F21*2</f>
        <v>172.8</v>
      </c>
      <c r="K21" s="28">
        <f>=H21*2</f>
        <v>192</v>
      </c>
      <c r="L21" s="28">
        <f>=I21*2</f>
        <v>201.6</v>
      </c>
      <c r="M21" s="13" t="s">
        <v>15</v>
      </c>
      <c r="N21" s="13">
        <v>0.16</v>
      </c>
      <c r="O21" s="13" t="s"/>
      <c r="P21" s="13" t="s">
        <v>21</v>
      </c>
      <c r="Q21" s="13" t="s">
        <v>21</v>
      </c>
      <c r="R21" s="13" t="s">
        <v>16</v>
      </c>
      <c r="S21" s="13" t="s">
        <v>17</v>
      </c>
      <c r="T21" s="13" t="s">
        <v>39</v>
      </c>
      <c r="U21" s="16" t="s">
        <v>13</v>
      </c>
      <c r="V21" s="16" t="s">
        <v>19</v>
      </c>
      <c r="W21" s="29" t="s"/>
      <c r="X21" s="26" t="s">
        <f>=M21&amp;N21&amp;P21&amp;Q21&amp;T21&amp;V21&amp;S21</f>
        <v>45</v>
      </c>
      <c r="Y21" s="19" t="s"/>
      <c r="Z21" s="19" t="s"/>
      <c r="AA21" s="19" t="s"/>
      <c r="AB21" s="19" t="s"/>
    </row>
    <row r="22" spans="1:28" ht="14.4">
      <c r="A22" s="4">
        <f>=H22/G22-1</f>
        <v>0.103448275862069</v>
      </c>
      <c r="B22" s="20">
        <f>=F22/12</f>
        <v>9.6</v>
      </c>
      <c r="C22" s="20">
        <f>=J22/3</f>
        <v>76.8</v>
      </c>
      <c r="D22" s="20">
        <f>=K22/3</f>
        <v>85.3333333333333</v>
      </c>
      <c r="E22" s="20">
        <f>=L22/3</f>
        <v>89.6</v>
      </c>
      <c r="F22" s="20">
        <f>=H22*0.9</f>
        <v>115.2</v>
      </c>
      <c r="G22" s="21">
        <v>116</v>
      </c>
      <c r="H22" s="27">
        <v>128</v>
      </c>
      <c r="I22" s="28">
        <f>=H22*1.05</f>
        <v>134.4</v>
      </c>
      <c r="J22" s="28">
        <f>=F22*2</f>
        <v>230.4</v>
      </c>
      <c r="K22" s="28">
        <f>=H22*2</f>
        <v>256</v>
      </c>
      <c r="L22" s="28">
        <f>=I22*2</f>
        <v>268.8</v>
      </c>
      <c r="M22" s="13" t="s">
        <v>15</v>
      </c>
      <c r="N22" s="13">
        <v>0.18</v>
      </c>
      <c r="O22" s="13" t="s"/>
      <c r="P22" s="13">
        <v>1</v>
      </c>
      <c r="Q22" s="13">
        <v>1</v>
      </c>
      <c r="R22" s="13" t="s">
        <v>16</v>
      </c>
      <c r="S22" s="13" t="s">
        <v>17</v>
      </c>
      <c r="T22" s="13" t="s">
        <v>46</v>
      </c>
      <c r="U22" s="16" t="s">
        <v>13</v>
      </c>
      <c r="V22" s="16" t="s">
        <v>19</v>
      </c>
      <c r="W22" s="29" t="s"/>
      <c r="X22" s="26" t="s">
        <f>=M22&amp;N22&amp;P22&amp;Q22&amp;T22&amp;V22&amp;S22</f>
        <v>47</v>
      </c>
      <c r="Y22" s="19" t="s"/>
      <c r="Z22" s="19" t="s"/>
      <c r="AA22" s="19" t="s"/>
      <c r="AB22" s="19" t="s"/>
    </row>
    <row r="23" spans="1:28" ht="14.4">
      <c r="A23" s="4">
        <f>=H23/G23-1</f>
        <v>0.10126582278481</v>
      </c>
      <c r="B23" s="20">
        <f>=F23/12</f>
        <v>19.575</v>
      </c>
      <c r="C23" s="20">
        <f>=J23/3</f>
        <v>156.6</v>
      </c>
      <c r="D23" s="20">
        <f>=K23/3</f>
        <v>174</v>
      </c>
      <c r="E23" s="20">
        <f>=L23/3</f>
        <v>182.7</v>
      </c>
      <c r="F23" s="20">
        <f>=H23*0.9</f>
        <v>234.9</v>
      </c>
      <c r="G23" s="21">
        <v>237</v>
      </c>
      <c r="H23" s="27">
        <v>261</v>
      </c>
      <c r="I23" s="28">
        <f>=H23*1.05</f>
        <v>274.05</v>
      </c>
      <c r="J23" s="28">
        <f>=F23*2</f>
        <v>469.8</v>
      </c>
      <c r="K23" s="28">
        <f>=H23*2</f>
        <v>522</v>
      </c>
      <c r="L23" s="28">
        <f>=I23*2</f>
        <v>548.1</v>
      </c>
      <c r="M23" s="13" t="s">
        <v>15</v>
      </c>
      <c r="N23" s="13">
        <v>0.18</v>
      </c>
      <c r="O23" s="13" t="s"/>
      <c r="P23" s="13">
        <v>2</v>
      </c>
      <c r="Q23" s="13">
        <v>2</v>
      </c>
      <c r="R23" s="13" t="s">
        <v>16</v>
      </c>
      <c r="S23" s="13" t="s">
        <v>17</v>
      </c>
      <c r="T23" s="13" t="s">
        <v>48</v>
      </c>
      <c r="U23" s="16" t="s">
        <v>13</v>
      </c>
      <c r="V23" s="16" t="s">
        <v>19</v>
      </c>
      <c r="W23" s="29" t="s"/>
      <c r="X23" s="26" t="s">
        <f>=M23&amp;N23&amp;P23&amp;Q23&amp;T23&amp;V23&amp;S23</f>
        <v>49</v>
      </c>
      <c r="Y23" s="19" t="s"/>
      <c r="Z23" s="19" t="s"/>
      <c r="AA23" s="19" t="s"/>
      <c r="AB23" s="19" t="s"/>
    </row>
    <row r="24" spans="1:28" ht="14.4">
      <c r="A24" s="4">
        <f>=H24/G24-1</f>
        <v>0.104651162790698</v>
      </c>
      <c r="B24" s="20">
        <f>=F24/12</f>
        <v>7.125</v>
      </c>
      <c r="C24" s="20">
        <f>=J24/3</f>
        <v>57</v>
      </c>
      <c r="D24" s="20">
        <f>=K24/3</f>
        <v>63.3333333333333</v>
      </c>
      <c r="E24" s="20">
        <f>=L24/3</f>
        <v>66.5</v>
      </c>
      <c r="F24" s="20">
        <f>=H24*0.9</f>
        <v>85.5</v>
      </c>
      <c r="G24" s="21">
        <v>86</v>
      </c>
      <c r="H24" s="27">
        <v>95</v>
      </c>
      <c r="I24" s="28">
        <f>=H24*1.05</f>
        <v>99.75</v>
      </c>
      <c r="J24" s="28">
        <f>=F24*2</f>
        <v>171</v>
      </c>
      <c r="K24" s="28">
        <f>=H24*2</f>
        <v>190</v>
      </c>
      <c r="L24" s="28">
        <f>=I24*2</f>
        <v>199.5</v>
      </c>
      <c r="M24" s="13" t="s">
        <v>15</v>
      </c>
      <c r="N24" s="13">
        <v>0.18</v>
      </c>
      <c r="O24" s="13" t="s"/>
      <c r="P24" s="13" t="s">
        <v>21</v>
      </c>
      <c r="Q24" s="13" t="s">
        <v>21</v>
      </c>
      <c r="R24" s="13" t="s">
        <v>16</v>
      </c>
      <c r="S24" s="13" t="s">
        <v>17</v>
      </c>
      <c r="T24" s="13" t="s">
        <v>46</v>
      </c>
      <c r="U24" s="16" t="s">
        <v>13</v>
      </c>
      <c r="V24" s="16" t="s">
        <v>19</v>
      </c>
      <c r="W24" s="29" t="s"/>
      <c r="X24" s="26" t="s">
        <f>=M24&amp;N24&amp;P24&amp;Q24&amp;T24&amp;V24&amp;S24</f>
        <v>50</v>
      </c>
      <c r="Y24" s="19" t="s"/>
      <c r="Z24" s="19" t="s"/>
      <c r="AA24" s="19" t="s"/>
      <c r="AB24" s="19" t="s"/>
    </row>
    <row r="25" spans="1:28" ht="14.4">
      <c r="A25" s="4">
        <f>=H25/G25-1</f>
        <v>0.102564102564103</v>
      </c>
      <c r="B25" s="20">
        <f>=F25/12</f>
        <v>9.675</v>
      </c>
      <c r="C25" s="20">
        <f>=J25/3</f>
        <v>77.4</v>
      </c>
      <c r="D25" s="20">
        <f>=K25/3</f>
        <v>86</v>
      </c>
      <c r="E25" s="20">
        <f>=L25/3</f>
        <v>90.3</v>
      </c>
      <c r="F25" s="20">
        <f>=H25*0.9</f>
        <v>116.1</v>
      </c>
      <c r="G25" s="21">
        <v>117</v>
      </c>
      <c r="H25" s="27">
        <v>129</v>
      </c>
      <c r="I25" s="28">
        <f>=H25*1.05</f>
        <v>135.45</v>
      </c>
      <c r="J25" s="28">
        <f>=F25*2</f>
        <v>232.2</v>
      </c>
      <c r="K25" s="28">
        <f>=H25*2</f>
        <v>258</v>
      </c>
      <c r="L25" s="28">
        <f>=I25*2</f>
        <v>270.9</v>
      </c>
      <c r="M25" s="13" t="s">
        <v>15</v>
      </c>
      <c r="N25" s="13">
        <v>0.2</v>
      </c>
      <c r="O25" s="13" t="s"/>
      <c r="P25" s="13">
        <v>1</v>
      </c>
      <c r="Q25" s="13">
        <v>1</v>
      </c>
      <c r="R25" s="13" t="s">
        <v>16</v>
      </c>
      <c r="S25" s="13" t="s">
        <v>17</v>
      </c>
      <c r="T25" s="13" t="s">
        <v>46</v>
      </c>
      <c r="U25" s="16" t="s">
        <v>13</v>
      </c>
      <c r="V25" s="16" t="s">
        <v>19</v>
      </c>
      <c r="W25" s="29" t="s"/>
      <c r="X25" s="26" t="s">
        <f>=M25&amp;N25&amp;P25&amp;Q25&amp;T25&amp;V25&amp;S25</f>
        <v>51</v>
      </c>
      <c r="Y25" s="19" t="s"/>
      <c r="Z25" s="19" t="s"/>
      <c r="AA25" s="19" t="s"/>
      <c r="AB25" s="19" t="s"/>
    </row>
    <row r="26" spans="1:28" ht="14.4">
      <c r="A26" s="4">
        <f>=H26/G26-1</f>
        <v>0.102127659574468</v>
      </c>
      <c r="B26" s="20">
        <f>=F26/12</f>
        <v>19.425</v>
      </c>
      <c r="C26" s="20">
        <f>=J26/3</f>
        <v>155.4</v>
      </c>
      <c r="D26" s="20">
        <f>=K26/3</f>
        <v>172.666666666667</v>
      </c>
      <c r="E26" s="20">
        <f>=L26/3</f>
        <v>181.3</v>
      </c>
      <c r="F26" s="20">
        <f>=H26*0.9</f>
        <v>233.1</v>
      </c>
      <c r="G26" s="21">
        <v>235</v>
      </c>
      <c r="H26" s="27">
        <v>259</v>
      </c>
      <c r="I26" s="28">
        <f>=H26*1.05</f>
        <v>271.95</v>
      </c>
      <c r="J26" s="28">
        <f>=F26*2</f>
        <v>466.2</v>
      </c>
      <c r="K26" s="28">
        <f>=H26*2</f>
        <v>518</v>
      </c>
      <c r="L26" s="28">
        <f>=I26*2</f>
        <v>543.9</v>
      </c>
      <c r="M26" s="13" t="s">
        <v>15</v>
      </c>
      <c r="N26" s="13">
        <v>0.2</v>
      </c>
      <c r="O26" s="13" t="s"/>
      <c r="P26" s="13">
        <v>2</v>
      </c>
      <c r="Q26" s="13">
        <v>2</v>
      </c>
      <c r="R26" s="13" t="s">
        <v>16</v>
      </c>
      <c r="S26" s="13" t="s">
        <v>17</v>
      </c>
      <c r="T26" s="13" t="s">
        <v>52</v>
      </c>
      <c r="U26" s="16" t="s">
        <v>13</v>
      </c>
      <c r="V26" s="16" t="s">
        <v>19</v>
      </c>
      <c r="W26" s="29" t="s"/>
      <c r="X26" s="26" t="s">
        <f>=M26&amp;N26&amp;P26&amp;Q26&amp;T26&amp;V26&amp;S26</f>
        <v>53</v>
      </c>
      <c r="Y26" s="19" t="s"/>
      <c r="Z26" s="19" t="s"/>
      <c r="AA26" s="19" t="s"/>
      <c r="AB26" s="19" t="s"/>
    </row>
    <row r="27" spans="1:28" ht="14.4">
      <c r="A27" s="4">
        <f>=H27/G27-1</f>
        <v>0.099585062240664</v>
      </c>
      <c r="B27" s="20">
        <f>=F27/12</f>
        <v>19.875</v>
      </c>
      <c r="C27" s="20">
        <f>=J27/3</f>
        <v>159</v>
      </c>
      <c r="D27" s="20">
        <f>=K27/3</f>
        <v>176.666666666667</v>
      </c>
      <c r="E27" s="20">
        <f>=L27/3</f>
        <v>185.5</v>
      </c>
      <c r="F27" s="20">
        <f>=H27*0.9</f>
        <v>238.5</v>
      </c>
      <c r="G27" s="21">
        <v>241</v>
      </c>
      <c r="H27" s="27">
        <v>265</v>
      </c>
      <c r="I27" s="28">
        <f>=H27*1.05</f>
        <v>278.25</v>
      </c>
      <c r="J27" s="28">
        <f>=F27*2</f>
        <v>477</v>
      </c>
      <c r="K27" s="28">
        <f>=H27*2</f>
        <v>530</v>
      </c>
      <c r="L27" s="28">
        <f>=I27*2</f>
        <v>556.5</v>
      </c>
      <c r="M27" s="13" t="s">
        <v>15</v>
      </c>
      <c r="N27" s="13">
        <v>0.2</v>
      </c>
      <c r="O27" s="13" t="s"/>
      <c r="P27" s="13">
        <v>3</v>
      </c>
      <c r="Q27" s="13">
        <v>3</v>
      </c>
      <c r="R27" s="13" t="s">
        <v>16</v>
      </c>
      <c r="S27" s="13" t="s">
        <v>17</v>
      </c>
      <c r="T27" s="13" t="s">
        <v>48</v>
      </c>
      <c r="U27" s="16" t="s">
        <v>13</v>
      </c>
      <c r="V27" s="16" t="s">
        <v>19</v>
      </c>
      <c r="W27" s="29" t="s"/>
      <c r="X27" s="26" t="s">
        <f>=M27&amp;N27&amp;P27&amp;Q27&amp;T27&amp;V27&amp;S27</f>
        <v>54</v>
      </c>
      <c r="Y27" s="19" t="s"/>
      <c r="Z27" s="19" t="s"/>
      <c r="AA27" s="19" t="s"/>
      <c r="AB27" s="19" t="s"/>
    </row>
    <row r="28" spans="1:28" ht="14.4">
      <c r="A28" s="4">
        <f>=H28/G28-1</f>
        <v>0.098901098901099</v>
      </c>
      <c r="B28" s="20">
        <f>=F28/12</f>
        <v>7.5</v>
      </c>
      <c r="C28" s="20">
        <f>=J28/3</f>
        <v>60</v>
      </c>
      <c r="D28" s="20">
        <f>=K28/3</f>
        <v>66.6666666666667</v>
      </c>
      <c r="E28" s="20">
        <f>=L28/3</f>
        <v>70</v>
      </c>
      <c r="F28" s="20">
        <f>=H28*0.9</f>
        <v>90</v>
      </c>
      <c r="G28" s="21">
        <v>91</v>
      </c>
      <c r="H28" s="27">
        <v>100</v>
      </c>
      <c r="I28" s="28">
        <f>=H28*1.05</f>
        <v>105</v>
      </c>
      <c r="J28" s="28">
        <f>=F28*2</f>
        <v>180</v>
      </c>
      <c r="K28" s="28">
        <f>=H28*2</f>
        <v>200</v>
      </c>
      <c r="L28" s="28">
        <f>=I28*2</f>
        <v>210</v>
      </c>
      <c r="M28" s="13" t="s">
        <v>15</v>
      </c>
      <c r="N28" s="13">
        <v>0.2</v>
      </c>
      <c r="O28" s="13" t="s"/>
      <c r="P28" s="13" t="s">
        <v>21</v>
      </c>
      <c r="Q28" s="13" t="s">
        <v>21</v>
      </c>
      <c r="R28" s="13" t="s">
        <v>16</v>
      </c>
      <c r="S28" s="13" t="s">
        <v>17</v>
      </c>
      <c r="T28" s="13" t="s">
        <v>46</v>
      </c>
      <c r="U28" s="16" t="s">
        <v>13</v>
      </c>
      <c r="V28" s="16" t="s">
        <v>19</v>
      </c>
      <c r="W28" s="29" t="s"/>
      <c r="X28" s="26" t="s">
        <f>=M28&amp;N28&amp;P28&amp;Q28&amp;T28&amp;V28&amp;S28</f>
        <v>55</v>
      </c>
      <c r="Y28" s="19" t="s"/>
      <c r="Z28" s="19" t="s"/>
      <c r="AA28" s="19" t="s"/>
      <c r="AB28" s="19" t="s"/>
    </row>
    <row r="29" spans="1:28" ht="14.4">
      <c r="A29" s="4">
        <f>=H29/G29-1</f>
        <v>0.1015625</v>
      </c>
      <c r="B29" s="20">
        <f>=F29/12</f>
        <v>10.575</v>
      </c>
      <c r="C29" s="20">
        <f>=J29/3</f>
        <v>84.6</v>
      </c>
      <c r="D29" s="20">
        <f>=K29/3</f>
        <v>94</v>
      </c>
      <c r="E29" s="20">
        <f>=L29/3</f>
        <v>98.7</v>
      </c>
      <c r="F29" s="20">
        <f>=H29*0.9</f>
        <v>126.9</v>
      </c>
      <c r="G29" s="21">
        <v>128</v>
      </c>
      <c r="H29" s="27">
        <v>141</v>
      </c>
      <c r="I29" s="28">
        <f>=H29*1.05</f>
        <v>148.05</v>
      </c>
      <c r="J29" s="28">
        <f>=F29*2</f>
        <v>253.8</v>
      </c>
      <c r="K29" s="28">
        <f>=H29*2</f>
        <v>282</v>
      </c>
      <c r="L29" s="28">
        <f>=I29*2</f>
        <v>296.1</v>
      </c>
      <c r="M29" s="13" t="s">
        <v>15</v>
      </c>
      <c r="N29" s="13">
        <v>0.23</v>
      </c>
      <c r="O29" s="13" t="s"/>
      <c r="P29" s="13">
        <v>1</v>
      </c>
      <c r="Q29" s="13">
        <v>1</v>
      </c>
      <c r="R29" s="13" t="s">
        <v>16</v>
      </c>
      <c r="S29" s="13" t="s">
        <v>17</v>
      </c>
      <c r="T29" s="13" t="s">
        <v>52</v>
      </c>
      <c r="U29" s="16" t="s">
        <v>13</v>
      </c>
      <c r="V29" s="16" t="s">
        <v>19</v>
      </c>
      <c r="W29" s="29" t="s"/>
      <c r="X29" s="26" t="s">
        <f>=M29&amp;N29&amp;P29&amp;Q29&amp;T29&amp;V29&amp;S29</f>
        <v>56</v>
      </c>
      <c r="Y29" s="19" t="s"/>
      <c r="Z29" s="19" t="s"/>
      <c r="AA29" s="19" t="s"/>
      <c r="AB29" s="19" t="s"/>
    </row>
    <row r="30" spans="1:28" ht="14.4">
      <c r="A30" s="4">
        <f>=H30/G30-1</f>
        <v>0.0995607613469984</v>
      </c>
      <c r="B30" s="20">
        <f>=F30/12</f>
        <v>56.325</v>
      </c>
      <c r="C30" s="20">
        <f>=J30/3</f>
        <v>450.6</v>
      </c>
      <c r="D30" s="20">
        <f>=K30/3</f>
        <v>500.666666666667</v>
      </c>
      <c r="E30" s="20">
        <f>=L30/3</f>
        <v>525.7</v>
      </c>
      <c r="F30" s="20">
        <f>=H30*0.9</f>
        <v>675.9</v>
      </c>
      <c r="G30" s="21">
        <v>683</v>
      </c>
      <c r="H30" s="27">
        <v>751</v>
      </c>
      <c r="I30" s="28">
        <f>=H30*1.05</f>
        <v>788.55</v>
      </c>
      <c r="J30" s="28">
        <f>=F30*2</f>
        <v>1351.8</v>
      </c>
      <c r="K30" s="28">
        <f>=H30*2</f>
        <v>1502</v>
      </c>
      <c r="L30" s="28">
        <f>=I30*2</f>
        <v>1577.1</v>
      </c>
      <c r="M30" s="13" t="s">
        <v>15</v>
      </c>
      <c r="N30" s="13">
        <v>0.23</v>
      </c>
      <c r="O30" s="13" t="s"/>
      <c r="P30" s="13">
        <v>4</v>
      </c>
      <c r="Q30" s="13">
        <v>4</v>
      </c>
      <c r="R30" s="13" t="s">
        <v>16</v>
      </c>
      <c r="S30" s="13" t="s">
        <v>17</v>
      </c>
      <c r="T30" s="13" t="s">
        <v>52</v>
      </c>
      <c r="U30" s="16" t="s">
        <v>13</v>
      </c>
      <c r="V30" s="16" t="s">
        <v>19</v>
      </c>
      <c r="W30" s="29" t="s"/>
      <c r="X30" s="26" t="s">
        <f>=M30&amp;N30&amp;P30&amp;Q30&amp;T30&amp;V30&amp;S30</f>
        <v>57</v>
      </c>
      <c r="Y30" s="19" t="s"/>
      <c r="Z30" s="19" t="s"/>
      <c r="AA30" s="19" t="s"/>
      <c r="AB30" s="19" t="s"/>
    </row>
    <row r="31" spans="1:28" ht="14.4">
      <c r="A31" s="4">
        <f>=H31/G31-1</f>
        <v>0.1015625</v>
      </c>
      <c r="B31" s="20">
        <f>=F31/12</f>
        <v>10.575</v>
      </c>
      <c r="C31" s="20">
        <f>=J31/3</f>
        <v>84.6</v>
      </c>
      <c r="D31" s="20">
        <f>=K31/3</f>
        <v>94</v>
      </c>
      <c r="E31" s="20">
        <f>=L31/3</f>
        <v>98.7</v>
      </c>
      <c r="F31" s="20">
        <f>=H31*0.9</f>
        <v>126.9</v>
      </c>
      <c r="G31" s="21">
        <v>128</v>
      </c>
      <c r="H31" s="27">
        <v>141</v>
      </c>
      <c r="I31" s="28">
        <f>=H31*1.05</f>
        <v>148.05</v>
      </c>
      <c r="J31" s="28">
        <f>=F31*2</f>
        <v>253.8</v>
      </c>
      <c r="K31" s="28">
        <f>=H31*2</f>
        <v>282</v>
      </c>
      <c r="L31" s="28">
        <f>=I31*2</f>
        <v>296.1</v>
      </c>
      <c r="M31" s="13" t="s">
        <v>15</v>
      </c>
      <c r="N31" s="13">
        <v>0.25</v>
      </c>
      <c r="O31" s="13" t="s"/>
      <c r="P31" s="13">
        <v>1</v>
      </c>
      <c r="Q31" s="13">
        <v>1</v>
      </c>
      <c r="R31" s="13" t="s">
        <v>16</v>
      </c>
      <c r="S31" s="13" t="s">
        <v>17</v>
      </c>
      <c r="T31" s="13" t="s">
        <v>52</v>
      </c>
      <c r="U31" s="16" t="s">
        <v>13</v>
      </c>
      <c r="V31" s="16" t="s">
        <v>19</v>
      </c>
      <c r="W31" s="29" t="s"/>
      <c r="X31" s="26" t="s">
        <f>=M31&amp;N31&amp;P31&amp;Q31&amp;T31&amp;V31&amp;S31</f>
        <v>58</v>
      </c>
      <c r="Y31" s="19" t="s"/>
      <c r="Z31" s="19" t="s"/>
      <c r="AA31" s="19" t="s"/>
      <c r="AB31" s="19" t="s"/>
    </row>
    <row r="32" spans="1:28" ht="14.4">
      <c r="A32" s="4">
        <f>=H32/G32-1</f>
        <v>0.101010101010101</v>
      </c>
      <c r="B32" s="20">
        <f>=F32/12</f>
        <v>32.7</v>
      </c>
      <c r="C32" s="20">
        <f>=J32/3</f>
        <v>261.6</v>
      </c>
      <c r="D32" s="20">
        <f>=K32/3</f>
        <v>290.666666666667</v>
      </c>
      <c r="E32" s="20">
        <f>=L32/3</f>
        <v>305.2</v>
      </c>
      <c r="F32" s="20">
        <f>=H32*0.9</f>
        <v>392.4</v>
      </c>
      <c r="G32" s="21">
        <v>396</v>
      </c>
      <c r="H32" s="27">
        <v>436</v>
      </c>
      <c r="I32" s="28">
        <f>=H32*1.05</f>
        <v>457.8</v>
      </c>
      <c r="J32" s="28">
        <f>=F32*2</f>
        <v>784.8</v>
      </c>
      <c r="K32" s="28">
        <f>=H32*2</f>
        <v>872</v>
      </c>
      <c r="L32" s="28">
        <f>=I32*2</f>
        <v>915.6</v>
      </c>
      <c r="M32" s="13" t="s">
        <v>15</v>
      </c>
      <c r="N32" s="13">
        <v>0.25</v>
      </c>
      <c r="O32" s="13" t="s"/>
      <c r="P32" s="13">
        <v>3</v>
      </c>
      <c r="Q32" s="13">
        <v>3</v>
      </c>
      <c r="R32" s="13" t="s">
        <v>16</v>
      </c>
      <c r="S32" s="13" t="s">
        <v>17</v>
      </c>
      <c r="T32" s="13" t="s">
        <v>52</v>
      </c>
      <c r="U32" s="16" t="s">
        <v>13</v>
      </c>
      <c r="V32" s="16" t="s">
        <v>19</v>
      </c>
      <c r="W32" s="29" t="s"/>
      <c r="X32" s="26" t="s">
        <f>=M32&amp;N32&amp;P32&amp;Q32&amp;T32&amp;V32&amp;S32</f>
        <v>59</v>
      </c>
      <c r="Y32" s="19" t="s"/>
      <c r="Z32" s="19" t="s"/>
      <c r="AA32" s="19" t="s"/>
      <c r="AB32" s="19" t="s"/>
    </row>
    <row r="33" spans="1:28" ht="14.4">
      <c r="A33" s="4">
        <f>=H33/G33-1</f>
        <v>0.102803738317757</v>
      </c>
      <c r="B33" s="20">
        <f>=F33/12</f>
        <v>8.85</v>
      </c>
      <c r="C33" s="20">
        <f>=J33/3</f>
        <v>70.8</v>
      </c>
      <c r="D33" s="20">
        <f>=K33/3</f>
        <v>78.6666666666667</v>
      </c>
      <c r="E33" s="20">
        <f>=L33/3</f>
        <v>82.6</v>
      </c>
      <c r="F33" s="20">
        <f>=H33*0.9</f>
        <v>106.2</v>
      </c>
      <c r="G33" s="21">
        <v>107</v>
      </c>
      <c r="H33" s="27">
        <v>118</v>
      </c>
      <c r="I33" s="28">
        <f>=H33*1.05</f>
        <v>123.9</v>
      </c>
      <c r="J33" s="28">
        <f>=F33*2</f>
        <v>212.4</v>
      </c>
      <c r="K33" s="28">
        <f>=H33*2</f>
        <v>236</v>
      </c>
      <c r="L33" s="28">
        <f>=I33*2</f>
        <v>247.8</v>
      </c>
      <c r="M33" s="13" t="s">
        <v>15</v>
      </c>
      <c r="N33" s="13">
        <v>0.25</v>
      </c>
      <c r="O33" s="13" t="s"/>
      <c r="P33" s="13" t="s">
        <v>21</v>
      </c>
      <c r="Q33" s="13" t="s">
        <v>21</v>
      </c>
      <c r="R33" s="13" t="s">
        <v>16</v>
      </c>
      <c r="S33" s="13" t="s">
        <v>17</v>
      </c>
      <c r="T33" s="13" t="s">
        <v>52</v>
      </c>
      <c r="U33" s="16" t="s">
        <v>13</v>
      </c>
      <c r="V33" s="16" t="s">
        <v>19</v>
      </c>
      <c r="W33" s="29" t="s"/>
      <c r="X33" s="26" t="s">
        <f>=M33&amp;N33&amp;P33&amp;Q33&amp;T33&amp;V33&amp;S33</f>
        <v>60</v>
      </c>
      <c r="Y33" s="19" t="s"/>
      <c r="Z33" s="19" t="s"/>
      <c r="AA33" s="19" t="s"/>
      <c r="AB33" s="19" t="s"/>
    </row>
    <row r="34" spans="1:28" ht="14.4">
      <c r="A34" s="4">
        <f>=H34/G34-1</f>
        <v>0.102127659574468</v>
      </c>
      <c r="B34" s="20">
        <f>=F34/12</f>
        <v>19.425</v>
      </c>
      <c r="C34" s="20">
        <f>=J34/3</f>
        <v>155.4</v>
      </c>
      <c r="D34" s="20">
        <f>=K34/3</f>
        <v>172.666666666667</v>
      </c>
      <c r="E34" s="20">
        <f>=L34/3</f>
        <v>181.3</v>
      </c>
      <c r="F34" s="20">
        <f>=H34*0.9</f>
        <v>233.1</v>
      </c>
      <c r="G34" s="21">
        <v>235</v>
      </c>
      <c r="H34" s="27">
        <v>259</v>
      </c>
      <c r="I34" s="28">
        <f>=H34*1.05</f>
        <v>271.95</v>
      </c>
      <c r="J34" s="28">
        <f>=F34*2</f>
        <v>466.2</v>
      </c>
      <c r="K34" s="28">
        <f>=H34*2</f>
        <v>518</v>
      </c>
      <c r="L34" s="28">
        <f>=I34*2</f>
        <v>543.9</v>
      </c>
      <c r="M34" s="13" t="s">
        <v>15</v>
      </c>
      <c r="N34" s="13">
        <v>0.26</v>
      </c>
      <c r="O34" s="13" t="s"/>
      <c r="P34" s="13">
        <v>2</v>
      </c>
      <c r="Q34" s="13">
        <v>2</v>
      </c>
      <c r="R34" s="13" t="s">
        <v>16</v>
      </c>
      <c r="S34" s="13" t="s">
        <v>17</v>
      </c>
      <c r="T34" s="13" t="s">
        <v>52</v>
      </c>
      <c r="U34" s="16" t="s">
        <v>13</v>
      </c>
      <c r="V34" s="16" t="s">
        <v>19</v>
      </c>
      <c r="W34" s="29" t="s"/>
      <c r="X34" s="26" t="s">
        <f>=M34&amp;N34&amp;P34&amp;Q34&amp;T34&amp;V34&amp;S34</f>
        <v>61</v>
      </c>
      <c r="Y34" s="19" t="s"/>
      <c r="Z34" s="19" t="s"/>
      <c r="AA34" s="19" t="s"/>
      <c r="AB34" s="19" t="s"/>
    </row>
    <row r="35" spans="1:28" ht="14.4">
      <c r="A35" s="4">
        <f>=H35/G35-1</f>
        <v>0.10377358490566</v>
      </c>
      <c r="B35" s="20">
        <f>=F35/12</f>
        <v>8.775</v>
      </c>
      <c r="C35" s="20">
        <f>=J35/3</f>
        <v>70.2</v>
      </c>
      <c r="D35" s="20">
        <f>=K35/3</f>
        <v>78</v>
      </c>
      <c r="E35" s="20">
        <f>=L35/3</f>
        <v>81.9</v>
      </c>
      <c r="F35" s="20">
        <f>=H35*0.9</f>
        <v>105.3</v>
      </c>
      <c r="G35" s="21">
        <v>106</v>
      </c>
      <c r="H35" s="27">
        <v>117</v>
      </c>
      <c r="I35" s="28">
        <f>=H35*1.05</f>
        <v>122.85</v>
      </c>
      <c r="J35" s="28">
        <f>=F35*2</f>
        <v>210.6</v>
      </c>
      <c r="K35" s="28">
        <f>=H35*2</f>
        <v>234</v>
      </c>
      <c r="L35" s="28">
        <f>=I35*2</f>
        <v>245.7</v>
      </c>
      <c r="M35" s="13" t="s">
        <v>15</v>
      </c>
      <c r="N35" s="13">
        <v>0.26</v>
      </c>
      <c r="O35" s="13" t="s"/>
      <c r="P35" s="13" t="s">
        <v>21</v>
      </c>
      <c r="Q35" s="13" t="s">
        <v>21</v>
      </c>
      <c r="R35" s="13" t="s">
        <v>16</v>
      </c>
      <c r="S35" s="13" t="s">
        <v>17</v>
      </c>
      <c r="T35" s="13" t="s">
        <v>52</v>
      </c>
      <c r="U35" s="16" t="s">
        <v>13</v>
      </c>
      <c r="V35" s="16" t="s">
        <v>19</v>
      </c>
      <c r="W35" s="29" t="s"/>
      <c r="X35" s="26" t="s">
        <f>=M35&amp;N35&amp;P35&amp;Q35&amp;T35&amp;V35&amp;S35</f>
        <v>62</v>
      </c>
      <c r="Y35" s="19" t="s"/>
      <c r="Z35" s="19" t="s"/>
      <c r="AA35" s="19" t="s"/>
      <c r="AB35" s="19" t="s"/>
    </row>
    <row r="36" spans="1:28" ht="14.4">
      <c r="A36" s="4">
        <f>=H36/G36-1</f>
        <v>0.100671140939597</v>
      </c>
      <c r="B36" s="20">
        <f>=F36/12</f>
        <v>12.3</v>
      </c>
      <c r="C36" s="20">
        <f>=J36/3</f>
        <v>98.4</v>
      </c>
      <c r="D36" s="20">
        <f>=K36/3</f>
        <v>109.333333333333</v>
      </c>
      <c r="E36" s="20">
        <f>=L36/3</f>
        <v>114.8</v>
      </c>
      <c r="F36" s="20">
        <f>=H36*0.9</f>
        <v>147.6</v>
      </c>
      <c r="G36" s="21">
        <v>149</v>
      </c>
      <c r="H36" s="27">
        <v>164</v>
      </c>
      <c r="I36" s="28">
        <f>=H36*1.05</f>
        <v>172.2</v>
      </c>
      <c r="J36" s="28">
        <f>=F36*2</f>
        <v>295.2</v>
      </c>
      <c r="K36" s="28">
        <f>=H36*2</f>
        <v>328</v>
      </c>
      <c r="L36" s="28">
        <f>=I36*2</f>
        <v>344.4</v>
      </c>
      <c r="M36" s="13" t="s">
        <v>15</v>
      </c>
      <c r="N36" s="13">
        <v>0.28</v>
      </c>
      <c r="O36" s="13" t="s"/>
      <c r="P36" s="13">
        <v>1</v>
      </c>
      <c r="Q36" s="13">
        <v>1</v>
      </c>
      <c r="R36" s="13" t="s">
        <v>16</v>
      </c>
      <c r="S36" s="13" t="s">
        <v>17</v>
      </c>
      <c r="T36" s="13" t="s">
        <v>63</v>
      </c>
      <c r="U36" s="16" t="s">
        <v>13</v>
      </c>
      <c r="V36" s="16" t="s">
        <v>19</v>
      </c>
      <c r="W36" s="29" t="s"/>
      <c r="X36" s="26" t="s">
        <f>=M36&amp;N36&amp;P36&amp;Q36&amp;T36&amp;V36&amp;S36</f>
        <v>64</v>
      </c>
      <c r="Y36" s="5" t="s"/>
      <c r="Z36" s="5" t="s"/>
      <c r="AA36" s="5" t="s"/>
      <c r="AB36" s="5" t="s"/>
    </row>
    <row r="37" spans="1:28" ht="14.4">
      <c r="A37" s="4">
        <f>=H37/G37-1</f>
        <v>0.0984251968503938</v>
      </c>
      <c r="B37" s="20">
        <f>=F37/12</f>
        <v>20.925</v>
      </c>
      <c r="C37" s="20">
        <f>=J37/3</f>
        <v>167.4</v>
      </c>
      <c r="D37" s="20">
        <f>=K37/3</f>
        <v>186</v>
      </c>
      <c r="E37" s="20">
        <f>=L37/3</f>
        <v>195.3</v>
      </c>
      <c r="F37" s="20">
        <f>=H37*0.9</f>
        <v>251.1</v>
      </c>
      <c r="G37" s="21">
        <v>254</v>
      </c>
      <c r="H37" s="27">
        <v>279</v>
      </c>
      <c r="I37" s="28">
        <f>=H37*1.05</f>
        <v>292.95</v>
      </c>
      <c r="J37" s="28">
        <f>=F37*2</f>
        <v>502.2</v>
      </c>
      <c r="K37" s="28">
        <f>=H37*2</f>
        <v>558</v>
      </c>
      <c r="L37" s="28">
        <f>=I37*2</f>
        <v>585.9</v>
      </c>
      <c r="M37" s="13" t="s">
        <v>15</v>
      </c>
      <c r="N37" s="13">
        <v>0.28</v>
      </c>
      <c r="O37" s="13" t="s"/>
      <c r="P37" s="13">
        <v>2</v>
      </c>
      <c r="Q37" s="13">
        <v>2</v>
      </c>
      <c r="R37" s="13" t="s">
        <v>16</v>
      </c>
      <c r="S37" s="13" t="s">
        <v>17</v>
      </c>
      <c r="T37" s="13" t="s">
        <v>63</v>
      </c>
      <c r="U37" s="16" t="s">
        <v>13</v>
      </c>
      <c r="V37" s="16" t="s">
        <v>19</v>
      </c>
      <c r="W37" s="29" t="s"/>
      <c r="X37" s="26" t="s">
        <f>=M37&amp;N37&amp;P37&amp;Q37&amp;T37&amp;V37&amp;S37</f>
        <v>65</v>
      </c>
      <c r="Y37" s="5" t="s"/>
      <c r="Z37" s="5" t="s"/>
      <c r="AA37" s="5" t="s"/>
      <c r="AB37" s="5" t="s"/>
    </row>
    <row r="38" spans="1:28" ht="14.4">
      <c r="A38" s="4">
        <f>=H38/G38-1</f>
        <v>0.0991735537190082</v>
      </c>
      <c r="B38" s="20">
        <f>=F38/12</f>
        <v>9.975</v>
      </c>
      <c r="C38" s="20">
        <f>=J38/3</f>
        <v>79.8</v>
      </c>
      <c r="D38" s="20">
        <f>=K38/3</f>
        <v>88.6666666666667</v>
      </c>
      <c r="E38" s="20">
        <f>=L38/3</f>
        <v>93.1</v>
      </c>
      <c r="F38" s="20">
        <f>=H38*0.9</f>
        <v>119.7</v>
      </c>
      <c r="G38" s="21">
        <v>121</v>
      </c>
      <c r="H38" s="27">
        <v>133</v>
      </c>
      <c r="I38" s="28">
        <f>=H38*1.05</f>
        <v>139.65</v>
      </c>
      <c r="J38" s="28">
        <f>=F38*2</f>
        <v>239.4</v>
      </c>
      <c r="K38" s="28">
        <f>=H38*2</f>
        <v>266</v>
      </c>
      <c r="L38" s="28">
        <f>=I38*2</f>
        <v>279.3</v>
      </c>
      <c r="M38" s="13" t="s">
        <v>15</v>
      </c>
      <c r="N38" s="13">
        <v>0.28</v>
      </c>
      <c r="O38" s="13" t="s"/>
      <c r="P38" s="13" t="s">
        <v>21</v>
      </c>
      <c r="Q38" s="13" t="s">
        <v>21</v>
      </c>
      <c r="R38" s="13" t="s">
        <v>16</v>
      </c>
      <c r="S38" s="13" t="s">
        <v>17</v>
      </c>
      <c r="T38" s="13" t="s">
        <v>63</v>
      </c>
      <c r="U38" s="16" t="s">
        <v>13</v>
      </c>
      <c r="V38" s="16" t="s">
        <v>19</v>
      </c>
      <c r="W38" s="29" t="s"/>
      <c r="X38" s="26" t="s">
        <f>=M38&amp;N38&amp;P38&amp;Q38&amp;T38&amp;V38&amp;S38</f>
        <v>66</v>
      </c>
      <c r="Y38" s="5" t="s"/>
      <c r="Z38" s="5" t="s"/>
      <c r="AA38" s="5" t="s"/>
      <c r="AB38" s="5" t="s"/>
    </row>
    <row r="39" spans="1:28" ht="14.4">
      <c r="A39" s="4">
        <f>=H39/G39-1</f>
        <v>0.103703703703704</v>
      </c>
      <c r="B39" s="20">
        <f>=F39/12</f>
        <v>11.175</v>
      </c>
      <c r="C39" s="20">
        <f>=J39/3</f>
        <v>89.4</v>
      </c>
      <c r="D39" s="20">
        <f>=K39/3</f>
        <v>99.3333333333333</v>
      </c>
      <c r="E39" s="20">
        <f>=L39/3</f>
        <v>104.3</v>
      </c>
      <c r="F39" s="20">
        <f>=H39*0.9</f>
        <v>134.1</v>
      </c>
      <c r="G39" s="21">
        <v>135</v>
      </c>
      <c r="H39" s="27">
        <v>149</v>
      </c>
      <c r="I39" s="28">
        <f>=H39*1.05</f>
        <v>156.45</v>
      </c>
      <c r="J39" s="28">
        <f>=F39*2</f>
        <v>268.2</v>
      </c>
      <c r="K39" s="28">
        <f>=H39*2</f>
        <v>298</v>
      </c>
      <c r="L39" s="28">
        <f>=I39*2</f>
        <v>312.9</v>
      </c>
      <c r="M39" s="13" t="s">
        <v>15</v>
      </c>
      <c r="N39" s="13">
        <v>0.3</v>
      </c>
      <c r="O39" s="13" t="s"/>
      <c r="P39" s="13">
        <v>1</v>
      </c>
      <c r="Q39" s="13">
        <v>1</v>
      </c>
      <c r="R39" s="13" t="s">
        <v>16</v>
      </c>
      <c r="S39" s="13" t="s">
        <v>17</v>
      </c>
      <c r="T39" s="13" t="s">
        <v>67</v>
      </c>
      <c r="U39" s="16" t="s">
        <v>13</v>
      </c>
      <c r="V39" s="16" t="s">
        <v>19</v>
      </c>
      <c r="W39" s="29" t="s"/>
      <c r="X39" s="26" t="s">
        <f>=M39&amp;N39&amp;P39&amp;Q39&amp;T39&amp;V39&amp;S39</f>
        <v>68</v>
      </c>
      <c r="Y39" s="5" t="s"/>
      <c r="Z39" s="5" t="s"/>
      <c r="AA39" s="5" t="s"/>
      <c r="AB39" s="5" t="s"/>
    </row>
    <row r="40" spans="1:28" ht="14.4">
      <c r="A40" s="4">
        <f>=H40/G40-1</f>
        <v>0.0992063492063493</v>
      </c>
      <c r="B40" s="20">
        <f>=F40/12</f>
        <v>20.775</v>
      </c>
      <c r="C40" s="20">
        <f>=J40/3</f>
        <v>166.2</v>
      </c>
      <c r="D40" s="20">
        <f>=K40/3</f>
        <v>184.666666666667</v>
      </c>
      <c r="E40" s="20">
        <f>=L40/3</f>
        <v>193.9</v>
      </c>
      <c r="F40" s="20">
        <f>=H40*0.9</f>
        <v>249.3</v>
      </c>
      <c r="G40" s="21">
        <v>252</v>
      </c>
      <c r="H40" s="27">
        <v>277</v>
      </c>
      <c r="I40" s="28">
        <f>=H40*1.05</f>
        <v>290.85</v>
      </c>
      <c r="J40" s="28">
        <f>=F40*2</f>
        <v>498.6</v>
      </c>
      <c r="K40" s="28">
        <f>=H40*2</f>
        <v>554</v>
      </c>
      <c r="L40" s="28">
        <f>=I40*2</f>
        <v>581.7</v>
      </c>
      <c r="M40" s="13" t="s">
        <v>15</v>
      </c>
      <c r="N40" s="13">
        <v>0.3</v>
      </c>
      <c r="O40" s="13" t="s"/>
      <c r="P40" s="13">
        <v>2</v>
      </c>
      <c r="Q40" s="13">
        <v>2</v>
      </c>
      <c r="R40" s="13" t="s">
        <v>16</v>
      </c>
      <c r="S40" s="13" t="s">
        <v>17</v>
      </c>
      <c r="T40" s="13" t="s">
        <v>67</v>
      </c>
      <c r="U40" s="16" t="s">
        <v>13</v>
      </c>
      <c r="V40" s="16" t="s">
        <v>19</v>
      </c>
      <c r="W40" s="29" t="s"/>
      <c r="X40" s="26" t="s">
        <f>=M40&amp;N40&amp;P40&amp;Q40&amp;T40&amp;V40&amp;S40</f>
        <v>69</v>
      </c>
      <c r="Y40" s="19" t="s"/>
      <c r="Z40" s="19" t="s"/>
      <c r="AA40" s="19" t="s"/>
      <c r="AB40" s="19" t="s"/>
    </row>
    <row r="41" spans="1:28" ht="14.4">
      <c r="A41" s="4">
        <f>=H41/G41-1</f>
        <v>0.0997442455242967</v>
      </c>
      <c r="B41" s="20">
        <f>=F41/12</f>
        <v>32.25</v>
      </c>
      <c r="C41" s="20">
        <f>=J41/3</f>
        <v>258</v>
      </c>
      <c r="D41" s="20">
        <f>=K41/3</f>
        <v>286.666666666667</v>
      </c>
      <c r="E41" s="20">
        <f>=L41/3</f>
        <v>301</v>
      </c>
      <c r="F41" s="20">
        <f>=H41*0.9</f>
        <v>387</v>
      </c>
      <c r="G41" s="21">
        <v>391</v>
      </c>
      <c r="H41" s="27">
        <v>430</v>
      </c>
      <c r="I41" s="28">
        <f>=H41*1.05</f>
        <v>451.5</v>
      </c>
      <c r="J41" s="28">
        <f>=F41*2</f>
        <v>774</v>
      </c>
      <c r="K41" s="28">
        <f>=H41*2</f>
        <v>860</v>
      </c>
      <c r="L41" s="28">
        <f>=I41*2</f>
        <v>903</v>
      </c>
      <c r="M41" s="13" t="s">
        <v>15</v>
      </c>
      <c r="N41" s="13">
        <v>0.3</v>
      </c>
      <c r="O41" s="13" t="s"/>
      <c r="P41" s="13">
        <v>3</v>
      </c>
      <c r="Q41" s="13">
        <v>3</v>
      </c>
      <c r="R41" s="13" t="s">
        <v>16</v>
      </c>
      <c r="S41" s="13" t="s">
        <v>17</v>
      </c>
      <c r="T41" s="13" t="s">
        <v>67</v>
      </c>
      <c r="U41" s="16" t="s">
        <v>13</v>
      </c>
      <c r="V41" s="16" t="s">
        <v>19</v>
      </c>
      <c r="W41" s="31" t="s"/>
      <c r="X41" s="26" t="s">
        <f>=M41&amp;N41&amp;P41&amp;Q41&amp;T41&amp;V41&amp;S41</f>
        <v>70</v>
      </c>
      <c r="Y41" s="32" t="s"/>
      <c r="Z41" s="32" t="s"/>
      <c r="AA41" s="32" t="s"/>
      <c r="AB41" s="32" t="s"/>
    </row>
    <row r="42" spans="1:28" ht="14.4">
      <c r="A42" s="4">
        <f>=H42/G42-1</f>
        <v>0.0998509687034277</v>
      </c>
      <c r="B42" s="20">
        <f>=F42/12</f>
        <v>55.35</v>
      </c>
      <c r="C42" s="20">
        <f>=J42/3</f>
        <v>442.8</v>
      </c>
      <c r="D42" s="20">
        <f>=K42/3</f>
        <v>492</v>
      </c>
      <c r="E42" s="20">
        <f>=L42/3</f>
        <v>516.6</v>
      </c>
      <c r="F42" s="20">
        <f>=H42*0.9</f>
        <v>664.2</v>
      </c>
      <c r="G42" s="21">
        <v>671</v>
      </c>
      <c r="H42" s="27">
        <v>738</v>
      </c>
      <c r="I42" s="28">
        <f>=H42*1.05</f>
        <v>774.9</v>
      </c>
      <c r="J42" s="28">
        <f>=F42*2</f>
        <v>1328.4</v>
      </c>
      <c r="K42" s="28">
        <f>=H42*2</f>
        <v>1476</v>
      </c>
      <c r="L42" s="28">
        <f>=I42*2</f>
        <v>1549.8</v>
      </c>
      <c r="M42" s="13" t="s">
        <v>15</v>
      </c>
      <c r="N42" s="13">
        <v>0.3</v>
      </c>
      <c r="O42" s="13" t="s"/>
      <c r="P42" s="13">
        <v>4</v>
      </c>
      <c r="Q42" s="13">
        <v>4</v>
      </c>
      <c r="R42" s="13" t="s">
        <v>16</v>
      </c>
      <c r="S42" s="13" t="s">
        <v>17</v>
      </c>
      <c r="T42" s="13" t="s">
        <v>67</v>
      </c>
      <c r="U42" s="16" t="s">
        <v>13</v>
      </c>
      <c r="V42" s="16" t="s">
        <v>19</v>
      </c>
      <c r="W42" s="29" t="s"/>
      <c r="X42" s="26" t="s">
        <f>=M42&amp;N42&amp;P42&amp;Q42&amp;T42&amp;V42&amp;S42</f>
        <v>71</v>
      </c>
      <c r="Y42" s="19" t="s"/>
      <c r="Z42" s="19" t="s"/>
      <c r="AA42" s="19" t="s"/>
      <c r="AB42" s="19" t="s"/>
    </row>
    <row r="43" spans="1:28" ht="14.4">
      <c r="A43" s="4">
        <f>=H43/G43-1</f>
        <v>0.10377358490566</v>
      </c>
      <c r="B43" s="20">
        <f>=F43/12</f>
        <v>8.775</v>
      </c>
      <c r="C43" s="20">
        <f>=J43/3</f>
        <v>70.2</v>
      </c>
      <c r="D43" s="20">
        <f>=K43/3</f>
        <v>78</v>
      </c>
      <c r="E43" s="20">
        <f>=L43/3</f>
        <v>81.9</v>
      </c>
      <c r="F43" s="20">
        <f>=H43*0.9</f>
        <v>105.3</v>
      </c>
      <c r="G43" s="21">
        <v>106</v>
      </c>
      <c r="H43" s="27">
        <v>117</v>
      </c>
      <c r="I43" s="28">
        <f>=H43*1.05</f>
        <v>122.85</v>
      </c>
      <c r="J43" s="28">
        <f>=F43*2</f>
        <v>210.6</v>
      </c>
      <c r="K43" s="28">
        <f>=H43*2</f>
        <v>234</v>
      </c>
      <c r="L43" s="28">
        <f>=I43*2</f>
        <v>245.7</v>
      </c>
      <c r="M43" s="13" t="s">
        <v>15</v>
      </c>
      <c r="N43" s="13">
        <v>0.3</v>
      </c>
      <c r="O43" s="13" t="s"/>
      <c r="P43" s="13" t="s">
        <v>21</v>
      </c>
      <c r="Q43" s="13" t="s">
        <v>21</v>
      </c>
      <c r="R43" s="13" t="s">
        <v>16</v>
      </c>
      <c r="S43" s="13" t="s">
        <v>17</v>
      </c>
      <c r="T43" s="13" t="s">
        <v>67</v>
      </c>
      <c r="U43" s="16" t="s">
        <v>13</v>
      </c>
      <c r="V43" s="16" t="s">
        <v>19</v>
      </c>
      <c r="W43" s="29" t="s"/>
      <c r="X43" s="26" t="s">
        <f>=M43&amp;N43&amp;P43&amp;Q43&amp;T43&amp;V43&amp;S43</f>
        <v>72</v>
      </c>
      <c r="Y43" s="19" t="s"/>
      <c r="Z43" s="19" t="s"/>
      <c r="AA43" s="19" t="s"/>
      <c r="AB43" s="19" t="s"/>
    </row>
    <row r="44" spans="1:28" ht="14.4">
      <c r="A44" s="4">
        <f>=H44/G44-1</f>
        <v>0.0998509687034277</v>
      </c>
      <c r="B44" s="20">
        <f>=F44/12</f>
        <v>55.35</v>
      </c>
      <c r="C44" s="20">
        <f>=J44/3</f>
        <v>442.8</v>
      </c>
      <c r="D44" s="20">
        <f>=K44/3</f>
        <v>492</v>
      </c>
      <c r="E44" s="20">
        <f>=L44/3</f>
        <v>516.6</v>
      </c>
      <c r="F44" s="20">
        <f>=H44*0.9</f>
        <v>664.2</v>
      </c>
      <c r="G44" s="21">
        <v>671</v>
      </c>
      <c r="H44" s="27">
        <v>738</v>
      </c>
      <c r="I44" s="28">
        <f>=H44*1.05</f>
        <v>774.9</v>
      </c>
      <c r="J44" s="28">
        <f>=F44*2</f>
        <v>1328.4</v>
      </c>
      <c r="K44" s="28">
        <f>=H44*2</f>
        <v>1476</v>
      </c>
      <c r="L44" s="28">
        <f>=I44*2</f>
        <v>1549.8</v>
      </c>
      <c r="M44" s="13" t="s">
        <v>15</v>
      </c>
      <c r="N44" s="13">
        <v>0.32</v>
      </c>
      <c r="O44" s="13" t="s"/>
      <c r="P44" s="13">
        <v>4</v>
      </c>
      <c r="Q44" s="13">
        <v>4</v>
      </c>
      <c r="R44" s="13" t="s">
        <v>16</v>
      </c>
      <c r="S44" s="13" t="s">
        <v>17</v>
      </c>
      <c r="T44" s="13" t="s">
        <v>67</v>
      </c>
      <c r="U44" s="16" t="s">
        <v>13</v>
      </c>
      <c r="V44" s="16" t="s">
        <v>19</v>
      </c>
      <c r="W44" s="29" t="s"/>
      <c r="X44" s="26" t="s">
        <f>=M44&amp;N44&amp;P44&amp;Q44&amp;T44&amp;V44&amp;S44</f>
        <v>73</v>
      </c>
      <c r="Y44" s="19" t="s"/>
      <c r="Z44" s="19" t="s"/>
      <c r="AA44" s="19" t="s"/>
      <c r="AB44" s="19" t="s"/>
    </row>
    <row r="45" spans="1:28" ht="14.4">
      <c r="A45" s="4">
        <f>=H45/G45-1</f>
        <v>0.0970149253731343</v>
      </c>
      <c r="B45" s="20">
        <f>=F45/12</f>
        <v>11.025</v>
      </c>
      <c r="C45" s="20">
        <f>=J45/3</f>
        <v>88.2</v>
      </c>
      <c r="D45" s="20">
        <f>=K45/3</f>
        <v>98</v>
      </c>
      <c r="E45" s="20">
        <f>=L45/3</f>
        <v>102.9</v>
      </c>
      <c r="F45" s="20">
        <f>=H45*0.9</f>
        <v>132.3</v>
      </c>
      <c r="G45" s="21">
        <v>134</v>
      </c>
      <c r="H45" s="27">
        <v>147</v>
      </c>
      <c r="I45" s="28">
        <f>=H45*1.05</f>
        <v>154.35</v>
      </c>
      <c r="J45" s="28">
        <f>=F45*2</f>
        <v>264.6</v>
      </c>
      <c r="K45" s="28">
        <f>=H45*2</f>
        <v>294</v>
      </c>
      <c r="L45" s="28">
        <f>=I45*2</f>
        <v>308.7</v>
      </c>
      <c r="M45" s="13" t="s">
        <v>15</v>
      </c>
      <c r="N45" s="13">
        <v>0.33</v>
      </c>
      <c r="O45" s="13" t="s"/>
      <c r="P45" s="13">
        <v>1</v>
      </c>
      <c r="Q45" s="13">
        <v>1</v>
      </c>
      <c r="R45" s="13" t="s">
        <v>16</v>
      </c>
      <c r="S45" s="13" t="s">
        <v>17</v>
      </c>
      <c r="T45" s="13" t="s">
        <v>67</v>
      </c>
      <c r="U45" s="16" t="s">
        <v>13</v>
      </c>
      <c r="V45" s="16" t="s">
        <v>19</v>
      </c>
      <c r="W45" s="29" t="s"/>
      <c r="X45" s="26" t="s">
        <f>=M45&amp;N45&amp;P45&amp;Q45&amp;T45&amp;V45&amp;S45</f>
        <v>74</v>
      </c>
      <c r="Y45" s="19" t="s"/>
      <c r="Z45" s="19" t="s"/>
      <c r="AA45" s="19" t="s"/>
      <c r="AB45" s="19" t="s"/>
    </row>
    <row r="46" spans="1:28" ht="14.4">
      <c r="A46" s="4">
        <f>=H46/G46-1</f>
        <v>0.101626016260163</v>
      </c>
      <c r="B46" s="20">
        <f>=F46/12</f>
        <v>20.325</v>
      </c>
      <c r="C46" s="20">
        <f>=J46/3</f>
        <v>162.6</v>
      </c>
      <c r="D46" s="20">
        <f>=K46/3</f>
        <v>180.666666666667</v>
      </c>
      <c r="E46" s="20">
        <f>=L46/3</f>
        <v>189.7</v>
      </c>
      <c r="F46" s="20">
        <f>=H46*0.9</f>
        <v>243.9</v>
      </c>
      <c r="G46" s="21">
        <v>246</v>
      </c>
      <c r="H46" s="27">
        <v>271</v>
      </c>
      <c r="I46" s="28">
        <f>=H46*1.05</f>
        <v>284.55</v>
      </c>
      <c r="J46" s="28">
        <f>=F46*2</f>
        <v>487.8</v>
      </c>
      <c r="K46" s="28">
        <f>=H46*2</f>
        <v>542</v>
      </c>
      <c r="L46" s="28">
        <f>=I46*2</f>
        <v>569.1</v>
      </c>
      <c r="M46" s="13" t="s">
        <v>15</v>
      </c>
      <c r="N46" s="13">
        <v>0.33</v>
      </c>
      <c r="O46" s="13" t="s"/>
      <c r="P46" s="13">
        <v>2</v>
      </c>
      <c r="Q46" s="13">
        <v>2</v>
      </c>
      <c r="R46" s="13" t="s">
        <v>16</v>
      </c>
      <c r="S46" s="13" t="s">
        <v>17</v>
      </c>
      <c r="T46" s="13" t="s">
        <v>67</v>
      </c>
      <c r="U46" s="16" t="s">
        <v>13</v>
      </c>
      <c r="V46" s="16" t="s">
        <v>19</v>
      </c>
      <c r="W46" s="33" t="s"/>
      <c r="X46" s="34" t="s">
        <f>=M46&amp;N46&amp;P46&amp;Q46&amp;T46&amp;V46&amp;S46</f>
        <v>75</v>
      </c>
      <c r="Y46" s="35" t="s"/>
      <c r="Z46" s="35" t="s"/>
      <c r="AA46" s="35" t="s"/>
      <c r="AB46" s="35" t="s"/>
    </row>
    <row r="47" spans="1:28" ht="14.4">
      <c r="A47" s="4">
        <f>=H47/G47-1</f>
        <v>0.100719424460432</v>
      </c>
      <c r="B47" s="20">
        <f>=F47/12</f>
        <v>11.475</v>
      </c>
      <c r="C47" s="20">
        <f>=J47/3</f>
        <v>91.8</v>
      </c>
      <c r="D47" s="20">
        <f>=K47/3</f>
        <v>102</v>
      </c>
      <c r="E47" s="20">
        <f>=L47/3</f>
        <v>107.1</v>
      </c>
      <c r="F47" s="20">
        <f>=H47*0.9</f>
        <v>137.7</v>
      </c>
      <c r="G47" s="21">
        <v>139</v>
      </c>
      <c r="H47" s="27">
        <v>153</v>
      </c>
      <c r="I47" s="28">
        <f>=H47*1.05</f>
        <v>160.65</v>
      </c>
      <c r="J47" s="28">
        <f>=F47*2</f>
        <v>275.4</v>
      </c>
      <c r="K47" s="28">
        <f>=H47*2</f>
        <v>306</v>
      </c>
      <c r="L47" s="28">
        <f>=I47*2</f>
        <v>321.3</v>
      </c>
      <c r="M47" s="13" t="s">
        <v>15</v>
      </c>
      <c r="N47" s="13">
        <v>0.35</v>
      </c>
      <c r="O47" s="13" t="s"/>
      <c r="P47" s="13">
        <v>1</v>
      </c>
      <c r="Q47" s="13">
        <v>1</v>
      </c>
      <c r="R47" s="13" t="s">
        <v>16</v>
      </c>
      <c r="S47" s="13" t="s">
        <v>17</v>
      </c>
      <c r="T47" s="13" t="s">
        <v>76</v>
      </c>
      <c r="U47" s="16" t="s">
        <v>13</v>
      </c>
      <c r="V47" s="16" t="s">
        <v>19</v>
      </c>
      <c r="W47" s="29" t="s"/>
      <c r="X47" s="26" t="s">
        <f>=M47&amp;N47&amp;P47&amp;Q47&amp;T47&amp;V47&amp;S47</f>
        <v>77</v>
      </c>
      <c r="Y47" s="19" t="s"/>
      <c r="Z47" s="19" t="s"/>
      <c r="AA47" s="19" t="s"/>
      <c r="AB47" s="19" t="s"/>
    </row>
    <row r="48" spans="1:28" ht="14.4">
      <c r="A48" s="4">
        <f>=H48/G48-1</f>
        <v>0.100456621004566</v>
      </c>
      <c r="B48" s="20">
        <f>=F48/12</f>
        <v>18.075</v>
      </c>
      <c r="C48" s="20">
        <f>=J48/3</f>
        <v>144.6</v>
      </c>
      <c r="D48" s="20">
        <f>=K48/3</f>
        <v>160.666666666667</v>
      </c>
      <c r="E48" s="20">
        <f>=L48/3</f>
        <v>168.7</v>
      </c>
      <c r="F48" s="20">
        <f>=H48*0.9</f>
        <v>216.9</v>
      </c>
      <c r="G48" s="21">
        <v>219</v>
      </c>
      <c r="H48" s="27">
        <v>241</v>
      </c>
      <c r="I48" s="28">
        <f>=H48*1.05</f>
        <v>253.05</v>
      </c>
      <c r="J48" s="28">
        <f>=F48*2</f>
        <v>433.8</v>
      </c>
      <c r="K48" s="28">
        <f>=H48*2</f>
        <v>482</v>
      </c>
      <c r="L48" s="28">
        <f>=I48*2</f>
        <v>506.1</v>
      </c>
      <c r="M48" s="13" t="s">
        <v>15</v>
      </c>
      <c r="N48" s="13">
        <v>0.35</v>
      </c>
      <c r="O48" s="13" t="s"/>
      <c r="P48" s="13">
        <v>1.5</v>
      </c>
      <c r="Q48" s="13">
        <v>1.5</v>
      </c>
      <c r="R48" s="13" t="s">
        <v>16</v>
      </c>
      <c r="S48" s="13" t="s">
        <v>17</v>
      </c>
      <c r="T48" s="13" t="s">
        <v>76</v>
      </c>
      <c r="U48" s="16" t="s">
        <v>13</v>
      </c>
      <c r="V48" s="16" t="s">
        <v>19</v>
      </c>
      <c r="W48" s="29" t="s"/>
      <c r="X48" s="26" t="s">
        <f>=M48&amp;N48&amp;P48&amp;Q48&amp;T48&amp;V48&amp;S48</f>
        <v>78</v>
      </c>
      <c r="Y48" s="19" t="s"/>
      <c r="Z48" s="19" t="s"/>
      <c r="AA48" s="19" t="s"/>
      <c r="AB48" s="19" t="s"/>
    </row>
    <row r="49" spans="1:28" ht="14.4">
      <c r="A49" s="4">
        <f>=H49/G49-1</f>
        <v>0.0994897959183674</v>
      </c>
      <c r="B49" s="20">
        <f>=F49/12</f>
        <v>32.325</v>
      </c>
      <c r="C49" s="20">
        <f>=J49/3</f>
        <v>258.6</v>
      </c>
      <c r="D49" s="20">
        <f>=K49/3</f>
        <v>287.333333333333</v>
      </c>
      <c r="E49" s="20">
        <f>=L49/3</f>
        <v>301.7</v>
      </c>
      <c r="F49" s="20">
        <f>=H49*0.9</f>
        <v>387.9</v>
      </c>
      <c r="G49" s="21">
        <v>392</v>
      </c>
      <c r="H49" s="27">
        <v>431</v>
      </c>
      <c r="I49" s="28">
        <f>=H49*1.05</f>
        <v>452.55</v>
      </c>
      <c r="J49" s="28">
        <f>=F49*2</f>
        <v>775.8</v>
      </c>
      <c r="K49" s="28">
        <f>=H49*2</f>
        <v>862</v>
      </c>
      <c r="L49" s="28">
        <f>=I49*2</f>
        <v>905.1</v>
      </c>
      <c r="M49" s="13" t="s">
        <v>15</v>
      </c>
      <c r="N49" s="13">
        <v>0.35</v>
      </c>
      <c r="O49" s="13" t="s"/>
      <c r="P49" s="13">
        <v>3</v>
      </c>
      <c r="Q49" s="13">
        <v>3</v>
      </c>
      <c r="R49" s="13" t="s">
        <v>16</v>
      </c>
      <c r="S49" s="13" t="s">
        <v>17</v>
      </c>
      <c r="T49" s="13" t="s">
        <v>76</v>
      </c>
      <c r="U49" s="16" t="s">
        <v>13</v>
      </c>
      <c r="V49" s="16" t="s">
        <v>19</v>
      </c>
      <c r="W49" s="29" t="s"/>
      <c r="X49" s="26" t="s">
        <f>=M49&amp;N49&amp;P49&amp;Q49&amp;T49&amp;V49&amp;S49</f>
        <v>79</v>
      </c>
      <c r="Y49" s="19" t="s"/>
      <c r="Z49" s="19" t="s"/>
      <c r="AA49" s="19" t="s"/>
      <c r="AB49" s="19" t="s"/>
    </row>
    <row r="50" spans="1:28" ht="14.4">
      <c r="A50" s="4">
        <f>=H50/G50-1</f>
        <v>0.100719424460432</v>
      </c>
      <c r="B50" s="20">
        <f>=F50/12</f>
        <v>11.475</v>
      </c>
      <c r="C50" s="20">
        <f>=J50/3</f>
        <v>91.8</v>
      </c>
      <c r="D50" s="20">
        <f>=K50/3</f>
        <v>102</v>
      </c>
      <c r="E50" s="20">
        <f>=L50/3</f>
        <v>107.1</v>
      </c>
      <c r="F50" s="20">
        <f>=H50*0.9</f>
        <v>137.7</v>
      </c>
      <c r="G50" s="21">
        <v>139</v>
      </c>
      <c r="H50" s="27">
        <v>153</v>
      </c>
      <c r="I50" s="28">
        <f>=H50*1.05</f>
        <v>160.65</v>
      </c>
      <c r="J50" s="28">
        <f>=F50*2</f>
        <v>275.4</v>
      </c>
      <c r="K50" s="28">
        <f>=H50*2</f>
        <v>306</v>
      </c>
      <c r="L50" s="28">
        <f>=I50*2</f>
        <v>321.3</v>
      </c>
      <c r="M50" s="13" t="s">
        <v>15</v>
      </c>
      <c r="N50" s="13">
        <v>0.36</v>
      </c>
      <c r="O50" s="13" t="s"/>
      <c r="P50" s="13">
        <v>1</v>
      </c>
      <c r="Q50" s="13">
        <v>1</v>
      </c>
      <c r="R50" s="13" t="s">
        <v>16</v>
      </c>
      <c r="S50" s="13" t="s">
        <v>17</v>
      </c>
      <c r="T50" s="13" t="s">
        <v>76</v>
      </c>
      <c r="U50" s="16" t="s">
        <v>13</v>
      </c>
      <c r="V50" s="16" t="s">
        <v>19</v>
      </c>
      <c r="W50" s="29" t="s"/>
      <c r="X50" s="26" t="s">
        <f>=M50&amp;N50&amp;P50&amp;Q50&amp;T50&amp;V50&amp;S50</f>
        <v>80</v>
      </c>
      <c r="Y50" s="19" t="s"/>
      <c r="Z50" s="19" t="s"/>
      <c r="AA50" s="19" t="s"/>
      <c r="AB50" s="19" t="s"/>
    </row>
    <row r="51" spans="1:28" ht="14.4">
      <c r="A51" s="4">
        <f>=H51/G51-1</f>
        <v>0.0987654320987654</v>
      </c>
      <c r="B51" s="20">
        <f>=F51/12</f>
        <v>20.025</v>
      </c>
      <c r="C51" s="20">
        <f>=J51/3</f>
        <v>160.2</v>
      </c>
      <c r="D51" s="20">
        <f>=K51/3</f>
        <v>178</v>
      </c>
      <c r="E51" s="20">
        <f>=L51/3</f>
        <v>186.9</v>
      </c>
      <c r="F51" s="20">
        <f>=H51*0.9</f>
        <v>240.3</v>
      </c>
      <c r="G51" s="21">
        <v>243</v>
      </c>
      <c r="H51" s="27">
        <v>267</v>
      </c>
      <c r="I51" s="28">
        <f>=H51*1.05</f>
        <v>280.35</v>
      </c>
      <c r="J51" s="28">
        <f>=F51*2</f>
        <v>480.6</v>
      </c>
      <c r="K51" s="28">
        <f>=H51*2</f>
        <v>534</v>
      </c>
      <c r="L51" s="28">
        <f>=I51*2</f>
        <v>560.7</v>
      </c>
      <c r="M51" s="13" t="s">
        <v>15</v>
      </c>
      <c r="N51" s="13">
        <v>0.36</v>
      </c>
      <c r="O51" s="13" t="s"/>
      <c r="P51" s="13">
        <v>2</v>
      </c>
      <c r="Q51" s="13">
        <v>2</v>
      </c>
      <c r="R51" s="13" t="s">
        <v>16</v>
      </c>
      <c r="S51" s="13" t="s">
        <v>17</v>
      </c>
      <c r="T51" s="13" t="s">
        <v>76</v>
      </c>
      <c r="U51" s="16" t="s">
        <v>13</v>
      </c>
      <c r="V51" s="16" t="s">
        <v>19</v>
      </c>
      <c r="W51" s="29" t="s"/>
      <c r="X51" s="26" t="s">
        <f>=M51&amp;N51&amp;P51&amp;Q51&amp;T51&amp;V51&amp;S51</f>
        <v>81</v>
      </c>
      <c r="Y51" s="19" t="s"/>
      <c r="Z51" s="19" t="s"/>
      <c r="AA51" s="19" t="s"/>
      <c r="AB51" s="19" t="s"/>
    </row>
    <row r="52" spans="1:28" ht="14.4">
      <c r="A52" s="4">
        <f>=H52/G52-1</f>
        <v>0.10377358490566</v>
      </c>
      <c r="B52" s="20">
        <f>=F52/12</f>
        <v>8.775</v>
      </c>
      <c r="C52" s="20">
        <f>=J52/3</f>
        <v>70.2</v>
      </c>
      <c r="D52" s="20">
        <f>=K52/3</f>
        <v>78</v>
      </c>
      <c r="E52" s="20">
        <f>=L52/3</f>
        <v>81.9</v>
      </c>
      <c r="F52" s="20">
        <f>=H52*0.9</f>
        <v>105.3</v>
      </c>
      <c r="G52" s="21">
        <v>106</v>
      </c>
      <c r="H52" s="27">
        <v>117</v>
      </c>
      <c r="I52" s="28">
        <f>=H52*1.05</f>
        <v>122.85</v>
      </c>
      <c r="J52" s="28">
        <f>=F52*2</f>
        <v>210.6</v>
      </c>
      <c r="K52" s="28">
        <f>=H52*2</f>
        <v>234</v>
      </c>
      <c r="L52" s="28">
        <f>=I52*2</f>
        <v>245.7</v>
      </c>
      <c r="M52" s="13" t="s">
        <v>15</v>
      </c>
      <c r="N52" s="13">
        <v>0.36</v>
      </c>
      <c r="O52" s="13" t="s"/>
      <c r="P52" s="13" t="s">
        <v>21</v>
      </c>
      <c r="Q52" s="13" t="s">
        <v>21</v>
      </c>
      <c r="R52" s="13" t="s">
        <v>16</v>
      </c>
      <c r="S52" s="13" t="s">
        <v>17</v>
      </c>
      <c r="T52" s="13" t="s">
        <v>76</v>
      </c>
      <c r="U52" s="16" t="s">
        <v>13</v>
      </c>
      <c r="V52" s="16" t="s">
        <v>19</v>
      </c>
      <c r="W52" s="29" t="s"/>
      <c r="X52" s="26" t="s">
        <f>=M52&amp;N52&amp;P52&amp;Q52&amp;T52&amp;V52&amp;S52</f>
        <v>82</v>
      </c>
      <c r="Y52" s="19" t="s"/>
      <c r="Z52" s="19" t="s"/>
      <c r="AA52" s="19" t="s"/>
      <c r="AB52" s="19" t="s"/>
    </row>
    <row r="53" spans="1:28" ht="14.4">
      <c r="A53" s="4">
        <f>=H53/G53-1</f>
        <v>0.0970149253731343</v>
      </c>
      <c r="B53" s="20">
        <f>=F53/12</f>
        <v>11.025</v>
      </c>
      <c r="C53" s="20">
        <f>=J53/3</f>
        <v>88.2</v>
      </c>
      <c r="D53" s="20">
        <f>=K53/3</f>
        <v>98</v>
      </c>
      <c r="E53" s="20">
        <f>=L53/3</f>
        <v>102.9</v>
      </c>
      <c r="F53" s="20">
        <f>=H53*0.9</f>
        <v>132.3</v>
      </c>
      <c r="G53" s="21">
        <v>134</v>
      </c>
      <c r="H53" s="27">
        <v>147</v>
      </c>
      <c r="I53" s="28">
        <f>=H53*1.05</f>
        <v>154.35</v>
      </c>
      <c r="J53" s="28">
        <f>=F53*2</f>
        <v>264.6</v>
      </c>
      <c r="K53" s="28">
        <f>=H53*2</f>
        <v>294</v>
      </c>
      <c r="L53" s="28">
        <f>=I53*2</f>
        <v>308.7</v>
      </c>
      <c r="M53" s="13" t="s">
        <v>15</v>
      </c>
      <c r="N53" s="13">
        <v>0.38</v>
      </c>
      <c r="O53" s="13" t="s"/>
      <c r="P53" s="13">
        <v>1</v>
      </c>
      <c r="Q53" s="13">
        <v>1</v>
      </c>
      <c r="R53" s="13" t="s">
        <v>16</v>
      </c>
      <c r="S53" s="13" t="s">
        <v>17</v>
      </c>
      <c r="T53" s="13" t="s">
        <v>76</v>
      </c>
      <c r="U53" s="16" t="s">
        <v>13</v>
      </c>
      <c r="V53" s="16" t="s">
        <v>19</v>
      </c>
      <c r="W53" s="29" t="s"/>
      <c r="X53" s="26" t="s">
        <f>=M53&amp;N53&amp;P53&amp;Q53&amp;T53&amp;V53&amp;S53</f>
        <v>83</v>
      </c>
      <c r="Y53" s="19" t="s"/>
      <c r="Z53" s="19" t="s"/>
      <c r="AA53" s="19" t="s"/>
      <c r="AB53" s="19" t="s"/>
    </row>
    <row r="54" spans="1:28" ht="14.4">
      <c r="A54" s="4">
        <f>=H54/G54-1</f>
        <v>0.103703703703704</v>
      </c>
      <c r="B54" s="20">
        <f>=F54/12</f>
        <v>11.175</v>
      </c>
      <c r="C54" s="20">
        <f>=J54/3</f>
        <v>89.4</v>
      </c>
      <c r="D54" s="20">
        <f>=K54/3</f>
        <v>99.3333333333333</v>
      </c>
      <c r="E54" s="20">
        <f>=L54/3</f>
        <v>104.3</v>
      </c>
      <c r="F54" s="20">
        <f>=H54*0.9</f>
        <v>134.1</v>
      </c>
      <c r="G54" s="21">
        <v>135</v>
      </c>
      <c r="H54" s="27">
        <v>149</v>
      </c>
      <c r="I54" s="28">
        <f>=H54*1.05</f>
        <v>156.45</v>
      </c>
      <c r="J54" s="28">
        <f>=F54*2</f>
        <v>268.2</v>
      </c>
      <c r="K54" s="28">
        <f>=H54*2</f>
        <v>298</v>
      </c>
      <c r="L54" s="28">
        <f>=I54*2</f>
        <v>312.9</v>
      </c>
      <c r="M54" s="13" t="s">
        <v>15</v>
      </c>
      <c r="N54" s="13">
        <v>0.4</v>
      </c>
      <c r="O54" s="13" t="s"/>
      <c r="P54" s="13">
        <v>1</v>
      </c>
      <c r="Q54" s="13">
        <v>1</v>
      </c>
      <c r="R54" s="13" t="s">
        <v>16</v>
      </c>
      <c r="S54" s="13" t="s">
        <v>17</v>
      </c>
      <c r="T54" s="13" t="s">
        <v>76</v>
      </c>
      <c r="U54" s="16" t="s">
        <v>13</v>
      </c>
      <c r="V54" s="16" t="s">
        <v>19</v>
      </c>
      <c r="W54" s="29" t="s"/>
      <c r="X54" s="26" t="s">
        <f>=M54&amp;N54&amp;P54&amp;Q54&amp;T54&amp;V54&amp;S54</f>
        <v>84</v>
      </c>
      <c r="Y54" s="19" t="s"/>
      <c r="Z54" s="19" t="s"/>
      <c r="AA54" s="19" t="s"/>
      <c r="AB54" s="19" t="s"/>
    </row>
    <row r="55" spans="1:28" ht="14.4">
      <c r="A55" s="4">
        <f>=H55/G55-1</f>
        <v>0.100456621004566</v>
      </c>
      <c r="B55" s="20">
        <f>=F55/12</f>
        <v>18.075</v>
      </c>
      <c r="C55" s="20">
        <f>=J55/3</f>
        <v>144.6</v>
      </c>
      <c r="D55" s="20">
        <f>=K55/3</f>
        <v>160.666666666667</v>
      </c>
      <c r="E55" s="20">
        <f>=L55/3</f>
        <v>168.7</v>
      </c>
      <c r="F55" s="20">
        <f>=H55*0.9</f>
        <v>216.9</v>
      </c>
      <c r="G55" s="21">
        <v>219</v>
      </c>
      <c r="H55" s="27">
        <v>241</v>
      </c>
      <c r="I55" s="28">
        <f>=H55*1.05</f>
        <v>253.05</v>
      </c>
      <c r="J55" s="28">
        <f>=F55*2</f>
        <v>433.8</v>
      </c>
      <c r="K55" s="28">
        <f>=H55*2</f>
        <v>482</v>
      </c>
      <c r="L55" s="28">
        <f>=I55*2</f>
        <v>506.1</v>
      </c>
      <c r="M55" s="13" t="s">
        <v>15</v>
      </c>
      <c r="N55" s="13">
        <v>0.4</v>
      </c>
      <c r="O55" s="13" t="s"/>
      <c r="P55" s="13">
        <v>1.5</v>
      </c>
      <c r="Q55" s="13">
        <v>1.5</v>
      </c>
      <c r="R55" s="13" t="s">
        <v>16</v>
      </c>
      <c r="S55" s="13" t="s">
        <v>17</v>
      </c>
      <c r="T55" s="13" t="s">
        <v>76</v>
      </c>
      <c r="U55" s="16" t="s">
        <v>13</v>
      </c>
      <c r="V55" s="16" t="s">
        <v>19</v>
      </c>
      <c r="W55" s="29" t="s"/>
      <c r="X55" s="26" t="s">
        <f>=M55&amp;N55&amp;P55&amp;Q55&amp;T55&amp;V55&amp;S55</f>
        <v>85</v>
      </c>
      <c r="Y55" s="19" t="s"/>
      <c r="Z55" s="19" t="s"/>
      <c r="AA55" s="19" t="s"/>
      <c r="AB55" s="19" t="s"/>
    </row>
    <row r="56" spans="1:28" ht="14.4">
      <c r="A56" s="4">
        <f>=H56/G56-1</f>
        <v>0.0987654320987654</v>
      </c>
      <c r="B56" s="20">
        <f>=F56/12</f>
        <v>20.025</v>
      </c>
      <c r="C56" s="20">
        <f>=J56/3</f>
        <v>160.2</v>
      </c>
      <c r="D56" s="20">
        <f>=K56/3</f>
        <v>178</v>
      </c>
      <c r="E56" s="20">
        <f>=L56/3</f>
        <v>186.9</v>
      </c>
      <c r="F56" s="20">
        <f>=H56*0.9</f>
        <v>240.3</v>
      </c>
      <c r="G56" s="21">
        <v>243</v>
      </c>
      <c r="H56" s="27">
        <v>267</v>
      </c>
      <c r="I56" s="28">
        <f>=H56*1.05</f>
        <v>280.35</v>
      </c>
      <c r="J56" s="28">
        <f>=F56*2</f>
        <v>480.6</v>
      </c>
      <c r="K56" s="28">
        <f>=H56*2</f>
        <v>534</v>
      </c>
      <c r="L56" s="28">
        <f>=I56*2</f>
        <v>560.7</v>
      </c>
      <c r="M56" s="13" t="s">
        <v>15</v>
      </c>
      <c r="N56" s="13">
        <v>0.4</v>
      </c>
      <c r="O56" s="13" t="s"/>
      <c r="P56" s="13">
        <v>2</v>
      </c>
      <c r="Q56" s="13">
        <v>2</v>
      </c>
      <c r="R56" s="13" t="s">
        <v>16</v>
      </c>
      <c r="S56" s="13" t="s">
        <v>17</v>
      </c>
      <c r="T56" s="13" t="s">
        <v>76</v>
      </c>
      <c r="U56" s="16" t="s">
        <v>13</v>
      </c>
      <c r="V56" s="16" t="s">
        <v>19</v>
      </c>
      <c r="W56" s="29" t="s"/>
      <c r="X56" s="26" t="s">
        <f>=M56&amp;N56&amp;P56&amp;Q56&amp;T56&amp;V56&amp;S56</f>
        <v>86</v>
      </c>
      <c r="Y56" s="19" t="s"/>
      <c r="Z56" s="19" t="s"/>
      <c r="AA56" s="19" t="s"/>
      <c r="AB56" s="19" t="s"/>
    </row>
    <row r="57" spans="1:28" ht="14.4">
      <c r="A57" s="4">
        <f>=H57/G57-1</f>
        <v>0.0997442455242967</v>
      </c>
      <c r="B57" s="20">
        <f>=F57/12</f>
        <v>32.25</v>
      </c>
      <c r="C57" s="20">
        <f>=J57/3</f>
        <v>258</v>
      </c>
      <c r="D57" s="20">
        <f>=K57/3</f>
        <v>286.666666666667</v>
      </c>
      <c r="E57" s="20">
        <f>=L57/3</f>
        <v>301</v>
      </c>
      <c r="F57" s="20">
        <f>=H57*0.9</f>
        <v>387</v>
      </c>
      <c r="G57" s="21">
        <v>391</v>
      </c>
      <c r="H57" s="27">
        <v>430</v>
      </c>
      <c r="I57" s="28">
        <f>=H57*1.05</f>
        <v>451.5</v>
      </c>
      <c r="J57" s="28">
        <f>=F57*2</f>
        <v>774</v>
      </c>
      <c r="K57" s="28">
        <f>=H57*2</f>
        <v>860</v>
      </c>
      <c r="L57" s="28">
        <f>=I57*2</f>
        <v>903</v>
      </c>
      <c r="M57" s="13" t="s">
        <v>15</v>
      </c>
      <c r="N57" s="13">
        <v>0.4</v>
      </c>
      <c r="O57" s="13" t="s"/>
      <c r="P57" s="13">
        <v>3</v>
      </c>
      <c r="Q57" s="13">
        <v>3</v>
      </c>
      <c r="R57" s="13" t="s">
        <v>16</v>
      </c>
      <c r="S57" s="13" t="s">
        <v>17</v>
      </c>
      <c r="T57" s="13" t="s">
        <v>76</v>
      </c>
      <c r="U57" s="16" t="s">
        <v>13</v>
      </c>
      <c r="V57" s="16" t="s">
        <v>19</v>
      </c>
      <c r="W57" s="29" t="s"/>
      <c r="X57" s="26" t="s">
        <f>=M57&amp;N57&amp;P57&amp;Q57&amp;T57&amp;V57&amp;S57</f>
        <v>87</v>
      </c>
      <c r="Y57" s="19" t="s"/>
      <c r="Z57" s="19" t="s"/>
      <c r="AA57" s="19" t="s"/>
      <c r="AB57" s="19" t="s"/>
    </row>
    <row r="58" spans="1:28" ht="14.4">
      <c r="A58" s="4">
        <f>=H58/G58-1</f>
        <v>0.10377358490566</v>
      </c>
      <c r="B58" s="20">
        <f>=F58/12</f>
        <v>8.775</v>
      </c>
      <c r="C58" s="20">
        <f>=J58/3</f>
        <v>70.2</v>
      </c>
      <c r="D58" s="20">
        <f>=K58/3</f>
        <v>78</v>
      </c>
      <c r="E58" s="20">
        <f>=L58/3</f>
        <v>81.9</v>
      </c>
      <c r="F58" s="20">
        <f>=H58*0.9</f>
        <v>105.3</v>
      </c>
      <c r="G58" s="21">
        <v>106</v>
      </c>
      <c r="H58" s="27">
        <v>117</v>
      </c>
      <c r="I58" s="28">
        <f>=H58*1.05</f>
        <v>122.85</v>
      </c>
      <c r="J58" s="28">
        <f>=F58*2</f>
        <v>210.6</v>
      </c>
      <c r="K58" s="28">
        <f>=H58*2</f>
        <v>234</v>
      </c>
      <c r="L58" s="28">
        <f>=I58*2</f>
        <v>245.7</v>
      </c>
      <c r="M58" s="13" t="s">
        <v>15</v>
      </c>
      <c r="N58" s="13">
        <v>0.4</v>
      </c>
      <c r="O58" s="13" t="s"/>
      <c r="P58" s="13" t="s">
        <v>21</v>
      </c>
      <c r="Q58" s="13" t="s">
        <v>21</v>
      </c>
      <c r="R58" s="13" t="s">
        <v>16</v>
      </c>
      <c r="S58" s="13" t="s">
        <v>17</v>
      </c>
      <c r="T58" s="13" t="s">
        <v>76</v>
      </c>
      <c r="U58" s="16" t="s">
        <v>13</v>
      </c>
      <c r="V58" s="16" t="s">
        <v>19</v>
      </c>
      <c r="W58" s="29" t="s"/>
      <c r="X58" s="26" t="s">
        <f>=M58&amp;N58&amp;P58&amp;Q58&amp;T58&amp;V58&amp;S58</f>
        <v>88</v>
      </c>
      <c r="Y58" s="19" t="s"/>
      <c r="Z58" s="19" t="s"/>
      <c r="AA58" s="19" t="s"/>
      <c r="AB58" s="19" t="s"/>
    </row>
    <row r="59" spans="1:28" ht="14.4">
      <c r="A59" s="4">
        <f>=H59/G59-1</f>
        <v>0.10377358490566</v>
      </c>
      <c r="B59" s="20">
        <f>=F59/12</f>
        <v>8.775</v>
      </c>
      <c r="C59" s="20">
        <f>=J59/3</f>
        <v>70.2</v>
      </c>
      <c r="D59" s="20">
        <f>=K59/3</f>
        <v>78</v>
      </c>
      <c r="E59" s="20">
        <f>=L59/3</f>
        <v>81.9</v>
      </c>
      <c r="F59" s="20">
        <f>=H59*0.9</f>
        <v>105.3</v>
      </c>
      <c r="G59" s="21">
        <v>106</v>
      </c>
      <c r="H59" s="27">
        <v>117</v>
      </c>
      <c r="I59" s="28">
        <f>=H59*1.05</f>
        <v>122.85</v>
      </c>
      <c r="J59" s="28">
        <f>=F59*2</f>
        <v>210.6</v>
      </c>
      <c r="K59" s="28">
        <f>=H59*2</f>
        <v>234</v>
      </c>
      <c r="L59" s="28">
        <f>=I59*2</f>
        <v>245.7</v>
      </c>
      <c r="M59" s="13" t="s">
        <v>15</v>
      </c>
      <c r="N59" s="13">
        <v>0.41</v>
      </c>
      <c r="O59" s="13" t="s"/>
      <c r="P59" s="13" t="s">
        <v>21</v>
      </c>
      <c r="Q59" s="13" t="s">
        <v>21</v>
      </c>
      <c r="R59" s="13" t="s">
        <v>16</v>
      </c>
      <c r="S59" s="13" t="s">
        <v>17</v>
      </c>
      <c r="T59" s="13" t="s">
        <v>76</v>
      </c>
      <c r="U59" s="16" t="s">
        <v>13</v>
      </c>
      <c r="V59" s="16" t="s">
        <v>19</v>
      </c>
      <c r="W59" s="29" t="s"/>
      <c r="X59" s="26" t="s">
        <f>=M59&amp;N59&amp;P59&amp;Q59&amp;T59&amp;V59&amp;S59</f>
        <v>89</v>
      </c>
      <c r="Y59" s="19" t="s"/>
      <c r="Z59" s="19" t="s"/>
      <c r="AA59" s="19" t="s"/>
      <c r="AB59" s="19" t="s"/>
    </row>
    <row r="60" spans="1:28" ht="14.4">
      <c r="A60" s="4">
        <f>=H60/G60-1</f>
        <v>0.0998509687034277</v>
      </c>
      <c r="B60" s="20">
        <f>=F60/12</f>
        <v>55.35</v>
      </c>
      <c r="C60" s="20">
        <f>=J60/3</f>
        <v>442.8</v>
      </c>
      <c r="D60" s="20">
        <f>=K60/3</f>
        <v>492</v>
      </c>
      <c r="E60" s="20">
        <f>=L60/3</f>
        <v>516.6</v>
      </c>
      <c r="F60" s="20">
        <f>=H60*0.9</f>
        <v>664.2</v>
      </c>
      <c r="G60" s="21">
        <v>671</v>
      </c>
      <c r="H60" s="27">
        <v>738</v>
      </c>
      <c r="I60" s="28">
        <f>=H60*1.05</f>
        <v>774.9</v>
      </c>
      <c r="J60" s="28">
        <f>=F60*2</f>
        <v>1328.4</v>
      </c>
      <c r="K60" s="28">
        <f>=H60*2</f>
        <v>1476</v>
      </c>
      <c r="L60" s="28">
        <f>=I60*2</f>
        <v>1549.8</v>
      </c>
      <c r="M60" s="13" t="s">
        <v>15</v>
      </c>
      <c r="N60" s="13">
        <v>0.42</v>
      </c>
      <c r="O60" s="13" t="s"/>
      <c r="P60" s="13">
        <v>4</v>
      </c>
      <c r="Q60" s="13">
        <v>4</v>
      </c>
      <c r="R60" s="13" t="s">
        <v>16</v>
      </c>
      <c r="S60" s="13" t="s">
        <v>17</v>
      </c>
      <c r="T60" s="13" t="s">
        <v>76</v>
      </c>
      <c r="U60" s="16" t="s">
        <v>13</v>
      </c>
      <c r="V60" s="16" t="s">
        <v>19</v>
      </c>
      <c r="W60" s="29" t="s"/>
      <c r="X60" s="26" t="s">
        <f>=M60&amp;N60&amp;P60&amp;Q60&amp;T60&amp;V60&amp;S60</f>
        <v>90</v>
      </c>
      <c r="Y60" s="19" t="s"/>
      <c r="Z60" s="19" t="s"/>
      <c r="AA60" s="19" t="s"/>
      <c r="AB60" s="19" t="s"/>
    </row>
    <row r="61" spans="1:28" ht="14.4">
      <c r="A61" s="4">
        <f>=H61/G61-1</f>
        <v>0.103448275862069</v>
      </c>
      <c r="B61" s="20">
        <f>=F61/12</f>
        <v>12</v>
      </c>
      <c r="C61" s="20">
        <f>=J61/3</f>
        <v>96</v>
      </c>
      <c r="D61" s="20">
        <f>=K61/3</f>
        <v>106.666666666667</v>
      </c>
      <c r="E61" s="20">
        <f>=L61/3</f>
        <v>112</v>
      </c>
      <c r="F61" s="20">
        <f>=H61*0.9</f>
        <v>144</v>
      </c>
      <c r="G61" s="21">
        <v>145</v>
      </c>
      <c r="H61" s="27">
        <v>160</v>
      </c>
      <c r="I61" s="28">
        <f>=H61*1.05</f>
        <v>168</v>
      </c>
      <c r="J61" s="28">
        <f>=F61*2</f>
        <v>288</v>
      </c>
      <c r="K61" s="28">
        <f>=H61*2</f>
        <v>320</v>
      </c>
      <c r="L61" s="28">
        <f>=I61*2</f>
        <v>336</v>
      </c>
      <c r="M61" s="13" t="s">
        <v>15</v>
      </c>
      <c r="N61" s="13">
        <v>0.43</v>
      </c>
      <c r="O61" s="13" t="s"/>
      <c r="P61" s="13">
        <v>1</v>
      </c>
      <c r="Q61" s="13">
        <v>1</v>
      </c>
      <c r="R61" s="13" t="s">
        <v>16</v>
      </c>
      <c r="S61" s="13" t="s">
        <v>17</v>
      </c>
      <c r="T61" s="13" t="s">
        <v>91</v>
      </c>
      <c r="U61" s="16" t="s">
        <v>13</v>
      </c>
      <c r="V61" s="16" t="s">
        <v>19</v>
      </c>
      <c r="W61" s="29" t="s"/>
      <c r="X61" s="26" t="s">
        <f>=M61&amp;N61&amp;P61&amp;Q61&amp;T61&amp;V61&amp;S61</f>
        <v>92</v>
      </c>
      <c r="Y61" s="19" t="s"/>
      <c r="Z61" s="19" t="s"/>
      <c r="AA61" s="19" t="s"/>
      <c r="AB61" s="19" t="s"/>
    </row>
    <row r="62" spans="1:28" ht="14.4">
      <c r="A62" s="4">
        <f>=H62/G62-1</f>
        <v>0.103448275862069</v>
      </c>
      <c r="B62" s="20">
        <f>=F62/12</f>
        <v>12</v>
      </c>
      <c r="C62" s="20">
        <f>=J62/3</f>
        <v>96</v>
      </c>
      <c r="D62" s="20">
        <f>=K62/3</f>
        <v>106.666666666667</v>
      </c>
      <c r="E62" s="20">
        <f>=L62/3</f>
        <v>112</v>
      </c>
      <c r="F62" s="20">
        <f>=H62*0.9</f>
        <v>144</v>
      </c>
      <c r="G62" s="21">
        <v>145</v>
      </c>
      <c r="H62" s="27">
        <v>160</v>
      </c>
      <c r="I62" s="28">
        <f>=H62*1.05</f>
        <v>168</v>
      </c>
      <c r="J62" s="28">
        <f>=F62*2</f>
        <v>288</v>
      </c>
      <c r="K62" s="28">
        <f>=H62*2</f>
        <v>320</v>
      </c>
      <c r="L62" s="28">
        <f>=I62*2</f>
        <v>336</v>
      </c>
      <c r="M62" s="13" t="s">
        <v>15</v>
      </c>
      <c r="N62" s="13">
        <v>0.43</v>
      </c>
      <c r="O62" s="13" t="s"/>
      <c r="P62" s="13">
        <v>1</v>
      </c>
      <c r="Q62" s="13">
        <v>1</v>
      </c>
      <c r="R62" s="13" t="s">
        <v>16</v>
      </c>
      <c r="S62" s="13" t="s">
        <v>17</v>
      </c>
      <c r="T62" s="13" t="s">
        <v>93</v>
      </c>
      <c r="U62" s="16" t="s">
        <v>13</v>
      </c>
      <c r="V62" s="16" t="s">
        <v>19</v>
      </c>
      <c r="W62" s="29" t="s"/>
      <c r="X62" s="26" t="s">
        <f>=M62&amp;N62&amp;P62&amp;Q62&amp;T62&amp;V62&amp;S62</f>
        <v>94</v>
      </c>
      <c r="Y62" s="19" t="s"/>
      <c r="Z62" s="19" t="s"/>
      <c r="AA62" s="19" t="s"/>
      <c r="AB62" s="19" t="s"/>
    </row>
    <row r="63" spans="1:28" ht="14.4">
      <c r="A63" s="4">
        <f>=H63/G63-1</f>
        <v>0.0984251968503938</v>
      </c>
      <c r="B63" s="20">
        <f>=F63/12</f>
        <v>20.925</v>
      </c>
      <c r="C63" s="20">
        <f>=J63/3</f>
        <v>167.4</v>
      </c>
      <c r="D63" s="20">
        <f>=K63/3</f>
        <v>186</v>
      </c>
      <c r="E63" s="20">
        <f>=L63/3</f>
        <v>195.3</v>
      </c>
      <c r="F63" s="20">
        <f>=H63*0.9</f>
        <v>251.1</v>
      </c>
      <c r="G63" s="21">
        <v>254</v>
      </c>
      <c r="H63" s="27">
        <v>279</v>
      </c>
      <c r="I63" s="28">
        <f>=H63*1.05</f>
        <v>292.95</v>
      </c>
      <c r="J63" s="28">
        <f>=F63*2</f>
        <v>502.2</v>
      </c>
      <c r="K63" s="28">
        <f>=H63*2</f>
        <v>558</v>
      </c>
      <c r="L63" s="28">
        <f>=I63*2</f>
        <v>585.9</v>
      </c>
      <c r="M63" s="13" t="s">
        <v>15</v>
      </c>
      <c r="N63" s="13">
        <v>0.43</v>
      </c>
      <c r="O63" s="13" t="s"/>
      <c r="P63" s="13">
        <v>2</v>
      </c>
      <c r="Q63" s="13">
        <v>2</v>
      </c>
      <c r="R63" s="13" t="s">
        <v>16</v>
      </c>
      <c r="S63" s="13" t="s">
        <v>17</v>
      </c>
      <c r="T63" s="13" t="s">
        <v>91</v>
      </c>
      <c r="U63" s="16" t="s">
        <v>13</v>
      </c>
      <c r="V63" s="16" t="s">
        <v>19</v>
      </c>
      <c r="W63" s="29" t="s"/>
      <c r="X63" s="26" t="s">
        <f>=M63&amp;N63&amp;P63&amp;Q63&amp;T63&amp;V63&amp;S63</f>
        <v>95</v>
      </c>
      <c r="Y63" s="19" t="s"/>
      <c r="Z63" s="19" t="s"/>
      <c r="AA63" s="19" t="s"/>
      <c r="AB63" s="19" t="s"/>
    </row>
    <row r="64" spans="1:28" ht="14.4">
      <c r="A64" s="4">
        <f>=H64/G64-1</f>
        <v>0.1</v>
      </c>
      <c r="B64" s="20">
        <f>=F64/12</f>
        <v>33.825</v>
      </c>
      <c r="C64" s="20">
        <f>=J64/3</f>
        <v>270.6</v>
      </c>
      <c r="D64" s="20">
        <f>=K64/3</f>
        <v>300.666666666667</v>
      </c>
      <c r="E64" s="20">
        <f>=L64/3</f>
        <v>315.7</v>
      </c>
      <c r="F64" s="20">
        <f>=H64*0.9</f>
        <v>405.9</v>
      </c>
      <c r="G64" s="21">
        <v>410</v>
      </c>
      <c r="H64" s="27">
        <v>451</v>
      </c>
      <c r="I64" s="28">
        <f>=H64*1.05</f>
        <v>473.55</v>
      </c>
      <c r="J64" s="28">
        <f>=F64*2</f>
        <v>811.8</v>
      </c>
      <c r="K64" s="28">
        <f>=H64*2</f>
        <v>902</v>
      </c>
      <c r="L64" s="28">
        <f>=I64*2</f>
        <v>947.1</v>
      </c>
      <c r="M64" s="13" t="s">
        <v>15</v>
      </c>
      <c r="N64" s="13">
        <v>0.43</v>
      </c>
      <c r="O64" s="13" t="s"/>
      <c r="P64" s="13">
        <v>3</v>
      </c>
      <c r="Q64" s="13">
        <v>3</v>
      </c>
      <c r="R64" s="13" t="s">
        <v>16</v>
      </c>
      <c r="S64" s="13" t="s">
        <v>17</v>
      </c>
      <c r="T64" s="13" t="s">
        <v>91</v>
      </c>
      <c r="U64" s="16" t="s">
        <v>13</v>
      </c>
      <c r="V64" s="16" t="s">
        <v>19</v>
      </c>
      <c r="W64" s="29" t="s"/>
      <c r="X64" s="26" t="s">
        <f>=M64&amp;N64&amp;P64&amp;Q64&amp;T64&amp;V64&amp;S64</f>
        <v>96</v>
      </c>
      <c r="Y64" s="19" t="s"/>
      <c r="Z64" s="19" t="s"/>
      <c r="AA64" s="19" t="s"/>
      <c r="AB64" s="19" t="s"/>
    </row>
    <row r="65" spans="1:28" ht="14.4">
      <c r="A65" s="4">
        <f>=H65/G65-1</f>
        <v>0.0975609756097562</v>
      </c>
      <c r="B65" s="20">
        <f>=F65/12</f>
        <v>10.125</v>
      </c>
      <c r="C65" s="20">
        <f>=J65/3</f>
        <v>81</v>
      </c>
      <c r="D65" s="20">
        <f>=K65/3</f>
        <v>90</v>
      </c>
      <c r="E65" s="20">
        <f>=L65/3</f>
        <v>94.5</v>
      </c>
      <c r="F65" s="20">
        <f>=H65*0.9</f>
        <v>121.5</v>
      </c>
      <c r="G65" s="21">
        <v>123</v>
      </c>
      <c r="H65" s="27">
        <v>135</v>
      </c>
      <c r="I65" s="28">
        <f>=H65*1.05</f>
        <v>141.75</v>
      </c>
      <c r="J65" s="28">
        <f>=F65*2</f>
        <v>243</v>
      </c>
      <c r="K65" s="28">
        <f>=H65*2</f>
        <v>270</v>
      </c>
      <c r="L65" s="28">
        <f>=I65*2</f>
        <v>283.5</v>
      </c>
      <c r="M65" s="13" t="s">
        <v>15</v>
      </c>
      <c r="N65" s="13">
        <v>0.43</v>
      </c>
      <c r="O65" s="13" t="s"/>
      <c r="P65" s="13" t="s">
        <v>21</v>
      </c>
      <c r="Q65" s="13" t="s">
        <v>21</v>
      </c>
      <c r="R65" s="13" t="s">
        <v>16</v>
      </c>
      <c r="S65" s="13" t="s">
        <v>17</v>
      </c>
      <c r="T65" s="13" t="s">
        <v>91</v>
      </c>
      <c r="U65" s="16" t="s">
        <v>13</v>
      </c>
      <c r="V65" s="16" t="s">
        <v>19</v>
      </c>
      <c r="W65" s="29" t="s"/>
      <c r="X65" s="26" t="s">
        <f>=M65&amp;N65&amp;P65&amp;Q65&amp;T65&amp;V65&amp;S65</f>
        <v>97</v>
      </c>
      <c r="Y65" s="19" t="s"/>
      <c r="Z65" s="19" t="s"/>
      <c r="AA65" s="19" t="s"/>
      <c r="AB65" s="19" t="s"/>
    </row>
    <row r="66" spans="1:28" ht="14.4">
      <c r="A66" s="4">
        <f>=H66/G66-1</f>
        <v>0.100244498777506</v>
      </c>
      <c r="B66" s="20">
        <f>=F66/12</f>
        <v>33.75</v>
      </c>
      <c r="C66" s="20">
        <f>=J66/3</f>
        <v>270</v>
      </c>
      <c r="D66" s="20">
        <f>=K66/3</f>
        <v>300</v>
      </c>
      <c r="E66" s="20">
        <f>=L66/3</f>
        <v>315</v>
      </c>
      <c r="F66" s="20">
        <f>=H66*0.9</f>
        <v>405</v>
      </c>
      <c r="G66" s="21">
        <v>409</v>
      </c>
      <c r="H66" s="27">
        <v>450</v>
      </c>
      <c r="I66" s="28">
        <f>=H66*1.05</f>
        <v>472.5</v>
      </c>
      <c r="J66" s="28">
        <f>=F66*2</f>
        <v>810</v>
      </c>
      <c r="K66" s="28">
        <f>=H66*2</f>
        <v>900</v>
      </c>
      <c r="L66" s="28">
        <f>=I66*2</f>
        <v>945</v>
      </c>
      <c r="M66" s="13" t="s">
        <v>15</v>
      </c>
      <c r="N66" s="13">
        <v>0.45</v>
      </c>
      <c r="O66" s="13" t="s"/>
      <c r="P66" s="13">
        <v>3</v>
      </c>
      <c r="Q66" s="13">
        <v>3</v>
      </c>
      <c r="R66" s="13" t="s">
        <v>16</v>
      </c>
      <c r="S66" s="13" t="s">
        <v>17</v>
      </c>
      <c r="T66" s="13" t="s">
        <v>91</v>
      </c>
      <c r="U66" s="16" t="s">
        <v>13</v>
      </c>
      <c r="V66" s="16" t="s">
        <v>19</v>
      </c>
      <c r="W66" s="29" t="s"/>
      <c r="X66" s="26" t="s">
        <f>=M66&amp;N66&amp;P66&amp;Q66&amp;T66&amp;V66&amp;S66</f>
        <v>98</v>
      </c>
      <c r="Y66" s="19" t="s"/>
      <c r="Z66" s="19" t="s"/>
      <c r="AA66" s="19" t="s"/>
      <c r="AB66" s="19" t="s"/>
    </row>
    <row r="67" spans="1:28" ht="14.4">
      <c r="A67" s="4">
        <f>=H67/G67-1</f>
        <v>0.103448275862069</v>
      </c>
      <c r="B67" s="20">
        <f>=F67/12</f>
        <v>12</v>
      </c>
      <c r="C67" s="20">
        <f>=J67/3</f>
        <v>96</v>
      </c>
      <c r="D67" s="20">
        <f>=K67/3</f>
        <v>106.666666666667</v>
      </c>
      <c r="E67" s="20">
        <f>=L67/3</f>
        <v>112</v>
      </c>
      <c r="F67" s="20">
        <f>=H67*0.9</f>
        <v>144</v>
      </c>
      <c r="G67" s="21">
        <v>145</v>
      </c>
      <c r="H67" s="27">
        <v>160</v>
      </c>
      <c r="I67" s="28">
        <f>=H67*1.05</f>
        <v>168</v>
      </c>
      <c r="J67" s="28">
        <f>=F67*2</f>
        <v>288</v>
      </c>
      <c r="K67" s="28">
        <f>=H67*2</f>
        <v>320</v>
      </c>
      <c r="L67" s="28">
        <f>=I67*2</f>
        <v>336</v>
      </c>
      <c r="M67" s="13" t="s">
        <v>15</v>
      </c>
      <c r="N67" s="13">
        <v>0.46</v>
      </c>
      <c r="O67" s="13" t="s"/>
      <c r="P67" s="13">
        <v>1</v>
      </c>
      <c r="Q67" s="13">
        <v>1</v>
      </c>
      <c r="R67" s="13" t="s">
        <v>16</v>
      </c>
      <c r="S67" s="13" t="s">
        <v>17</v>
      </c>
      <c r="T67" s="13" t="s">
        <v>91</v>
      </c>
      <c r="U67" s="16" t="s">
        <v>13</v>
      </c>
      <c r="V67" s="16" t="s">
        <v>19</v>
      </c>
      <c r="W67" s="29" t="s"/>
      <c r="X67" s="26" t="s">
        <f>=M67&amp;N67&amp;P67&amp;Q67&amp;T67&amp;V67&amp;S67</f>
        <v>99</v>
      </c>
      <c r="Y67" s="19" t="s"/>
      <c r="Z67" s="19" t="s"/>
      <c r="AA67" s="19" t="s"/>
      <c r="AB67" s="19" t="s"/>
    </row>
    <row r="68" spans="1:28" ht="14.4">
      <c r="A68" s="4">
        <f>=H68/G68-1</f>
        <v>0.1</v>
      </c>
      <c r="B68" s="20">
        <f>=F68/12</f>
        <v>33.825</v>
      </c>
      <c r="C68" s="20">
        <f>=J68/3</f>
        <v>270.6</v>
      </c>
      <c r="D68" s="20">
        <f>=K68/3</f>
        <v>300.666666666667</v>
      </c>
      <c r="E68" s="20">
        <f>=L68/3</f>
        <v>315.7</v>
      </c>
      <c r="F68" s="20">
        <f>=H68*0.9</f>
        <v>405.9</v>
      </c>
      <c r="G68" s="21">
        <v>410</v>
      </c>
      <c r="H68" s="27">
        <v>451</v>
      </c>
      <c r="I68" s="28">
        <f>=H68*1.05</f>
        <v>473.55</v>
      </c>
      <c r="J68" s="28">
        <f>=F68*2</f>
        <v>811.8</v>
      </c>
      <c r="K68" s="28">
        <f>=H68*2</f>
        <v>902</v>
      </c>
      <c r="L68" s="28">
        <f>=I68*2</f>
        <v>947.1</v>
      </c>
      <c r="M68" s="13" t="s">
        <v>15</v>
      </c>
      <c r="N68" s="13">
        <v>0.46</v>
      </c>
      <c r="O68" s="13" t="s"/>
      <c r="P68" s="13">
        <v>3</v>
      </c>
      <c r="Q68" s="13">
        <v>3</v>
      </c>
      <c r="R68" s="13" t="s">
        <v>16</v>
      </c>
      <c r="S68" s="13" t="s">
        <v>17</v>
      </c>
      <c r="T68" s="13" t="s">
        <v>91</v>
      </c>
      <c r="U68" s="16" t="s">
        <v>13</v>
      </c>
      <c r="V68" s="16" t="s">
        <v>19</v>
      </c>
      <c r="W68" s="29" t="s"/>
      <c r="X68" s="26" t="s">
        <f>=M68&amp;N68&amp;P68&amp;Q68&amp;T68&amp;V68&amp;S68</f>
        <v>100</v>
      </c>
      <c r="Y68" s="19" t="s"/>
      <c r="Z68" s="19" t="s"/>
      <c r="AA68" s="19" t="s"/>
      <c r="AB68" s="19" t="s"/>
    </row>
    <row r="69" spans="1:28" ht="14.4">
      <c r="A69" s="4">
        <f>=H69/G69-1</f>
        <v>0.0975609756097562</v>
      </c>
      <c r="B69" s="20">
        <f>=F69/12</f>
        <v>10.125</v>
      </c>
      <c r="C69" s="20">
        <f>=J69/3</f>
        <v>81</v>
      </c>
      <c r="D69" s="20">
        <f>=K69/3</f>
        <v>90</v>
      </c>
      <c r="E69" s="20">
        <f>=L69/3</f>
        <v>94.5</v>
      </c>
      <c r="F69" s="20">
        <f>=H69*0.9</f>
        <v>121.5</v>
      </c>
      <c r="G69" s="21">
        <v>123</v>
      </c>
      <c r="H69" s="27">
        <v>135</v>
      </c>
      <c r="I69" s="28">
        <f>=H69*1.05</f>
        <v>141.75</v>
      </c>
      <c r="J69" s="28">
        <f>=F69*2</f>
        <v>243</v>
      </c>
      <c r="K69" s="28">
        <f>=H69*2</f>
        <v>270</v>
      </c>
      <c r="L69" s="28">
        <f>=I69*2</f>
        <v>283.5</v>
      </c>
      <c r="M69" s="13" t="s">
        <v>15</v>
      </c>
      <c r="N69" s="13">
        <v>0.46</v>
      </c>
      <c r="O69" s="13" t="s"/>
      <c r="P69" s="13" t="s">
        <v>21</v>
      </c>
      <c r="Q69" s="13" t="s">
        <v>21</v>
      </c>
      <c r="R69" s="13" t="s">
        <v>16</v>
      </c>
      <c r="S69" s="13" t="s">
        <v>17</v>
      </c>
      <c r="T69" s="13" t="s">
        <v>91</v>
      </c>
      <c r="U69" s="16" t="s">
        <v>13</v>
      </c>
      <c r="V69" s="16" t="s">
        <v>19</v>
      </c>
      <c r="W69" s="29" t="s"/>
      <c r="X69" s="26" t="s">
        <f>=M69&amp;N69&amp;P69&amp;Q69&amp;T69&amp;V69&amp;S69</f>
        <v>101</v>
      </c>
      <c r="Y69" s="19" t="s"/>
      <c r="Z69" s="19" t="s"/>
      <c r="AA69" s="19" t="s"/>
      <c r="AB69" s="19" t="s"/>
    </row>
    <row r="70" spans="1:28" ht="14.4">
      <c r="A70" s="4">
        <f>=H70/G70-1</f>
        <v>0.100244498777506</v>
      </c>
      <c r="B70" s="20">
        <f>=F70/12</f>
        <v>33.75</v>
      </c>
      <c r="C70" s="20">
        <f>=J70/3</f>
        <v>270</v>
      </c>
      <c r="D70" s="20">
        <f>=K70/3</f>
        <v>300</v>
      </c>
      <c r="E70" s="20">
        <f>=L70/3</f>
        <v>315</v>
      </c>
      <c r="F70" s="20">
        <f>=H70*0.9</f>
        <v>405</v>
      </c>
      <c r="G70" s="21">
        <v>409</v>
      </c>
      <c r="H70" s="27">
        <v>450</v>
      </c>
      <c r="I70" s="28">
        <f>=H70*1.05</f>
        <v>472.5</v>
      </c>
      <c r="J70" s="28">
        <f>=F70*2</f>
        <v>810</v>
      </c>
      <c r="K70" s="28">
        <f>=H70*2</f>
        <v>900</v>
      </c>
      <c r="L70" s="28">
        <f>=I70*2</f>
        <v>945</v>
      </c>
      <c r="M70" s="13" t="s">
        <v>15</v>
      </c>
      <c r="N70" s="13">
        <v>0.49</v>
      </c>
      <c r="O70" s="13" t="s"/>
      <c r="P70" s="13">
        <v>3</v>
      </c>
      <c r="Q70" s="13">
        <v>3</v>
      </c>
      <c r="R70" s="13" t="s">
        <v>16</v>
      </c>
      <c r="S70" s="13" t="s">
        <v>17</v>
      </c>
      <c r="T70" s="13" t="s">
        <v>102</v>
      </c>
      <c r="U70" s="16" t="s">
        <v>13</v>
      </c>
      <c r="V70" s="16" t="s">
        <v>19</v>
      </c>
      <c r="W70" s="29" t="s"/>
      <c r="X70" s="26" t="s">
        <f>=M70&amp;N70&amp;P70&amp;Q70&amp;T70&amp;V70&amp;S70</f>
        <v>103</v>
      </c>
      <c r="Y70" s="19" t="s"/>
      <c r="Z70" s="19" t="s"/>
      <c r="AA70" s="19" t="s"/>
      <c r="AB70" s="19" t="s"/>
    </row>
    <row r="71" spans="1:28" ht="14.4">
      <c r="A71" s="4">
        <f>=H71/G71-1</f>
        <v>0.103448275862069</v>
      </c>
      <c r="B71" s="20">
        <f>=F71/12</f>
        <v>12</v>
      </c>
      <c r="C71" s="20">
        <f>=J71/3</f>
        <v>96</v>
      </c>
      <c r="D71" s="20">
        <f>=K71/3</f>
        <v>106.666666666667</v>
      </c>
      <c r="E71" s="20">
        <f>=L71/3</f>
        <v>112</v>
      </c>
      <c r="F71" s="20">
        <f>=H71*0.9</f>
        <v>144</v>
      </c>
      <c r="G71" s="21">
        <v>145</v>
      </c>
      <c r="H71" s="27">
        <v>160</v>
      </c>
      <c r="I71" s="28">
        <f>=H71*1.05</f>
        <v>168</v>
      </c>
      <c r="J71" s="28">
        <f>=F71*2</f>
        <v>288</v>
      </c>
      <c r="K71" s="28">
        <f>=H71*2</f>
        <v>320</v>
      </c>
      <c r="L71" s="28">
        <f>=I71*2</f>
        <v>336</v>
      </c>
      <c r="M71" s="13" t="s">
        <v>15</v>
      </c>
      <c r="N71" s="13">
        <v>0.5</v>
      </c>
      <c r="O71" s="13" t="s"/>
      <c r="P71" s="13">
        <v>1</v>
      </c>
      <c r="Q71" s="13">
        <v>1</v>
      </c>
      <c r="R71" s="13" t="s">
        <v>16</v>
      </c>
      <c r="S71" s="13" t="s">
        <v>17</v>
      </c>
      <c r="T71" s="13" t="s">
        <v>102</v>
      </c>
      <c r="U71" s="16" t="s">
        <v>13</v>
      </c>
      <c r="V71" s="16" t="s">
        <v>19</v>
      </c>
      <c r="W71" s="29" t="s"/>
      <c r="X71" s="26" t="s">
        <f>=M71&amp;N71&amp;P71&amp;Q71&amp;T71&amp;V71&amp;S71</f>
        <v>104</v>
      </c>
      <c r="Y71" s="19" t="s"/>
      <c r="Z71" s="19" t="s"/>
      <c r="AA71" s="19" t="s"/>
      <c r="AB71" s="19" t="s"/>
    </row>
    <row r="72" spans="1:28" ht="14.4">
      <c r="A72" s="4">
        <f>=H72/G72-1</f>
        <v>0.0975609756097562</v>
      </c>
      <c r="B72" s="20">
        <f>=F72/12</f>
        <v>10.125</v>
      </c>
      <c r="C72" s="20">
        <f>=J72/3</f>
        <v>81</v>
      </c>
      <c r="D72" s="20">
        <f>=K72/3</f>
        <v>90</v>
      </c>
      <c r="E72" s="20">
        <f>=L72/3</f>
        <v>94.5</v>
      </c>
      <c r="F72" s="20">
        <f>=H72*0.9</f>
        <v>121.5</v>
      </c>
      <c r="G72" s="21">
        <v>123</v>
      </c>
      <c r="H72" s="27">
        <v>135</v>
      </c>
      <c r="I72" s="28">
        <f>=H72*1.05</f>
        <v>141.75</v>
      </c>
      <c r="J72" s="28">
        <f>=F72*2</f>
        <v>243</v>
      </c>
      <c r="K72" s="28">
        <f>=H72*2</f>
        <v>270</v>
      </c>
      <c r="L72" s="28">
        <f>=I72*2</f>
        <v>283.5</v>
      </c>
      <c r="M72" s="13" t="s">
        <v>15</v>
      </c>
      <c r="N72" s="13">
        <v>0.5</v>
      </c>
      <c r="O72" s="13" t="s"/>
      <c r="P72" s="13" t="s">
        <v>21</v>
      </c>
      <c r="Q72" s="13" t="s">
        <v>21</v>
      </c>
      <c r="R72" s="13" t="s">
        <v>16</v>
      </c>
      <c r="S72" s="13" t="s">
        <v>17</v>
      </c>
      <c r="T72" s="13" t="s">
        <v>102</v>
      </c>
      <c r="U72" s="16" t="s">
        <v>13</v>
      </c>
      <c r="V72" s="16" t="s">
        <v>19</v>
      </c>
      <c r="W72" s="29" t="s"/>
      <c r="X72" s="26" t="s">
        <f>=M72&amp;N72&amp;P72&amp;Q72&amp;T72&amp;V72&amp;S72</f>
        <v>105</v>
      </c>
      <c r="Y72" s="19" t="s"/>
      <c r="Z72" s="19" t="s"/>
      <c r="AA72" s="19" t="s"/>
      <c r="AB72" s="19" t="s"/>
    </row>
    <row r="73" spans="1:28" ht="14.4">
      <c r="A73" s="4">
        <f>=H73/G73-1</f>
        <v>0.102040816326531</v>
      </c>
      <c r="B73" s="20">
        <f>=F73/12</f>
        <v>12.15</v>
      </c>
      <c r="C73" s="20">
        <f>=J73/3</f>
        <v>97.2</v>
      </c>
      <c r="D73" s="20">
        <f>=K73/3</f>
        <v>108</v>
      </c>
      <c r="E73" s="20">
        <f>=L73/3</f>
        <v>113.4</v>
      </c>
      <c r="F73" s="20">
        <f>=H73*0.9</f>
        <v>145.8</v>
      </c>
      <c r="G73" s="21">
        <v>147</v>
      </c>
      <c r="H73" s="27">
        <v>162</v>
      </c>
      <c r="I73" s="28">
        <f>=H73*1.05</f>
        <v>170.1</v>
      </c>
      <c r="J73" s="28">
        <f>=F73*2</f>
        <v>291.6</v>
      </c>
      <c r="K73" s="28">
        <f>=H73*2</f>
        <v>324</v>
      </c>
      <c r="L73" s="28">
        <f>=I73*2</f>
        <v>340.2</v>
      </c>
      <c r="M73" s="13" t="s">
        <v>15</v>
      </c>
      <c r="N73" s="13">
        <v>0.51</v>
      </c>
      <c r="O73" s="13" t="s"/>
      <c r="P73" s="13">
        <v>1</v>
      </c>
      <c r="Q73" s="13">
        <v>1</v>
      </c>
      <c r="R73" s="13" t="s">
        <v>16</v>
      </c>
      <c r="S73" s="13" t="s">
        <v>17</v>
      </c>
      <c r="T73" s="13" t="s">
        <v>102</v>
      </c>
      <c r="U73" s="16" t="s">
        <v>13</v>
      </c>
      <c r="V73" s="16" t="s">
        <v>19</v>
      </c>
      <c r="W73" s="29" t="s"/>
      <c r="X73" s="26" t="s">
        <f>=M73&amp;N73&amp;P73&amp;Q73&amp;T73&amp;V73&amp;S73</f>
        <v>106</v>
      </c>
      <c r="Y73" s="19" t="s"/>
      <c r="Z73" s="19" t="s"/>
      <c r="AA73" s="19" t="s"/>
      <c r="AB73" s="19" t="s"/>
    </row>
    <row r="74" spans="1:28" ht="14.4">
      <c r="A74" s="4">
        <f>=H74/G74-1</f>
        <v>0.100244498777506</v>
      </c>
      <c r="B74" s="20">
        <f>=F74/12</f>
        <v>33.75</v>
      </c>
      <c r="C74" s="20">
        <f>=J74/3</f>
        <v>270</v>
      </c>
      <c r="D74" s="20">
        <f>=K74/3</f>
        <v>300</v>
      </c>
      <c r="E74" s="20">
        <f>=L74/3</f>
        <v>315</v>
      </c>
      <c r="F74" s="20">
        <f>=H74*0.9</f>
        <v>405</v>
      </c>
      <c r="G74" s="21">
        <v>409</v>
      </c>
      <c r="H74" s="27">
        <v>450</v>
      </c>
      <c r="I74" s="28">
        <f>=H74*1.05</f>
        <v>472.5</v>
      </c>
      <c r="J74" s="28">
        <f>=F74*2</f>
        <v>810</v>
      </c>
      <c r="K74" s="28">
        <f>=H74*2</f>
        <v>900</v>
      </c>
      <c r="L74" s="28">
        <f>=I74*2</f>
        <v>945</v>
      </c>
      <c r="M74" s="13" t="s">
        <v>15</v>
      </c>
      <c r="N74" s="13">
        <v>0.51</v>
      </c>
      <c r="O74" s="13" t="s"/>
      <c r="P74" s="13">
        <v>3</v>
      </c>
      <c r="Q74" s="13">
        <v>3</v>
      </c>
      <c r="R74" s="13" t="s">
        <v>16</v>
      </c>
      <c r="S74" s="13" t="s">
        <v>17</v>
      </c>
      <c r="T74" s="13" t="s">
        <v>102</v>
      </c>
      <c r="U74" s="16" t="s">
        <v>13</v>
      </c>
      <c r="V74" s="16" t="s">
        <v>19</v>
      </c>
      <c r="W74" s="29" t="s"/>
      <c r="X74" s="26" t="s">
        <f>=M74&amp;N74&amp;P74&amp;Q74&amp;T74&amp;V74&amp;S74</f>
        <v>107</v>
      </c>
      <c r="Y74" s="19" t="s"/>
      <c r="Z74" s="19" t="s"/>
      <c r="AA74" s="19" t="s"/>
      <c r="AB74" s="19" t="s"/>
    </row>
    <row r="75" spans="1:28" ht="14.4">
      <c r="A75" s="4">
        <f>=H75/G75-1</f>
        <v>0.0975609756097562</v>
      </c>
      <c r="B75" s="20">
        <f>=F75/12</f>
        <v>10.125</v>
      </c>
      <c r="C75" s="20">
        <f>=J75/3</f>
        <v>81</v>
      </c>
      <c r="D75" s="20">
        <f>=K75/3</f>
        <v>90</v>
      </c>
      <c r="E75" s="20">
        <f>=L75/3</f>
        <v>94.5</v>
      </c>
      <c r="F75" s="20">
        <f>=H75*0.9</f>
        <v>121.5</v>
      </c>
      <c r="G75" s="21">
        <v>123</v>
      </c>
      <c r="H75" s="27">
        <v>135</v>
      </c>
      <c r="I75" s="28">
        <f>=H75*1.05</f>
        <v>141.75</v>
      </c>
      <c r="J75" s="28">
        <f>=F75*2</f>
        <v>243</v>
      </c>
      <c r="K75" s="28">
        <f>=H75*2</f>
        <v>270</v>
      </c>
      <c r="L75" s="28">
        <f>=I75*2</f>
        <v>283.5</v>
      </c>
      <c r="M75" s="13" t="s">
        <v>15</v>
      </c>
      <c r="N75" s="13">
        <v>0.51</v>
      </c>
      <c r="O75" s="13" t="s"/>
      <c r="P75" s="13" t="s">
        <v>21</v>
      </c>
      <c r="Q75" s="13" t="s">
        <v>21</v>
      </c>
      <c r="R75" s="13" t="s">
        <v>16</v>
      </c>
      <c r="S75" s="13" t="s">
        <v>17</v>
      </c>
      <c r="T75" s="13" t="s">
        <v>102</v>
      </c>
      <c r="U75" s="16" t="s">
        <v>13</v>
      </c>
      <c r="V75" s="16" t="s">
        <v>19</v>
      </c>
      <c r="W75" s="29" t="s"/>
      <c r="X75" s="26" t="s">
        <f>=M75&amp;N75&amp;P75&amp;Q75&amp;T75&amp;V75&amp;S75</f>
        <v>108</v>
      </c>
      <c r="Y75" s="19" t="s"/>
      <c r="Z75" s="19" t="s"/>
      <c r="AA75" s="19" t="s"/>
      <c r="AB75" s="19" t="s"/>
    </row>
    <row r="76" spans="1:28" ht="14.4">
      <c r="A76" s="4">
        <f>=H76/G76-1</f>
        <v>0.100729927007299</v>
      </c>
      <c r="B76" s="20">
        <f>=F76/12</f>
        <v>56.55</v>
      </c>
      <c r="C76" s="20">
        <f>=J76/3</f>
        <v>452.4</v>
      </c>
      <c r="D76" s="20">
        <f>=K76/3</f>
        <v>502.666666666667</v>
      </c>
      <c r="E76" s="20">
        <f>=L76/3</f>
        <v>527.8</v>
      </c>
      <c r="F76" s="20">
        <f>=H76*0.9</f>
        <v>678.6</v>
      </c>
      <c r="G76" s="21">
        <v>685</v>
      </c>
      <c r="H76" s="27">
        <v>754</v>
      </c>
      <c r="I76" s="28">
        <f>=H76*1.05</f>
        <v>791.7</v>
      </c>
      <c r="J76" s="28">
        <f>=F76*2</f>
        <v>1357.2</v>
      </c>
      <c r="K76" s="28">
        <f>=H76*2</f>
        <v>1508</v>
      </c>
      <c r="L76" s="28">
        <f>=I76*2</f>
        <v>1583.4</v>
      </c>
      <c r="M76" s="13" t="s">
        <v>15</v>
      </c>
      <c r="N76" s="13">
        <v>0.52</v>
      </c>
      <c r="O76" s="13" t="s"/>
      <c r="P76" s="13">
        <v>4</v>
      </c>
      <c r="Q76" s="13">
        <v>4</v>
      </c>
      <c r="R76" s="13" t="s">
        <v>16</v>
      </c>
      <c r="S76" s="13" t="s">
        <v>17</v>
      </c>
      <c r="T76" s="13" t="s">
        <v>102</v>
      </c>
      <c r="U76" s="16" t="s">
        <v>13</v>
      </c>
      <c r="V76" s="16" t="s">
        <v>19</v>
      </c>
      <c r="W76" s="29" t="s"/>
      <c r="X76" s="26" t="s">
        <f>=M76&amp;N76&amp;P76&amp;Q76&amp;T76&amp;V76&amp;S76</f>
        <v>109</v>
      </c>
      <c r="Y76" s="19" t="s"/>
      <c r="Z76" s="19" t="s"/>
      <c r="AA76" s="19" t="s"/>
      <c r="AB76" s="19" t="s"/>
    </row>
    <row r="77" spans="1:28" ht="14.4">
      <c r="A77" s="4">
        <f>=H77/G77-1</f>
        <v>0.102040816326531</v>
      </c>
      <c r="B77" s="20">
        <f>=F77/12</f>
        <v>12.15</v>
      </c>
      <c r="C77" s="20">
        <f>=J77/3</f>
        <v>97.2</v>
      </c>
      <c r="D77" s="20">
        <f>=K77/3</f>
        <v>108</v>
      </c>
      <c r="E77" s="20">
        <f>=L77/3</f>
        <v>113.4</v>
      </c>
      <c r="F77" s="20">
        <f>=H77*0.9</f>
        <v>145.8</v>
      </c>
      <c r="G77" s="21">
        <v>147</v>
      </c>
      <c r="H77" s="27">
        <v>162</v>
      </c>
      <c r="I77" s="28">
        <f>=H77*1.05</f>
        <v>170.1</v>
      </c>
      <c r="J77" s="28">
        <f>=F77*2</f>
        <v>291.6</v>
      </c>
      <c r="K77" s="28">
        <f>=H77*2</f>
        <v>324</v>
      </c>
      <c r="L77" s="28">
        <f>=I77*2</f>
        <v>340.2</v>
      </c>
      <c r="M77" s="13" t="s">
        <v>15</v>
      </c>
      <c r="N77" s="13">
        <v>0.53</v>
      </c>
      <c r="O77" s="13" t="s"/>
      <c r="P77" s="13">
        <v>1</v>
      </c>
      <c r="Q77" s="13">
        <v>1</v>
      </c>
      <c r="R77" s="13" t="s">
        <v>16</v>
      </c>
      <c r="S77" s="13" t="s">
        <v>17</v>
      </c>
      <c r="T77" s="13" t="s">
        <v>110</v>
      </c>
      <c r="U77" s="16" t="s">
        <v>13</v>
      </c>
      <c r="V77" s="16" t="s">
        <v>19</v>
      </c>
      <c r="W77" s="29" t="s"/>
      <c r="X77" s="26" t="s">
        <f>=M77&amp;N77&amp;P77&amp;Q77&amp;T77&amp;V77&amp;S77</f>
        <v>111</v>
      </c>
      <c r="Y77" s="19" t="s"/>
      <c r="Z77" s="19" t="s"/>
      <c r="AA77" s="19" t="s"/>
      <c r="AB77" s="19" t="s"/>
    </row>
    <row r="78" spans="1:28" ht="14.4">
      <c r="A78" s="4">
        <f>=H78/G78-1</f>
        <v>0.0984251968503938</v>
      </c>
      <c r="B78" s="20">
        <f>=F78/12</f>
        <v>20.925</v>
      </c>
      <c r="C78" s="20">
        <f>=J78/3</f>
        <v>167.4</v>
      </c>
      <c r="D78" s="20">
        <f>=K78/3</f>
        <v>186</v>
      </c>
      <c r="E78" s="20">
        <f>=L78/3</f>
        <v>195.3</v>
      </c>
      <c r="F78" s="20">
        <f>=H78*0.9</f>
        <v>251.1</v>
      </c>
      <c r="G78" s="21">
        <v>254</v>
      </c>
      <c r="H78" s="27">
        <v>279</v>
      </c>
      <c r="I78" s="28">
        <f>=H78*1.05</f>
        <v>292.95</v>
      </c>
      <c r="J78" s="28">
        <f>=F78*2</f>
        <v>502.2</v>
      </c>
      <c r="K78" s="28">
        <f>=H78*2</f>
        <v>558</v>
      </c>
      <c r="L78" s="28">
        <f>=I78*2</f>
        <v>585.9</v>
      </c>
      <c r="M78" s="13" t="s">
        <v>15</v>
      </c>
      <c r="N78" s="13">
        <v>0.56</v>
      </c>
      <c r="O78" s="13" t="s"/>
      <c r="P78" s="13">
        <v>2</v>
      </c>
      <c r="Q78" s="13">
        <v>2</v>
      </c>
      <c r="R78" s="13" t="s">
        <v>16</v>
      </c>
      <c r="S78" s="13" t="s">
        <v>17</v>
      </c>
      <c r="T78" s="13" t="s">
        <v>110</v>
      </c>
      <c r="U78" s="16" t="s">
        <v>13</v>
      </c>
      <c r="V78" s="16" t="s">
        <v>19</v>
      </c>
      <c r="W78" s="29" t="s"/>
      <c r="X78" s="26" t="s">
        <f>=M78&amp;N78&amp;P78&amp;Q78&amp;T78&amp;V78&amp;S78</f>
        <v>112</v>
      </c>
      <c r="Y78" s="19" t="s"/>
      <c r="Z78" s="19" t="s"/>
      <c r="AA78" s="19" t="s"/>
      <c r="AB78" s="19" t="s"/>
    </row>
    <row r="79" spans="1:28" ht="14.4">
      <c r="A79" s="4">
        <f>=H79/G79-1</f>
        <v>0.0975609756097562</v>
      </c>
      <c r="B79" s="20">
        <f>=F79/12</f>
        <v>10.125</v>
      </c>
      <c r="C79" s="20">
        <f>=J79/3</f>
        <v>81</v>
      </c>
      <c r="D79" s="20">
        <f>=K79/3</f>
        <v>90</v>
      </c>
      <c r="E79" s="20">
        <f>=L79/3</f>
        <v>94.5</v>
      </c>
      <c r="F79" s="20">
        <f>=H79*0.9</f>
        <v>121.5</v>
      </c>
      <c r="G79" s="21">
        <v>123</v>
      </c>
      <c r="H79" s="27">
        <v>135</v>
      </c>
      <c r="I79" s="28">
        <f>=H79*1.05</f>
        <v>141.75</v>
      </c>
      <c r="J79" s="28">
        <f>=F79*2</f>
        <v>243</v>
      </c>
      <c r="K79" s="28">
        <f>=H79*2</f>
        <v>270</v>
      </c>
      <c r="L79" s="28">
        <f>=I79*2</f>
        <v>283.5</v>
      </c>
      <c r="M79" s="13" t="s">
        <v>15</v>
      </c>
      <c r="N79" s="13">
        <v>0.56</v>
      </c>
      <c r="O79" s="13" t="s"/>
      <c r="P79" s="13" t="s">
        <v>21</v>
      </c>
      <c r="Q79" s="13" t="s">
        <v>21</v>
      </c>
      <c r="R79" s="13" t="s">
        <v>16</v>
      </c>
      <c r="S79" s="13" t="s">
        <v>17</v>
      </c>
      <c r="T79" s="13" t="s">
        <v>110</v>
      </c>
      <c r="U79" s="16" t="s">
        <v>13</v>
      </c>
      <c r="V79" s="16" t="s">
        <v>19</v>
      </c>
      <c r="W79" s="29" t="s"/>
      <c r="X79" s="26" t="s">
        <f>=M79&amp;N79&amp;P79&amp;Q79&amp;T79&amp;V79&amp;S79</f>
        <v>113</v>
      </c>
      <c r="Y79" s="19" t="s"/>
      <c r="Z79" s="19" t="s"/>
      <c r="AA79" s="19" t="s"/>
      <c r="AB79" s="19" t="s"/>
    </row>
    <row r="80" spans="1:28" ht="14.4">
      <c r="A80" s="4">
        <f>=H80/G80-1</f>
        <v>0.100244498777506</v>
      </c>
      <c r="B80" s="20">
        <f>=F80/12</f>
        <v>33.75</v>
      </c>
      <c r="C80" s="20">
        <f>=J80/3</f>
        <v>270</v>
      </c>
      <c r="D80" s="20">
        <f>=K80/3</f>
        <v>300</v>
      </c>
      <c r="E80" s="20">
        <f>=L80/3</f>
        <v>315</v>
      </c>
      <c r="F80" s="20">
        <f>=H80*0.9</f>
        <v>405</v>
      </c>
      <c r="G80" s="21">
        <v>409</v>
      </c>
      <c r="H80" s="27">
        <v>450</v>
      </c>
      <c r="I80" s="28">
        <f>=H80*1.05</f>
        <v>472.5</v>
      </c>
      <c r="J80" s="28">
        <f>=F80*2</f>
        <v>810</v>
      </c>
      <c r="K80" s="28">
        <f>=H80*2</f>
        <v>900</v>
      </c>
      <c r="L80" s="28">
        <f>=I80*2</f>
        <v>945</v>
      </c>
      <c r="M80" s="13" t="s">
        <v>15</v>
      </c>
      <c r="N80" s="13">
        <v>0.59</v>
      </c>
      <c r="O80" s="13" t="s"/>
      <c r="P80" s="13">
        <v>3</v>
      </c>
      <c r="Q80" s="13">
        <v>3</v>
      </c>
      <c r="R80" s="13" t="s">
        <v>16</v>
      </c>
      <c r="S80" s="13" t="s">
        <v>17</v>
      </c>
      <c r="T80" s="13" t="s">
        <v>110</v>
      </c>
      <c r="U80" s="16" t="s">
        <v>13</v>
      </c>
      <c r="V80" s="16" t="s">
        <v>19</v>
      </c>
      <c r="W80" s="29" t="s"/>
      <c r="X80" s="26" t="s">
        <f>=M80&amp;N80&amp;P80&amp;Q80&amp;T80&amp;V80&amp;S80</f>
        <v>114</v>
      </c>
      <c r="Y80" s="19" t="s"/>
      <c r="Z80" s="19" t="s"/>
      <c r="AA80" s="19" t="s"/>
      <c r="AB80" s="19" t="s"/>
    </row>
    <row r="81" spans="1:28" ht="14.4">
      <c r="A81" s="4">
        <f>=H81/G81-1</f>
        <v>0.0993377483443709</v>
      </c>
      <c r="B81" s="20">
        <f>=F81/12</f>
        <v>12.45</v>
      </c>
      <c r="C81" s="20">
        <f>=J81/3</f>
        <v>99.6</v>
      </c>
      <c r="D81" s="20">
        <f>=K81/3</f>
        <v>110.666666666667</v>
      </c>
      <c r="E81" s="20">
        <f>=L81/3</f>
        <v>116.2</v>
      </c>
      <c r="F81" s="20">
        <f>=H81*0.9</f>
        <v>149.4</v>
      </c>
      <c r="G81" s="21">
        <v>151</v>
      </c>
      <c r="H81" s="27">
        <v>166</v>
      </c>
      <c r="I81" s="28">
        <f>=H81*1.05</f>
        <v>174.3</v>
      </c>
      <c r="J81" s="28">
        <f>=F81*2</f>
        <v>298.8</v>
      </c>
      <c r="K81" s="28">
        <f>=H81*2</f>
        <v>332</v>
      </c>
      <c r="L81" s="28">
        <f>=I81*2</f>
        <v>348.6</v>
      </c>
      <c r="M81" s="13" t="s">
        <v>15</v>
      </c>
      <c r="N81" s="13">
        <v>0.6</v>
      </c>
      <c r="O81" s="13" t="s"/>
      <c r="P81" s="13">
        <v>1</v>
      </c>
      <c r="Q81" s="13">
        <v>1</v>
      </c>
      <c r="R81" s="13" t="s">
        <v>16</v>
      </c>
      <c r="S81" s="13" t="s">
        <v>17</v>
      </c>
      <c r="T81" s="13" t="s">
        <v>110</v>
      </c>
      <c r="U81" s="16" t="s">
        <v>13</v>
      </c>
      <c r="V81" s="16" t="s">
        <v>19</v>
      </c>
      <c r="W81" s="29" t="s"/>
      <c r="X81" s="26" t="s">
        <f>=M81&amp;N81&amp;P81&amp;Q81&amp;T81&amp;V81&amp;S81</f>
        <v>115</v>
      </c>
      <c r="Y81" s="19" t="s"/>
      <c r="Z81" s="19" t="s"/>
      <c r="AA81" s="19" t="s"/>
      <c r="AB81" s="19" t="s"/>
    </row>
    <row r="82" spans="1:28" ht="14.4">
      <c r="A82" s="4">
        <f>=H82/G82-1</f>
        <v>0.10126582278481</v>
      </c>
      <c r="B82" s="20">
        <f>=F82/12</f>
        <v>19.575</v>
      </c>
      <c r="C82" s="20">
        <f>=J82/3</f>
        <v>156.6</v>
      </c>
      <c r="D82" s="20">
        <f>=K82/3</f>
        <v>174</v>
      </c>
      <c r="E82" s="20">
        <f>=L82/3</f>
        <v>182.7</v>
      </c>
      <c r="F82" s="20">
        <f>=H82*0.9</f>
        <v>234.9</v>
      </c>
      <c r="G82" s="21">
        <v>237</v>
      </c>
      <c r="H82" s="27">
        <v>261</v>
      </c>
      <c r="I82" s="28">
        <f>=H82*1.05</f>
        <v>274.05</v>
      </c>
      <c r="J82" s="28">
        <f>=F82*2</f>
        <v>469.8</v>
      </c>
      <c r="K82" s="28">
        <f>=H82*2</f>
        <v>522</v>
      </c>
      <c r="L82" s="28">
        <f>=I82*2</f>
        <v>548.1</v>
      </c>
      <c r="M82" s="13" t="s">
        <v>15</v>
      </c>
      <c r="N82" s="13">
        <v>0.6</v>
      </c>
      <c r="O82" s="13" t="s"/>
      <c r="P82" s="13">
        <v>1.5</v>
      </c>
      <c r="Q82" s="13">
        <v>1.5</v>
      </c>
      <c r="R82" s="13" t="s">
        <v>16</v>
      </c>
      <c r="S82" s="13" t="s">
        <v>17</v>
      </c>
      <c r="T82" s="13" t="s">
        <v>110</v>
      </c>
      <c r="U82" s="16" t="s">
        <v>13</v>
      </c>
      <c r="V82" s="16" t="s">
        <v>19</v>
      </c>
      <c r="W82" s="29" t="s"/>
      <c r="X82" s="26" t="s">
        <f>=M82&amp;N82&amp;P82&amp;Q82&amp;T82&amp;V82&amp;S82</f>
        <v>116</v>
      </c>
      <c r="Y82" s="19" t="s"/>
      <c r="Z82" s="19" t="s"/>
      <c r="AA82" s="19" t="s"/>
      <c r="AB82" s="19" t="s"/>
    </row>
    <row r="83" spans="1:28" ht="14.4">
      <c r="A83" s="4">
        <f>=H83/G83-1</f>
        <v>0.100244498777506</v>
      </c>
      <c r="B83" s="20">
        <f>=F83/12</f>
        <v>33.75</v>
      </c>
      <c r="C83" s="20">
        <f>=J83/3</f>
        <v>270</v>
      </c>
      <c r="D83" s="20">
        <f>=K83/3</f>
        <v>300</v>
      </c>
      <c r="E83" s="20">
        <f>=L83/3</f>
        <v>315</v>
      </c>
      <c r="F83" s="20">
        <f>=H83*0.9</f>
        <v>405</v>
      </c>
      <c r="G83" s="21">
        <v>409</v>
      </c>
      <c r="H83" s="27">
        <v>450</v>
      </c>
      <c r="I83" s="28">
        <f>=H83*1.05</f>
        <v>472.5</v>
      </c>
      <c r="J83" s="28">
        <f>=F83*2</f>
        <v>810</v>
      </c>
      <c r="K83" s="28">
        <f>=H83*2</f>
        <v>900</v>
      </c>
      <c r="L83" s="28">
        <f>=I83*2</f>
        <v>945</v>
      </c>
      <c r="M83" s="13" t="s">
        <v>15</v>
      </c>
      <c r="N83" s="13">
        <v>0.6</v>
      </c>
      <c r="O83" s="13" t="s"/>
      <c r="P83" s="13">
        <v>3</v>
      </c>
      <c r="Q83" s="13">
        <v>3</v>
      </c>
      <c r="R83" s="13" t="s">
        <v>16</v>
      </c>
      <c r="S83" s="13" t="s">
        <v>17</v>
      </c>
      <c r="T83" s="13" t="s">
        <v>110</v>
      </c>
      <c r="U83" s="16" t="s">
        <v>13</v>
      </c>
      <c r="V83" s="16" t="s">
        <v>19</v>
      </c>
      <c r="W83" s="29" t="s"/>
      <c r="X83" s="26" t="s">
        <f>=M83&amp;N83&amp;P83&amp;Q83&amp;T83&amp;V83&amp;S83</f>
        <v>117</v>
      </c>
      <c r="Y83" s="19" t="s"/>
      <c r="Z83" s="19" t="s"/>
      <c r="AA83" s="19" t="s"/>
      <c r="AB83" s="19" t="s"/>
    </row>
    <row r="84" spans="1:28" ht="14.4">
      <c r="A84" s="4">
        <f>=H84/G84-1</f>
        <v>0.098814229249012</v>
      </c>
      <c r="B84" s="20">
        <f>=F84/12</f>
        <v>20.85</v>
      </c>
      <c r="C84" s="20">
        <f>=J84/3</f>
        <v>166.8</v>
      </c>
      <c r="D84" s="20">
        <f>=K84/3</f>
        <v>185.333333333333</v>
      </c>
      <c r="E84" s="20">
        <f>=L84/3</f>
        <v>194.6</v>
      </c>
      <c r="F84" s="20">
        <f>=H84*0.9</f>
        <v>250.2</v>
      </c>
      <c r="G84" s="21">
        <v>253</v>
      </c>
      <c r="H84" s="27">
        <v>278</v>
      </c>
      <c r="I84" s="28">
        <f>=H84*1.05</f>
        <v>291.9</v>
      </c>
      <c r="J84" s="28">
        <f>=F84*2</f>
        <v>500.4</v>
      </c>
      <c r="K84" s="28">
        <f>=H84*2</f>
        <v>556</v>
      </c>
      <c r="L84" s="28">
        <f>=I84*2</f>
        <v>583.8</v>
      </c>
      <c r="M84" s="13" t="s">
        <v>15</v>
      </c>
      <c r="N84" s="13">
        <v>0.61</v>
      </c>
      <c r="O84" s="13" t="s"/>
      <c r="P84" s="13">
        <v>2</v>
      </c>
      <c r="Q84" s="13">
        <v>2</v>
      </c>
      <c r="R84" s="13" t="s">
        <v>16</v>
      </c>
      <c r="S84" s="13" t="s">
        <v>17</v>
      </c>
      <c r="T84" s="13" t="s">
        <v>110</v>
      </c>
      <c r="U84" s="16" t="s">
        <v>13</v>
      </c>
      <c r="V84" s="16" t="s">
        <v>19</v>
      </c>
      <c r="W84" s="29" t="s"/>
      <c r="X84" s="26" t="s">
        <f>=M84&amp;N84&amp;P84&amp;Q84&amp;T84&amp;V84&amp;S84</f>
        <v>118</v>
      </c>
      <c r="Y84" s="19" t="s"/>
      <c r="Z84" s="19" t="s"/>
      <c r="AA84" s="19" t="s"/>
      <c r="AB84" s="19" t="s"/>
    </row>
    <row r="85" spans="1:28" ht="14.4">
      <c r="A85" s="4">
        <f>=H85/G85-1</f>
        <v>0.100244498777506</v>
      </c>
      <c r="B85" s="20">
        <f>=F85/12</f>
        <v>33.75</v>
      </c>
      <c r="C85" s="20">
        <f>=J85/3</f>
        <v>270</v>
      </c>
      <c r="D85" s="20">
        <f>=K85/3</f>
        <v>300</v>
      </c>
      <c r="E85" s="20">
        <f>=L85/3</f>
        <v>315</v>
      </c>
      <c r="F85" s="20">
        <f>=H85*0.9</f>
        <v>405</v>
      </c>
      <c r="G85" s="21">
        <v>409</v>
      </c>
      <c r="H85" s="27">
        <v>450</v>
      </c>
      <c r="I85" s="28">
        <f>=H85*1.05</f>
        <v>472.5</v>
      </c>
      <c r="J85" s="28">
        <f>=F85*2</f>
        <v>810</v>
      </c>
      <c r="K85" s="28">
        <f>=H85*2</f>
        <v>900</v>
      </c>
      <c r="L85" s="28">
        <f>=I85*2</f>
        <v>945</v>
      </c>
      <c r="M85" s="13" t="s">
        <v>15</v>
      </c>
      <c r="N85" s="13">
        <v>0.61</v>
      </c>
      <c r="O85" s="13" t="s"/>
      <c r="P85" s="13">
        <v>3</v>
      </c>
      <c r="Q85" s="13">
        <v>3</v>
      </c>
      <c r="R85" s="13" t="s">
        <v>16</v>
      </c>
      <c r="S85" s="13" t="s">
        <v>17</v>
      </c>
      <c r="T85" s="13" t="s">
        <v>110</v>
      </c>
      <c r="U85" s="16" t="s">
        <v>13</v>
      </c>
      <c r="V85" s="16" t="s">
        <v>19</v>
      </c>
      <c r="W85" s="29" t="s"/>
      <c r="X85" s="26" t="s">
        <f>=M85&amp;N85&amp;P85&amp;Q85&amp;T85&amp;V85&amp;S85</f>
        <v>119</v>
      </c>
      <c r="Y85" s="19" t="s"/>
      <c r="Z85" s="19" t="s"/>
      <c r="AA85" s="19" t="s"/>
      <c r="AB85" s="19" t="s"/>
    </row>
    <row r="86" spans="1:28" ht="14.4">
      <c r="A86" s="4">
        <f>=H86/G86-1</f>
        <v>0.0993788819875776</v>
      </c>
      <c r="B86" s="20">
        <f>=F86/12</f>
        <v>13.275</v>
      </c>
      <c r="C86" s="20">
        <f>=J86/3</f>
        <v>106.2</v>
      </c>
      <c r="D86" s="20">
        <f>=K86/3</f>
        <v>118</v>
      </c>
      <c r="E86" s="20">
        <f>=L86/3</f>
        <v>123.9</v>
      </c>
      <c r="F86" s="20">
        <f>=H86*0.9</f>
        <v>159.3</v>
      </c>
      <c r="G86" s="21">
        <v>161</v>
      </c>
      <c r="H86" s="27">
        <v>177</v>
      </c>
      <c r="I86" s="28">
        <f>=H86*1.05</f>
        <v>185.85</v>
      </c>
      <c r="J86" s="28">
        <f>=F86*2</f>
        <v>318.6</v>
      </c>
      <c r="K86" s="28">
        <f>=H86*2</f>
        <v>354</v>
      </c>
      <c r="L86" s="28">
        <f>=I86*2</f>
        <v>371.7</v>
      </c>
      <c r="M86" s="13" t="s">
        <v>15</v>
      </c>
      <c r="N86" s="13">
        <v>0.63</v>
      </c>
      <c r="O86" s="13" t="s"/>
      <c r="P86" s="13">
        <v>1</v>
      </c>
      <c r="Q86" s="13">
        <v>1</v>
      </c>
      <c r="R86" s="13" t="s">
        <v>16</v>
      </c>
      <c r="S86" s="13" t="s">
        <v>17</v>
      </c>
      <c r="T86" s="13" t="s">
        <v>120</v>
      </c>
      <c r="U86" s="16" t="s">
        <v>13</v>
      </c>
      <c r="V86" s="16" t="s">
        <v>19</v>
      </c>
      <c r="W86" s="29" t="s"/>
      <c r="X86" s="26" t="s">
        <f>=M86&amp;N86&amp;P86&amp;Q86&amp;T86&amp;V86&amp;S86</f>
        <v>121</v>
      </c>
      <c r="Y86" s="19" t="s"/>
      <c r="Z86" s="19" t="s"/>
      <c r="AA86" s="19" t="s"/>
      <c r="AB86" s="19" t="s"/>
    </row>
    <row r="87" spans="1:28" ht="14.4">
      <c r="A87" s="4">
        <f>=H87/G87-1</f>
        <v>0.0993788819875776</v>
      </c>
      <c r="B87" s="20">
        <f>=F87/12</f>
        <v>13.275</v>
      </c>
      <c r="C87" s="20">
        <f>=J87/3</f>
        <v>106.2</v>
      </c>
      <c r="D87" s="20">
        <f>=K87/3</f>
        <v>118</v>
      </c>
      <c r="E87" s="20">
        <f>=L87/3</f>
        <v>123.9</v>
      </c>
      <c r="F87" s="20">
        <f>=H87*0.9</f>
        <v>159.3</v>
      </c>
      <c r="G87" s="21">
        <v>161</v>
      </c>
      <c r="H87" s="27">
        <v>177</v>
      </c>
      <c r="I87" s="28">
        <f>=H87*1.05</f>
        <v>185.85</v>
      </c>
      <c r="J87" s="28">
        <f>=F87*2</f>
        <v>318.6</v>
      </c>
      <c r="K87" s="28">
        <f>=H87*2</f>
        <v>354</v>
      </c>
      <c r="L87" s="28">
        <f>=I87*2</f>
        <v>371.7</v>
      </c>
      <c r="M87" s="13" t="s">
        <v>15</v>
      </c>
      <c r="N87" s="13">
        <v>0.66</v>
      </c>
      <c r="O87" s="13" t="s"/>
      <c r="P87" s="13">
        <v>1</v>
      </c>
      <c r="Q87" s="13">
        <v>1</v>
      </c>
      <c r="R87" s="13" t="s">
        <v>16</v>
      </c>
      <c r="S87" s="13" t="s">
        <v>17</v>
      </c>
      <c r="T87" s="13" t="s">
        <v>122</v>
      </c>
      <c r="U87" s="16" t="s">
        <v>13</v>
      </c>
      <c r="V87" s="16" t="s">
        <v>19</v>
      </c>
      <c r="W87" s="29" t="s"/>
      <c r="X87" s="26" t="s">
        <f>=M87&amp;N87&amp;P87&amp;Q87&amp;T87&amp;V87&amp;S87</f>
        <v>123</v>
      </c>
      <c r="Y87" s="19" t="s"/>
      <c r="Z87" s="19" t="s"/>
      <c r="AA87" s="19" t="s"/>
      <c r="AB87" s="19" t="s"/>
    </row>
    <row r="88" spans="1:28" ht="14.4">
      <c r="A88" s="4">
        <f>=H88/G88-1</f>
        <v>0.0984848484848484</v>
      </c>
      <c r="B88" s="20">
        <f>=F88/12</f>
        <v>21.75</v>
      </c>
      <c r="C88" s="20">
        <f>=J88/3</f>
        <v>174</v>
      </c>
      <c r="D88" s="20">
        <f>=K88/3</f>
        <v>193.333333333333</v>
      </c>
      <c r="E88" s="20">
        <f>=L88/3</f>
        <v>203</v>
      </c>
      <c r="F88" s="20">
        <f>=H88*0.9</f>
        <v>261</v>
      </c>
      <c r="G88" s="21">
        <v>264</v>
      </c>
      <c r="H88" s="27">
        <v>290</v>
      </c>
      <c r="I88" s="28">
        <f>=H88*1.05</f>
        <v>304.5</v>
      </c>
      <c r="J88" s="28">
        <f>=F88*2</f>
        <v>522</v>
      </c>
      <c r="K88" s="28">
        <f>=H88*2</f>
        <v>580</v>
      </c>
      <c r="L88" s="28">
        <f>=I88*2</f>
        <v>609</v>
      </c>
      <c r="M88" s="13" t="s">
        <v>15</v>
      </c>
      <c r="N88" s="13">
        <v>0.66</v>
      </c>
      <c r="O88" s="13" t="s"/>
      <c r="P88" s="13">
        <v>2</v>
      </c>
      <c r="Q88" s="13">
        <v>2</v>
      </c>
      <c r="R88" s="13" t="s">
        <v>16</v>
      </c>
      <c r="S88" s="13" t="s">
        <v>17</v>
      </c>
      <c r="T88" s="13" t="s">
        <v>120</v>
      </c>
      <c r="U88" s="16" t="s">
        <v>13</v>
      </c>
      <c r="V88" s="16" t="s">
        <v>19</v>
      </c>
      <c r="W88" s="29" t="s"/>
      <c r="X88" s="26" t="s">
        <f>=M88&amp;N88&amp;P88&amp;Q88&amp;T88&amp;V88&amp;S88</f>
        <v>124</v>
      </c>
      <c r="Y88" s="19" t="s"/>
      <c r="Z88" s="19" t="s"/>
      <c r="AA88" s="19" t="s"/>
      <c r="AB88" s="19" t="s"/>
    </row>
    <row r="89" spans="1:28" ht="14.4">
      <c r="A89" s="4">
        <f>=H89/G89-1</f>
        <v>0.0984848484848484</v>
      </c>
      <c r="B89" s="20">
        <f>=F89/12</f>
        <v>21.75</v>
      </c>
      <c r="C89" s="20">
        <f>=J89/3</f>
        <v>174</v>
      </c>
      <c r="D89" s="20">
        <f>=K89/3</f>
        <v>193.333333333333</v>
      </c>
      <c r="E89" s="20">
        <f>=L89/3</f>
        <v>203</v>
      </c>
      <c r="F89" s="20">
        <f>=H89*0.9</f>
        <v>261</v>
      </c>
      <c r="G89" s="21">
        <v>264</v>
      </c>
      <c r="H89" s="27">
        <v>290</v>
      </c>
      <c r="I89" s="28">
        <f>=H89*1.05</f>
        <v>304.5</v>
      </c>
      <c r="J89" s="28">
        <f>=F89*2</f>
        <v>522</v>
      </c>
      <c r="K89" s="28">
        <f>=H89*2</f>
        <v>580</v>
      </c>
      <c r="L89" s="28">
        <f>=I89*2</f>
        <v>609</v>
      </c>
      <c r="M89" s="13" t="s">
        <v>15</v>
      </c>
      <c r="N89" s="13">
        <v>0.66</v>
      </c>
      <c r="O89" s="13" t="s"/>
      <c r="P89" s="13">
        <v>2</v>
      </c>
      <c r="Q89" s="13">
        <v>2</v>
      </c>
      <c r="R89" s="13" t="s">
        <v>16</v>
      </c>
      <c r="S89" s="13" t="s">
        <v>17</v>
      </c>
      <c r="T89" s="13" t="s">
        <v>122</v>
      </c>
      <c r="U89" s="16" t="s">
        <v>13</v>
      </c>
      <c r="V89" s="16" t="s">
        <v>19</v>
      </c>
      <c r="W89" s="29" t="s"/>
      <c r="X89" s="26" t="s">
        <f>=M89&amp;N89&amp;P89&amp;Q89&amp;T89&amp;V89&amp;S89</f>
        <v>125</v>
      </c>
      <c r="Y89" s="19" t="s"/>
      <c r="Z89" s="19" t="s"/>
      <c r="AA89" s="19" t="s"/>
      <c r="AB89" s="19" t="s"/>
    </row>
    <row r="90" spans="1:28" ht="14.4">
      <c r="A90" s="4">
        <f>=H90/G90-1</f>
        <v>0.0992366412213741</v>
      </c>
      <c r="B90" s="20">
        <f>=F90/12</f>
        <v>10.8</v>
      </c>
      <c r="C90" s="20">
        <f>=J90/3</f>
        <v>86.4</v>
      </c>
      <c r="D90" s="20">
        <f>=K90/3</f>
        <v>96</v>
      </c>
      <c r="E90" s="20">
        <f>=L90/3</f>
        <v>100.8</v>
      </c>
      <c r="F90" s="20">
        <f>=H90*0.9</f>
        <v>129.6</v>
      </c>
      <c r="G90" s="21">
        <v>131</v>
      </c>
      <c r="H90" s="27">
        <v>144</v>
      </c>
      <c r="I90" s="28">
        <f>=H90*1.05</f>
        <v>151.2</v>
      </c>
      <c r="J90" s="28">
        <f>=F90*2</f>
        <v>259.2</v>
      </c>
      <c r="K90" s="28">
        <f>=H90*2</f>
        <v>288</v>
      </c>
      <c r="L90" s="28">
        <f>=I90*2</f>
        <v>302.4</v>
      </c>
      <c r="M90" s="13" t="s">
        <v>15</v>
      </c>
      <c r="N90" s="13">
        <v>0.66</v>
      </c>
      <c r="O90" s="13" t="s"/>
      <c r="P90" s="13" t="s">
        <v>21</v>
      </c>
      <c r="Q90" s="13" t="s">
        <v>21</v>
      </c>
      <c r="R90" s="13" t="s">
        <v>16</v>
      </c>
      <c r="S90" s="13" t="s">
        <v>17</v>
      </c>
      <c r="T90" s="13" t="s">
        <v>126</v>
      </c>
      <c r="U90" s="16" t="s">
        <v>13</v>
      </c>
      <c r="V90" s="16" t="s">
        <v>19</v>
      </c>
      <c r="W90" s="29" t="s"/>
      <c r="X90" s="26" t="s">
        <f>=M90&amp;N90&amp;P90&amp;Q90&amp;T90&amp;V90&amp;S90</f>
        <v>127</v>
      </c>
      <c r="Y90" s="19" t="s"/>
      <c r="Z90" s="19" t="s"/>
      <c r="AA90" s="19" t="s"/>
      <c r="AB90" s="19" t="s"/>
    </row>
    <row r="91" spans="1:28" ht="14.4">
      <c r="A91" s="4">
        <f>=H91/G91-1</f>
        <v>0.0993788819875776</v>
      </c>
      <c r="B91" s="20">
        <f>=F91/12</f>
        <v>13.275</v>
      </c>
      <c r="C91" s="20">
        <f>=J91/3</f>
        <v>106.2</v>
      </c>
      <c r="D91" s="20">
        <f>=K91/3</f>
        <v>118</v>
      </c>
      <c r="E91" s="20">
        <f>=L91/3</f>
        <v>123.9</v>
      </c>
      <c r="F91" s="20">
        <f>=H91*0.9</f>
        <v>159.3</v>
      </c>
      <c r="G91" s="21">
        <v>161</v>
      </c>
      <c r="H91" s="27">
        <v>177</v>
      </c>
      <c r="I91" s="28">
        <f>=H91*1.05</f>
        <v>185.85</v>
      </c>
      <c r="J91" s="28">
        <f>=F91*2</f>
        <v>318.6</v>
      </c>
      <c r="K91" s="28">
        <f>=H91*2</f>
        <v>354</v>
      </c>
      <c r="L91" s="28">
        <f>=I91*2</f>
        <v>371.7</v>
      </c>
      <c r="M91" s="13" t="s">
        <v>15</v>
      </c>
      <c r="N91" s="13">
        <v>0.7</v>
      </c>
      <c r="O91" s="13" t="s"/>
      <c r="P91" s="13">
        <v>1</v>
      </c>
      <c r="Q91" s="13">
        <v>1</v>
      </c>
      <c r="R91" s="13" t="s">
        <v>16</v>
      </c>
      <c r="S91" s="13" t="s">
        <v>17</v>
      </c>
      <c r="T91" s="13" t="s">
        <v>128</v>
      </c>
      <c r="U91" s="16" t="s">
        <v>13</v>
      </c>
      <c r="V91" s="16" t="s">
        <v>19</v>
      </c>
      <c r="W91" s="29" t="s"/>
      <c r="X91" s="26" t="s">
        <f>=M91&amp;N91&amp;P91&amp;Q91&amp;T91&amp;V91&amp;S91</f>
        <v>129</v>
      </c>
      <c r="Y91" s="19" t="s"/>
      <c r="Z91" s="19" t="s"/>
      <c r="AA91" s="19" t="s"/>
      <c r="AB91" s="19" t="s"/>
    </row>
    <row r="92" spans="1:28" ht="14.4">
      <c r="A92" s="4">
        <f>=H92/G92-1</f>
        <v>0.0984848484848484</v>
      </c>
      <c r="B92" s="20">
        <f>=F92/12</f>
        <v>21.75</v>
      </c>
      <c r="C92" s="20">
        <f>=J92/3</f>
        <v>174</v>
      </c>
      <c r="D92" s="20">
        <f>=K92/3</f>
        <v>193.333333333333</v>
      </c>
      <c r="E92" s="20">
        <f>=L92/3</f>
        <v>203</v>
      </c>
      <c r="F92" s="20">
        <f>=H92*0.9</f>
        <v>261</v>
      </c>
      <c r="G92" s="21">
        <v>264</v>
      </c>
      <c r="H92" s="27">
        <v>290</v>
      </c>
      <c r="I92" s="28">
        <f>=H92*1.05</f>
        <v>304.5</v>
      </c>
      <c r="J92" s="28">
        <f>=F92*2</f>
        <v>522</v>
      </c>
      <c r="K92" s="28">
        <f>=H92*2</f>
        <v>580</v>
      </c>
      <c r="L92" s="28">
        <f>=I92*2</f>
        <v>609</v>
      </c>
      <c r="M92" s="13" t="s">
        <v>15</v>
      </c>
      <c r="N92" s="13">
        <v>0.7</v>
      </c>
      <c r="O92" s="13" t="s"/>
      <c r="P92" s="13">
        <v>2</v>
      </c>
      <c r="Q92" s="13">
        <v>2</v>
      </c>
      <c r="R92" s="13" t="s">
        <v>16</v>
      </c>
      <c r="S92" s="13" t="s">
        <v>17</v>
      </c>
      <c r="T92" s="13" t="s">
        <v>128</v>
      </c>
      <c r="U92" s="16" t="s">
        <v>13</v>
      </c>
      <c r="V92" s="16" t="s">
        <v>19</v>
      </c>
      <c r="W92" s="29" t="s"/>
      <c r="X92" s="26" t="s">
        <f>=M92&amp;N92&amp;P92&amp;Q92&amp;T92&amp;V92&amp;S92</f>
        <v>130</v>
      </c>
      <c r="Y92" s="19" t="s"/>
      <c r="Z92" s="19" t="s"/>
      <c r="AA92" s="19" t="s"/>
      <c r="AB92" s="19" t="s"/>
    </row>
    <row r="93" spans="1:28" ht="14.4">
      <c r="A93" s="4">
        <f>=H93/G93-1</f>
        <v>0.0977443609022557</v>
      </c>
      <c r="B93" s="20">
        <f>=F93/12</f>
        <v>10.95</v>
      </c>
      <c r="C93" s="20">
        <f>=J93/3</f>
        <v>87.6</v>
      </c>
      <c r="D93" s="20">
        <f>=K93/3</f>
        <v>97.3333333333333</v>
      </c>
      <c r="E93" s="20">
        <f>=L93/3</f>
        <v>102.2</v>
      </c>
      <c r="F93" s="20">
        <f>=H93*0.9</f>
        <v>131.4</v>
      </c>
      <c r="G93" s="21">
        <v>133</v>
      </c>
      <c r="H93" s="27">
        <v>146</v>
      </c>
      <c r="I93" s="28">
        <f>=H93*1.05</f>
        <v>153.3</v>
      </c>
      <c r="J93" s="28">
        <f>=F93*2</f>
        <v>262.8</v>
      </c>
      <c r="K93" s="28">
        <f>=H93*2</f>
        <v>292</v>
      </c>
      <c r="L93" s="28">
        <f>=I93*2</f>
        <v>306.6</v>
      </c>
      <c r="M93" s="13" t="s">
        <v>15</v>
      </c>
      <c r="N93" s="13">
        <v>0.7</v>
      </c>
      <c r="O93" s="13" t="s"/>
      <c r="P93" s="13" t="s">
        <v>21</v>
      </c>
      <c r="Q93" s="13" t="s">
        <v>21</v>
      </c>
      <c r="R93" s="13" t="s">
        <v>16</v>
      </c>
      <c r="S93" s="13" t="s">
        <v>17</v>
      </c>
      <c r="T93" s="13" t="s">
        <v>128</v>
      </c>
      <c r="U93" s="16" t="s">
        <v>13</v>
      </c>
      <c r="V93" s="16" t="s">
        <v>19</v>
      </c>
      <c r="W93" s="29" t="s"/>
      <c r="X93" s="26" t="s">
        <f>=M93&amp;N93&amp;P93&amp;Q93&amp;T93&amp;V93&amp;S93</f>
        <v>131</v>
      </c>
      <c r="Y93" s="19" t="s"/>
      <c r="Z93" s="19" t="s"/>
      <c r="AA93" s="19" t="s"/>
      <c r="AB93" s="19" t="s"/>
    </row>
    <row r="94" spans="1:28" ht="14.4">
      <c r="A94" s="4">
        <f>=H94/G94-1</f>
        <v>0.0993788819875776</v>
      </c>
      <c r="B94" s="20">
        <f>=F94/12</f>
        <v>13.275</v>
      </c>
      <c r="C94" s="20">
        <f>=J94/3</f>
        <v>106.2</v>
      </c>
      <c r="D94" s="20">
        <f>=K94/3</f>
        <v>118</v>
      </c>
      <c r="E94" s="20">
        <f>=L94/3</f>
        <v>123.9</v>
      </c>
      <c r="F94" s="20">
        <f>=H94*0.9</f>
        <v>159.3</v>
      </c>
      <c r="G94" s="21">
        <v>161</v>
      </c>
      <c r="H94" s="27">
        <v>177</v>
      </c>
      <c r="I94" s="28">
        <f>=H94*1.05</f>
        <v>185.85</v>
      </c>
      <c r="J94" s="28">
        <f>=F94*2</f>
        <v>318.6</v>
      </c>
      <c r="K94" s="28">
        <f>=H94*2</f>
        <v>354</v>
      </c>
      <c r="L94" s="28">
        <f>=I94*2</f>
        <v>371.7</v>
      </c>
      <c r="M94" s="13" t="s">
        <v>15</v>
      </c>
      <c r="N94" s="13">
        <v>0.71</v>
      </c>
      <c r="O94" s="13" t="s"/>
      <c r="P94" s="13">
        <v>1</v>
      </c>
      <c r="Q94" s="13">
        <v>1</v>
      </c>
      <c r="R94" s="13" t="s">
        <v>16</v>
      </c>
      <c r="S94" s="13" t="s">
        <v>17</v>
      </c>
      <c r="T94" s="13" t="s">
        <v>128</v>
      </c>
      <c r="U94" s="16" t="s">
        <v>13</v>
      </c>
      <c r="V94" s="16" t="s">
        <v>19</v>
      </c>
      <c r="W94" s="29" t="s"/>
      <c r="X94" s="26" t="s">
        <f>=M94&amp;N94&amp;P94&amp;Q94&amp;T94&amp;V94&amp;S94</f>
        <v>132</v>
      </c>
      <c r="Y94" s="19" t="s"/>
      <c r="Z94" s="19" t="s"/>
      <c r="AA94" s="19" t="s"/>
      <c r="AB94" s="19" t="s"/>
    </row>
    <row r="95" spans="1:28" ht="14.4">
      <c r="A95" s="4">
        <f>=H95/G95-1</f>
        <v>0.0977443609022557</v>
      </c>
      <c r="B95" s="20">
        <f>=F95/12</f>
        <v>10.95</v>
      </c>
      <c r="C95" s="20">
        <f>=J95/3</f>
        <v>87.6</v>
      </c>
      <c r="D95" s="20">
        <f>=K95/3</f>
        <v>97.3333333333333</v>
      </c>
      <c r="E95" s="20">
        <f>=L95/3</f>
        <v>102.2</v>
      </c>
      <c r="F95" s="20">
        <f>=H95*0.9</f>
        <v>131.4</v>
      </c>
      <c r="G95" s="21">
        <v>133</v>
      </c>
      <c r="H95" s="27">
        <v>146</v>
      </c>
      <c r="I95" s="28">
        <f>=H95*1.05</f>
        <v>153.3</v>
      </c>
      <c r="J95" s="28">
        <f>=F95*2</f>
        <v>262.8</v>
      </c>
      <c r="K95" s="28">
        <f>=H95*2</f>
        <v>292</v>
      </c>
      <c r="L95" s="28">
        <f>=I95*2</f>
        <v>306.6</v>
      </c>
      <c r="M95" s="13" t="s">
        <v>15</v>
      </c>
      <c r="N95" s="13">
        <v>0.71</v>
      </c>
      <c r="O95" s="13" t="s"/>
      <c r="P95" s="13" t="s">
        <v>21</v>
      </c>
      <c r="Q95" s="13" t="s">
        <v>21</v>
      </c>
      <c r="R95" s="13" t="s">
        <v>16</v>
      </c>
      <c r="S95" s="13" t="s">
        <v>17</v>
      </c>
      <c r="T95" s="13" t="s">
        <v>128</v>
      </c>
      <c r="U95" s="16" t="s">
        <v>13</v>
      </c>
      <c r="V95" s="16" t="s">
        <v>19</v>
      </c>
      <c r="W95" s="29" t="s"/>
      <c r="X95" s="26" t="s">
        <f>=M95&amp;N95&amp;P95&amp;Q95&amp;T95&amp;V95&amp;S95</f>
        <v>133</v>
      </c>
      <c r="Y95" s="19" t="s"/>
      <c r="Z95" s="19" t="s"/>
      <c r="AA95" s="19" t="s"/>
      <c r="AB95" s="19" t="s"/>
    </row>
    <row r="96" spans="1:28" ht="14.4">
      <c r="A96" s="4">
        <f>=H96/G96-1</f>
        <v>0.0993788819875776</v>
      </c>
      <c r="B96" s="20">
        <f>=F96/12</f>
        <v>13.275</v>
      </c>
      <c r="C96" s="20">
        <f>=J96/3</f>
        <v>106.2</v>
      </c>
      <c r="D96" s="20">
        <f>=K96/3</f>
        <v>118</v>
      </c>
      <c r="E96" s="20">
        <f>=L96/3</f>
        <v>123.9</v>
      </c>
      <c r="F96" s="20">
        <f>=H96*0.9</f>
        <v>159.3</v>
      </c>
      <c r="G96" s="21">
        <v>161</v>
      </c>
      <c r="H96" s="27">
        <v>177</v>
      </c>
      <c r="I96" s="28">
        <f>=H96*1.05</f>
        <v>185.85</v>
      </c>
      <c r="J96" s="28">
        <f>=F96*2</f>
        <v>318.6</v>
      </c>
      <c r="K96" s="28">
        <f>=H96*2</f>
        <v>354</v>
      </c>
      <c r="L96" s="28">
        <f>=I96*2</f>
        <v>371.7</v>
      </c>
      <c r="M96" s="13" t="s">
        <v>15</v>
      </c>
      <c r="N96" s="13">
        <v>0.73</v>
      </c>
      <c r="O96" s="13" t="s"/>
      <c r="P96" s="13">
        <v>1</v>
      </c>
      <c r="Q96" s="13">
        <v>1</v>
      </c>
      <c r="R96" s="13" t="s">
        <v>16</v>
      </c>
      <c r="S96" s="13" t="s">
        <v>17</v>
      </c>
      <c r="T96" s="13" t="s">
        <v>128</v>
      </c>
      <c r="U96" s="16" t="s">
        <v>13</v>
      </c>
      <c r="V96" s="16" t="s">
        <v>19</v>
      </c>
      <c r="W96" s="29" t="s"/>
      <c r="X96" s="26" t="s">
        <f>=M96&amp;N96&amp;P96&amp;Q96&amp;T96&amp;V96&amp;S96</f>
        <v>134</v>
      </c>
      <c r="Y96" s="19" t="s"/>
      <c r="Z96" s="19" t="s"/>
      <c r="AA96" s="19" t="s"/>
      <c r="AB96" s="19" t="s"/>
    </row>
    <row r="97" spans="1:28" ht="14.4">
      <c r="A97" s="4">
        <f>=H97/G97-1</f>
        <v>0.0977443609022557</v>
      </c>
      <c r="B97" s="20">
        <f>=F97/12</f>
        <v>10.95</v>
      </c>
      <c r="C97" s="20">
        <f>=J97/3</f>
        <v>87.6</v>
      </c>
      <c r="D97" s="20">
        <f>=K97/3</f>
        <v>97.3333333333333</v>
      </c>
      <c r="E97" s="20">
        <f>=L97/3</f>
        <v>102.2</v>
      </c>
      <c r="F97" s="20">
        <f>=H97*0.9</f>
        <v>131.4</v>
      </c>
      <c r="G97" s="21">
        <v>133</v>
      </c>
      <c r="H97" s="27">
        <v>146</v>
      </c>
      <c r="I97" s="28">
        <f>=H97*1.05</f>
        <v>153.3</v>
      </c>
      <c r="J97" s="28">
        <f>=F97*2</f>
        <v>262.8</v>
      </c>
      <c r="K97" s="28">
        <f>=H97*2</f>
        <v>292</v>
      </c>
      <c r="L97" s="28">
        <f>=I97*2</f>
        <v>306.6</v>
      </c>
      <c r="M97" s="13" t="s">
        <v>15</v>
      </c>
      <c r="N97" s="13">
        <v>0.73</v>
      </c>
      <c r="O97" s="13" t="s"/>
      <c r="P97" s="13" t="s">
        <v>21</v>
      </c>
      <c r="Q97" s="13" t="s">
        <v>21</v>
      </c>
      <c r="R97" s="13" t="s">
        <v>16</v>
      </c>
      <c r="S97" s="13" t="s">
        <v>17</v>
      </c>
      <c r="T97" s="13" t="s">
        <v>128</v>
      </c>
      <c r="U97" s="16" t="s">
        <v>13</v>
      </c>
      <c r="V97" s="16" t="s">
        <v>19</v>
      </c>
      <c r="W97" s="29" t="s"/>
      <c r="X97" s="26" t="s">
        <f>=M97&amp;N97&amp;P97&amp;Q97&amp;T97&amp;V97&amp;S97</f>
        <v>135</v>
      </c>
      <c r="Y97" s="19" t="s"/>
      <c r="Z97" s="19" t="s"/>
      <c r="AA97" s="19" t="s"/>
      <c r="AB97" s="19" t="s"/>
    </row>
    <row r="98" spans="1:28" ht="14.4">
      <c r="A98" s="4">
        <f>=H98/G98-1</f>
        <v>0.0977443609022557</v>
      </c>
      <c r="B98" s="20">
        <f>=F98/12</f>
        <v>10.95</v>
      </c>
      <c r="C98" s="20">
        <f>=J98/3</f>
        <v>87.6</v>
      </c>
      <c r="D98" s="20">
        <f>=K98/3</f>
        <v>97.3333333333333</v>
      </c>
      <c r="E98" s="20">
        <f>=L98/3</f>
        <v>102.2</v>
      </c>
      <c r="F98" s="20">
        <f>=H98*0.9</f>
        <v>131.4</v>
      </c>
      <c r="G98" s="21">
        <v>133</v>
      </c>
      <c r="H98" s="27">
        <v>146</v>
      </c>
      <c r="I98" s="28">
        <f>=H98*1.05</f>
        <v>153.3</v>
      </c>
      <c r="J98" s="28">
        <f>=F98*2</f>
        <v>262.8</v>
      </c>
      <c r="K98" s="28">
        <f>=H98*2</f>
        <v>292</v>
      </c>
      <c r="L98" s="28">
        <f>=I98*2</f>
        <v>306.6</v>
      </c>
      <c r="M98" s="13" t="s">
        <v>15</v>
      </c>
      <c r="N98" s="13">
        <v>0.76</v>
      </c>
      <c r="O98" s="13" t="s"/>
      <c r="P98" s="13" t="s">
        <v>21</v>
      </c>
      <c r="Q98" s="13" t="s">
        <v>21</v>
      </c>
      <c r="R98" s="13" t="s">
        <v>16</v>
      </c>
      <c r="S98" s="13" t="s">
        <v>17</v>
      </c>
      <c r="T98" s="13" t="s">
        <v>128</v>
      </c>
      <c r="U98" s="16" t="s">
        <v>13</v>
      </c>
      <c r="V98" s="16" t="s">
        <v>19</v>
      </c>
      <c r="W98" s="29" t="s"/>
      <c r="X98" s="26" t="s">
        <f>=M98&amp;N98&amp;P98&amp;Q98&amp;T98&amp;V98&amp;S98</f>
        <v>136</v>
      </c>
      <c r="Y98" s="19" t="s"/>
      <c r="Z98" s="19" t="s"/>
      <c r="AA98" s="19" t="s"/>
      <c r="AB98" s="19" t="s"/>
    </row>
    <row r="99" spans="1:28" ht="14.4">
      <c r="A99" s="4">
        <f>=H99/G99-1</f>
        <v>0.0993788819875776</v>
      </c>
      <c r="B99" s="20">
        <f>=F99/12</f>
        <v>13.275</v>
      </c>
      <c r="C99" s="20">
        <f>=J99/3</f>
        <v>106.2</v>
      </c>
      <c r="D99" s="20">
        <f>=K99/3</f>
        <v>118</v>
      </c>
      <c r="E99" s="20">
        <f>=L99/3</f>
        <v>123.9</v>
      </c>
      <c r="F99" s="20">
        <f>=H99*0.9</f>
        <v>159.3</v>
      </c>
      <c r="G99" s="21">
        <v>161</v>
      </c>
      <c r="H99" s="27">
        <v>177</v>
      </c>
      <c r="I99" s="28">
        <f>=H99*1.05</f>
        <v>185.85</v>
      </c>
      <c r="J99" s="28">
        <f>=F99*2</f>
        <v>318.6</v>
      </c>
      <c r="K99" s="28">
        <f>=H99*2</f>
        <v>354</v>
      </c>
      <c r="L99" s="28">
        <f>=I99*2</f>
        <v>371.7</v>
      </c>
      <c r="M99" s="13" t="s">
        <v>15</v>
      </c>
      <c r="N99" s="13">
        <v>0.8</v>
      </c>
      <c r="O99" s="13" t="s"/>
      <c r="P99" s="13">
        <v>1</v>
      </c>
      <c r="Q99" s="13">
        <v>1</v>
      </c>
      <c r="R99" s="13" t="s">
        <v>16</v>
      </c>
      <c r="S99" s="13" t="s">
        <v>137</v>
      </c>
      <c r="T99" s="13" t="s">
        <v>128</v>
      </c>
      <c r="U99" s="16" t="s">
        <v>13</v>
      </c>
      <c r="V99" s="16" t="s">
        <v>19</v>
      </c>
      <c r="W99" s="29" t="s"/>
      <c r="X99" s="26" t="s">
        <f>=M99&amp;N99&amp;P99&amp;Q99&amp;T99&amp;V99&amp;S99</f>
        <v>138</v>
      </c>
      <c r="Y99" s="19" t="s"/>
      <c r="Z99" s="19" t="s"/>
      <c r="AA99" s="19" t="s"/>
      <c r="AB99" s="19" t="s"/>
    </row>
    <row r="100" spans="1:28" ht="14.4">
      <c r="A100" s="4">
        <f>=H100/G100-1</f>
        <v>0.1015625</v>
      </c>
      <c r="B100" s="20">
        <f>=F100/12</f>
        <v>10.575</v>
      </c>
      <c r="C100" s="20">
        <f>=J100/3</f>
        <v>84.6</v>
      </c>
      <c r="D100" s="20">
        <f>=K100/3</f>
        <v>94</v>
      </c>
      <c r="E100" s="20">
        <f>=L100/3</f>
        <v>98.7</v>
      </c>
      <c r="F100" s="20">
        <f>=H100*0.9</f>
        <v>126.9</v>
      </c>
      <c r="G100" s="21">
        <v>128</v>
      </c>
      <c r="H100" s="27">
        <v>141</v>
      </c>
      <c r="I100" s="28">
        <f>=H100*1.05</f>
        <v>148.05</v>
      </c>
      <c r="J100" s="28">
        <f>=F100*2</f>
        <v>253.8</v>
      </c>
      <c r="K100" s="28">
        <f>=H100*2</f>
        <v>282</v>
      </c>
      <c r="L100" s="28">
        <f>=I100*2</f>
        <v>296.1</v>
      </c>
      <c r="M100" s="13" t="s">
        <v>15</v>
      </c>
      <c r="N100" s="13">
        <v>0.85</v>
      </c>
      <c r="O100" s="13" t="s"/>
      <c r="P100" s="13" t="s">
        <v>21</v>
      </c>
      <c r="Q100" s="13" t="s">
        <v>21</v>
      </c>
      <c r="R100" s="13" t="s">
        <v>16</v>
      </c>
      <c r="S100" s="13" t="s">
        <v>137</v>
      </c>
      <c r="T100" s="13" t="s">
        <v>128</v>
      </c>
      <c r="U100" s="16" t="s">
        <v>13</v>
      </c>
      <c r="V100" s="16" t="s">
        <v>19</v>
      </c>
      <c r="W100" s="29" t="s"/>
      <c r="X100" s="26" t="s">
        <f>=M100&amp;N100&amp;P100&amp;Q100&amp;T100&amp;V100&amp;S100</f>
        <v>139</v>
      </c>
      <c r="Y100" s="19" t="s"/>
      <c r="Z100" s="19" t="s"/>
      <c r="AA100" s="19" t="s"/>
      <c r="AB100" s="19" t="s"/>
    </row>
    <row r="101" spans="1:28" ht="14.4">
      <c r="A101" s="4">
        <f>=H101/G101-1</f>
        <v>0.0988372093023256</v>
      </c>
      <c r="B101" s="20">
        <f>=F101/12</f>
        <v>14.175</v>
      </c>
      <c r="C101" s="20">
        <f>=J101/3</f>
        <v>113.4</v>
      </c>
      <c r="D101" s="20">
        <f>=K101/3</f>
        <v>126</v>
      </c>
      <c r="E101" s="20">
        <f>=L101/3</f>
        <v>132.3</v>
      </c>
      <c r="F101" s="20">
        <f>=H101*0.9</f>
        <v>170.1</v>
      </c>
      <c r="G101" s="21">
        <v>172</v>
      </c>
      <c r="H101" s="27">
        <v>189</v>
      </c>
      <c r="I101" s="28">
        <f>=H101*1.05</f>
        <v>198.45</v>
      </c>
      <c r="J101" s="28">
        <f>=F101*2</f>
        <v>340.2</v>
      </c>
      <c r="K101" s="28">
        <f>=H101*2</f>
        <v>378</v>
      </c>
      <c r="L101" s="28">
        <f>=I101*2</f>
        <v>396.9</v>
      </c>
      <c r="M101" s="13" t="s">
        <v>15</v>
      </c>
      <c r="N101" s="13">
        <v>0.9</v>
      </c>
      <c r="O101" s="13" t="s"/>
      <c r="P101" s="13">
        <v>1</v>
      </c>
      <c r="Q101" s="13">
        <v>1</v>
      </c>
      <c r="R101" s="13" t="s">
        <v>16</v>
      </c>
      <c r="S101" s="13" t="s">
        <v>137</v>
      </c>
      <c r="T101" s="13" t="s">
        <v>140</v>
      </c>
      <c r="U101" s="16" t="s">
        <v>13</v>
      </c>
      <c r="V101" s="16" t="s">
        <v>19</v>
      </c>
      <c r="W101" s="29" t="s"/>
      <c r="X101" s="26" t="s">
        <f>=M101&amp;N101&amp;P101&amp;Q101&amp;T101&amp;V101&amp;S101</f>
        <v>141</v>
      </c>
      <c r="Y101" s="19" t="s"/>
      <c r="Z101" s="19" t="s"/>
      <c r="AA101" s="19" t="s"/>
      <c r="AB101" s="19" t="s"/>
    </row>
    <row r="102" spans="1:28" ht="14.4">
      <c r="A102" s="4">
        <f>=H102/G102-1</f>
        <v>0.0992063492063493</v>
      </c>
      <c r="B102" s="20">
        <f>=F102/12</f>
        <v>20.775</v>
      </c>
      <c r="C102" s="20">
        <f>=J102/3</f>
        <v>166.2</v>
      </c>
      <c r="D102" s="20">
        <f>=K102/3</f>
        <v>184.666666666667</v>
      </c>
      <c r="E102" s="20">
        <f>=L102/3</f>
        <v>193.9</v>
      </c>
      <c r="F102" s="20">
        <f>=H102*0.9</f>
        <v>249.3</v>
      </c>
      <c r="G102" s="21">
        <v>252</v>
      </c>
      <c r="H102" s="27">
        <v>277</v>
      </c>
      <c r="I102" s="28">
        <f>=H102*1.05</f>
        <v>290.85</v>
      </c>
      <c r="J102" s="28">
        <f>=F102*2</f>
        <v>498.6</v>
      </c>
      <c r="K102" s="28">
        <f>=H102*2</f>
        <v>554</v>
      </c>
      <c r="L102" s="28">
        <f>=I102*2</f>
        <v>581.7</v>
      </c>
      <c r="M102" s="13" t="s">
        <v>15</v>
      </c>
      <c r="N102" s="13">
        <v>0.9</v>
      </c>
      <c r="O102" s="13" t="s"/>
      <c r="P102" s="13">
        <v>1.5</v>
      </c>
      <c r="Q102" s="13">
        <v>1.5</v>
      </c>
      <c r="R102" s="13" t="s">
        <v>16</v>
      </c>
      <c r="S102" s="13" t="s">
        <v>137</v>
      </c>
      <c r="T102" s="13" t="s">
        <v>128</v>
      </c>
      <c r="U102" s="16" t="s">
        <v>13</v>
      </c>
      <c r="V102" s="16" t="s">
        <v>19</v>
      </c>
      <c r="W102" s="29" t="s"/>
      <c r="X102" s="26" t="s">
        <f>=M102&amp;N102&amp;P102&amp;Q102&amp;T102&amp;V102&amp;S102</f>
        <v>142</v>
      </c>
      <c r="Y102" s="19" t="s"/>
      <c r="Z102" s="19" t="s"/>
      <c r="AA102" s="19" t="s"/>
      <c r="AB102" s="19" t="s"/>
    </row>
    <row r="103" spans="1:28" ht="14.4">
      <c r="A103" s="4">
        <f>=H103/G103-1</f>
        <v>0.100746268656716</v>
      </c>
      <c r="B103" s="20">
        <f>=F103/12</f>
        <v>22.125</v>
      </c>
      <c r="C103" s="20">
        <f>=J103/3</f>
        <v>177</v>
      </c>
      <c r="D103" s="20">
        <f>=K103/3</f>
        <v>196.666666666667</v>
      </c>
      <c r="E103" s="20">
        <f>=L103/3</f>
        <v>206.5</v>
      </c>
      <c r="F103" s="20">
        <f>=H103*0.9</f>
        <v>265.5</v>
      </c>
      <c r="G103" s="21">
        <v>268</v>
      </c>
      <c r="H103" s="27">
        <v>295</v>
      </c>
      <c r="I103" s="28">
        <f>=H103*1.05</f>
        <v>309.75</v>
      </c>
      <c r="J103" s="28">
        <f>=F103*2</f>
        <v>531</v>
      </c>
      <c r="K103" s="28">
        <f>=H103*2</f>
        <v>590</v>
      </c>
      <c r="L103" s="28">
        <f>=I103*2</f>
        <v>619.5</v>
      </c>
      <c r="M103" s="13" t="s">
        <v>15</v>
      </c>
      <c r="N103" s="13">
        <v>0.9</v>
      </c>
      <c r="O103" s="13" t="s"/>
      <c r="P103" s="13">
        <v>2</v>
      </c>
      <c r="Q103" s="13">
        <v>2</v>
      </c>
      <c r="R103" s="13" t="s">
        <v>16</v>
      </c>
      <c r="S103" s="13" t="s">
        <v>137</v>
      </c>
      <c r="T103" s="13" t="s">
        <v>128</v>
      </c>
      <c r="U103" s="16" t="s">
        <v>13</v>
      </c>
      <c r="V103" s="16" t="s">
        <v>19</v>
      </c>
      <c r="W103" s="29" t="s"/>
      <c r="X103" s="26" t="s">
        <f>=M103&amp;N103&amp;P103&amp;Q103&amp;T103&amp;V103&amp;S103</f>
        <v>143</v>
      </c>
      <c r="Y103" s="19" t="s"/>
      <c r="Z103" s="19" t="s"/>
      <c r="AA103" s="19" t="s"/>
      <c r="AB103" s="19" t="s"/>
    </row>
    <row r="104" spans="1:28" ht="14.4">
      <c r="A104" s="4">
        <f>=H104/G104-1</f>
        <v>0.101176470588235</v>
      </c>
      <c r="B104" s="20">
        <f>=F104/12</f>
        <v>35.1</v>
      </c>
      <c r="C104" s="20">
        <f>=J104/3</f>
        <v>280.8</v>
      </c>
      <c r="D104" s="20">
        <f>=K104/3</f>
        <v>312</v>
      </c>
      <c r="E104" s="20">
        <f>=L104/3</f>
        <v>327.6</v>
      </c>
      <c r="F104" s="20">
        <f>=H104*0.9</f>
        <v>421.2</v>
      </c>
      <c r="G104" s="21">
        <v>425</v>
      </c>
      <c r="H104" s="27">
        <v>468</v>
      </c>
      <c r="I104" s="28">
        <f>=H104*1.05</f>
        <v>491.4</v>
      </c>
      <c r="J104" s="28">
        <f>=F104*2</f>
        <v>842.4</v>
      </c>
      <c r="K104" s="28">
        <f>=H104*2</f>
        <v>936</v>
      </c>
      <c r="L104" s="28">
        <f>=I104*2</f>
        <v>982.8</v>
      </c>
      <c r="M104" s="13" t="s">
        <v>15</v>
      </c>
      <c r="N104" s="13">
        <v>0.9</v>
      </c>
      <c r="O104" s="13" t="s"/>
      <c r="P104" s="13">
        <v>3</v>
      </c>
      <c r="Q104" s="13">
        <v>3</v>
      </c>
      <c r="R104" s="13" t="s">
        <v>16</v>
      </c>
      <c r="S104" s="13" t="s">
        <v>137</v>
      </c>
      <c r="T104" s="13" t="s">
        <v>128</v>
      </c>
      <c r="U104" s="16" t="s">
        <v>13</v>
      </c>
      <c r="V104" s="16" t="s">
        <v>19</v>
      </c>
      <c r="W104" s="29" t="s"/>
      <c r="X104" s="26" t="s">
        <f>=M104&amp;N104&amp;P104&amp;Q104&amp;T104&amp;V104&amp;S104</f>
        <v>144</v>
      </c>
      <c r="Y104" s="19" t="s"/>
      <c r="Z104" s="19" t="s"/>
      <c r="AA104" s="19" t="s"/>
      <c r="AB104" s="19" t="s"/>
    </row>
    <row r="105" spans="1:28" ht="14.4">
      <c r="A105" s="4">
        <f>=H105/G105-1</f>
        <v>0.0985915492957748</v>
      </c>
      <c r="B105" s="20">
        <f>=F105/12</f>
        <v>11.7</v>
      </c>
      <c r="C105" s="20">
        <f>=J105/3</f>
        <v>93.6</v>
      </c>
      <c r="D105" s="20">
        <f>=K105/3</f>
        <v>104</v>
      </c>
      <c r="E105" s="20">
        <f>=L105/3</f>
        <v>109.2</v>
      </c>
      <c r="F105" s="20">
        <f>=H105*0.9</f>
        <v>140.4</v>
      </c>
      <c r="G105" s="21">
        <v>142</v>
      </c>
      <c r="H105" s="27">
        <v>156</v>
      </c>
      <c r="I105" s="28">
        <f>=H105*1.05</f>
        <v>163.8</v>
      </c>
      <c r="J105" s="28">
        <f>=F105*2</f>
        <v>280.8</v>
      </c>
      <c r="K105" s="28">
        <f>=H105*2</f>
        <v>312</v>
      </c>
      <c r="L105" s="28">
        <f>=I105*2</f>
        <v>327.6</v>
      </c>
      <c r="M105" s="13" t="s">
        <v>15</v>
      </c>
      <c r="N105" s="13">
        <v>0.9</v>
      </c>
      <c r="O105" s="13" t="s"/>
      <c r="P105" s="13" t="s">
        <v>21</v>
      </c>
      <c r="Q105" s="13" t="s">
        <v>21</v>
      </c>
      <c r="R105" s="13" t="s">
        <v>16</v>
      </c>
      <c r="S105" s="13" t="s">
        <v>137</v>
      </c>
      <c r="T105" s="13" t="s">
        <v>145</v>
      </c>
      <c r="U105" s="16" t="s">
        <v>13</v>
      </c>
      <c r="V105" s="16" t="s">
        <v>19</v>
      </c>
      <c r="W105" s="29" t="s"/>
      <c r="X105" s="26" t="s">
        <f>=M105&amp;N105&amp;P105&amp;Q105&amp;T105&amp;V105&amp;S105</f>
        <v>146</v>
      </c>
      <c r="Y105" s="19" t="s"/>
      <c r="Z105" s="19" t="s"/>
      <c r="AA105" s="19" t="s"/>
      <c r="AB105" s="19" t="s"/>
    </row>
    <row r="106" spans="1:28" ht="14.4">
      <c r="A106" s="4">
        <f>=H106/G106-1</f>
        <v>0.0988372093023256</v>
      </c>
      <c r="B106" s="20">
        <f>=F106/12</f>
        <v>14.175</v>
      </c>
      <c r="C106" s="20">
        <f>=J106/3</f>
        <v>113.4</v>
      </c>
      <c r="D106" s="20">
        <f>=K106/3</f>
        <v>126</v>
      </c>
      <c r="E106" s="20">
        <f>=L106/3</f>
        <v>132.3</v>
      </c>
      <c r="F106" s="20">
        <f>=H106*0.9</f>
        <v>170.1</v>
      </c>
      <c r="G106" s="21">
        <v>172</v>
      </c>
      <c r="H106" s="27">
        <v>189</v>
      </c>
      <c r="I106" s="28">
        <f>=H106*1.05</f>
        <v>198.45</v>
      </c>
      <c r="J106" s="28">
        <f>=F106*2</f>
        <v>340.2</v>
      </c>
      <c r="K106" s="28">
        <f>=H106*2</f>
        <v>378</v>
      </c>
      <c r="L106" s="28">
        <f>=I106*2</f>
        <v>396.9</v>
      </c>
      <c r="M106" s="13" t="s">
        <v>15</v>
      </c>
      <c r="N106" s="13">
        <v>1</v>
      </c>
      <c r="O106" s="13" t="s"/>
      <c r="P106" s="13">
        <v>1</v>
      </c>
      <c r="Q106" s="13">
        <v>1</v>
      </c>
      <c r="R106" s="13" t="s">
        <v>16</v>
      </c>
      <c r="S106" s="13" t="s">
        <v>137</v>
      </c>
      <c r="T106" s="13" t="s">
        <v>147</v>
      </c>
      <c r="U106" s="16" t="s">
        <v>13</v>
      </c>
      <c r="V106" s="16" t="s">
        <v>19</v>
      </c>
      <c r="W106" s="29" t="s"/>
      <c r="X106" s="26" t="s">
        <f>=M106&amp;N106&amp;P106&amp;Q106&amp;T106&amp;V106&amp;S106</f>
        <v>148</v>
      </c>
      <c r="Y106" s="19" t="s"/>
      <c r="Z106" s="19" t="s"/>
      <c r="AA106" s="19" t="s"/>
      <c r="AB106" s="19" t="s"/>
    </row>
    <row r="107" spans="1:28" ht="14.4">
      <c r="A107" s="4">
        <f>=H107/G107-1</f>
        <v>0.0992366412213741</v>
      </c>
      <c r="B107" s="20">
        <f>=F107/12</f>
        <v>21.6</v>
      </c>
      <c r="C107" s="20">
        <f>=J107/3</f>
        <v>172.8</v>
      </c>
      <c r="D107" s="20">
        <f>=K107/3</f>
        <v>192</v>
      </c>
      <c r="E107" s="20">
        <f>=L107/3</f>
        <v>201.6</v>
      </c>
      <c r="F107" s="20">
        <f>=H107*0.9</f>
        <v>259.2</v>
      </c>
      <c r="G107" s="21">
        <v>262</v>
      </c>
      <c r="H107" s="27">
        <v>288</v>
      </c>
      <c r="I107" s="28">
        <f>=H107*1.05</f>
        <v>302.4</v>
      </c>
      <c r="J107" s="28">
        <f>=F107*2</f>
        <v>518.4</v>
      </c>
      <c r="K107" s="28">
        <f>=H107*2</f>
        <v>576</v>
      </c>
      <c r="L107" s="28">
        <f>=I107*2</f>
        <v>604.8</v>
      </c>
      <c r="M107" s="13" t="s">
        <v>15</v>
      </c>
      <c r="N107" s="13">
        <v>1</v>
      </c>
      <c r="O107" s="13" t="s"/>
      <c r="P107" s="13">
        <v>1.5</v>
      </c>
      <c r="Q107" s="13">
        <v>1.5</v>
      </c>
      <c r="R107" s="13" t="s">
        <v>16</v>
      </c>
      <c r="S107" s="13" t="s">
        <v>137</v>
      </c>
      <c r="T107" s="13" t="s">
        <v>147</v>
      </c>
      <c r="U107" s="16" t="s">
        <v>13</v>
      </c>
      <c r="V107" s="16" t="s">
        <v>19</v>
      </c>
      <c r="W107" s="29" t="s"/>
      <c r="X107" s="26" t="s">
        <f>=M107&amp;N107&amp;P107&amp;Q107&amp;T107&amp;V107&amp;S107</f>
        <v>149</v>
      </c>
      <c r="Y107" s="19" t="s"/>
      <c r="Z107" s="19" t="s"/>
      <c r="AA107" s="19" t="s"/>
      <c r="AB107" s="19" t="s"/>
    </row>
    <row r="108" spans="1:28" ht="14.4">
      <c r="A108" s="4">
        <f>=H108/G108-1</f>
        <v>0.101449275362319</v>
      </c>
      <c r="B108" s="20">
        <f>=F108/12</f>
        <v>22.8</v>
      </c>
      <c r="C108" s="20">
        <f>=J108/3</f>
        <v>182.4</v>
      </c>
      <c r="D108" s="20">
        <f>=K108/3</f>
        <v>202.666666666667</v>
      </c>
      <c r="E108" s="20">
        <f>=L108/3</f>
        <v>212.8</v>
      </c>
      <c r="F108" s="20">
        <f>=H108*0.9</f>
        <v>273.6</v>
      </c>
      <c r="G108" s="21">
        <v>276</v>
      </c>
      <c r="H108" s="27">
        <v>304</v>
      </c>
      <c r="I108" s="28">
        <f>=H108*1.05</f>
        <v>319.2</v>
      </c>
      <c r="J108" s="28">
        <f>=F108*2</f>
        <v>547.2</v>
      </c>
      <c r="K108" s="28">
        <f>=H108*2</f>
        <v>608</v>
      </c>
      <c r="L108" s="28">
        <f>=I108*2</f>
        <v>638.4</v>
      </c>
      <c r="M108" s="13" t="s">
        <v>15</v>
      </c>
      <c r="N108" s="13">
        <v>1</v>
      </c>
      <c r="O108" s="13" t="s"/>
      <c r="P108" s="13">
        <v>2</v>
      </c>
      <c r="Q108" s="13">
        <v>2</v>
      </c>
      <c r="R108" s="13" t="s">
        <v>16</v>
      </c>
      <c r="S108" s="13" t="s">
        <v>137</v>
      </c>
      <c r="T108" s="13" t="s">
        <v>147</v>
      </c>
      <c r="U108" s="16" t="s">
        <v>13</v>
      </c>
      <c r="V108" s="16" t="s">
        <v>19</v>
      </c>
      <c r="W108" s="29" t="s"/>
      <c r="X108" s="26" t="s">
        <f>=M108&amp;N108&amp;P108&amp;Q108&amp;T108&amp;V108&amp;S108</f>
        <v>150</v>
      </c>
      <c r="Y108" s="19" t="s"/>
      <c r="Z108" s="19" t="s"/>
      <c r="AA108" s="19" t="s"/>
      <c r="AB108" s="19" t="s"/>
    </row>
    <row r="109" spans="1:28" ht="14.4">
      <c r="A109" s="4">
        <f>=H109/G109-1</f>
        <v>0.101176470588235</v>
      </c>
      <c r="B109" s="20">
        <f>=F109/12</f>
        <v>35.1</v>
      </c>
      <c r="C109" s="20">
        <f>=J109/3</f>
        <v>280.8</v>
      </c>
      <c r="D109" s="20">
        <f>=K109/3</f>
        <v>312</v>
      </c>
      <c r="E109" s="20">
        <f>=L109/3</f>
        <v>327.6</v>
      </c>
      <c r="F109" s="20">
        <f>=H109*0.9</f>
        <v>421.2</v>
      </c>
      <c r="G109" s="21">
        <v>425</v>
      </c>
      <c r="H109" s="27">
        <v>468</v>
      </c>
      <c r="I109" s="28">
        <f>=H109*1.05</f>
        <v>491.4</v>
      </c>
      <c r="J109" s="28">
        <f>=F109*2</f>
        <v>842.4</v>
      </c>
      <c r="K109" s="28">
        <f>=H109*2</f>
        <v>936</v>
      </c>
      <c r="L109" s="28">
        <f>=I109*2</f>
        <v>982.8</v>
      </c>
      <c r="M109" s="13" t="s">
        <v>15</v>
      </c>
      <c r="N109" s="13">
        <v>1</v>
      </c>
      <c r="O109" s="13" t="s"/>
      <c r="P109" s="13">
        <v>3</v>
      </c>
      <c r="Q109" s="13">
        <v>3</v>
      </c>
      <c r="R109" s="13" t="s">
        <v>16</v>
      </c>
      <c r="S109" s="13" t="s">
        <v>137</v>
      </c>
      <c r="T109" s="13" t="s">
        <v>128</v>
      </c>
      <c r="U109" s="16" t="s">
        <v>13</v>
      </c>
      <c r="V109" s="16" t="s">
        <v>19</v>
      </c>
      <c r="W109" s="29" t="s"/>
      <c r="X109" s="26" t="s">
        <f>=M109&amp;N109&amp;P109&amp;Q109&amp;T109&amp;V109&amp;S109</f>
        <v>151</v>
      </c>
      <c r="Y109" s="19" t="s"/>
      <c r="Z109" s="19" t="s"/>
      <c r="AA109" s="19" t="s"/>
      <c r="AB109" s="19" t="s"/>
    </row>
    <row r="110" spans="1:28" ht="14.4">
      <c r="A110" s="4">
        <f>=H110/G110-1</f>
        <v>0.100719424460432</v>
      </c>
      <c r="B110" s="20">
        <f>=F110/12</f>
        <v>11.475</v>
      </c>
      <c r="C110" s="20">
        <f>=J110/3</f>
        <v>91.8</v>
      </c>
      <c r="D110" s="20">
        <f>=K110/3</f>
        <v>102</v>
      </c>
      <c r="E110" s="20">
        <f>=L110/3</f>
        <v>107.1</v>
      </c>
      <c r="F110" s="20">
        <f>=H110*0.9</f>
        <v>137.7</v>
      </c>
      <c r="G110" s="21">
        <v>139</v>
      </c>
      <c r="H110" s="27">
        <v>153</v>
      </c>
      <c r="I110" s="28">
        <f>=H110*1.05</f>
        <v>160.65</v>
      </c>
      <c r="J110" s="28">
        <f>=F110*2</f>
        <v>275.4</v>
      </c>
      <c r="K110" s="28">
        <f>=H110*2</f>
        <v>306</v>
      </c>
      <c r="L110" s="28">
        <f>=I110*2</f>
        <v>321.3</v>
      </c>
      <c r="M110" s="13" t="s">
        <v>15</v>
      </c>
      <c r="N110" s="13">
        <v>1</v>
      </c>
      <c r="O110" s="13" t="s"/>
      <c r="P110" s="13" t="s">
        <v>21</v>
      </c>
      <c r="Q110" s="13" t="s">
        <v>21</v>
      </c>
      <c r="R110" s="13" t="s">
        <v>16</v>
      </c>
      <c r="S110" s="13" t="s">
        <v>137</v>
      </c>
      <c r="T110" s="13" t="s">
        <v>147</v>
      </c>
      <c r="U110" s="16" t="s">
        <v>13</v>
      </c>
      <c r="V110" s="16" t="s">
        <v>19</v>
      </c>
      <c r="W110" s="29" t="s"/>
      <c r="X110" s="26" t="s">
        <f>=M110&amp;N110&amp;P110&amp;Q110&amp;T110&amp;V110&amp;S110</f>
        <v>152</v>
      </c>
      <c r="Y110" s="19" t="s"/>
      <c r="Z110" s="19" t="s"/>
      <c r="AA110" s="19" t="s"/>
      <c r="AB110" s="19" t="s"/>
    </row>
    <row r="111" spans="1:28" ht="14.4">
      <c r="A111" s="4">
        <f>=H111/G111-1</f>
        <v>0.100558659217877</v>
      </c>
      <c r="B111" s="20">
        <f>=F111/12</f>
        <v>14.775</v>
      </c>
      <c r="C111" s="20">
        <f>=J111/3</f>
        <v>118.2</v>
      </c>
      <c r="D111" s="20">
        <f>=K111/3</f>
        <v>131.333333333333</v>
      </c>
      <c r="E111" s="20">
        <f>=L111/3</f>
        <v>137.9</v>
      </c>
      <c r="F111" s="20">
        <f>=H111*0.9</f>
        <v>177.3</v>
      </c>
      <c r="G111" s="21">
        <v>179</v>
      </c>
      <c r="H111" s="27">
        <v>197</v>
      </c>
      <c r="I111" s="28">
        <f>=H111*1.05</f>
        <v>206.85</v>
      </c>
      <c r="J111" s="28">
        <f>=F111*2</f>
        <v>354.6</v>
      </c>
      <c r="K111" s="28">
        <f>=H111*2</f>
        <v>394</v>
      </c>
      <c r="L111" s="28">
        <f>=I111*2</f>
        <v>413.7</v>
      </c>
      <c r="M111" s="13" t="s">
        <v>15</v>
      </c>
      <c r="N111" s="13">
        <v>1.1</v>
      </c>
      <c r="O111" s="13" t="s"/>
      <c r="P111" s="13">
        <v>1</v>
      </c>
      <c r="Q111" s="13">
        <v>1</v>
      </c>
      <c r="R111" s="13" t="s">
        <v>16</v>
      </c>
      <c r="S111" s="13" t="s">
        <v>137</v>
      </c>
      <c r="T111" s="13" t="s">
        <v>153</v>
      </c>
      <c r="U111" s="16" t="s">
        <v>13</v>
      </c>
      <c r="V111" s="16" t="s">
        <v>19</v>
      </c>
      <c r="W111" s="29" t="s"/>
      <c r="X111" s="26" t="s">
        <f>=M111&amp;N111&amp;P111&amp;Q111&amp;T111&amp;V111&amp;S111</f>
        <v>154</v>
      </c>
      <c r="Y111" s="19" t="s"/>
      <c r="Z111" s="19" t="s"/>
      <c r="AA111" s="19" t="s"/>
      <c r="AB111" s="19" t="s"/>
    </row>
    <row r="112" spans="1:28" ht="14.4">
      <c r="A112" s="4">
        <f>=H112/G112-1</f>
        <v>0.100746268656716</v>
      </c>
      <c r="B112" s="20">
        <f>=F112/12</f>
        <v>22.125</v>
      </c>
      <c r="C112" s="20">
        <f>=J112/3</f>
        <v>177</v>
      </c>
      <c r="D112" s="20">
        <f>=K112/3</f>
        <v>196.666666666667</v>
      </c>
      <c r="E112" s="20">
        <f>=L112/3</f>
        <v>206.5</v>
      </c>
      <c r="F112" s="20">
        <f>=H112*0.9</f>
        <v>265.5</v>
      </c>
      <c r="G112" s="21">
        <v>268</v>
      </c>
      <c r="H112" s="27">
        <v>295</v>
      </c>
      <c r="I112" s="28">
        <f>=H112*1.05</f>
        <v>309.75</v>
      </c>
      <c r="J112" s="28">
        <f>=F112*2</f>
        <v>531</v>
      </c>
      <c r="K112" s="28">
        <f>=H112*2</f>
        <v>590</v>
      </c>
      <c r="L112" s="28">
        <f>=I112*2</f>
        <v>619.5</v>
      </c>
      <c r="M112" s="13" t="s">
        <v>15</v>
      </c>
      <c r="N112" s="13">
        <v>1.1</v>
      </c>
      <c r="O112" s="13" t="s"/>
      <c r="P112" s="13">
        <v>1.5</v>
      </c>
      <c r="Q112" s="13">
        <v>1.5</v>
      </c>
      <c r="R112" s="13" t="s">
        <v>16</v>
      </c>
      <c r="S112" s="13" t="s">
        <v>137</v>
      </c>
      <c r="T112" s="13" t="s">
        <v>147</v>
      </c>
      <c r="U112" s="16" t="s">
        <v>13</v>
      </c>
      <c r="V112" s="16" t="s">
        <v>19</v>
      </c>
      <c r="W112" s="29" t="s"/>
      <c r="X112" s="26" t="s">
        <f>=M112&amp;N112&amp;P112&amp;Q112&amp;T112&amp;V112&amp;S112</f>
        <v>155</v>
      </c>
      <c r="Y112" s="19" t="s"/>
      <c r="Z112" s="19" t="s"/>
      <c r="AA112" s="19" t="s"/>
      <c r="AB112" s="19" t="s"/>
    </row>
    <row r="113" spans="1:28" ht="14.4">
      <c r="A113" s="4">
        <f>=H113/G113-1</f>
        <v>0.098939929328622</v>
      </c>
      <c r="B113" s="20">
        <f>=F113/12</f>
        <v>23.325</v>
      </c>
      <c r="C113" s="20">
        <f>=J113/3</f>
        <v>186.6</v>
      </c>
      <c r="D113" s="20">
        <f>=K113/3</f>
        <v>207.333333333333</v>
      </c>
      <c r="E113" s="20">
        <f>=L113/3</f>
        <v>217.7</v>
      </c>
      <c r="F113" s="20">
        <f>=H113*0.9</f>
        <v>279.9</v>
      </c>
      <c r="G113" s="21">
        <v>283</v>
      </c>
      <c r="H113" s="27">
        <v>311</v>
      </c>
      <c r="I113" s="28">
        <f>=H113*1.05</f>
        <v>326.55</v>
      </c>
      <c r="J113" s="28">
        <f>=F113*2</f>
        <v>559.8</v>
      </c>
      <c r="K113" s="28">
        <f>=H113*2</f>
        <v>622</v>
      </c>
      <c r="L113" s="28">
        <f>=I113*2</f>
        <v>653.1</v>
      </c>
      <c r="M113" s="13" t="s">
        <v>15</v>
      </c>
      <c r="N113" s="13">
        <v>1.1</v>
      </c>
      <c r="O113" s="13" t="s"/>
      <c r="P113" s="13">
        <v>2</v>
      </c>
      <c r="Q113" s="13">
        <v>2</v>
      </c>
      <c r="R113" s="13" t="s">
        <v>16</v>
      </c>
      <c r="S113" s="13" t="s">
        <v>137</v>
      </c>
      <c r="T113" s="13" t="s">
        <v>147</v>
      </c>
      <c r="U113" s="16" t="s">
        <v>13</v>
      </c>
      <c r="V113" s="16" t="s">
        <v>19</v>
      </c>
      <c r="W113" s="29" t="s"/>
      <c r="X113" s="26" t="s">
        <f>=M113&amp;N113&amp;P113&amp;Q113&amp;T113&amp;V113&amp;S113</f>
        <v>156</v>
      </c>
      <c r="Y113" s="19" t="s"/>
      <c r="Z113" s="19" t="s"/>
      <c r="AA113" s="19" t="s"/>
      <c r="AB113" s="19" t="s"/>
    </row>
    <row r="114" spans="1:28" ht="14.4">
      <c r="A114" s="4">
        <f>=H114/G114-1</f>
        <v>0.101149425287356</v>
      </c>
      <c r="B114" s="20">
        <f>=F114/12</f>
        <v>35.925</v>
      </c>
      <c r="C114" s="20">
        <f>=J114/3</f>
        <v>287.4</v>
      </c>
      <c r="D114" s="20">
        <f>=K114/3</f>
        <v>319.333333333333</v>
      </c>
      <c r="E114" s="20">
        <f>=L114/3</f>
        <v>335.3</v>
      </c>
      <c r="F114" s="20">
        <f>=H114*0.9</f>
        <v>431.1</v>
      </c>
      <c r="G114" s="21">
        <v>435</v>
      </c>
      <c r="H114" s="27">
        <v>479</v>
      </c>
      <c r="I114" s="28">
        <f>=H114*1.05</f>
        <v>502.95</v>
      </c>
      <c r="J114" s="28">
        <f>=F114*2</f>
        <v>862.2</v>
      </c>
      <c r="K114" s="28">
        <f>=H114*2</f>
        <v>958</v>
      </c>
      <c r="L114" s="28">
        <f>=I114*2</f>
        <v>1005.9</v>
      </c>
      <c r="M114" s="13" t="s">
        <v>15</v>
      </c>
      <c r="N114" s="13">
        <v>1.1</v>
      </c>
      <c r="O114" s="13" t="s"/>
      <c r="P114" s="13">
        <v>3</v>
      </c>
      <c r="Q114" s="13">
        <v>3</v>
      </c>
      <c r="R114" s="13" t="s">
        <v>16</v>
      </c>
      <c r="S114" s="13" t="s">
        <v>137</v>
      </c>
      <c r="T114" s="13" t="s">
        <v>147</v>
      </c>
      <c r="U114" s="16" t="s">
        <v>13</v>
      </c>
      <c r="V114" s="16" t="s">
        <v>19</v>
      </c>
      <c r="W114" s="36" t="s"/>
      <c r="X114" s="37" t="s">
        <f>=M114&amp;N114&amp;P114&amp;Q114&amp;T114&amp;V114&amp;S114</f>
        <v>157</v>
      </c>
      <c r="Y114" s="38" t="s"/>
      <c r="Z114" s="38" t="s"/>
      <c r="AA114" s="38" t="s"/>
      <c r="AB114" s="38" t="s"/>
    </row>
    <row r="115" spans="1:28" ht="14.4">
      <c r="A115" s="4">
        <f>=H115/G115-1</f>
        <v>0.102040816326531</v>
      </c>
      <c r="B115" s="20">
        <f>=F115/12</f>
        <v>12.15</v>
      </c>
      <c r="C115" s="20">
        <f>=J115/3</f>
        <v>97.2</v>
      </c>
      <c r="D115" s="20">
        <f>=K115/3</f>
        <v>108</v>
      </c>
      <c r="E115" s="20">
        <f>=L115/3</f>
        <v>113.4</v>
      </c>
      <c r="F115" s="20">
        <f>=H115*0.9</f>
        <v>145.8</v>
      </c>
      <c r="G115" s="21">
        <v>147</v>
      </c>
      <c r="H115" s="27">
        <v>162</v>
      </c>
      <c r="I115" s="28">
        <f>=H115*1.05</f>
        <v>170.1</v>
      </c>
      <c r="J115" s="28">
        <f>=F115*2</f>
        <v>291.6</v>
      </c>
      <c r="K115" s="28">
        <f>=H115*2</f>
        <v>324</v>
      </c>
      <c r="L115" s="28">
        <f>=I115*2</f>
        <v>340.2</v>
      </c>
      <c r="M115" s="13" t="s">
        <v>15</v>
      </c>
      <c r="N115" s="13">
        <v>1.1</v>
      </c>
      <c r="O115" s="13" t="s"/>
      <c r="P115" s="13" t="s">
        <v>21</v>
      </c>
      <c r="Q115" s="13" t="s">
        <v>21</v>
      </c>
      <c r="R115" s="13" t="s">
        <v>16</v>
      </c>
      <c r="S115" s="13" t="s">
        <v>137</v>
      </c>
      <c r="T115" s="13" t="s">
        <v>153</v>
      </c>
      <c r="U115" s="16" t="s">
        <v>13</v>
      </c>
      <c r="V115" s="16" t="s">
        <v>19</v>
      </c>
      <c r="W115" s="29" t="s"/>
      <c r="X115" s="26" t="s">
        <f>=M115&amp;N115&amp;P115&amp;Q115&amp;T115&amp;V115&amp;S115</f>
        <v>158</v>
      </c>
      <c r="Y115" s="19" t="s"/>
      <c r="Z115" s="19" t="s"/>
      <c r="AA115" s="19" t="s"/>
      <c r="AB115" s="19" t="s"/>
    </row>
    <row r="116" spans="1:28" ht="14.4">
      <c r="A116" s="4">
        <f>=H116/G116-1</f>
        <v>0.100558659217877</v>
      </c>
      <c r="B116" s="20">
        <f>=F116/12</f>
        <v>14.775</v>
      </c>
      <c r="C116" s="20">
        <f>=J116/3</f>
        <v>118.2</v>
      </c>
      <c r="D116" s="20">
        <f>=K116/3</f>
        <v>131.333333333333</v>
      </c>
      <c r="E116" s="20">
        <f>=L116/3</f>
        <v>137.9</v>
      </c>
      <c r="F116" s="20">
        <f>=H116*0.9</f>
        <v>177.3</v>
      </c>
      <c r="G116" s="21">
        <v>179</v>
      </c>
      <c r="H116" s="27">
        <v>197</v>
      </c>
      <c r="I116" s="28">
        <f>=H116*1.05</f>
        <v>206.85</v>
      </c>
      <c r="J116" s="28">
        <f>=F116*2</f>
        <v>354.6</v>
      </c>
      <c r="K116" s="28">
        <f>=H116*2</f>
        <v>394</v>
      </c>
      <c r="L116" s="28">
        <f>=I116*2</f>
        <v>413.7</v>
      </c>
      <c r="M116" s="13" t="s">
        <v>15</v>
      </c>
      <c r="N116" s="13">
        <v>1.2</v>
      </c>
      <c r="O116" s="13" t="s"/>
      <c r="P116" s="13">
        <v>1</v>
      </c>
      <c r="Q116" s="13">
        <v>1</v>
      </c>
      <c r="R116" s="13" t="s">
        <v>16</v>
      </c>
      <c r="S116" s="13" t="s">
        <v>137</v>
      </c>
      <c r="T116" s="13" t="s">
        <v>153</v>
      </c>
      <c r="U116" s="16" t="s">
        <v>13</v>
      </c>
      <c r="V116" s="16" t="s">
        <v>19</v>
      </c>
      <c r="W116" s="29" t="s"/>
      <c r="X116" s="26" t="s">
        <f>=M116&amp;N116&amp;P116&amp;Q116&amp;T116&amp;V116&amp;S116</f>
        <v>159</v>
      </c>
      <c r="Y116" s="19" t="s"/>
      <c r="Z116" s="19" t="s"/>
      <c r="AA116" s="19" t="s"/>
      <c r="AB116" s="19" t="s"/>
    </row>
    <row r="117" spans="1:28" ht="14.4">
      <c r="A117" s="4">
        <f>=H117/G117-1</f>
        <v>0.098939929328622</v>
      </c>
      <c r="B117" s="20">
        <f>=F117/12</f>
        <v>23.325</v>
      </c>
      <c r="C117" s="20">
        <f>=J117/3</f>
        <v>186.6</v>
      </c>
      <c r="D117" s="20">
        <f>=K117/3</f>
        <v>207.333333333333</v>
      </c>
      <c r="E117" s="20">
        <f>=L117/3</f>
        <v>217.7</v>
      </c>
      <c r="F117" s="20">
        <f>=H117*0.9</f>
        <v>279.9</v>
      </c>
      <c r="G117" s="21">
        <v>283</v>
      </c>
      <c r="H117" s="27">
        <v>311</v>
      </c>
      <c r="I117" s="28">
        <f>=H117*1.05</f>
        <v>326.55</v>
      </c>
      <c r="J117" s="28">
        <f>=F117*2</f>
        <v>559.8</v>
      </c>
      <c r="K117" s="28">
        <f>=H117*2</f>
        <v>622</v>
      </c>
      <c r="L117" s="28">
        <f>=I117*2</f>
        <v>653.1</v>
      </c>
      <c r="M117" s="13" t="s">
        <v>15</v>
      </c>
      <c r="N117" s="13">
        <v>1.2</v>
      </c>
      <c r="O117" s="13" t="s"/>
      <c r="P117" s="13">
        <v>2</v>
      </c>
      <c r="Q117" s="13">
        <v>2</v>
      </c>
      <c r="R117" s="13" t="s">
        <v>16</v>
      </c>
      <c r="S117" s="13" t="s">
        <v>137</v>
      </c>
      <c r="T117" s="13" t="s">
        <v>153</v>
      </c>
      <c r="U117" s="16" t="s">
        <v>13</v>
      </c>
      <c r="V117" s="16" t="s">
        <v>19</v>
      </c>
      <c r="W117" s="29" t="s"/>
      <c r="X117" s="26" t="s">
        <f>=M117&amp;N117&amp;P117&amp;Q117&amp;T117&amp;V117&amp;S117</f>
        <v>160</v>
      </c>
      <c r="Y117" s="19" t="s"/>
      <c r="Z117" s="19" t="s"/>
      <c r="AA117" s="19" t="s"/>
      <c r="AB117" s="19" t="s"/>
    </row>
    <row r="118" spans="1:28" ht="14.4">
      <c r="A118" s="4">
        <f>=H118/G118-1</f>
        <v>0.1</v>
      </c>
      <c r="B118" s="20">
        <f>=F118/12</f>
        <v>36.3</v>
      </c>
      <c r="C118" s="20">
        <f>=J118/3</f>
        <v>290.4</v>
      </c>
      <c r="D118" s="20">
        <f>=K118/3</f>
        <v>322.666666666667</v>
      </c>
      <c r="E118" s="20">
        <f>=L118/3</f>
        <v>338.8</v>
      </c>
      <c r="F118" s="20">
        <f>=H118*0.9</f>
        <v>435.6</v>
      </c>
      <c r="G118" s="21">
        <v>440</v>
      </c>
      <c r="H118" s="27">
        <v>484</v>
      </c>
      <c r="I118" s="28">
        <f>=H118*1.05</f>
        <v>508.2</v>
      </c>
      <c r="J118" s="28">
        <f>=F118*2</f>
        <v>871.2</v>
      </c>
      <c r="K118" s="28">
        <f>=H118*2</f>
        <v>968</v>
      </c>
      <c r="L118" s="28">
        <f>=I118*2</f>
        <v>1016.4</v>
      </c>
      <c r="M118" s="13" t="s">
        <v>15</v>
      </c>
      <c r="N118" s="13">
        <v>1.2</v>
      </c>
      <c r="O118" s="13" t="s"/>
      <c r="P118" s="13">
        <v>3</v>
      </c>
      <c r="Q118" s="13">
        <v>3</v>
      </c>
      <c r="R118" s="13" t="s">
        <v>16</v>
      </c>
      <c r="S118" s="13" t="s">
        <v>137</v>
      </c>
      <c r="T118" s="13" t="s">
        <v>147</v>
      </c>
      <c r="U118" s="16" t="s">
        <v>13</v>
      </c>
      <c r="V118" s="16" t="s">
        <v>19</v>
      </c>
      <c r="W118" s="29" t="s"/>
      <c r="X118" s="26" t="s">
        <f>=M118&amp;N118&amp;P118&amp;Q118&amp;T118&amp;V118&amp;S118</f>
        <v>161</v>
      </c>
      <c r="Y118" s="19" t="s"/>
      <c r="Z118" s="19" t="s"/>
      <c r="AA118" s="19" t="s"/>
      <c r="AB118" s="19" t="s"/>
    </row>
    <row r="119" spans="1:28" ht="14.4">
      <c r="A119" s="4">
        <f>=H119/G119-1</f>
        <v>0.102040816326531</v>
      </c>
      <c r="B119" s="20">
        <f>=F119/12</f>
        <v>12.15</v>
      </c>
      <c r="C119" s="20">
        <f>=J119/3</f>
        <v>97.2</v>
      </c>
      <c r="D119" s="20">
        <f>=K119/3</f>
        <v>108</v>
      </c>
      <c r="E119" s="20">
        <f>=L119/3</f>
        <v>113.4</v>
      </c>
      <c r="F119" s="20">
        <f>=H119*0.9</f>
        <v>145.8</v>
      </c>
      <c r="G119" s="21">
        <v>147</v>
      </c>
      <c r="H119" s="27">
        <v>162</v>
      </c>
      <c r="I119" s="28">
        <f>=H119*1.05</f>
        <v>170.1</v>
      </c>
      <c r="J119" s="28">
        <f>=F119*2</f>
        <v>291.6</v>
      </c>
      <c r="K119" s="28">
        <f>=H119*2</f>
        <v>324</v>
      </c>
      <c r="L119" s="28">
        <f>=I119*2</f>
        <v>340.2</v>
      </c>
      <c r="M119" s="13" t="s">
        <v>15</v>
      </c>
      <c r="N119" s="13">
        <v>1.2</v>
      </c>
      <c r="O119" s="13" t="s"/>
      <c r="P119" s="13" t="s">
        <v>21</v>
      </c>
      <c r="Q119" s="13" t="s">
        <v>21</v>
      </c>
      <c r="R119" s="13" t="s">
        <v>16</v>
      </c>
      <c r="S119" s="13" t="s">
        <v>137</v>
      </c>
      <c r="T119" s="13" t="s">
        <v>153</v>
      </c>
      <c r="U119" s="16" t="s">
        <v>13</v>
      </c>
      <c r="V119" s="16" t="s">
        <v>19</v>
      </c>
      <c r="W119" s="29" t="s"/>
      <c r="X119" s="26" t="s">
        <f>=M119&amp;N119&amp;P119&amp;Q119&amp;T119&amp;V119&amp;S119</f>
        <v>162</v>
      </c>
      <c r="Y119" s="19" t="s"/>
      <c r="Z119" s="19" t="s"/>
      <c r="AA119" s="19" t="s"/>
      <c r="AB119" s="19" t="s"/>
    </row>
    <row r="120" spans="1:28" ht="14.4">
      <c r="A120" s="4">
        <f>=H120/G120-1</f>
        <v>0.102040816326531</v>
      </c>
      <c r="B120" s="20">
        <f>=F120/12</f>
        <v>16.2</v>
      </c>
      <c r="C120" s="20">
        <f>=J120/3</f>
        <v>129.6</v>
      </c>
      <c r="D120" s="20">
        <f>=K120/3</f>
        <v>144</v>
      </c>
      <c r="E120" s="20">
        <f>=L120/3</f>
        <v>151.2</v>
      </c>
      <c r="F120" s="20">
        <f>=H120*0.9</f>
        <v>194.4</v>
      </c>
      <c r="G120" s="21">
        <v>196</v>
      </c>
      <c r="H120" s="27">
        <v>216</v>
      </c>
      <c r="I120" s="28">
        <f>=H120*1.05</f>
        <v>226.8</v>
      </c>
      <c r="J120" s="28">
        <f>=F120*2</f>
        <v>388.8</v>
      </c>
      <c r="K120" s="28">
        <f>=H120*2</f>
        <v>432</v>
      </c>
      <c r="L120" s="28">
        <f>=I120*2</f>
        <v>453.6</v>
      </c>
      <c r="M120" s="13" t="s">
        <v>15</v>
      </c>
      <c r="N120" s="13">
        <v>1.3</v>
      </c>
      <c r="O120" s="13" t="s"/>
      <c r="P120" s="13">
        <v>1</v>
      </c>
      <c r="Q120" s="13">
        <v>1</v>
      </c>
      <c r="R120" s="13" t="s">
        <v>16</v>
      </c>
      <c r="S120" s="13" t="s">
        <v>137</v>
      </c>
      <c r="T120" s="13" t="s">
        <v>163</v>
      </c>
      <c r="U120" s="16" t="s">
        <v>13</v>
      </c>
      <c r="V120" s="16" t="s">
        <v>19</v>
      </c>
      <c r="W120" s="29" t="s"/>
      <c r="X120" s="26" t="s">
        <f>=M120&amp;N120&amp;P120&amp;Q120&amp;T120&amp;V120&amp;S120</f>
        <v>164</v>
      </c>
      <c r="Y120" s="19" t="s"/>
      <c r="Z120" s="19" t="s"/>
      <c r="AA120" s="19" t="s"/>
      <c r="AB120" s="19" t="s"/>
    </row>
    <row r="121" spans="1:28" ht="14.4">
      <c r="A121" s="4">
        <f>=H121/G121-1</f>
        <v>0.101796407185629</v>
      </c>
      <c r="B121" s="20">
        <f>=F121/12</f>
        <v>13.8</v>
      </c>
      <c r="C121" s="20">
        <f>=J121/3</f>
        <v>110.4</v>
      </c>
      <c r="D121" s="20">
        <f>=K121/3</f>
        <v>122.666666666667</v>
      </c>
      <c r="E121" s="20">
        <f>=L121/3</f>
        <v>128.8</v>
      </c>
      <c r="F121" s="20">
        <f>=H121*0.9</f>
        <v>165.6</v>
      </c>
      <c r="G121" s="21">
        <v>167</v>
      </c>
      <c r="H121" s="27">
        <v>184</v>
      </c>
      <c r="I121" s="28">
        <f>=H121*1.05</f>
        <v>193.2</v>
      </c>
      <c r="J121" s="28">
        <f>=F121*2</f>
        <v>331.2</v>
      </c>
      <c r="K121" s="28">
        <f>=H121*2</f>
        <v>368</v>
      </c>
      <c r="L121" s="28">
        <f>=I121*2</f>
        <v>386.4</v>
      </c>
      <c r="M121" s="13" t="s">
        <v>15</v>
      </c>
      <c r="N121" s="13">
        <v>1.3</v>
      </c>
      <c r="O121" s="13" t="s"/>
      <c r="P121" s="13" t="s">
        <v>21</v>
      </c>
      <c r="Q121" s="13" t="s">
        <v>21</v>
      </c>
      <c r="R121" s="13" t="s">
        <v>16</v>
      </c>
      <c r="S121" s="13" t="s">
        <v>137</v>
      </c>
      <c r="T121" s="13" t="s">
        <v>163</v>
      </c>
      <c r="U121" s="16" t="s">
        <v>13</v>
      </c>
      <c r="V121" s="16" t="s">
        <v>19</v>
      </c>
      <c r="W121" s="29" t="s"/>
      <c r="X121" s="26" t="s">
        <f>=M121&amp;N121&amp;P121&amp;Q121&amp;T121&amp;V121&amp;S121</f>
        <v>165</v>
      </c>
      <c r="Y121" s="19" t="s"/>
      <c r="Z121" s="19" t="s"/>
      <c r="AA121" s="19" t="s"/>
      <c r="AB121" s="19" t="s"/>
    </row>
    <row r="122" spans="1:28" ht="14.4">
      <c r="A122" s="4">
        <f>=H122/G122-1</f>
        <v>0.100502512562814</v>
      </c>
      <c r="B122" s="20">
        <f>=F122/12</f>
        <v>16.425</v>
      </c>
      <c r="C122" s="20">
        <f>=J122/3</f>
        <v>131.4</v>
      </c>
      <c r="D122" s="20">
        <f>=K122/3</f>
        <v>146</v>
      </c>
      <c r="E122" s="20">
        <f>=L122/3</f>
        <v>153.3</v>
      </c>
      <c r="F122" s="20">
        <f>=H122*0.9</f>
        <v>197.1</v>
      </c>
      <c r="G122" s="21">
        <v>199</v>
      </c>
      <c r="H122" s="27">
        <v>219</v>
      </c>
      <c r="I122" s="28">
        <f>=H122*1.05</f>
        <v>229.95</v>
      </c>
      <c r="J122" s="28">
        <f>=F122*2</f>
        <v>394.2</v>
      </c>
      <c r="K122" s="28">
        <f>=H122*2</f>
        <v>438</v>
      </c>
      <c r="L122" s="28">
        <f>=I122*2</f>
        <v>459.9</v>
      </c>
      <c r="M122" s="13" t="s">
        <v>15</v>
      </c>
      <c r="N122" s="13">
        <v>1.4</v>
      </c>
      <c r="O122" s="13" t="s"/>
      <c r="P122" s="13">
        <v>1</v>
      </c>
      <c r="Q122" s="13">
        <v>1</v>
      </c>
      <c r="R122" s="13" t="s">
        <v>16</v>
      </c>
      <c r="S122" s="13" t="s">
        <v>137</v>
      </c>
      <c r="T122" s="13" t="s">
        <v>163</v>
      </c>
      <c r="U122" s="16" t="s">
        <v>13</v>
      </c>
      <c r="V122" s="16" t="s">
        <v>19</v>
      </c>
      <c r="W122" s="29" t="s"/>
      <c r="X122" s="26" t="s">
        <f>=M122&amp;N122&amp;P122&amp;Q122&amp;T122&amp;V122&amp;S122</f>
        <v>166</v>
      </c>
      <c r="Y122" s="19" t="s"/>
      <c r="Z122" s="19" t="s"/>
      <c r="AA122" s="19" t="s"/>
      <c r="AB122" s="19" t="s"/>
    </row>
    <row r="123" spans="1:28" ht="14.4">
      <c r="A123" s="4">
        <f>=H123/G123-1</f>
        <v>0.101083032490975</v>
      </c>
      <c r="B123" s="20">
        <f>=F123/12</f>
        <v>22.875</v>
      </c>
      <c r="C123" s="20">
        <f>=J123/3</f>
        <v>183</v>
      </c>
      <c r="D123" s="20">
        <f>=K123/3</f>
        <v>203.333333333333</v>
      </c>
      <c r="E123" s="20">
        <f>=L123/3</f>
        <v>213.5</v>
      </c>
      <c r="F123" s="20">
        <f>=H123*0.9</f>
        <v>274.5</v>
      </c>
      <c r="G123" s="21">
        <v>277</v>
      </c>
      <c r="H123" s="27">
        <v>305</v>
      </c>
      <c r="I123" s="28">
        <f>=H123*1.05</f>
        <v>320.25</v>
      </c>
      <c r="J123" s="28">
        <f>=F123*2</f>
        <v>549</v>
      </c>
      <c r="K123" s="28">
        <f>=H123*2</f>
        <v>610</v>
      </c>
      <c r="L123" s="28">
        <f>=I123*2</f>
        <v>640.5</v>
      </c>
      <c r="M123" s="13" t="s">
        <v>15</v>
      </c>
      <c r="N123" s="13">
        <v>1.4</v>
      </c>
      <c r="O123" s="13" t="s"/>
      <c r="P123" s="13">
        <v>1.5</v>
      </c>
      <c r="Q123" s="13">
        <v>1.5</v>
      </c>
      <c r="R123" s="13" t="s">
        <v>16</v>
      </c>
      <c r="S123" s="13" t="s">
        <v>137</v>
      </c>
      <c r="T123" s="13" t="s">
        <v>163</v>
      </c>
      <c r="U123" s="16" t="s">
        <v>13</v>
      </c>
      <c r="V123" s="16" t="s">
        <v>19</v>
      </c>
      <c r="W123" s="29" t="s"/>
      <c r="X123" s="26" t="s">
        <f>=M123&amp;N123&amp;P123&amp;Q123&amp;T123&amp;V123&amp;S123</f>
        <v>167</v>
      </c>
      <c r="Y123" s="19" t="s"/>
      <c r="Z123" s="19" t="s"/>
      <c r="AA123" s="19" t="s"/>
      <c r="AB123" s="19" t="s"/>
    </row>
    <row r="124" spans="1:28" ht="14.4">
      <c r="A124" s="4">
        <f>=H124/G124-1</f>
        <v>0.100671140939597</v>
      </c>
      <c r="B124" s="20">
        <f>=F124/12</f>
        <v>24.6</v>
      </c>
      <c r="C124" s="20">
        <f>=J124/3</f>
        <v>196.8</v>
      </c>
      <c r="D124" s="20">
        <f>=K124/3</f>
        <v>218.666666666667</v>
      </c>
      <c r="E124" s="20">
        <f>=L124/3</f>
        <v>229.6</v>
      </c>
      <c r="F124" s="20">
        <f>=H124*0.9</f>
        <v>295.2</v>
      </c>
      <c r="G124" s="21">
        <v>298</v>
      </c>
      <c r="H124" s="27">
        <v>328</v>
      </c>
      <c r="I124" s="28">
        <f>=H124*1.05</f>
        <v>344.4</v>
      </c>
      <c r="J124" s="28">
        <f>=F124*2</f>
        <v>590.4</v>
      </c>
      <c r="K124" s="28">
        <f>=H124*2</f>
        <v>656</v>
      </c>
      <c r="L124" s="28">
        <f>=I124*2</f>
        <v>688.8</v>
      </c>
      <c r="M124" s="13" t="s">
        <v>15</v>
      </c>
      <c r="N124" s="13">
        <v>1.4</v>
      </c>
      <c r="O124" s="13" t="s"/>
      <c r="P124" s="13">
        <v>2</v>
      </c>
      <c r="Q124" s="13">
        <v>2</v>
      </c>
      <c r="R124" s="13" t="s">
        <v>16</v>
      </c>
      <c r="S124" s="13" t="s">
        <v>137</v>
      </c>
      <c r="T124" s="13" t="s">
        <v>163</v>
      </c>
      <c r="U124" s="16" t="s">
        <v>13</v>
      </c>
      <c r="V124" s="16" t="s">
        <v>19</v>
      </c>
      <c r="W124" s="29" t="s"/>
      <c r="X124" s="26" t="s">
        <f>=M124&amp;N124&amp;P124&amp;Q124&amp;T124&amp;V124&amp;S124</f>
        <v>168</v>
      </c>
      <c r="Y124" s="19" t="s"/>
      <c r="Z124" s="19" t="s"/>
      <c r="AA124" s="19" t="s"/>
      <c r="AB124" s="19" t="s"/>
    </row>
    <row r="125" spans="1:28" ht="14.4">
      <c r="A125" s="4">
        <f>=H125/G125-1</f>
        <v>0.101098901098901</v>
      </c>
      <c r="B125" s="20">
        <f>=F125/12</f>
        <v>37.575</v>
      </c>
      <c r="C125" s="20">
        <f>=J125/3</f>
        <v>300.6</v>
      </c>
      <c r="D125" s="20">
        <f>=K125/3</f>
        <v>334</v>
      </c>
      <c r="E125" s="20">
        <f>=L125/3</f>
        <v>350.7</v>
      </c>
      <c r="F125" s="20">
        <f>=H125*0.9</f>
        <v>450.9</v>
      </c>
      <c r="G125" s="21">
        <v>455</v>
      </c>
      <c r="H125" s="27">
        <v>501</v>
      </c>
      <c r="I125" s="28">
        <f>=H125*1.05</f>
        <v>526.05</v>
      </c>
      <c r="J125" s="28">
        <f>=F125*2</f>
        <v>901.8</v>
      </c>
      <c r="K125" s="28">
        <f>=H125*2</f>
        <v>1002</v>
      </c>
      <c r="L125" s="28">
        <f>=I125*2</f>
        <v>1052.1</v>
      </c>
      <c r="M125" s="13" t="s">
        <v>15</v>
      </c>
      <c r="N125" s="13">
        <v>1.4</v>
      </c>
      <c r="O125" s="13" t="s"/>
      <c r="P125" s="13">
        <v>3</v>
      </c>
      <c r="Q125" s="13">
        <v>3</v>
      </c>
      <c r="R125" s="13" t="s">
        <v>16</v>
      </c>
      <c r="S125" s="13" t="s">
        <v>137</v>
      </c>
      <c r="T125" s="13" t="s">
        <v>153</v>
      </c>
      <c r="U125" s="16" t="s">
        <v>13</v>
      </c>
      <c r="V125" s="16" t="s">
        <v>19</v>
      </c>
      <c r="W125" s="29" t="s"/>
      <c r="X125" s="26" t="s">
        <f>=M125&amp;N125&amp;P125&amp;Q125&amp;T125&amp;V125&amp;S125</f>
        <v>169</v>
      </c>
      <c r="Y125" s="19" t="s"/>
      <c r="Z125" s="19" t="s"/>
      <c r="AA125" s="19" t="s"/>
      <c r="AB125" s="19" t="s"/>
    </row>
    <row r="126" spans="1:28" ht="14.4">
      <c r="A126" s="4">
        <f>=H126/G126-1</f>
        <v>0.101796407185629</v>
      </c>
      <c r="B126" s="20">
        <f>=F126/12</f>
        <v>13.8</v>
      </c>
      <c r="C126" s="20">
        <f>=J126/3</f>
        <v>110.4</v>
      </c>
      <c r="D126" s="20">
        <f>=K126/3</f>
        <v>122.666666666667</v>
      </c>
      <c r="E126" s="20">
        <f>=L126/3</f>
        <v>128.8</v>
      </c>
      <c r="F126" s="20">
        <f>=H126*0.9</f>
        <v>165.6</v>
      </c>
      <c r="G126" s="21">
        <v>167</v>
      </c>
      <c r="H126" s="27">
        <v>184</v>
      </c>
      <c r="I126" s="28">
        <f>=H126*1.05</f>
        <v>193.2</v>
      </c>
      <c r="J126" s="28">
        <f>=F126*2</f>
        <v>331.2</v>
      </c>
      <c r="K126" s="28">
        <f>=H126*2</f>
        <v>368</v>
      </c>
      <c r="L126" s="28">
        <f>=I126*2</f>
        <v>386.4</v>
      </c>
      <c r="M126" s="13" t="s">
        <v>15</v>
      </c>
      <c r="N126" s="13">
        <v>1.4</v>
      </c>
      <c r="O126" s="13" t="s"/>
      <c r="P126" s="13" t="s">
        <v>21</v>
      </c>
      <c r="Q126" s="13" t="s">
        <v>21</v>
      </c>
      <c r="R126" s="13" t="s">
        <v>16</v>
      </c>
      <c r="S126" s="13" t="s">
        <v>137</v>
      </c>
      <c r="T126" s="13" t="s">
        <v>163</v>
      </c>
      <c r="U126" s="16" t="s">
        <v>13</v>
      </c>
      <c r="V126" s="16" t="s">
        <v>19</v>
      </c>
      <c r="W126" s="29" t="s"/>
      <c r="X126" s="26" t="s">
        <f>=M126&amp;N126&amp;P126&amp;Q126&amp;T126&amp;V126&amp;S126</f>
        <v>170</v>
      </c>
      <c r="Y126" s="19" t="s"/>
      <c r="Z126" s="19" t="s"/>
      <c r="AA126" s="19" t="s"/>
      <c r="AB126" s="19" t="s"/>
    </row>
    <row r="127" spans="1:28" ht="14.4">
      <c r="A127" s="4">
        <f>=H127/G127-1</f>
        <v>0.100478468899522</v>
      </c>
      <c r="B127" s="20">
        <f>=F127/12</f>
        <v>17.25</v>
      </c>
      <c r="C127" s="20">
        <f>=J127/3</f>
        <v>138</v>
      </c>
      <c r="D127" s="20">
        <f>=K127/3</f>
        <v>153.333333333333</v>
      </c>
      <c r="E127" s="20">
        <f>=L127/3</f>
        <v>161</v>
      </c>
      <c r="F127" s="20">
        <f>=H127*0.9</f>
        <v>207</v>
      </c>
      <c r="G127" s="21">
        <v>209</v>
      </c>
      <c r="H127" s="27">
        <v>230</v>
      </c>
      <c r="I127" s="28">
        <f>=H127*1.05</f>
        <v>241.5</v>
      </c>
      <c r="J127" s="28">
        <f>=F127*2</f>
        <v>414</v>
      </c>
      <c r="K127" s="28">
        <f>=H127*2</f>
        <v>460</v>
      </c>
      <c r="L127" s="28">
        <f>=I127*2</f>
        <v>483</v>
      </c>
      <c r="M127" s="13" t="s">
        <v>15</v>
      </c>
      <c r="N127" s="13">
        <v>1.45</v>
      </c>
      <c r="O127" s="13" t="s"/>
      <c r="P127" s="13">
        <v>1</v>
      </c>
      <c r="Q127" s="13">
        <v>1</v>
      </c>
      <c r="R127" s="13" t="s">
        <v>16</v>
      </c>
      <c r="S127" s="13" t="s">
        <v>137</v>
      </c>
      <c r="T127" s="13" t="s">
        <v>171</v>
      </c>
      <c r="U127" s="16" t="s">
        <v>13</v>
      </c>
      <c r="V127" s="16" t="s">
        <v>19</v>
      </c>
      <c r="W127" s="29" t="s"/>
      <c r="X127" s="26" t="s">
        <f>=M127&amp;N127&amp;P127&amp;Q127&amp;T127&amp;V127&amp;S127</f>
        <v>172</v>
      </c>
      <c r="Y127" s="19" t="s"/>
      <c r="Z127" s="19" t="s"/>
      <c r="AA127" s="19" t="s"/>
      <c r="AB127" s="19" t="s"/>
    </row>
    <row r="128" spans="1:28" ht="14.4">
      <c r="A128" s="4">
        <f>=H128/G128-1</f>
        <v>0.101796407185629</v>
      </c>
      <c r="B128" s="20">
        <f>=F128/12</f>
        <v>13.8</v>
      </c>
      <c r="C128" s="20">
        <f>=J128/3</f>
        <v>110.4</v>
      </c>
      <c r="D128" s="20">
        <f>=K128/3</f>
        <v>122.666666666667</v>
      </c>
      <c r="E128" s="20">
        <f>=L128/3</f>
        <v>128.8</v>
      </c>
      <c r="F128" s="20">
        <f>=H128*0.9</f>
        <v>165.6</v>
      </c>
      <c r="G128" s="21">
        <v>167</v>
      </c>
      <c r="H128" s="27">
        <v>184</v>
      </c>
      <c r="I128" s="28">
        <f>=H128*1.05</f>
        <v>193.2</v>
      </c>
      <c r="J128" s="28">
        <f>=F128*2</f>
        <v>331.2</v>
      </c>
      <c r="K128" s="28">
        <f>=H128*2</f>
        <v>368</v>
      </c>
      <c r="L128" s="28">
        <f>=I128*2</f>
        <v>386.4</v>
      </c>
      <c r="M128" s="13" t="s">
        <v>15</v>
      </c>
      <c r="N128" s="13">
        <v>1.45</v>
      </c>
      <c r="O128" s="13" t="s"/>
      <c r="P128" s="13" t="s">
        <v>21</v>
      </c>
      <c r="Q128" s="13" t="s">
        <v>21</v>
      </c>
      <c r="R128" s="13" t="s">
        <v>16</v>
      </c>
      <c r="S128" s="13" t="s">
        <v>137</v>
      </c>
      <c r="T128" s="13" t="s">
        <v>171</v>
      </c>
      <c r="U128" s="16" t="s">
        <v>13</v>
      </c>
      <c r="V128" s="16" t="s">
        <v>19</v>
      </c>
      <c r="W128" s="29" t="s"/>
      <c r="X128" s="26" t="s">
        <f>=M128&amp;N128&amp;P128&amp;Q128&amp;T128&amp;V128&amp;S128</f>
        <v>173</v>
      </c>
      <c r="Y128" s="19" t="s"/>
      <c r="Z128" s="19" t="s"/>
      <c r="AA128" s="19" t="s"/>
      <c r="AB128" s="19" t="s"/>
    </row>
    <row r="129" spans="1:28" ht="14.4">
      <c r="A129" s="4">
        <f>=H129/G129-1</f>
        <v>0.1</v>
      </c>
      <c r="B129" s="20">
        <f>=F129/12</f>
        <v>17.325</v>
      </c>
      <c r="C129" s="20">
        <f>=J129/3</f>
        <v>138.6</v>
      </c>
      <c r="D129" s="20">
        <f>=K129/3</f>
        <v>154</v>
      </c>
      <c r="E129" s="20">
        <f>=L129/3</f>
        <v>161.7</v>
      </c>
      <c r="F129" s="20">
        <f>=H129*0.9</f>
        <v>207.9</v>
      </c>
      <c r="G129" s="21">
        <v>210</v>
      </c>
      <c r="H129" s="27">
        <v>231</v>
      </c>
      <c r="I129" s="28">
        <f>=H129*1.05</f>
        <v>242.55</v>
      </c>
      <c r="J129" s="28">
        <f>=F129*2</f>
        <v>415.8</v>
      </c>
      <c r="K129" s="28">
        <f>=H129*2</f>
        <v>462</v>
      </c>
      <c r="L129" s="28">
        <f>=I129*2</f>
        <v>485.1</v>
      </c>
      <c r="M129" s="13" t="s">
        <v>15</v>
      </c>
      <c r="N129" s="13">
        <v>1.5</v>
      </c>
      <c r="O129" s="13" t="s"/>
      <c r="P129" s="13">
        <v>1</v>
      </c>
      <c r="Q129" s="13">
        <v>1</v>
      </c>
      <c r="R129" s="13" t="s">
        <v>16</v>
      </c>
      <c r="S129" s="13" t="s">
        <v>137</v>
      </c>
      <c r="T129" s="13" t="s">
        <v>171</v>
      </c>
      <c r="U129" s="16" t="s">
        <v>13</v>
      </c>
      <c r="V129" s="16" t="s">
        <v>19</v>
      </c>
      <c r="W129" s="29" t="s"/>
      <c r="X129" s="26" t="s">
        <f>=M129&amp;N129&amp;P129&amp;Q129&amp;T129&amp;V129&amp;S129</f>
        <v>174</v>
      </c>
      <c r="Y129" s="19" t="s"/>
      <c r="Z129" s="19" t="s"/>
      <c r="AA129" s="19" t="s"/>
      <c r="AB129" s="19" t="s"/>
    </row>
    <row r="130" spans="1:28" ht="14.4">
      <c r="A130" s="4">
        <f>=H130/G130-1</f>
        <v>0.101449275362319</v>
      </c>
      <c r="B130" s="20">
        <f>=F130/12</f>
        <v>22.8</v>
      </c>
      <c r="C130" s="20">
        <f>=J130/3</f>
        <v>182.4</v>
      </c>
      <c r="D130" s="20">
        <f>=K130/3</f>
        <v>202.666666666667</v>
      </c>
      <c r="E130" s="20">
        <f>=L130/3</f>
        <v>212.8</v>
      </c>
      <c r="F130" s="20">
        <f>=H130*0.9</f>
        <v>273.6</v>
      </c>
      <c r="G130" s="21">
        <v>276</v>
      </c>
      <c r="H130" s="27">
        <v>304</v>
      </c>
      <c r="I130" s="28">
        <f>=H130*1.05</f>
        <v>319.2</v>
      </c>
      <c r="J130" s="28">
        <f>=F130*2</f>
        <v>547.2</v>
      </c>
      <c r="K130" s="28">
        <f>=H130*2</f>
        <v>608</v>
      </c>
      <c r="L130" s="28">
        <f>=I130*2</f>
        <v>638.4</v>
      </c>
      <c r="M130" s="13" t="s">
        <v>15</v>
      </c>
      <c r="N130" s="13">
        <v>1.5</v>
      </c>
      <c r="O130" s="13" t="s"/>
      <c r="P130" s="13">
        <v>1.5</v>
      </c>
      <c r="Q130" s="13">
        <v>1.5</v>
      </c>
      <c r="R130" s="13" t="s">
        <v>16</v>
      </c>
      <c r="S130" s="13" t="s">
        <v>137</v>
      </c>
      <c r="T130" s="13" t="s">
        <v>171</v>
      </c>
      <c r="U130" s="16" t="s">
        <v>13</v>
      </c>
      <c r="V130" s="16" t="s">
        <v>19</v>
      </c>
      <c r="W130" s="29" t="s"/>
      <c r="X130" s="26" t="s">
        <f>=M130&amp;N130&amp;P130&amp;Q130&amp;T130&amp;V130&amp;S130</f>
        <v>175</v>
      </c>
      <c r="Y130" s="19" t="s"/>
      <c r="Z130" s="19" t="s"/>
      <c r="AA130" s="19" t="s"/>
      <c r="AB130" s="19" t="s"/>
    </row>
    <row r="131" spans="1:28" ht="14.4">
      <c r="A131" s="4">
        <f>=H131/G131-1</f>
        <v>0.100946372239748</v>
      </c>
      <c r="B131" s="20">
        <f>=F131/12</f>
        <v>26.175</v>
      </c>
      <c r="C131" s="20">
        <f>=J131/3</f>
        <v>209.4</v>
      </c>
      <c r="D131" s="20">
        <f>=K131/3</f>
        <v>232.666666666667</v>
      </c>
      <c r="E131" s="20">
        <f>=L131/3</f>
        <v>244.3</v>
      </c>
      <c r="F131" s="20">
        <f>=H131*0.9</f>
        <v>314.1</v>
      </c>
      <c r="G131" s="21">
        <v>317</v>
      </c>
      <c r="H131" s="27">
        <v>349</v>
      </c>
      <c r="I131" s="28">
        <f>=H131*1.05</f>
        <v>366.45</v>
      </c>
      <c r="J131" s="28">
        <f>=F131*2</f>
        <v>628.2</v>
      </c>
      <c r="K131" s="28">
        <f>=H131*2</f>
        <v>698</v>
      </c>
      <c r="L131" s="28">
        <f>=I131*2</f>
        <v>732.9</v>
      </c>
      <c r="M131" s="13" t="s">
        <v>15</v>
      </c>
      <c r="N131" s="13">
        <v>1.5</v>
      </c>
      <c r="O131" s="13" t="s"/>
      <c r="P131" s="13">
        <v>2</v>
      </c>
      <c r="Q131" s="13">
        <v>2</v>
      </c>
      <c r="R131" s="13" t="s">
        <v>16</v>
      </c>
      <c r="S131" s="13" t="s">
        <v>137</v>
      </c>
      <c r="T131" s="13" t="s">
        <v>163</v>
      </c>
      <c r="U131" s="16" t="s">
        <v>13</v>
      </c>
      <c r="V131" s="16" t="s">
        <v>19</v>
      </c>
      <c r="W131" s="29" t="s"/>
      <c r="X131" s="26" t="s">
        <f>=M131&amp;N131&amp;P131&amp;Q131&amp;T131&amp;V131&amp;S131</f>
        <v>176</v>
      </c>
      <c r="Y131" s="19" t="s"/>
      <c r="Z131" s="19" t="s"/>
      <c r="AA131" s="19" t="s"/>
      <c r="AB131" s="19" t="s"/>
    </row>
    <row r="132" spans="1:28" ht="14.4">
      <c r="A132" s="4">
        <f>=H132/G132-1</f>
        <v>0.0993520518358531</v>
      </c>
      <c r="B132" s="20">
        <f>=F132/12</f>
        <v>38.175</v>
      </c>
      <c r="C132" s="20">
        <f>=J132/3</f>
        <v>305.4</v>
      </c>
      <c r="D132" s="20">
        <f>=K132/3</f>
        <v>339.333333333333</v>
      </c>
      <c r="E132" s="20">
        <f>=L132/3</f>
        <v>356.3</v>
      </c>
      <c r="F132" s="20">
        <f>=H132*0.9</f>
        <v>458.1</v>
      </c>
      <c r="G132" s="21">
        <v>463</v>
      </c>
      <c r="H132" s="27">
        <v>509</v>
      </c>
      <c r="I132" s="28">
        <f>=H132*1.05</f>
        <v>534.45</v>
      </c>
      <c r="J132" s="28">
        <f>=F132*2</f>
        <v>916.2</v>
      </c>
      <c r="K132" s="28">
        <f>=H132*2</f>
        <v>1018</v>
      </c>
      <c r="L132" s="28">
        <f>=I132*2</f>
        <v>1068.9</v>
      </c>
      <c r="M132" s="13" t="s">
        <v>15</v>
      </c>
      <c r="N132" s="13">
        <v>1.5</v>
      </c>
      <c r="O132" s="13" t="s"/>
      <c r="P132" s="13">
        <v>3</v>
      </c>
      <c r="Q132" s="13">
        <v>3</v>
      </c>
      <c r="R132" s="13" t="s">
        <v>16</v>
      </c>
      <c r="S132" s="13" t="s">
        <v>137</v>
      </c>
      <c r="T132" s="13" t="s">
        <v>163</v>
      </c>
      <c r="U132" s="16" t="s">
        <v>13</v>
      </c>
      <c r="V132" s="16" t="s">
        <v>19</v>
      </c>
      <c r="W132" s="29" t="s"/>
      <c r="X132" s="26" t="s">
        <f>=M132&amp;N132&amp;P132&amp;Q132&amp;T132&amp;V132&amp;S132</f>
        <v>177</v>
      </c>
      <c r="Y132" s="19" t="s"/>
      <c r="Z132" s="19" t="s"/>
      <c r="AA132" s="19" t="s"/>
      <c r="AB132" s="19" t="s"/>
    </row>
    <row r="133" spans="1:28" ht="14.4">
      <c r="A133" s="4">
        <f>=H133/G133-1</f>
        <v>0.100135317997294</v>
      </c>
      <c r="B133" s="20">
        <f>=F133/12</f>
        <v>60.975</v>
      </c>
      <c r="C133" s="20">
        <f>=J133/3</f>
        <v>487.8</v>
      </c>
      <c r="D133" s="20">
        <f>=K133/3</f>
        <v>542</v>
      </c>
      <c r="E133" s="20">
        <f>=L133/3</f>
        <v>569.1</v>
      </c>
      <c r="F133" s="20">
        <f>=H133*0.9</f>
        <v>731.7</v>
      </c>
      <c r="G133" s="21">
        <v>739</v>
      </c>
      <c r="H133" s="27">
        <v>813</v>
      </c>
      <c r="I133" s="28">
        <f>=H133*1.05</f>
        <v>853.65</v>
      </c>
      <c r="J133" s="28">
        <f>=F133*2</f>
        <v>1463.4</v>
      </c>
      <c r="K133" s="28">
        <f>=H133*2</f>
        <v>1626</v>
      </c>
      <c r="L133" s="28">
        <f>=I133*2</f>
        <v>1707.3</v>
      </c>
      <c r="M133" s="13" t="s">
        <v>15</v>
      </c>
      <c r="N133" s="13">
        <v>1.5</v>
      </c>
      <c r="O133" s="13" t="s"/>
      <c r="P133" s="13">
        <v>4</v>
      </c>
      <c r="Q133" s="13">
        <v>4</v>
      </c>
      <c r="R133" s="13" t="s">
        <v>16</v>
      </c>
      <c r="S133" s="13" t="s">
        <v>137</v>
      </c>
      <c r="T133" s="13" t="s">
        <v>163</v>
      </c>
      <c r="U133" s="16" t="s">
        <v>13</v>
      </c>
      <c r="V133" s="16" t="s">
        <v>19</v>
      </c>
      <c r="W133" s="29" t="s"/>
      <c r="X133" s="26" t="s">
        <f>=M133&amp;N133&amp;P133&amp;Q133&amp;T133&amp;V133&amp;S133</f>
        <v>178</v>
      </c>
      <c r="Y133" s="19" t="s"/>
      <c r="Z133" s="19" t="s"/>
      <c r="AA133" s="19" t="s"/>
      <c r="AB133" s="19" t="s"/>
    </row>
    <row r="134" spans="1:28" ht="14.4">
      <c r="A134" s="4">
        <f>=H134/G134-1</f>
        <v>0.0988372093023256</v>
      </c>
      <c r="B134" s="20">
        <f>=F134/12</f>
        <v>14.175</v>
      </c>
      <c r="C134" s="20">
        <f>=J134/3</f>
        <v>113.4</v>
      </c>
      <c r="D134" s="20">
        <f>=K134/3</f>
        <v>126</v>
      </c>
      <c r="E134" s="20">
        <f>=L134/3</f>
        <v>132.3</v>
      </c>
      <c r="F134" s="20">
        <f>=H134*0.9</f>
        <v>170.1</v>
      </c>
      <c r="G134" s="21">
        <v>172</v>
      </c>
      <c r="H134" s="27">
        <v>189</v>
      </c>
      <c r="I134" s="28">
        <f>=H134*1.05</f>
        <v>198.45</v>
      </c>
      <c r="J134" s="28">
        <f>=F134*2</f>
        <v>340.2</v>
      </c>
      <c r="K134" s="28">
        <f>=H134*2</f>
        <v>378</v>
      </c>
      <c r="L134" s="28">
        <f>=I134*2</f>
        <v>396.9</v>
      </c>
      <c r="M134" s="13" t="s">
        <v>15</v>
      </c>
      <c r="N134" s="13">
        <v>1.5</v>
      </c>
      <c r="O134" s="13" t="s"/>
      <c r="P134" s="13" t="s">
        <v>21</v>
      </c>
      <c r="Q134" s="13" t="s">
        <v>21</v>
      </c>
      <c r="R134" s="13" t="s">
        <v>16</v>
      </c>
      <c r="S134" s="13" t="s">
        <v>137</v>
      </c>
      <c r="T134" s="13" t="s">
        <v>171</v>
      </c>
      <c r="U134" s="16" t="s">
        <v>13</v>
      </c>
      <c r="V134" s="16" t="s">
        <v>19</v>
      </c>
      <c r="W134" s="29" t="s"/>
      <c r="X134" s="26" t="s">
        <f>=M134&amp;N134&amp;P134&amp;Q134&amp;T134&amp;V134&amp;S134</f>
        <v>179</v>
      </c>
      <c r="Y134" s="19" t="s"/>
      <c r="Z134" s="19" t="s"/>
      <c r="AA134" s="19" t="s"/>
      <c r="AB134" s="19" t="s"/>
    </row>
    <row r="135" spans="1:28" ht="14.4">
      <c r="A135" s="4">
        <f>=H135/G135-1</f>
        <v>0.099056603773585</v>
      </c>
      <c r="B135" s="20">
        <f>=F135/12</f>
        <v>17.475</v>
      </c>
      <c r="C135" s="20">
        <f>=J135/3</f>
        <v>139.8</v>
      </c>
      <c r="D135" s="20">
        <f>=K135/3</f>
        <v>155.333333333333</v>
      </c>
      <c r="E135" s="20">
        <f>=L135/3</f>
        <v>163.1</v>
      </c>
      <c r="F135" s="20">
        <f>=H135*0.9</f>
        <v>209.7</v>
      </c>
      <c r="G135" s="21">
        <v>212</v>
      </c>
      <c r="H135" s="27">
        <v>233</v>
      </c>
      <c r="I135" s="28">
        <f>=H135*1.05</f>
        <v>244.65</v>
      </c>
      <c r="J135" s="28">
        <f>=F135*2</f>
        <v>419.4</v>
      </c>
      <c r="K135" s="28">
        <f>=H135*2</f>
        <v>466</v>
      </c>
      <c r="L135" s="28">
        <f>=I135*2</f>
        <v>489.3</v>
      </c>
      <c r="M135" s="13" t="s">
        <v>15</v>
      </c>
      <c r="N135" s="13">
        <v>1.6</v>
      </c>
      <c r="O135" s="13" t="s"/>
      <c r="P135" s="13">
        <v>1</v>
      </c>
      <c r="Q135" s="13">
        <v>1</v>
      </c>
      <c r="R135" s="13" t="s">
        <v>16</v>
      </c>
      <c r="S135" s="13" t="s">
        <v>137</v>
      </c>
      <c r="T135" s="13" t="s">
        <v>171</v>
      </c>
      <c r="U135" s="16" t="s">
        <v>13</v>
      </c>
      <c r="V135" s="16" t="s">
        <v>19</v>
      </c>
      <c r="W135" s="29" t="s"/>
      <c r="X135" s="26" t="s">
        <f>=M135&amp;N135&amp;P135&amp;Q135&amp;T135&amp;V135&amp;S135</f>
        <v>180</v>
      </c>
      <c r="Y135" s="19" t="s"/>
      <c r="Z135" s="19" t="s"/>
      <c r="AA135" s="19" t="s"/>
      <c r="AB135" s="19" t="s"/>
    </row>
    <row r="136" spans="1:28" ht="14.4">
      <c r="A136" s="4">
        <f>=H136/G136-1</f>
        <v>0.10062893081761</v>
      </c>
      <c r="B136" s="20">
        <f>=F136/12</f>
        <v>26.25</v>
      </c>
      <c r="C136" s="20">
        <f>=J136/3</f>
        <v>210</v>
      </c>
      <c r="D136" s="20">
        <f>=K136/3</f>
        <v>233.333333333333</v>
      </c>
      <c r="E136" s="20">
        <f>=L136/3</f>
        <v>245</v>
      </c>
      <c r="F136" s="20">
        <f>=H136*0.9</f>
        <v>315</v>
      </c>
      <c r="G136" s="21">
        <v>318</v>
      </c>
      <c r="H136" s="27">
        <v>350</v>
      </c>
      <c r="I136" s="28">
        <f>=H136*1.05</f>
        <v>367.5</v>
      </c>
      <c r="J136" s="28">
        <f>=F136*2</f>
        <v>630</v>
      </c>
      <c r="K136" s="28">
        <f>=H136*2</f>
        <v>700</v>
      </c>
      <c r="L136" s="28">
        <f>=I136*2</f>
        <v>735</v>
      </c>
      <c r="M136" s="13" t="s">
        <v>15</v>
      </c>
      <c r="N136" s="13">
        <v>1.6</v>
      </c>
      <c r="O136" s="13" t="s"/>
      <c r="P136" s="13">
        <v>1.5</v>
      </c>
      <c r="Q136" s="13">
        <v>1.5</v>
      </c>
      <c r="R136" s="13" t="s">
        <v>16</v>
      </c>
      <c r="S136" s="13" t="s">
        <v>137</v>
      </c>
      <c r="T136" s="13" t="s">
        <v>171</v>
      </c>
      <c r="U136" s="16" t="s">
        <v>13</v>
      </c>
      <c r="V136" s="16" t="s">
        <v>19</v>
      </c>
      <c r="W136" s="29" t="s"/>
      <c r="X136" s="26" t="s">
        <f>=M136&amp;N136&amp;P136&amp;Q136&amp;T136&amp;V136&amp;S136</f>
        <v>181</v>
      </c>
      <c r="Y136" s="19" t="s"/>
      <c r="Z136" s="19" t="s"/>
      <c r="AA136" s="19" t="s"/>
      <c r="AB136" s="19" t="s"/>
    </row>
    <row r="137" spans="1:28" ht="14.4">
      <c r="A137" s="4">
        <f>=H137/G137-1</f>
        <v>0.10062893081761</v>
      </c>
      <c r="B137" s="20">
        <f>=F137/12</f>
        <v>26.25</v>
      </c>
      <c r="C137" s="20">
        <f>=J137/3</f>
        <v>210</v>
      </c>
      <c r="D137" s="20">
        <f>=K137/3</f>
        <v>233.333333333333</v>
      </c>
      <c r="E137" s="20">
        <f>=L137/3</f>
        <v>245</v>
      </c>
      <c r="F137" s="20">
        <f>=H137*0.9</f>
        <v>315</v>
      </c>
      <c r="G137" s="21">
        <v>318</v>
      </c>
      <c r="H137" s="27">
        <v>350</v>
      </c>
      <c r="I137" s="28">
        <f>=H137*1.05</f>
        <v>367.5</v>
      </c>
      <c r="J137" s="28">
        <f>=F137*2</f>
        <v>630</v>
      </c>
      <c r="K137" s="28">
        <f>=H137*2</f>
        <v>700</v>
      </c>
      <c r="L137" s="28">
        <f>=I137*2</f>
        <v>735</v>
      </c>
      <c r="M137" s="13" t="s">
        <v>15</v>
      </c>
      <c r="N137" s="13">
        <v>1.6</v>
      </c>
      <c r="O137" s="13" t="s"/>
      <c r="P137" s="13">
        <v>2</v>
      </c>
      <c r="Q137" s="13">
        <v>2</v>
      </c>
      <c r="R137" s="13" t="s">
        <v>16</v>
      </c>
      <c r="S137" s="13" t="s">
        <v>137</v>
      </c>
      <c r="T137" s="13" t="s">
        <v>171</v>
      </c>
      <c r="U137" s="16" t="s">
        <v>13</v>
      </c>
      <c r="V137" s="16" t="s">
        <v>19</v>
      </c>
      <c r="W137" s="29" t="s"/>
      <c r="X137" s="26" t="s">
        <f>=M137&amp;N137&amp;P137&amp;Q137&amp;T137&amp;V137&amp;S137</f>
        <v>182</v>
      </c>
      <c r="Y137" s="19" t="s"/>
      <c r="Z137" s="19" t="s"/>
      <c r="AA137" s="19" t="s"/>
      <c r="AB137" s="19" t="s"/>
    </row>
    <row r="138" spans="1:28" ht="14.4">
      <c r="A138" s="4">
        <f>=H138/G138-1</f>
        <v>0.101075268817204</v>
      </c>
      <c r="B138" s="20">
        <f>=F138/12</f>
        <v>38.4</v>
      </c>
      <c r="C138" s="20">
        <f>=J138/3</f>
        <v>307.2</v>
      </c>
      <c r="D138" s="20">
        <f>=K138/3</f>
        <v>341.333333333333</v>
      </c>
      <c r="E138" s="20">
        <f>=L138/3</f>
        <v>358.4</v>
      </c>
      <c r="F138" s="20">
        <f>=H138*0.9</f>
        <v>460.8</v>
      </c>
      <c r="G138" s="21">
        <v>465</v>
      </c>
      <c r="H138" s="27">
        <v>512</v>
      </c>
      <c r="I138" s="28">
        <f>=H138*1.05</f>
        <v>537.6</v>
      </c>
      <c r="J138" s="28">
        <f>=F138*2</f>
        <v>921.6</v>
      </c>
      <c r="K138" s="28">
        <f>=H138*2</f>
        <v>1024</v>
      </c>
      <c r="L138" s="28">
        <f>=I138*2</f>
        <v>1075.2</v>
      </c>
      <c r="M138" s="13" t="s">
        <v>15</v>
      </c>
      <c r="N138" s="13">
        <v>1.6</v>
      </c>
      <c r="O138" s="13" t="s"/>
      <c r="P138" s="13">
        <v>3</v>
      </c>
      <c r="Q138" s="13">
        <v>3</v>
      </c>
      <c r="R138" s="13" t="s">
        <v>16</v>
      </c>
      <c r="S138" s="13" t="s">
        <v>137</v>
      </c>
      <c r="T138" s="13" t="s">
        <v>163</v>
      </c>
      <c r="U138" s="16" t="s">
        <v>13</v>
      </c>
      <c r="V138" s="16" t="s">
        <v>19</v>
      </c>
      <c r="W138" s="29" t="s"/>
      <c r="X138" s="26" t="s">
        <f>=M138&amp;N138&amp;P138&amp;Q138&amp;T138&amp;V138&amp;S138</f>
        <v>183</v>
      </c>
      <c r="Y138" s="19" t="s"/>
      <c r="Z138" s="19" t="s"/>
      <c r="AA138" s="19" t="s"/>
      <c r="AB138" s="19" t="s"/>
    </row>
    <row r="139" spans="1:28" ht="14.4">
      <c r="A139" s="4">
        <f>=H139/G139-1</f>
        <v>0.100671140939597</v>
      </c>
      <c r="B139" s="20">
        <f>=F139/12</f>
        <v>61.5</v>
      </c>
      <c r="C139" s="20">
        <f>=J139/3</f>
        <v>492</v>
      </c>
      <c r="D139" s="20">
        <f>=K139/3</f>
        <v>546.666666666667</v>
      </c>
      <c r="E139" s="20">
        <f>=L139/3</f>
        <v>574</v>
      </c>
      <c r="F139" s="20">
        <f>=H139*0.9</f>
        <v>738</v>
      </c>
      <c r="G139" s="21">
        <v>745</v>
      </c>
      <c r="H139" s="27">
        <v>820</v>
      </c>
      <c r="I139" s="28">
        <f>=H139*1.05</f>
        <v>861</v>
      </c>
      <c r="J139" s="28">
        <f>=F139*2</f>
        <v>1476</v>
      </c>
      <c r="K139" s="28">
        <f>=H139*2</f>
        <v>1640</v>
      </c>
      <c r="L139" s="28">
        <f>=I139*2</f>
        <v>1722</v>
      </c>
      <c r="M139" s="13" t="s">
        <v>15</v>
      </c>
      <c r="N139" s="13">
        <v>1.6</v>
      </c>
      <c r="O139" s="13" t="s"/>
      <c r="P139" s="13">
        <v>4</v>
      </c>
      <c r="Q139" s="13">
        <v>4</v>
      </c>
      <c r="R139" s="13" t="s">
        <v>16</v>
      </c>
      <c r="S139" s="13" t="s">
        <v>137</v>
      </c>
      <c r="T139" s="13" t="s">
        <v>163</v>
      </c>
      <c r="U139" s="16" t="s">
        <v>13</v>
      </c>
      <c r="V139" s="16" t="s">
        <v>19</v>
      </c>
      <c r="W139" s="29" t="s"/>
      <c r="X139" s="26" t="s">
        <f>=M139&amp;N139&amp;P139&amp;Q139&amp;T139&amp;V139&amp;S139</f>
        <v>184</v>
      </c>
      <c r="Y139" s="19" t="s"/>
      <c r="Z139" s="19" t="s"/>
      <c r="AA139" s="19" t="s"/>
      <c r="AB139" s="19" t="s"/>
    </row>
    <row r="140" spans="1:28" ht="14.4">
      <c r="A140" s="4">
        <f>=H140/G140-1</f>
        <v>0.100558659217877</v>
      </c>
      <c r="B140" s="20">
        <f>=F140/12</f>
        <v>14.775</v>
      </c>
      <c r="C140" s="20">
        <f>=J140/3</f>
        <v>118.2</v>
      </c>
      <c r="D140" s="20">
        <f>=K140/3</f>
        <v>131.333333333333</v>
      </c>
      <c r="E140" s="20">
        <f>=L140/3</f>
        <v>137.9</v>
      </c>
      <c r="F140" s="20">
        <f>=H140*0.9</f>
        <v>177.3</v>
      </c>
      <c r="G140" s="21">
        <v>179</v>
      </c>
      <c r="H140" s="27">
        <v>197</v>
      </c>
      <c r="I140" s="28">
        <f>=H140*1.05</f>
        <v>206.85</v>
      </c>
      <c r="J140" s="28">
        <f>=F140*2</f>
        <v>354.6</v>
      </c>
      <c r="K140" s="28">
        <f>=H140*2</f>
        <v>394</v>
      </c>
      <c r="L140" s="28">
        <f>=I140*2</f>
        <v>413.7</v>
      </c>
      <c r="M140" s="13" t="s">
        <v>15</v>
      </c>
      <c r="N140" s="13">
        <v>1.6</v>
      </c>
      <c r="O140" s="13" t="s"/>
      <c r="P140" s="13" t="s">
        <v>21</v>
      </c>
      <c r="Q140" s="13" t="s">
        <v>21</v>
      </c>
      <c r="R140" s="13" t="s">
        <v>16</v>
      </c>
      <c r="S140" s="13" t="s">
        <v>137</v>
      </c>
      <c r="T140" s="13" t="s">
        <v>171</v>
      </c>
      <c r="U140" s="16" t="s">
        <v>13</v>
      </c>
      <c r="V140" s="16" t="s">
        <v>19</v>
      </c>
      <c r="W140" s="29" t="s"/>
      <c r="X140" s="26" t="s">
        <f>=M140&amp;N140&amp;P140&amp;Q140&amp;T140&amp;V140&amp;S140</f>
        <v>185</v>
      </c>
      <c r="Y140" s="19" t="s"/>
      <c r="Z140" s="19" t="s"/>
      <c r="AA140" s="19" t="s"/>
      <c r="AB140" s="19" t="s"/>
    </row>
    <row r="141" spans="1:28" ht="14.4">
      <c r="A141" s="4">
        <f>=H141/G141-1</f>
        <v>0.0992366412213741</v>
      </c>
      <c r="B141" s="20">
        <f>=F141/12</f>
        <v>21.6</v>
      </c>
      <c r="C141" s="20">
        <f>=J141/3</f>
        <v>172.8</v>
      </c>
      <c r="D141" s="20">
        <f>=K141/3</f>
        <v>192</v>
      </c>
      <c r="E141" s="20">
        <f>=L141/3</f>
        <v>201.6</v>
      </c>
      <c r="F141" s="20">
        <f>=H141*0.9</f>
        <v>259.2</v>
      </c>
      <c r="G141" s="21">
        <v>262</v>
      </c>
      <c r="H141" s="27">
        <v>288</v>
      </c>
      <c r="I141" s="28">
        <f>=H141*1.05</f>
        <v>302.4</v>
      </c>
      <c r="J141" s="28">
        <f>=F141*2</f>
        <v>518.4</v>
      </c>
      <c r="K141" s="28">
        <f>=H141*2</f>
        <v>576</v>
      </c>
      <c r="L141" s="28">
        <f>=I141*2</f>
        <v>604.8</v>
      </c>
      <c r="M141" s="13" t="s">
        <v>15</v>
      </c>
      <c r="N141" s="13">
        <v>1.7</v>
      </c>
      <c r="O141" s="13" t="s"/>
      <c r="P141" s="13">
        <v>1</v>
      </c>
      <c r="Q141" s="13">
        <v>1</v>
      </c>
      <c r="R141" s="13" t="s">
        <v>16</v>
      </c>
      <c r="S141" s="13" t="s">
        <v>137</v>
      </c>
      <c r="T141" s="13" t="s">
        <v>186</v>
      </c>
      <c r="U141" s="16" t="s">
        <v>13</v>
      </c>
      <c r="V141" s="16" t="s">
        <v>19</v>
      </c>
      <c r="W141" s="29" t="s"/>
      <c r="X141" s="26" t="s">
        <f>=M141&amp;N141&amp;P141&amp;Q141&amp;T141&amp;V141&amp;S141</f>
        <v>187</v>
      </c>
      <c r="Y141" s="19" t="s"/>
      <c r="Z141" s="19" t="s"/>
      <c r="AA141" s="19" t="s"/>
      <c r="AB141" s="19" t="s"/>
    </row>
    <row r="142" spans="1:28" ht="14.4">
      <c r="A142" s="4">
        <f>=H142/G142-1</f>
        <v>0.0997067448680351</v>
      </c>
      <c r="B142" s="20">
        <f>=F142/12</f>
        <v>28.125</v>
      </c>
      <c r="C142" s="20">
        <f>=J142/3</f>
        <v>225</v>
      </c>
      <c r="D142" s="20">
        <f>=K142/3</f>
        <v>250</v>
      </c>
      <c r="E142" s="20">
        <f>=L142/3</f>
        <v>262.5</v>
      </c>
      <c r="F142" s="20">
        <f>=H142*0.9</f>
        <v>337.5</v>
      </c>
      <c r="G142" s="21">
        <v>341</v>
      </c>
      <c r="H142" s="27">
        <v>375</v>
      </c>
      <c r="I142" s="28">
        <f>=H142*1.05</f>
        <v>393.75</v>
      </c>
      <c r="J142" s="28">
        <f>=F142*2</f>
        <v>675</v>
      </c>
      <c r="K142" s="28">
        <f>=H142*2</f>
        <v>750</v>
      </c>
      <c r="L142" s="28">
        <f>=I142*2</f>
        <v>787.5</v>
      </c>
      <c r="M142" s="13" t="s">
        <v>15</v>
      </c>
      <c r="N142" s="13">
        <v>1.7</v>
      </c>
      <c r="O142" s="13" t="s"/>
      <c r="P142" s="13">
        <v>1.5</v>
      </c>
      <c r="Q142" s="13">
        <v>1.5</v>
      </c>
      <c r="R142" s="13" t="s">
        <v>16</v>
      </c>
      <c r="S142" s="13" t="s">
        <v>137</v>
      </c>
      <c r="T142" s="13" t="s">
        <v>186</v>
      </c>
      <c r="U142" s="16" t="s">
        <v>13</v>
      </c>
      <c r="V142" s="16" t="s">
        <v>19</v>
      </c>
      <c r="W142" s="29" t="s"/>
      <c r="X142" s="26" t="s">
        <f>=M142&amp;N142&amp;P142&amp;Q142&amp;T142&amp;V142&amp;S142</f>
        <v>188</v>
      </c>
      <c r="Y142" s="19" t="s"/>
      <c r="Z142" s="19" t="s"/>
      <c r="AA142" s="19" t="s"/>
      <c r="AB142" s="19" t="s"/>
    </row>
    <row r="143" spans="1:28" ht="14.4">
      <c r="A143" s="4">
        <f>=H143/G143-1</f>
        <v>0.0991501416430596</v>
      </c>
      <c r="B143" s="20">
        <f>=F143/12</f>
        <v>29.1</v>
      </c>
      <c r="C143" s="20">
        <f>=J143/3</f>
        <v>232.8</v>
      </c>
      <c r="D143" s="20">
        <f>=K143/3</f>
        <v>258.666666666667</v>
      </c>
      <c r="E143" s="20">
        <f>=L143/3</f>
        <v>271.6</v>
      </c>
      <c r="F143" s="20">
        <f>=H143*0.9</f>
        <v>349.2</v>
      </c>
      <c r="G143" s="21">
        <v>353</v>
      </c>
      <c r="H143" s="27">
        <v>388</v>
      </c>
      <c r="I143" s="28">
        <f>=H143*1.05</f>
        <v>407.4</v>
      </c>
      <c r="J143" s="28">
        <f>=F143*2</f>
        <v>698.4</v>
      </c>
      <c r="K143" s="28">
        <f>=H143*2</f>
        <v>776</v>
      </c>
      <c r="L143" s="28">
        <f>=I143*2</f>
        <v>814.8</v>
      </c>
      <c r="M143" s="13" t="s">
        <v>15</v>
      </c>
      <c r="N143" s="13">
        <v>1.7</v>
      </c>
      <c r="O143" s="13" t="s"/>
      <c r="P143" s="13">
        <v>2</v>
      </c>
      <c r="Q143" s="13">
        <v>2</v>
      </c>
      <c r="R143" s="13" t="s">
        <v>16</v>
      </c>
      <c r="S143" s="13" t="s">
        <v>137</v>
      </c>
      <c r="T143" s="13" t="s">
        <v>171</v>
      </c>
      <c r="U143" s="16" t="s">
        <v>13</v>
      </c>
      <c r="V143" s="16" t="s">
        <v>19</v>
      </c>
      <c r="W143" s="29" t="s"/>
      <c r="X143" s="26" t="s">
        <f>=M143&amp;N143&amp;P143&amp;Q143&amp;T143&amp;V143&amp;S143</f>
        <v>189</v>
      </c>
      <c r="Y143" s="19" t="s"/>
      <c r="Z143" s="19" t="s"/>
      <c r="AA143" s="19" t="s"/>
      <c r="AB143" s="19" t="s"/>
    </row>
    <row r="144" spans="1:28" ht="14.4">
      <c r="A144" s="4">
        <f>=H144/G144-1</f>
        <v>0.0998003992015968</v>
      </c>
      <c r="B144" s="20">
        <f>=F144/12</f>
        <v>41.325</v>
      </c>
      <c r="C144" s="20">
        <f>=J144/3</f>
        <v>330.6</v>
      </c>
      <c r="D144" s="20">
        <f>=K144/3</f>
        <v>367.333333333333</v>
      </c>
      <c r="E144" s="20">
        <f>=L144/3</f>
        <v>385.7</v>
      </c>
      <c r="F144" s="20">
        <f>=H144*0.9</f>
        <v>495.9</v>
      </c>
      <c r="G144" s="21">
        <v>501</v>
      </c>
      <c r="H144" s="27">
        <v>551</v>
      </c>
      <c r="I144" s="28">
        <f>=H144*1.05</f>
        <v>578.55</v>
      </c>
      <c r="J144" s="28">
        <f>=F144*2</f>
        <v>991.8</v>
      </c>
      <c r="K144" s="28">
        <f>=H144*2</f>
        <v>1102</v>
      </c>
      <c r="L144" s="28">
        <f>=I144*2</f>
        <v>1157.1</v>
      </c>
      <c r="M144" s="13" t="s">
        <v>15</v>
      </c>
      <c r="N144" s="13">
        <v>1.7</v>
      </c>
      <c r="O144" s="13" t="s"/>
      <c r="P144" s="13">
        <v>3</v>
      </c>
      <c r="Q144" s="13">
        <v>3</v>
      </c>
      <c r="R144" s="13" t="s">
        <v>16</v>
      </c>
      <c r="S144" s="13" t="s">
        <v>137</v>
      </c>
      <c r="T144" s="13" t="s">
        <v>171</v>
      </c>
      <c r="U144" s="16" t="s">
        <v>13</v>
      </c>
      <c r="V144" s="16" t="s">
        <v>19</v>
      </c>
      <c r="W144" s="29" t="s"/>
      <c r="X144" s="26" t="s">
        <f>=M144&amp;N144&amp;P144&amp;Q144&amp;T144&amp;V144&amp;S144</f>
        <v>190</v>
      </c>
      <c r="Y144" s="19" t="s"/>
      <c r="Z144" s="19" t="s"/>
      <c r="AA144" s="19" t="s"/>
      <c r="AB144" s="19" t="s"/>
    </row>
    <row r="145" spans="1:28" ht="14.4">
      <c r="A145" s="4">
        <f>=H145/G145-1</f>
        <v>0.0997304582210244</v>
      </c>
      <c r="B145" s="20">
        <f>=F145/12</f>
        <v>30.6</v>
      </c>
      <c r="C145" s="20">
        <f>=J145/3</f>
        <v>244.8</v>
      </c>
      <c r="D145" s="20">
        <f>=K145/3</f>
        <v>272</v>
      </c>
      <c r="E145" s="20">
        <f>=L145/3</f>
        <v>285.6</v>
      </c>
      <c r="F145" s="20">
        <f>=H145*0.9</f>
        <v>367.2</v>
      </c>
      <c r="G145" s="21">
        <v>371</v>
      </c>
      <c r="H145" s="27">
        <v>408</v>
      </c>
      <c r="I145" s="28">
        <f>=H145*1.05</f>
        <v>428.4</v>
      </c>
      <c r="J145" s="28">
        <f>=F145*2</f>
        <v>734.4</v>
      </c>
      <c r="K145" s="28">
        <f>=H145*2</f>
        <v>816</v>
      </c>
      <c r="L145" s="28">
        <f>=I145*2</f>
        <v>856.8</v>
      </c>
      <c r="M145" s="13" t="s">
        <v>15</v>
      </c>
      <c r="N145" s="13">
        <v>1.8</v>
      </c>
      <c r="O145" s="13" t="s"/>
      <c r="P145" s="13">
        <v>2</v>
      </c>
      <c r="Q145" s="13">
        <v>2</v>
      </c>
      <c r="R145" s="13" t="s">
        <v>16</v>
      </c>
      <c r="S145" s="13" t="s">
        <v>137</v>
      </c>
      <c r="T145" s="13" t="s">
        <v>186</v>
      </c>
      <c r="U145" s="16" t="s">
        <v>13</v>
      </c>
      <c r="V145" s="16" t="s">
        <v>19</v>
      </c>
      <c r="W145" s="29" t="s"/>
      <c r="X145" s="26" t="s">
        <f>=M145&amp;N145&amp;P145&amp;Q145&amp;T145&amp;V145&amp;S145</f>
        <v>191</v>
      </c>
      <c r="Y145" s="19" t="s"/>
      <c r="Z145" s="19" t="s"/>
      <c r="AA145" s="19" t="s"/>
      <c r="AB145" s="19" t="s"/>
    </row>
    <row r="146" spans="1:28" ht="14.4">
      <c r="A146" s="4">
        <f>=H146/G146-1</f>
        <v>0.100790513833992</v>
      </c>
      <c r="B146" s="20">
        <f>=F146/12</f>
        <v>41.775</v>
      </c>
      <c r="C146" s="20">
        <f>=J146/3</f>
        <v>334.2</v>
      </c>
      <c r="D146" s="20">
        <f>=K146/3</f>
        <v>371.333333333333</v>
      </c>
      <c r="E146" s="20">
        <f>=L146/3</f>
        <v>389.9</v>
      </c>
      <c r="F146" s="20">
        <f>=H146*0.9</f>
        <v>501.3</v>
      </c>
      <c r="G146" s="21">
        <v>506</v>
      </c>
      <c r="H146" s="27">
        <v>557</v>
      </c>
      <c r="I146" s="28">
        <f>=H146*1.05</f>
        <v>584.85</v>
      </c>
      <c r="J146" s="28">
        <f>=F146*2</f>
        <v>1002.6</v>
      </c>
      <c r="K146" s="28">
        <f>=H146*2</f>
        <v>1114</v>
      </c>
      <c r="L146" s="28">
        <f>=I146*2</f>
        <v>1169.7</v>
      </c>
      <c r="M146" s="13" t="s">
        <v>15</v>
      </c>
      <c r="N146" s="13">
        <v>1.8</v>
      </c>
      <c r="O146" s="13" t="s"/>
      <c r="P146" s="13">
        <v>3</v>
      </c>
      <c r="Q146" s="13">
        <v>3</v>
      </c>
      <c r="R146" s="13" t="s">
        <v>16</v>
      </c>
      <c r="S146" s="13" t="s">
        <v>137</v>
      </c>
      <c r="T146" s="13" t="s">
        <v>171</v>
      </c>
      <c r="U146" s="16" t="s">
        <v>13</v>
      </c>
      <c r="V146" s="16" t="s">
        <v>19</v>
      </c>
      <c r="W146" s="29" t="s"/>
      <c r="X146" s="26" t="s">
        <f>=M146&amp;N146&amp;P146&amp;Q146&amp;T146&amp;V146&amp;S146</f>
        <v>192</v>
      </c>
      <c r="Y146" s="19" t="s"/>
      <c r="Z146" s="19" t="s"/>
      <c r="AA146" s="19" t="s"/>
      <c r="AB146" s="19" t="s"/>
    </row>
    <row r="147" spans="1:28" ht="14.4">
      <c r="A147" s="4">
        <f>=H147/G147-1</f>
        <v>0.101769911504425</v>
      </c>
      <c r="B147" s="20">
        <f>=F147/12</f>
        <v>18.675</v>
      </c>
      <c r="C147" s="20">
        <f>=J147/3</f>
        <v>149.4</v>
      </c>
      <c r="D147" s="20">
        <f>=K147/3</f>
        <v>166</v>
      </c>
      <c r="E147" s="20">
        <f>=L147/3</f>
        <v>174.3</v>
      </c>
      <c r="F147" s="20">
        <f>=H147*0.9</f>
        <v>224.1</v>
      </c>
      <c r="G147" s="21">
        <v>226</v>
      </c>
      <c r="H147" s="27">
        <v>249</v>
      </c>
      <c r="I147" s="28">
        <f>=H147*1.05</f>
        <v>261.45</v>
      </c>
      <c r="J147" s="28">
        <f>=F147*2</f>
        <v>448.2</v>
      </c>
      <c r="K147" s="28">
        <f>=H147*2</f>
        <v>498</v>
      </c>
      <c r="L147" s="28">
        <f>=I147*2</f>
        <v>522.9</v>
      </c>
      <c r="M147" s="13" t="s">
        <v>15</v>
      </c>
      <c r="N147" s="13">
        <v>1.8</v>
      </c>
      <c r="O147" s="13" t="s"/>
      <c r="P147" s="13" t="s">
        <v>21</v>
      </c>
      <c r="Q147" s="13" t="s">
        <v>21</v>
      </c>
      <c r="R147" s="13" t="s">
        <v>16</v>
      </c>
      <c r="S147" s="13" t="s">
        <v>137</v>
      </c>
      <c r="T147" s="13" t="s">
        <v>193</v>
      </c>
      <c r="U147" s="16" t="s">
        <v>13</v>
      </c>
      <c r="V147" s="16" t="s">
        <v>19</v>
      </c>
      <c r="W147" s="29" t="s"/>
      <c r="X147" s="26" t="s">
        <f>=M147&amp;N147&amp;P147&amp;Q147&amp;T147&amp;V147&amp;S147</f>
        <v>194</v>
      </c>
      <c r="Y147" s="19" t="s"/>
      <c r="Z147" s="19" t="s"/>
      <c r="AA147" s="19" t="s"/>
      <c r="AB147" s="19" t="s"/>
    </row>
    <row r="148" spans="1:28" ht="14.4">
      <c r="A148" s="4">
        <f>=H148/G148-1</f>
        <v>0.101449275362319</v>
      </c>
      <c r="B148" s="20">
        <f>=F148/12</f>
        <v>22.8</v>
      </c>
      <c r="C148" s="20">
        <f>=J148/3</f>
        <v>182.4</v>
      </c>
      <c r="D148" s="20">
        <f>=K148/3</f>
        <v>202.666666666667</v>
      </c>
      <c r="E148" s="20">
        <f>=L148/3</f>
        <v>212.8</v>
      </c>
      <c r="F148" s="20">
        <f>=H148*0.9</f>
        <v>273.6</v>
      </c>
      <c r="G148" s="21">
        <v>276</v>
      </c>
      <c r="H148" s="27">
        <v>304</v>
      </c>
      <c r="I148" s="28">
        <f>=H148*1.05</f>
        <v>319.2</v>
      </c>
      <c r="J148" s="28">
        <f>=F148*2</f>
        <v>547.2</v>
      </c>
      <c r="K148" s="28">
        <f>=H148*2</f>
        <v>608</v>
      </c>
      <c r="L148" s="28">
        <f>=I148*2</f>
        <v>638.4</v>
      </c>
      <c r="M148" s="13" t="s">
        <v>15</v>
      </c>
      <c r="N148" s="13">
        <v>1.9</v>
      </c>
      <c r="O148" s="13" t="s"/>
      <c r="P148" s="13">
        <v>1</v>
      </c>
      <c r="Q148" s="13">
        <v>1</v>
      </c>
      <c r="R148" s="13" t="s">
        <v>16</v>
      </c>
      <c r="S148" s="13" t="s">
        <v>137</v>
      </c>
      <c r="T148" s="13" t="s">
        <v>193</v>
      </c>
      <c r="U148" s="16" t="s">
        <v>13</v>
      </c>
      <c r="V148" s="16" t="s">
        <v>19</v>
      </c>
      <c r="W148" s="29" t="s"/>
      <c r="X148" s="26" t="s">
        <f>=M148&amp;N148&amp;P148&amp;Q148&amp;T148&amp;V148&amp;S148</f>
        <v>195</v>
      </c>
      <c r="Y148" s="19" t="s"/>
      <c r="Z148" s="19" t="s"/>
      <c r="AA148" s="19" t="s"/>
      <c r="AB148" s="19" t="s"/>
    </row>
    <row r="149" spans="1:28" ht="14.4">
      <c r="A149" s="4">
        <f>=H149/G149-1</f>
        <v>0.0989583333333333</v>
      </c>
      <c r="B149" s="20">
        <f>=F149/12</f>
        <v>31.65</v>
      </c>
      <c r="C149" s="20">
        <f>=J149/3</f>
        <v>253.2</v>
      </c>
      <c r="D149" s="20">
        <f>=K149/3</f>
        <v>281.333333333333</v>
      </c>
      <c r="E149" s="20">
        <f>=L149/3</f>
        <v>295.4</v>
      </c>
      <c r="F149" s="20">
        <f>=H149*0.9</f>
        <v>379.8</v>
      </c>
      <c r="G149" s="21">
        <v>384</v>
      </c>
      <c r="H149" s="27">
        <v>422</v>
      </c>
      <c r="I149" s="28">
        <f>=H149*1.05</f>
        <v>443.1</v>
      </c>
      <c r="J149" s="28">
        <f>=F149*2</f>
        <v>759.6</v>
      </c>
      <c r="K149" s="28">
        <f>=H149*2</f>
        <v>844</v>
      </c>
      <c r="L149" s="28">
        <f>=I149*2</f>
        <v>886.2</v>
      </c>
      <c r="M149" s="13" t="s">
        <v>15</v>
      </c>
      <c r="N149" s="13">
        <v>1.9</v>
      </c>
      <c r="O149" s="13" t="s"/>
      <c r="P149" s="13">
        <v>2</v>
      </c>
      <c r="Q149" s="13">
        <v>2</v>
      </c>
      <c r="R149" s="13" t="s">
        <v>16</v>
      </c>
      <c r="S149" s="13" t="s">
        <v>137</v>
      </c>
      <c r="T149" s="13" t="s">
        <v>193</v>
      </c>
      <c r="U149" s="16" t="s">
        <v>13</v>
      </c>
      <c r="V149" s="16" t="s">
        <v>19</v>
      </c>
      <c r="W149" s="29" t="s"/>
      <c r="X149" s="26" t="s">
        <f>=M149&amp;N149&amp;P149&amp;Q149&amp;T149&amp;V149&amp;S149</f>
        <v>196</v>
      </c>
      <c r="Y149" s="19" t="s"/>
      <c r="Z149" s="19" t="s"/>
      <c r="AA149" s="19" t="s"/>
      <c r="AB149" s="19" t="s"/>
    </row>
    <row r="150" spans="1:28" ht="14.4">
      <c r="A150" s="4">
        <f>=H150/G150-1</f>
        <v>0.0992217898832686</v>
      </c>
      <c r="B150" s="20">
        <f>=F150/12</f>
        <v>42.375</v>
      </c>
      <c r="C150" s="20">
        <f>=J150/3</f>
        <v>339</v>
      </c>
      <c r="D150" s="20">
        <f>=K150/3</f>
        <v>376.666666666667</v>
      </c>
      <c r="E150" s="20">
        <f>=L150/3</f>
        <v>395.5</v>
      </c>
      <c r="F150" s="20">
        <f>=H150*0.9</f>
        <v>508.5</v>
      </c>
      <c r="G150" s="21">
        <v>514</v>
      </c>
      <c r="H150" s="27">
        <v>565</v>
      </c>
      <c r="I150" s="28">
        <f>=H150*1.05</f>
        <v>593.25</v>
      </c>
      <c r="J150" s="28">
        <f>=F150*2</f>
        <v>1017</v>
      </c>
      <c r="K150" s="28">
        <f>=H150*2</f>
        <v>1130</v>
      </c>
      <c r="L150" s="28">
        <f>=I150*2</f>
        <v>1186.5</v>
      </c>
      <c r="M150" s="13" t="s">
        <v>15</v>
      </c>
      <c r="N150" s="13">
        <v>1.9</v>
      </c>
      <c r="O150" s="13" t="s"/>
      <c r="P150" s="13">
        <v>3</v>
      </c>
      <c r="Q150" s="13">
        <v>3</v>
      </c>
      <c r="R150" s="13" t="s">
        <v>16</v>
      </c>
      <c r="S150" s="13" t="s">
        <v>137</v>
      </c>
      <c r="T150" s="13" t="s">
        <v>186</v>
      </c>
      <c r="U150" s="16" t="s">
        <v>13</v>
      </c>
      <c r="V150" s="16" t="s">
        <v>19</v>
      </c>
      <c r="W150" s="29" t="s"/>
      <c r="X150" s="26" t="s">
        <f>=M150&amp;N150&amp;P150&amp;Q150&amp;T150&amp;V150&amp;S150</f>
        <v>197</v>
      </c>
      <c r="Y150" s="19" t="s"/>
      <c r="Z150" s="19" t="s"/>
      <c r="AA150" s="19" t="s"/>
      <c r="AB150" s="19" t="s"/>
    </row>
    <row r="151" spans="1:28" ht="14.4">
      <c r="A151" s="4">
        <f>=H151/G151-1</f>
        <v>0.0991735537190082</v>
      </c>
      <c r="B151" s="20">
        <f>=F151/12</f>
        <v>19.95</v>
      </c>
      <c r="C151" s="20">
        <f>=J151/3</f>
        <v>159.6</v>
      </c>
      <c r="D151" s="20">
        <f>=K151/3</f>
        <v>177.333333333333</v>
      </c>
      <c r="E151" s="20">
        <f>=L151/3</f>
        <v>186.2</v>
      </c>
      <c r="F151" s="20">
        <f>=H151*0.9</f>
        <v>239.4</v>
      </c>
      <c r="G151" s="21">
        <v>242</v>
      </c>
      <c r="H151" s="27">
        <v>266</v>
      </c>
      <c r="I151" s="28">
        <f>=H151*1.05</f>
        <v>279.3</v>
      </c>
      <c r="J151" s="28">
        <f>=F151*2</f>
        <v>478.8</v>
      </c>
      <c r="K151" s="28">
        <f>=H151*2</f>
        <v>532</v>
      </c>
      <c r="L151" s="28">
        <f>=I151*2</f>
        <v>558.6</v>
      </c>
      <c r="M151" s="13" t="s">
        <v>15</v>
      </c>
      <c r="N151" s="13">
        <v>1.9</v>
      </c>
      <c r="O151" s="13" t="s"/>
      <c r="P151" s="13" t="s">
        <v>21</v>
      </c>
      <c r="Q151" s="13" t="s">
        <v>21</v>
      </c>
      <c r="R151" s="13" t="s">
        <v>16</v>
      </c>
      <c r="S151" s="13" t="s">
        <v>137</v>
      </c>
      <c r="T151" s="13" t="s">
        <v>193</v>
      </c>
      <c r="U151" s="16" t="s">
        <v>13</v>
      </c>
      <c r="V151" s="16" t="s">
        <v>19</v>
      </c>
      <c r="W151" s="29" t="s"/>
      <c r="X151" s="26" t="s">
        <f>=M151&amp;N151&amp;P151&amp;Q151&amp;T151&amp;V151&amp;S151</f>
        <v>198</v>
      </c>
      <c r="Y151" s="19" t="s"/>
      <c r="Z151" s="19" t="s"/>
      <c r="AA151" s="19" t="s"/>
      <c r="AB151" s="19" t="s"/>
    </row>
    <row r="152" spans="1:28" ht="14.4">
      <c r="A152" s="4">
        <f>=H152/G152-1</f>
        <v>0.100694444444444</v>
      </c>
      <c r="B152" s="20">
        <f>=F152/12</f>
        <v>23.775</v>
      </c>
      <c r="C152" s="20">
        <f>=J152/3</f>
        <v>190.2</v>
      </c>
      <c r="D152" s="20">
        <f>=K152/3</f>
        <v>211.333333333333</v>
      </c>
      <c r="E152" s="20">
        <f>=L152/3</f>
        <v>221.9</v>
      </c>
      <c r="F152" s="20">
        <f>=H152*0.9</f>
        <v>285.3</v>
      </c>
      <c r="G152" s="21">
        <v>288</v>
      </c>
      <c r="H152" s="27">
        <v>317</v>
      </c>
      <c r="I152" s="28">
        <f>=H152*1.05</f>
        <v>332.85</v>
      </c>
      <c r="J152" s="28">
        <f>=F152*2</f>
        <v>570.6</v>
      </c>
      <c r="K152" s="28">
        <f>=H152*2</f>
        <v>634</v>
      </c>
      <c r="L152" s="28">
        <f>=I152*2</f>
        <v>665.7</v>
      </c>
      <c r="M152" s="13" t="s">
        <v>15</v>
      </c>
      <c r="N152" s="13">
        <v>2</v>
      </c>
      <c r="O152" s="13" t="s"/>
      <c r="P152" s="13">
        <v>1</v>
      </c>
      <c r="Q152" s="13">
        <v>1</v>
      </c>
      <c r="R152" s="13" t="s">
        <v>16</v>
      </c>
      <c r="S152" s="13" t="s">
        <v>137</v>
      </c>
      <c r="T152" s="13" t="s">
        <v>199</v>
      </c>
      <c r="U152" s="16" t="s">
        <v>13</v>
      </c>
      <c r="V152" s="16" t="s">
        <v>19</v>
      </c>
      <c r="W152" s="29" t="s"/>
      <c r="X152" s="26" t="s">
        <f>=M152&amp;N152&amp;P152&amp;Q152&amp;T152&amp;V152&amp;S152</f>
        <v>200</v>
      </c>
      <c r="Y152" s="19" t="s"/>
      <c r="Z152" s="19" t="s"/>
      <c r="AA152" s="19" t="s"/>
      <c r="AB152" s="19" t="s"/>
    </row>
    <row r="153" spans="1:28" ht="14.4">
      <c r="A153" s="4">
        <f>=H153/G153-1</f>
        <v>0.0997442455242967</v>
      </c>
      <c r="B153" s="20">
        <f>=F153/12</f>
        <v>32.25</v>
      </c>
      <c r="C153" s="20">
        <f>=J153/3</f>
        <v>258</v>
      </c>
      <c r="D153" s="20">
        <f>=K153/3</f>
        <v>286.666666666667</v>
      </c>
      <c r="E153" s="20">
        <f>=L153/3</f>
        <v>301</v>
      </c>
      <c r="F153" s="20">
        <f>=H153*0.9</f>
        <v>387</v>
      </c>
      <c r="G153" s="21">
        <v>391</v>
      </c>
      <c r="H153" s="27">
        <v>430</v>
      </c>
      <c r="I153" s="28">
        <f>=H153*1.05</f>
        <v>451.5</v>
      </c>
      <c r="J153" s="28">
        <f>=F153*2</f>
        <v>774</v>
      </c>
      <c r="K153" s="28">
        <f>=H153*2</f>
        <v>860</v>
      </c>
      <c r="L153" s="28">
        <f>=I153*2</f>
        <v>903</v>
      </c>
      <c r="M153" s="13" t="s">
        <v>15</v>
      </c>
      <c r="N153" s="13">
        <v>2</v>
      </c>
      <c r="O153" s="13" t="s"/>
      <c r="P153" s="13">
        <v>1.5</v>
      </c>
      <c r="Q153" s="13">
        <v>1.5</v>
      </c>
      <c r="R153" s="13" t="s">
        <v>16</v>
      </c>
      <c r="S153" s="13" t="s">
        <v>137</v>
      </c>
      <c r="T153" s="13" t="s">
        <v>193</v>
      </c>
      <c r="U153" s="16" t="s">
        <v>13</v>
      </c>
      <c r="V153" s="16" t="s">
        <v>19</v>
      </c>
      <c r="W153" s="29" t="s"/>
      <c r="X153" s="26" t="s">
        <f>=M153&amp;N153&amp;P153&amp;Q153&amp;T153&amp;V153&amp;S153</f>
        <v>201</v>
      </c>
      <c r="Y153" s="19" t="s"/>
      <c r="Z153" s="19" t="s"/>
      <c r="AA153" s="19" t="s"/>
      <c r="AB153" s="19" t="s"/>
    </row>
    <row r="154" spans="1:28" ht="14.4">
      <c r="A154" s="4">
        <f>=H154/G154-1</f>
        <v>0.0997442455242967</v>
      </c>
      <c r="B154" s="20">
        <f>=F154/12</f>
        <v>32.25</v>
      </c>
      <c r="C154" s="20">
        <f>=J154/3</f>
        <v>258</v>
      </c>
      <c r="D154" s="20">
        <f>=K154/3</f>
        <v>286.666666666667</v>
      </c>
      <c r="E154" s="20">
        <f>=L154/3</f>
        <v>301</v>
      </c>
      <c r="F154" s="20">
        <f>=H154*0.9</f>
        <v>387</v>
      </c>
      <c r="G154" s="21">
        <v>391</v>
      </c>
      <c r="H154" s="27">
        <v>430</v>
      </c>
      <c r="I154" s="28">
        <f>=H154*1.05</f>
        <v>451.5</v>
      </c>
      <c r="J154" s="28">
        <f>=F154*2</f>
        <v>774</v>
      </c>
      <c r="K154" s="28">
        <f>=H154*2</f>
        <v>860</v>
      </c>
      <c r="L154" s="28">
        <f>=I154*2</f>
        <v>903</v>
      </c>
      <c r="M154" s="13" t="s">
        <v>15</v>
      </c>
      <c r="N154" s="13">
        <v>2</v>
      </c>
      <c r="O154" s="13" t="s"/>
      <c r="P154" s="13">
        <v>2</v>
      </c>
      <c r="Q154" s="13">
        <v>2</v>
      </c>
      <c r="R154" s="13" t="s">
        <v>16</v>
      </c>
      <c r="S154" s="13" t="s">
        <v>137</v>
      </c>
      <c r="T154" s="13" t="s">
        <v>193</v>
      </c>
      <c r="U154" s="16" t="s">
        <v>13</v>
      </c>
      <c r="V154" s="16" t="s">
        <v>19</v>
      </c>
      <c r="W154" s="29" t="s"/>
      <c r="X154" s="26" t="s">
        <f>=M154&amp;N154&amp;P154&amp;Q154&amp;T154&amp;V154&amp;S154</f>
        <v>202</v>
      </c>
      <c r="Y154" s="19" t="s"/>
      <c r="Z154" s="19" t="s"/>
      <c r="AA154" s="19" t="s"/>
      <c r="AB154" s="19" t="s"/>
    </row>
    <row r="155" spans="1:28" ht="14.4">
      <c r="A155" s="4">
        <f>=H155/G155-1</f>
        <v>0.1</v>
      </c>
      <c r="B155" s="20">
        <f>=F155/12</f>
        <v>43.725</v>
      </c>
      <c r="C155" s="20">
        <f>=J155/3</f>
        <v>349.8</v>
      </c>
      <c r="D155" s="20">
        <f>=K155/3</f>
        <v>388.666666666667</v>
      </c>
      <c r="E155" s="20">
        <f>=L155/3</f>
        <v>408.1</v>
      </c>
      <c r="F155" s="20">
        <f>=H155*0.9</f>
        <v>524.7</v>
      </c>
      <c r="G155" s="21">
        <v>530</v>
      </c>
      <c r="H155" s="27">
        <v>583</v>
      </c>
      <c r="I155" s="28">
        <f>=H155*1.05</f>
        <v>612.15</v>
      </c>
      <c r="J155" s="28">
        <f>=F155*2</f>
        <v>1049.4</v>
      </c>
      <c r="K155" s="28">
        <f>=H155*2</f>
        <v>1166</v>
      </c>
      <c r="L155" s="28">
        <f>=I155*2</f>
        <v>1224.3</v>
      </c>
      <c r="M155" s="13" t="s">
        <v>15</v>
      </c>
      <c r="N155" s="13">
        <v>2</v>
      </c>
      <c r="O155" s="13" t="s"/>
      <c r="P155" s="13">
        <v>3</v>
      </c>
      <c r="Q155" s="13">
        <v>3</v>
      </c>
      <c r="R155" s="13" t="s">
        <v>16</v>
      </c>
      <c r="S155" s="13" t="s">
        <v>137</v>
      </c>
      <c r="T155" s="13" t="s">
        <v>193</v>
      </c>
      <c r="U155" s="16" t="s">
        <v>13</v>
      </c>
      <c r="V155" s="16" t="s">
        <v>19</v>
      </c>
      <c r="W155" s="29" t="s"/>
      <c r="X155" s="26" t="s">
        <f>=M155&amp;N155&amp;P155&amp;Q155&amp;T155&amp;V155&amp;S155</f>
        <v>203</v>
      </c>
      <c r="Y155" s="19" t="s"/>
      <c r="Z155" s="19" t="s"/>
      <c r="AA155" s="19" t="s"/>
      <c r="AB155" s="19" t="s"/>
    </row>
    <row r="156" spans="1:28" ht="14.4">
      <c r="A156" s="4">
        <f>=H156/G156-1</f>
        <v>0.1</v>
      </c>
      <c r="B156" s="20">
        <f>=F156/12</f>
        <v>20.625</v>
      </c>
      <c r="C156" s="20">
        <f>=J156/3</f>
        <v>165</v>
      </c>
      <c r="D156" s="20">
        <f>=K156/3</f>
        <v>183.333333333333</v>
      </c>
      <c r="E156" s="20">
        <f>=L156/3</f>
        <v>192.5</v>
      </c>
      <c r="F156" s="20">
        <f>=H156*0.9</f>
        <v>247.5</v>
      </c>
      <c r="G156" s="21">
        <v>250</v>
      </c>
      <c r="H156" s="27">
        <v>275</v>
      </c>
      <c r="I156" s="28">
        <f>=H156*1.05</f>
        <v>288.75</v>
      </c>
      <c r="J156" s="28">
        <f>=F156*2</f>
        <v>495</v>
      </c>
      <c r="K156" s="28">
        <f>=H156*2</f>
        <v>550</v>
      </c>
      <c r="L156" s="28">
        <f>=I156*2</f>
        <v>577.5</v>
      </c>
      <c r="M156" s="13" t="s">
        <v>15</v>
      </c>
      <c r="N156" s="13">
        <v>2</v>
      </c>
      <c r="O156" s="13" t="s"/>
      <c r="P156" s="13" t="s">
        <v>21</v>
      </c>
      <c r="Q156" s="13" t="s">
        <v>21</v>
      </c>
      <c r="R156" s="13" t="s">
        <v>16</v>
      </c>
      <c r="S156" s="13" t="s">
        <v>137</v>
      </c>
      <c r="T156" s="13" t="s">
        <v>199</v>
      </c>
      <c r="U156" s="16" t="s">
        <v>13</v>
      </c>
      <c r="V156" s="16" t="s">
        <v>19</v>
      </c>
      <c r="W156" s="29" t="s"/>
      <c r="X156" s="26" t="s">
        <f>=M156&amp;N156&amp;P156&amp;Q156&amp;T156&amp;V156&amp;S156</f>
        <v>204</v>
      </c>
      <c r="Y156" s="19" t="s"/>
      <c r="Z156" s="19" t="s"/>
      <c r="AA156" s="19" t="s"/>
      <c r="AB156" s="19" t="s"/>
    </row>
    <row r="157" spans="1:28" ht="14.4">
      <c r="A157" s="4">
        <f>=H157/G157-1</f>
        <v>0.0993150684931508</v>
      </c>
      <c r="B157" s="20">
        <f>=F157/12</f>
        <v>24.075</v>
      </c>
      <c r="C157" s="20">
        <f>=J157/3</f>
        <v>192.6</v>
      </c>
      <c r="D157" s="20">
        <f>=K157/3</f>
        <v>214</v>
      </c>
      <c r="E157" s="20">
        <f>=L157/3</f>
        <v>224.7</v>
      </c>
      <c r="F157" s="20">
        <f>=H157*0.9</f>
        <v>288.9</v>
      </c>
      <c r="G157" s="21">
        <v>292</v>
      </c>
      <c r="H157" s="27">
        <v>321</v>
      </c>
      <c r="I157" s="28">
        <f>=H157*1.05</f>
        <v>337.05</v>
      </c>
      <c r="J157" s="28">
        <f>=F157*2</f>
        <v>577.8</v>
      </c>
      <c r="K157" s="28">
        <f>=H157*2</f>
        <v>642</v>
      </c>
      <c r="L157" s="28">
        <f>=I157*2</f>
        <v>674.1</v>
      </c>
      <c r="M157" s="13" t="s">
        <v>15</v>
      </c>
      <c r="N157" s="13">
        <v>2.1</v>
      </c>
      <c r="O157" s="13" t="s"/>
      <c r="P157" s="13">
        <v>1</v>
      </c>
      <c r="Q157" s="13">
        <v>1</v>
      </c>
      <c r="R157" s="13" t="s">
        <v>16</v>
      </c>
      <c r="S157" s="13" t="s">
        <v>137</v>
      </c>
      <c r="T157" s="13" t="s">
        <v>199</v>
      </c>
      <c r="U157" s="16" t="s">
        <v>13</v>
      </c>
      <c r="V157" s="16" t="s">
        <v>19</v>
      </c>
      <c r="W157" s="29" t="s"/>
      <c r="X157" s="26" t="s">
        <f>=M157&amp;N157&amp;P157&amp;Q157&amp;T157&amp;V157&amp;S157</f>
        <v>205</v>
      </c>
      <c r="Y157" s="19" t="s"/>
      <c r="Z157" s="19" t="s"/>
      <c r="AA157" s="19" t="s"/>
      <c r="AB157" s="19" t="s"/>
    </row>
    <row r="158" spans="1:28" ht="14.4">
      <c r="A158" s="4">
        <f>=H158/G158-1</f>
        <v>0.0996784565916398</v>
      </c>
      <c r="B158" s="20">
        <f>=F158/12</f>
        <v>25.65</v>
      </c>
      <c r="C158" s="20">
        <f>=J158/3</f>
        <v>205.2</v>
      </c>
      <c r="D158" s="20">
        <f>=K158/3</f>
        <v>228</v>
      </c>
      <c r="E158" s="20">
        <f>=L158/3</f>
        <v>239.4</v>
      </c>
      <c r="F158" s="20">
        <f>=H158*0.9</f>
        <v>307.8</v>
      </c>
      <c r="G158" s="21">
        <v>311</v>
      </c>
      <c r="H158" s="27">
        <v>342</v>
      </c>
      <c r="I158" s="28">
        <f>=H158*1.05</f>
        <v>359.1</v>
      </c>
      <c r="J158" s="28">
        <f>=F158*2</f>
        <v>615.6</v>
      </c>
      <c r="K158" s="28">
        <f>=H158*2</f>
        <v>684</v>
      </c>
      <c r="L158" s="28">
        <f>=I158*2</f>
        <v>718.2</v>
      </c>
      <c r="M158" s="13" t="s">
        <v>15</v>
      </c>
      <c r="N158" s="13">
        <v>2.3</v>
      </c>
      <c r="O158" s="13" t="s"/>
      <c r="P158" s="13" t="s">
        <v>21</v>
      </c>
      <c r="Q158" s="13" t="s">
        <v>21</v>
      </c>
      <c r="R158" s="13" t="s">
        <v>16</v>
      </c>
      <c r="S158" s="13" t="s">
        <v>137</v>
      </c>
      <c r="T158" s="13" t="s">
        <v>206</v>
      </c>
      <c r="U158" s="16" t="s">
        <v>13</v>
      </c>
      <c r="V158" s="16" t="s">
        <v>19</v>
      </c>
      <c r="W158" s="29" t="s"/>
      <c r="X158" s="26" t="s">
        <f>=M158&amp;N158&amp;P158&amp;Q158&amp;T158&amp;V158&amp;S158</f>
        <v>207</v>
      </c>
      <c r="Y158" s="19" t="s"/>
      <c r="Z158" s="19" t="s"/>
      <c r="AA158" s="19" t="s"/>
      <c r="AB158" s="19" t="s"/>
    </row>
    <row r="159" spans="1:28" ht="14.4">
      <c r="A159" s="4">
        <f>=H159/G159-1</f>
        <v>0.100609756097561</v>
      </c>
      <c r="B159" s="20">
        <f>=F159/12</f>
        <v>27.075</v>
      </c>
      <c r="C159" s="20">
        <f>=J159/3</f>
        <v>216.6</v>
      </c>
      <c r="D159" s="20">
        <f>=K159/3</f>
        <v>240.666666666667</v>
      </c>
      <c r="E159" s="20">
        <f>=L159/3</f>
        <v>252.7</v>
      </c>
      <c r="F159" s="20">
        <f>=H159*0.9</f>
        <v>324.9</v>
      </c>
      <c r="G159" s="21">
        <v>328</v>
      </c>
      <c r="H159" s="39">
        <v>361</v>
      </c>
      <c r="I159" s="40">
        <f>=H159*1.05</f>
        <v>379.05</v>
      </c>
      <c r="J159" s="40">
        <f>=F159*2</f>
        <v>649.8</v>
      </c>
      <c r="K159" s="40">
        <f>=H159*2</f>
        <v>722</v>
      </c>
      <c r="L159" s="40">
        <f>=I159*2</f>
        <v>758.1</v>
      </c>
      <c r="M159" s="41" t="s">
        <v>15</v>
      </c>
      <c r="N159" s="41">
        <v>2.4</v>
      </c>
      <c r="O159" s="41" t="s"/>
      <c r="P159" s="41">
        <v>1</v>
      </c>
      <c r="Q159" s="41">
        <v>1</v>
      </c>
      <c r="R159" s="41" t="s">
        <v>16</v>
      </c>
      <c r="S159" s="41" t="s">
        <v>137</v>
      </c>
      <c r="T159" s="41" t="s">
        <v>208</v>
      </c>
      <c r="U159" s="16" t="s">
        <v>13</v>
      </c>
      <c r="V159" s="16" t="s">
        <v>19</v>
      </c>
      <c r="W159" s="29" t="s"/>
      <c r="X159" s="26" t="s">
        <f>=M159&amp;N159&amp;P159&amp;Q159&amp;T159&amp;V159&amp;S159</f>
        <v>209</v>
      </c>
      <c r="Y159" s="19" t="s"/>
      <c r="Z159" s="19" t="s"/>
      <c r="AA159" s="19" t="s"/>
      <c r="AB159" s="19" t="s"/>
    </row>
    <row r="160" spans="1:28" ht="14.4">
      <c r="A160" s="4">
        <f>=H160/G160-1</f>
        <v>0.0996677740863787</v>
      </c>
      <c r="B160" s="20">
        <f>=F160/12</f>
        <v>24.825</v>
      </c>
      <c r="C160" s="20">
        <f>=J160/3</f>
        <v>198.6</v>
      </c>
      <c r="D160" s="20">
        <f>=K160/3</f>
        <v>220.666666666667</v>
      </c>
      <c r="E160" s="20">
        <f>=L160/3</f>
        <v>231.7</v>
      </c>
      <c r="F160" s="20">
        <f>=H160*0.9</f>
        <v>297.9</v>
      </c>
      <c r="G160" s="21">
        <v>301</v>
      </c>
      <c r="H160" s="39">
        <v>331</v>
      </c>
      <c r="I160" s="40">
        <f>=H160*1.05</f>
        <v>347.55</v>
      </c>
      <c r="J160" s="40">
        <f>=F160*2</f>
        <v>595.8</v>
      </c>
      <c r="K160" s="40">
        <f>=H160*2</f>
        <v>662</v>
      </c>
      <c r="L160" s="40">
        <f>=I160*2</f>
        <v>695.1</v>
      </c>
      <c r="M160" s="41" t="s">
        <v>15</v>
      </c>
      <c r="N160" s="41">
        <v>2.4</v>
      </c>
      <c r="O160" s="41" t="s"/>
      <c r="P160" s="41" t="s">
        <v>21</v>
      </c>
      <c r="Q160" s="41" t="s">
        <v>21</v>
      </c>
      <c r="R160" s="41" t="s">
        <v>16</v>
      </c>
      <c r="S160" s="41" t="s">
        <v>137</v>
      </c>
      <c r="T160" s="41" t="s">
        <v>208</v>
      </c>
      <c r="U160" s="16" t="s">
        <v>13</v>
      </c>
      <c r="V160" s="16" t="s">
        <v>19</v>
      </c>
      <c r="W160" s="29" t="s"/>
      <c r="X160" s="26" t="s">
        <f>=M160&amp;N160&amp;P160&amp;Q160&amp;T160&amp;V160&amp;S160</f>
        <v>210</v>
      </c>
      <c r="Y160" s="19" t="s"/>
      <c r="Z160" s="19" t="s"/>
      <c r="AA160" s="19" t="s"/>
      <c r="AB160" s="19" t="s"/>
    </row>
    <row r="161" spans="1:28" ht="14.4">
      <c r="A161" s="4">
        <f>=H161/G161-1</f>
        <v>0.104347826086957</v>
      </c>
      <c r="B161" s="20">
        <f>=F161/12</f>
        <v>9.525</v>
      </c>
      <c r="C161" s="20">
        <f>=J161/3</f>
        <v>76.2</v>
      </c>
      <c r="D161" s="20">
        <f>=K161/3</f>
        <v>84.6666666666667</v>
      </c>
      <c r="E161" s="20">
        <f>=L161/3</f>
        <v>88.9</v>
      </c>
      <c r="F161" s="20">
        <f>=H161*0.9</f>
        <v>114.3</v>
      </c>
      <c r="G161" s="21">
        <v>115</v>
      </c>
      <c r="H161" s="39">
        <v>127</v>
      </c>
      <c r="I161" s="40">
        <f>=H161*1.05</f>
        <v>133.35</v>
      </c>
      <c r="J161" s="40">
        <f>=F161*2</f>
        <v>228.6</v>
      </c>
      <c r="K161" s="40">
        <f>=H161*2</f>
        <v>254</v>
      </c>
      <c r="L161" s="40">
        <f>=I161*2</f>
        <v>266.7</v>
      </c>
      <c r="M161" s="41" t="s">
        <v>211</v>
      </c>
      <c r="N161" s="41">
        <v>0.05</v>
      </c>
      <c r="O161" s="41" t="s"/>
      <c r="P161" s="41">
        <v>1</v>
      </c>
      <c r="Q161" s="41">
        <v>1</v>
      </c>
      <c r="R161" s="41" t="s">
        <v>16</v>
      </c>
      <c r="S161" s="41" t="s">
        <v>17</v>
      </c>
      <c r="T161" s="41" t="s">
        <v>212</v>
      </c>
      <c r="U161" s="16" t="s">
        <v>13</v>
      </c>
      <c r="V161" s="16" t="s">
        <v>19</v>
      </c>
      <c r="W161" s="29" t="s"/>
      <c r="X161" s="26" t="s">
        <f>=M161&amp;N161&amp;P161&amp;Q161&amp;T161&amp;V161&amp;S161</f>
        <v>213</v>
      </c>
      <c r="Y161" s="19" t="s"/>
      <c r="Z161" s="19" t="s"/>
      <c r="AA161" s="19" t="s"/>
      <c r="AB161" s="19" t="s"/>
    </row>
    <row r="162" spans="1:28" ht="14.4">
      <c r="A162" s="4">
        <f>=H162/G162-1</f>
        <v>0.104347826086957</v>
      </c>
      <c r="B162" s="20">
        <f>=F162/12</f>
        <v>9.525</v>
      </c>
      <c r="C162" s="20">
        <f>=J162/3</f>
        <v>76.2</v>
      </c>
      <c r="D162" s="20">
        <f>=K162/3</f>
        <v>84.6666666666667</v>
      </c>
      <c r="E162" s="20">
        <f>=L162/3</f>
        <v>88.9</v>
      </c>
      <c r="F162" s="20">
        <f>=H162*0.9</f>
        <v>114.3</v>
      </c>
      <c r="G162" s="21">
        <v>115</v>
      </c>
      <c r="H162" s="39">
        <v>127</v>
      </c>
      <c r="I162" s="40">
        <f>=H162*1.05</f>
        <v>133.35</v>
      </c>
      <c r="J162" s="40">
        <f>=F162*2</f>
        <v>228.6</v>
      </c>
      <c r="K162" s="40">
        <f>=H162*2</f>
        <v>254</v>
      </c>
      <c r="L162" s="40">
        <f>=I162*2</f>
        <v>266.7</v>
      </c>
      <c r="M162" s="41" t="s">
        <v>211</v>
      </c>
      <c r="N162" s="41">
        <v>0.075</v>
      </c>
      <c r="O162" s="41" t="s"/>
      <c r="P162" s="41">
        <v>1</v>
      </c>
      <c r="Q162" s="41">
        <v>1</v>
      </c>
      <c r="R162" s="41" t="s">
        <v>16</v>
      </c>
      <c r="S162" s="41" t="s">
        <v>17</v>
      </c>
      <c r="T162" s="41" t="s">
        <v>18</v>
      </c>
      <c r="U162" s="16" t="s">
        <v>13</v>
      </c>
      <c r="V162" s="16" t="s">
        <v>19</v>
      </c>
      <c r="W162" s="29" t="s"/>
      <c r="X162" s="26" t="s">
        <f>=M162&amp;N162&amp;P162&amp;Q162&amp;T162&amp;V162&amp;S162</f>
        <v>214</v>
      </c>
      <c r="Y162" s="19" t="s"/>
      <c r="Z162" s="19" t="s"/>
      <c r="AA162" s="19" t="s"/>
      <c r="AB162" s="19" t="s"/>
    </row>
    <row r="163" spans="1:28" ht="14.4">
      <c r="A163" s="4">
        <f>=H163/G163-1</f>
        <v>0.0990099009900991</v>
      </c>
      <c r="B163" s="20">
        <f>=F163/12</f>
        <v>8.325</v>
      </c>
      <c r="C163" s="20">
        <f>=J163/3</f>
        <v>66.6</v>
      </c>
      <c r="D163" s="20">
        <f>=K163/3</f>
        <v>74</v>
      </c>
      <c r="E163" s="20">
        <f>=L163/3</f>
        <v>77.7</v>
      </c>
      <c r="F163" s="20">
        <f>=H163*0.9</f>
        <v>99.9</v>
      </c>
      <c r="G163" s="21">
        <v>101</v>
      </c>
      <c r="H163" s="39">
        <v>111</v>
      </c>
      <c r="I163" s="40">
        <f>=H163*1.05</f>
        <v>116.55</v>
      </c>
      <c r="J163" s="40">
        <f>=F163*2</f>
        <v>199.8</v>
      </c>
      <c r="K163" s="40">
        <f>=H163*2</f>
        <v>222</v>
      </c>
      <c r="L163" s="40">
        <f>=I163*2</f>
        <v>233.1</v>
      </c>
      <c r="M163" s="41" t="s">
        <v>211</v>
      </c>
      <c r="N163" s="41">
        <v>0.075</v>
      </c>
      <c r="O163" s="41" t="s"/>
      <c r="P163" s="41" t="s">
        <v>21</v>
      </c>
      <c r="Q163" s="41" t="s">
        <v>21</v>
      </c>
      <c r="R163" s="41" t="s">
        <v>16</v>
      </c>
      <c r="S163" s="41" t="s">
        <v>17</v>
      </c>
      <c r="T163" s="41" t="s">
        <v>18</v>
      </c>
      <c r="U163" s="16" t="s">
        <v>13</v>
      </c>
      <c r="V163" s="16" t="s">
        <v>215</v>
      </c>
      <c r="W163" s="29" t="s"/>
      <c r="X163" s="26" t="s">
        <f>=M163&amp;N163&amp;P163&amp;Q163&amp;T163&amp;V163&amp;S163</f>
        <v>216</v>
      </c>
      <c r="Y163" s="19" t="s"/>
      <c r="Z163" s="19" t="s"/>
      <c r="AA163" s="19" t="s"/>
      <c r="AB163" s="19" t="s"/>
    </row>
    <row r="164" spans="1:28" ht="14.4">
      <c r="A164" s="4">
        <f>=H164/G164-1</f>
        <v>0.101010101010101</v>
      </c>
      <c r="B164" s="20">
        <f>=F164/12</f>
        <v>8.175</v>
      </c>
      <c r="C164" s="20">
        <f>=J164/3</f>
        <v>65.4</v>
      </c>
      <c r="D164" s="20">
        <f>=K164/3</f>
        <v>72.6666666666667</v>
      </c>
      <c r="E164" s="20">
        <f>=L164/3</f>
        <v>76.3</v>
      </c>
      <c r="F164" s="20">
        <f>=H164*0.9</f>
        <v>98.1</v>
      </c>
      <c r="G164" s="21">
        <v>99</v>
      </c>
      <c r="H164" s="39">
        <v>109</v>
      </c>
      <c r="I164" s="40">
        <f>=H164*1.05</f>
        <v>114.45</v>
      </c>
      <c r="J164" s="40">
        <f>=F164*2</f>
        <v>196.2</v>
      </c>
      <c r="K164" s="40">
        <f>=H164*2</f>
        <v>218</v>
      </c>
      <c r="L164" s="40">
        <f>=I164*2</f>
        <v>228.9</v>
      </c>
      <c r="M164" s="41" t="s">
        <v>211</v>
      </c>
      <c r="N164" s="41">
        <v>0.075</v>
      </c>
      <c r="O164" s="41" t="s"/>
      <c r="P164" s="41" t="s">
        <v>21</v>
      </c>
      <c r="Q164" s="41" t="s">
        <v>21</v>
      </c>
      <c r="R164" s="41" t="s">
        <v>16</v>
      </c>
      <c r="S164" s="41" t="s">
        <v>17</v>
      </c>
      <c r="T164" s="41" t="s">
        <v>18</v>
      </c>
      <c r="U164" s="16" t="s">
        <v>13</v>
      </c>
      <c r="V164" s="16" t="s">
        <v>19</v>
      </c>
      <c r="W164" s="29" t="s"/>
      <c r="X164" s="26" t="s">
        <f>=M164&amp;N164&amp;P164&amp;Q164&amp;T164&amp;V164&amp;S164</f>
        <v>217</v>
      </c>
      <c r="Y164" s="19" t="s"/>
      <c r="Z164" s="19" t="s"/>
      <c r="AA164" s="19" t="s"/>
      <c r="AB164" s="19" t="s"/>
    </row>
    <row r="165" spans="1:28" ht="14.4">
      <c r="A165" s="4">
        <f>=H165/G165-1</f>
        <v>0.1</v>
      </c>
      <c r="B165" s="20">
        <f>=F165/12</f>
        <v>18.15</v>
      </c>
      <c r="C165" s="20">
        <f>=J165/3</f>
        <v>145.2</v>
      </c>
      <c r="D165" s="20">
        <f>=K165/3</f>
        <v>161.333333333333</v>
      </c>
      <c r="E165" s="20">
        <f>=L165/3</f>
        <v>169.4</v>
      </c>
      <c r="F165" s="20">
        <f>=H165*0.9</f>
        <v>217.8</v>
      </c>
      <c r="G165" s="21">
        <v>220</v>
      </c>
      <c r="H165" s="39">
        <v>242</v>
      </c>
      <c r="I165" s="40">
        <f>=H165*1.05</f>
        <v>254.1</v>
      </c>
      <c r="J165" s="40">
        <f>=F165*2</f>
        <v>435.6</v>
      </c>
      <c r="K165" s="40">
        <f>=H165*2</f>
        <v>484</v>
      </c>
      <c r="L165" s="40">
        <f>=I165*2</f>
        <v>508.2</v>
      </c>
      <c r="M165" s="41" t="s">
        <v>211</v>
      </c>
      <c r="N165" s="41">
        <v>0.075</v>
      </c>
      <c r="O165" s="41" t="s"/>
      <c r="P165" s="41">
        <v>2</v>
      </c>
      <c r="Q165" s="41">
        <v>2</v>
      </c>
      <c r="R165" s="41" t="s">
        <v>16</v>
      </c>
      <c r="S165" s="41" t="s">
        <v>17</v>
      </c>
      <c r="T165" s="41" t="s">
        <v>18</v>
      </c>
      <c r="U165" s="16" t="s">
        <v>13</v>
      </c>
      <c r="V165" s="16" t="s">
        <v>19</v>
      </c>
      <c r="W165" s="29" t="s"/>
      <c r="X165" s="26" t="s">
        <f>=M165&amp;N165&amp;P165&amp;Q165&amp;T165&amp;V165&amp;S165</f>
        <v>218</v>
      </c>
      <c r="Y165" s="19" t="s"/>
      <c r="Z165" s="19" t="s"/>
      <c r="AA165" s="19" t="s"/>
      <c r="AB165" s="19" t="s"/>
    </row>
    <row r="166" spans="1:28" ht="14.4">
      <c r="A166" s="4">
        <f>=H166/G166-1</f>
        <v>0.102040816326531</v>
      </c>
      <c r="B166" s="20">
        <f>=F166/12</f>
        <v>8.1</v>
      </c>
      <c r="C166" s="20">
        <f>=J166/3</f>
        <v>64.8</v>
      </c>
      <c r="D166" s="20">
        <f>=K166/3</f>
        <v>72</v>
      </c>
      <c r="E166" s="20">
        <f>=L166/3</f>
        <v>75.6</v>
      </c>
      <c r="F166" s="20">
        <f>=H166*0.9</f>
        <v>97.2</v>
      </c>
      <c r="G166" s="21">
        <v>98</v>
      </c>
      <c r="H166" s="39">
        <v>108</v>
      </c>
      <c r="I166" s="40">
        <f>=H166*1.05</f>
        <v>113.4</v>
      </c>
      <c r="J166" s="40">
        <f>=F166*2</f>
        <v>194.4</v>
      </c>
      <c r="K166" s="40">
        <f>=H166*2</f>
        <v>216</v>
      </c>
      <c r="L166" s="40">
        <f>=I166*2</f>
        <v>226.8</v>
      </c>
      <c r="M166" s="41" t="s">
        <v>211</v>
      </c>
      <c r="N166" s="41">
        <v>0.08</v>
      </c>
      <c r="O166" s="41" t="s"/>
      <c r="P166" s="41">
        <v>1</v>
      </c>
      <c r="Q166" s="41" t="s">
        <v>21</v>
      </c>
      <c r="R166" s="41" t="s">
        <v>16</v>
      </c>
      <c r="S166" s="41" t="s">
        <v>17</v>
      </c>
      <c r="T166" s="41" t="s">
        <v>18</v>
      </c>
      <c r="U166" s="16" t="s">
        <v>13</v>
      </c>
      <c r="V166" s="16" t="s">
        <v>19</v>
      </c>
      <c r="W166" s="29" t="s"/>
      <c r="X166" s="26" t="s">
        <f>=M166&amp;N166&amp;P166&amp;Q166&amp;T166&amp;V166&amp;S166</f>
        <v>219</v>
      </c>
      <c r="Y166" s="19" t="s"/>
      <c r="Z166" s="19" t="s"/>
      <c r="AA166" s="19" t="s"/>
      <c r="AB166" s="19" t="s"/>
    </row>
    <row r="167" spans="1:28" ht="14.4">
      <c r="A167" s="4">
        <f>=H167/G167-1</f>
        <v>0.104347826086957</v>
      </c>
      <c r="B167" s="20">
        <f>=F167/12</f>
        <v>9.525</v>
      </c>
      <c r="C167" s="20">
        <f>=J167/3</f>
        <v>76.2</v>
      </c>
      <c r="D167" s="20">
        <f>=K167/3</f>
        <v>84.6666666666667</v>
      </c>
      <c r="E167" s="20">
        <f>=L167/3</f>
        <v>88.9</v>
      </c>
      <c r="F167" s="20">
        <f>=H167*0.9</f>
        <v>114.3</v>
      </c>
      <c r="G167" s="21">
        <v>115</v>
      </c>
      <c r="H167" s="39">
        <v>127</v>
      </c>
      <c r="I167" s="40">
        <f>=H167*1.05</f>
        <v>133.35</v>
      </c>
      <c r="J167" s="40">
        <f>=F167*2</f>
        <v>228.6</v>
      </c>
      <c r="K167" s="40">
        <f>=H167*2</f>
        <v>254</v>
      </c>
      <c r="L167" s="40">
        <f>=I167*2</f>
        <v>266.7</v>
      </c>
      <c r="M167" s="41" t="s">
        <v>211</v>
      </c>
      <c r="N167" s="41">
        <v>0.08</v>
      </c>
      <c r="O167" s="41" t="s"/>
      <c r="P167" s="41">
        <v>1</v>
      </c>
      <c r="Q167" s="41">
        <v>1</v>
      </c>
      <c r="R167" s="41" t="s">
        <v>16</v>
      </c>
      <c r="S167" s="41" t="s">
        <v>17</v>
      </c>
      <c r="T167" s="41" t="s">
        <v>18</v>
      </c>
      <c r="U167" s="16" t="s">
        <v>13</v>
      </c>
      <c r="V167" s="16" t="s">
        <v>19</v>
      </c>
      <c r="W167" s="29" t="s"/>
      <c r="X167" s="26" t="s">
        <f>=M167&amp;N167&amp;P167&amp;Q167&amp;T167&amp;V167&amp;S167</f>
        <v>220</v>
      </c>
      <c r="Y167" s="19" t="s"/>
      <c r="Z167" s="19" t="s"/>
      <c r="AA167" s="19" t="s"/>
      <c r="AB167" s="19" t="s"/>
    </row>
    <row r="168" spans="1:28" ht="14.4">
      <c r="A168" s="4">
        <f>=H168/G168-1</f>
        <v>0.101123595505618</v>
      </c>
      <c r="B168" s="20">
        <f>=F168/12</f>
        <v>29.4</v>
      </c>
      <c r="C168" s="20">
        <f>=J168/3</f>
        <v>235.2</v>
      </c>
      <c r="D168" s="20">
        <f>=K168/3</f>
        <v>261.333333333333</v>
      </c>
      <c r="E168" s="20">
        <f>=L168/3</f>
        <v>274.4</v>
      </c>
      <c r="F168" s="20">
        <f>=H168*0.9</f>
        <v>352.8</v>
      </c>
      <c r="G168" s="21">
        <v>356</v>
      </c>
      <c r="H168" s="39">
        <v>392</v>
      </c>
      <c r="I168" s="40">
        <f>=H168*1.05</f>
        <v>411.6</v>
      </c>
      <c r="J168" s="40">
        <f>=F168*2</f>
        <v>705.6</v>
      </c>
      <c r="K168" s="40">
        <f>=H168*2</f>
        <v>784</v>
      </c>
      <c r="L168" s="40">
        <f>=I168*2</f>
        <v>823.2</v>
      </c>
      <c r="M168" s="41" t="s">
        <v>211</v>
      </c>
      <c r="N168" s="41">
        <v>0.08</v>
      </c>
      <c r="O168" s="41" t="s"/>
      <c r="P168" s="41">
        <v>3</v>
      </c>
      <c r="Q168" s="41">
        <v>3</v>
      </c>
      <c r="R168" s="41" t="s">
        <v>16</v>
      </c>
      <c r="S168" s="41" t="s">
        <v>17</v>
      </c>
      <c r="T168" s="41" t="s">
        <v>18</v>
      </c>
      <c r="U168" s="16" t="s">
        <v>13</v>
      </c>
      <c r="V168" s="16" t="s">
        <v>19</v>
      </c>
      <c r="W168" s="29" t="s"/>
      <c r="X168" s="26" t="s">
        <f>=M168&amp;N168&amp;P168&amp;Q168&amp;T168&amp;V168&amp;S168</f>
        <v>221</v>
      </c>
      <c r="Y168" s="19" t="s"/>
      <c r="Z168" s="19" t="s"/>
      <c r="AA168" s="19" t="s"/>
      <c r="AB168" s="19" t="s"/>
    </row>
    <row r="169" spans="1:28" ht="14.4">
      <c r="A169" s="4">
        <f>=H169/G169-1</f>
        <v>0.0975609756097562</v>
      </c>
      <c r="B169" s="20">
        <f>=F169/12</f>
        <v>6.75</v>
      </c>
      <c r="C169" s="20">
        <f>=J169/3</f>
        <v>54</v>
      </c>
      <c r="D169" s="20">
        <f>=K169/3</f>
        <v>60</v>
      </c>
      <c r="E169" s="20">
        <f>=L169/3</f>
        <v>63</v>
      </c>
      <c r="F169" s="20">
        <f>=H169*0.9</f>
        <v>81</v>
      </c>
      <c r="G169" s="21">
        <v>82</v>
      </c>
      <c r="H169" s="39">
        <v>90</v>
      </c>
      <c r="I169" s="40">
        <f>=H169*1.05</f>
        <v>94.5</v>
      </c>
      <c r="J169" s="40">
        <f>=F169*2</f>
        <v>162</v>
      </c>
      <c r="K169" s="40">
        <f>=H169*2</f>
        <v>180</v>
      </c>
      <c r="L169" s="40">
        <f>=I169*2</f>
        <v>189</v>
      </c>
      <c r="M169" s="41" t="s">
        <v>211</v>
      </c>
      <c r="N169" s="41">
        <v>0.08</v>
      </c>
      <c r="O169" s="41" t="s"/>
      <c r="P169" s="41" t="s">
        <v>21</v>
      </c>
      <c r="Q169" s="41" t="s">
        <v>21</v>
      </c>
      <c r="R169" s="41" t="s">
        <v>16</v>
      </c>
      <c r="S169" s="41" t="s">
        <v>17</v>
      </c>
      <c r="T169" s="41" t="s">
        <v>18</v>
      </c>
      <c r="U169" s="16" t="s">
        <v>13</v>
      </c>
      <c r="V169" s="16" t="s">
        <v>19</v>
      </c>
      <c r="W169" s="29" t="s"/>
      <c r="X169" s="26" t="s">
        <f>=M169&amp;N169&amp;P169&amp;Q169&amp;T169&amp;V169&amp;S169</f>
        <v>222</v>
      </c>
      <c r="Y169" s="19" t="s"/>
      <c r="Z169" s="19" t="s"/>
      <c r="AA169" s="19" t="s"/>
      <c r="AB169" s="19" t="s"/>
    </row>
    <row r="170" spans="1:28" ht="14.4">
      <c r="A170" s="4">
        <f>=H170/G170-1</f>
        <v>0.1</v>
      </c>
      <c r="B170" s="20">
        <f>=F170/12</f>
        <v>9.075</v>
      </c>
      <c r="C170" s="20">
        <f>=J170/3</f>
        <v>72.6</v>
      </c>
      <c r="D170" s="20">
        <f>=K170/3</f>
        <v>80.6666666666667</v>
      </c>
      <c r="E170" s="20">
        <f>=L170/3</f>
        <v>84.7</v>
      </c>
      <c r="F170" s="20">
        <f>=H170*0.9</f>
        <v>108.9</v>
      </c>
      <c r="G170" s="21">
        <v>110</v>
      </c>
      <c r="H170" s="39">
        <v>121</v>
      </c>
      <c r="I170" s="40">
        <f>=H170*1.05</f>
        <v>127.05</v>
      </c>
      <c r="J170" s="40">
        <f>=F170*2</f>
        <v>217.8</v>
      </c>
      <c r="K170" s="40">
        <f>=H170*2</f>
        <v>242</v>
      </c>
      <c r="L170" s="40">
        <f>=I170*2</f>
        <v>254.1</v>
      </c>
      <c r="M170" s="41" t="s">
        <v>211</v>
      </c>
      <c r="N170" s="41">
        <v>0.09</v>
      </c>
      <c r="O170" s="41" t="s"/>
      <c r="P170" s="41">
        <v>1</v>
      </c>
      <c r="Q170" s="41">
        <v>1</v>
      </c>
      <c r="R170" s="41" t="s">
        <v>16</v>
      </c>
      <c r="S170" s="41" t="s">
        <v>17</v>
      </c>
      <c r="T170" s="41" t="s">
        <v>25</v>
      </c>
      <c r="U170" s="16" t="s">
        <v>13</v>
      </c>
      <c r="V170" s="16" t="s">
        <v>19</v>
      </c>
      <c r="W170" s="29" t="s"/>
      <c r="X170" s="26" t="s">
        <f>=M170&amp;N170&amp;P170&amp;Q170&amp;T170&amp;V170&amp;S170</f>
        <v>223</v>
      </c>
      <c r="Y170" s="19" t="s"/>
      <c r="Z170" s="19" t="s"/>
      <c r="AA170" s="19" t="s"/>
      <c r="AB170" s="19" t="s"/>
    </row>
    <row r="171" spans="1:28" ht="14.4">
      <c r="A171" s="4">
        <f>=H171/G171-1</f>
        <v>0.101123595505618</v>
      </c>
      <c r="B171" s="20">
        <f>=F171/12</f>
        <v>7.35</v>
      </c>
      <c r="C171" s="20">
        <f>=J171/3</f>
        <v>58.8</v>
      </c>
      <c r="D171" s="20">
        <f>=K171/3</f>
        <v>65.3333333333333</v>
      </c>
      <c r="E171" s="20">
        <f>=L171/3</f>
        <v>68.6</v>
      </c>
      <c r="F171" s="20">
        <f>=H171*0.9</f>
        <v>88.2</v>
      </c>
      <c r="G171" s="21">
        <v>89</v>
      </c>
      <c r="H171" s="39">
        <v>98</v>
      </c>
      <c r="I171" s="40">
        <f>=H171*1.05</f>
        <v>102.9</v>
      </c>
      <c r="J171" s="40">
        <f>=F171*2</f>
        <v>176.4</v>
      </c>
      <c r="K171" s="40">
        <f>=H171*2</f>
        <v>196</v>
      </c>
      <c r="L171" s="40">
        <f>=I171*2</f>
        <v>205.8</v>
      </c>
      <c r="M171" s="41" t="s">
        <v>211</v>
      </c>
      <c r="N171" s="41">
        <v>0.09</v>
      </c>
      <c r="O171" s="41" t="s"/>
      <c r="P171" s="41" t="s">
        <v>21</v>
      </c>
      <c r="Q171" s="41" t="s">
        <v>21</v>
      </c>
      <c r="R171" s="41" t="s">
        <v>16</v>
      </c>
      <c r="S171" s="41" t="s">
        <v>17</v>
      </c>
      <c r="T171" s="41" t="s">
        <v>25</v>
      </c>
      <c r="U171" s="16" t="s">
        <v>13</v>
      </c>
      <c r="V171" s="16" t="s">
        <v>19</v>
      </c>
      <c r="W171" s="29" t="s"/>
      <c r="X171" s="26" t="s">
        <f>=M171&amp;N171&amp;P171&amp;Q171&amp;T171&amp;V171&amp;S171</f>
        <v>224</v>
      </c>
      <c r="Y171" s="19" t="s"/>
      <c r="Z171" s="19" t="s"/>
      <c r="AA171" s="19" t="s"/>
      <c r="AB171" s="19" t="s"/>
    </row>
    <row r="172" spans="1:28" ht="14.4">
      <c r="A172" s="4">
        <f>=H172/G172-1</f>
        <v>0.100917431192661</v>
      </c>
      <c r="B172" s="20">
        <f>=F172/12</f>
        <v>9</v>
      </c>
      <c r="C172" s="20">
        <f>=J172/3</f>
        <v>72</v>
      </c>
      <c r="D172" s="20">
        <f>=K172/3</f>
        <v>80</v>
      </c>
      <c r="E172" s="20">
        <f>=L172/3</f>
        <v>84</v>
      </c>
      <c r="F172" s="20">
        <f>=H172*0.9</f>
        <v>108</v>
      </c>
      <c r="G172" s="21">
        <v>109</v>
      </c>
      <c r="H172" s="39">
        <v>120</v>
      </c>
      <c r="I172" s="40">
        <f>=H172*1.05</f>
        <v>126</v>
      </c>
      <c r="J172" s="40">
        <f>=F172*2</f>
        <v>216</v>
      </c>
      <c r="K172" s="40">
        <f>=H172*2</f>
        <v>240</v>
      </c>
      <c r="L172" s="40">
        <f>=I172*2</f>
        <v>252</v>
      </c>
      <c r="M172" s="41" t="s">
        <v>211</v>
      </c>
      <c r="N172" s="41">
        <v>0.09</v>
      </c>
      <c r="O172" s="41" t="s"/>
      <c r="P172" s="41" t="s">
        <v>21</v>
      </c>
      <c r="Q172" s="41" t="s">
        <v>21</v>
      </c>
      <c r="R172" s="41" t="s">
        <v>16</v>
      </c>
      <c r="S172" s="41" t="s">
        <v>17</v>
      </c>
      <c r="T172" s="41" t="s">
        <v>225</v>
      </c>
      <c r="U172" s="16" t="s">
        <v>13</v>
      </c>
      <c r="V172" s="16" t="s">
        <v>19</v>
      </c>
      <c r="W172" s="29" t="s"/>
      <c r="X172" s="26" t="s">
        <f>=M172&amp;N172&amp;P172&amp;Q172&amp;T172&amp;V172&amp;S172</f>
        <v>226</v>
      </c>
      <c r="Y172" s="19" t="s"/>
      <c r="Z172" s="19" t="s"/>
      <c r="AA172" s="19" t="s"/>
      <c r="AB172" s="19" t="s"/>
    </row>
    <row r="173" spans="1:28" ht="14.4">
      <c r="A173" s="4">
        <f>=H173/G173-1</f>
        <v>0.0990099009900991</v>
      </c>
      <c r="B173" s="20">
        <f>=F173/12</f>
        <v>8.325</v>
      </c>
      <c r="C173" s="20">
        <f>=J173/3</f>
        <v>66.6</v>
      </c>
      <c r="D173" s="20">
        <f>=K173/3</f>
        <v>74</v>
      </c>
      <c r="E173" s="20">
        <f>=L173/3</f>
        <v>77.7</v>
      </c>
      <c r="F173" s="20">
        <f>=H173*0.9</f>
        <v>99.9</v>
      </c>
      <c r="G173" s="21">
        <v>101</v>
      </c>
      <c r="H173" s="39">
        <v>111</v>
      </c>
      <c r="I173" s="40">
        <f>=H173*1.05</f>
        <v>116.55</v>
      </c>
      <c r="J173" s="40">
        <f>=F173*2</f>
        <v>199.8</v>
      </c>
      <c r="K173" s="40">
        <f>=H173*2</f>
        <v>222</v>
      </c>
      <c r="L173" s="40">
        <f>=I173*2</f>
        <v>233.1</v>
      </c>
      <c r="M173" s="41" t="s">
        <v>211</v>
      </c>
      <c r="N173" s="41">
        <v>0.1</v>
      </c>
      <c r="O173" s="41" t="s"/>
      <c r="P173" s="41">
        <v>1</v>
      </c>
      <c r="Q173" s="41" t="s">
        <v>21</v>
      </c>
      <c r="R173" s="41" t="s">
        <v>16</v>
      </c>
      <c r="S173" s="41" t="s">
        <v>17</v>
      </c>
      <c r="T173" s="41" t="s">
        <v>23</v>
      </c>
      <c r="U173" s="16" t="s">
        <v>13</v>
      </c>
      <c r="V173" s="16" t="s">
        <v>19</v>
      </c>
      <c r="W173" s="29" t="s"/>
      <c r="X173" s="26" t="s">
        <f>=M173&amp;N173&amp;P173&amp;Q173&amp;T173&amp;V173&amp;S173</f>
        <v>227</v>
      </c>
      <c r="Y173" s="19" t="s"/>
      <c r="Z173" s="19" t="s"/>
      <c r="AA173" s="19" t="s"/>
      <c r="AB173" s="19" t="s"/>
    </row>
    <row r="174" spans="1:28" ht="14.4">
      <c r="A174" s="4">
        <f>=H174/G174-1</f>
        <v>0.0990099009900991</v>
      </c>
      <c r="B174" s="20">
        <f>=F174/12</f>
        <v>8.325</v>
      </c>
      <c r="C174" s="20">
        <f>=J174/3</f>
        <v>66.6</v>
      </c>
      <c r="D174" s="20">
        <f>=K174/3</f>
        <v>74</v>
      </c>
      <c r="E174" s="20">
        <f>=L174/3</f>
        <v>77.7</v>
      </c>
      <c r="F174" s="20">
        <f>=H174*0.9</f>
        <v>99.9</v>
      </c>
      <c r="G174" s="21">
        <v>101</v>
      </c>
      <c r="H174" s="39">
        <v>111</v>
      </c>
      <c r="I174" s="40">
        <f>=H174*1.05</f>
        <v>116.55</v>
      </c>
      <c r="J174" s="40">
        <f>=F174*2</f>
        <v>199.8</v>
      </c>
      <c r="K174" s="40">
        <f>=H174*2</f>
        <v>222</v>
      </c>
      <c r="L174" s="40">
        <f>=I174*2</f>
        <v>233.1</v>
      </c>
      <c r="M174" s="41" t="s">
        <v>211</v>
      </c>
      <c r="N174" s="41">
        <v>0.1</v>
      </c>
      <c r="O174" s="41" t="s"/>
      <c r="P174" s="41">
        <v>1</v>
      </c>
      <c r="Q174" s="41" t="s">
        <v>21</v>
      </c>
      <c r="R174" s="41" t="s">
        <v>16</v>
      </c>
      <c r="S174" s="41" t="s">
        <v>17</v>
      </c>
      <c r="T174" s="41" t="s">
        <v>25</v>
      </c>
      <c r="U174" s="16" t="s">
        <v>13</v>
      </c>
      <c r="V174" s="16" t="s">
        <v>19</v>
      </c>
      <c r="W174" s="29" t="s"/>
      <c r="X174" s="26" t="s">
        <f>=M174&amp;N174&amp;P174&amp;Q174&amp;T174&amp;V174&amp;S174</f>
        <v>228</v>
      </c>
      <c r="Y174" s="19" t="s"/>
      <c r="Z174" s="19" t="s"/>
      <c r="AA174" s="19" t="s"/>
      <c r="AB174" s="19" t="s"/>
    </row>
    <row r="175" spans="1:28" ht="14.4">
      <c r="A175" s="4">
        <f>=H175/G175-1</f>
        <v>0.103448275862069</v>
      </c>
      <c r="B175" s="20">
        <f>=F175/12</f>
        <v>9.6</v>
      </c>
      <c r="C175" s="20">
        <f>=J175/3</f>
        <v>76.8</v>
      </c>
      <c r="D175" s="20">
        <f>=K175/3</f>
        <v>85.3333333333333</v>
      </c>
      <c r="E175" s="20">
        <f>=L175/3</f>
        <v>89.6</v>
      </c>
      <c r="F175" s="20">
        <f>=H175*0.9</f>
        <v>115.2</v>
      </c>
      <c r="G175" s="21">
        <v>116</v>
      </c>
      <c r="H175" s="39">
        <v>128</v>
      </c>
      <c r="I175" s="40">
        <f>=H175*1.05</f>
        <v>134.4</v>
      </c>
      <c r="J175" s="40">
        <f>=F175*2</f>
        <v>230.4</v>
      </c>
      <c r="K175" s="40">
        <f>=H175*2</f>
        <v>256</v>
      </c>
      <c r="L175" s="40">
        <f>=I175*2</f>
        <v>268.8</v>
      </c>
      <c r="M175" s="41" t="s">
        <v>211</v>
      </c>
      <c r="N175" s="41">
        <v>0.1</v>
      </c>
      <c r="O175" s="41" t="s"/>
      <c r="P175" s="41">
        <v>1</v>
      </c>
      <c r="Q175" s="41">
        <v>1</v>
      </c>
      <c r="R175" s="41" t="s">
        <v>16</v>
      </c>
      <c r="S175" s="41" t="s">
        <v>17</v>
      </c>
      <c r="T175" s="41" t="s">
        <v>23</v>
      </c>
      <c r="U175" s="16" t="s">
        <v>13</v>
      </c>
      <c r="V175" s="16" t="s">
        <v>19</v>
      </c>
      <c r="W175" s="29" t="s"/>
      <c r="X175" s="26" t="s">
        <f>=M175&amp;N175&amp;P175&amp;Q175&amp;T175&amp;V175&amp;S175</f>
        <v>229</v>
      </c>
      <c r="Y175" s="19" t="s"/>
      <c r="Z175" s="19" t="s"/>
      <c r="AA175" s="19" t="s"/>
      <c r="AB175" s="19" t="s"/>
    </row>
    <row r="176" spans="1:28" ht="21.75" customHeight="true">
      <c r="A176" s="4">
        <f>=H176/G176-1</f>
        <v>0.102564102564103</v>
      </c>
      <c r="B176" s="20">
        <f>=F176/12</f>
        <v>9.675</v>
      </c>
      <c r="C176" s="20">
        <f>=J176/3</f>
        <v>77.4</v>
      </c>
      <c r="D176" s="20">
        <f>=K176/3</f>
        <v>86</v>
      </c>
      <c r="E176" s="20">
        <f>=L176/3</f>
        <v>90.3</v>
      </c>
      <c r="F176" s="20">
        <f>=H176*0.9</f>
        <v>116.1</v>
      </c>
      <c r="G176" s="21">
        <v>117</v>
      </c>
      <c r="H176" s="39">
        <v>129</v>
      </c>
      <c r="I176" s="40">
        <f>=H176*1.05</f>
        <v>135.45</v>
      </c>
      <c r="J176" s="40">
        <f>=F176*2</f>
        <v>232.2</v>
      </c>
      <c r="K176" s="40">
        <f>=H176*2</f>
        <v>258</v>
      </c>
      <c r="L176" s="40">
        <f>=I176*2</f>
        <v>270.9</v>
      </c>
      <c r="M176" s="41" t="s">
        <v>211</v>
      </c>
      <c r="N176" s="41">
        <v>0.1</v>
      </c>
      <c r="O176" s="41" t="s"/>
      <c r="P176" s="41">
        <v>1</v>
      </c>
      <c r="Q176" s="41">
        <v>1</v>
      </c>
      <c r="R176" s="41" t="s">
        <v>16</v>
      </c>
      <c r="S176" s="41" t="s">
        <v>17</v>
      </c>
      <c r="T176" s="41" t="s">
        <v>25</v>
      </c>
      <c r="U176" s="16" t="s">
        <v>13</v>
      </c>
      <c r="V176" s="16" t="s">
        <v>19</v>
      </c>
      <c r="W176" s="29" t="s"/>
      <c r="X176" s="26" t="s">
        <f>=M176&amp;N176&amp;P176&amp;Q176&amp;T176&amp;V176&amp;S176</f>
        <v>230</v>
      </c>
      <c r="Y176" s="19" t="s"/>
      <c r="Z176" s="19" t="s"/>
      <c r="AA176" s="19" t="s"/>
      <c r="AB176" s="19" t="s"/>
    </row>
    <row r="177" spans="1:28" ht="14.4">
      <c r="A177" s="4">
        <f>=H177/G177-1</f>
        <v>0.103174603174603</v>
      </c>
      <c r="B177" s="20">
        <f>=F177/12</f>
        <v>10.425</v>
      </c>
      <c r="C177" s="20">
        <f>=J177/3</f>
        <v>83.4</v>
      </c>
      <c r="D177" s="20">
        <f>=K177/3</f>
        <v>92.6666666666667</v>
      </c>
      <c r="E177" s="20">
        <f>=L177/3</f>
        <v>97.3</v>
      </c>
      <c r="F177" s="20">
        <f>=H177*0.9</f>
        <v>125.1</v>
      </c>
      <c r="G177" s="21">
        <v>126</v>
      </c>
      <c r="H177" s="39">
        <v>139</v>
      </c>
      <c r="I177" s="40">
        <f>=H177*1.05</f>
        <v>145.95</v>
      </c>
      <c r="J177" s="40">
        <f>=F177*2</f>
        <v>250.2</v>
      </c>
      <c r="K177" s="40">
        <f>=H177*2</f>
        <v>278</v>
      </c>
      <c r="L177" s="40">
        <f>=I177*2</f>
        <v>291.9</v>
      </c>
      <c r="M177" s="41" t="s">
        <v>211</v>
      </c>
      <c r="N177" s="41">
        <v>0.1</v>
      </c>
      <c r="O177" s="41" t="s"/>
      <c r="P177" s="41">
        <v>1</v>
      </c>
      <c r="Q177" s="41">
        <v>1</v>
      </c>
      <c r="R177" s="41" t="s">
        <v>16</v>
      </c>
      <c r="S177" s="41" t="s">
        <v>17</v>
      </c>
      <c r="T177" s="41" t="s">
        <v>27</v>
      </c>
      <c r="U177" s="16" t="s">
        <v>13</v>
      </c>
      <c r="V177" s="16" t="s">
        <v>19</v>
      </c>
      <c r="W177" s="29" t="s"/>
      <c r="X177" s="26" t="s">
        <f>=M177&amp;N177&amp;P177&amp;Q177&amp;T177&amp;V177&amp;S177</f>
        <v>231</v>
      </c>
      <c r="Y177" s="19" t="s"/>
      <c r="Z177" s="19" t="s"/>
      <c r="AA177" s="19" t="s"/>
      <c r="AB177" s="19" t="s"/>
    </row>
    <row r="178" spans="1:28" ht="14.4">
      <c r="A178" s="4">
        <f>=H178/G178-1</f>
        <v>0.098901098901099</v>
      </c>
      <c r="B178" s="20">
        <f>=F178/12</f>
        <v>15</v>
      </c>
      <c r="C178" s="20">
        <f>=J178/3</f>
        <v>120</v>
      </c>
      <c r="D178" s="20">
        <f>=K178/3</f>
        <v>133.333333333333</v>
      </c>
      <c r="E178" s="20">
        <f>=L178/3</f>
        <v>140</v>
      </c>
      <c r="F178" s="20">
        <f>=H178*0.9</f>
        <v>180</v>
      </c>
      <c r="G178" s="21">
        <v>182</v>
      </c>
      <c r="H178" s="39">
        <v>200</v>
      </c>
      <c r="I178" s="40">
        <f>=H178*1.05</f>
        <v>210</v>
      </c>
      <c r="J178" s="40">
        <f>=F178*2</f>
        <v>360</v>
      </c>
      <c r="K178" s="40">
        <f>=H178*2</f>
        <v>400</v>
      </c>
      <c r="L178" s="40">
        <f>=I178*2</f>
        <v>420</v>
      </c>
      <c r="M178" s="41" t="s">
        <v>211</v>
      </c>
      <c r="N178" s="41">
        <v>0.1</v>
      </c>
      <c r="O178" s="41" t="s"/>
      <c r="P178" s="41">
        <v>1</v>
      </c>
      <c r="Q178" s="41">
        <v>2</v>
      </c>
      <c r="R178" s="41" t="s">
        <v>16</v>
      </c>
      <c r="S178" s="41" t="s">
        <v>17</v>
      </c>
      <c r="T178" s="41" t="s">
        <v>27</v>
      </c>
      <c r="U178" s="16" t="s">
        <v>13</v>
      </c>
      <c r="V178" s="16" t="s">
        <v>19</v>
      </c>
      <c r="W178" s="29" t="s"/>
      <c r="X178" s="26" t="s">
        <f>=M178&amp;N178&amp;P178&amp;Q178&amp;T178&amp;V178&amp;S178</f>
        <v>232</v>
      </c>
      <c r="Y178" s="19" t="s"/>
      <c r="Z178" s="19" t="s"/>
      <c r="AA178" s="19" t="s"/>
      <c r="AB178" s="19" t="s"/>
    </row>
    <row r="179" spans="1:28" ht="14.4">
      <c r="A179" s="4">
        <f>=H179/G179-1</f>
        <v>0.101063829787234</v>
      </c>
      <c r="B179" s="20">
        <f>=F179/12</f>
        <v>15.525</v>
      </c>
      <c r="C179" s="20">
        <f>=J179/3</f>
        <v>124.2</v>
      </c>
      <c r="D179" s="20">
        <f>=K179/3</f>
        <v>138</v>
      </c>
      <c r="E179" s="20">
        <f>=L179/3</f>
        <v>144.9</v>
      </c>
      <c r="F179" s="20">
        <f>=H179*0.9</f>
        <v>186.3</v>
      </c>
      <c r="G179" s="21">
        <v>188</v>
      </c>
      <c r="H179" s="39">
        <v>207</v>
      </c>
      <c r="I179" s="40">
        <f>=H179*1.05</f>
        <v>217.35</v>
      </c>
      <c r="J179" s="40">
        <f>=F179*2</f>
        <v>372.6</v>
      </c>
      <c r="K179" s="40">
        <f>=H179*2</f>
        <v>414</v>
      </c>
      <c r="L179" s="40">
        <f>=I179*2</f>
        <v>434.7</v>
      </c>
      <c r="M179" s="41" t="s">
        <v>211</v>
      </c>
      <c r="N179" s="41">
        <v>0.1</v>
      </c>
      <c r="O179" s="41" t="s"/>
      <c r="P179" s="41">
        <v>1</v>
      </c>
      <c r="Q179" s="41">
        <v>2</v>
      </c>
      <c r="R179" s="41" t="s">
        <v>16</v>
      </c>
      <c r="S179" s="41" t="s">
        <v>17</v>
      </c>
      <c r="T179" s="41" t="s">
        <v>23</v>
      </c>
      <c r="U179" s="16" t="s">
        <v>13</v>
      </c>
      <c r="V179" s="16" t="s">
        <v>19</v>
      </c>
      <c r="W179" s="29" t="s"/>
      <c r="X179" s="26" t="s">
        <f>=M179&amp;N179&amp;P179&amp;Q179&amp;T179&amp;V179&amp;S179</f>
        <v>233</v>
      </c>
      <c r="Y179" s="19" t="s"/>
      <c r="Z179" s="19" t="s"/>
      <c r="AA179" s="19" t="s"/>
      <c r="AB179" s="19" t="s"/>
    </row>
    <row r="180" spans="1:28" ht="14.4">
      <c r="A180" s="4">
        <f>=H180/G180-1</f>
        <v>0.10188679245283</v>
      </c>
      <c r="B180" s="20">
        <f>=F180/12</f>
        <v>21.9</v>
      </c>
      <c r="C180" s="20">
        <f>=J180/3</f>
        <v>175.2</v>
      </c>
      <c r="D180" s="20">
        <f>=K180/3</f>
        <v>194.666666666667</v>
      </c>
      <c r="E180" s="20">
        <f>=L180/3</f>
        <v>204.4</v>
      </c>
      <c r="F180" s="20">
        <f>=H180*0.9</f>
        <v>262.8</v>
      </c>
      <c r="G180" s="21">
        <v>265</v>
      </c>
      <c r="H180" s="39">
        <v>292</v>
      </c>
      <c r="I180" s="40">
        <f>=H180*1.05</f>
        <v>306.6</v>
      </c>
      <c r="J180" s="40">
        <f>=F180*2</f>
        <v>525.6</v>
      </c>
      <c r="K180" s="40">
        <f>=H180*2</f>
        <v>584</v>
      </c>
      <c r="L180" s="40">
        <f>=I180*2</f>
        <v>613.2</v>
      </c>
      <c r="M180" s="41" t="s">
        <v>211</v>
      </c>
      <c r="N180" s="41">
        <v>0.1</v>
      </c>
      <c r="O180" s="41" t="s"/>
      <c r="P180" s="41">
        <v>2</v>
      </c>
      <c r="Q180" s="41">
        <v>2</v>
      </c>
      <c r="R180" s="41" t="s">
        <v>16</v>
      </c>
      <c r="S180" s="41" t="s">
        <v>17</v>
      </c>
      <c r="T180" s="41" t="s">
        <v>27</v>
      </c>
      <c r="U180" s="16" t="s">
        <v>13</v>
      </c>
      <c r="V180" s="16" t="s">
        <v>215</v>
      </c>
      <c r="W180" s="29" t="s"/>
      <c r="X180" s="26" t="s">
        <f>=M180&amp;N180&amp;P180&amp;Q180&amp;T180&amp;V180&amp;S180</f>
        <v>234</v>
      </c>
      <c r="Y180" s="19" t="s"/>
      <c r="Z180" s="19" t="s"/>
      <c r="AA180" s="19" t="s"/>
      <c r="AB180" s="19" t="s"/>
    </row>
    <row r="181" spans="1:28" ht="14.4">
      <c r="A181" s="4">
        <f>=H181/G181-1</f>
        <v>0.10126582278481</v>
      </c>
      <c r="B181" s="20">
        <f>=F181/12</f>
        <v>19.575</v>
      </c>
      <c r="C181" s="20">
        <f>=J181/3</f>
        <v>156.6</v>
      </c>
      <c r="D181" s="20">
        <f>=K181/3</f>
        <v>174</v>
      </c>
      <c r="E181" s="20">
        <f>=L181/3</f>
        <v>182.7</v>
      </c>
      <c r="F181" s="20">
        <f>=H181*0.9</f>
        <v>234.9</v>
      </c>
      <c r="G181" s="21">
        <v>237</v>
      </c>
      <c r="H181" s="39">
        <v>261</v>
      </c>
      <c r="I181" s="40">
        <f>=H181*1.05</f>
        <v>274.05</v>
      </c>
      <c r="J181" s="40">
        <f>=F181*2</f>
        <v>469.8</v>
      </c>
      <c r="K181" s="40">
        <f>=H181*2</f>
        <v>522</v>
      </c>
      <c r="L181" s="40">
        <f>=I181*2</f>
        <v>548.1</v>
      </c>
      <c r="M181" s="41" t="s">
        <v>211</v>
      </c>
      <c r="N181" s="41">
        <v>0.1</v>
      </c>
      <c r="O181" s="41" t="s"/>
      <c r="P181" s="41">
        <v>2</v>
      </c>
      <c r="Q181" s="41">
        <v>2</v>
      </c>
      <c r="R181" s="41" t="s">
        <v>16</v>
      </c>
      <c r="S181" s="41" t="s">
        <v>17</v>
      </c>
      <c r="T181" s="41" t="s">
        <v>27</v>
      </c>
      <c r="U181" s="16" t="s">
        <v>13</v>
      </c>
      <c r="V181" s="16" t="s">
        <v>19</v>
      </c>
      <c r="W181" s="29" t="s"/>
      <c r="X181" s="26" t="s">
        <f>=M181&amp;N181&amp;P181&amp;Q181&amp;T181&amp;V181&amp;S181</f>
        <v>235</v>
      </c>
      <c r="Y181" s="19" t="s"/>
      <c r="Z181" s="19" t="s"/>
      <c r="AA181" s="19" t="s"/>
      <c r="AB181" s="19" t="s"/>
    </row>
    <row r="182" spans="1:28" ht="14.4">
      <c r="A182" s="4">
        <f>=H182/G182-1</f>
        <v>0.101694915254237</v>
      </c>
      <c r="B182" s="20">
        <f>=F182/12</f>
        <v>19.5</v>
      </c>
      <c r="C182" s="20">
        <f>=J182/3</f>
        <v>156</v>
      </c>
      <c r="D182" s="20">
        <f>=K182/3</f>
        <v>173.333333333333</v>
      </c>
      <c r="E182" s="20">
        <f>=L182/3</f>
        <v>182</v>
      </c>
      <c r="F182" s="20">
        <f>=H182*0.9</f>
        <v>234</v>
      </c>
      <c r="G182" s="21">
        <v>236</v>
      </c>
      <c r="H182" s="39">
        <v>260</v>
      </c>
      <c r="I182" s="40">
        <f>=H182*1.05</f>
        <v>273</v>
      </c>
      <c r="J182" s="40">
        <f>=F182*2</f>
        <v>468</v>
      </c>
      <c r="K182" s="40">
        <f>=H182*2</f>
        <v>520</v>
      </c>
      <c r="L182" s="40">
        <f>=I182*2</f>
        <v>546</v>
      </c>
      <c r="M182" s="41" t="s">
        <v>211</v>
      </c>
      <c r="N182" s="41">
        <v>0.1</v>
      </c>
      <c r="O182" s="41" t="s"/>
      <c r="P182" s="41">
        <v>2</v>
      </c>
      <c r="Q182" s="41">
        <v>2</v>
      </c>
      <c r="R182" s="41" t="s">
        <v>16</v>
      </c>
      <c r="S182" s="41" t="s">
        <v>17</v>
      </c>
      <c r="T182" s="41" t="s">
        <v>23</v>
      </c>
      <c r="U182" s="16" t="s">
        <v>13</v>
      </c>
      <c r="V182" s="16" t="s">
        <v>19</v>
      </c>
      <c r="W182" s="33" t="s"/>
      <c r="X182" s="34" t="s">
        <f>=M182&amp;N182&amp;P182&amp;Q182&amp;T182&amp;V182&amp;S182</f>
        <v>236</v>
      </c>
      <c r="Y182" s="35" t="s"/>
      <c r="Z182" s="35" t="s"/>
      <c r="AA182" s="35" t="s"/>
      <c r="AB182" s="35" t="s"/>
    </row>
    <row r="183" spans="1:28" ht="14.4">
      <c r="A183" s="4">
        <f>=H183/G183-1</f>
        <v>0.101149425287356</v>
      </c>
      <c r="B183" s="20">
        <f>=F183/12</f>
        <v>35.925</v>
      </c>
      <c r="C183" s="20">
        <f>=J183/3</f>
        <v>287.4</v>
      </c>
      <c r="D183" s="20">
        <f>=K183/3</f>
        <v>319.333333333333</v>
      </c>
      <c r="E183" s="20">
        <f>=L183/3</f>
        <v>335.3</v>
      </c>
      <c r="F183" s="20">
        <f>=H183*0.9</f>
        <v>431.1</v>
      </c>
      <c r="G183" s="21">
        <v>435</v>
      </c>
      <c r="H183" s="39">
        <v>479</v>
      </c>
      <c r="I183" s="40">
        <f>=H183*1.05</f>
        <v>502.95</v>
      </c>
      <c r="J183" s="40">
        <f>=F183*2</f>
        <v>862.2</v>
      </c>
      <c r="K183" s="40">
        <f>=H183*2</f>
        <v>958</v>
      </c>
      <c r="L183" s="40">
        <f>=I183*2</f>
        <v>1005.9</v>
      </c>
      <c r="M183" s="41" t="s">
        <v>211</v>
      </c>
      <c r="N183" s="41">
        <v>0.1</v>
      </c>
      <c r="O183" s="41" t="s"/>
      <c r="P183" s="41">
        <v>3</v>
      </c>
      <c r="Q183" s="41">
        <v>3</v>
      </c>
      <c r="R183" s="41" t="s">
        <v>16</v>
      </c>
      <c r="S183" s="41" t="s">
        <v>17</v>
      </c>
      <c r="T183" s="41" t="s">
        <v>27</v>
      </c>
      <c r="U183" s="16" t="s">
        <v>13</v>
      </c>
      <c r="V183" s="16" t="s">
        <v>215</v>
      </c>
      <c r="W183" s="33" t="s"/>
      <c r="X183" s="34" t="s">
        <f>=M183&amp;N183&amp;P183&amp;Q183&amp;T183&amp;V183&amp;S183</f>
        <v>237</v>
      </c>
      <c r="Y183" s="35" t="s"/>
      <c r="Z183" s="35" t="s"/>
      <c r="AA183" s="35" t="s"/>
      <c r="AB183" s="35" t="s"/>
    </row>
    <row r="184" spans="1:28" ht="14.4">
      <c r="A184" s="4">
        <f>=H184/G184-1</f>
        <v>0.1</v>
      </c>
      <c r="B184" s="20">
        <f>=F184/12</f>
        <v>31.35</v>
      </c>
      <c r="C184" s="20">
        <f>=J184/3</f>
        <v>250.8</v>
      </c>
      <c r="D184" s="20">
        <f>=K184/3</f>
        <v>278.666666666667</v>
      </c>
      <c r="E184" s="20">
        <f>=L184/3</f>
        <v>292.6</v>
      </c>
      <c r="F184" s="20">
        <f>=H184*0.9</f>
        <v>376.2</v>
      </c>
      <c r="G184" s="21">
        <v>380</v>
      </c>
      <c r="H184" s="39">
        <v>418</v>
      </c>
      <c r="I184" s="40">
        <f>=H184*1.05</f>
        <v>438.9</v>
      </c>
      <c r="J184" s="40">
        <f>=F184*2</f>
        <v>752.4</v>
      </c>
      <c r="K184" s="40">
        <f>=H184*2</f>
        <v>836</v>
      </c>
      <c r="L184" s="40">
        <f>=I184*2</f>
        <v>877.8</v>
      </c>
      <c r="M184" s="41" t="s">
        <v>211</v>
      </c>
      <c r="N184" s="41">
        <v>0.1</v>
      </c>
      <c r="O184" s="41" t="s"/>
      <c r="P184" s="41">
        <v>3</v>
      </c>
      <c r="Q184" s="41">
        <v>3</v>
      </c>
      <c r="R184" s="41" t="s">
        <v>16</v>
      </c>
      <c r="S184" s="41" t="s">
        <v>17</v>
      </c>
      <c r="T184" s="41" t="s">
        <v>27</v>
      </c>
      <c r="U184" s="16" t="s">
        <v>13</v>
      </c>
      <c r="V184" s="16" t="s">
        <v>19</v>
      </c>
      <c r="W184" s="33" t="s"/>
      <c r="X184" s="34" t="s">
        <f>=M184&amp;N184&amp;P184&amp;Q184&amp;T184&amp;V184&amp;S184</f>
        <v>238</v>
      </c>
      <c r="Y184" s="35" t="s"/>
      <c r="Z184" s="35" t="s"/>
      <c r="AA184" s="35" t="s"/>
      <c r="AB184" s="35" t="s"/>
    </row>
    <row r="185" spans="1:28" ht="14.4">
      <c r="A185" s="4">
        <f>=H185/G185-1</f>
        <v>0.100737100737101</v>
      </c>
      <c r="B185" s="20">
        <f>=F185/12</f>
        <v>33.6</v>
      </c>
      <c r="C185" s="20">
        <f>=J185/3</f>
        <v>268.8</v>
      </c>
      <c r="D185" s="20">
        <f>=K185/3</f>
        <v>298.666666666667</v>
      </c>
      <c r="E185" s="20">
        <f>=L185/3</f>
        <v>313.6</v>
      </c>
      <c r="F185" s="20">
        <f>=H185*0.9</f>
        <v>403.2</v>
      </c>
      <c r="G185" s="21">
        <v>407</v>
      </c>
      <c r="H185" s="39">
        <v>448</v>
      </c>
      <c r="I185" s="40">
        <f>=H185*1.05</f>
        <v>470.4</v>
      </c>
      <c r="J185" s="40">
        <f>=F185*2</f>
        <v>806.4</v>
      </c>
      <c r="K185" s="40">
        <f>=H185*2</f>
        <v>896</v>
      </c>
      <c r="L185" s="40">
        <f>=I185*2</f>
        <v>940.8</v>
      </c>
      <c r="M185" s="41" t="s">
        <v>211</v>
      </c>
      <c r="N185" s="41">
        <v>0.1</v>
      </c>
      <c r="O185" s="41" t="s"/>
      <c r="P185" s="41">
        <v>3</v>
      </c>
      <c r="Q185" s="41">
        <v>3</v>
      </c>
      <c r="R185" s="41" t="s">
        <v>16</v>
      </c>
      <c r="S185" s="41" t="s">
        <v>17</v>
      </c>
      <c r="T185" s="41" t="s">
        <v>23</v>
      </c>
      <c r="U185" s="16" t="s">
        <v>13</v>
      </c>
      <c r="V185" s="16" t="s">
        <v>19</v>
      </c>
      <c r="W185" s="29" t="s"/>
      <c r="X185" s="26" t="s">
        <f>=M185&amp;N185&amp;P185&amp;Q185&amp;T185&amp;V185&amp;S185</f>
        <v>239</v>
      </c>
      <c r="Y185" s="19" t="s"/>
      <c r="Z185" s="19" t="s"/>
      <c r="AA185" s="19" t="s"/>
      <c r="AB185" s="19" t="s"/>
    </row>
    <row r="186" spans="1:28" ht="14.4">
      <c r="A186" s="4">
        <f>=H186/G186-1</f>
        <v>0.1008</v>
      </c>
      <c r="B186" s="20">
        <f>=F186/12</f>
        <v>51.6</v>
      </c>
      <c r="C186" s="20">
        <f>=J186/3</f>
        <v>412.8</v>
      </c>
      <c r="D186" s="20">
        <f>=K186/3</f>
        <v>458.666666666667</v>
      </c>
      <c r="E186" s="20">
        <f>=L186/3</f>
        <v>481.6</v>
      </c>
      <c r="F186" s="20">
        <f>=H186*0.9</f>
        <v>619.2</v>
      </c>
      <c r="G186" s="21">
        <v>625</v>
      </c>
      <c r="H186" s="39">
        <v>688</v>
      </c>
      <c r="I186" s="40">
        <f>=H186*1.05</f>
        <v>722.4</v>
      </c>
      <c r="J186" s="40">
        <f>=F186*2</f>
        <v>1238.4</v>
      </c>
      <c r="K186" s="40">
        <f>=H186*2</f>
        <v>1376</v>
      </c>
      <c r="L186" s="40">
        <f>=I186*2</f>
        <v>1444.8</v>
      </c>
      <c r="M186" s="41" t="s">
        <v>211</v>
      </c>
      <c r="N186" s="41">
        <v>0.1</v>
      </c>
      <c r="O186" s="41" t="s"/>
      <c r="P186" s="41">
        <v>4</v>
      </c>
      <c r="Q186" s="41">
        <v>4</v>
      </c>
      <c r="R186" s="41" t="s">
        <v>16</v>
      </c>
      <c r="S186" s="41" t="s">
        <v>17</v>
      </c>
      <c r="T186" s="41" t="s">
        <v>27</v>
      </c>
      <c r="U186" s="16" t="s">
        <v>13</v>
      </c>
      <c r="V186" s="16" t="s">
        <v>19</v>
      </c>
      <c r="W186" s="29" t="s"/>
      <c r="X186" s="26" t="s">
        <f>=M186&amp;N186&amp;P186&amp;Q186&amp;T186&amp;V186&amp;S186</f>
        <v>240</v>
      </c>
      <c r="Y186" s="19" t="s"/>
      <c r="Z186" s="19" t="s"/>
      <c r="AA186" s="19" t="s"/>
      <c r="AB186" s="19" t="s"/>
    </row>
    <row r="187" spans="1:28" ht="14.4">
      <c r="A187" s="4">
        <f>=H187/G187-1</f>
        <v>0.0975609756097562</v>
      </c>
      <c r="B187" s="20">
        <f>=F187/12</f>
        <v>6.75</v>
      </c>
      <c r="C187" s="20">
        <f>=J187/3</f>
        <v>54</v>
      </c>
      <c r="D187" s="20">
        <f>=K187/3</f>
        <v>60</v>
      </c>
      <c r="E187" s="20">
        <f>=L187/3</f>
        <v>63</v>
      </c>
      <c r="F187" s="20">
        <f>=H187*0.9</f>
        <v>81</v>
      </c>
      <c r="G187" s="21">
        <v>82</v>
      </c>
      <c r="H187" s="39">
        <v>90</v>
      </c>
      <c r="I187" s="40">
        <f>=H187*1.05</f>
        <v>94.5</v>
      </c>
      <c r="J187" s="40">
        <f>=F187*2</f>
        <v>162</v>
      </c>
      <c r="K187" s="40">
        <f>=H187*2</f>
        <v>180</v>
      </c>
      <c r="L187" s="40">
        <f>=I187*2</f>
        <v>189</v>
      </c>
      <c r="M187" s="41" t="s">
        <v>211</v>
      </c>
      <c r="N187" s="41">
        <v>0.1</v>
      </c>
      <c r="O187" s="41" t="s"/>
      <c r="P187" s="41" t="s">
        <v>21</v>
      </c>
      <c r="Q187" s="41" t="s">
        <v>21</v>
      </c>
      <c r="R187" s="41" t="s">
        <v>16</v>
      </c>
      <c r="S187" s="41" t="s">
        <v>17</v>
      </c>
      <c r="T187" s="41" t="s">
        <v>23</v>
      </c>
      <c r="U187" s="16" t="s">
        <v>13</v>
      </c>
      <c r="V187" s="16" t="s">
        <v>19</v>
      </c>
      <c r="W187" s="29" t="s"/>
      <c r="X187" s="26" t="s">
        <f>=M187&amp;N187&amp;P187&amp;Q187&amp;T187&amp;V187&amp;S187</f>
        <v>241</v>
      </c>
      <c r="Y187" s="19" t="s"/>
      <c r="Z187" s="19" t="s"/>
      <c r="AA187" s="19" t="s"/>
      <c r="AB187" s="19" t="s"/>
    </row>
    <row r="188" spans="1:28" ht="14.4">
      <c r="A188" s="4">
        <f>=H188/G188-1</f>
        <v>0.0975609756097562</v>
      </c>
      <c r="B188" s="20">
        <f>=F188/12</f>
        <v>6.75</v>
      </c>
      <c r="C188" s="20">
        <f>=J188/3</f>
        <v>54</v>
      </c>
      <c r="D188" s="20">
        <f>=K188/3</f>
        <v>60</v>
      </c>
      <c r="E188" s="20">
        <f>=L188/3</f>
        <v>63</v>
      </c>
      <c r="F188" s="20">
        <f>=H188*0.9</f>
        <v>81</v>
      </c>
      <c r="G188" s="21">
        <v>82</v>
      </c>
      <c r="H188" s="39">
        <v>90</v>
      </c>
      <c r="I188" s="40">
        <f>=H188*1.05</f>
        <v>94.5</v>
      </c>
      <c r="J188" s="40">
        <f>=F188*2</f>
        <v>162</v>
      </c>
      <c r="K188" s="40">
        <f>=H188*2</f>
        <v>180</v>
      </c>
      <c r="L188" s="40">
        <f>=I188*2</f>
        <v>189</v>
      </c>
      <c r="M188" s="41" t="s">
        <v>211</v>
      </c>
      <c r="N188" s="41">
        <v>0.1</v>
      </c>
      <c r="O188" s="41" t="s"/>
      <c r="P188" s="41" t="s">
        <v>21</v>
      </c>
      <c r="Q188" s="41" t="s">
        <v>21</v>
      </c>
      <c r="R188" s="41" t="s">
        <v>16</v>
      </c>
      <c r="S188" s="41" t="s">
        <v>17</v>
      </c>
      <c r="T188" s="41" t="s">
        <v>25</v>
      </c>
      <c r="U188" s="16" t="s">
        <v>13</v>
      </c>
      <c r="V188" s="16" t="s">
        <v>19</v>
      </c>
      <c r="W188" s="29" t="s"/>
      <c r="X188" s="26" t="s">
        <f>=M188&amp;N188&amp;P188&amp;Q188&amp;T188&amp;V188&amp;S188</f>
        <v>242</v>
      </c>
      <c r="Y188" s="19" t="s"/>
      <c r="Z188" s="19" t="s"/>
      <c r="AA188" s="19" t="s"/>
      <c r="AB188" s="19" t="s"/>
    </row>
    <row r="189" spans="1:28" ht="14.4">
      <c r="A189" s="4">
        <f>=H189/G189-1</f>
        <v>0.0980392156862746</v>
      </c>
      <c r="B189" s="20">
        <f>=F189/12</f>
        <v>8.4</v>
      </c>
      <c r="C189" s="20">
        <f>=J189/3</f>
        <v>67.2</v>
      </c>
      <c r="D189" s="20">
        <f>=K189/3</f>
        <v>74.6666666666667</v>
      </c>
      <c r="E189" s="20">
        <f>=L189/3</f>
        <v>78.4</v>
      </c>
      <c r="F189" s="20">
        <f>=H189*0.9</f>
        <v>100.8</v>
      </c>
      <c r="G189" s="21">
        <v>102</v>
      </c>
      <c r="H189" s="39">
        <v>112</v>
      </c>
      <c r="I189" s="40">
        <f>=H189*1.05</f>
        <v>117.6</v>
      </c>
      <c r="J189" s="40">
        <f>=F189*2</f>
        <v>201.6</v>
      </c>
      <c r="K189" s="40">
        <f>=H189*2</f>
        <v>224</v>
      </c>
      <c r="L189" s="40">
        <f>=I189*2</f>
        <v>235.2</v>
      </c>
      <c r="M189" s="41" t="s">
        <v>211</v>
      </c>
      <c r="N189" s="41">
        <v>0.1</v>
      </c>
      <c r="O189" s="41" t="s"/>
      <c r="P189" s="41" t="s">
        <v>21</v>
      </c>
      <c r="Q189" s="41" t="s">
        <v>21</v>
      </c>
      <c r="R189" s="41" t="s">
        <v>16</v>
      </c>
      <c r="S189" s="41" t="s">
        <v>17</v>
      </c>
      <c r="T189" s="41" t="s">
        <v>27</v>
      </c>
      <c r="U189" s="16" t="s">
        <v>13</v>
      </c>
      <c r="V189" s="16" t="s">
        <v>19</v>
      </c>
      <c r="W189" s="29" t="s"/>
      <c r="X189" s="26" t="s">
        <f>=M189&amp;N189&amp;P189&amp;Q189&amp;T189&amp;V189&amp;S189</f>
        <v>243</v>
      </c>
      <c r="Y189" s="19" t="s"/>
      <c r="Z189" s="19" t="s"/>
      <c r="AA189" s="19" t="s"/>
      <c r="AB189" s="19" t="s"/>
    </row>
    <row r="190" spans="1:28" ht="14.4">
      <c r="A190" s="4">
        <f>=H190/G190-1</f>
        <v>0.103448275862069</v>
      </c>
      <c r="B190" s="20">
        <f>=F190/12</f>
        <v>9.6</v>
      </c>
      <c r="C190" s="20">
        <f>=J190/3</f>
        <v>76.8</v>
      </c>
      <c r="D190" s="20">
        <f>=K190/3</f>
        <v>85.3333333333333</v>
      </c>
      <c r="E190" s="20">
        <f>=L190/3</f>
        <v>89.6</v>
      </c>
      <c r="F190" s="20">
        <f>=H190*0.9</f>
        <v>115.2</v>
      </c>
      <c r="G190" s="21">
        <v>116</v>
      </c>
      <c r="H190" s="39">
        <v>128</v>
      </c>
      <c r="I190" s="40">
        <f>=H190*1.05</f>
        <v>134.4</v>
      </c>
      <c r="J190" s="40">
        <f>=F190*2</f>
        <v>230.4</v>
      </c>
      <c r="K190" s="40">
        <f>=H190*2</f>
        <v>256</v>
      </c>
      <c r="L190" s="40">
        <f>=I190*2</f>
        <v>268.8</v>
      </c>
      <c r="M190" s="41" t="s">
        <v>211</v>
      </c>
      <c r="N190" s="41">
        <v>0.11</v>
      </c>
      <c r="O190" s="41" t="s"/>
      <c r="P190" s="41">
        <v>1</v>
      </c>
      <c r="Q190" s="41">
        <v>1</v>
      </c>
      <c r="R190" s="41" t="s">
        <v>16</v>
      </c>
      <c r="S190" s="41" t="s">
        <v>17</v>
      </c>
      <c r="T190" s="41" t="s">
        <v>23</v>
      </c>
      <c r="U190" s="16" t="s">
        <v>13</v>
      </c>
      <c r="V190" s="16" t="s">
        <v>19</v>
      </c>
      <c r="W190" s="29" t="s"/>
      <c r="X190" s="26" t="s">
        <f>=M190&amp;N190&amp;P190&amp;Q190&amp;T190&amp;V190&amp;S190</f>
        <v>244</v>
      </c>
      <c r="Y190" s="19" t="s"/>
      <c r="Z190" s="19" t="s"/>
      <c r="AA190" s="19" t="s"/>
      <c r="AB190" s="19" t="s"/>
    </row>
    <row r="191" spans="1:28" ht="14.4">
      <c r="A191" s="4">
        <f>=H191/G191-1</f>
        <v>0.10236220472441</v>
      </c>
      <c r="B191" s="20">
        <f>=F191/12</f>
        <v>10.5</v>
      </c>
      <c r="C191" s="20">
        <f>=J191/3</f>
        <v>84</v>
      </c>
      <c r="D191" s="20">
        <f>=K191/3</f>
        <v>93.3333333333333</v>
      </c>
      <c r="E191" s="20">
        <f>=L191/3</f>
        <v>98</v>
      </c>
      <c r="F191" s="20">
        <f>=H191*0.9</f>
        <v>126</v>
      </c>
      <c r="G191" s="21">
        <v>127</v>
      </c>
      <c r="H191" s="39">
        <v>140</v>
      </c>
      <c r="I191" s="40">
        <f>=H191*1.05</f>
        <v>147</v>
      </c>
      <c r="J191" s="40">
        <f>=F191*2</f>
        <v>252</v>
      </c>
      <c r="K191" s="40">
        <f>=H191*2</f>
        <v>280</v>
      </c>
      <c r="L191" s="40">
        <f>=I191*2</f>
        <v>294</v>
      </c>
      <c r="M191" s="41" t="s">
        <v>211</v>
      </c>
      <c r="N191" s="41">
        <v>0.11</v>
      </c>
      <c r="O191" s="41" t="s"/>
      <c r="P191" s="41">
        <v>1</v>
      </c>
      <c r="Q191" s="41">
        <v>1</v>
      </c>
      <c r="R191" s="41" t="s">
        <v>16</v>
      </c>
      <c r="S191" s="41" t="s">
        <v>17</v>
      </c>
      <c r="T191" s="41" t="s">
        <v>27</v>
      </c>
      <c r="U191" s="16" t="s">
        <v>13</v>
      </c>
      <c r="V191" s="16" t="s">
        <v>19</v>
      </c>
      <c r="W191" s="29" t="s"/>
      <c r="X191" s="26" t="s">
        <f>=M191&amp;N191&amp;P191&amp;Q191&amp;T191&amp;V191&amp;S191</f>
        <v>245</v>
      </c>
      <c r="Y191" s="19" t="s"/>
      <c r="Z191" s="19" t="s"/>
      <c r="AA191" s="19" t="s"/>
      <c r="AB191" s="19" t="s"/>
    </row>
    <row r="192" spans="1:28" ht="14.4">
      <c r="A192" s="4">
        <f>=H192/G192-1</f>
        <v>0.0995024875621891</v>
      </c>
      <c r="B192" s="20">
        <f>=F192/12</f>
        <v>33.15</v>
      </c>
      <c r="C192" s="20">
        <f>=J192/3</f>
        <v>265.2</v>
      </c>
      <c r="D192" s="20">
        <f>=K192/3</f>
        <v>294.666666666667</v>
      </c>
      <c r="E192" s="20">
        <f>=L192/3</f>
        <v>309.4</v>
      </c>
      <c r="F192" s="20">
        <f>=H192*0.9</f>
        <v>397.8</v>
      </c>
      <c r="G192" s="21">
        <v>402</v>
      </c>
      <c r="H192" s="39">
        <v>442</v>
      </c>
      <c r="I192" s="40">
        <f>=H192*1.05</f>
        <v>464.1</v>
      </c>
      <c r="J192" s="40">
        <f>=F192*2</f>
        <v>795.6</v>
      </c>
      <c r="K192" s="40">
        <f>=H192*2</f>
        <v>884</v>
      </c>
      <c r="L192" s="40">
        <f>=I192*2</f>
        <v>928.2</v>
      </c>
      <c r="M192" s="41" t="s">
        <v>211</v>
      </c>
      <c r="N192" s="41">
        <v>0.11</v>
      </c>
      <c r="O192" s="41" t="s"/>
      <c r="P192" s="41">
        <v>3</v>
      </c>
      <c r="Q192" s="41">
        <v>3</v>
      </c>
      <c r="R192" s="41" t="s">
        <v>16</v>
      </c>
      <c r="S192" s="41" t="s">
        <v>17</v>
      </c>
      <c r="T192" s="41" t="s">
        <v>27</v>
      </c>
      <c r="U192" s="16" t="s">
        <v>13</v>
      </c>
      <c r="V192" s="16" t="s">
        <v>19</v>
      </c>
      <c r="W192" s="29" t="s"/>
      <c r="X192" s="26" t="s">
        <f>=M192&amp;N192&amp;P192&amp;Q192&amp;T192&amp;V192&amp;S192</f>
        <v>246</v>
      </c>
      <c r="Y192" s="19" t="s"/>
      <c r="Z192" s="19" t="s"/>
      <c r="AA192" s="19" t="s"/>
      <c r="AB192" s="19" t="s"/>
    </row>
    <row r="193" spans="1:28" ht="14.4">
      <c r="A193" s="4">
        <f>=H193/G193-1</f>
        <v>0.0984848484848484</v>
      </c>
      <c r="B193" s="20">
        <f>=F193/12</f>
        <v>21.75</v>
      </c>
      <c r="C193" s="20">
        <f>=J193/3</f>
        <v>174</v>
      </c>
      <c r="D193" s="20">
        <f>=K193/3</f>
        <v>193.333333333333</v>
      </c>
      <c r="E193" s="20">
        <f>=L193/3</f>
        <v>203</v>
      </c>
      <c r="F193" s="20">
        <f>=H193*0.9</f>
        <v>261</v>
      </c>
      <c r="G193" s="21">
        <v>264</v>
      </c>
      <c r="H193" s="39">
        <v>290</v>
      </c>
      <c r="I193" s="40">
        <f>=H193*1.05</f>
        <v>304.5</v>
      </c>
      <c r="J193" s="40">
        <f>=F193*2</f>
        <v>522</v>
      </c>
      <c r="K193" s="40">
        <f>=H193*2</f>
        <v>580</v>
      </c>
      <c r="L193" s="40">
        <f>=I193*2</f>
        <v>609</v>
      </c>
      <c r="M193" s="41" t="s">
        <v>211</v>
      </c>
      <c r="N193" s="41">
        <v>0.11</v>
      </c>
      <c r="O193" s="41" t="s"/>
      <c r="P193" s="41">
        <v>2</v>
      </c>
      <c r="Q193" s="41">
        <v>2</v>
      </c>
      <c r="R193" s="41" t="s">
        <v>16</v>
      </c>
      <c r="S193" s="41" t="s">
        <v>17</v>
      </c>
      <c r="T193" s="41" t="s">
        <v>27</v>
      </c>
      <c r="U193" s="16" t="s">
        <v>13</v>
      </c>
      <c r="V193" s="16" t="s">
        <v>19</v>
      </c>
      <c r="W193" s="29" t="s"/>
      <c r="X193" s="26" t="s">
        <f>=M193&amp;N193&amp;P193&amp;Q193&amp;T193&amp;V193&amp;S193</f>
        <v>247</v>
      </c>
      <c r="Y193" s="19" t="s"/>
      <c r="Z193" s="19" t="s"/>
      <c r="AA193" s="19" t="s"/>
      <c r="AB193" s="19" t="s"/>
    </row>
    <row r="194" spans="1:28" ht="14.4">
      <c r="A194" s="4">
        <f>=H194/G194-1</f>
        <v>0.0975609756097562</v>
      </c>
      <c r="B194" s="20">
        <f>=F194/12</f>
        <v>6.75</v>
      </c>
      <c r="C194" s="20">
        <f>=J194/3</f>
        <v>54</v>
      </c>
      <c r="D194" s="20">
        <f>=K194/3</f>
        <v>60</v>
      </c>
      <c r="E194" s="20">
        <f>=L194/3</f>
        <v>63</v>
      </c>
      <c r="F194" s="20">
        <f>=H194*0.9</f>
        <v>81</v>
      </c>
      <c r="G194" s="21">
        <v>82</v>
      </c>
      <c r="H194" s="39">
        <v>90</v>
      </c>
      <c r="I194" s="40">
        <f>=H194*1.05</f>
        <v>94.5</v>
      </c>
      <c r="J194" s="40">
        <f>=F194*2</f>
        <v>162</v>
      </c>
      <c r="K194" s="40">
        <f>=H194*2</f>
        <v>180</v>
      </c>
      <c r="L194" s="40">
        <f>=I194*2</f>
        <v>189</v>
      </c>
      <c r="M194" s="41" t="s">
        <v>211</v>
      </c>
      <c r="N194" s="41">
        <v>0.11</v>
      </c>
      <c r="O194" s="41" t="s"/>
      <c r="P194" s="41" t="s">
        <v>21</v>
      </c>
      <c r="Q194" s="41" t="s">
        <v>21</v>
      </c>
      <c r="R194" s="41" t="s">
        <v>16</v>
      </c>
      <c r="S194" s="41" t="s">
        <v>17</v>
      </c>
      <c r="T194" s="41" t="s">
        <v>23</v>
      </c>
      <c r="U194" s="16" t="s">
        <v>13</v>
      </c>
      <c r="V194" s="16" t="s">
        <v>19</v>
      </c>
      <c r="W194" s="29" t="s"/>
      <c r="X194" s="26" t="s">
        <f>=M194&amp;N194&amp;P194&amp;Q194&amp;T194&amp;V194&amp;S194</f>
        <v>248</v>
      </c>
      <c r="Y194" s="19" t="s"/>
      <c r="Z194" s="19" t="s"/>
      <c r="AA194" s="19" t="s"/>
      <c r="AB194" s="19" t="s"/>
    </row>
    <row r="195" spans="1:28" ht="14.4">
      <c r="A195" s="4">
        <f>=H195/G195-1</f>
        <v>0.101010101010101</v>
      </c>
      <c r="B195" s="20">
        <f>=F195/12</f>
        <v>8.175</v>
      </c>
      <c r="C195" s="20">
        <f>=J195/3</f>
        <v>65.4</v>
      </c>
      <c r="D195" s="20">
        <f>=K195/3</f>
        <v>72.6666666666667</v>
      </c>
      <c r="E195" s="20">
        <f>=L195/3</f>
        <v>76.3</v>
      </c>
      <c r="F195" s="20">
        <f>=H195*0.9</f>
        <v>98.1</v>
      </c>
      <c r="G195" s="21">
        <v>99</v>
      </c>
      <c r="H195" s="39">
        <v>109</v>
      </c>
      <c r="I195" s="40">
        <f>=H195*1.05</f>
        <v>114.45</v>
      </c>
      <c r="J195" s="40">
        <f>=F195*2</f>
        <v>196.2</v>
      </c>
      <c r="K195" s="40">
        <f>=H195*2</f>
        <v>218</v>
      </c>
      <c r="L195" s="40">
        <f>=I195*2</f>
        <v>228.9</v>
      </c>
      <c r="M195" s="41" t="s">
        <v>211</v>
      </c>
      <c r="N195" s="41">
        <v>0.11</v>
      </c>
      <c r="O195" s="41" t="s"/>
      <c r="P195" s="41" t="s">
        <v>21</v>
      </c>
      <c r="Q195" s="41" t="s">
        <v>21</v>
      </c>
      <c r="R195" s="41" t="s">
        <v>16</v>
      </c>
      <c r="S195" s="41" t="s">
        <v>17</v>
      </c>
      <c r="T195" s="41" t="s">
        <v>27</v>
      </c>
      <c r="U195" s="16" t="s">
        <v>13</v>
      </c>
      <c r="V195" s="16" t="s">
        <v>19</v>
      </c>
      <c r="W195" s="29" t="s"/>
      <c r="X195" s="26" t="s">
        <f>=M195&amp;N195&amp;P195&amp;Q195&amp;T195&amp;V195&amp;S195</f>
        <v>249</v>
      </c>
      <c r="Y195" s="19" t="s"/>
      <c r="Z195" s="19" t="s"/>
      <c r="AA195" s="19" t="s"/>
      <c r="AB195" s="19" t="s"/>
    </row>
    <row r="196" spans="1:28" ht="14.4">
      <c r="A196" s="4">
        <f>=H196/G196-1</f>
        <v>0.0980392156862746</v>
      </c>
      <c r="B196" s="20">
        <f>=F196/12</f>
        <v>8.4</v>
      </c>
      <c r="C196" s="20">
        <f>=J196/3</f>
        <v>67.2</v>
      </c>
      <c r="D196" s="20">
        <f>=K196/3</f>
        <v>74.6666666666667</v>
      </c>
      <c r="E196" s="20">
        <f>=L196/3</f>
        <v>78.4</v>
      </c>
      <c r="F196" s="20">
        <f>=H196*0.9</f>
        <v>100.8</v>
      </c>
      <c r="G196" s="21">
        <v>102</v>
      </c>
      <c r="H196" s="39">
        <v>112</v>
      </c>
      <c r="I196" s="40">
        <f>=H196*1.05</f>
        <v>117.6</v>
      </c>
      <c r="J196" s="40">
        <f>=F196*2</f>
        <v>201.6</v>
      </c>
      <c r="K196" s="40">
        <f>=H196*2</f>
        <v>224</v>
      </c>
      <c r="L196" s="40">
        <f>=I196*2</f>
        <v>235.2</v>
      </c>
      <c r="M196" s="41" t="s">
        <v>211</v>
      </c>
      <c r="N196" s="41">
        <v>0.12</v>
      </c>
      <c r="O196" s="41" t="s"/>
      <c r="P196" s="41">
        <v>1</v>
      </c>
      <c r="Q196" s="41" t="s">
        <v>21</v>
      </c>
      <c r="R196" s="41" t="s">
        <v>16</v>
      </c>
      <c r="S196" s="41" t="s">
        <v>17</v>
      </c>
      <c r="T196" s="41" t="s">
        <v>23</v>
      </c>
      <c r="U196" s="16" t="s">
        <v>13</v>
      </c>
      <c r="V196" s="16" t="s">
        <v>19</v>
      </c>
      <c r="W196" s="29" t="s"/>
      <c r="X196" s="26" t="s">
        <f>=M196&amp;N196&amp;P196&amp;Q196&amp;T196&amp;V196&amp;S196</f>
        <v>250</v>
      </c>
      <c r="Y196" s="19" t="s"/>
      <c r="Z196" s="19" t="s"/>
      <c r="AA196" s="19" t="s"/>
      <c r="AB196" s="19" t="s"/>
    </row>
    <row r="197" spans="1:28" ht="14.4">
      <c r="A197" s="4">
        <f>=H197/G197-1</f>
        <v>0.1</v>
      </c>
      <c r="B197" s="20">
        <f>=F197/12</f>
        <v>51.975</v>
      </c>
      <c r="C197" s="20">
        <f>=J197/3</f>
        <v>415.8</v>
      </c>
      <c r="D197" s="20">
        <f>=K197/3</f>
        <v>462</v>
      </c>
      <c r="E197" s="20">
        <f>=L197/3</f>
        <v>485.1</v>
      </c>
      <c r="F197" s="20">
        <f>=H197*0.9</f>
        <v>623.7</v>
      </c>
      <c r="G197" s="21">
        <v>630</v>
      </c>
      <c r="H197" s="39">
        <v>693</v>
      </c>
      <c r="I197" s="40">
        <f>=H197*1.05</f>
        <v>727.65</v>
      </c>
      <c r="J197" s="40">
        <f>=F197*2</f>
        <v>1247.4</v>
      </c>
      <c r="K197" s="40">
        <f>=H197*2</f>
        <v>1386</v>
      </c>
      <c r="L197" s="40">
        <f>=I197*2</f>
        <v>1455.3</v>
      </c>
      <c r="M197" s="41" t="s">
        <v>211</v>
      </c>
      <c r="N197" s="41">
        <v>0.12</v>
      </c>
      <c r="O197" s="41" t="s"/>
      <c r="P197" s="41">
        <v>4</v>
      </c>
      <c r="Q197" s="41">
        <v>4</v>
      </c>
      <c r="R197" s="41" t="s">
        <v>16</v>
      </c>
      <c r="S197" s="41" t="s">
        <v>17</v>
      </c>
      <c r="T197" s="41" t="s">
        <v>27</v>
      </c>
      <c r="U197" s="16" t="s">
        <v>13</v>
      </c>
      <c r="V197" s="16" t="s">
        <v>19</v>
      </c>
      <c r="W197" s="29" t="s"/>
      <c r="X197" s="26" t="s">
        <f>=M197&amp;N197&amp;P197&amp;Q197&amp;T197&amp;V197&amp;S197</f>
        <v>251</v>
      </c>
      <c r="Y197" s="19" t="s"/>
      <c r="Z197" s="19" t="s"/>
      <c r="AA197" s="19" t="s"/>
      <c r="AB197" s="19" t="s"/>
    </row>
    <row r="198" spans="1:28" ht="14.4">
      <c r="A198" s="4">
        <f>=H198/G198-1</f>
        <v>0.0975609756097562</v>
      </c>
      <c r="B198" s="20">
        <f>=F198/12</f>
        <v>6.75</v>
      </c>
      <c r="C198" s="20">
        <f>=J198/3</f>
        <v>54</v>
      </c>
      <c r="D198" s="20">
        <f>=K198/3</f>
        <v>60</v>
      </c>
      <c r="E198" s="20">
        <f>=L198/3</f>
        <v>63</v>
      </c>
      <c r="F198" s="20">
        <f>=H198*0.9</f>
        <v>81</v>
      </c>
      <c r="G198" s="21">
        <v>82</v>
      </c>
      <c r="H198" s="39">
        <v>90</v>
      </c>
      <c r="I198" s="40">
        <f>=H198*1.05</f>
        <v>94.5</v>
      </c>
      <c r="J198" s="40">
        <f>=F198*2</f>
        <v>162</v>
      </c>
      <c r="K198" s="40">
        <f>=H198*2</f>
        <v>180</v>
      </c>
      <c r="L198" s="40">
        <f>=I198*2</f>
        <v>189</v>
      </c>
      <c r="M198" s="41" t="s">
        <v>211</v>
      </c>
      <c r="N198" s="41">
        <v>0.12</v>
      </c>
      <c r="O198" s="41" t="s"/>
      <c r="P198" s="41" t="s">
        <v>21</v>
      </c>
      <c r="Q198" s="41" t="s">
        <v>21</v>
      </c>
      <c r="R198" s="41" t="s">
        <v>16</v>
      </c>
      <c r="S198" s="41" t="s">
        <v>17</v>
      </c>
      <c r="T198" s="41" t="s">
        <v>23</v>
      </c>
      <c r="U198" s="16" t="s">
        <v>13</v>
      </c>
      <c r="V198" s="16" t="s">
        <v>19</v>
      </c>
      <c r="W198" s="29" t="s"/>
      <c r="X198" s="26" t="s">
        <f>=M198&amp;N198&amp;P198&amp;Q198&amp;T198&amp;V198&amp;S198</f>
        <v>252</v>
      </c>
      <c r="Y198" s="19" t="s"/>
      <c r="Z198" s="19" t="s"/>
      <c r="AA198" s="19" t="s"/>
      <c r="AB198" s="19" t="s"/>
    </row>
    <row r="199" spans="1:28" ht="14.4">
      <c r="A199" s="4">
        <f>=H199/G199-1</f>
        <v>0.101010101010101</v>
      </c>
      <c r="B199" s="20">
        <f>=F199/12</f>
        <v>8.175</v>
      </c>
      <c r="C199" s="20">
        <f>=J199/3</f>
        <v>65.4</v>
      </c>
      <c r="D199" s="20">
        <f>=K199/3</f>
        <v>72.6666666666667</v>
      </c>
      <c r="E199" s="20">
        <f>=L199/3</f>
        <v>76.3</v>
      </c>
      <c r="F199" s="20">
        <f>=H199*0.9</f>
        <v>98.1</v>
      </c>
      <c r="G199" s="21">
        <v>99</v>
      </c>
      <c r="H199" s="39">
        <v>109</v>
      </c>
      <c r="I199" s="40">
        <f>=H199*1.05</f>
        <v>114.45</v>
      </c>
      <c r="J199" s="40">
        <f>=F199*2</f>
        <v>196.2</v>
      </c>
      <c r="K199" s="40">
        <f>=H199*2</f>
        <v>218</v>
      </c>
      <c r="L199" s="40">
        <f>=I199*2</f>
        <v>228.9</v>
      </c>
      <c r="M199" s="41" t="s">
        <v>211</v>
      </c>
      <c r="N199" s="41">
        <v>0.12</v>
      </c>
      <c r="O199" s="41" t="s"/>
      <c r="P199" s="41" t="s">
        <v>21</v>
      </c>
      <c r="Q199" s="41">
        <v>1</v>
      </c>
      <c r="R199" s="41" t="s">
        <v>16</v>
      </c>
      <c r="S199" s="41" t="s">
        <v>17</v>
      </c>
      <c r="T199" s="41" t="s">
        <v>23</v>
      </c>
      <c r="U199" s="16" t="s">
        <v>13</v>
      </c>
      <c r="V199" s="16" t="s">
        <v>19</v>
      </c>
      <c r="W199" s="29" t="s"/>
      <c r="X199" s="26" t="s">
        <f>=M199&amp;N199&amp;P199&amp;Q199&amp;T199&amp;V199&amp;S199</f>
        <v>253</v>
      </c>
      <c r="Y199" s="19" t="s"/>
      <c r="Z199" s="19" t="s"/>
      <c r="AA199" s="19" t="s"/>
      <c r="AB199" s="19" t="s"/>
    </row>
    <row r="200" spans="1:28" ht="14.4">
      <c r="A200" s="4">
        <f>=H200/G200-1</f>
        <v>0.102564102564103</v>
      </c>
      <c r="B200" s="20">
        <f>=F200/12</f>
        <v>9.675</v>
      </c>
      <c r="C200" s="20">
        <f>=J200/3</f>
        <v>77.4</v>
      </c>
      <c r="D200" s="20">
        <f>=K200/3</f>
        <v>86</v>
      </c>
      <c r="E200" s="20">
        <f>=L200/3</f>
        <v>90.3</v>
      </c>
      <c r="F200" s="20">
        <f>=H200*0.9</f>
        <v>116.1</v>
      </c>
      <c r="G200" s="21">
        <v>117</v>
      </c>
      <c r="H200" s="39">
        <v>129</v>
      </c>
      <c r="I200" s="40">
        <f>=H200*1.05</f>
        <v>135.45</v>
      </c>
      <c r="J200" s="40">
        <f>=F200*2</f>
        <v>232.2</v>
      </c>
      <c r="K200" s="40">
        <f>=H200*2</f>
        <v>258</v>
      </c>
      <c r="L200" s="40">
        <f>=I200*2</f>
        <v>270.9</v>
      </c>
      <c r="M200" s="41" t="s">
        <v>211</v>
      </c>
      <c r="N200" s="41">
        <v>0.13</v>
      </c>
      <c r="O200" s="41" t="s"/>
      <c r="P200" s="41">
        <v>1</v>
      </c>
      <c r="Q200" s="41" t="s">
        <v>21</v>
      </c>
      <c r="R200" s="41" t="s">
        <v>16</v>
      </c>
      <c r="S200" s="41" t="s">
        <v>17</v>
      </c>
      <c r="T200" s="41" t="s">
        <v>43</v>
      </c>
      <c r="U200" s="16" t="s">
        <v>13</v>
      </c>
      <c r="V200" s="16" t="s">
        <v>19</v>
      </c>
      <c r="W200" s="29" t="s"/>
      <c r="X200" s="26" t="s">
        <f>=M200&amp;N200&amp;P200&amp;Q200&amp;T200&amp;V200&amp;S200</f>
        <v>254</v>
      </c>
      <c r="Y200" s="19" t="s"/>
      <c r="Z200" s="19" t="s"/>
      <c r="AA200" s="19" t="s"/>
      <c r="AB200" s="19" t="s"/>
    </row>
    <row r="201" spans="1:28" ht="14.4">
      <c r="A201" s="4">
        <f>=H201/G201-1</f>
        <v>0.0961538461538463</v>
      </c>
      <c r="B201" s="20">
        <f>=F201/12</f>
        <v>8.55</v>
      </c>
      <c r="C201" s="20">
        <f>=J201/3</f>
        <v>68.4</v>
      </c>
      <c r="D201" s="20">
        <f>=K201/3</f>
        <v>76</v>
      </c>
      <c r="E201" s="20">
        <f>=L201/3</f>
        <v>79.8</v>
      </c>
      <c r="F201" s="20">
        <f>=H201*0.9</f>
        <v>102.6</v>
      </c>
      <c r="G201" s="21">
        <v>104</v>
      </c>
      <c r="H201" s="39">
        <v>114</v>
      </c>
      <c r="I201" s="40">
        <f>=H201*1.05</f>
        <v>119.7</v>
      </c>
      <c r="J201" s="40">
        <f>=F201*2</f>
        <v>205.2</v>
      </c>
      <c r="K201" s="40">
        <f>=H201*2</f>
        <v>228</v>
      </c>
      <c r="L201" s="40">
        <f>=I201*2</f>
        <v>239.4</v>
      </c>
      <c r="M201" s="41" t="s">
        <v>211</v>
      </c>
      <c r="N201" s="41">
        <v>0.13</v>
      </c>
      <c r="O201" s="41" t="s"/>
      <c r="P201" s="41">
        <v>1</v>
      </c>
      <c r="Q201" s="41" t="s">
        <v>21</v>
      </c>
      <c r="R201" s="41" t="s">
        <v>16</v>
      </c>
      <c r="S201" s="41" t="s">
        <v>17</v>
      </c>
      <c r="T201" s="41" t="s">
        <v>23</v>
      </c>
      <c r="U201" s="16" t="s">
        <v>13</v>
      </c>
      <c r="V201" s="16" t="s">
        <v>19</v>
      </c>
      <c r="W201" s="29" t="s"/>
      <c r="X201" s="26" t="s">
        <f>=M201&amp;N201&amp;P201&amp;Q201&amp;T201&amp;V201&amp;S201</f>
        <v>255</v>
      </c>
      <c r="Y201" s="19" t="s"/>
      <c r="Z201" s="19" t="s"/>
      <c r="AA201" s="19" t="s"/>
      <c r="AB201" s="19" t="s"/>
    </row>
    <row r="202" spans="1:28" ht="14.4">
      <c r="A202" s="4">
        <f>=H202/G202-1</f>
        <v>0.0982142857142858</v>
      </c>
      <c r="B202" s="20">
        <f>=F202/12</f>
        <v>9.225</v>
      </c>
      <c r="C202" s="20">
        <f>=J202/3</f>
        <v>73.8</v>
      </c>
      <c r="D202" s="20">
        <f>=K202/3</f>
        <v>82</v>
      </c>
      <c r="E202" s="20">
        <f>=L202/3</f>
        <v>86.1</v>
      </c>
      <c r="F202" s="20">
        <f>=H202*0.9</f>
        <v>110.7</v>
      </c>
      <c r="G202" s="21">
        <v>112</v>
      </c>
      <c r="H202" s="39">
        <v>123</v>
      </c>
      <c r="I202" s="40">
        <f>=H202*1.05</f>
        <v>129.15</v>
      </c>
      <c r="J202" s="40">
        <f>=F202*2</f>
        <v>221.4</v>
      </c>
      <c r="K202" s="40">
        <f>=H202*2</f>
        <v>246</v>
      </c>
      <c r="L202" s="40">
        <f>=I202*2</f>
        <v>258.3</v>
      </c>
      <c r="M202" s="41" t="s">
        <v>211</v>
      </c>
      <c r="N202" s="41">
        <v>0.13</v>
      </c>
      <c r="O202" s="41" t="s"/>
      <c r="P202" s="41">
        <v>1</v>
      </c>
      <c r="Q202" s="41">
        <v>1</v>
      </c>
      <c r="R202" s="41" t="s">
        <v>16</v>
      </c>
      <c r="S202" s="41" t="s">
        <v>17</v>
      </c>
      <c r="T202" s="41" t="s">
        <v>23</v>
      </c>
      <c r="U202" s="16" t="s">
        <v>13</v>
      </c>
      <c r="V202" s="16" t="s">
        <v>19</v>
      </c>
      <c r="W202" s="29" t="s"/>
      <c r="X202" s="26" t="s">
        <f>=M202&amp;N202&amp;P202&amp;Q202&amp;T202&amp;V202&amp;S202</f>
        <v>256</v>
      </c>
      <c r="Y202" s="19" t="s"/>
      <c r="Z202" s="19" t="s"/>
      <c r="AA202" s="19" t="s"/>
      <c r="AB202" s="19" t="s"/>
    </row>
    <row r="203" spans="1:28" ht="14.4">
      <c r="A203" s="4">
        <f>=H203/G203-1</f>
        <v>0.103448275862069</v>
      </c>
      <c r="B203" s="20">
        <f>=F203/12</f>
        <v>9.6</v>
      </c>
      <c r="C203" s="20">
        <f>=J203/3</f>
        <v>76.8</v>
      </c>
      <c r="D203" s="20">
        <f>=K203/3</f>
        <v>85.3333333333333</v>
      </c>
      <c r="E203" s="20">
        <f>=L203/3</f>
        <v>89.6</v>
      </c>
      <c r="F203" s="20">
        <f>=H203*0.9</f>
        <v>115.2</v>
      </c>
      <c r="G203" s="21">
        <v>116</v>
      </c>
      <c r="H203" s="39">
        <v>128</v>
      </c>
      <c r="I203" s="40">
        <f>=H203*1.05</f>
        <v>134.4</v>
      </c>
      <c r="J203" s="40">
        <f>=F203*2</f>
        <v>230.4</v>
      </c>
      <c r="K203" s="40">
        <f>=H203*2</f>
        <v>256</v>
      </c>
      <c r="L203" s="40">
        <f>=I203*2</f>
        <v>268.8</v>
      </c>
      <c r="M203" s="41" t="s">
        <v>211</v>
      </c>
      <c r="N203" s="41">
        <v>0.13</v>
      </c>
      <c r="O203" s="41" t="s"/>
      <c r="P203" s="41">
        <v>1</v>
      </c>
      <c r="Q203" s="41">
        <v>1</v>
      </c>
      <c r="R203" s="41" t="s">
        <v>16</v>
      </c>
      <c r="S203" s="41" t="s">
        <v>17</v>
      </c>
      <c r="T203" s="41" t="s">
        <v>23</v>
      </c>
      <c r="U203" s="16" t="s">
        <v>13</v>
      </c>
      <c r="V203" s="16" t="s">
        <v>215</v>
      </c>
      <c r="W203" s="29" t="s"/>
      <c r="X203" s="26" t="s">
        <f>=M203&amp;N203&amp;P203&amp;Q203&amp;T203&amp;V203&amp;S203</f>
        <v>257</v>
      </c>
      <c r="Y203" s="19" t="s"/>
      <c r="Z203" s="19" t="s"/>
      <c r="AA203" s="19" t="s"/>
      <c r="AB203" s="19" t="s"/>
    </row>
    <row r="204" spans="1:28" ht="14.4">
      <c r="A204" s="4">
        <f>=H204/G204-1</f>
        <v>0.096774193548387</v>
      </c>
      <c r="B204" s="20">
        <f>=F204/12</f>
        <v>10.2</v>
      </c>
      <c r="C204" s="20">
        <f>=J204/3</f>
        <v>81.6</v>
      </c>
      <c r="D204" s="20">
        <f>=K204/3</f>
        <v>90.6666666666667</v>
      </c>
      <c r="E204" s="20">
        <f>=L204/3</f>
        <v>95.2</v>
      </c>
      <c r="F204" s="20">
        <f>=H204*0.9</f>
        <v>122.4</v>
      </c>
      <c r="G204" s="21">
        <v>124</v>
      </c>
      <c r="H204" s="39">
        <v>136</v>
      </c>
      <c r="I204" s="40">
        <f>=H204*1.05</f>
        <v>142.8</v>
      </c>
      <c r="J204" s="40">
        <f>=F204*2</f>
        <v>244.8</v>
      </c>
      <c r="K204" s="40">
        <f>=H204*2</f>
        <v>272</v>
      </c>
      <c r="L204" s="40">
        <f>=I204*2</f>
        <v>285.6</v>
      </c>
      <c r="M204" s="41" t="s">
        <v>211</v>
      </c>
      <c r="N204" s="41">
        <v>0.13</v>
      </c>
      <c r="O204" s="41" t="s"/>
      <c r="P204" s="41">
        <v>1</v>
      </c>
      <c r="Q204" s="41">
        <v>1</v>
      </c>
      <c r="R204" s="41" t="s">
        <v>16</v>
      </c>
      <c r="S204" s="41" t="s">
        <v>17</v>
      </c>
      <c r="T204" s="41" t="s">
        <v>43</v>
      </c>
      <c r="U204" s="16" t="s">
        <v>13</v>
      </c>
      <c r="V204" s="16" t="s">
        <v>19</v>
      </c>
      <c r="W204" s="29" t="s"/>
      <c r="X204" s="26" t="s">
        <f>=M204&amp;N204&amp;P204&amp;Q204&amp;T204&amp;V204&amp;S204</f>
        <v>258</v>
      </c>
      <c r="Y204" s="19" t="s"/>
      <c r="Z204" s="19" t="s"/>
      <c r="AA204" s="19" t="s"/>
      <c r="AB204" s="19" t="s"/>
    </row>
    <row r="205" spans="1:28" ht="14.4">
      <c r="A205" s="4">
        <f>=H205/G205-1</f>
        <v>0.1</v>
      </c>
      <c r="B205" s="20">
        <f>=F205/12</f>
        <v>18.975</v>
      </c>
      <c r="C205" s="20">
        <f>=J205/3</f>
        <v>151.8</v>
      </c>
      <c r="D205" s="20">
        <f>=K205/3</f>
        <v>168.666666666667</v>
      </c>
      <c r="E205" s="20">
        <f>=L205/3</f>
        <v>177.1</v>
      </c>
      <c r="F205" s="20">
        <f>=H205*0.9</f>
        <v>227.7</v>
      </c>
      <c r="G205" s="21">
        <v>230</v>
      </c>
      <c r="H205" s="39">
        <v>253</v>
      </c>
      <c r="I205" s="40">
        <f>=H205*1.05</f>
        <v>265.65</v>
      </c>
      <c r="J205" s="40">
        <f>=F205*2</f>
        <v>455.4</v>
      </c>
      <c r="K205" s="40">
        <f>=H205*2</f>
        <v>506</v>
      </c>
      <c r="L205" s="40">
        <f>=I205*2</f>
        <v>531.3</v>
      </c>
      <c r="M205" s="41" t="s">
        <v>211</v>
      </c>
      <c r="N205" s="41">
        <v>0.13</v>
      </c>
      <c r="O205" s="41" t="s"/>
      <c r="P205" s="41">
        <v>2</v>
      </c>
      <c r="Q205" s="41">
        <v>2</v>
      </c>
      <c r="R205" s="41" t="s">
        <v>16</v>
      </c>
      <c r="S205" s="41" t="s">
        <v>17</v>
      </c>
      <c r="T205" s="41" t="s">
        <v>23</v>
      </c>
      <c r="U205" s="16" t="s">
        <v>13</v>
      </c>
      <c r="V205" s="16" t="s">
        <v>19</v>
      </c>
      <c r="W205" s="29" t="s"/>
      <c r="X205" s="26" t="s">
        <f>=M205&amp;N205&amp;P205&amp;Q205&amp;T205&amp;V205&amp;S205</f>
        <v>259</v>
      </c>
      <c r="Y205" s="19" t="s"/>
      <c r="Z205" s="19" t="s"/>
      <c r="AA205" s="19" t="s"/>
      <c r="AB205" s="19" t="s"/>
    </row>
    <row r="206" spans="1:28" ht="14.4">
      <c r="A206" s="4">
        <f>=H206/G206-1</f>
        <v>0.10126582278481</v>
      </c>
      <c r="B206" s="20">
        <f>=F206/12</f>
        <v>19.575</v>
      </c>
      <c r="C206" s="20">
        <f>=J206/3</f>
        <v>156.6</v>
      </c>
      <c r="D206" s="20">
        <f>=K206/3</f>
        <v>174</v>
      </c>
      <c r="E206" s="20">
        <f>=L206/3</f>
        <v>182.7</v>
      </c>
      <c r="F206" s="20">
        <f>=H206*0.9</f>
        <v>234.9</v>
      </c>
      <c r="G206" s="21">
        <v>237</v>
      </c>
      <c r="H206" s="39">
        <v>261</v>
      </c>
      <c r="I206" s="40">
        <f>=H206*1.05</f>
        <v>274.05</v>
      </c>
      <c r="J206" s="40">
        <f>=F206*2</f>
        <v>469.8</v>
      </c>
      <c r="K206" s="40">
        <f>=H206*2</f>
        <v>522</v>
      </c>
      <c r="L206" s="40">
        <f>=I206*2</f>
        <v>548.1</v>
      </c>
      <c r="M206" s="41" t="s">
        <v>211</v>
      </c>
      <c r="N206" s="41">
        <v>0.13</v>
      </c>
      <c r="O206" s="41" t="s"/>
      <c r="P206" s="41">
        <v>2</v>
      </c>
      <c r="Q206" s="41">
        <v>2</v>
      </c>
      <c r="R206" s="41" t="s">
        <v>16</v>
      </c>
      <c r="S206" s="41" t="s">
        <v>17</v>
      </c>
      <c r="T206" s="41" t="s">
        <v>27</v>
      </c>
      <c r="U206" s="16" t="s">
        <v>13</v>
      </c>
      <c r="V206" s="16" t="s">
        <v>19</v>
      </c>
      <c r="W206" s="29" t="s"/>
      <c r="X206" s="26" t="s">
        <f>=M206&amp;N206&amp;P206&amp;Q206&amp;T206&amp;V206&amp;S206</f>
        <v>260</v>
      </c>
      <c r="Y206" s="19" t="s"/>
      <c r="Z206" s="19" t="s"/>
      <c r="AA206" s="19" t="s"/>
      <c r="AB206" s="19" t="s"/>
    </row>
    <row r="207" spans="1:28" ht="14.4">
      <c r="A207" s="4">
        <f>=H207/G207-1</f>
        <v>0.0996015936254979</v>
      </c>
      <c r="B207" s="20">
        <f>=F207/12</f>
        <v>20.7</v>
      </c>
      <c r="C207" s="20">
        <f>=J207/3</f>
        <v>165.6</v>
      </c>
      <c r="D207" s="20">
        <f>=K207/3</f>
        <v>184</v>
      </c>
      <c r="E207" s="20">
        <f>=L207/3</f>
        <v>193.2</v>
      </c>
      <c r="F207" s="20">
        <f>=H207*0.9</f>
        <v>248.4</v>
      </c>
      <c r="G207" s="21">
        <v>251</v>
      </c>
      <c r="H207" s="39">
        <v>276</v>
      </c>
      <c r="I207" s="40">
        <f>=H207*1.05</f>
        <v>289.8</v>
      </c>
      <c r="J207" s="40">
        <f>=F207*2</f>
        <v>496.8</v>
      </c>
      <c r="K207" s="40">
        <f>=H207*2</f>
        <v>552</v>
      </c>
      <c r="L207" s="40">
        <f>=I207*2</f>
        <v>579.6</v>
      </c>
      <c r="M207" s="41" t="s">
        <v>211</v>
      </c>
      <c r="N207" s="41">
        <v>0.13</v>
      </c>
      <c r="O207" s="41" t="s"/>
      <c r="P207" s="41">
        <v>2</v>
      </c>
      <c r="Q207" s="41">
        <v>2</v>
      </c>
      <c r="R207" s="41" t="s">
        <v>16</v>
      </c>
      <c r="S207" s="41" t="s">
        <v>17</v>
      </c>
      <c r="T207" s="41" t="s">
        <v>43</v>
      </c>
      <c r="U207" s="16" t="s">
        <v>13</v>
      </c>
      <c r="V207" s="16" t="s">
        <v>19</v>
      </c>
      <c r="W207" s="29" t="s"/>
      <c r="X207" s="26" t="s">
        <f>=M207&amp;N207&amp;P207&amp;Q207&amp;T207&amp;V207&amp;S207</f>
        <v>261</v>
      </c>
      <c r="Y207" s="19" t="s"/>
      <c r="Z207" s="19" t="s"/>
      <c r="AA207" s="19" t="s"/>
      <c r="AB207" s="19" t="s"/>
    </row>
    <row r="208" spans="1:28" ht="14.4">
      <c r="A208" s="4">
        <f>=H208/G208-1</f>
        <v>0.0997375328083989</v>
      </c>
      <c r="B208" s="20">
        <f>=F208/12</f>
        <v>31.425</v>
      </c>
      <c r="C208" s="20">
        <f>=J208/3</f>
        <v>251.4</v>
      </c>
      <c r="D208" s="20">
        <f>=K208/3</f>
        <v>279.333333333333</v>
      </c>
      <c r="E208" s="20">
        <f>=L208/3</f>
        <v>293.3</v>
      </c>
      <c r="F208" s="20">
        <f>=H208*0.9</f>
        <v>377.1</v>
      </c>
      <c r="G208" s="21">
        <v>381</v>
      </c>
      <c r="H208" s="39">
        <v>419</v>
      </c>
      <c r="I208" s="40">
        <f>=H208*1.05</f>
        <v>439.95</v>
      </c>
      <c r="J208" s="40">
        <f>=F208*2</f>
        <v>754.2</v>
      </c>
      <c r="K208" s="40">
        <f>=H208*2</f>
        <v>838</v>
      </c>
      <c r="L208" s="40">
        <f>=I208*2</f>
        <v>879.9</v>
      </c>
      <c r="M208" s="41" t="s">
        <v>211</v>
      </c>
      <c r="N208" s="41">
        <v>0.13</v>
      </c>
      <c r="O208" s="41" t="s"/>
      <c r="P208" s="41">
        <v>3</v>
      </c>
      <c r="Q208" s="41">
        <v>3</v>
      </c>
      <c r="R208" s="41" t="s">
        <v>16</v>
      </c>
      <c r="S208" s="41" t="s">
        <v>17</v>
      </c>
      <c r="T208" s="41" t="s">
        <v>27</v>
      </c>
      <c r="U208" s="16" t="s">
        <v>13</v>
      </c>
      <c r="V208" s="16" t="s">
        <v>19</v>
      </c>
      <c r="W208" s="29" t="s"/>
      <c r="X208" s="26" t="s">
        <f>=M208&amp;N208&amp;P208&amp;Q208&amp;T208&amp;V208&amp;S208</f>
        <v>262</v>
      </c>
      <c r="Y208" s="19" t="s"/>
      <c r="Z208" s="19" t="s"/>
      <c r="AA208" s="19" t="s"/>
      <c r="AB208" s="19" t="s"/>
    </row>
    <row r="209" spans="1:28" ht="14.4">
      <c r="A209" s="4">
        <f>=H209/G209-1</f>
        <v>0.0998415213946118</v>
      </c>
      <c r="B209" s="20">
        <f>=F209/12</f>
        <v>52.05</v>
      </c>
      <c r="C209" s="20">
        <f>=J209/3</f>
        <v>416.4</v>
      </c>
      <c r="D209" s="20">
        <f>=K209/3</f>
        <v>462.666666666667</v>
      </c>
      <c r="E209" s="20">
        <f>=L209/3</f>
        <v>485.8</v>
      </c>
      <c r="F209" s="20">
        <f>=H209*0.9</f>
        <v>624.6</v>
      </c>
      <c r="G209" s="21">
        <v>631</v>
      </c>
      <c r="H209" s="39">
        <v>694</v>
      </c>
      <c r="I209" s="40">
        <f>=H209*1.05</f>
        <v>728.7</v>
      </c>
      <c r="J209" s="40">
        <f>=F209*2</f>
        <v>1249.2</v>
      </c>
      <c r="K209" s="40">
        <f>=H209*2</f>
        <v>1388</v>
      </c>
      <c r="L209" s="40">
        <f>=I209*2</f>
        <v>1457.4</v>
      </c>
      <c r="M209" s="41" t="s">
        <v>211</v>
      </c>
      <c r="N209" s="41">
        <v>0.13</v>
      </c>
      <c r="O209" s="41" t="s"/>
      <c r="P209" s="41">
        <v>4</v>
      </c>
      <c r="Q209" s="41">
        <v>4</v>
      </c>
      <c r="R209" s="41" t="s">
        <v>16</v>
      </c>
      <c r="S209" s="41" t="s">
        <v>17</v>
      </c>
      <c r="T209" s="41" t="s">
        <v>27</v>
      </c>
      <c r="U209" s="16" t="s">
        <v>13</v>
      </c>
      <c r="V209" s="16" t="s">
        <v>19</v>
      </c>
      <c r="W209" s="29" t="s"/>
      <c r="X209" s="26" t="s">
        <f>=M209&amp;N209&amp;P209&amp;Q209&amp;T209&amp;V209&amp;S209</f>
        <v>263</v>
      </c>
      <c r="Y209" s="19" t="s"/>
      <c r="Z209" s="19" t="s"/>
      <c r="AA209" s="19" t="s"/>
      <c r="AB209" s="19" t="s"/>
    </row>
    <row r="210" spans="1:28" ht="14.4">
      <c r="A210" s="4">
        <f>=H210/G210-1</f>
        <v>0.0975609756097562</v>
      </c>
      <c r="B210" s="20">
        <f>=F210/12</f>
        <v>6.75</v>
      </c>
      <c r="C210" s="20">
        <f>=J210/3</f>
        <v>54</v>
      </c>
      <c r="D210" s="20">
        <f>=K210/3</f>
        <v>60</v>
      </c>
      <c r="E210" s="20">
        <f>=L210/3</f>
        <v>63</v>
      </c>
      <c r="F210" s="20">
        <f>=H210*0.9</f>
        <v>81</v>
      </c>
      <c r="G210" s="21">
        <v>82</v>
      </c>
      <c r="H210" s="39">
        <v>90</v>
      </c>
      <c r="I210" s="40">
        <f>=H210*1.05</f>
        <v>94.5</v>
      </c>
      <c r="J210" s="40">
        <f>=F210*2</f>
        <v>162</v>
      </c>
      <c r="K210" s="40">
        <f>=H210*2</f>
        <v>180</v>
      </c>
      <c r="L210" s="40">
        <f>=I210*2</f>
        <v>189</v>
      </c>
      <c r="M210" s="41" t="s">
        <v>211</v>
      </c>
      <c r="N210" s="41">
        <v>0.13</v>
      </c>
      <c r="O210" s="41" t="s"/>
      <c r="P210" s="41" t="s">
        <v>21</v>
      </c>
      <c r="Q210" s="41" t="s">
        <v>21</v>
      </c>
      <c r="R210" s="41" t="s">
        <v>16</v>
      </c>
      <c r="S210" s="41" t="s">
        <v>17</v>
      </c>
      <c r="T210" s="41" t="s">
        <v>23</v>
      </c>
      <c r="U210" s="16" t="s">
        <v>13</v>
      </c>
      <c r="V210" s="16" t="s">
        <v>19</v>
      </c>
      <c r="W210" s="29" t="s"/>
      <c r="X210" s="26" t="s">
        <f>=M210&amp;N210&amp;P210&amp;Q210&amp;T210&amp;V210&amp;S210</f>
        <v>264</v>
      </c>
      <c r="Y210" s="19" t="s"/>
      <c r="Z210" s="19" t="s"/>
      <c r="AA210" s="19" t="s"/>
      <c r="AB210" s="19" t="s"/>
    </row>
    <row r="211" spans="1:28" ht="14.4">
      <c r="A211" s="4">
        <f>=H211/G211-1</f>
        <v>0.102040816326531</v>
      </c>
      <c r="B211" s="20">
        <f>=F211/12</f>
        <v>8.1</v>
      </c>
      <c r="C211" s="20">
        <f>=J211/3</f>
        <v>64.8</v>
      </c>
      <c r="D211" s="20">
        <f>=K211/3</f>
        <v>72</v>
      </c>
      <c r="E211" s="20">
        <f>=L211/3</f>
        <v>75.6</v>
      </c>
      <c r="F211" s="20">
        <f>=H211*0.9</f>
        <v>97.2</v>
      </c>
      <c r="G211" s="21">
        <v>98</v>
      </c>
      <c r="H211" s="39">
        <v>108</v>
      </c>
      <c r="I211" s="40">
        <f>=H211*1.05</f>
        <v>113.4</v>
      </c>
      <c r="J211" s="40">
        <f>=F211*2</f>
        <v>194.4</v>
      </c>
      <c r="K211" s="40">
        <f>=H211*2</f>
        <v>216</v>
      </c>
      <c r="L211" s="40">
        <f>=I211*2</f>
        <v>226.8</v>
      </c>
      <c r="M211" s="41" t="s">
        <v>211</v>
      </c>
      <c r="N211" s="41">
        <v>0.13</v>
      </c>
      <c r="O211" s="41" t="s"/>
      <c r="P211" s="41" t="s">
        <v>21</v>
      </c>
      <c r="Q211" s="41" t="s">
        <v>21</v>
      </c>
      <c r="R211" s="41" t="s">
        <v>16</v>
      </c>
      <c r="S211" s="41" t="s">
        <v>17</v>
      </c>
      <c r="T211" s="41" t="s">
        <v>43</v>
      </c>
      <c r="U211" s="16" t="s">
        <v>13</v>
      </c>
      <c r="V211" s="16" t="s">
        <v>19</v>
      </c>
      <c r="W211" s="29" t="s"/>
      <c r="X211" s="26" t="s">
        <f>=M211&amp;N211&amp;P211&amp;Q211&amp;T211&amp;V211&amp;S211</f>
        <v>265</v>
      </c>
      <c r="Y211" s="19" t="s"/>
      <c r="Z211" s="19" t="s"/>
      <c r="AA211" s="19" t="s"/>
      <c r="AB211" s="19" t="s"/>
    </row>
    <row r="212" spans="1:28" ht="14.4">
      <c r="A212" s="4">
        <f>=H212/G212-1</f>
        <v>0.0990990990990992</v>
      </c>
      <c r="B212" s="20">
        <f>=F212/12</f>
        <v>9.15</v>
      </c>
      <c r="C212" s="20">
        <f>=J212/3</f>
        <v>73.2</v>
      </c>
      <c r="D212" s="20">
        <f>=K212/3</f>
        <v>81.3333333333333</v>
      </c>
      <c r="E212" s="20">
        <f>=L212/3</f>
        <v>85.4</v>
      </c>
      <c r="F212" s="20">
        <f>=H212*0.9</f>
        <v>109.8</v>
      </c>
      <c r="G212" s="21">
        <v>111</v>
      </c>
      <c r="H212" s="39">
        <v>122</v>
      </c>
      <c r="I212" s="40">
        <f>=H212*1.05</f>
        <v>128.1</v>
      </c>
      <c r="J212" s="40">
        <f>=F212*2</f>
        <v>219.6</v>
      </c>
      <c r="K212" s="40">
        <f>=H212*2</f>
        <v>244</v>
      </c>
      <c r="L212" s="40">
        <f>=I212*2</f>
        <v>256.2</v>
      </c>
      <c r="M212" s="41" t="s">
        <v>211</v>
      </c>
      <c r="N212" s="41">
        <v>0.15</v>
      </c>
      <c r="O212" s="41" t="s"/>
      <c r="P212" s="41">
        <v>1</v>
      </c>
      <c r="Q212" s="41">
        <v>1</v>
      </c>
      <c r="R212" s="41" t="s">
        <v>16</v>
      </c>
      <c r="S212" s="41" t="s">
        <v>17</v>
      </c>
      <c r="T212" s="41" t="s">
        <v>39</v>
      </c>
      <c r="U212" s="16" t="s">
        <v>13</v>
      </c>
      <c r="V212" s="16" t="s">
        <v>19</v>
      </c>
      <c r="W212" s="29" t="s"/>
      <c r="X212" s="26" t="s">
        <f>=M212&amp;N212&amp;P212&amp;Q212&amp;T212&amp;V212&amp;S212</f>
        <v>266</v>
      </c>
      <c r="Y212" s="19" t="s"/>
      <c r="Z212" s="19" t="s"/>
      <c r="AA212" s="19" t="s"/>
      <c r="AB212" s="19" t="s"/>
    </row>
    <row r="213" spans="1:28" ht="14.4">
      <c r="A213" s="4">
        <f>=H213/G213-1</f>
        <v>0.104</v>
      </c>
      <c r="B213" s="20">
        <f>=F213/12</f>
        <v>10.35</v>
      </c>
      <c r="C213" s="20">
        <f>=J213/3</f>
        <v>82.8</v>
      </c>
      <c r="D213" s="20">
        <f>=K213/3</f>
        <v>92</v>
      </c>
      <c r="E213" s="20">
        <f>=L213/3</f>
        <v>96.6</v>
      </c>
      <c r="F213" s="20">
        <f>=H213*0.9</f>
        <v>124.2</v>
      </c>
      <c r="G213" s="21">
        <v>125</v>
      </c>
      <c r="H213" s="39">
        <v>138</v>
      </c>
      <c r="I213" s="40">
        <f>=H213*1.05</f>
        <v>144.9</v>
      </c>
      <c r="J213" s="40">
        <f>=F213*2</f>
        <v>248.4</v>
      </c>
      <c r="K213" s="40">
        <f>=H213*2</f>
        <v>276</v>
      </c>
      <c r="L213" s="40">
        <f>=I213*2</f>
        <v>289.8</v>
      </c>
      <c r="M213" s="41" t="s">
        <v>211</v>
      </c>
      <c r="N213" s="41">
        <v>0.15</v>
      </c>
      <c r="O213" s="41" t="s"/>
      <c r="P213" s="41">
        <v>1</v>
      </c>
      <c r="Q213" s="41">
        <v>1</v>
      </c>
      <c r="R213" s="41" t="s">
        <v>16</v>
      </c>
      <c r="S213" s="41" t="s">
        <v>17</v>
      </c>
      <c r="T213" s="41" t="s">
        <v>43</v>
      </c>
      <c r="U213" s="16" t="s">
        <v>13</v>
      </c>
      <c r="V213" s="16" t="s">
        <v>19</v>
      </c>
      <c r="W213" s="29" t="s"/>
      <c r="X213" s="26" t="s">
        <f>=M213&amp;N213&amp;P213&amp;Q213&amp;T213&amp;V213&amp;S213</f>
        <v>267</v>
      </c>
      <c r="Y213" s="19" t="s"/>
      <c r="Z213" s="19" t="s"/>
      <c r="AA213" s="19" t="s"/>
      <c r="AB213" s="19" t="s"/>
    </row>
    <row r="214" spans="1:28" ht="14.4">
      <c r="A214" s="4">
        <f>=H214/G214-1</f>
        <v>0.0982142857142858</v>
      </c>
      <c r="B214" s="20">
        <f>=F214/12</f>
        <v>18.45</v>
      </c>
      <c r="C214" s="20">
        <f>=J214/3</f>
        <v>147.6</v>
      </c>
      <c r="D214" s="20">
        <f>=K214/3</f>
        <v>164</v>
      </c>
      <c r="E214" s="20">
        <f>=L214/3</f>
        <v>172.2</v>
      </c>
      <c r="F214" s="20">
        <f>=H214*0.9</f>
        <v>221.4</v>
      </c>
      <c r="G214" s="21">
        <v>224</v>
      </c>
      <c r="H214" s="39">
        <v>246</v>
      </c>
      <c r="I214" s="40">
        <f>=H214*1.05</f>
        <v>258.3</v>
      </c>
      <c r="J214" s="40">
        <f>=F214*2</f>
        <v>442.8</v>
      </c>
      <c r="K214" s="40">
        <f>=H214*2</f>
        <v>492</v>
      </c>
      <c r="L214" s="40">
        <f>=I214*2</f>
        <v>516.6</v>
      </c>
      <c r="M214" s="41" t="s">
        <v>211</v>
      </c>
      <c r="N214" s="41">
        <v>0.15</v>
      </c>
      <c r="O214" s="41" t="s"/>
      <c r="P214" s="41">
        <v>2</v>
      </c>
      <c r="Q214" s="41">
        <v>2</v>
      </c>
      <c r="R214" s="41" t="s">
        <v>16</v>
      </c>
      <c r="S214" s="41" t="s">
        <v>17</v>
      </c>
      <c r="T214" s="41" t="s">
        <v>43</v>
      </c>
      <c r="U214" s="16" t="s">
        <v>13</v>
      </c>
      <c r="V214" s="16" t="s">
        <v>19</v>
      </c>
      <c r="W214" s="29" t="s"/>
      <c r="X214" s="26" t="s">
        <f>=M214&amp;N214&amp;P214&amp;Q214&amp;T214&amp;V214&amp;S214</f>
        <v>268</v>
      </c>
      <c r="Y214" s="19" t="s"/>
      <c r="Z214" s="19" t="s"/>
      <c r="AA214" s="19" t="s"/>
      <c r="AB214" s="19" t="s"/>
    </row>
    <row r="215" spans="1:28" ht="14.4">
      <c r="A215" s="4">
        <f>=H215/G215-1</f>
        <v>0.101851851851852</v>
      </c>
      <c r="B215" s="20">
        <f>=F215/12</f>
        <v>17.85</v>
      </c>
      <c r="C215" s="20">
        <f>=J215/3</f>
        <v>142.8</v>
      </c>
      <c r="D215" s="20">
        <f>=K215/3</f>
        <v>158.666666666667</v>
      </c>
      <c r="E215" s="20">
        <f>=L215/3</f>
        <v>166.6</v>
      </c>
      <c r="F215" s="20">
        <f>=H215*0.9</f>
        <v>214.2</v>
      </c>
      <c r="G215" s="21">
        <v>216</v>
      </c>
      <c r="H215" s="39">
        <v>238</v>
      </c>
      <c r="I215" s="40">
        <f>=H215*1.05</f>
        <v>249.9</v>
      </c>
      <c r="J215" s="40">
        <f>=F215*2</f>
        <v>428.4</v>
      </c>
      <c r="K215" s="40">
        <f>=H215*2</f>
        <v>476</v>
      </c>
      <c r="L215" s="40">
        <f>=I215*2</f>
        <v>499.8</v>
      </c>
      <c r="M215" s="41" t="s">
        <v>211</v>
      </c>
      <c r="N215" s="41">
        <v>0.15</v>
      </c>
      <c r="O215" s="41" t="s"/>
      <c r="P215" s="41">
        <v>2</v>
      </c>
      <c r="Q215" s="41">
        <v>2</v>
      </c>
      <c r="R215" s="41" t="s">
        <v>16</v>
      </c>
      <c r="S215" s="41" t="s">
        <v>17</v>
      </c>
      <c r="T215" s="41" t="s">
        <v>39</v>
      </c>
      <c r="U215" s="16" t="s">
        <v>13</v>
      </c>
      <c r="V215" s="16" t="s">
        <v>19</v>
      </c>
      <c r="W215" s="29" t="s"/>
      <c r="X215" s="26" t="s">
        <f>=M215&amp;N215&amp;P215&amp;Q215&amp;T215&amp;V215&amp;S215</f>
        <v>269</v>
      </c>
      <c r="Y215" s="19" t="s"/>
      <c r="Z215" s="19" t="s"/>
      <c r="AA215" s="19" t="s"/>
      <c r="AB215" s="19" t="s"/>
    </row>
    <row r="216" spans="1:28" ht="14.4">
      <c r="A216" s="4">
        <f>=H216/G216-1</f>
        <v>0.10079575596817</v>
      </c>
      <c r="B216" s="20">
        <f>=F216/12</f>
        <v>31.125</v>
      </c>
      <c r="C216" s="20">
        <f>=J216/3</f>
        <v>249</v>
      </c>
      <c r="D216" s="20">
        <f>=K216/3</f>
        <v>276.666666666667</v>
      </c>
      <c r="E216" s="20">
        <f>=L216/3</f>
        <v>290.5</v>
      </c>
      <c r="F216" s="20">
        <f>=H216*0.9</f>
        <v>373.5</v>
      </c>
      <c r="G216" s="21">
        <v>377</v>
      </c>
      <c r="H216" s="39">
        <v>415</v>
      </c>
      <c r="I216" s="40">
        <f>=H216*1.05</f>
        <v>435.75</v>
      </c>
      <c r="J216" s="40">
        <f>=F216*2</f>
        <v>747</v>
      </c>
      <c r="K216" s="40">
        <f>=H216*2</f>
        <v>830</v>
      </c>
      <c r="L216" s="40">
        <f>=I216*2</f>
        <v>871.5</v>
      </c>
      <c r="M216" s="41" t="s">
        <v>211</v>
      </c>
      <c r="N216" s="41">
        <v>0.15</v>
      </c>
      <c r="O216" s="41" t="s"/>
      <c r="P216" s="41">
        <v>3</v>
      </c>
      <c r="Q216" s="41">
        <v>3</v>
      </c>
      <c r="R216" s="41" t="s">
        <v>16</v>
      </c>
      <c r="S216" s="41" t="s">
        <v>17</v>
      </c>
      <c r="T216" s="41" t="s">
        <v>43</v>
      </c>
      <c r="U216" s="16" t="s">
        <v>13</v>
      </c>
      <c r="V216" s="16" t="s">
        <v>19</v>
      </c>
      <c r="W216" s="29" t="s"/>
      <c r="X216" s="26" t="s">
        <f>=M216&amp;N216&amp;P216&amp;Q216&amp;T216&amp;V216&amp;S216</f>
        <v>270</v>
      </c>
      <c r="Y216" s="19" t="s"/>
      <c r="Z216" s="19" t="s"/>
      <c r="AA216" s="19" t="s"/>
      <c r="AB216" s="19" t="s"/>
    </row>
    <row r="217" spans="1:28" ht="14.4">
      <c r="A217" s="4">
        <f>=H217/G217-1</f>
        <v>0.0998415213946118</v>
      </c>
      <c r="B217" s="20">
        <f>=F217/12</f>
        <v>52.05</v>
      </c>
      <c r="C217" s="20">
        <f>=J217/3</f>
        <v>416.4</v>
      </c>
      <c r="D217" s="20">
        <f>=K217/3</f>
        <v>462.666666666667</v>
      </c>
      <c r="E217" s="20">
        <f>=L217/3</f>
        <v>485.8</v>
      </c>
      <c r="F217" s="20">
        <f>=H217*0.9</f>
        <v>624.6</v>
      </c>
      <c r="G217" s="21">
        <v>631</v>
      </c>
      <c r="H217" s="39">
        <v>694</v>
      </c>
      <c r="I217" s="40">
        <f>=H217*1.05</f>
        <v>728.7</v>
      </c>
      <c r="J217" s="40">
        <f>=F217*2</f>
        <v>1249.2</v>
      </c>
      <c r="K217" s="40">
        <f>=H217*2</f>
        <v>1388</v>
      </c>
      <c r="L217" s="40">
        <f>=I217*2</f>
        <v>1457.4</v>
      </c>
      <c r="M217" s="41" t="s">
        <v>211</v>
      </c>
      <c r="N217" s="41">
        <v>0.15</v>
      </c>
      <c r="O217" s="41" t="s"/>
      <c r="P217" s="41">
        <v>4</v>
      </c>
      <c r="Q217" s="41">
        <v>4</v>
      </c>
      <c r="R217" s="41" t="s">
        <v>16</v>
      </c>
      <c r="S217" s="41" t="s">
        <v>17</v>
      </c>
      <c r="T217" s="41" t="s">
        <v>43</v>
      </c>
      <c r="U217" s="16" t="s">
        <v>13</v>
      </c>
      <c r="V217" s="16" t="s">
        <v>19</v>
      </c>
      <c r="W217" s="29" t="s"/>
      <c r="X217" s="26" t="s">
        <f>=M217&amp;N217&amp;P217&amp;Q217&amp;T217&amp;V217&amp;S217</f>
        <v>271</v>
      </c>
      <c r="Y217" s="19" t="s"/>
      <c r="Z217" s="19" t="s"/>
      <c r="AA217" s="19" t="s"/>
      <c r="AB217" s="19" t="s"/>
    </row>
    <row r="218" spans="1:28" ht="14.4">
      <c r="A218" s="4">
        <f>=H218/G218-1</f>
        <v>0.0963855421686748</v>
      </c>
      <c r="B218" s="20">
        <f>=F218/12</f>
        <v>6.825</v>
      </c>
      <c r="C218" s="20">
        <f>=J218/3</f>
        <v>54.6</v>
      </c>
      <c r="D218" s="20">
        <f>=K218/3</f>
        <v>60.6666666666667</v>
      </c>
      <c r="E218" s="20">
        <f>=L218/3</f>
        <v>63.7</v>
      </c>
      <c r="F218" s="20">
        <f>=H218*0.9</f>
        <v>81.9</v>
      </c>
      <c r="G218" s="21">
        <v>83</v>
      </c>
      <c r="H218" s="39">
        <v>91</v>
      </c>
      <c r="I218" s="40">
        <f>=H218*1.05</f>
        <v>95.55</v>
      </c>
      <c r="J218" s="40">
        <f>=F218*2</f>
        <v>163.8</v>
      </c>
      <c r="K218" s="40">
        <f>=H218*2</f>
        <v>182</v>
      </c>
      <c r="L218" s="40">
        <f>=I218*2</f>
        <v>191.1</v>
      </c>
      <c r="M218" s="41" t="s">
        <v>211</v>
      </c>
      <c r="N218" s="41">
        <v>0.15</v>
      </c>
      <c r="O218" s="41" t="s"/>
      <c r="P218" s="41" t="s">
        <v>21</v>
      </c>
      <c r="Q218" s="41" t="s">
        <v>21</v>
      </c>
      <c r="R218" s="41" t="s">
        <v>16</v>
      </c>
      <c r="S218" s="41" t="s">
        <v>17</v>
      </c>
      <c r="T218" s="41" t="s">
        <v>39</v>
      </c>
      <c r="U218" s="16" t="s">
        <v>13</v>
      </c>
      <c r="V218" s="16" t="s">
        <v>19</v>
      </c>
      <c r="W218" s="29" t="s"/>
      <c r="X218" s="26" t="s">
        <f>=M218&amp;N218&amp;P218&amp;Q218&amp;T218&amp;V218&amp;S218</f>
        <v>272</v>
      </c>
      <c r="Y218" s="19" t="s"/>
      <c r="Z218" s="19" t="s"/>
      <c r="AA218" s="19" t="s"/>
      <c r="AB218" s="19" t="s"/>
    </row>
    <row r="219" spans="1:28" ht="14.4">
      <c r="A219" s="4">
        <f>=H219/G219-1</f>
        <v>0.102040816326531</v>
      </c>
      <c r="B219" s="20">
        <f>=F219/12</f>
        <v>8.1</v>
      </c>
      <c r="C219" s="20">
        <f>=J219/3</f>
        <v>64.8</v>
      </c>
      <c r="D219" s="20">
        <f>=K219/3</f>
        <v>72</v>
      </c>
      <c r="E219" s="20">
        <f>=L219/3</f>
        <v>75.6</v>
      </c>
      <c r="F219" s="20">
        <f>=H219*0.9</f>
        <v>97.2</v>
      </c>
      <c r="G219" s="21">
        <v>98</v>
      </c>
      <c r="H219" s="39">
        <v>108</v>
      </c>
      <c r="I219" s="40">
        <f>=H219*1.05</f>
        <v>113.4</v>
      </c>
      <c r="J219" s="40">
        <f>=F219*2</f>
        <v>194.4</v>
      </c>
      <c r="K219" s="40">
        <f>=H219*2</f>
        <v>216</v>
      </c>
      <c r="L219" s="40">
        <f>=I219*2</f>
        <v>226.8</v>
      </c>
      <c r="M219" s="41" t="s">
        <v>211</v>
      </c>
      <c r="N219" s="41">
        <v>0.15</v>
      </c>
      <c r="O219" s="41" t="s"/>
      <c r="P219" s="41" t="s">
        <v>21</v>
      </c>
      <c r="Q219" s="41" t="s">
        <v>21</v>
      </c>
      <c r="R219" s="41" t="s">
        <v>16</v>
      </c>
      <c r="S219" s="41" t="s">
        <v>17</v>
      </c>
      <c r="T219" s="41" t="s">
        <v>43</v>
      </c>
      <c r="U219" s="16" t="s">
        <v>13</v>
      </c>
      <c r="V219" s="16" t="s">
        <v>19</v>
      </c>
      <c r="W219" s="29" t="s"/>
      <c r="X219" s="26" t="s">
        <f>=M219&amp;N219&amp;P219&amp;Q219&amp;T219&amp;V219&amp;S219</f>
        <v>273</v>
      </c>
      <c r="Y219" s="19" t="s"/>
      <c r="Z219" s="19" t="s"/>
      <c r="AA219" s="19" t="s"/>
      <c r="AB219" s="19" t="s"/>
    </row>
    <row r="220" spans="1:28" ht="14.4">
      <c r="A220" s="4">
        <f>=H220/G220-1</f>
        <v>0.0982142857142858</v>
      </c>
      <c r="B220" s="20">
        <f>=F220/12</f>
        <v>18.45</v>
      </c>
      <c r="C220" s="20">
        <f>=J220/3</f>
        <v>147.6</v>
      </c>
      <c r="D220" s="20">
        <f>=K220/3</f>
        <v>164</v>
      </c>
      <c r="E220" s="20">
        <f>=L220/3</f>
        <v>172.2</v>
      </c>
      <c r="F220" s="20">
        <f>=H220*0.9</f>
        <v>221.4</v>
      </c>
      <c r="G220" s="21">
        <v>224</v>
      </c>
      <c r="H220" s="39">
        <v>246</v>
      </c>
      <c r="I220" s="40">
        <f>=H220*1.05</f>
        <v>258.3</v>
      </c>
      <c r="J220" s="40">
        <f>=F220*2</f>
        <v>442.8</v>
      </c>
      <c r="K220" s="40">
        <f>=H220*2</f>
        <v>492</v>
      </c>
      <c r="L220" s="40">
        <f>=I220*2</f>
        <v>516.6</v>
      </c>
      <c r="M220" s="41" t="s">
        <v>211</v>
      </c>
      <c r="N220" s="41">
        <v>0.16</v>
      </c>
      <c r="O220" s="41" t="s"/>
      <c r="P220" s="41">
        <v>2</v>
      </c>
      <c r="Q220" s="41">
        <v>2</v>
      </c>
      <c r="R220" s="41" t="s">
        <v>16</v>
      </c>
      <c r="S220" s="41" t="s">
        <v>17</v>
      </c>
      <c r="T220" s="41" t="s">
        <v>43</v>
      </c>
      <c r="U220" s="16" t="s">
        <v>13</v>
      </c>
      <c r="V220" s="16" t="s">
        <v>19</v>
      </c>
      <c r="W220" s="29" t="s"/>
      <c r="X220" s="26" t="s">
        <f>=M220&amp;N220&amp;P220&amp;Q220&amp;T220&amp;V220&amp;S220</f>
        <v>274</v>
      </c>
      <c r="Y220" s="19" t="s"/>
      <c r="Z220" s="19" t="s"/>
      <c r="AA220" s="19" t="s"/>
      <c r="AB220" s="19" t="s"/>
    </row>
    <row r="221" spans="1:28" ht="14.4">
      <c r="A221" s="4">
        <f>=H221/G221-1</f>
        <v>0.104651162790698</v>
      </c>
      <c r="B221" s="20">
        <f>=F221/12</f>
        <v>7.125</v>
      </c>
      <c r="C221" s="20">
        <f>=J221/3</f>
        <v>57</v>
      </c>
      <c r="D221" s="20">
        <f>=K221/3</f>
        <v>63.3333333333333</v>
      </c>
      <c r="E221" s="20">
        <f>=L221/3</f>
        <v>66.5</v>
      </c>
      <c r="F221" s="20">
        <f>=H221*0.9</f>
        <v>85.5</v>
      </c>
      <c r="G221" s="21">
        <v>86</v>
      </c>
      <c r="H221" s="39">
        <v>95</v>
      </c>
      <c r="I221" s="40">
        <f>=H221*1.05</f>
        <v>99.75</v>
      </c>
      <c r="J221" s="40">
        <f>=F221*2</f>
        <v>171</v>
      </c>
      <c r="K221" s="40">
        <f>=H221*2</f>
        <v>190</v>
      </c>
      <c r="L221" s="40">
        <f>=I221*2</f>
        <v>199.5</v>
      </c>
      <c r="M221" s="41" t="s">
        <v>211</v>
      </c>
      <c r="N221" s="41">
        <v>0.16</v>
      </c>
      <c r="O221" s="41" t="s"/>
      <c r="P221" s="41" t="s">
        <v>21</v>
      </c>
      <c r="Q221" s="41" t="s">
        <v>21</v>
      </c>
      <c r="R221" s="41" t="s">
        <v>16</v>
      </c>
      <c r="S221" s="41" t="s">
        <v>17</v>
      </c>
      <c r="T221" s="41" t="s">
        <v>39</v>
      </c>
      <c r="U221" s="16" t="s">
        <v>13</v>
      </c>
      <c r="V221" s="16" t="s">
        <v>19</v>
      </c>
      <c r="W221" s="29" t="s"/>
      <c r="X221" s="26" t="s">
        <f>=M221&amp;N221&amp;P221&amp;Q221&amp;T221&amp;V221&amp;S221</f>
        <v>275</v>
      </c>
      <c r="Y221" s="19" t="s"/>
      <c r="Z221" s="19" t="s"/>
      <c r="AA221" s="19" t="s"/>
      <c r="AB221" s="19" t="s"/>
    </row>
    <row r="222" spans="1:28" ht="14.4">
      <c r="A222" s="4">
        <f>=H222/G222-1</f>
        <v>0.1</v>
      </c>
      <c r="B222" s="20">
        <f>=F222/12</f>
        <v>30.525</v>
      </c>
      <c r="C222" s="20">
        <f>=J222/3</f>
        <v>244.2</v>
      </c>
      <c r="D222" s="20">
        <f>=K222/3</f>
        <v>271.333333333333</v>
      </c>
      <c r="E222" s="20">
        <f>=L222/3</f>
        <v>284.9</v>
      </c>
      <c r="F222" s="20">
        <f>=H222*0.9</f>
        <v>366.3</v>
      </c>
      <c r="G222" s="21">
        <v>370</v>
      </c>
      <c r="H222" s="39">
        <v>407</v>
      </c>
      <c r="I222" s="40">
        <f>=H222*1.05</f>
        <v>427.35</v>
      </c>
      <c r="J222" s="40">
        <f>=F222*2</f>
        <v>732.6</v>
      </c>
      <c r="K222" s="40">
        <f>=H222*2</f>
        <v>814</v>
      </c>
      <c r="L222" s="40">
        <f>=I222*2</f>
        <v>854.7</v>
      </c>
      <c r="M222" s="41" t="s">
        <v>211</v>
      </c>
      <c r="N222" s="41">
        <v>0.178</v>
      </c>
      <c r="O222" s="41" t="s"/>
      <c r="P222" s="41">
        <v>3</v>
      </c>
      <c r="Q222" s="41">
        <v>3</v>
      </c>
      <c r="R222" s="41" t="s">
        <v>16</v>
      </c>
      <c r="S222" s="41" t="s">
        <v>17</v>
      </c>
      <c r="T222" s="41" t="s">
        <v>276</v>
      </c>
      <c r="U222" s="16" t="s">
        <v>13</v>
      </c>
      <c r="V222" s="16" t="s">
        <v>19</v>
      </c>
      <c r="W222" s="29" t="s"/>
      <c r="X222" s="26" t="s">
        <f>=M222&amp;N222&amp;P222&amp;Q222&amp;T222&amp;V222&amp;S222</f>
        <v>277</v>
      </c>
      <c r="Y222" s="19" t="s"/>
      <c r="Z222" s="19" t="s"/>
      <c r="AA222" s="19" t="s"/>
      <c r="AB222" s="19" t="s"/>
    </row>
    <row r="223" spans="1:28" ht="14.4">
      <c r="A223" s="4">
        <f>=H223/G223-1</f>
        <v>0.0964912280701755</v>
      </c>
      <c r="B223" s="20">
        <f>=F223/12</f>
        <v>9.375</v>
      </c>
      <c r="C223" s="20">
        <f>=J223/3</f>
        <v>75</v>
      </c>
      <c r="D223" s="20">
        <f>=K223/3</f>
        <v>83.3333333333333</v>
      </c>
      <c r="E223" s="20">
        <f>=L223/3</f>
        <v>87.5</v>
      </c>
      <c r="F223" s="20">
        <f>=H223*0.9</f>
        <v>112.5</v>
      </c>
      <c r="G223" s="21">
        <v>114</v>
      </c>
      <c r="H223" s="39">
        <v>125</v>
      </c>
      <c r="I223" s="40">
        <f>=H223*1.05</f>
        <v>131.25</v>
      </c>
      <c r="J223" s="40">
        <f>=F223*2</f>
        <v>225</v>
      </c>
      <c r="K223" s="40">
        <f>=H223*2</f>
        <v>250</v>
      </c>
      <c r="L223" s="40">
        <f>=I223*2</f>
        <v>262.5</v>
      </c>
      <c r="M223" s="41" t="s">
        <v>211</v>
      </c>
      <c r="N223" s="41">
        <v>0.18</v>
      </c>
      <c r="O223" s="41" t="s"/>
      <c r="P223" s="41">
        <v>1</v>
      </c>
      <c r="Q223" s="41">
        <v>1</v>
      </c>
      <c r="R223" s="41" t="s">
        <v>16</v>
      </c>
      <c r="S223" s="41" t="s">
        <v>17</v>
      </c>
      <c r="T223" s="41" t="s">
        <v>46</v>
      </c>
      <c r="U223" s="16" t="s">
        <v>13</v>
      </c>
      <c r="V223" s="16" t="s">
        <v>19</v>
      </c>
      <c r="W223" s="29" t="s"/>
      <c r="X223" s="26" t="s">
        <f>=M223&amp;N223&amp;P223&amp;Q223&amp;T223&amp;V223&amp;S223</f>
        <v>278</v>
      </c>
      <c r="Y223" s="19" t="s"/>
      <c r="Z223" s="19" t="s"/>
      <c r="AA223" s="19" t="s"/>
      <c r="AB223" s="19" t="s"/>
    </row>
    <row r="224" spans="1:28" ht="14.4">
      <c r="A224" s="4">
        <f>=H224/G224-1</f>
        <v>0.10236220472441</v>
      </c>
      <c r="B224" s="20">
        <f>=F224/12</f>
        <v>10.5</v>
      </c>
      <c r="C224" s="20">
        <f>=J224/3</f>
        <v>84</v>
      </c>
      <c r="D224" s="20">
        <f>=K224/3</f>
        <v>93.3333333333333</v>
      </c>
      <c r="E224" s="20">
        <f>=L224/3</f>
        <v>98</v>
      </c>
      <c r="F224" s="20">
        <f>=H224*0.9</f>
        <v>126</v>
      </c>
      <c r="G224" s="21">
        <v>127</v>
      </c>
      <c r="H224" s="39">
        <v>140</v>
      </c>
      <c r="I224" s="40">
        <f>=H224*1.05</f>
        <v>147</v>
      </c>
      <c r="J224" s="40">
        <f>=F224*2</f>
        <v>252</v>
      </c>
      <c r="K224" s="40">
        <f>=H224*2</f>
        <v>280</v>
      </c>
      <c r="L224" s="40">
        <f>=I224*2</f>
        <v>294</v>
      </c>
      <c r="M224" s="41" t="s">
        <v>211</v>
      </c>
      <c r="N224" s="41">
        <v>0.18</v>
      </c>
      <c r="O224" s="41" t="s"/>
      <c r="P224" s="41">
        <v>1</v>
      </c>
      <c r="Q224" s="41">
        <v>1</v>
      </c>
      <c r="R224" s="41" t="s">
        <v>16</v>
      </c>
      <c r="S224" s="41" t="s">
        <v>17</v>
      </c>
      <c r="T224" s="41" t="s">
        <v>48</v>
      </c>
      <c r="U224" s="16" t="s">
        <v>13</v>
      </c>
      <c r="V224" s="16" t="s">
        <v>19</v>
      </c>
      <c r="W224" s="29" t="s"/>
      <c r="X224" s="26" t="s">
        <f>=M224&amp;N224&amp;P224&amp;Q224&amp;T224&amp;V224&amp;S224</f>
        <v>279</v>
      </c>
      <c r="Y224" s="19" t="s"/>
      <c r="Z224" s="19" t="s"/>
      <c r="AA224" s="19" t="s"/>
      <c r="AB224" s="19" t="s"/>
    </row>
    <row r="225" spans="1:29" ht="14.4">
      <c r="A225" s="42">
        <f>=H225/G225-1</f>
        <v>2.48837209302326</v>
      </c>
      <c r="B225" s="43">
        <f>=F225/12</f>
        <v>22.5</v>
      </c>
      <c r="C225" s="43">
        <f>=J225/3</f>
        <v>180</v>
      </c>
      <c r="D225" s="43">
        <f>=K225/3</f>
        <v>200</v>
      </c>
      <c r="E225" s="43">
        <f>=L225/3</f>
        <v>210</v>
      </c>
      <c r="F225" s="43">
        <f>=H225*0.9</f>
        <v>270</v>
      </c>
      <c r="G225" s="27">
        <v>86</v>
      </c>
      <c r="H225" s="44">
        <v>300</v>
      </c>
      <c r="I225" s="45">
        <f>=H225*1.05</f>
        <v>315</v>
      </c>
      <c r="J225" s="45">
        <f>=F225*2</f>
        <v>540</v>
      </c>
      <c r="K225" s="45">
        <f>=H225*2</f>
        <v>600</v>
      </c>
      <c r="L225" s="45">
        <f>=I225*2</f>
        <v>630</v>
      </c>
      <c r="M225" s="46" t="s">
        <v>211</v>
      </c>
      <c r="N225" s="46">
        <v>0.16</v>
      </c>
      <c r="O225" s="46" t="s"/>
      <c r="P225" s="12">
        <v>2</v>
      </c>
      <c r="Q225" s="12">
        <v>2</v>
      </c>
      <c r="R225" s="46" t="s">
        <v>16</v>
      </c>
      <c r="S225" s="46" t="s">
        <v>17</v>
      </c>
      <c r="T225" s="46" t="s">
        <v>39</v>
      </c>
      <c r="U225" s="13" t="s">
        <v>13</v>
      </c>
      <c r="V225" s="13" t="s">
        <v>19</v>
      </c>
      <c r="W225" s="47">
        <v>46184</v>
      </c>
      <c r="X225" s="18" t="s">
        <f>=M225&amp;N225&amp;P225&amp;Q225&amp;T225&amp;V225&amp;S225</f>
        <v>280</v>
      </c>
      <c r="Y225" s="15" t="s"/>
      <c r="Z225" s="15" t="s"/>
      <c r="AA225" s="15" t="s"/>
      <c r="AB225" s="15" t="s"/>
      <c r="AC225" s="48" t="s"/>
    </row>
    <row r="226" spans="1:28" ht="14.4">
      <c r="A226" s="4">
        <f>=H226/G226-1</f>
        <v>0.0982142857142858</v>
      </c>
      <c r="B226" s="20">
        <f>=F226/12</f>
        <v>18.45</v>
      </c>
      <c r="C226" s="20">
        <f>=J226/3</f>
        <v>147.6</v>
      </c>
      <c r="D226" s="20">
        <f>=K226/3</f>
        <v>164</v>
      </c>
      <c r="E226" s="20">
        <f>=L226/3</f>
        <v>172.2</v>
      </c>
      <c r="F226" s="20">
        <f>=H226*0.9</f>
        <v>221.4</v>
      </c>
      <c r="G226" s="21">
        <v>224</v>
      </c>
      <c r="H226" s="39">
        <v>246</v>
      </c>
      <c r="I226" s="40">
        <f>=H226*1.05</f>
        <v>258.3</v>
      </c>
      <c r="J226" s="40">
        <f>=F226*2</f>
        <v>442.8</v>
      </c>
      <c r="K226" s="40">
        <f>=H226*2</f>
        <v>492</v>
      </c>
      <c r="L226" s="40">
        <f>=I226*2</f>
        <v>516.6</v>
      </c>
      <c r="M226" s="41" t="s">
        <v>211</v>
      </c>
      <c r="N226" s="41">
        <v>0.16</v>
      </c>
      <c r="O226" s="41" t="s"/>
      <c r="P226" s="41">
        <v>2</v>
      </c>
      <c r="Q226" s="41">
        <v>2</v>
      </c>
      <c r="R226" s="41" t="s">
        <v>16</v>
      </c>
      <c r="S226" s="41" t="s">
        <v>17</v>
      </c>
      <c r="T226" s="41" t="s">
        <v>43</v>
      </c>
      <c r="U226" s="16" t="s">
        <v>13</v>
      </c>
      <c r="V226" s="16" t="s">
        <v>19</v>
      </c>
      <c r="W226" s="29" t="s"/>
      <c r="X226" s="26" t="s">
        <f>=M226&amp;N226&amp;P226&amp;Q226&amp;T226&amp;V226&amp;S226</f>
        <v>274</v>
      </c>
      <c r="Y226" s="19" t="s"/>
      <c r="Z226" s="19" t="s"/>
      <c r="AA226" s="19" t="s"/>
      <c r="AB226" s="19" t="s"/>
    </row>
    <row r="227" spans="1:28" ht="14.4">
      <c r="A227" s="4">
        <f>=H227/G227-1</f>
        <v>0.101769911504425</v>
      </c>
      <c r="B227" s="20">
        <f>=F227/12</f>
        <v>18.675</v>
      </c>
      <c r="C227" s="20">
        <f>=J227/3</f>
        <v>149.4</v>
      </c>
      <c r="D227" s="20">
        <f>=K227/3</f>
        <v>166</v>
      </c>
      <c r="E227" s="20">
        <f>=L227/3</f>
        <v>174.3</v>
      </c>
      <c r="F227" s="20">
        <f>=H227*0.9</f>
        <v>224.1</v>
      </c>
      <c r="G227" s="21">
        <v>226</v>
      </c>
      <c r="H227" s="39">
        <v>249</v>
      </c>
      <c r="I227" s="40">
        <f>=H227*1.05</f>
        <v>261.45</v>
      </c>
      <c r="J227" s="40">
        <f>=F227*2</f>
        <v>448.2</v>
      </c>
      <c r="K227" s="40">
        <f>=H227*2</f>
        <v>498</v>
      </c>
      <c r="L227" s="40">
        <f>=I227*2</f>
        <v>522.9</v>
      </c>
      <c r="M227" s="41" t="s">
        <v>211</v>
      </c>
      <c r="N227" s="41">
        <v>0.18</v>
      </c>
      <c r="O227" s="41" t="s"/>
      <c r="P227" s="41">
        <v>2</v>
      </c>
      <c r="Q227" s="41">
        <v>2</v>
      </c>
      <c r="R227" s="41" t="s">
        <v>16</v>
      </c>
      <c r="S227" s="41" t="s">
        <v>17</v>
      </c>
      <c r="T227" s="41" t="s">
        <v>48</v>
      </c>
      <c r="U227" s="16" t="s">
        <v>13</v>
      </c>
      <c r="V227" s="16" t="s">
        <v>19</v>
      </c>
      <c r="W227" s="29" t="s"/>
      <c r="X227" s="34" t="s">
        <f>=M227&amp;N227&amp;P227&amp;Q227&amp;T227&amp;V227&amp;S227</f>
        <v>281</v>
      </c>
      <c r="Y227" s="19" t="s"/>
      <c r="Z227" s="19" t="s"/>
      <c r="AA227" s="19" t="s"/>
      <c r="AB227" s="19" t="s"/>
    </row>
    <row r="228" spans="1:28" ht="14.4">
      <c r="A228" s="4">
        <f>=H228/G228-1</f>
        <v>0.0963855421686748</v>
      </c>
      <c r="B228" s="20">
        <f>=F228/12</f>
        <v>6.825</v>
      </c>
      <c r="C228" s="20">
        <f>=J228/3</f>
        <v>54.6</v>
      </c>
      <c r="D228" s="20">
        <f>=K228/3</f>
        <v>60.6666666666667</v>
      </c>
      <c r="E228" s="20">
        <f>=L228/3</f>
        <v>63.7</v>
      </c>
      <c r="F228" s="20">
        <f>=H228*0.9</f>
        <v>81.9</v>
      </c>
      <c r="G228" s="21">
        <v>83</v>
      </c>
      <c r="H228" s="39">
        <v>91</v>
      </c>
      <c r="I228" s="40">
        <f>=H228*1.05</f>
        <v>95.55</v>
      </c>
      <c r="J228" s="40">
        <f>=F228*2</f>
        <v>163.8</v>
      </c>
      <c r="K228" s="40">
        <f>=H228*2</f>
        <v>182</v>
      </c>
      <c r="L228" s="40">
        <f>=I228*2</f>
        <v>191.1</v>
      </c>
      <c r="M228" s="41" t="s">
        <v>211</v>
      </c>
      <c r="N228" s="41">
        <v>0.18</v>
      </c>
      <c r="O228" s="41" t="s"/>
      <c r="P228" s="41" t="s">
        <v>21</v>
      </c>
      <c r="Q228" s="41" t="s">
        <v>21</v>
      </c>
      <c r="R228" s="41" t="s">
        <v>16</v>
      </c>
      <c r="S228" s="41" t="s">
        <v>17</v>
      </c>
      <c r="T228" s="41" t="s">
        <v>46</v>
      </c>
      <c r="U228" s="16" t="s">
        <v>13</v>
      </c>
      <c r="V228" s="16" t="s">
        <v>19</v>
      </c>
      <c r="W228" s="29" t="s"/>
      <c r="X228" s="26" t="s">
        <f>=M228&amp;N228&amp;P228&amp;Q228&amp;T228&amp;V228&amp;S228</f>
        <v>282</v>
      </c>
      <c r="Y228" s="19" t="s"/>
      <c r="Z228" s="19" t="s"/>
      <c r="AA228" s="19" t="s"/>
      <c r="AB228" s="19" t="s"/>
    </row>
    <row r="229" spans="1:28" ht="14.4">
      <c r="A229" s="4">
        <f>=H229/G229-1</f>
        <v>0.102040816326531</v>
      </c>
      <c r="B229" s="20">
        <f>=F229/12</f>
        <v>8.1</v>
      </c>
      <c r="C229" s="20">
        <f>=J229/3</f>
        <v>64.8</v>
      </c>
      <c r="D229" s="20">
        <f>=K229/3</f>
        <v>72</v>
      </c>
      <c r="E229" s="20">
        <f>=L229/3</f>
        <v>75.6</v>
      </c>
      <c r="F229" s="20">
        <f>=H229*0.9</f>
        <v>97.2</v>
      </c>
      <c r="G229" s="21">
        <v>98</v>
      </c>
      <c r="H229" s="39">
        <v>108</v>
      </c>
      <c r="I229" s="40">
        <f>=H229*1.05</f>
        <v>113.4</v>
      </c>
      <c r="J229" s="40">
        <f>=F229*2</f>
        <v>194.4</v>
      </c>
      <c r="K229" s="40">
        <f>=H229*2</f>
        <v>216</v>
      </c>
      <c r="L229" s="40">
        <f>=I229*2</f>
        <v>226.8</v>
      </c>
      <c r="M229" s="41" t="s">
        <v>211</v>
      </c>
      <c r="N229" s="41">
        <v>0.18</v>
      </c>
      <c r="O229" s="41" t="s"/>
      <c r="P229" s="41" t="s">
        <v>21</v>
      </c>
      <c r="Q229" s="41" t="s">
        <v>21</v>
      </c>
      <c r="R229" s="41" t="s">
        <v>16</v>
      </c>
      <c r="S229" s="41" t="s">
        <v>17</v>
      </c>
      <c r="T229" s="41" t="s">
        <v>48</v>
      </c>
      <c r="U229" s="16" t="s">
        <v>13</v>
      </c>
      <c r="V229" s="16" t="s">
        <v>19</v>
      </c>
      <c r="W229" s="29" t="s"/>
      <c r="X229" s="26" t="s">
        <f>=M229&amp;N229&amp;P229&amp;Q229&amp;T229&amp;V229&amp;S229</f>
        <v>283</v>
      </c>
      <c r="Y229" s="19" t="s"/>
      <c r="Z229" s="19" t="s"/>
      <c r="AA229" s="19" t="s"/>
      <c r="AB229" s="19" t="s"/>
    </row>
    <row r="230" spans="1:28" ht="14.4">
      <c r="A230" s="4">
        <f>=H230/G230-1</f>
        <v>0.0997375328083989</v>
      </c>
      <c r="B230" s="20">
        <f>=F230/12</f>
        <v>31.425</v>
      </c>
      <c r="C230" s="20">
        <f>=J230/3</f>
        <v>251.4</v>
      </c>
      <c r="D230" s="20">
        <f>=K230/3</f>
        <v>279.333333333333</v>
      </c>
      <c r="E230" s="20">
        <f>=L230/3</f>
        <v>293.3</v>
      </c>
      <c r="F230" s="20">
        <f>=H230*0.9</f>
        <v>377.1</v>
      </c>
      <c r="G230" s="21">
        <v>381</v>
      </c>
      <c r="H230" s="39">
        <v>419</v>
      </c>
      <c r="I230" s="40">
        <f>=H230*1.05</f>
        <v>439.95</v>
      </c>
      <c r="J230" s="40">
        <f>=F230*2</f>
        <v>754.2</v>
      </c>
      <c r="K230" s="40">
        <f>=H230*2</f>
        <v>838</v>
      </c>
      <c r="L230" s="40">
        <f>=I230*2</f>
        <v>879.9</v>
      </c>
      <c r="M230" s="41" t="s">
        <v>211</v>
      </c>
      <c r="N230" s="41">
        <v>0.19</v>
      </c>
      <c r="O230" s="41" t="s"/>
      <c r="P230" s="41">
        <v>3</v>
      </c>
      <c r="Q230" s="41">
        <v>3</v>
      </c>
      <c r="R230" s="41" t="s">
        <v>16</v>
      </c>
      <c r="S230" s="41" t="s">
        <v>17</v>
      </c>
      <c r="T230" s="41" t="s">
        <v>48</v>
      </c>
      <c r="U230" s="16" t="s">
        <v>13</v>
      </c>
      <c r="V230" s="16" t="s">
        <v>19</v>
      </c>
      <c r="W230" s="29" t="s"/>
      <c r="X230" s="26" t="s">
        <f>=M230&amp;N230&amp;P230&amp;Q230&amp;T230&amp;V230&amp;S230</f>
        <v>284</v>
      </c>
      <c r="Y230" s="19" t="s"/>
      <c r="Z230" s="19" t="s"/>
      <c r="AA230" s="19" t="s"/>
      <c r="AB230" s="19" t="s"/>
    </row>
    <row r="231" spans="1:28" ht="14.4">
      <c r="A231" s="4">
        <f>=H231/G231-1</f>
        <v>0.0973451327433628</v>
      </c>
      <c r="B231" s="20">
        <f>=F231/12</f>
        <v>9.3</v>
      </c>
      <c r="C231" s="20">
        <f>=J231/3</f>
        <v>74.4</v>
      </c>
      <c r="D231" s="20">
        <f>=K231/3</f>
        <v>82.6666666666667</v>
      </c>
      <c r="E231" s="20">
        <f>=L231/3</f>
        <v>86.8</v>
      </c>
      <c r="F231" s="20">
        <f>=H231*0.9</f>
        <v>111.6</v>
      </c>
      <c r="G231" s="21">
        <v>113</v>
      </c>
      <c r="H231" s="39">
        <v>124</v>
      </c>
      <c r="I231" s="40">
        <f>=H231*1.05</f>
        <v>130.2</v>
      </c>
      <c r="J231" s="40">
        <f>=F231*2</f>
        <v>223.2</v>
      </c>
      <c r="K231" s="40">
        <f>=H231*2</f>
        <v>248</v>
      </c>
      <c r="L231" s="40">
        <f>=I231*2</f>
        <v>260.4</v>
      </c>
      <c r="M231" s="41" t="s">
        <v>211</v>
      </c>
      <c r="N231" s="41">
        <v>0.2</v>
      </c>
      <c r="O231" s="41" t="s"/>
      <c r="P231" s="41">
        <v>1</v>
      </c>
      <c r="Q231" s="41">
        <v>1</v>
      </c>
      <c r="R231" s="41" t="s">
        <v>16</v>
      </c>
      <c r="S231" s="41" t="s">
        <v>17</v>
      </c>
      <c r="T231" s="41" t="s">
        <v>46</v>
      </c>
      <c r="U231" s="16" t="s">
        <v>13</v>
      </c>
      <c r="V231" s="16" t="s">
        <v>19</v>
      </c>
      <c r="W231" s="29" t="s"/>
      <c r="X231" s="26" t="s">
        <f>=M231&amp;N231&amp;P231&amp;Q231&amp;T231&amp;V231&amp;S231</f>
        <v>285</v>
      </c>
      <c r="Y231" s="19" t="s"/>
      <c r="Z231" s="19" t="s"/>
      <c r="AA231" s="19" t="s"/>
      <c r="AB231" s="19" t="s"/>
    </row>
    <row r="232" spans="1:28" ht="14.4">
      <c r="A232" s="4">
        <f>=H232/G232-1</f>
        <v>0.102941176470588</v>
      </c>
      <c r="B232" s="20">
        <f>=F232/12</f>
        <v>11.25</v>
      </c>
      <c r="C232" s="20">
        <f>=J232/3</f>
        <v>90</v>
      </c>
      <c r="D232" s="20">
        <f>=K232/3</f>
        <v>100</v>
      </c>
      <c r="E232" s="20">
        <f>=L232/3</f>
        <v>105</v>
      </c>
      <c r="F232" s="20">
        <f>=H232*0.9</f>
        <v>135</v>
      </c>
      <c r="G232" s="21">
        <v>136</v>
      </c>
      <c r="H232" s="39">
        <v>150</v>
      </c>
      <c r="I232" s="40">
        <f>=H232*1.05</f>
        <v>157.5</v>
      </c>
      <c r="J232" s="40">
        <f>=F232*2</f>
        <v>270</v>
      </c>
      <c r="K232" s="40">
        <f>=H232*2</f>
        <v>300</v>
      </c>
      <c r="L232" s="40">
        <f>=I232*2</f>
        <v>315</v>
      </c>
      <c r="M232" s="41" t="s">
        <v>211</v>
      </c>
      <c r="N232" s="41">
        <v>0.2</v>
      </c>
      <c r="O232" s="41" t="s"/>
      <c r="P232" s="41">
        <v>1</v>
      </c>
      <c r="Q232" s="41">
        <v>1</v>
      </c>
      <c r="R232" s="41" t="s">
        <v>16</v>
      </c>
      <c r="S232" s="41" t="s">
        <v>17</v>
      </c>
      <c r="T232" s="41" t="s">
        <v>48</v>
      </c>
      <c r="U232" s="16" t="s">
        <v>13</v>
      </c>
      <c r="V232" s="16" t="s">
        <v>19</v>
      </c>
      <c r="W232" s="29" t="s"/>
      <c r="X232" s="26" t="s">
        <f>=M232&amp;N232&amp;P232&amp;Q232&amp;T232&amp;V232&amp;S232</f>
        <v>286</v>
      </c>
      <c r="Y232" s="19" t="s"/>
      <c r="Z232" s="19" t="s"/>
      <c r="AA232" s="19" t="s"/>
      <c r="AB232" s="19" t="s"/>
    </row>
    <row r="233" spans="1:28" ht="14.4">
      <c r="A233" s="4">
        <f>=H233/G233-1</f>
        <v>0.101449275362319</v>
      </c>
      <c r="B233" s="20">
        <f>=F233/12</f>
        <v>11.4</v>
      </c>
      <c r="C233" s="20">
        <f>=J233/3</f>
        <v>91.2</v>
      </c>
      <c r="D233" s="20">
        <f>=K233/3</f>
        <v>101.333333333333</v>
      </c>
      <c r="E233" s="20">
        <f>=L233/3</f>
        <v>106.4</v>
      </c>
      <c r="F233" s="20">
        <f>=H233*0.9</f>
        <v>136.8</v>
      </c>
      <c r="G233" s="21">
        <v>138</v>
      </c>
      <c r="H233" s="39">
        <v>152</v>
      </c>
      <c r="I233" s="40">
        <f>=H233*1.05</f>
        <v>159.6</v>
      </c>
      <c r="J233" s="40">
        <f>=F233*2</f>
        <v>273.6</v>
      </c>
      <c r="K233" s="40">
        <f>=H233*2</f>
        <v>304</v>
      </c>
      <c r="L233" s="40">
        <f>=I233*2</f>
        <v>319.2</v>
      </c>
      <c r="M233" s="41" t="s">
        <v>211</v>
      </c>
      <c r="N233" s="41">
        <v>0.2</v>
      </c>
      <c r="O233" s="41" t="s"/>
      <c r="P233" s="41">
        <v>1</v>
      </c>
      <c r="Q233" s="41">
        <v>1</v>
      </c>
      <c r="R233" s="41" t="s">
        <v>16</v>
      </c>
      <c r="S233" s="41" t="s">
        <v>17</v>
      </c>
      <c r="T233" s="41" t="s">
        <v>52</v>
      </c>
      <c r="U233" s="16" t="s">
        <v>13</v>
      </c>
      <c r="V233" s="16" t="s">
        <v>19</v>
      </c>
      <c r="W233" s="29" t="s"/>
      <c r="X233" s="26" t="s">
        <f>=M233&amp;N233&amp;P233&amp;Q233&amp;T233&amp;V233&amp;S233</f>
        <v>287</v>
      </c>
      <c r="Y233" s="19" t="s"/>
      <c r="Z233" s="19" t="s"/>
      <c r="AA233" s="19" t="s"/>
      <c r="AB233" s="19" t="s"/>
    </row>
    <row r="234" spans="1:28" ht="14.4">
      <c r="A234" s="4">
        <f>=H234/G234-1</f>
        <v>0.101522842639594</v>
      </c>
      <c r="B234" s="20">
        <f>=F234/12</f>
        <v>16.275</v>
      </c>
      <c r="C234" s="20">
        <f>=J234/3</f>
        <v>130.2</v>
      </c>
      <c r="D234" s="20">
        <f>=K234/3</f>
        <v>144.666666666667</v>
      </c>
      <c r="E234" s="20">
        <f>=L234/3</f>
        <v>151.9</v>
      </c>
      <c r="F234" s="20">
        <f>=H234*0.9</f>
        <v>195.3</v>
      </c>
      <c r="G234" s="21">
        <v>197</v>
      </c>
      <c r="H234" s="39">
        <v>217</v>
      </c>
      <c r="I234" s="40">
        <f>=H234*1.05</f>
        <v>227.85</v>
      </c>
      <c r="J234" s="40">
        <f>=F234*2</f>
        <v>390.6</v>
      </c>
      <c r="K234" s="40">
        <f>=H234*2</f>
        <v>434</v>
      </c>
      <c r="L234" s="40">
        <f>=I234*2</f>
        <v>455.7</v>
      </c>
      <c r="M234" s="41" t="s">
        <v>211</v>
      </c>
      <c r="N234" s="41">
        <v>0.2</v>
      </c>
      <c r="O234" s="41" t="s"/>
      <c r="P234" s="41">
        <v>1</v>
      </c>
      <c r="Q234" s="41">
        <v>2</v>
      </c>
      <c r="R234" s="41" t="s">
        <v>16</v>
      </c>
      <c r="S234" s="41" t="s">
        <v>17</v>
      </c>
      <c r="T234" s="41" t="s">
        <v>46</v>
      </c>
      <c r="U234" s="16" t="s">
        <v>13</v>
      </c>
      <c r="V234" s="16" t="s">
        <v>19</v>
      </c>
      <c r="W234" s="29" t="s"/>
      <c r="X234" s="26" t="s">
        <f>=M234&amp;N234&amp;P234&amp;Q234&amp;T234&amp;V234&amp;S234</f>
        <v>288</v>
      </c>
      <c r="Y234" s="19" t="s"/>
      <c r="Z234" s="19" t="s"/>
      <c r="AA234" s="19" t="s"/>
      <c r="AB234" s="19" t="s"/>
    </row>
    <row r="235" spans="1:28" ht="14.4">
      <c r="A235" s="4">
        <f>=H235/G235-1</f>
        <v>0.101851851851852</v>
      </c>
      <c r="B235" s="20">
        <f>=F235/12</f>
        <v>17.85</v>
      </c>
      <c r="C235" s="20">
        <f>=J235/3</f>
        <v>142.8</v>
      </c>
      <c r="D235" s="20">
        <f>=K235/3</f>
        <v>158.666666666667</v>
      </c>
      <c r="E235" s="20">
        <f>=L235/3</f>
        <v>166.6</v>
      </c>
      <c r="F235" s="20">
        <f>=H235*0.9</f>
        <v>214.2</v>
      </c>
      <c r="G235" s="21">
        <v>216</v>
      </c>
      <c r="H235" s="39">
        <v>238</v>
      </c>
      <c r="I235" s="40">
        <f>=H235*1.05</f>
        <v>249.9</v>
      </c>
      <c r="J235" s="40">
        <f>=F235*2</f>
        <v>428.4</v>
      </c>
      <c r="K235" s="40">
        <f>=H235*2</f>
        <v>476</v>
      </c>
      <c r="L235" s="40">
        <f>=I235*2</f>
        <v>499.8</v>
      </c>
      <c r="M235" s="41" t="s">
        <v>211</v>
      </c>
      <c r="N235" s="41">
        <v>0.2</v>
      </c>
      <c r="O235" s="41" t="s"/>
      <c r="P235" s="41">
        <v>2</v>
      </c>
      <c r="Q235" s="41">
        <v>2</v>
      </c>
      <c r="R235" s="41" t="s">
        <v>16</v>
      </c>
      <c r="S235" s="41" t="s">
        <v>17</v>
      </c>
      <c r="T235" s="41" t="s">
        <v>46</v>
      </c>
      <c r="U235" s="16" t="s">
        <v>13</v>
      </c>
      <c r="V235" s="16" t="s">
        <v>19</v>
      </c>
      <c r="W235" s="29" t="s"/>
      <c r="X235" s="26" t="s">
        <f>=M235&amp;N235&amp;P235&amp;Q235&amp;T235&amp;V235&amp;S235</f>
        <v>289</v>
      </c>
      <c r="Y235" s="19" t="s"/>
      <c r="Z235" s="19" t="s"/>
      <c r="AA235" s="19" t="s"/>
      <c r="AB235" s="19" t="s"/>
    </row>
    <row r="236" spans="1:28" ht="14.4">
      <c r="A236" s="4">
        <f>=H236/G236-1</f>
        <v>0.0982142857142858</v>
      </c>
      <c r="B236" s="20">
        <f>=F236/12</f>
        <v>18.45</v>
      </c>
      <c r="C236" s="20">
        <f>=J236/3</f>
        <v>147.6</v>
      </c>
      <c r="D236" s="20">
        <f>=K236/3</f>
        <v>164</v>
      </c>
      <c r="E236" s="20">
        <f>=L236/3</f>
        <v>172.2</v>
      </c>
      <c r="F236" s="20">
        <f>=H236*0.9</f>
        <v>221.4</v>
      </c>
      <c r="G236" s="21">
        <v>224</v>
      </c>
      <c r="H236" s="39">
        <v>246</v>
      </c>
      <c r="I236" s="40">
        <f>=H236*1.05</f>
        <v>258.3</v>
      </c>
      <c r="J236" s="40">
        <f>=F236*2</f>
        <v>442.8</v>
      </c>
      <c r="K236" s="40">
        <f>=H236*2</f>
        <v>492</v>
      </c>
      <c r="L236" s="40">
        <f>=I236*2</f>
        <v>516.6</v>
      </c>
      <c r="M236" s="41" t="s">
        <v>211</v>
      </c>
      <c r="N236" s="41">
        <v>0.2</v>
      </c>
      <c r="O236" s="41" t="s"/>
      <c r="P236" s="41">
        <v>2</v>
      </c>
      <c r="Q236" s="41">
        <v>2</v>
      </c>
      <c r="R236" s="41" t="s">
        <v>16</v>
      </c>
      <c r="S236" s="41" t="s">
        <v>17</v>
      </c>
      <c r="T236" s="41" t="s">
        <v>276</v>
      </c>
      <c r="U236" s="16" t="s">
        <v>13</v>
      </c>
      <c r="V236" s="16" t="s">
        <v>19</v>
      </c>
      <c r="W236" s="29" t="s"/>
      <c r="X236" s="26" t="s">
        <f>=M236&amp;N236&amp;P236&amp;Q236&amp;T236&amp;V236&amp;S236</f>
        <v>290</v>
      </c>
      <c r="Y236" s="19" t="s"/>
      <c r="Z236" s="19" t="s"/>
      <c r="AA236" s="19" t="s"/>
      <c r="AB236" s="19" t="s"/>
    </row>
    <row r="237" spans="1:28" ht="14.4">
      <c r="A237" s="4">
        <f>=H237/G237-1</f>
        <v>0.0982142857142858</v>
      </c>
      <c r="B237" s="20">
        <f>=F237/12</f>
        <v>18.45</v>
      </c>
      <c r="C237" s="20">
        <f>=J237/3</f>
        <v>147.6</v>
      </c>
      <c r="D237" s="20">
        <f>=K237/3</f>
        <v>164</v>
      </c>
      <c r="E237" s="20">
        <f>=L237/3</f>
        <v>172.2</v>
      </c>
      <c r="F237" s="20">
        <f>=H237*0.9</f>
        <v>221.4</v>
      </c>
      <c r="G237" s="21">
        <v>224</v>
      </c>
      <c r="H237" s="39">
        <v>246</v>
      </c>
      <c r="I237" s="40">
        <f>=H237*1.05</f>
        <v>258.3</v>
      </c>
      <c r="J237" s="40">
        <f>=F237*2</f>
        <v>442.8</v>
      </c>
      <c r="K237" s="40">
        <f>=H237*2</f>
        <v>492</v>
      </c>
      <c r="L237" s="40">
        <f>=I237*2</f>
        <v>516.6</v>
      </c>
      <c r="M237" s="41" t="s">
        <v>211</v>
      </c>
      <c r="N237" s="41">
        <v>0.2</v>
      </c>
      <c r="O237" s="41" t="s"/>
      <c r="P237" s="41">
        <v>2</v>
      </c>
      <c r="Q237" s="41">
        <v>2</v>
      </c>
      <c r="R237" s="41" t="s">
        <v>16</v>
      </c>
      <c r="S237" s="41" t="s">
        <v>17</v>
      </c>
      <c r="T237" s="41" t="s">
        <v>52</v>
      </c>
      <c r="U237" s="16" t="s">
        <v>13</v>
      </c>
      <c r="V237" s="16" t="s">
        <v>19</v>
      </c>
      <c r="W237" s="29" t="s"/>
      <c r="X237" s="26" t="s">
        <f>=M237&amp;N237&amp;P237&amp;Q237&amp;T237&amp;V237&amp;S237</f>
        <v>291</v>
      </c>
      <c r="Y237" s="19" t="s"/>
      <c r="Z237" s="19" t="s"/>
      <c r="AA237" s="19" t="s"/>
      <c r="AB237" s="19" t="s"/>
    </row>
    <row r="238" spans="1:28" ht="14.4">
      <c r="A238" s="4">
        <f>=H238/G238-1</f>
        <v>0.0996015936254979</v>
      </c>
      <c r="B238" s="20">
        <f>=F238/12</f>
        <v>20.7</v>
      </c>
      <c r="C238" s="20">
        <f>=J238/3</f>
        <v>165.6</v>
      </c>
      <c r="D238" s="20">
        <f>=K238/3</f>
        <v>184</v>
      </c>
      <c r="E238" s="20">
        <f>=L238/3</f>
        <v>193.2</v>
      </c>
      <c r="F238" s="20">
        <f>=H238*0.9</f>
        <v>248.4</v>
      </c>
      <c r="G238" s="21">
        <v>251</v>
      </c>
      <c r="H238" s="39">
        <v>276</v>
      </c>
      <c r="I238" s="40">
        <f>=H238*1.05</f>
        <v>289.8</v>
      </c>
      <c r="J238" s="40">
        <f>=F238*2</f>
        <v>496.8</v>
      </c>
      <c r="K238" s="40">
        <f>=H238*2</f>
        <v>552</v>
      </c>
      <c r="L238" s="40">
        <f>=I238*2</f>
        <v>579.6</v>
      </c>
      <c r="M238" s="41" t="s">
        <v>211</v>
      </c>
      <c r="N238" s="41">
        <v>0.2</v>
      </c>
      <c r="O238" s="41" t="s"/>
      <c r="P238" s="41">
        <v>2</v>
      </c>
      <c r="Q238" s="41">
        <v>2</v>
      </c>
      <c r="R238" s="41" t="s">
        <v>16</v>
      </c>
      <c r="S238" s="41" t="s">
        <v>17</v>
      </c>
      <c r="T238" s="41" t="s">
        <v>292</v>
      </c>
      <c r="U238" s="16" t="s">
        <v>13</v>
      </c>
      <c r="V238" s="16" t="s">
        <v>19</v>
      </c>
      <c r="W238" s="29" t="s"/>
      <c r="X238" s="26" t="s">
        <f>=M238&amp;N238&amp;P238&amp;Q238&amp;T238&amp;V238&amp;S238</f>
        <v>293</v>
      </c>
      <c r="Y238" s="19" t="s"/>
      <c r="Z238" s="19" t="s"/>
      <c r="AA238" s="19" t="s"/>
      <c r="AB238" s="19" t="s"/>
    </row>
    <row r="239" spans="1:28" ht="14.4">
      <c r="A239" s="4">
        <f>=H239/G239-1</f>
        <v>0.1</v>
      </c>
      <c r="B239" s="20">
        <f>=F239/12</f>
        <v>21.45</v>
      </c>
      <c r="C239" s="20">
        <f>=J239/3</f>
        <v>171.6</v>
      </c>
      <c r="D239" s="20">
        <f>=K239/3</f>
        <v>190.666666666667</v>
      </c>
      <c r="E239" s="20">
        <f>=L239/3</f>
        <v>200.2</v>
      </c>
      <c r="F239" s="20">
        <f>=H239*0.9</f>
        <v>257.4</v>
      </c>
      <c r="G239" s="21">
        <v>260</v>
      </c>
      <c r="H239" s="39">
        <v>286</v>
      </c>
      <c r="I239" s="40">
        <f>=H239*1.05</f>
        <v>300.3</v>
      </c>
      <c r="J239" s="40">
        <f>=F239*2</f>
        <v>514.8</v>
      </c>
      <c r="K239" s="40">
        <f>=H239*2</f>
        <v>572</v>
      </c>
      <c r="L239" s="40">
        <f>=I239*2</f>
        <v>600.6</v>
      </c>
      <c r="M239" s="41" t="s">
        <v>211</v>
      </c>
      <c r="N239" s="41">
        <v>0.2</v>
      </c>
      <c r="O239" s="41" t="s"/>
      <c r="P239" s="41">
        <v>2</v>
      </c>
      <c r="Q239" s="41">
        <v>2</v>
      </c>
      <c r="R239" s="41" t="s">
        <v>16</v>
      </c>
      <c r="S239" s="41" t="s">
        <v>17</v>
      </c>
      <c r="T239" s="41" t="s">
        <v>294</v>
      </c>
      <c r="U239" s="16" t="s">
        <v>13</v>
      </c>
      <c r="V239" s="16" t="s">
        <v>19</v>
      </c>
      <c r="W239" s="29" t="s"/>
      <c r="X239" s="26" t="s">
        <f>=M239&amp;N239&amp;P239&amp;Q239&amp;T239&amp;V239&amp;S239</f>
        <v>295</v>
      </c>
      <c r="Y239" s="19" t="s"/>
      <c r="Z239" s="19" t="s"/>
      <c r="AA239" s="19" t="s"/>
      <c r="AB239" s="19" t="s"/>
    </row>
    <row r="240" spans="1:28" ht="14.4">
      <c r="A240" s="4">
        <f>=H240/G240-1</f>
        <v>0.098901098901099</v>
      </c>
      <c r="B240" s="20">
        <f>=F240/12</f>
        <v>30</v>
      </c>
      <c r="C240" s="20">
        <f>=J240/3</f>
        <v>240</v>
      </c>
      <c r="D240" s="20">
        <f>=K240/3</f>
        <v>266.666666666667</v>
      </c>
      <c r="E240" s="20">
        <f>=L240/3</f>
        <v>280</v>
      </c>
      <c r="F240" s="20">
        <f>=H240*0.9</f>
        <v>360</v>
      </c>
      <c r="G240" s="21">
        <v>364</v>
      </c>
      <c r="H240" s="39">
        <v>400</v>
      </c>
      <c r="I240" s="40">
        <f>=H240*1.05</f>
        <v>420</v>
      </c>
      <c r="J240" s="40">
        <f>=F240*2</f>
        <v>720</v>
      </c>
      <c r="K240" s="40">
        <f>=H240*2</f>
        <v>800</v>
      </c>
      <c r="L240" s="40">
        <f>=I240*2</f>
        <v>840</v>
      </c>
      <c r="M240" s="41" t="s">
        <v>211</v>
      </c>
      <c r="N240" s="41">
        <v>0.2</v>
      </c>
      <c r="O240" s="41" t="s"/>
      <c r="P240" s="41">
        <v>3</v>
      </c>
      <c r="Q240" s="41">
        <v>3</v>
      </c>
      <c r="R240" s="41" t="s">
        <v>16</v>
      </c>
      <c r="S240" s="41" t="s">
        <v>17</v>
      </c>
      <c r="T240" s="41" t="s">
        <v>52</v>
      </c>
      <c r="U240" s="16" t="s">
        <v>13</v>
      </c>
      <c r="V240" s="16" t="s">
        <v>19</v>
      </c>
      <c r="W240" s="29" t="s"/>
      <c r="X240" s="26" t="s">
        <f>=M240&amp;N240&amp;P240&amp;Q240&amp;T240&amp;V240&amp;S240</f>
        <v>296</v>
      </c>
      <c r="Y240" s="19" t="s"/>
      <c r="Z240" s="19" t="s"/>
      <c r="AA240" s="19" t="s"/>
      <c r="AB240" s="19" t="s"/>
    </row>
    <row r="241" spans="1:28" ht="14.4">
      <c r="A241" s="4">
        <f>=H241/G241-1</f>
        <v>0.0997375328083989</v>
      </c>
      <c r="B241" s="20">
        <f>=F241/12</f>
        <v>31.425</v>
      </c>
      <c r="C241" s="20">
        <f>=J241/3</f>
        <v>251.4</v>
      </c>
      <c r="D241" s="20">
        <f>=K241/3</f>
        <v>279.333333333333</v>
      </c>
      <c r="E241" s="20">
        <f>=L241/3</f>
        <v>293.3</v>
      </c>
      <c r="F241" s="20">
        <f>=H241*0.9</f>
        <v>377.1</v>
      </c>
      <c r="G241" s="21">
        <v>381</v>
      </c>
      <c r="H241" s="39">
        <v>419</v>
      </c>
      <c r="I241" s="40">
        <f>=H241*1.05</f>
        <v>439.95</v>
      </c>
      <c r="J241" s="40">
        <f>=F241*2</f>
        <v>754.2</v>
      </c>
      <c r="K241" s="40">
        <f>=H241*2</f>
        <v>838</v>
      </c>
      <c r="L241" s="40">
        <f>=I241*2</f>
        <v>879.9</v>
      </c>
      <c r="M241" s="41" t="s">
        <v>211</v>
      </c>
      <c r="N241" s="41">
        <v>0.2</v>
      </c>
      <c r="O241" s="41" t="s"/>
      <c r="P241" s="41">
        <v>3</v>
      </c>
      <c r="Q241" s="41">
        <v>3</v>
      </c>
      <c r="R241" s="41" t="s">
        <v>16</v>
      </c>
      <c r="S241" s="41" t="s">
        <v>17</v>
      </c>
      <c r="T241" s="41" t="s">
        <v>48</v>
      </c>
      <c r="U241" s="16" t="s">
        <v>13</v>
      </c>
      <c r="V241" s="16" t="s">
        <v>19</v>
      </c>
      <c r="W241" s="29" t="s"/>
      <c r="X241" s="26" t="s">
        <f>=M241&amp;N241&amp;P241&amp;Q241&amp;T241&amp;V241&amp;S241</f>
        <v>297</v>
      </c>
      <c r="Y241" s="19" t="s"/>
      <c r="Z241" s="19" t="s"/>
      <c r="AA241" s="19" t="s"/>
      <c r="AB241" s="19" t="s"/>
    </row>
    <row r="242" spans="1:28" ht="14.4">
      <c r="A242" s="4">
        <f>=H242/G242-1</f>
        <v>0.0998415213946118</v>
      </c>
      <c r="B242" s="20">
        <f>=F242/12</f>
        <v>52.05</v>
      </c>
      <c r="C242" s="20">
        <f>=J242/3</f>
        <v>416.4</v>
      </c>
      <c r="D242" s="20">
        <f>=K242/3</f>
        <v>462.666666666667</v>
      </c>
      <c r="E242" s="20">
        <f>=L242/3</f>
        <v>485.8</v>
      </c>
      <c r="F242" s="20">
        <f>=H242*0.9</f>
        <v>624.6</v>
      </c>
      <c r="G242" s="21">
        <v>631</v>
      </c>
      <c r="H242" s="39">
        <v>694</v>
      </c>
      <c r="I242" s="40">
        <f>=H242*1.05</f>
        <v>728.7</v>
      </c>
      <c r="J242" s="40">
        <f>=F242*2</f>
        <v>1249.2</v>
      </c>
      <c r="K242" s="40">
        <f>=H242*2</f>
        <v>1388</v>
      </c>
      <c r="L242" s="40">
        <f>=I242*2</f>
        <v>1457.4</v>
      </c>
      <c r="M242" s="41" t="s">
        <v>211</v>
      </c>
      <c r="N242" s="41">
        <v>0.2</v>
      </c>
      <c r="O242" s="41" t="s"/>
      <c r="P242" s="41">
        <v>4</v>
      </c>
      <c r="Q242" s="41">
        <v>4</v>
      </c>
      <c r="R242" s="41" t="s">
        <v>16</v>
      </c>
      <c r="S242" s="41" t="s">
        <v>17</v>
      </c>
      <c r="T242" s="41" t="s">
        <v>48</v>
      </c>
      <c r="U242" s="16" t="s">
        <v>13</v>
      </c>
      <c r="V242" s="16" t="s">
        <v>19</v>
      </c>
      <c r="W242" s="29" t="s"/>
      <c r="X242" s="26" t="s">
        <f>=M242&amp;N242&amp;P242&amp;Q242&amp;T242&amp;V242&amp;S242</f>
        <v>298</v>
      </c>
      <c r="Y242" s="19" t="s"/>
      <c r="Z242" s="19" t="s"/>
      <c r="AA242" s="19" t="s"/>
      <c r="AB242" s="19" t="s"/>
    </row>
    <row r="243" spans="1:28" ht="14.4">
      <c r="A243" s="4">
        <f>=H243/G243-1</f>
        <v>0.104651162790698</v>
      </c>
      <c r="B243" s="20">
        <f>=F243/12</f>
        <v>7.125</v>
      </c>
      <c r="C243" s="20">
        <f>=J243/3</f>
        <v>57</v>
      </c>
      <c r="D243" s="20">
        <f>=K243/3</f>
        <v>63.3333333333333</v>
      </c>
      <c r="E243" s="20">
        <f>=L243/3</f>
        <v>66.5</v>
      </c>
      <c r="F243" s="20">
        <f>=H243*0.9</f>
        <v>85.5</v>
      </c>
      <c r="G243" s="21">
        <v>86</v>
      </c>
      <c r="H243" s="39">
        <v>95</v>
      </c>
      <c r="I243" s="40">
        <f>=H243*1.05</f>
        <v>99.75</v>
      </c>
      <c r="J243" s="40">
        <f>=F243*2</f>
        <v>171</v>
      </c>
      <c r="K243" s="40">
        <f>=H243*2</f>
        <v>190</v>
      </c>
      <c r="L243" s="40">
        <f>=I243*2</f>
        <v>199.5</v>
      </c>
      <c r="M243" s="41" t="s">
        <v>211</v>
      </c>
      <c r="N243" s="41">
        <v>0.2</v>
      </c>
      <c r="O243" s="41" t="s"/>
      <c r="P243" s="41" t="s">
        <v>21</v>
      </c>
      <c r="Q243" s="41" t="s">
        <v>21</v>
      </c>
      <c r="R243" s="41" t="s">
        <v>16</v>
      </c>
      <c r="S243" s="41" t="s">
        <v>17</v>
      </c>
      <c r="T243" s="41" t="s">
        <v>46</v>
      </c>
      <c r="U243" s="16" t="s">
        <v>13</v>
      </c>
      <c r="V243" s="16" t="s">
        <v>19</v>
      </c>
      <c r="W243" s="29" t="s"/>
      <c r="X243" s="26" t="s">
        <f>=M243&amp;N243&amp;P243&amp;Q243&amp;T243&amp;V243&amp;S243</f>
        <v>299</v>
      </c>
      <c r="Y243" s="19" t="s"/>
      <c r="Z243" s="19" t="s"/>
      <c r="AA243" s="19" t="s"/>
      <c r="AB243" s="19" t="s"/>
    </row>
    <row r="244" spans="1:28" ht="14.4">
      <c r="A244" s="4">
        <f>=H244/G244-1</f>
        <v>0.101010101010101</v>
      </c>
      <c r="B244" s="20">
        <f>=F244/12</f>
        <v>8.175</v>
      </c>
      <c r="C244" s="20">
        <f>=J244/3</f>
        <v>65.4</v>
      </c>
      <c r="D244" s="20">
        <f>=K244/3</f>
        <v>72.6666666666667</v>
      </c>
      <c r="E244" s="20">
        <f>=L244/3</f>
        <v>76.3</v>
      </c>
      <c r="F244" s="20">
        <f>=H244*0.9</f>
        <v>98.1</v>
      </c>
      <c r="G244" s="21">
        <v>99</v>
      </c>
      <c r="H244" s="39">
        <v>109</v>
      </c>
      <c r="I244" s="40">
        <f>=H244*1.05</f>
        <v>114.45</v>
      </c>
      <c r="J244" s="40">
        <f>=F244*2</f>
        <v>196.2</v>
      </c>
      <c r="K244" s="40">
        <f>=H244*2</f>
        <v>218</v>
      </c>
      <c r="L244" s="40">
        <f>=I244*2</f>
        <v>228.9</v>
      </c>
      <c r="M244" s="41" t="s">
        <v>211</v>
      </c>
      <c r="N244" s="41">
        <v>0.2</v>
      </c>
      <c r="O244" s="41" t="s"/>
      <c r="P244" s="41" t="s">
        <v>21</v>
      </c>
      <c r="Q244" s="41" t="s">
        <v>21</v>
      </c>
      <c r="R244" s="41" t="s">
        <v>16</v>
      </c>
      <c r="S244" s="41" t="s">
        <v>17</v>
      </c>
      <c r="T244" s="41" t="s">
        <v>52</v>
      </c>
      <c r="U244" s="16" t="s">
        <v>13</v>
      </c>
      <c r="V244" s="16" t="s">
        <v>19</v>
      </c>
      <c r="W244" s="29" t="s"/>
      <c r="X244" s="26" t="s">
        <f>=M244&amp;N244&amp;P244&amp;Q244&amp;T244&amp;V244&amp;S244</f>
        <v>300</v>
      </c>
      <c r="Y244" s="19" t="s"/>
      <c r="Z244" s="19" t="s"/>
      <c r="AA244" s="19" t="s"/>
      <c r="AB244" s="19" t="s"/>
    </row>
    <row r="245" spans="1:28" ht="14.4">
      <c r="A245" s="4">
        <f>=H245/G245-1</f>
        <v>0.101010101010101</v>
      </c>
      <c r="B245" s="20">
        <f>=F245/12</f>
        <v>8.175</v>
      </c>
      <c r="C245" s="20">
        <f>=J245/3</f>
        <v>65.4</v>
      </c>
      <c r="D245" s="20">
        <f>=K245/3</f>
        <v>72.6666666666667</v>
      </c>
      <c r="E245" s="20">
        <f>=L245/3</f>
        <v>76.3</v>
      </c>
      <c r="F245" s="20">
        <f>=H245*0.9</f>
        <v>98.1</v>
      </c>
      <c r="G245" s="21">
        <v>99</v>
      </c>
      <c r="H245" s="39">
        <v>109</v>
      </c>
      <c r="I245" s="40">
        <f>=H245*1.05</f>
        <v>114.45</v>
      </c>
      <c r="J245" s="40">
        <f>=F245*2</f>
        <v>196.2</v>
      </c>
      <c r="K245" s="40">
        <f>=H245*2</f>
        <v>218</v>
      </c>
      <c r="L245" s="40">
        <f>=I245*2</f>
        <v>228.9</v>
      </c>
      <c r="M245" s="41" t="s">
        <v>211</v>
      </c>
      <c r="N245" s="41">
        <v>0.2</v>
      </c>
      <c r="O245" s="41" t="s"/>
      <c r="P245" s="41" t="s">
        <v>21</v>
      </c>
      <c r="Q245" s="41" t="s">
        <v>21</v>
      </c>
      <c r="R245" s="41" t="s">
        <v>16</v>
      </c>
      <c r="S245" s="41" t="s">
        <v>17</v>
      </c>
      <c r="T245" s="41" t="s">
        <v>48</v>
      </c>
      <c r="U245" s="16" t="s">
        <v>13</v>
      </c>
      <c r="V245" s="16" t="s">
        <v>19</v>
      </c>
      <c r="W245" s="29" t="s"/>
      <c r="X245" s="26" t="s">
        <f>=M245&amp;N245&amp;P245&amp;Q245&amp;T245&amp;V245&amp;S245</f>
        <v>301</v>
      </c>
      <c r="Y245" s="19" t="s"/>
      <c r="Z245" s="19" t="s"/>
      <c r="AA245" s="19" t="s"/>
      <c r="AB245" s="19" t="s"/>
    </row>
    <row r="246" spans="1:28" ht="14.4">
      <c r="A246" s="4">
        <f>=H246/G246-1</f>
        <v>0.100961538461539</v>
      </c>
      <c r="B246" s="20">
        <f>=F246/12</f>
        <v>17.175</v>
      </c>
      <c r="C246" s="20">
        <f>=J246/3</f>
        <v>137.4</v>
      </c>
      <c r="D246" s="20">
        <f>=K246/3</f>
        <v>152.666666666667</v>
      </c>
      <c r="E246" s="20">
        <f>=L246/3</f>
        <v>160.3</v>
      </c>
      <c r="F246" s="20">
        <f>=H246*0.9</f>
        <v>206.1</v>
      </c>
      <c r="G246" s="21">
        <v>208</v>
      </c>
      <c r="H246" s="39">
        <v>229</v>
      </c>
      <c r="I246" s="40">
        <f>=H246*1.05</f>
        <v>240.45</v>
      </c>
      <c r="J246" s="40">
        <f>=F246*2</f>
        <v>412.2</v>
      </c>
      <c r="K246" s="40">
        <f>=H246*2</f>
        <v>458</v>
      </c>
      <c r="L246" s="40">
        <f>=I246*2</f>
        <v>480.9</v>
      </c>
      <c r="M246" s="41" t="s">
        <v>211</v>
      </c>
      <c r="N246" s="41">
        <v>0.23</v>
      </c>
      <c r="O246" s="41" t="s"/>
      <c r="P246" s="41">
        <v>1</v>
      </c>
      <c r="Q246" s="41">
        <v>2</v>
      </c>
      <c r="R246" s="41" t="s">
        <v>16</v>
      </c>
      <c r="S246" s="41" t="s">
        <v>17</v>
      </c>
      <c r="T246" s="41" t="s">
        <v>52</v>
      </c>
      <c r="U246" s="16" t="s">
        <v>13</v>
      </c>
      <c r="V246" s="16" t="s">
        <v>19</v>
      </c>
      <c r="W246" s="29" t="s"/>
      <c r="X246" s="26" t="s">
        <f>=M246&amp;N246&amp;P246&amp;Q246&amp;T246&amp;V246&amp;S246</f>
        <v>302</v>
      </c>
      <c r="Y246" s="19" t="s"/>
      <c r="Z246" s="19" t="s"/>
      <c r="AA246" s="19" t="s"/>
      <c r="AB246" s="19" t="s"/>
    </row>
    <row r="247" spans="1:28" ht="14.4">
      <c r="A247" s="4">
        <f>=H247/G247-1</f>
        <v>0.096774193548387</v>
      </c>
      <c r="B247" s="20">
        <f>=F247/12</f>
        <v>10.2</v>
      </c>
      <c r="C247" s="20">
        <f>=J247/3</f>
        <v>81.6</v>
      </c>
      <c r="D247" s="20">
        <f>=K247/3</f>
        <v>90.6666666666667</v>
      </c>
      <c r="E247" s="20">
        <f>=L247/3</f>
        <v>95.2</v>
      </c>
      <c r="F247" s="20">
        <f>=H247*0.9</f>
        <v>122.4</v>
      </c>
      <c r="G247" s="21">
        <v>124</v>
      </c>
      <c r="H247" s="39">
        <v>136</v>
      </c>
      <c r="I247" s="40">
        <f>=H247*1.05</f>
        <v>142.8</v>
      </c>
      <c r="J247" s="40">
        <f>=F247*2</f>
        <v>244.8</v>
      </c>
      <c r="K247" s="40">
        <f>=H247*2</f>
        <v>272</v>
      </c>
      <c r="L247" s="40">
        <f>=I247*2</f>
        <v>285.6</v>
      </c>
      <c r="M247" s="41" t="s">
        <v>211</v>
      </c>
      <c r="N247" s="41">
        <v>0.23</v>
      </c>
      <c r="O247" s="41" t="s"/>
      <c r="P247" s="41">
        <v>1</v>
      </c>
      <c r="Q247" s="41">
        <v>1</v>
      </c>
      <c r="R247" s="41" t="s">
        <v>16</v>
      </c>
      <c r="S247" s="41" t="s">
        <v>17</v>
      </c>
      <c r="T247" s="41" t="s">
        <v>52</v>
      </c>
      <c r="U247" s="16" t="s">
        <v>13</v>
      </c>
      <c r="V247" s="16" t="s">
        <v>19</v>
      </c>
      <c r="W247" s="29" t="s"/>
      <c r="X247" s="26" t="s">
        <f>=M247&amp;N247&amp;P247&amp;Q247&amp;T247&amp;V247&amp;S247</f>
        <v>303</v>
      </c>
      <c r="Y247" s="19" t="s"/>
      <c r="Z247" s="19" t="s"/>
      <c r="AA247" s="19" t="s"/>
      <c r="AB247" s="19" t="s"/>
    </row>
    <row r="248" spans="1:28" ht="14.4">
      <c r="A248" s="4">
        <f>=H248/G248-1</f>
        <v>0.101408450704225</v>
      </c>
      <c r="B248" s="20">
        <f>=F248/12</f>
        <v>29.325</v>
      </c>
      <c r="C248" s="20">
        <f>=J248/3</f>
        <v>234.6</v>
      </c>
      <c r="D248" s="20">
        <f>=K248/3</f>
        <v>260.666666666667</v>
      </c>
      <c r="E248" s="20">
        <f>=L248/3</f>
        <v>273.7</v>
      </c>
      <c r="F248" s="20">
        <f>=H248*0.9</f>
        <v>351.9</v>
      </c>
      <c r="G248" s="21">
        <v>355</v>
      </c>
      <c r="H248" s="39">
        <v>391</v>
      </c>
      <c r="I248" s="40">
        <f>=H248*1.05</f>
        <v>410.55</v>
      </c>
      <c r="J248" s="40">
        <f>=F248*2</f>
        <v>703.8</v>
      </c>
      <c r="K248" s="40">
        <f>=H248*2</f>
        <v>782</v>
      </c>
      <c r="L248" s="40">
        <f>=I248*2</f>
        <v>821.1</v>
      </c>
      <c r="M248" s="41" t="s">
        <v>211</v>
      </c>
      <c r="N248" s="41">
        <v>0.23</v>
      </c>
      <c r="O248" s="41" t="s"/>
      <c r="P248" s="41">
        <v>3</v>
      </c>
      <c r="Q248" s="41">
        <v>3</v>
      </c>
      <c r="R248" s="41" t="s">
        <v>16</v>
      </c>
      <c r="S248" s="41" t="s">
        <v>17</v>
      </c>
      <c r="T248" s="41" t="s">
        <v>52</v>
      </c>
      <c r="U248" s="16" t="s">
        <v>13</v>
      </c>
      <c r="V248" s="16" t="s">
        <v>19</v>
      </c>
      <c r="W248" s="29" t="s"/>
      <c r="X248" s="26" t="s">
        <f>=M248&amp;N248&amp;P248&amp;Q248&amp;T248&amp;V248&amp;S248</f>
        <v>304</v>
      </c>
      <c r="Y248" s="19" t="s"/>
      <c r="Z248" s="19" t="s"/>
      <c r="AA248" s="19" t="s"/>
      <c r="AB248" s="19" t="s"/>
    </row>
    <row r="249" spans="1:28" ht="14.4">
      <c r="A249" s="4">
        <f>=H249/G249-1</f>
        <v>0.0988023952095809</v>
      </c>
      <c r="B249" s="20">
        <f>=F249/12</f>
        <v>27.525</v>
      </c>
      <c r="C249" s="20">
        <f>=J249/3</f>
        <v>220.2</v>
      </c>
      <c r="D249" s="20">
        <f>=K249/3</f>
        <v>244.666666666667</v>
      </c>
      <c r="E249" s="20">
        <f>=L249/3</f>
        <v>256.9</v>
      </c>
      <c r="F249" s="20">
        <f>=H249*0.9</f>
        <v>330.3</v>
      </c>
      <c r="G249" s="21">
        <v>334</v>
      </c>
      <c r="H249" s="39">
        <v>367</v>
      </c>
      <c r="I249" s="40">
        <f>=H249*1.05</f>
        <v>385.35</v>
      </c>
      <c r="J249" s="40">
        <f>=F249*2</f>
        <v>660.6</v>
      </c>
      <c r="K249" s="40">
        <f>=H249*2</f>
        <v>734</v>
      </c>
      <c r="L249" s="40">
        <f>=I249*2</f>
        <v>770.7</v>
      </c>
      <c r="M249" s="41" t="s">
        <v>211</v>
      </c>
      <c r="N249" s="41">
        <v>0.23</v>
      </c>
      <c r="O249" s="41" t="s"/>
      <c r="P249" s="41">
        <v>2</v>
      </c>
      <c r="Q249" s="41">
        <v>2</v>
      </c>
      <c r="R249" s="41" t="s">
        <v>16</v>
      </c>
      <c r="S249" s="41" t="s">
        <v>17</v>
      </c>
      <c r="T249" s="41" t="s">
        <v>292</v>
      </c>
      <c r="U249" s="16" t="s">
        <v>13</v>
      </c>
      <c r="V249" s="16" t="s">
        <v>19</v>
      </c>
      <c r="W249" s="29" t="s"/>
      <c r="X249" s="26" t="s">
        <f>=M249&amp;N249&amp;P249&amp;Q249&amp;T249&amp;V249&amp;S249</f>
        <v>305</v>
      </c>
      <c r="Y249" s="19" t="s"/>
      <c r="Z249" s="19" t="s"/>
      <c r="AA249" s="19" t="s"/>
      <c r="AB249" s="19" t="s"/>
    </row>
    <row r="250" spans="1:28" ht="14.4">
      <c r="A250" s="4">
        <f>=H250/G250-1</f>
        <v>0.102127659574468</v>
      </c>
      <c r="B250" s="20">
        <f>=F250/12</f>
        <v>19.425</v>
      </c>
      <c r="C250" s="20">
        <f>=J250/3</f>
        <v>155.4</v>
      </c>
      <c r="D250" s="20">
        <f>=K250/3</f>
        <v>172.666666666667</v>
      </c>
      <c r="E250" s="20">
        <f>=L250/3</f>
        <v>181.3</v>
      </c>
      <c r="F250" s="20">
        <f>=H250*0.9</f>
        <v>233.1</v>
      </c>
      <c r="G250" s="21">
        <v>235</v>
      </c>
      <c r="H250" s="39">
        <v>259</v>
      </c>
      <c r="I250" s="40">
        <f>=H250*1.05</f>
        <v>271.95</v>
      </c>
      <c r="J250" s="40">
        <f>=F250*2</f>
        <v>466.2</v>
      </c>
      <c r="K250" s="40">
        <f>=H250*2</f>
        <v>518</v>
      </c>
      <c r="L250" s="40">
        <f>=I250*2</f>
        <v>543.9</v>
      </c>
      <c r="M250" s="41" t="s">
        <v>211</v>
      </c>
      <c r="N250" s="41">
        <v>0.23</v>
      </c>
      <c r="O250" s="41" t="s"/>
      <c r="P250" s="41">
        <v>2</v>
      </c>
      <c r="Q250" s="41">
        <v>2</v>
      </c>
      <c r="R250" s="41" t="s">
        <v>16</v>
      </c>
      <c r="S250" s="41" t="s">
        <v>17</v>
      </c>
      <c r="T250" s="41" t="s">
        <v>52</v>
      </c>
      <c r="U250" s="16" t="s">
        <v>13</v>
      </c>
      <c r="V250" s="16" t="s">
        <v>19</v>
      </c>
      <c r="W250" s="29" t="s"/>
      <c r="X250" s="26" t="s">
        <f>=M250&amp;N250&amp;P250&amp;Q250&amp;T250&amp;V250&amp;S250</f>
        <v>306</v>
      </c>
      <c r="Y250" s="19" t="s"/>
      <c r="Z250" s="19" t="s"/>
      <c r="AA250" s="19" t="s"/>
      <c r="AB250" s="19" t="s"/>
    </row>
    <row r="251" spans="1:28" ht="14.4">
      <c r="A251" s="4">
        <f>=H251/G251-1</f>
        <v>0.0998415213946118</v>
      </c>
      <c r="B251" s="20">
        <f>=F251/12</f>
        <v>52.05</v>
      </c>
      <c r="C251" s="20">
        <f>=J251/3</f>
        <v>416.4</v>
      </c>
      <c r="D251" s="20">
        <f>=K251/3</f>
        <v>462.666666666667</v>
      </c>
      <c r="E251" s="20">
        <f>=L251/3</f>
        <v>485.8</v>
      </c>
      <c r="F251" s="20">
        <f>=H251*0.9</f>
        <v>624.6</v>
      </c>
      <c r="G251" s="21">
        <v>631</v>
      </c>
      <c r="H251" s="39">
        <v>694</v>
      </c>
      <c r="I251" s="40">
        <f>=H251*1.05</f>
        <v>728.7</v>
      </c>
      <c r="J251" s="40">
        <f>=F251*2</f>
        <v>1249.2</v>
      </c>
      <c r="K251" s="40">
        <f>=H251*2</f>
        <v>1388</v>
      </c>
      <c r="L251" s="40">
        <f>=I251*2</f>
        <v>1457.4</v>
      </c>
      <c r="M251" s="41" t="s">
        <v>211</v>
      </c>
      <c r="N251" s="41">
        <v>0.23</v>
      </c>
      <c r="O251" s="41" t="s"/>
      <c r="P251" s="41">
        <v>4</v>
      </c>
      <c r="Q251" s="41">
        <v>4</v>
      </c>
      <c r="R251" s="41" t="s">
        <v>16</v>
      </c>
      <c r="S251" s="41" t="s">
        <v>17</v>
      </c>
      <c r="T251" s="41" t="s">
        <v>52</v>
      </c>
      <c r="U251" s="16" t="s">
        <v>13</v>
      </c>
      <c r="V251" s="16" t="s">
        <v>19</v>
      </c>
      <c r="W251" s="29" t="s"/>
      <c r="X251" s="26" t="s">
        <f>=M251&amp;N251&amp;P251&amp;Q251&amp;T251&amp;V251&amp;S251</f>
        <v>307</v>
      </c>
      <c r="Y251" s="19" t="s"/>
      <c r="Z251" s="19" t="s"/>
      <c r="AA251" s="19" t="s"/>
      <c r="AB251" s="19" t="s"/>
    </row>
    <row r="252" spans="1:28" ht="14.4">
      <c r="A252" s="4">
        <f>=H252/G252-1</f>
        <v>0.0957446808510638</v>
      </c>
      <c r="B252" s="20">
        <f>=F252/12</f>
        <v>7.725</v>
      </c>
      <c r="C252" s="20">
        <f>=J252/3</f>
        <v>61.8</v>
      </c>
      <c r="D252" s="20">
        <f>=K252/3</f>
        <v>68.6666666666667</v>
      </c>
      <c r="E252" s="20">
        <f>=L252/3</f>
        <v>72.1</v>
      </c>
      <c r="F252" s="20">
        <f>=H252*0.9</f>
        <v>92.7</v>
      </c>
      <c r="G252" s="21">
        <v>94</v>
      </c>
      <c r="H252" s="39">
        <v>103</v>
      </c>
      <c r="I252" s="40">
        <f>=H252*1.05</f>
        <v>108.15</v>
      </c>
      <c r="J252" s="40">
        <f>=F252*2</f>
        <v>185.4</v>
      </c>
      <c r="K252" s="40">
        <f>=H252*2</f>
        <v>206</v>
      </c>
      <c r="L252" s="40">
        <f>=I252*2</f>
        <v>216.3</v>
      </c>
      <c r="M252" s="41" t="s">
        <v>211</v>
      </c>
      <c r="N252" s="41">
        <v>0.23</v>
      </c>
      <c r="O252" s="41" t="s"/>
      <c r="P252" s="41" t="s">
        <v>21</v>
      </c>
      <c r="Q252" s="41" t="s">
        <v>21</v>
      </c>
      <c r="R252" s="41" t="s">
        <v>16</v>
      </c>
      <c r="S252" s="41" t="s">
        <v>17</v>
      </c>
      <c r="T252" s="41" t="s">
        <v>52</v>
      </c>
      <c r="U252" s="16" t="s">
        <v>13</v>
      </c>
      <c r="V252" s="16" t="s">
        <v>19</v>
      </c>
      <c r="W252" s="29" t="s"/>
      <c r="X252" s="26" t="s">
        <f>=M252&amp;N252&amp;P252&amp;Q252&amp;T252&amp;V252&amp;S252</f>
        <v>308</v>
      </c>
      <c r="Y252" s="19" t="s"/>
      <c r="Z252" s="19" t="s"/>
      <c r="AA252" s="19" t="s"/>
      <c r="AB252" s="19" t="s"/>
    </row>
    <row r="253" spans="1:28" ht="14.4">
      <c r="A253" s="4">
        <f>=H253/G253-1</f>
        <v>0.1</v>
      </c>
      <c r="B253" s="20">
        <f>=F253/12</f>
        <v>10.725</v>
      </c>
      <c r="C253" s="20">
        <f>=J253/3</f>
        <v>85.8</v>
      </c>
      <c r="D253" s="20">
        <f>=K253/3</f>
        <v>95.3333333333333</v>
      </c>
      <c r="E253" s="20">
        <f>=L253/3</f>
        <v>100.1</v>
      </c>
      <c r="F253" s="20">
        <f>=H253*0.9</f>
        <v>128.7</v>
      </c>
      <c r="G253" s="21">
        <v>130</v>
      </c>
      <c r="H253" s="39">
        <v>143</v>
      </c>
      <c r="I253" s="40">
        <f>=H253*1.05</f>
        <v>150.15</v>
      </c>
      <c r="J253" s="40">
        <f>=F253*2</f>
        <v>257.4</v>
      </c>
      <c r="K253" s="40">
        <f>=H253*2</f>
        <v>286</v>
      </c>
      <c r="L253" s="40">
        <f>=I253*2</f>
        <v>300.3</v>
      </c>
      <c r="M253" s="41" t="s">
        <v>211</v>
      </c>
      <c r="N253" s="41">
        <v>0.25</v>
      </c>
      <c r="O253" s="41" t="s"/>
      <c r="P253" s="41">
        <v>1</v>
      </c>
      <c r="Q253" s="41">
        <v>1</v>
      </c>
      <c r="R253" s="41" t="s">
        <v>16</v>
      </c>
      <c r="S253" s="41" t="s">
        <v>17</v>
      </c>
      <c r="T253" s="41" t="s">
        <v>52</v>
      </c>
      <c r="U253" s="16" t="s">
        <v>13</v>
      </c>
      <c r="V253" s="16" t="s">
        <v>19</v>
      </c>
      <c r="W253" s="29" t="s"/>
      <c r="X253" s="26" t="s">
        <f>=M253&amp;N253&amp;P253&amp;Q253&amp;T253&amp;V253&amp;S253</f>
        <v>309</v>
      </c>
      <c r="Y253" s="19" t="s"/>
      <c r="Z253" s="19" t="s"/>
      <c r="AA253" s="19" t="s"/>
      <c r="AB253" s="19" t="s"/>
    </row>
    <row r="254" spans="1:28" ht="14.4">
      <c r="A254" s="4">
        <f>=H254/G254-1</f>
        <v>0.0995670995670997</v>
      </c>
      <c r="B254" s="20">
        <f>=F254/12</f>
        <v>19.05</v>
      </c>
      <c r="C254" s="20">
        <f>=J254/3</f>
        <v>152.4</v>
      </c>
      <c r="D254" s="20">
        <f>=K254/3</f>
        <v>169.333333333333</v>
      </c>
      <c r="E254" s="20">
        <f>=L254/3</f>
        <v>177.8</v>
      </c>
      <c r="F254" s="20">
        <f>=H254*0.9</f>
        <v>228.6</v>
      </c>
      <c r="G254" s="21">
        <v>231</v>
      </c>
      <c r="H254" s="39">
        <v>254</v>
      </c>
      <c r="I254" s="40">
        <f>=H254*1.05</f>
        <v>266.7</v>
      </c>
      <c r="J254" s="40">
        <f>=F254*2</f>
        <v>457.2</v>
      </c>
      <c r="K254" s="40">
        <f>=H254*2</f>
        <v>508</v>
      </c>
      <c r="L254" s="40">
        <f>=I254*2</f>
        <v>533.4</v>
      </c>
      <c r="M254" s="41" t="s">
        <v>211</v>
      </c>
      <c r="N254" s="41">
        <v>0.25</v>
      </c>
      <c r="O254" s="41" t="s"/>
      <c r="P254" s="41">
        <v>2</v>
      </c>
      <c r="Q254" s="41">
        <v>2</v>
      </c>
      <c r="R254" s="41" t="s">
        <v>16</v>
      </c>
      <c r="S254" s="41" t="s">
        <v>17</v>
      </c>
      <c r="T254" s="41" t="s">
        <v>52</v>
      </c>
      <c r="U254" s="16" t="s">
        <v>13</v>
      </c>
      <c r="V254" s="16" t="s">
        <v>19</v>
      </c>
      <c r="W254" s="29" t="s"/>
      <c r="X254" s="26" t="s">
        <f>=M254&amp;N254&amp;P254&amp;Q254&amp;T254&amp;V254&amp;S254</f>
        <v>310</v>
      </c>
      <c r="Y254" s="19" t="s"/>
      <c r="Z254" s="19" t="s"/>
      <c r="AA254" s="19" t="s"/>
      <c r="AB254" s="19" t="s"/>
    </row>
    <row r="255" spans="1:29" ht="14.4">
      <c r="A255" s="49">
        <v>46175</v>
      </c>
      <c r="B255" s="43">
        <f>=F255/12</f>
        <v>27.75</v>
      </c>
      <c r="C255" s="43">
        <f>=J255/3</f>
        <v>222</v>
      </c>
      <c r="D255" s="43">
        <f>=K255/3</f>
        <v>246.666666666667</v>
      </c>
      <c r="E255" s="43">
        <f>=L255/3</f>
        <v>259</v>
      </c>
      <c r="F255" s="43">
        <f>=H255*0.9</f>
        <v>333</v>
      </c>
      <c r="G255" s="27">
        <v>231</v>
      </c>
      <c r="H255" s="44">
        <v>370</v>
      </c>
      <c r="I255" s="45">
        <f>=H255*1.05</f>
        <v>388.5</v>
      </c>
      <c r="J255" s="45">
        <f>=F255*2</f>
        <v>666</v>
      </c>
      <c r="K255" s="45">
        <f>=H255*2</f>
        <v>740</v>
      </c>
      <c r="L255" s="45">
        <f>=I255*2</f>
        <v>777</v>
      </c>
      <c r="M255" s="46" t="s">
        <v>211</v>
      </c>
      <c r="N255" s="46">
        <v>0.25</v>
      </c>
      <c r="O255" s="46" t="s"/>
      <c r="P255" s="12">
        <v>3</v>
      </c>
      <c r="Q255" s="12">
        <v>3</v>
      </c>
      <c r="R255" s="46" t="s">
        <v>16</v>
      </c>
      <c r="S255" s="46" t="s">
        <v>17</v>
      </c>
      <c r="T255" s="46" t="s">
        <v>52</v>
      </c>
      <c r="U255" s="13" t="s">
        <v>13</v>
      </c>
      <c r="V255" s="13" t="s">
        <v>19</v>
      </c>
      <c r="W255" s="50" t="s"/>
      <c r="X255" s="18" t="s">
        <f>=M255&amp;N255&amp;P255&amp;Q255&amp;T255&amp;V255&amp;S255</f>
        <v>311</v>
      </c>
      <c r="Y255" s="15" t="s"/>
      <c r="Z255" s="15" t="s"/>
      <c r="AA255" s="15" t="s"/>
      <c r="AB255" s="15" t="s"/>
      <c r="AC255" s="48" t="s"/>
    </row>
    <row r="256" spans="1:28" ht="14.4">
      <c r="A256" s="4">
        <f>=H256/G256-1</f>
        <v>0.096774193548387</v>
      </c>
      <c r="B256" s="20">
        <f>=F256/12</f>
        <v>7.65</v>
      </c>
      <c r="C256" s="20">
        <f>=J256/3</f>
        <v>61.2</v>
      </c>
      <c r="D256" s="20">
        <f>=K256/3</f>
        <v>68</v>
      </c>
      <c r="E256" s="20">
        <f>=L256/3</f>
        <v>71.4</v>
      </c>
      <c r="F256" s="20">
        <f>=H256*0.9</f>
        <v>91.8</v>
      </c>
      <c r="G256" s="21">
        <v>93</v>
      </c>
      <c r="H256" s="39">
        <v>102</v>
      </c>
      <c r="I256" s="40">
        <f>=H256*1.05</f>
        <v>107.1</v>
      </c>
      <c r="J256" s="40">
        <f>=F256*2</f>
        <v>183.6</v>
      </c>
      <c r="K256" s="40">
        <f>=H256*2</f>
        <v>204</v>
      </c>
      <c r="L256" s="40">
        <f>=I256*2</f>
        <v>214.2</v>
      </c>
      <c r="M256" s="41" t="s">
        <v>211</v>
      </c>
      <c r="N256" s="41">
        <v>0.25</v>
      </c>
      <c r="O256" s="41" t="s"/>
      <c r="P256" s="41" t="s">
        <v>21</v>
      </c>
      <c r="Q256" s="41" t="s">
        <v>21</v>
      </c>
      <c r="R256" s="41" t="s">
        <v>16</v>
      </c>
      <c r="S256" s="41" t="s">
        <v>17</v>
      </c>
      <c r="T256" s="41" t="s">
        <v>52</v>
      </c>
      <c r="U256" s="16" t="s">
        <v>13</v>
      </c>
      <c r="V256" s="16" t="s">
        <v>19</v>
      </c>
      <c r="W256" s="29" t="s"/>
      <c r="X256" s="26" t="s">
        <f>=M256&amp;N256&amp;P256&amp;Q256&amp;T256&amp;V256&amp;S256</f>
        <v>312</v>
      </c>
      <c r="Y256" s="19" t="s"/>
      <c r="Z256" s="19" t="s"/>
      <c r="AA256" s="19" t="s"/>
      <c r="AB256" s="19" t="s"/>
    </row>
    <row r="257" spans="1:28" ht="14.4">
      <c r="A257" s="4">
        <f>=H257/G257-1</f>
        <v>0.1</v>
      </c>
      <c r="B257" s="20">
        <f>=F257/12</f>
        <v>10.725</v>
      </c>
      <c r="C257" s="20">
        <f>=J257/3</f>
        <v>85.8</v>
      </c>
      <c r="D257" s="20">
        <f>=K257/3</f>
        <v>95.3333333333333</v>
      </c>
      <c r="E257" s="20">
        <f>=L257/3</f>
        <v>100.1</v>
      </c>
      <c r="F257" s="20">
        <f>=H257*0.9</f>
        <v>128.7</v>
      </c>
      <c r="G257" s="21">
        <v>130</v>
      </c>
      <c r="H257" s="39">
        <v>143</v>
      </c>
      <c r="I257" s="40">
        <f>=H257*1.05</f>
        <v>150.15</v>
      </c>
      <c r="J257" s="40">
        <f>=F257*2</f>
        <v>257.4</v>
      </c>
      <c r="K257" s="40">
        <f>=H257*2</f>
        <v>286</v>
      </c>
      <c r="L257" s="40">
        <f>=I257*2</f>
        <v>300.3</v>
      </c>
      <c r="M257" s="41" t="s">
        <v>211</v>
      </c>
      <c r="N257" s="41">
        <v>0.26</v>
      </c>
      <c r="O257" s="41" t="s"/>
      <c r="P257" s="41">
        <v>1</v>
      </c>
      <c r="Q257" s="41">
        <v>1</v>
      </c>
      <c r="R257" s="41" t="s">
        <v>16</v>
      </c>
      <c r="S257" s="41" t="s">
        <v>17</v>
      </c>
      <c r="T257" s="41" t="s">
        <v>52</v>
      </c>
      <c r="U257" s="16" t="s">
        <v>13</v>
      </c>
      <c r="V257" s="16" t="s">
        <v>19</v>
      </c>
      <c r="W257" s="29" t="s"/>
      <c r="X257" s="26" t="s">
        <f>=M257&amp;N257&amp;P257&amp;Q257&amp;T257&amp;V257&amp;S257</f>
        <v>313</v>
      </c>
      <c r="Y257" s="19" t="s"/>
      <c r="Z257" s="19" t="s"/>
      <c r="AA257" s="19" t="s"/>
      <c r="AB257" s="19" t="s"/>
    </row>
    <row r="258" spans="1:28" ht="14.4">
      <c r="A258" s="4">
        <f>=H258/G258-1</f>
        <v>0.1</v>
      </c>
      <c r="B258" s="20">
        <f>=F258/12</f>
        <v>16.5</v>
      </c>
      <c r="C258" s="20">
        <f>=J258/3</f>
        <v>132</v>
      </c>
      <c r="D258" s="20">
        <f>=K258/3</f>
        <v>146.666666666667</v>
      </c>
      <c r="E258" s="20">
        <f>=L258/3</f>
        <v>154</v>
      </c>
      <c r="F258" s="20">
        <f>=H258*0.9</f>
        <v>198</v>
      </c>
      <c r="G258" s="21">
        <v>200</v>
      </c>
      <c r="H258" s="39">
        <v>220</v>
      </c>
      <c r="I258" s="40">
        <f>=H258*1.05</f>
        <v>231</v>
      </c>
      <c r="J258" s="40">
        <f>=F258*2</f>
        <v>396</v>
      </c>
      <c r="K258" s="40">
        <f>=H258*2</f>
        <v>440</v>
      </c>
      <c r="L258" s="40">
        <f>=I258*2</f>
        <v>462</v>
      </c>
      <c r="M258" s="41" t="s">
        <v>211</v>
      </c>
      <c r="N258" s="41">
        <v>0.26</v>
      </c>
      <c r="O258" s="41" t="s"/>
      <c r="P258" s="41">
        <v>1</v>
      </c>
      <c r="Q258" s="41">
        <v>2</v>
      </c>
      <c r="R258" s="41" t="s">
        <v>16</v>
      </c>
      <c r="S258" s="41" t="s">
        <v>17</v>
      </c>
      <c r="T258" s="41" t="s">
        <v>52</v>
      </c>
      <c r="U258" s="16" t="s">
        <v>13</v>
      </c>
      <c r="V258" s="16" t="s">
        <v>19</v>
      </c>
      <c r="W258" s="29" t="s"/>
      <c r="X258" s="26" t="s">
        <f>=M258&amp;N258&amp;P258&amp;Q258&amp;T258&amp;V258&amp;S258</f>
        <v>314</v>
      </c>
      <c r="Y258" s="19" t="s"/>
      <c r="Z258" s="19" t="s"/>
      <c r="AA258" s="19" t="s"/>
      <c r="AB258" s="19" t="s"/>
    </row>
    <row r="259" spans="1:28" ht="14.4">
      <c r="A259" s="4">
        <f>=H259/G259-1</f>
        <v>0.100877192982456</v>
      </c>
      <c r="B259" s="20">
        <f>=F259/12</f>
        <v>18.825</v>
      </c>
      <c r="C259" s="20">
        <f>=J259/3</f>
        <v>150.6</v>
      </c>
      <c r="D259" s="20">
        <f>=K259/3</f>
        <v>167.333333333333</v>
      </c>
      <c r="E259" s="20">
        <f>=L259/3</f>
        <v>175.7</v>
      </c>
      <c r="F259" s="20">
        <f>=H259*0.9</f>
        <v>225.9</v>
      </c>
      <c r="G259" s="21">
        <v>228</v>
      </c>
      <c r="H259" s="39">
        <v>251</v>
      </c>
      <c r="I259" s="40">
        <f>=H259*1.05</f>
        <v>263.55</v>
      </c>
      <c r="J259" s="40">
        <f>=F259*2</f>
        <v>451.8</v>
      </c>
      <c r="K259" s="40">
        <f>=H259*2</f>
        <v>502</v>
      </c>
      <c r="L259" s="40">
        <f>=I259*2</f>
        <v>527.1</v>
      </c>
      <c r="M259" s="41" t="s">
        <v>211</v>
      </c>
      <c r="N259" s="41">
        <v>0.26</v>
      </c>
      <c r="O259" s="41" t="s"/>
      <c r="P259" s="41">
        <v>2</v>
      </c>
      <c r="Q259" s="41">
        <v>2</v>
      </c>
      <c r="R259" s="41" t="s">
        <v>16</v>
      </c>
      <c r="S259" s="41" t="s">
        <v>17</v>
      </c>
      <c r="T259" s="41" t="s">
        <v>52</v>
      </c>
      <c r="U259" s="16" t="s">
        <v>13</v>
      </c>
      <c r="V259" s="16" t="s">
        <v>19</v>
      </c>
      <c r="W259" s="29" t="s"/>
      <c r="X259" s="26" t="s">
        <f>=M259&amp;N259&amp;P259&amp;Q259&amp;T259&amp;V259&amp;S259</f>
        <v>315</v>
      </c>
      <c r="Y259" s="19" t="s"/>
      <c r="Z259" s="19" t="s"/>
      <c r="AA259" s="19" t="s"/>
      <c r="AB259" s="19" t="s"/>
    </row>
    <row r="260" spans="1:28" ht="14.4">
      <c r="A260" s="4">
        <f>=H260/G260-1</f>
        <v>0.104166666666667</v>
      </c>
      <c r="B260" s="20">
        <f>=F260/12</f>
        <v>7.95</v>
      </c>
      <c r="C260" s="20">
        <f>=J260/3</f>
        <v>63.6</v>
      </c>
      <c r="D260" s="20">
        <f>=K260/3</f>
        <v>70.6666666666667</v>
      </c>
      <c r="E260" s="20">
        <f>=L260/3</f>
        <v>74.2</v>
      </c>
      <c r="F260" s="20">
        <f>=H260*0.9</f>
        <v>95.4</v>
      </c>
      <c r="G260" s="21">
        <v>96</v>
      </c>
      <c r="H260" s="39">
        <v>106</v>
      </c>
      <c r="I260" s="40">
        <f>=H260*1.05</f>
        <v>111.3</v>
      </c>
      <c r="J260" s="40">
        <f>=F260*2</f>
        <v>190.8</v>
      </c>
      <c r="K260" s="40">
        <f>=H260*2</f>
        <v>212</v>
      </c>
      <c r="L260" s="40">
        <f>=I260*2</f>
        <v>222.6</v>
      </c>
      <c r="M260" s="41" t="s">
        <v>211</v>
      </c>
      <c r="N260" s="41">
        <v>0.26</v>
      </c>
      <c r="O260" s="41" t="s"/>
      <c r="P260" s="41" t="s">
        <v>21</v>
      </c>
      <c r="Q260" s="41" t="s">
        <v>21</v>
      </c>
      <c r="R260" s="41" t="s">
        <v>16</v>
      </c>
      <c r="S260" s="41" t="s">
        <v>17</v>
      </c>
      <c r="T260" s="41" t="s">
        <v>52</v>
      </c>
      <c r="U260" s="16" t="s">
        <v>13</v>
      </c>
      <c r="V260" s="16" t="s">
        <v>19</v>
      </c>
      <c r="W260" s="29" t="s"/>
      <c r="X260" s="26" t="s">
        <f>=M260&amp;N260&amp;P260&amp;Q260&amp;T260&amp;V260&amp;S260</f>
        <v>316</v>
      </c>
      <c r="Y260" s="19" t="s"/>
      <c r="Z260" s="19" t="s"/>
      <c r="AA260" s="19" t="s"/>
      <c r="AB260" s="19" t="s"/>
    </row>
    <row r="261" spans="1:28" ht="14.4">
      <c r="A261" s="4">
        <f>=H261/G261-1</f>
        <v>0.0970149253731343</v>
      </c>
      <c r="B261" s="20">
        <f>=F261/12</f>
        <v>11.025</v>
      </c>
      <c r="C261" s="20">
        <f>=J261/3</f>
        <v>88.2</v>
      </c>
      <c r="D261" s="20">
        <f>=K261/3</f>
        <v>98</v>
      </c>
      <c r="E261" s="20">
        <f>=L261/3</f>
        <v>102.9</v>
      </c>
      <c r="F261" s="20">
        <f>=H261*0.9</f>
        <v>132.3</v>
      </c>
      <c r="G261" s="21">
        <v>134</v>
      </c>
      <c r="H261" s="39">
        <v>147</v>
      </c>
      <c r="I261" s="40">
        <f>=H261*1.05</f>
        <v>154.35</v>
      </c>
      <c r="J261" s="40">
        <f>=F261*2</f>
        <v>264.6</v>
      </c>
      <c r="K261" s="40">
        <f>=H261*2</f>
        <v>294</v>
      </c>
      <c r="L261" s="40">
        <f>=I261*2</f>
        <v>308.7</v>
      </c>
      <c r="M261" s="41" t="s">
        <v>211</v>
      </c>
      <c r="N261" s="41">
        <v>0.28</v>
      </c>
      <c r="O261" s="41" t="s"/>
      <c r="P261" s="41">
        <v>1</v>
      </c>
      <c r="Q261" s="41">
        <v>1</v>
      </c>
      <c r="R261" s="41" t="s">
        <v>16</v>
      </c>
      <c r="S261" s="41" t="s">
        <v>17</v>
      </c>
      <c r="T261" s="41" t="s">
        <v>63</v>
      </c>
      <c r="U261" s="16" t="s">
        <v>13</v>
      </c>
      <c r="V261" s="16" t="s">
        <v>19</v>
      </c>
      <c r="W261" s="29" t="s"/>
      <c r="X261" s="26" t="s">
        <f>=M261&amp;N261&amp;P261&amp;Q261&amp;T261&amp;V261&amp;S261</f>
        <v>317</v>
      </c>
      <c r="Y261" s="19" t="s"/>
      <c r="Z261" s="19" t="s"/>
      <c r="AA261" s="19" t="s"/>
      <c r="AB261" s="19" t="s"/>
    </row>
    <row r="262" spans="1:28" ht="14.4">
      <c r="A262" s="4">
        <f>=H262/G262-1</f>
        <v>0.102222222222222</v>
      </c>
      <c r="B262" s="20">
        <f>=F262/12</f>
        <v>18.6</v>
      </c>
      <c r="C262" s="20">
        <f>=J262/3</f>
        <v>148.8</v>
      </c>
      <c r="D262" s="20">
        <f>=K262/3</f>
        <v>165.333333333333</v>
      </c>
      <c r="E262" s="20">
        <f>=L262/3</f>
        <v>173.6</v>
      </c>
      <c r="F262" s="20">
        <f>=H262*0.9</f>
        <v>223.2</v>
      </c>
      <c r="G262" s="21">
        <v>225</v>
      </c>
      <c r="H262" s="39">
        <v>248</v>
      </c>
      <c r="I262" s="40">
        <f>=H262*1.05</f>
        <v>260.4</v>
      </c>
      <c r="J262" s="40">
        <f>=F262*2</f>
        <v>446.4</v>
      </c>
      <c r="K262" s="40">
        <f>=H262*2</f>
        <v>496</v>
      </c>
      <c r="L262" s="40">
        <f>=I262*2</f>
        <v>520.8</v>
      </c>
      <c r="M262" s="41" t="s">
        <v>211</v>
      </c>
      <c r="N262" s="41">
        <v>0.28</v>
      </c>
      <c r="O262" s="41" t="s"/>
      <c r="P262" s="41">
        <v>2</v>
      </c>
      <c r="Q262" s="41">
        <v>2</v>
      </c>
      <c r="R262" s="41" t="s">
        <v>16</v>
      </c>
      <c r="S262" s="41" t="s">
        <v>17</v>
      </c>
      <c r="T262" s="41" t="s">
        <v>52</v>
      </c>
      <c r="U262" s="16" t="s">
        <v>13</v>
      </c>
      <c r="V262" s="16" t="s">
        <v>19</v>
      </c>
      <c r="W262" s="29" t="s"/>
      <c r="X262" s="26" t="s">
        <f>=M262&amp;N262&amp;P262&amp;Q262&amp;T262&amp;V262&amp;S262</f>
        <v>318</v>
      </c>
      <c r="Y262" s="19" t="s"/>
      <c r="Z262" s="19" t="s"/>
      <c r="AA262" s="19" t="s"/>
      <c r="AB262" s="19" t="s"/>
    </row>
    <row r="263" spans="1:28" ht="14.4">
      <c r="A263" s="4">
        <f>=H263/G263-1</f>
        <v>0.101321585903084</v>
      </c>
      <c r="B263" s="20">
        <f>=F263/12</f>
        <v>18.75</v>
      </c>
      <c r="C263" s="20">
        <f>=J263/3</f>
        <v>150</v>
      </c>
      <c r="D263" s="20">
        <f>=K263/3</f>
        <v>166.666666666667</v>
      </c>
      <c r="E263" s="20">
        <f>=L263/3</f>
        <v>175</v>
      </c>
      <c r="F263" s="20">
        <f>=H263*0.9</f>
        <v>225</v>
      </c>
      <c r="G263" s="21">
        <v>227</v>
      </c>
      <c r="H263" s="39">
        <v>250</v>
      </c>
      <c r="I263" s="40">
        <f>=H263*1.05</f>
        <v>262.5</v>
      </c>
      <c r="J263" s="40">
        <f>=F263*2</f>
        <v>450</v>
      </c>
      <c r="K263" s="40">
        <f>=H263*2</f>
        <v>500</v>
      </c>
      <c r="L263" s="40">
        <f>=I263*2</f>
        <v>525</v>
      </c>
      <c r="M263" s="41" t="s">
        <v>211</v>
      </c>
      <c r="N263" s="41">
        <v>0.29</v>
      </c>
      <c r="O263" s="41" t="s"/>
      <c r="P263" s="41">
        <v>2</v>
      </c>
      <c r="Q263" s="41">
        <v>2</v>
      </c>
      <c r="R263" s="41" t="s">
        <v>16</v>
      </c>
      <c r="S263" s="41" t="s">
        <v>17</v>
      </c>
      <c r="T263" s="41" t="s">
        <v>67</v>
      </c>
      <c r="U263" s="16" t="s">
        <v>13</v>
      </c>
      <c r="V263" s="16" t="s">
        <v>19</v>
      </c>
      <c r="W263" s="29" t="s"/>
      <c r="X263" s="26" t="s">
        <f>=M263&amp;N263&amp;P263&amp;Q263&amp;T263&amp;V263&amp;S263</f>
        <v>319</v>
      </c>
      <c r="Y263" s="19" t="s"/>
      <c r="Z263" s="19" t="s"/>
      <c r="AA263" s="19" t="s"/>
      <c r="AB263" s="19" t="s"/>
    </row>
    <row r="264" spans="1:28" ht="14.4">
      <c r="A264" s="4">
        <f>=H264/G264-1</f>
        <v>0.100436681222707</v>
      </c>
      <c r="B264" s="20">
        <f>=F264/12</f>
        <v>18.9</v>
      </c>
      <c r="C264" s="20">
        <f>=J264/3</f>
        <v>151.2</v>
      </c>
      <c r="D264" s="20">
        <f>=K264/3</f>
        <v>168</v>
      </c>
      <c r="E264" s="20">
        <f>=L264/3</f>
        <v>176.4</v>
      </c>
      <c r="F264" s="20">
        <f>=H264*0.9</f>
        <v>226.8</v>
      </c>
      <c r="G264" s="21">
        <v>229</v>
      </c>
      <c r="H264" s="39">
        <v>252</v>
      </c>
      <c r="I264" s="40">
        <f>=H264*1.05</f>
        <v>264.6</v>
      </c>
      <c r="J264" s="40">
        <f>=F264*2</f>
        <v>453.6</v>
      </c>
      <c r="K264" s="40">
        <f>=H264*2</f>
        <v>504</v>
      </c>
      <c r="L264" s="40">
        <f>=I264*2</f>
        <v>529.2</v>
      </c>
      <c r="M264" s="41" t="s">
        <v>211</v>
      </c>
      <c r="N264" s="41">
        <v>0.29</v>
      </c>
      <c r="O264" s="41" t="s"/>
      <c r="P264" s="41">
        <v>2</v>
      </c>
      <c r="Q264" s="41">
        <v>2</v>
      </c>
      <c r="R264" s="41" t="s">
        <v>16</v>
      </c>
      <c r="S264" s="41" t="s">
        <v>17</v>
      </c>
      <c r="T264" s="41" t="s">
        <v>320</v>
      </c>
      <c r="U264" s="16" t="s">
        <v>13</v>
      </c>
      <c r="V264" s="16" t="s">
        <v>19</v>
      </c>
      <c r="W264" s="29" t="s"/>
      <c r="X264" s="26" t="s">
        <f>=M264&amp;N264&amp;P264&amp;Q264&amp;T264&amp;V264&amp;S264</f>
        <v>321</v>
      </c>
      <c r="Y264" s="19" t="s"/>
      <c r="Z264" s="19" t="s"/>
      <c r="AA264" s="19" t="s"/>
      <c r="AB264" s="19" t="s"/>
    </row>
    <row r="265" spans="1:28" ht="14.4">
      <c r="A265" s="4">
        <f>=H265/G265-1</f>
        <v>0.0992366412213741</v>
      </c>
      <c r="B265" s="20">
        <f>=F265/12</f>
        <v>10.8</v>
      </c>
      <c r="C265" s="20">
        <f>=J265/3</f>
        <v>86.4</v>
      </c>
      <c r="D265" s="20">
        <f>=K265/3</f>
        <v>96</v>
      </c>
      <c r="E265" s="20">
        <f>=L265/3</f>
        <v>100.8</v>
      </c>
      <c r="F265" s="20">
        <f>=H265*0.9</f>
        <v>129.6</v>
      </c>
      <c r="G265" s="21">
        <v>131</v>
      </c>
      <c r="H265" s="39">
        <v>144</v>
      </c>
      <c r="I265" s="40">
        <f>=H265*1.05</f>
        <v>151.2</v>
      </c>
      <c r="J265" s="40">
        <f>=F265*2</f>
        <v>259.2</v>
      </c>
      <c r="K265" s="40">
        <f>=H265*2</f>
        <v>288</v>
      </c>
      <c r="L265" s="40">
        <f>=I265*2</f>
        <v>302.4</v>
      </c>
      <c r="M265" s="41" t="s">
        <v>211</v>
      </c>
      <c r="N265" s="41">
        <v>0.3</v>
      </c>
      <c r="O265" s="41" t="s"/>
      <c r="P265" s="41">
        <v>1</v>
      </c>
      <c r="Q265" s="41">
        <v>1</v>
      </c>
      <c r="R265" s="41" t="s">
        <v>16</v>
      </c>
      <c r="S265" s="41" t="s">
        <v>17</v>
      </c>
      <c r="T265" s="41" t="s">
        <v>67</v>
      </c>
      <c r="U265" s="16" t="s">
        <v>13</v>
      </c>
      <c r="V265" s="16" t="s">
        <v>19</v>
      </c>
      <c r="W265" s="29" t="s"/>
      <c r="X265" s="26" t="s">
        <f>=M265&amp;N265&amp;P265&amp;Q265&amp;T265&amp;V265&amp;S265</f>
        <v>322</v>
      </c>
      <c r="Y265" s="19" t="s"/>
      <c r="Z265" s="19" t="s"/>
      <c r="AA265" s="19" t="s"/>
      <c r="AB265" s="19" t="s"/>
    </row>
    <row r="266" spans="1:28" ht="14.4">
      <c r="A266" s="4">
        <f>=H266/G266-1</f>
        <v>0.0979020979020979</v>
      </c>
      <c r="B266" s="20">
        <f>=F266/12</f>
        <v>11.775</v>
      </c>
      <c r="C266" s="20">
        <f>=J266/3</f>
        <v>94.2</v>
      </c>
      <c r="D266" s="20">
        <f>=K266/3</f>
        <v>104.666666666667</v>
      </c>
      <c r="E266" s="20">
        <f>=L266/3</f>
        <v>109.9</v>
      </c>
      <c r="F266" s="20">
        <f>=H266*0.9</f>
        <v>141.3</v>
      </c>
      <c r="G266" s="21">
        <v>143</v>
      </c>
      <c r="H266" s="39">
        <v>157</v>
      </c>
      <c r="I266" s="40">
        <f>=H266*1.05</f>
        <v>164.85</v>
      </c>
      <c r="J266" s="40">
        <f>=F266*2</f>
        <v>282.6</v>
      </c>
      <c r="K266" s="40">
        <f>=H266*2</f>
        <v>314</v>
      </c>
      <c r="L266" s="40">
        <f>=I266*2</f>
        <v>329.7</v>
      </c>
      <c r="M266" s="41" t="s">
        <v>211</v>
      </c>
      <c r="N266" s="41">
        <v>0.3</v>
      </c>
      <c r="O266" s="41" t="s"/>
      <c r="P266" s="41">
        <v>1</v>
      </c>
      <c r="Q266" s="41">
        <v>1</v>
      </c>
      <c r="R266" s="41" t="s">
        <v>16</v>
      </c>
      <c r="S266" s="41" t="s">
        <v>17</v>
      </c>
      <c r="T266" s="41" t="s">
        <v>323</v>
      </c>
      <c r="U266" s="16" t="s">
        <v>13</v>
      </c>
      <c r="V266" s="16" t="s">
        <v>19</v>
      </c>
      <c r="W266" s="29" t="s"/>
      <c r="X266" s="26" t="s">
        <f>=M266&amp;N266&amp;P266&amp;Q266&amp;T266&amp;V266&amp;S266</f>
        <v>324</v>
      </c>
      <c r="Y266" s="19" t="s"/>
      <c r="Z266" s="19" t="s"/>
      <c r="AA266" s="19" t="s"/>
      <c r="AB266" s="19" t="s"/>
    </row>
    <row r="267" spans="1:29" ht="14.4">
      <c r="A267" s="42">
        <f>=H267/G267-1</f>
        <v>0.489082969432315</v>
      </c>
      <c r="B267" s="43">
        <f>=F267/12</f>
        <v>25.575</v>
      </c>
      <c r="C267" s="43">
        <f>=J267/3</f>
        <v>204.6</v>
      </c>
      <c r="D267" s="43">
        <f>=K267/3</f>
        <v>227.333333333333</v>
      </c>
      <c r="E267" s="43">
        <f>=L267/3</f>
        <v>238.7</v>
      </c>
      <c r="F267" s="43">
        <f>=H267*0.9</f>
        <v>306.9</v>
      </c>
      <c r="G267" s="27">
        <v>229</v>
      </c>
      <c r="H267" s="44">
        <v>341</v>
      </c>
      <c r="I267" s="45">
        <f>=H267*1.05</f>
        <v>358.05</v>
      </c>
      <c r="J267" s="45">
        <f>=F267*2</f>
        <v>613.8</v>
      </c>
      <c r="K267" s="45">
        <f>=H267*2</f>
        <v>682</v>
      </c>
      <c r="L267" s="45">
        <f>=I267*2</f>
        <v>716.1</v>
      </c>
      <c r="M267" s="46" t="s">
        <v>211</v>
      </c>
      <c r="N267" s="46">
        <v>0.3</v>
      </c>
      <c r="O267" s="46" t="s"/>
      <c r="P267" s="46">
        <v>2</v>
      </c>
      <c r="Q267" s="46">
        <v>2</v>
      </c>
      <c r="R267" s="46" t="s">
        <v>16</v>
      </c>
      <c r="S267" s="46" t="s">
        <v>17</v>
      </c>
      <c r="T267" s="46" t="s">
        <v>325</v>
      </c>
      <c r="U267" s="13" t="s">
        <v>13</v>
      </c>
      <c r="V267" s="13" t="s">
        <v>19</v>
      </c>
      <c r="W267" s="50" t="s"/>
      <c r="X267" s="18" t="s">
        <f>=M267&amp;N267&amp;P267&amp;Q267&amp;T267&amp;V267&amp;S267</f>
        <v>326</v>
      </c>
      <c r="Y267" s="15" t="s"/>
      <c r="Z267" s="15" t="s"/>
      <c r="AA267" s="15" t="s"/>
      <c r="AB267" s="15" t="s"/>
      <c r="AC267" s="48" t="s"/>
    </row>
    <row r="268" spans="1:28" ht="14.4">
      <c r="A268" s="4">
        <f>=H268/G268-1</f>
        <v>0.100436681222707</v>
      </c>
      <c r="B268" s="20">
        <f>=F268/12</f>
        <v>18.9</v>
      </c>
      <c r="C268" s="20">
        <f>=J268/3</f>
        <v>151.2</v>
      </c>
      <c r="D268" s="20">
        <f>=K268/3</f>
        <v>168</v>
      </c>
      <c r="E268" s="20">
        <f>=L268/3</f>
        <v>176.4</v>
      </c>
      <c r="F268" s="20">
        <f>=H268*0.9</f>
        <v>226.8</v>
      </c>
      <c r="G268" s="21">
        <v>229</v>
      </c>
      <c r="H268" s="39">
        <v>252</v>
      </c>
      <c r="I268" s="40">
        <f>=H268*1.05</f>
        <v>264.6</v>
      </c>
      <c r="J268" s="40">
        <f>=F268*2</f>
        <v>453.6</v>
      </c>
      <c r="K268" s="40">
        <f>=H268*2</f>
        <v>504</v>
      </c>
      <c r="L268" s="40">
        <f>=I268*2</f>
        <v>529.2</v>
      </c>
      <c r="M268" s="41" t="s">
        <v>211</v>
      </c>
      <c r="N268" s="41">
        <v>0.3</v>
      </c>
      <c r="O268" s="41" t="s"/>
      <c r="P268" s="41">
        <v>2</v>
      </c>
      <c r="Q268" s="41">
        <v>2</v>
      </c>
      <c r="R268" s="41" t="s">
        <v>16</v>
      </c>
      <c r="S268" s="41" t="s">
        <v>17</v>
      </c>
      <c r="T268" s="41" t="s">
        <v>67</v>
      </c>
      <c r="U268" s="16" t="s">
        <v>13</v>
      </c>
      <c r="V268" s="16" t="s">
        <v>19</v>
      </c>
      <c r="W268" s="29" t="s"/>
      <c r="X268" s="26" t="s">
        <f>=M268&amp;N268&amp;P268&amp;Q268&amp;T268&amp;V268&amp;S268</f>
        <v>327</v>
      </c>
      <c r="Y268" s="19" t="s"/>
      <c r="Z268" s="19" t="s"/>
      <c r="AA268" s="19" t="s"/>
      <c r="AB268" s="19" t="s"/>
    </row>
    <row r="269" spans="1:28" ht="14.4">
      <c r="A269" s="4">
        <f>=H269/G269-1</f>
        <v>0.0997375328083989</v>
      </c>
      <c r="B269" s="20">
        <f>=F269/12</f>
        <v>31.425</v>
      </c>
      <c r="C269" s="20">
        <f>=J269/3</f>
        <v>251.4</v>
      </c>
      <c r="D269" s="20">
        <f>=K269/3</f>
        <v>279.333333333333</v>
      </c>
      <c r="E269" s="20">
        <f>=L269/3</f>
        <v>293.3</v>
      </c>
      <c r="F269" s="20">
        <f>=H269*0.9</f>
        <v>377.1</v>
      </c>
      <c r="G269" s="21">
        <v>381</v>
      </c>
      <c r="H269" s="39">
        <v>419</v>
      </c>
      <c r="I269" s="40">
        <f>=H269*1.05</f>
        <v>439.95</v>
      </c>
      <c r="J269" s="40">
        <f>=F269*2</f>
        <v>754.2</v>
      </c>
      <c r="K269" s="40">
        <f>=H269*2</f>
        <v>838</v>
      </c>
      <c r="L269" s="40">
        <f>=I269*2</f>
        <v>879.9</v>
      </c>
      <c r="M269" s="41" t="s">
        <v>211</v>
      </c>
      <c r="N269" s="41">
        <v>0.3</v>
      </c>
      <c r="O269" s="41" t="s"/>
      <c r="P269" s="41">
        <v>3</v>
      </c>
      <c r="Q269" s="41">
        <v>3</v>
      </c>
      <c r="R269" s="41" t="s">
        <v>16</v>
      </c>
      <c r="S269" s="41" t="s">
        <v>17</v>
      </c>
      <c r="T269" s="41" t="s">
        <v>67</v>
      </c>
      <c r="U269" s="16" t="s">
        <v>13</v>
      </c>
      <c r="V269" s="16" t="s">
        <v>19</v>
      </c>
      <c r="W269" s="29" t="s"/>
      <c r="X269" s="26" t="s">
        <f>=M269&amp;N269&amp;P269&amp;Q269&amp;T269&amp;V269&amp;S269</f>
        <v>328</v>
      </c>
      <c r="Y269" s="19" t="s"/>
      <c r="Z269" s="19" t="s"/>
      <c r="AA269" s="19" t="s"/>
      <c r="AB269" s="19" t="s"/>
    </row>
    <row r="270" spans="1:28" ht="14.4">
      <c r="A270" s="4">
        <f>=H270/G270-1</f>
        <v>0.0980392156862746</v>
      </c>
      <c r="B270" s="20">
        <f>=F270/12</f>
        <v>8.4</v>
      </c>
      <c r="C270" s="20">
        <f>=J270/3</f>
        <v>67.2</v>
      </c>
      <c r="D270" s="20">
        <f>=K270/3</f>
        <v>74.6666666666667</v>
      </c>
      <c r="E270" s="20">
        <f>=L270/3</f>
        <v>78.4</v>
      </c>
      <c r="F270" s="20">
        <f>=H270*0.9</f>
        <v>100.8</v>
      </c>
      <c r="G270" s="21">
        <v>102</v>
      </c>
      <c r="H270" s="39">
        <v>112</v>
      </c>
      <c r="I270" s="40">
        <f>=H270*1.05</f>
        <v>117.6</v>
      </c>
      <c r="J270" s="40">
        <f>=F270*2</f>
        <v>201.6</v>
      </c>
      <c r="K270" s="40">
        <f>=H270*2</f>
        <v>224</v>
      </c>
      <c r="L270" s="40">
        <f>=I270*2</f>
        <v>235.2</v>
      </c>
      <c r="M270" s="41" t="s">
        <v>211</v>
      </c>
      <c r="N270" s="41">
        <v>0.3</v>
      </c>
      <c r="O270" s="41" t="s"/>
      <c r="P270" s="41" t="s">
        <v>21</v>
      </c>
      <c r="Q270" s="41" t="s">
        <v>21</v>
      </c>
      <c r="R270" s="41" t="s">
        <v>16</v>
      </c>
      <c r="S270" s="41" t="s">
        <v>17</v>
      </c>
      <c r="T270" s="41" t="s">
        <v>67</v>
      </c>
      <c r="U270" s="16" t="s">
        <v>13</v>
      </c>
      <c r="V270" s="16" t="s">
        <v>19</v>
      </c>
      <c r="W270" s="29" t="s"/>
      <c r="X270" s="26" t="s">
        <f>=M270&amp;N270&amp;P270&amp;Q270&amp;T270&amp;V270&amp;S270</f>
        <v>329</v>
      </c>
      <c r="Y270" s="19" t="s"/>
      <c r="Z270" s="19" t="s"/>
      <c r="AA270" s="19" t="s"/>
      <c r="AB270" s="19" t="s"/>
    </row>
    <row r="271" spans="1:28" ht="14.4">
      <c r="A271" s="4">
        <f>=H271/G271-1</f>
        <v>0.0998415213946118</v>
      </c>
      <c r="B271" s="20">
        <f>=F271/12</f>
        <v>52.05</v>
      </c>
      <c r="C271" s="20">
        <f>=J271/3</f>
        <v>416.4</v>
      </c>
      <c r="D271" s="20">
        <f>=K271/3</f>
        <v>462.666666666667</v>
      </c>
      <c r="E271" s="20">
        <f>=L271/3</f>
        <v>485.8</v>
      </c>
      <c r="F271" s="20">
        <f>=H271*0.9</f>
        <v>624.6</v>
      </c>
      <c r="G271" s="21">
        <v>631</v>
      </c>
      <c r="H271" s="39">
        <v>694</v>
      </c>
      <c r="I271" s="40">
        <f>=H271*1.05</f>
        <v>728.7</v>
      </c>
      <c r="J271" s="40">
        <f>=F271*2</f>
        <v>1249.2</v>
      </c>
      <c r="K271" s="40">
        <f>=H271*2</f>
        <v>1388</v>
      </c>
      <c r="L271" s="40">
        <f>=I271*2</f>
        <v>1457.4</v>
      </c>
      <c r="M271" s="41" t="s">
        <v>211</v>
      </c>
      <c r="N271" s="41">
        <v>0.32</v>
      </c>
      <c r="O271" s="41" t="s"/>
      <c r="P271" s="41">
        <v>4</v>
      </c>
      <c r="Q271" s="41">
        <v>4</v>
      </c>
      <c r="R271" s="41" t="s">
        <v>16</v>
      </c>
      <c r="S271" s="41" t="s">
        <v>17</v>
      </c>
      <c r="T271" s="41" t="s">
        <v>67</v>
      </c>
      <c r="U271" s="16" t="s">
        <v>13</v>
      </c>
      <c r="V271" s="16" t="s">
        <v>19</v>
      </c>
      <c r="W271" s="29" t="s"/>
      <c r="X271" s="26" t="s">
        <f>=M271&amp;N271&amp;P271&amp;Q271&amp;T271&amp;V271&amp;S271</f>
        <v>330</v>
      </c>
      <c r="Y271" s="19" t="s"/>
      <c r="Z271" s="19" t="s"/>
      <c r="AA271" s="19" t="s"/>
      <c r="AB271" s="19" t="s"/>
    </row>
    <row r="272" spans="1:28" ht="14.4">
      <c r="A272" s="4">
        <f>=H272/G272-1</f>
        <v>0.0992366412213741</v>
      </c>
      <c r="B272" s="20">
        <f>=F272/12</f>
        <v>10.8</v>
      </c>
      <c r="C272" s="20">
        <f>=J272/3</f>
        <v>86.4</v>
      </c>
      <c r="D272" s="20">
        <f>=K272/3</f>
        <v>96</v>
      </c>
      <c r="E272" s="20">
        <f>=L272/3</f>
        <v>100.8</v>
      </c>
      <c r="F272" s="20">
        <f>=H272*0.9</f>
        <v>129.6</v>
      </c>
      <c r="G272" s="21">
        <v>131</v>
      </c>
      <c r="H272" s="39">
        <v>144</v>
      </c>
      <c r="I272" s="40">
        <f>=H272*1.05</f>
        <v>151.2</v>
      </c>
      <c r="J272" s="40">
        <f>=F272*2</f>
        <v>259.2</v>
      </c>
      <c r="K272" s="40">
        <f>=H272*2</f>
        <v>288</v>
      </c>
      <c r="L272" s="40">
        <f>=I272*2</f>
        <v>302.4</v>
      </c>
      <c r="M272" s="41" t="s">
        <v>211</v>
      </c>
      <c r="N272" s="41">
        <v>0.33</v>
      </c>
      <c r="O272" s="41" t="s"/>
      <c r="P272" s="41">
        <v>1</v>
      </c>
      <c r="Q272" s="41">
        <v>1</v>
      </c>
      <c r="R272" s="41" t="s">
        <v>16</v>
      </c>
      <c r="S272" s="41" t="s">
        <v>17</v>
      </c>
      <c r="T272" s="41" t="s">
        <v>67</v>
      </c>
      <c r="U272" s="16" t="s">
        <v>13</v>
      </c>
      <c r="V272" s="16" t="s">
        <v>19</v>
      </c>
      <c r="W272" s="29" t="s"/>
      <c r="X272" s="26" t="s">
        <f>=M272&amp;N272&amp;P272&amp;Q272&amp;T272&amp;V272&amp;S272</f>
        <v>331</v>
      </c>
      <c r="Y272" s="19" t="s"/>
      <c r="Z272" s="19" t="s"/>
      <c r="AA272" s="19" t="s"/>
      <c r="AB272" s="19" t="s"/>
    </row>
    <row r="273" spans="1:28" ht="14.4">
      <c r="A273" s="4">
        <f>=H273/G273-1</f>
        <v>0.100917431192661</v>
      </c>
      <c r="B273" s="20">
        <f>=F273/12</f>
        <v>18</v>
      </c>
      <c r="C273" s="20">
        <f>=J273/3</f>
        <v>144</v>
      </c>
      <c r="D273" s="20">
        <f>=K273/3</f>
        <v>160</v>
      </c>
      <c r="E273" s="20">
        <f>=L273/3</f>
        <v>168</v>
      </c>
      <c r="F273" s="20">
        <f>=H273*0.9</f>
        <v>216</v>
      </c>
      <c r="G273" s="21">
        <v>218</v>
      </c>
      <c r="H273" s="39">
        <v>240</v>
      </c>
      <c r="I273" s="40">
        <f>=H273*1.05</f>
        <v>252</v>
      </c>
      <c r="J273" s="40">
        <f>=F273*2</f>
        <v>432</v>
      </c>
      <c r="K273" s="40">
        <f>=H273*2</f>
        <v>480</v>
      </c>
      <c r="L273" s="40">
        <f>=I273*2</f>
        <v>504</v>
      </c>
      <c r="M273" s="41" t="s">
        <v>211</v>
      </c>
      <c r="N273" s="41">
        <v>0.33</v>
      </c>
      <c r="O273" s="41" t="s"/>
      <c r="P273" s="41">
        <v>1</v>
      </c>
      <c r="Q273" s="41">
        <v>2</v>
      </c>
      <c r="R273" s="41" t="s">
        <v>16</v>
      </c>
      <c r="S273" s="41" t="s">
        <v>17</v>
      </c>
      <c r="T273" s="41" t="s">
        <v>67</v>
      </c>
      <c r="U273" s="16" t="s">
        <v>13</v>
      </c>
      <c r="V273" s="16" t="s">
        <v>19</v>
      </c>
      <c r="W273" s="29" t="s"/>
      <c r="X273" s="26" t="s">
        <f>=M273&amp;N273&amp;P273&amp;Q273&amp;T273&amp;V273&amp;S273</f>
        <v>332</v>
      </c>
      <c r="Y273" s="19" t="s"/>
      <c r="Z273" s="19" t="s"/>
      <c r="AA273" s="19" t="s"/>
      <c r="AB273" s="19" t="s"/>
    </row>
    <row r="274" spans="1:28" ht="14.4">
      <c r="A274" s="4">
        <f>=H274/G274-1</f>
        <v>0.0991379310344827</v>
      </c>
      <c r="B274" s="20">
        <f>=F274/12</f>
        <v>19.125</v>
      </c>
      <c r="C274" s="20">
        <f>=J274/3</f>
        <v>153</v>
      </c>
      <c r="D274" s="20">
        <f>=K274/3</f>
        <v>170</v>
      </c>
      <c r="E274" s="20">
        <f>=L274/3</f>
        <v>178.5</v>
      </c>
      <c r="F274" s="20">
        <f>=H274*0.9</f>
        <v>229.5</v>
      </c>
      <c r="G274" s="21">
        <v>232</v>
      </c>
      <c r="H274" s="39">
        <v>255</v>
      </c>
      <c r="I274" s="40">
        <f>=H274*1.05</f>
        <v>267.75</v>
      </c>
      <c r="J274" s="40">
        <f>=F274*2</f>
        <v>459</v>
      </c>
      <c r="K274" s="40">
        <f>=H274*2</f>
        <v>510</v>
      </c>
      <c r="L274" s="40">
        <f>=I274*2</f>
        <v>535.5</v>
      </c>
      <c r="M274" s="41" t="s">
        <v>211</v>
      </c>
      <c r="N274" s="41">
        <v>0.33</v>
      </c>
      <c r="O274" s="41" t="s"/>
      <c r="P274" s="41">
        <v>2</v>
      </c>
      <c r="Q274" s="41">
        <v>2</v>
      </c>
      <c r="R274" s="41" t="s">
        <v>16</v>
      </c>
      <c r="S274" s="41" t="s">
        <v>17</v>
      </c>
      <c r="T274" s="41" t="s">
        <v>67</v>
      </c>
      <c r="U274" s="16" t="s">
        <v>13</v>
      </c>
      <c r="V274" s="16" t="s">
        <v>19</v>
      </c>
      <c r="W274" s="29" t="s"/>
      <c r="X274" s="26" t="s">
        <f>=M274&amp;N274&amp;P274&amp;Q274&amp;T274&amp;V274&amp;S274</f>
        <v>333</v>
      </c>
      <c r="Y274" s="19" t="s"/>
      <c r="Z274" s="19" t="s"/>
      <c r="AA274" s="19" t="s"/>
      <c r="AB274" s="19" t="s"/>
    </row>
    <row r="275" spans="1:28" ht="14.4">
      <c r="A275" s="4">
        <f>=H275/G275-1</f>
        <v>0.0990099009900991</v>
      </c>
      <c r="B275" s="20">
        <f>=F275/12</f>
        <v>8.325</v>
      </c>
      <c r="C275" s="20">
        <f>=J275/3</f>
        <v>66.6</v>
      </c>
      <c r="D275" s="20">
        <f>=K275/3</f>
        <v>74</v>
      </c>
      <c r="E275" s="20">
        <f>=L275/3</f>
        <v>77.7</v>
      </c>
      <c r="F275" s="20">
        <f>=H275*0.9</f>
        <v>99.9</v>
      </c>
      <c r="G275" s="21">
        <v>101</v>
      </c>
      <c r="H275" s="39">
        <v>111</v>
      </c>
      <c r="I275" s="40">
        <f>=H275*1.05</f>
        <v>116.55</v>
      </c>
      <c r="J275" s="40">
        <f>=F275*2</f>
        <v>199.8</v>
      </c>
      <c r="K275" s="40">
        <f>=H275*2</f>
        <v>222</v>
      </c>
      <c r="L275" s="40">
        <f>=I275*2</f>
        <v>233.1</v>
      </c>
      <c r="M275" s="41" t="s">
        <v>211</v>
      </c>
      <c r="N275" s="41">
        <v>0.33</v>
      </c>
      <c r="O275" s="41" t="s"/>
      <c r="P275" s="41" t="s">
        <v>21</v>
      </c>
      <c r="Q275" s="41" t="s">
        <v>21</v>
      </c>
      <c r="R275" s="41" t="s">
        <v>16</v>
      </c>
      <c r="S275" s="41" t="s">
        <v>17</v>
      </c>
      <c r="T275" s="41" t="s">
        <v>67</v>
      </c>
      <c r="U275" s="16" t="s">
        <v>13</v>
      </c>
      <c r="V275" s="16" t="s">
        <v>19</v>
      </c>
      <c r="W275" s="29" t="s"/>
      <c r="X275" s="26" t="s">
        <f>=M275&amp;N275&amp;P275&amp;Q275&amp;T275&amp;V275&amp;S275</f>
        <v>334</v>
      </c>
      <c r="Y275" s="19" t="s"/>
      <c r="Z275" s="19" t="s"/>
      <c r="AA275" s="19" t="s"/>
      <c r="AB275" s="19" t="s"/>
    </row>
    <row r="276" spans="1:28" ht="14.4">
      <c r="A276" s="4">
        <f>=H276/G276-1</f>
        <v>0.0992366412213741</v>
      </c>
      <c r="B276" s="20">
        <f>=F276/12</f>
        <v>10.8</v>
      </c>
      <c r="C276" s="20">
        <f>=J276/3</f>
        <v>86.4</v>
      </c>
      <c r="D276" s="20">
        <f>=K276/3</f>
        <v>96</v>
      </c>
      <c r="E276" s="20">
        <f>=L276/3</f>
        <v>100.8</v>
      </c>
      <c r="F276" s="20">
        <f>=H276*0.9</f>
        <v>129.6</v>
      </c>
      <c r="G276" s="21">
        <v>131</v>
      </c>
      <c r="H276" s="39">
        <v>144</v>
      </c>
      <c r="I276" s="40">
        <f>=H276*1.05</f>
        <v>151.2</v>
      </c>
      <c r="J276" s="40">
        <f>=F276*2</f>
        <v>259.2</v>
      </c>
      <c r="K276" s="40">
        <f>=H276*2</f>
        <v>288</v>
      </c>
      <c r="L276" s="40">
        <f>=I276*2</f>
        <v>302.4</v>
      </c>
      <c r="M276" s="41" t="s">
        <v>211</v>
      </c>
      <c r="N276" s="41">
        <v>0.35</v>
      </c>
      <c r="O276" s="41" t="s"/>
      <c r="P276" s="41">
        <v>1</v>
      </c>
      <c r="Q276" s="41">
        <v>1</v>
      </c>
      <c r="R276" s="41" t="s">
        <v>16</v>
      </c>
      <c r="S276" s="41" t="s">
        <v>17</v>
      </c>
      <c r="T276" s="41" t="s">
        <v>76</v>
      </c>
      <c r="U276" s="16" t="s">
        <v>13</v>
      </c>
      <c r="V276" s="16" t="s">
        <v>19</v>
      </c>
      <c r="W276" s="29" t="s"/>
      <c r="X276" s="26" t="s">
        <f>=M276&amp;N276&amp;P276&amp;Q276&amp;T276&amp;V276&amp;S276</f>
        <v>335</v>
      </c>
      <c r="Y276" s="19" t="s"/>
      <c r="Z276" s="19" t="s"/>
      <c r="AA276" s="19" t="s"/>
      <c r="AB276" s="19" t="s"/>
    </row>
    <row r="277" spans="1:28" ht="14.4">
      <c r="A277" s="4">
        <f>=H277/G277-1</f>
        <v>0.1005291005291</v>
      </c>
      <c r="B277" s="20">
        <f>=F277/12</f>
        <v>31.2</v>
      </c>
      <c r="C277" s="20">
        <f>=J277/3</f>
        <v>249.6</v>
      </c>
      <c r="D277" s="20">
        <f>=K277/3</f>
        <v>277.333333333333</v>
      </c>
      <c r="E277" s="20">
        <f>=L277/3</f>
        <v>291.2</v>
      </c>
      <c r="F277" s="20">
        <f>=H277*0.9</f>
        <v>374.4</v>
      </c>
      <c r="G277" s="21">
        <v>378</v>
      </c>
      <c r="H277" s="39">
        <v>416</v>
      </c>
      <c r="I277" s="40">
        <f>=H277*1.05</f>
        <v>436.8</v>
      </c>
      <c r="J277" s="40">
        <f>=F277*2</f>
        <v>748.8</v>
      </c>
      <c r="K277" s="40">
        <f>=H277*2</f>
        <v>832</v>
      </c>
      <c r="L277" s="40">
        <f>=I277*2</f>
        <v>873.6</v>
      </c>
      <c r="M277" s="41" t="s">
        <v>211</v>
      </c>
      <c r="N277" s="41">
        <v>0.35</v>
      </c>
      <c r="O277" s="41" t="s"/>
      <c r="P277" s="41">
        <v>3</v>
      </c>
      <c r="Q277" s="41">
        <v>3</v>
      </c>
      <c r="R277" s="41" t="s">
        <v>16</v>
      </c>
      <c r="S277" s="41" t="s">
        <v>17</v>
      </c>
      <c r="T277" s="41" t="s">
        <v>76</v>
      </c>
      <c r="U277" s="16" t="s">
        <v>13</v>
      </c>
      <c r="V277" s="16" t="s">
        <v>19</v>
      </c>
      <c r="W277" s="29" t="s"/>
      <c r="X277" s="26" t="s">
        <f>=M277&amp;N277&amp;P277&amp;Q277&amp;T277&amp;V277&amp;S277</f>
        <v>336</v>
      </c>
      <c r="Y277" s="19" t="s"/>
      <c r="Z277" s="19" t="s"/>
      <c r="AA277" s="19" t="s"/>
      <c r="AB277" s="19" t="s"/>
    </row>
    <row r="278" spans="1:28" ht="14.4">
      <c r="A278" s="4">
        <f>=H278/G278-1</f>
        <v>0.104761904761905</v>
      </c>
      <c r="B278" s="20">
        <f>=F278/12</f>
        <v>8.7</v>
      </c>
      <c r="C278" s="20">
        <f>=J278/3</f>
        <v>69.6</v>
      </c>
      <c r="D278" s="20">
        <f>=K278/3</f>
        <v>77.3333333333333</v>
      </c>
      <c r="E278" s="20">
        <f>=L278/3</f>
        <v>81.2</v>
      </c>
      <c r="F278" s="20">
        <f>=H278*0.9</f>
        <v>104.4</v>
      </c>
      <c r="G278" s="21">
        <v>105</v>
      </c>
      <c r="H278" s="39">
        <v>116</v>
      </c>
      <c r="I278" s="40">
        <f>=H278*1.05</f>
        <v>121.8</v>
      </c>
      <c r="J278" s="40">
        <f>=F278*2</f>
        <v>208.8</v>
      </c>
      <c r="K278" s="40">
        <f>=H278*2</f>
        <v>232</v>
      </c>
      <c r="L278" s="40">
        <f>=I278*2</f>
        <v>243.6</v>
      </c>
      <c r="M278" s="41" t="s">
        <v>211</v>
      </c>
      <c r="N278" s="41">
        <v>0.36</v>
      </c>
      <c r="O278" s="41" t="s"/>
      <c r="P278" s="41">
        <v>1</v>
      </c>
      <c r="Q278" s="41">
        <v>0</v>
      </c>
      <c r="R278" s="41" t="s">
        <v>16</v>
      </c>
      <c r="S278" s="41" t="s">
        <v>17</v>
      </c>
      <c r="T278" s="41" t="s">
        <v>76</v>
      </c>
      <c r="U278" s="16" t="s">
        <v>13</v>
      </c>
      <c r="V278" s="16" t="s">
        <v>19</v>
      </c>
      <c r="W278" s="29" t="s"/>
      <c r="X278" s="26" t="s">
        <f>=M278&amp;N278&amp;P278&amp;Q278&amp;T278&amp;V278&amp;S278</f>
        <v>337</v>
      </c>
      <c r="Y278" s="19" t="s"/>
      <c r="Z278" s="19" t="s"/>
      <c r="AA278" s="19" t="s"/>
      <c r="AB278" s="19" t="s"/>
    </row>
    <row r="279" spans="1:28" ht="14.4">
      <c r="A279" s="4">
        <f>=H279/G279-1</f>
        <v>0.0992366412213741</v>
      </c>
      <c r="B279" s="20">
        <f>=F279/12</f>
        <v>10.8</v>
      </c>
      <c r="C279" s="20">
        <f>=J279/3</f>
        <v>86.4</v>
      </c>
      <c r="D279" s="20">
        <f>=K279/3</f>
        <v>96</v>
      </c>
      <c r="E279" s="20">
        <f>=L279/3</f>
        <v>100.8</v>
      </c>
      <c r="F279" s="20">
        <f>=H279*0.9</f>
        <v>129.6</v>
      </c>
      <c r="G279" s="21">
        <v>131</v>
      </c>
      <c r="H279" s="39">
        <v>144</v>
      </c>
      <c r="I279" s="40">
        <f>=H279*1.05</f>
        <v>151.2</v>
      </c>
      <c r="J279" s="40">
        <f>=F279*2</f>
        <v>259.2</v>
      </c>
      <c r="K279" s="40">
        <f>=H279*2</f>
        <v>288</v>
      </c>
      <c r="L279" s="40">
        <f>=I279*2</f>
        <v>302.4</v>
      </c>
      <c r="M279" s="41" t="s">
        <v>211</v>
      </c>
      <c r="N279" s="41">
        <v>0.36</v>
      </c>
      <c r="O279" s="41" t="s"/>
      <c r="P279" s="41">
        <v>1</v>
      </c>
      <c r="Q279" s="41">
        <v>1</v>
      </c>
      <c r="R279" s="41" t="s">
        <v>16</v>
      </c>
      <c r="S279" s="41" t="s">
        <v>17</v>
      </c>
      <c r="T279" s="41" t="s">
        <v>76</v>
      </c>
      <c r="U279" s="16" t="s">
        <v>13</v>
      </c>
      <c r="V279" s="16" t="s">
        <v>19</v>
      </c>
      <c r="W279" s="29" t="s"/>
      <c r="X279" s="26" t="s">
        <f>=M279&amp;N279&amp;P279&amp;Q279&amp;T279&amp;V279&amp;S279</f>
        <v>338</v>
      </c>
      <c r="Y279" s="19" t="s"/>
      <c r="Z279" s="19" t="s"/>
      <c r="AA279" s="19" t="s"/>
      <c r="AB279" s="19" t="s"/>
    </row>
    <row r="280" spans="1:28" ht="14.4">
      <c r="A280" s="4">
        <f>=H280/G280-1</f>
        <v>0.099585062240664</v>
      </c>
      <c r="B280" s="20">
        <f>=F280/12</f>
        <v>19.875</v>
      </c>
      <c r="C280" s="20">
        <f>=J280/3</f>
        <v>159</v>
      </c>
      <c r="D280" s="20">
        <f>=K280/3</f>
        <v>176.666666666667</v>
      </c>
      <c r="E280" s="20">
        <f>=L280/3</f>
        <v>185.5</v>
      </c>
      <c r="F280" s="20">
        <f>=H280*0.9</f>
        <v>238.5</v>
      </c>
      <c r="G280" s="21">
        <v>241</v>
      </c>
      <c r="H280" s="39">
        <v>265</v>
      </c>
      <c r="I280" s="40">
        <f>=H280*1.05</f>
        <v>278.25</v>
      </c>
      <c r="J280" s="40">
        <f>=F280*2</f>
        <v>477</v>
      </c>
      <c r="K280" s="40">
        <f>=H280*2</f>
        <v>530</v>
      </c>
      <c r="L280" s="40">
        <f>=I280*2</f>
        <v>556.5</v>
      </c>
      <c r="M280" s="41" t="s">
        <v>211</v>
      </c>
      <c r="N280" s="41">
        <v>0.36</v>
      </c>
      <c r="O280" s="41" t="s"/>
      <c r="P280" s="41">
        <v>2</v>
      </c>
      <c r="Q280" s="41">
        <v>2</v>
      </c>
      <c r="R280" s="41" t="s">
        <v>16</v>
      </c>
      <c r="S280" s="41" t="s">
        <v>17</v>
      </c>
      <c r="T280" s="41" t="s">
        <v>76</v>
      </c>
      <c r="U280" s="16" t="s">
        <v>13</v>
      </c>
      <c r="V280" s="16" t="s">
        <v>19</v>
      </c>
      <c r="W280" s="29" t="s"/>
      <c r="X280" s="26" t="s">
        <f>=M280&amp;N280&amp;P280&amp;Q280&amp;T280&amp;V280&amp;S280</f>
        <v>339</v>
      </c>
      <c r="Y280" s="19" t="s"/>
      <c r="Z280" s="19" t="s"/>
      <c r="AA280" s="19" t="s"/>
      <c r="AB280" s="19" t="s"/>
    </row>
    <row r="281" spans="1:29" ht="14.4">
      <c r="A281" s="42">
        <f>=H281/G281-1</f>
        <v>0.659751037344399</v>
      </c>
      <c r="B281" s="43">
        <f>=F281/12</f>
        <v>30</v>
      </c>
      <c r="C281" s="43">
        <f>=J281/3</f>
        <v>240</v>
      </c>
      <c r="D281" s="43">
        <f>=K281/3</f>
        <v>266.666666666667</v>
      </c>
      <c r="E281" s="43">
        <f>=L281/3</f>
        <v>280</v>
      </c>
      <c r="F281" s="43">
        <f>=H281*0.9</f>
        <v>360</v>
      </c>
      <c r="G281" s="27">
        <v>241</v>
      </c>
      <c r="H281" s="44">
        <v>400</v>
      </c>
      <c r="I281" s="45">
        <f>=H281*1.05</f>
        <v>420</v>
      </c>
      <c r="J281" s="45">
        <f>=F281*2</f>
        <v>720</v>
      </c>
      <c r="K281" s="45">
        <f>=H281*2</f>
        <v>800</v>
      </c>
      <c r="L281" s="45">
        <f>=I281*2</f>
        <v>840</v>
      </c>
      <c r="M281" s="46" t="s">
        <v>211</v>
      </c>
      <c r="N281" s="46">
        <v>0.36</v>
      </c>
      <c r="O281" s="46" t="s"/>
      <c r="P281" s="12">
        <v>3</v>
      </c>
      <c r="Q281" s="12">
        <v>3</v>
      </c>
      <c r="R281" s="46" t="s">
        <v>16</v>
      </c>
      <c r="S281" s="46" t="s">
        <v>17</v>
      </c>
      <c r="T281" s="46" t="s">
        <v>76</v>
      </c>
      <c r="U281" s="13" t="s">
        <v>13</v>
      </c>
      <c r="V281" s="13" t="s">
        <v>19</v>
      </c>
      <c r="W281" s="50" t="s"/>
      <c r="X281" s="18" t="s">
        <f>=M281&amp;N281&amp;P281&amp;Q281&amp;T281&amp;V281&amp;S281</f>
        <v>340</v>
      </c>
      <c r="Y281" s="15" t="s"/>
      <c r="Z281" s="15" t="s"/>
      <c r="AA281" s="15" t="s"/>
      <c r="AB281" s="15" t="s"/>
      <c r="AC281" s="48" t="s"/>
    </row>
    <row r="282" spans="1:28" ht="14.4">
      <c r="A282" s="4">
        <f>=H282/G282-1</f>
        <v>0.0990099009900991</v>
      </c>
      <c r="B282" s="20">
        <f>=F282/12</f>
        <v>8.325</v>
      </c>
      <c r="C282" s="20">
        <f>=J282/3</f>
        <v>66.6</v>
      </c>
      <c r="D282" s="20">
        <f>=K282/3</f>
        <v>74</v>
      </c>
      <c r="E282" s="20">
        <f>=L282/3</f>
        <v>77.7</v>
      </c>
      <c r="F282" s="20">
        <f>=H282*0.9</f>
        <v>99.9</v>
      </c>
      <c r="G282" s="21">
        <v>101</v>
      </c>
      <c r="H282" s="39">
        <v>111</v>
      </c>
      <c r="I282" s="40">
        <f>=H282*1.05</f>
        <v>116.55</v>
      </c>
      <c r="J282" s="40">
        <f>=F282*2</f>
        <v>199.8</v>
      </c>
      <c r="K282" s="40">
        <f>=H282*2</f>
        <v>222</v>
      </c>
      <c r="L282" s="40">
        <f>=I282*2</f>
        <v>233.1</v>
      </c>
      <c r="M282" s="41" t="s">
        <v>211</v>
      </c>
      <c r="N282" s="41">
        <v>0.36</v>
      </c>
      <c r="O282" s="41" t="s"/>
      <c r="P282" s="41" t="s">
        <v>21</v>
      </c>
      <c r="Q282" s="41" t="s">
        <v>21</v>
      </c>
      <c r="R282" s="41" t="s">
        <v>16</v>
      </c>
      <c r="S282" s="41" t="s">
        <v>17</v>
      </c>
      <c r="T282" s="41" t="s">
        <v>76</v>
      </c>
      <c r="U282" s="16" t="s">
        <v>13</v>
      </c>
      <c r="V282" s="16" t="s">
        <v>19</v>
      </c>
      <c r="W282" s="29" t="s"/>
      <c r="X282" s="26" t="s">
        <f>=M282&amp;N282&amp;P282&amp;Q282&amp;T282&amp;V282&amp;S282</f>
        <v>341</v>
      </c>
      <c r="Y282" s="19" t="s"/>
      <c r="Z282" s="19" t="s"/>
      <c r="AA282" s="19" t="s"/>
      <c r="AB282" s="19" t="s"/>
    </row>
    <row r="283" spans="1:28" ht="14.4">
      <c r="A283" s="4">
        <f>=H283/G283-1</f>
        <v>0.102941176470588</v>
      </c>
      <c r="B283" s="20">
        <f>=F283/12</f>
        <v>11.25</v>
      </c>
      <c r="C283" s="20">
        <f>=J283/3</f>
        <v>90</v>
      </c>
      <c r="D283" s="20">
        <f>=K283/3</f>
        <v>100</v>
      </c>
      <c r="E283" s="20">
        <f>=L283/3</f>
        <v>105</v>
      </c>
      <c r="F283" s="20">
        <f>=H283*0.9</f>
        <v>135</v>
      </c>
      <c r="G283" s="21">
        <v>136</v>
      </c>
      <c r="H283" s="39">
        <v>150</v>
      </c>
      <c r="I283" s="40">
        <f>=H283*1.05</f>
        <v>157.5</v>
      </c>
      <c r="J283" s="40">
        <f>=F283*2</f>
        <v>270</v>
      </c>
      <c r="K283" s="40">
        <f>=H283*2</f>
        <v>300</v>
      </c>
      <c r="L283" s="40">
        <f>=I283*2</f>
        <v>315</v>
      </c>
      <c r="M283" s="41" t="s">
        <v>211</v>
      </c>
      <c r="N283" s="41">
        <v>0.38</v>
      </c>
      <c r="O283" s="41" t="s"/>
      <c r="P283" s="41">
        <v>1</v>
      </c>
      <c r="Q283" s="41">
        <v>1</v>
      </c>
      <c r="R283" s="41" t="s">
        <v>16</v>
      </c>
      <c r="S283" s="41" t="s">
        <v>17</v>
      </c>
      <c r="T283" s="41" t="s">
        <v>76</v>
      </c>
      <c r="U283" s="16" t="s">
        <v>13</v>
      </c>
      <c r="V283" s="16" t="s">
        <v>19</v>
      </c>
      <c r="W283" s="29" t="s"/>
      <c r="X283" s="26" t="s">
        <f>=M283&amp;N283&amp;P283&amp;Q283&amp;T283&amp;V283&amp;S283</f>
        <v>342</v>
      </c>
      <c r="Y283" s="19" t="s"/>
      <c r="Z283" s="19" t="s"/>
      <c r="AA283" s="19" t="s"/>
      <c r="AB283" s="19" t="s"/>
    </row>
    <row r="284" spans="1:28" ht="14.4">
      <c r="A284" s="4">
        <f>=H284/G284-1</f>
        <v>0.10126582278481</v>
      </c>
      <c r="B284" s="20">
        <f>=F284/12</f>
        <v>19.575</v>
      </c>
      <c r="C284" s="20">
        <f>=J284/3</f>
        <v>156.6</v>
      </c>
      <c r="D284" s="20">
        <f>=K284/3</f>
        <v>174</v>
      </c>
      <c r="E284" s="20">
        <f>=L284/3</f>
        <v>182.7</v>
      </c>
      <c r="F284" s="20">
        <f>=H284*0.9</f>
        <v>234.9</v>
      </c>
      <c r="G284" s="21">
        <v>237</v>
      </c>
      <c r="H284" s="39">
        <v>261</v>
      </c>
      <c r="I284" s="40">
        <f>=H284*1.05</f>
        <v>274.05</v>
      </c>
      <c r="J284" s="40">
        <f>=F284*2</f>
        <v>469.8</v>
      </c>
      <c r="K284" s="40">
        <f>=H284*2</f>
        <v>522</v>
      </c>
      <c r="L284" s="40">
        <f>=I284*2</f>
        <v>548.1</v>
      </c>
      <c r="M284" s="41" t="s">
        <v>211</v>
      </c>
      <c r="N284" s="41">
        <v>0.38</v>
      </c>
      <c r="O284" s="41" t="s"/>
      <c r="P284" s="41">
        <v>2</v>
      </c>
      <c r="Q284" s="41">
        <v>2</v>
      </c>
      <c r="R284" s="41" t="s">
        <v>16</v>
      </c>
      <c r="S284" s="41" t="s">
        <v>17</v>
      </c>
      <c r="T284" s="41" t="s">
        <v>76</v>
      </c>
      <c r="U284" s="16" t="s">
        <v>13</v>
      </c>
      <c r="V284" s="16" t="s">
        <v>19</v>
      </c>
      <c r="W284" s="29" t="s"/>
      <c r="X284" s="26" t="s">
        <f>=M284&amp;N284&amp;P284&amp;Q284&amp;T284&amp;V284&amp;S284</f>
        <v>343</v>
      </c>
      <c r="Y284" s="19" t="s"/>
      <c r="Z284" s="19" t="s"/>
      <c r="AA284" s="19" t="s"/>
      <c r="AB284" s="19" t="s"/>
    </row>
    <row r="285" spans="1:28" ht="14.4">
      <c r="A285" s="4">
        <f>=H285/G285-1</f>
        <v>0.0997506234413965</v>
      </c>
      <c r="B285" s="20">
        <f>=F285/12</f>
        <v>33.075</v>
      </c>
      <c r="C285" s="20">
        <f>=J285/3</f>
        <v>264.6</v>
      </c>
      <c r="D285" s="20">
        <f>=K285/3</f>
        <v>294</v>
      </c>
      <c r="E285" s="20">
        <f>=L285/3</f>
        <v>308.7</v>
      </c>
      <c r="F285" s="20">
        <f>=H285*0.9</f>
        <v>396.9</v>
      </c>
      <c r="G285" s="21">
        <v>401</v>
      </c>
      <c r="H285" s="39">
        <v>441</v>
      </c>
      <c r="I285" s="40">
        <f>=H285*1.05</f>
        <v>463.05</v>
      </c>
      <c r="J285" s="40">
        <f>=F285*2</f>
        <v>793.8</v>
      </c>
      <c r="K285" s="40">
        <f>=H285*2</f>
        <v>882</v>
      </c>
      <c r="L285" s="40">
        <f>=I285*2</f>
        <v>926.1</v>
      </c>
      <c r="M285" s="41" t="s">
        <v>211</v>
      </c>
      <c r="N285" s="41">
        <v>0.38</v>
      </c>
      <c r="O285" s="41" t="s"/>
      <c r="P285" s="41">
        <v>3</v>
      </c>
      <c r="Q285" s="41">
        <v>3</v>
      </c>
      <c r="R285" s="41" t="s">
        <v>16</v>
      </c>
      <c r="S285" s="41" t="s">
        <v>17</v>
      </c>
      <c r="T285" s="41" t="s">
        <v>76</v>
      </c>
      <c r="U285" s="16" t="s">
        <v>13</v>
      </c>
      <c r="V285" s="16" t="s">
        <v>19</v>
      </c>
      <c r="W285" s="29" t="s"/>
      <c r="X285" s="26" t="s">
        <f>=M285&amp;N285&amp;P285&amp;Q285&amp;T285&amp;V285&amp;S285</f>
        <v>344</v>
      </c>
      <c r="Y285" s="19" t="s"/>
      <c r="Z285" s="19" t="s"/>
      <c r="AA285" s="19" t="s"/>
      <c r="AB285" s="19" t="s"/>
    </row>
    <row r="286" spans="1:28" ht="14.4">
      <c r="A286" s="4">
        <f>=H286/G286-1</f>
        <v>0.0961538461538463</v>
      </c>
      <c r="B286" s="20">
        <f>=F286/12</f>
        <v>8.55</v>
      </c>
      <c r="C286" s="20">
        <f>=J286/3</f>
        <v>68.4</v>
      </c>
      <c r="D286" s="20">
        <f>=K286/3</f>
        <v>76</v>
      </c>
      <c r="E286" s="20">
        <f>=L286/3</f>
        <v>79.8</v>
      </c>
      <c r="F286" s="20">
        <f>=H286*0.9</f>
        <v>102.6</v>
      </c>
      <c r="G286" s="21">
        <v>104</v>
      </c>
      <c r="H286" s="39">
        <v>114</v>
      </c>
      <c r="I286" s="40">
        <f>=H286*1.05</f>
        <v>119.7</v>
      </c>
      <c r="J286" s="40">
        <f>=F286*2</f>
        <v>205.2</v>
      </c>
      <c r="K286" s="40">
        <f>=H286*2</f>
        <v>228</v>
      </c>
      <c r="L286" s="40">
        <f>=I286*2</f>
        <v>239.4</v>
      </c>
      <c r="M286" s="41" t="s">
        <v>211</v>
      </c>
      <c r="N286" s="41">
        <v>0.38</v>
      </c>
      <c r="O286" s="41" t="s"/>
      <c r="P286" s="41" t="s">
        <v>21</v>
      </c>
      <c r="Q286" s="41" t="s">
        <v>21</v>
      </c>
      <c r="R286" s="41" t="s">
        <v>16</v>
      </c>
      <c r="S286" s="41" t="s">
        <v>17</v>
      </c>
      <c r="T286" s="41" t="s">
        <v>76</v>
      </c>
      <c r="U286" s="16" t="s">
        <v>13</v>
      </c>
      <c r="V286" s="16" t="s">
        <v>19</v>
      </c>
      <c r="W286" s="29" t="s"/>
      <c r="X286" s="26" t="s">
        <f>=M286&amp;N286&amp;P286&amp;Q286&amp;T286&amp;V286&amp;S286</f>
        <v>345</v>
      </c>
      <c r="Y286" s="19" t="s"/>
      <c r="Z286" s="19" t="s"/>
      <c r="AA286" s="19" t="s"/>
      <c r="AB286" s="19" t="s"/>
    </row>
    <row r="287" spans="1:28" ht="14.4">
      <c r="A287" s="4">
        <f>=H287/G287-1</f>
        <v>0.101333333333333</v>
      </c>
      <c r="B287" s="20">
        <f>=F287/12</f>
        <v>30.975</v>
      </c>
      <c r="C287" s="20">
        <f>=J287/3</f>
        <v>247.8</v>
      </c>
      <c r="D287" s="20">
        <f>=K287/3</f>
        <v>275.333333333333</v>
      </c>
      <c r="E287" s="20">
        <f>=L287/3</f>
        <v>289.1</v>
      </c>
      <c r="F287" s="20">
        <f>=H287*0.9</f>
        <v>371.7</v>
      </c>
      <c r="G287" s="21">
        <v>375</v>
      </c>
      <c r="H287" s="39">
        <v>413</v>
      </c>
      <c r="I287" s="40">
        <f>=H287*1.05</f>
        <v>433.65</v>
      </c>
      <c r="J287" s="40">
        <f>=F287*2</f>
        <v>743.4</v>
      </c>
      <c r="K287" s="40">
        <f>=H287*2</f>
        <v>826</v>
      </c>
      <c r="L287" s="40">
        <f>=I287*2</f>
        <v>867.3</v>
      </c>
      <c r="M287" s="41" t="s">
        <v>211</v>
      </c>
      <c r="N287" s="41">
        <v>0.39</v>
      </c>
      <c r="O287" s="41" t="s"/>
      <c r="P287" s="41">
        <v>3</v>
      </c>
      <c r="Q287" s="41">
        <v>3</v>
      </c>
      <c r="R287" s="41" t="s">
        <v>16</v>
      </c>
      <c r="S287" s="41" t="s">
        <v>17</v>
      </c>
      <c r="T287" s="41" t="s">
        <v>76</v>
      </c>
      <c r="U287" s="16" t="s">
        <v>13</v>
      </c>
      <c r="V287" s="16" t="s">
        <v>19</v>
      </c>
      <c r="W287" s="29" t="s"/>
      <c r="X287" s="26" t="s">
        <f>=M287&amp;N287&amp;P287&amp;Q287&amp;T287&amp;V287&amp;S287</f>
        <v>346</v>
      </c>
      <c r="Y287" s="19" t="s"/>
      <c r="Z287" s="19" t="s"/>
      <c r="AA287" s="19" t="s"/>
      <c r="AB287" s="19" t="s"/>
    </row>
    <row r="288" spans="1:28" ht="14.4">
      <c r="A288" s="4">
        <f>=H288/G288-1</f>
        <v>0.0977443609022557</v>
      </c>
      <c r="B288" s="20">
        <f>=F288/12</f>
        <v>10.95</v>
      </c>
      <c r="C288" s="20">
        <f>=J288/3</f>
        <v>87.6</v>
      </c>
      <c r="D288" s="20">
        <f>=K288/3</f>
        <v>97.3333333333333</v>
      </c>
      <c r="E288" s="20">
        <f>=L288/3</f>
        <v>102.2</v>
      </c>
      <c r="F288" s="20">
        <f>=H288*0.9</f>
        <v>131.4</v>
      </c>
      <c r="G288" s="21">
        <v>133</v>
      </c>
      <c r="H288" s="39">
        <v>146</v>
      </c>
      <c r="I288" s="40">
        <f>=H288*1.05</f>
        <v>153.3</v>
      </c>
      <c r="J288" s="40">
        <f>=F288*2</f>
        <v>262.8</v>
      </c>
      <c r="K288" s="40">
        <f>=H288*2</f>
        <v>292</v>
      </c>
      <c r="L288" s="40">
        <f>=I288*2</f>
        <v>306.6</v>
      </c>
      <c r="M288" s="41" t="s">
        <v>211</v>
      </c>
      <c r="N288" s="41">
        <v>0.4</v>
      </c>
      <c r="O288" s="41" t="s"/>
      <c r="P288" s="41">
        <v>1</v>
      </c>
      <c r="Q288" s="41">
        <v>1</v>
      </c>
      <c r="R288" s="41" t="s">
        <v>16</v>
      </c>
      <c r="S288" s="41" t="s">
        <v>17</v>
      </c>
      <c r="T288" s="41" t="s">
        <v>76</v>
      </c>
      <c r="U288" s="16" t="s">
        <v>13</v>
      </c>
      <c r="V288" s="16" t="s">
        <v>19</v>
      </c>
      <c r="W288" s="29" t="s"/>
      <c r="X288" s="26" t="s">
        <f>=M288&amp;N288&amp;P288&amp;Q288&amp;T288&amp;V288&amp;S288</f>
        <v>347</v>
      </c>
      <c r="Y288" s="19" t="s"/>
      <c r="Z288" s="19" t="s"/>
      <c r="AA288" s="19" t="s"/>
      <c r="AB288" s="19" t="s"/>
    </row>
    <row r="289" spans="1:28" ht="14.4">
      <c r="A289" s="4">
        <f>=H289/G289-1</f>
        <v>0.099585062240664</v>
      </c>
      <c r="B289" s="20">
        <f>=F289/12</f>
        <v>19.875</v>
      </c>
      <c r="C289" s="20">
        <f>=J289/3</f>
        <v>159</v>
      </c>
      <c r="D289" s="20">
        <f>=K289/3</f>
        <v>176.666666666667</v>
      </c>
      <c r="E289" s="20">
        <f>=L289/3</f>
        <v>185.5</v>
      </c>
      <c r="F289" s="20">
        <f>=H289*0.9</f>
        <v>238.5</v>
      </c>
      <c r="G289" s="21">
        <v>241</v>
      </c>
      <c r="H289" s="39">
        <v>265</v>
      </c>
      <c r="I289" s="40">
        <f>=H289*1.05</f>
        <v>278.25</v>
      </c>
      <c r="J289" s="40">
        <f>=F289*2</f>
        <v>477</v>
      </c>
      <c r="K289" s="40">
        <f>=H289*2</f>
        <v>530</v>
      </c>
      <c r="L289" s="40">
        <f>=I289*2</f>
        <v>556.5</v>
      </c>
      <c r="M289" s="41" t="s">
        <v>211</v>
      </c>
      <c r="N289" s="41">
        <v>0.4</v>
      </c>
      <c r="O289" s="41" t="s"/>
      <c r="P289" s="41">
        <v>2</v>
      </c>
      <c r="Q289" s="41">
        <v>2</v>
      </c>
      <c r="R289" s="41" t="s">
        <v>16</v>
      </c>
      <c r="S289" s="41" t="s">
        <v>17</v>
      </c>
      <c r="T289" s="41" t="s">
        <v>76</v>
      </c>
      <c r="U289" s="16" t="s">
        <v>13</v>
      </c>
      <c r="V289" s="16" t="s">
        <v>19</v>
      </c>
      <c r="W289" s="29" t="s"/>
      <c r="X289" s="26" t="s">
        <f>=M289&amp;N289&amp;P289&amp;Q289&amp;T289&amp;V289&amp;S289</f>
        <v>348</v>
      </c>
      <c r="Y289" s="19" t="s"/>
      <c r="Z289" s="19" t="s"/>
      <c r="AA289" s="19" t="s"/>
      <c r="AB289" s="19" t="s"/>
    </row>
    <row r="290" spans="1:28" ht="14.4">
      <c r="A290" s="4">
        <f>=H290/G290-1</f>
        <v>0.0992063492063493</v>
      </c>
      <c r="B290" s="20">
        <f>=F290/12</f>
        <v>20.775</v>
      </c>
      <c r="C290" s="20">
        <f>=J290/3</f>
        <v>166.2</v>
      </c>
      <c r="D290" s="20">
        <f>=K290/3</f>
        <v>184.666666666667</v>
      </c>
      <c r="E290" s="20">
        <f>=L290/3</f>
        <v>193.9</v>
      </c>
      <c r="F290" s="20">
        <f>=H290*0.9</f>
        <v>249.3</v>
      </c>
      <c r="G290" s="21">
        <v>252</v>
      </c>
      <c r="H290" s="39">
        <v>277</v>
      </c>
      <c r="I290" s="40">
        <f>=H290*1.05</f>
        <v>290.85</v>
      </c>
      <c r="J290" s="40">
        <f>=F290*2</f>
        <v>498.6</v>
      </c>
      <c r="K290" s="40">
        <f>=H290*2</f>
        <v>554</v>
      </c>
      <c r="L290" s="40">
        <f>=I290*2</f>
        <v>581.7</v>
      </c>
      <c r="M290" s="41" t="s">
        <v>211</v>
      </c>
      <c r="N290" s="41">
        <v>0.4</v>
      </c>
      <c r="O290" s="41" t="s"/>
      <c r="P290" s="41">
        <v>2</v>
      </c>
      <c r="Q290" s="41">
        <v>2</v>
      </c>
      <c r="R290" s="41" t="s">
        <v>16</v>
      </c>
      <c r="S290" s="41" t="s">
        <v>17</v>
      </c>
      <c r="T290" s="41" t="s">
        <v>349</v>
      </c>
      <c r="U290" s="16" t="s">
        <v>13</v>
      </c>
      <c r="V290" s="16" t="s">
        <v>19</v>
      </c>
      <c r="W290" s="29" t="s"/>
      <c r="X290" s="26" t="s">
        <f>=M290&amp;N290&amp;P290&amp;Q290&amp;T290&amp;V290&amp;S290</f>
        <v>350</v>
      </c>
      <c r="Y290" s="19" t="s"/>
      <c r="Z290" s="19" t="s"/>
      <c r="AA290" s="19" t="s"/>
      <c r="AB290" s="19" t="s"/>
    </row>
    <row r="291" spans="1:28" ht="14.4">
      <c r="A291" s="4">
        <f>=H291/G291-1</f>
        <v>0.101333333333333</v>
      </c>
      <c r="B291" s="20">
        <f>=F291/12</f>
        <v>30.975</v>
      </c>
      <c r="C291" s="20">
        <f>=J291/3</f>
        <v>247.8</v>
      </c>
      <c r="D291" s="20">
        <f>=K291/3</f>
        <v>275.333333333333</v>
      </c>
      <c r="E291" s="20">
        <f>=L291/3</f>
        <v>289.1</v>
      </c>
      <c r="F291" s="20">
        <f>=H291*0.9</f>
        <v>371.7</v>
      </c>
      <c r="G291" s="21">
        <v>375</v>
      </c>
      <c r="H291" s="39">
        <v>413</v>
      </c>
      <c r="I291" s="40">
        <f>=H291*1.05</f>
        <v>433.65</v>
      </c>
      <c r="J291" s="40">
        <f>=F291*2</f>
        <v>743.4</v>
      </c>
      <c r="K291" s="40">
        <f>=H291*2</f>
        <v>826</v>
      </c>
      <c r="L291" s="40">
        <f>=I291*2</f>
        <v>867.3</v>
      </c>
      <c r="M291" s="41" t="s">
        <v>211</v>
      </c>
      <c r="N291" s="41">
        <v>0.4</v>
      </c>
      <c r="O291" s="41" t="s"/>
      <c r="P291" s="41">
        <v>3</v>
      </c>
      <c r="Q291" s="41">
        <v>3</v>
      </c>
      <c r="R291" s="41" t="s">
        <v>16</v>
      </c>
      <c r="S291" s="41" t="s">
        <v>17</v>
      </c>
      <c r="T291" s="41" t="s">
        <v>76</v>
      </c>
      <c r="U291" s="16" t="s">
        <v>13</v>
      </c>
      <c r="V291" s="16" t="s">
        <v>19</v>
      </c>
      <c r="W291" s="29" t="s"/>
      <c r="X291" s="26" t="s">
        <f>=M291&amp;N291&amp;P291&amp;Q291&amp;T291&amp;V291&amp;S291</f>
        <v>351</v>
      </c>
      <c r="Y291" s="19" t="s"/>
      <c r="Z291" s="19" t="s"/>
      <c r="AA291" s="19" t="s"/>
      <c r="AB291" s="19" t="s"/>
    </row>
    <row r="292" spans="1:28" ht="14.4">
      <c r="A292" s="4">
        <f>=H292/G292-1</f>
        <v>0</v>
      </c>
      <c r="B292" s="20">
        <f>=F292/12</f>
        <v>42</v>
      </c>
      <c r="C292" s="20">
        <f>=J292/3</f>
        <v>336</v>
      </c>
      <c r="D292" s="20">
        <f>=K292/3</f>
        <v>373.333333333333</v>
      </c>
      <c r="E292" s="20">
        <f>=L292/3</f>
        <v>392</v>
      </c>
      <c r="F292" s="20">
        <f>=H292*0.9</f>
        <v>504</v>
      </c>
      <c r="G292" s="21">
        <v>560</v>
      </c>
      <c r="H292" s="39">
        <v>560</v>
      </c>
      <c r="I292" s="40">
        <f>=H292*1.05</f>
        <v>588</v>
      </c>
      <c r="J292" s="40">
        <f>=F292*2</f>
        <v>1008</v>
      </c>
      <c r="K292" s="40">
        <f>=H292*2</f>
        <v>1120</v>
      </c>
      <c r="L292" s="40">
        <f>=I292*2</f>
        <v>1176</v>
      </c>
      <c r="M292" s="41" t="s">
        <v>211</v>
      </c>
      <c r="N292" s="41">
        <v>0.4</v>
      </c>
      <c r="O292" s="41" t="s"/>
      <c r="P292" s="41">
        <v>4</v>
      </c>
      <c r="Q292" s="41">
        <v>4</v>
      </c>
      <c r="R292" s="41" t="s">
        <v>16</v>
      </c>
      <c r="S292" s="41" t="s">
        <v>17</v>
      </c>
      <c r="T292" s="41" t="s">
        <v>76</v>
      </c>
      <c r="U292" s="16" t="s">
        <v>13</v>
      </c>
      <c r="V292" s="16" t="s">
        <v>19</v>
      </c>
      <c r="W292" s="17" t="s">
        <v>352</v>
      </c>
      <c r="X292" s="26" t="s">
        <f>=M292&amp;N292&amp;P292&amp;Q292&amp;T292&amp;V292&amp;S292</f>
        <v>353</v>
      </c>
      <c r="Y292" s="19" t="s"/>
      <c r="Z292" s="19" t="s"/>
      <c r="AA292" s="19" t="s"/>
      <c r="AB292" s="19" t="s"/>
    </row>
    <row r="293" spans="1:28" ht="14.4">
      <c r="A293" s="4">
        <f>=H293/G293-1</f>
        <v>0.0990099009900991</v>
      </c>
      <c r="B293" s="20">
        <f>=F293/12</f>
        <v>8.325</v>
      </c>
      <c r="C293" s="20">
        <f>=J293/3</f>
        <v>66.6</v>
      </c>
      <c r="D293" s="20">
        <f>=K293/3</f>
        <v>74</v>
      </c>
      <c r="E293" s="20">
        <f>=L293/3</f>
        <v>77.7</v>
      </c>
      <c r="F293" s="20">
        <f>=H293*0.9</f>
        <v>99.9</v>
      </c>
      <c r="G293" s="21">
        <v>101</v>
      </c>
      <c r="H293" s="39">
        <v>111</v>
      </c>
      <c r="I293" s="40">
        <f>=H293*1.05</f>
        <v>116.55</v>
      </c>
      <c r="J293" s="40">
        <f>=F293*2</f>
        <v>199.8</v>
      </c>
      <c r="K293" s="40">
        <f>=H293*2</f>
        <v>222</v>
      </c>
      <c r="L293" s="40">
        <f>=I293*2</f>
        <v>233.1</v>
      </c>
      <c r="M293" s="41" t="s">
        <v>211</v>
      </c>
      <c r="N293" s="41">
        <v>0.4</v>
      </c>
      <c r="O293" s="41" t="s"/>
      <c r="P293" s="41" t="s">
        <v>21</v>
      </c>
      <c r="Q293" s="41" t="s">
        <v>21</v>
      </c>
      <c r="R293" s="41" t="s">
        <v>16</v>
      </c>
      <c r="S293" s="41" t="s">
        <v>17</v>
      </c>
      <c r="T293" s="41" t="s">
        <v>76</v>
      </c>
      <c r="U293" s="16" t="s">
        <v>13</v>
      </c>
      <c r="V293" s="16" t="s">
        <v>19</v>
      </c>
      <c r="W293" s="19" t="s"/>
      <c r="X293" s="26" t="s">
        <f>=M293&amp;N293&amp;P293&amp;Q293&amp;T293&amp;V293&amp;S293</f>
        <v>354</v>
      </c>
      <c r="Y293" s="19" t="s"/>
      <c r="Z293" s="19" t="s"/>
      <c r="AA293" s="19" t="s"/>
      <c r="AB293" s="19" t="s"/>
    </row>
    <row r="294" spans="1:28" ht="14.4">
      <c r="A294" s="4">
        <f>=H294/G294-1</f>
        <v>0.0998415213946118</v>
      </c>
      <c r="B294" s="20">
        <f>=F294/12</f>
        <v>52.05</v>
      </c>
      <c r="C294" s="20">
        <f>=J294/3</f>
        <v>416.4</v>
      </c>
      <c r="D294" s="20">
        <f>=K294/3</f>
        <v>462.666666666667</v>
      </c>
      <c r="E294" s="20">
        <f>=L294/3</f>
        <v>485.8</v>
      </c>
      <c r="F294" s="20">
        <f>=H294*0.9</f>
        <v>624.6</v>
      </c>
      <c r="G294" s="21">
        <v>631</v>
      </c>
      <c r="H294" s="39">
        <v>694</v>
      </c>
      <c r="I294" s="40">
        <f>=H294*1.05</f>
        <v>728.7</v>
      </c>
      <c r="J294" s="40">
        <f>=F294*2</f>
        <v>1249.2</v>
      </c>
      <c r="K294" s="40">
        <f>=H294*2</f>
        <v>1388</v>
      </c>
      <c r="L294" s="40">
        <f>=I294*2</f>
        <v>1457.4</v>
      </c>
      <c r="M294" s="41" t="s">
        <v>211</v>
      </c>
      <c r="N294" s="41">
        <v>0.42</v>
      </c>
      <c r="O294" s="41" t="s"/>
      <c r="P294" s="41">
        <v>4</v>
      </c>
      <c r="Q294" s="41">
        <v>4</v>
      </c>
      <c r="R294" s="41" t="s">
        <v>16</v>
      </c>
      <c r="S294" s="41" t="s">
        <v>17</v>
      </c>
      <c r="T294" s="41" t="s">
        <v>76</v>
      </c>
      <c r="U294" s="16" t="s">
        <v>13</v>
      </c>
      <c r="V294" s="16" t="s">
        <v>19</v>
      </c>
      <c r="W294" s="19" t="s"/>
      <c r="X294" s="26" t="s">
        <f>=M294&amp;N294&amp;P294&amp;Q294&amp;T294&amp;V294&amp;S294</f>
        <v>355</v>
      </c>
      <c r="Y294" s="19" t="s"/>
      <c r="Z294" s="19" t="s"/>
      <c r="AA294" s="19" t="s"/>
      <c r="AB294" s="19" t="s"/>
    </row>
    <row r="295" spans="1:28" ht="14.4">
      <c r="A295" s="4">
        <f>=H295/G295-1</f>
        <v>0.103448275862069</v>
      </c>
      <c r="B295" s="20">
        <f>=F295/12</f>
        <v>12</v>
      </c>
      <c r="C295" s="20">
        <f>=J295/3</f>
        <v>96</v>
      </c>
      <c r="D295" s="20">
        <f>=K295/3</f>
        <v>106.666666666667</v>
      </c>
      <c r="E295" s="20">
        <f>=L295/3</f>
        <v>112</v>
      </c>
      <c r="F295" s="20">
        <f>=H295*0.9</f>
        <v>144</v>
      </c>
      <c r="G295" s="21">
        <v>145</v>
      </c>
      <c r="H295" s="39">
        <v>160</v>
      </c>
      <c r="I295" s="40">
        <f>=H295*1.05</f>
        <v>168</v>
      </c>
      <c r="J295" s="40">
        <f>=F295*2</f>
        <v>288</v>
      </c>
      <c r="K295" s="40">
        <f>=H295*2</f>
        <v>320</v>
      </c>
      <c r="L295" s="40">
        <f>=I295*2</f>
        <v>336</v>
      </c>
      <c r="M295" s="41" t="s">
        <v>211</v>
      </c>
      <c r="N295" s="41">
        <v>0.43</v>
      </c>
      <c r="O295" s="41" t="s"/>
      <c r="P295" s="41">
        <v>1</v>
      </c>
      <c r="Q295" s="41">
        <v>1</v>
      </c>
      <c r="R295" s="41" t="s">
        <v>16</v>
      </c>
      <c r="S295" s="41" t="s">
        <v>17</v>
      </c>
      <c r="T295" s="41" t="s">
        <v>91</v>
      </c>
      <c r="U295" s="16" t="s">
        <v>13</v>
      </c>
      <c r="V295" s="16" t="s">
        <v>19</v>
      </c>
      <c r="W295" s="19" t="s"/>
      <c r="X295" s="26" t="s">
        <f>=M295&amp;N295&amp;P295&amp;Q295&amp;T295&amp;V295&amp;S295</f>
        <v>356</v>
      </c>
      <c r="Y295" s="19" t="s"/>
      <c r="Z295" s="19" t="s"/>
      <c r="AA295" s="19" t="s"/>
      <c r="AB295" s="19" t="s"/>
    </row>
    <row r="296" spans="1:28" ht="14.4">
      <c r="A296" s="4">
        <f>=H296/G296-1</f>
        <v>0.101960784313726</v>
      </c>
      <c r="B296" s="20">
        <f>=F296/12</f>
        <v>21.075</v>
      </c>
      <c r="C296" s="20">
        <f>=J296/3</f>
        <v>168.6</v>
      </c>
      <c r="D296" s="20">
        <f>=K296/3</f>
        <v>187.333333333333</v>
      </c>
      <c r="E296" s="20">
        <f>=L296/3</f>
        <v>196.7</v>
      </c>
      <c r="F296" s="20">
        <f>=H296*0.9</f>
        <v>252.9</v>
      </c>
      <c r="G296" s="21">
        <v>255</v>
      </c>
      <c r="H296" s="39">
        <v>281</v>
      </c>
      <c r="I296" s="40">
        <f>=H296*1.05</f>
        <v>295.05</v>
      </c>
      <c r="J296" s="40">
        <f>=F296*2</f>
        <v>505.8</v>
      </c>
      <c r="K296" s="40">
        <f>=H296*2</f>
        <v>562</v>
      </c>
      <c r="L296" s="40">
        <f>=I296*2</f>
        <v>590.1</v>
      </c>
      <c r="M296" s="41" t="s">
        <v>211</v>
      </c>
      <c r="N296" s="41">
        <v>0.43</v>
      </c>
      <c r="O296" s="41" t="s"/>
      <c r="P296" s="41">
        <v>2</v>
      </c>
      <c r="Q296" s="41">
        <v>2</v>
      </c>
      <c r="R296" s="41" t="s">
        <v>16</v>
      </c>
      <c r="S296" s="41" t="s">
        <v>17</v>
      </c>
      <c r="T296" s="41" t="s">
        <v>91</v>
      </c>
      <c r="U296" s="16" t="s">
        <v>13</v>
      </c>
      <c r="V296" s="16" t="s">
        <v>19</v>
      </c>
      <c r="W296" s="19" t="s"/>
      <c r="X296" s="26" t="s">
        <f>=M296&amp;N296&amp;P296&amp;Q296&amp;T296&amp;V296&amp;S296</f>
        <v>357</v>
      </c>
      <c r="Y296" s="19" t="s"/>
      <c r="Z296" s="19" t="s"/>
      <c r="AA296" s="19" t="s"/>
      <c r="AB296" s="19" t="s"/>
    </row>
    <row r="297" spans="1:28" ht="14.4">
      <c r="A297" s="4">
        <f>=H297/G297-1</f>
        <v>0.10126582278481</v>
      </c>
      <c r="B297" s="20">
        <f>=F297/12</f>
        <v>32.625</v>
      </c>
      <c r="C297" s="20">
        <f>=J297/3</f>
        <v>261</v>
      </c>
      <c r="D297" s="20">
        <f>=K297/3</f>
        <v>290</v>
      </c>
      <c r="E297" s="20">
        <f>=L297/3</f>
        <v>304.5</v>
      </c>
      <c r="F297" s="20">
        <f>=H297*0.9</f>
        <v>391.5</v>
      </c>
      <c r="G297" s="21">
        <v>395</v>
      </c>
      <c r="H297" s="39">
        <v>435</v>
      </c>
      <c r="I297" s="40">
        <f>=H297*1.05</f>
        <v>456.75</v>
      </c>
      <c r="J297" s="40">
        <f>=F297*2</f>
        <v>783</v>
      </c>
      <c r="K297" s="40">
        <f>=H297*2</f>
        <v>870</v>
      </c>
      <c r="L297" s="40">
        <f>=I297*2</f>
        <v>913.5</v>
      </c>
      <c r="M297" s="41" t="s">
        <v>211</v>
      </c>
      <c r="N297" s="41">
        <v>0.43</v>
      </c>
      <c r="O297" s="41" t="s"/>
      <c r="P297" s="41">
        <v>3</v>
      </c>
      <c r="Q297" s="41">
        <v>3</v>
      </c>
      <c r="R297" s="41" t="s">
        <v>16</v>
      </c>
      <c r="S297" s="41" t="s">
        <v>17</v>
      </c>
      <c r="T297" s="41" t="s">
        <v>91</v>
      </c>
      <c r="U297" s="16" t="s">
        <v>13</v>
      </c>
      <c r="V297" s="16" t="s">
        <v>19</v>
      </c>
      <c r="W297" s="19" t="s"/>
      <c r="X297" s="26" t="s">
        <f>=M297&amp;N297&amp;P297&amp;Q297&amp;T297&amp;V297&amp;S297</f>
        <v>358</v>
      </c>
      <c r="Y297" s="19" t="s"/>
      <c r="Z297" s="19" t="s"/>
      <c r="AA297" s="19" t="s"/>
      <c r="AB297" s="19" t="s"/>
    </row>
    <row r="298" spans="1:28" ht="14.4">
      <c r="A298" s="4">
        <f>=H298/G298-1</f>
        <v>0.0990990990990992</v>
      </c>
      <c r="B298" s="20">
        <f>=F298/12</f>
        <v>9.15</v>
      </c>
      <c r="C298" s="20">
        <f>=J298/3</f>
        <v>73.2</v>
      </c>
      <c r="D298" s="20">
        <f>=K298/3</f>
        <v>81.3333333333333</v>
      </c>
      <c r="E298" s="20">
        <f>=L298/3</f>
        <v>85.4</v>
      </c>
      <c r="F298" s="20">
        <f>=H298*0.9</f>
        <v>109.8</v>
      </c>
      <c r="G298" s="21">
        <v>111</v>
      </c>
      <c r="H298" s="39">
        <v>122</v>
      </c>
      <c r="I298" s="40">
        <f>=H298*1.05</f>
        <v>128.1</v>
      </c>
      <c r="J298" s="40">
        <f>=F298*2</f>
        <v>219.6</v>
      </c>
      <c r="K298" s="40">
        <f>=H298*2</f>
        <v>244</v>
      </c>
      <c r="L298" s="40">
        <f>=I298*2</f>
        <v>256.2</v>
      </c>
      <c r="M298" s="41" t="s">
        <v>211</v>
      </c>
      <c r="N298" s="41">
        <v>0.43</v>
      </c>
      <c r="O298" s="41" t="s"/>
      <c r="P298" s="41" t="s">
        <v>21</v>
      </c>
      <c r="Q298" s="41" t="s">
        <v>21</v>
      </c>
      <c r="R298" s="41" t="s">
        <v>16</v>
      </c>
      <c r="S298" s="41" t="s">
        <v>17</v>
      </c>
      <c r="T298" s="41" t="s">
        <v>91</v>
      </c>
      <c r="U298" s="16" t="s">
        <v>13</v>
      </c>
      <c r="V298" s="16" t="s">
        <v>19</v>
      </c>
      <c r="W298" s="19" t="s"/>
      <c r="X298" s="37" t="s">
        <f>=M298&amp;N298&amp;P298&amp;Q298&amp;T298&amp;V298&amp;S298</f>
        <v>359</v>
      </c>
      <c r="Y298" s="19" t="s"/>
      <c r="Z298" s="19" t="s"/>
      <c r="AA298" s="19" t="s"/>
      <c r="AB298" s="19" t="s"/>
    </row>
    <row r="299" spans="1:28" ht="14.4">
      <c r="A299" s="4">
        <f>=H299/G299-1</f>
        <v>0.103448275862069</v>
      </c>
      <c r="B299" s="20">
        <f>=F299/12</f>
        <v>9.6</v>
      </c>
      <c r="C299" s="20">
        <f>=J299/3</f>
        <v>76.8</v>
      </c>
      <c r="D299" s="20">
        <f>=K299/3</f>
        <v>85.3333333333333</v>
      </c>
      <c r="E299" s="20">
        <f>=L299/3</f>
        <v>89.6</v>
      </c>
      <c r="F299" s="20">
        <f>=H299*0.9</f>
        <v>115.2</v>
      </c>
      <c r="G299" s="21">
        <v>116</v>
      </c>
      <c r="H299" s="39">
        <v>128</v>
      </c>
      <c r="I299" s="40">
        <f>=H299*1.05</f>
        <v>134.4</v>
      </c>
      <c r="J299" s="40">
        <f>=F299*2</f>
        <v>230.4</v>
      </c>
      <c r="K299" s="40">
        <f>=H299*2</f>
        <v>256</v>
      </c>
      <c r="L299" s="40">
        <f>=I299*2</f>
        <v>268.8</v>
      </c>
      <c r="M299" s="41" t="s">
        <v>211</v>
      </c>
      <c r="N299" s="41">
        <v>0.45</v>
      </c>
      <c r="O299" s="41" t="s"/>
      <c r="P299" s="41">
        <v>1</v>
      </c>
      <c r="Q299" s="41" t="s">
        <v>21</v>
      </c>
      <c r="R299" s="41" t="s">
        <v>16</v>
      </c>
      <c r="S299" s="41" t="s">
        <v>17</v>
      </c>
      <c r="T299" s="41" t="s">
        <v>91</v>
      </c>
      <c r="U299" s="16" t="s">
        <v>13</v>
      </c>
      <c r="V299" s="16" t="s">
        <v>19</v>
      </c>
      <c r="W299" s="19" t="s"/>
      <c r="X299" s="26" t="s">
        <f>=M299&amp;N299&amp;P299&amp;Q299&amp;T299&amp;V299&amp;S299</f>
        <v>360</v>
      </c>
      <c r="Y299" s="19" t="s"/>
      <c r="Z299" s="19" t="s"/>
      <c r="AA299" s="19" t="s"/>
      <c r="AB299" s="19" t="s"/>
    </row>
    <row r="300" spans="1:28" ht="14.4">
      <c r="A300" s="4">
        <f>=H300/G300-1</f>
        <v>0.10126582278481</v>
      </c>
      <c r="B300" s="20">
        <f>=F300/12</f>
        <v>32.625</v>
      </c>
      <c r="C300" s="20">
        <f>=J300/3</f>
        <v>261</v>
      </c>
      <c r="D300" s="20">
        <f>=K300/3</f>
        <v>290</v>
      </c>
      <c r="E300" s="20">
        <f>=L300/3</f>
        <v>304.5</v>
      </c>
      <c r="F300" s="20">
        <f>=H300*0.9</f>
        <v>391.5</v>
      </c>
      <c r="G300" s="21">
        <v>395</v>
      </c>
      <c r="H300" s="39">
        <v>435</v>
      </c>
      <c r="I300" s="40">
        <f>=H300*1.05</f>
        <v>456.75</v>
      </c>
      <c r="J300" s="40">
        <f>=F300*2</f>
        <v>783</v>
      </c>
      <c r="K300" s="40">
        <f>=H300*2</f>
        <v>870</v>
      </c>
      <c r="L300" s="40">
        <f>=I300*2</f>
        <v>913.5</v>
      </c>
      <c r="M300" s="41" t="s">
        <v>211</v>
      </c>
      <c r="N300" s="41">
        <v>0.45</v>
      </c>
      <c r="O300" s="41" t="s"/>
      <c r="P300" s="41">
        <v>3</v>
      </c>
      <c r="Q300" s="41">
        <v>3</v>
      </c>
      <c r="R300" s="41" t="s">
        <v>16</v>
      </c>
      <c r="S300" s="41" t="s">
        <v>17</v>
      </c>
      <c r="T300" s="41" t="s">
        <v>91</v>
      </c>
      <c r="U300" s="16" t="s">
        <v>13</v>
      </c>
      <c r="V300" s="16" t="s">
        <v>19</v>
      </c>
      <c r="W300" s="19" t="s"/>
      <c r="X300" s="26" t="s">
        <f>=M300&amp;N300&amp;P300&amp;Q300&amp;T300&amp;V300&amp;S300</f>
        <v>361</v>
      </c>
      <c r="Y300" s="19" t="s"/>
      <c r="Z300" s="19" t="s"/>
      <c r="AA300" s="19" t="s"/>
      <c r="AB300" s="19" t="s"/>
    </row>
    <row r="301" spans="1:28" ht="14.4">
      <c r="A301" s="4">
        <f>=H301/G301-1</f>
        <v>0.102040816326531</v>
      </c>
      <c r="B301" s="20">
        <f>=F301/12</f>
        <v>12.15</v>
      </c>
      <c r="C301" s="20">
        <f>=J301/3</f>
        <v>97.2</v>
      </c>
      <c r="D301" s="20">
        <f>=K301/3</f>
        <v>108</v>
      </c>
      <c r="E301" s="20">
        <f>=L301/3</f>
        <v>113.4</v>
      </c>
      <c r="F301" s="20">
        <f>=H301*0.9</f>
        <v>145.8</v>
      </c>
      <c r="G301" s="21">
        <v>147</v>
      </c>
      <c r="H301" s="39">
        <v>162</v>
      </c>
      <c r="I301" s="40">
        <f>=H301*1.05</f>
        <v>170.1</v>
      </c>
      <c r="J301" s="40">
        <f>=F301*2</f>
        <v>291.6</v>
      </c>
      <c r="K301" s="40">
        <f>=H301*2</f>
        <v>324</v>
      </c>
      <c r="L301" s="40">
        <f>=I301*2</f>
        <v>340.2</v>
      </c>
      <c r="M301" s="41" t="s">
        <v>211</v>
      </c>
      <c r="N301" s="41">
        <v>0.46</v>
      </c>
      <c r="O301" s="41" t="s"/>
      <c r="P301" s="41">
        <v>1</v>
      </c>
      <c r="Q301" s="41">
        <v>1</v>
      </c>
      <c r="R301" s="41" t="s">
        <v>16</v>
      </c>
      <c r="S301" s="41" t="s">
        <v>17</v>
      </c>
      <c r="T301" s="41" t="s">
        <v>91</v>
      </c>
      <c r="U301" s="16" t="s">
        <v>13</v>
      </c>
      <c r="V301" s="16" t="s">
        <v>19</v>
      </c>
      <c r="W301" s="19" t="s"/>
      <c r="X301" s="26" t="s">
        <f>=M301&amp;N301&amp;P301&amp;Q301&amp;T301&amp;V301&amp;S301</f>
        <v>362</v>
      </c>
      <c r="Y301" s="19" t="s"/>
      <c r="Z301" s="19" t="s"/>
      <c r="AA301" s="19" t="s"/>
      <c r="AB301" s="19" t="s"/>
    </row>
    <row r="302" spans="1:28" ht="14.4">
      <c r="A302" s="4">
        <f>=H302/G302-1</f>
        <v>0.101626016260163</v>
      </c>
      <c r="B302" s="20">
        <f>=F302/12</f>
        <v>20.325</v>
      </c>
      <c r="C302" s="20">
        <f>=J302/3</f>
        <v>162.6</v>
      </c>
      <c r="D302" s="20">
        <f>=K302/3</f>
        <v>180.666666666667</v>
      </c>
      <c r="E302" s="20">
        <f>=L302/3</f>
        <v>189.7</v>
      </c>
      <c r="F302" s="20">
        <f>=H302*0.9</f>
        <v>243.9</v>
      </c>
      <c r="G302" s="21">
        <v>246</v>
      </c>
      <c r="H302" s="39">
        <v>271</v>
      </c>
      <c r="I302" s="40">
        <f>=H302*1.05</f>
        <v>284.55</v>
      </c>
      <c r="J302" s="40">
        <f>=F302*2</f>
        <v>487.8</v>
      </c>
      <c r="K302" s="40">
        <f>=H302*2</f>
        <v>542</v>
      </c>
      <c r="L302" s="40">
        <f>=I302*2</f>
        <v>569.1</v>
      </c>
      <c r="M302" s="41" t="s">
        <v>211</v>
      </c>
      <c r="N302" s="41">
        <v>0.46</v>
      </c>
      <c r="O302" s="41" t="s"/>
      <c r="P302" s="41">
        <v>2</v>
      </c>
      <c r="Q302" s="41">
        <v>1</v>
      </c>
      <c r="R302" s="41" t="s">
        <v>16</v>
      </c>
      <c r="S302" s="41" t="s">
        <v>17</v>
      </c>
      <c r="T302" s="41" t="s"/>
      <c r="U302" s="16" t="s">
        <v>13</v>
      </c>
      <c r="V302" s="16" t="s">
        <v>19</v>
      </c>
      <c r="W302" s="19" t="s"/>
      <c r="X302" s="26" t="s">
        <f>=M302&amp;N302&amp;P302&amp;Q302&amp;T302&amp;V302&amp;S302</f>
        <v>363</v>
      </c>
      <c r="Y302" s="19" t="s"/>
      <c r="Z302" s="19" t="s"/>
      <c r="AA302" s="19" t="s"/>
      <c r="AB302" s="19" t="s"/>
    </row>
    <row r="303" spans="1:28" ht="14.4">
      <c r="A303" s="4">
        <f>=H303/G303-1</f>
        <v>0.101626016260163</v>
      </c>
      <c r="B303" s="20">
        <f>=F303/12</f>
        <v>20.325</v>
      </c>
      <c r="C303" s="20">
        <f>=J303/3</f>
        <v>162.6</v>
      </c>
      <c r="D303" s="20">
        <f>=K303/3</f>
        <v>180.666666666667</v>
      </c>
      <c r="E303" s="20">
        <f>=L303/3</f>
        <v>189.7</v>
      </c>
      <c r="F303" s="20">
        <f>=H303*0.9</f>
        <v>243.9</v>
      </c>
      <c r="G303" s="21">
        <v>246</v>
      </c>
      <c r="H303" s="39">
        <v>271</v>
      </c>
      <c r="I303" s="40">
        <f>=H303*1.05</f>
        <v>284.55</v>
      </c>
      <c r="J303" s="40">
        <f>=F303*2</f>
        <v>487.8</v>
      </c>
      <c r="K303" s="40">
        <f>=H303*2</f>
        <v>542</v>
      </c>
      <c r="L303" s="40">
        <f>=I303*2</f>
        <v>569.1</v>
      </c>
      <c r="M303" s="41" t="s">
        <v>211</v>
      </c>
      <c r="N303" s="41">
        <v>0.46</v>
      </c>
      <c r="O303" s="41" t="s"/>
      <c r="P303" s="41">
        <v>2</v>
      </c>
      <c r="Q303" s="41">
        <v>2</v>
      </c>
      <c r="R303" s="41" t="s">
        <v>16</v>
      </c>
      <c r="S303" s="41" t="s">
        <v>17</v>
      </c>
      <c r="T303" s="41" t="s">
        <v>91</v>
      </c>
      <c r="U303" s="16" t="s">
        <v>13</v>
      </c>
      <c r="V303" s="16" t="s">
        <v>19</v>
      </c>
      <c r="W303" s="19" t="s"/>
      <c r="X303" s="26" t="s">
        <f>=M303&amp;N303&amp;P303&amp;Q303&amp;T303&amp;V303&amp;S303</f>
        <v>364</v>
      </c>
      <c r="Y303" s="19" t="s"/>
      <c r="Z303" s="19" t="s"/>
      <c r="AA303" s="19" t="s"/>
      <c r="AB303" s="19" t="s"/>
    </row>
    <row r="304" spans="1:28" ht="14.4">
      <c r="A304" s="4">
        <f>=H304/G304-1</f>
        <v>0.101626016260163</v>
      </c>
      <c r="B304" s="20">
        <f>=F304/12</f>
        <v>20.325</v>
      </c>
      <c r="C304" s="20">
        <f>=J304/3</f>
        <v>162.6</v>
      </c>
      <c r="D304" s="20">
        <f>=K304/3</f>
        <v>180.666666666667</v>
      </c>
      <c r="E304" s="20">
        <f>=L304/3</f>
        <v>189.7</v>
      </c>
      <c r="F304" s="20">
        <f>=H304*0.9</f>
        <v>243.9</v>
      </c>
      <c r="G304" s="21">
        <v>246</v>
      </c>
      <c r="H304" s="39">
        <v>271</v>
      </c>
      <c r="I304" s="40">
        <f>=H304*1.05</f>
        <v>284.55</v>
      </c>
      <c r="J304" s="40">
        <f>=F304*2</f>
        <v>487.8</v>
      </c>
      <c r="K304" s="40">
        <f>=H304*2</f>
        <v>542</v>
      </c>
      <c r="L304" s="40">
        <f>=I304*2</f>
        <v>569.1</v>
      </c>
      <c r="M304" s="41" t="s">
        <v>211</v>
      </c>
      <c r="N304" s="41">
        <v>0.46</v>
      </c>
      <c r="O304" s="41" t="s"/>
      <c r="P304" s="41">
        <v>2</v>
      </c>
      <c r="Q304" s="41">
        <v>2</v>
      </c>
      <c r="R304" s="41" t="s">
        <v>16</v>
      </c>
      <c r="S304" s="41" t="s">
        <v>17</v>
      </c>
      <c r="T304" s="41" t="s">
        <v>102</v>
      </c>
      <c r="U304" s="16" t="s">
        <v>13</v>
      </c>
      <c r="V304" s="16" t="s">
        <v>19</v>
      </c>
      <c r="W304" s="19" t="s"/>
      <c r="X304" s="26" t="s">
        <f>=M304&amp;N304&amp;P304&amp;Q304&amp;T304&amp;V304&amp;S304</f>
        <v>365</v>
      </c>
      <c r="Y304" s="19" t="s"/>
      <c r="Z304" s="19" t="s"/>
      <c r="AA304" s="19" t="s"/>
      <c r="AB304" s="19" t="s"/>
    </row>
    <row r="305" spans="1:28" ht="14.4">
      <c r="A305" s="4">
        <f>=H305/G305-1</f>
        <v>0.10126582278481</v>
      </c>
      <c r="B305" s="20">
        <f>=F305/12</f>
        <v>32.625</v>
      </c>
      <c r="C305" s="20">
        <f>=J305/3</f>
        <v>261</v>
      </c>
      <c r="D305" s="20">
        <f>=K305/3</f>
        <v>290</v>
      </c>
      <c r="E305" s="20">
        <f>=L305/3</f>
        <v>304.5</v>
      </c>
      <c r="F305" s="20">
        <f>=H305*0.9</f>
        <v>391.5</v>
      </c>
      <c r="G305" s="21">
        <v>395</v>
      </c>
      <c r="H305" s="39">
        <v>435</v>
      </c>
      <c r="I305" s="40">
        <f>=H305*1.05</f>
        <v>456.75</v>
      </c>
      <c r="J305" s="40">
        <f>=F305*2</f>
        <v>783</v>
      </c>
      <c r="K305" s="40">
        <f>=H305*2</f>
        <v>870</v>
      </c>
      <c r="L305" s="40">
        <f>=I305*2</f>
        <v>913.5</v>
      </c>
      <c r="M305" s="41" t="s">
        <v>211</v>
      </c>
      <c r="N305" s="41">
        <v>0.46</v>
      </c>
      <c r="O305" s="41" t="s"/>
      <c r="P305" s="41">
        <v>3</v>
      </c>
      <c r="Q305" s="41">
        <v>3</v>
      </c>
      <c r="R305" s="41" t="s">
        <v>16</v>
      </c>
      <c r="S305" s="41" t="s">
        <v>17</v>
      </c>
      <c r="T305" s="41" t="s">
        <v>91</v>
      </c>
      <c r="U305" s="16" t="s">
        <v>13</v>
      </c>
      <c r="V305" s="16" t="s">
        <v>19</v>
      </c>
      <c r="W305" s="19" t="s"/>
      <c r="X305" s="26" t="s">
        <f>=M305&amp;N305&amp;P305&amp;Q305&amp;T305&amp;V305&amp;S305</f>
        <v>366</v>
      </c>
      <c r="Y305" s="19" t="s"/>
      <c r="Z305" s="19" t="s"/>
      <c r="AA305" s="19" t="s"/>
      <c r="AB305" s="19" t="s"/>
    </row>
    <row r="306" spans="1:28" ht="14.4">
      <c r="A306" s="4">
        <f>=H306/G306-1</f>
        <v>0.0998463901689708</v>
      </c>
      <c r="B306" s="20">
        <f>=F306/12</f>
        <v>53.7</v>
      </c>
      <c r="C306" s="20">
        <f>=J306/3</f>
        <v>429.6</v>
      </c>
      <c r="D306" s="20">
        <f>=K306/3</f>
        <v>477.333333333333</v>
      </c>
      <c r="E306" s="20">
        <f>=L306/3</f>
        <v>501.2</v>
      </c>
      <c r="F306" s="20">
        <f>=H306*0.9</f>
        <v>644.4</v>
      </c>
      <c r="G306" s="21">
        <v>651</v>
      </c>
      <c r="H306" s="39">
        <v>716</v>
      </c>
      <c r="I306" s="40">
        <f>=H306*1.05</f>
        <v>751.8</v>
      </c>
      <c r="J306" s="40">
        <f>=F306*2</f>
        <v>1288.8</v>
      </c>
      <c r="K306" s="40">
        <f>=H306*2</f>
        <v>1432</v>
      </c>
      <c r="L306" s="40">
        <f>=I306*2</f>
        <v>1503.6</v>
      </c>
      <c r="M306" s="41" t="s">
        <v>211</v>
      </c>
      <c r="N306" s="41">
        <v>0.46</v>
      </c>
      <c r="O306" s="41" t="s"/>
      <c r="P306" s="41">
        <v>4</v>
      </c>
      <c r="Q306" s="41">
        <v>4</v>
      </c>
      <c r="R306" s="41" t="s">
        <v>16</v>
      </c>
      <c r="S306" s="41" t="s">
        <v>17</v>
      </c>
      <c r="T306" s="41" t="s">
        <v>91</v>
      </c>
      <c r="U306" s="16" t="s">
        <v>13</v>
      </c>
      <c r="V306" s="16" t="s">
        <v>19</v>
      </c>
      <c r="W306" s="19" t="s"/>
      <c r="X306" s="26" t="s">
        <f>=M306&amp;N306&amp;P306&amp;Q306&amp;T306&amp;V306&amp;S306</f>
        <v>367</v>
      </c>
      <c r="Y306" s="19" t="s"/>
      <c r="Z306" s="19" t="s"/>
      <c r="AA306" s="19" t="s"/>
      <c r="AB306" s="19" t="s"/>
    </row>
    <row r="307" spans="1:28" ht="14.4">
      <c r="A307" s="4">
        <f>=H307/G307-1</f>
        <v>0.0990990990990992</v>
      </c>
      <c r="B307" s="20">
        <f>=F307/12</f>
        <v>9.15</v>
      </c>
      <c r="C307" s="20">
        <f>=J307/3</f>
        <v>73.2</v>
      </c>
      <c r="D307" s="20">
        <f>=K307/3</f>
        <v>81.3333333333333</v>
      </c>
      <c r="E307" s="20">
        <f>=L307/3</f>
        <v>85.4</v>
      </c>
      <c r="F307" s="20">
        <f>=H307*0.9</f>
        <v>109.8</v>
      </c>
      <c r="G307" s="21">
        <v>111</v>
      </c>
      <c r="H307" s="39">
        <v>122</v>
      </c>
      <c r="I307" s="40">
        <f>=H307*1.05</f>
        <v>128.1</v>
      </c>
      <c r="J307" s="40">
        <f>=F307*2</f>
        <v>219.6</v>
      </c>
      <c r="K307" s="40">
        <f>=H307*2</f>
        <v>244</v>
      </c>
      <c r="L307" s="40">
        <f>=I307*2</f>
        <v>256.2</v>
      </c>
      <c r="M307" s="41" t="s">
        <v>211</v>
      </c>
      <c r="N307" s="41">
        <v>0.46</v>
      </c>
      <c r="O307" s="41" t="s"/>
      <c r="P307" s="41" t="s">
        <v>21</v>
      </c>
      <c r="Q307" s="41" t="s">
        <v>21</v>
      </c>
      <c r="R307" s="41" t="s">
        <v>16</v>
      </c>
      <c r="S307" s="41" t="s">
        <v>17</v>
      </c>
      <c r="T307" s="41" t="s">
        <v>91</v>
      </c>
      <c r="U307" s="16" t="s">
        <v>13</v>
      </c>
      <c r="V307" s="16" t="s">
        <v>19</v>
      </c>
      <c r="W307" s="19" t="s"/>
      <c r="X307" s="26" t="s">
        <f>=M307&amp;N307&amp;P307&amp;Q307&amp;T307&amp;V307&amp;S307</f>
        <v>368</v>
      </c>
      <c r="Y307" s="19" t="s"/>
      <c r="Z307" s="19" t="s"/>
      <c r="AA307" s="19" t="s"/>
      <c r="AB307" s="19" t="s"/>
    </row>
    <row r="308" spans="1:28" ht="14.4">
      <c r="A308" s="4">
        <f>=H308/G308-1</f>
        <v>0.0990990990990992</v>
      </c>
      <c r="B308" s="20">
        <f>=F308/12</f>
        <v>9.15</v>
      </c>
      <c r="C308" s="20">
        <f>=J308/3</f>
        <v>73.2</v>
      </c>
      <c r="D308" s="20">
        <f>=K308/3</f>
        <v>81.3333333333333</v>
      </c>
      <c r="E308" s="20">
        <f>=L308/3</f>
        <v>85.4</v>
      </c>
      <c r="F308" s="20">
        <f>=H308*0.9</f>
        <v>109.8</v>
      </c>
      <c r="G308" s="21">
        <v>111</v>
      </c>
      <c r="H308" s="39">
        <v>122</v>
      </c>
      <c r="I308" s="40">
        <f>=H308*1.05</f>
        <v>128.1</v>
      </c>
      <c r="J308" s="40">
        <f>=F308*2</f>
        <v>219.6</v>
      </c>
      <c r="K308" s="40">
        <f>=H308*2</f>
        <v>244</v>
      </c>
      <c r="L308" s="40">
        <f>=I308*2</f>
        <v>256.2</v>
      </c>
      <c r="M308" s="41" t="s">
        <v>211</v>
      </c>
      <c r="N308" s="41">
        <v>0.46</v>
      </c>
      <c r="O308" s="41" t="s"/>
      <c r="P308" s="41" t="s">
        <v>21</v>
      </c>
      <c r="Q308" s="41" t="s">
        <v>21</v>
      </c>
      <c r="R308" s="41" t="s">
        <v>16</v>
      </c>
      <c r="S308" s="41" t="s">
        <v>17</v>
      </c>
      <c r="T308" s="41" t="s">
        <v>93</v>
      </c>
      <c r="U308" s="16" t="s">
        <v>13</v>
      </c>
      <c r="V308" s="16" t="s">
        <v>19</v>
      </c>
      <c r="W308" s="19" t="s"/>
      <c r="X308" s="26" t="s">
        <f>=M308&amp;N308&amp;P308&amp;Q308&amp;T308&amp;V308&amp;S308</f>
        <v>369</v>
      </c>
      <c r="Y308" s="19" t="s"/>
      <c r="Z308" s="19" t="s"/>
      <c r="AA308" s="19" t="s"/>
      <c r="AB308" s="19" t="s"/>
    </row>
    <row r="309" spans="1:28" ht="14.4">
      <c r="A309" s="4">
        <f>=H309/G309-1</f>
        <v>0.103448275862069</v>
      </c>
      <c r="B309" s="20">
        <f>=F309/12</f>
        <v>9.6</v>
      </c>
      <c r="C309" s="20">
        <f>=J309/3</f>
        <v>76.8</v>
      </c>
      <c r="D309" s="20">
        <f>=K309/3</f>
        <v>85.3333333333333</v>
      </c>
      <c r="E309" s="20">
        <f>=L309/3</f>
        <v>89.6</v>
      </c>
      <c r="F309" s="20">
        <f>=H309*0.9</f>
        <v>115.2</v>
      </c>
      <c r="G309" s="21">
        <v>116</v>
      </c>
      <c r="H309" s="39">
        <v>128</v>
      </c>
      <c r="I309" s="40">
        <f>=H309*1.05</f>
        <v>134.4</v>
      </c>
      <c r="J309" s="40">
        <f>=F309*2</f>
        <v>230.4</v>
      </c>
      <c r="K309" s="40">
        <f>=H309*2</f>
        <v>256</v>
      </c>
      <c r="L309" s="40">
        <f>=I309*2</f>
        <v>268.8</v>
      </c>
      <c r="M309" s="41" t="s">
        <v>211</v>
      </c>
      <c r="N309" s="41">
        <v>0.47</v>
      </c>
      <c r="O309" s="41" t="s"/>
      <c r="P309" s="41" t="s">
        <v>21</v>
      </c>
      <c r="Q309" s="41" t="s">
        <v>21</v>
      </c>
      <c r="R309" s="41" t="s">
        <v>16</v>
      </c>
      <c r="S309" s="41" t="s">
        <v>17</v>
      </c>
      <c r="T309" s="41" t="s">
        <v>102</v>
      </c>
      <c r="U309" s="16" t="s">
        <v>13</v>
      </c>
      <c r="V309" s="16" t="s">
        <v>19</v>
      </c>
      <c r="W309" s="19" t="s"/>
      <c r="X309" s="26" t="s">
        <f>=M309&amp;N309&amp;P309&amp;Q309&amp;T309&amp;V309&amp;S309</f>
        <v>370</v>
      </c>
      <c r="Y309" s="19" t="s"/>
      <c r="Z309" s="19" t="s"/>
      <c r="AA309" s="19" t="s"/>
      <c r="AB309" s="19" t="s"/>
    </row>
    <row r="310" spans="1:28" ht="14.4">
      <c r="A310" s="4">
        <f>=H310/G310-1</f>
        <v>0.102040816326531</v>
      </c>
      <c r="B310" s="20">
        <f>=F310/12</f>
        <v>12.15</v>
      </c>
      <c r="C310" s="20">
        <f>=J310/3</f>
        <v>97.2</v>
      </c>
      <c r="D310" s="20">
        <f>=K310/3</f>
        <v>108</v>
      </c>
      <c r="E310" s="20">
        <f>=L310/3</f>
        <v>113.4</v>
      </c>
      <c r="F310" s="20">
        <f>=H310*0.9</f>
        <v>145.8</v>
      </c>
      <c r="G310" s="21">
        <v>147</v>
      </c>
      <c r="H310" s="39">
        <v>162</v>
      </c>
      <c r="I310" s="40">
        <f>=H310*1.05</f>
        <v>170.1</v>
      </c>
      <c r="J310" s="40">
        <f>=F310*2</f>
        <v>291.6</v>
      </c>
      <c r="K310" s="40">
        <f>=H310*2</f>
        <v>324</v>
      </c>
      <c r="L310" s="40">
        <f>=I310*2</f>
        <v>340.2</v>
      </c>
      <c r="M310" s="41" t="s">
        <v>211</v>
      </c>
      <c r="N310" s="41">
        <v>0.48</v>
      </c>
      <c r="O310" s="41" t="s"/>
      <c r="P310" s="41">
        <v>1</v>
      </c>
      <c r="Q310" s="41">
        <v>1</v>
      </c>
      <c r="R310" s="41" t="s">
        <v>16</v>
      </c>
      <c r="S310" s="41" t="s">
        <v>17</v>
      </c>
      <c r="T310" s="41" t="s">
        <v>102</v>
      </c>
      <c r="U310" s="16" t="s">
        <v>13</v>
      </c>
      <c r="V310" s="16" t="s">
        <v>19</v>
      </c>
      <c r="W310" s="19" t="s"/>
      <c r="X310" s="26" t="s">
        <f>=M310&amp;N310&amp;P310&amp;Q310&amp;T310&amp;V310&amp;S310</f>
        <v>371</v>
      </c>
      <c r="Y310" s="19" t="s"/>
      <c r="Z310" s="19" t="s"/>
      <c r="AA310" s="19" t="s"/>
      <c r="AB310" s="19" t="s"/>
    </row>
    <row r="311" spans="1:28" ht="14.4">
      <c r="A311" s="4">
        <f>=H311/G311-1</f>
        <v>0.1</v>
      </c>
      <c r="B311" s="20">
        <f>=F311/12</f>
        <v>33</v>
      </c>
      <c r="C311" s="20">
        <f>=J311/3</f>
        <v>264</v>
      </c>
      <c r="D311" s="20">
        <f>=K311/3</f>
        <v>293.333333333333</v>
      </c>
      <c r="E311" s="20">
        <f>=L311/3</f>
        <v>308</v>
      </c>
      <c r="F311" s="20">
        <f>=H311*0.9</f>
        <v>396</v>
      </c>
      <c r="G311" s="21">
        <v>400</v>
      </c>
      <c r="H311" s="39">
        <v>440</v>
      </c>
      <c r="I311" s="40">
        <f>=H311*1.05</f>
        <v>462</v>
      </c>
      <c r="J311" s="40">
        <f>=F311*2</f>
        <v>792</v>
      </c>
      <c r="K311" s="40">
        <f>=H311*2</f>
        <v>880</v>
      </c>
      <c r="L311" s="40">
        <f>=I311*2</f>
        <v>924</v>
      </c>
      <c r="M311" s="41" t="s">
        <v>211</v>
      </c>
      <c r="N311" s="41">
        <v>0.49</v>
      </c>
      <c r="O311" s="41" t="s"/>
      <c r="P311" s="41">
        <v>3</v>
      </c>
      <c r="Q311" s="41">
        <v>3</v>
      </c>
      <c r="R311" s="41" t="s">
        <v>16</v>
      </c>
      <c r="S311" s="41" t="s">
        <v>17</v>
      </c>
      <c r="T311" s="41" t="s">
        <v>102</v>
      </c>
      <c r="U311" s="16" t="s">
        <v>13</v>
      </c>
      <c r="V311" s="16" t="s">
        <v>19</v>
      </c>
      <c r="W311" s="19" t="s"/>
      <c r="X311" s="26" t="s">
        <f>=M311&amp;N311&amp;P311&amp;Q311&amp;T311&amp;V311&amp;S311</f>
        <v>372</v>
      </c>
      <c r="Y311" s="19" t="s"/>
      <c r="Z311" s="19" t="s"/>
      <c r="AA311" s="19" t="s"/>
      <c r="AB311" s="19" t="s"/>
    </row>
    <row r="312" spans="1:28" ht="14.4">
      <c r="A312" s="4">
        <f>=H312/G312-1</f>
        <v>0.100671140939597</v>
      </c>
      <c r="B312" s="20">
        <f>=F312/12</f>
        <v>12.3</v>
      </c>
      <c r="C312" s="20">
        <f>=J312/3</f>
        <v>98.4</v>
      </c>
      <c r="D312" s="20">
        <f>=K312/3</f>
        <v>109.333333333333</v>
      </c>
      <c r="E312" s="20">
        <f>=L312/3</f>
        <v>114.8</v>
      </c>
      <c r="F312" s="20">
        <f>=H312*0.9</f>
        <v>147.6</v>
      </c>
      <c r="G312" s="21">
        <v>149</v>
      </c>
      <c r="H312" s="39">
        <v>164</v>
      </c>
      <c r="I312" s="40">
        <f>=H312*1.05</f>
        <v>172.2</v>
      </c>
      <c r="J312" s="40">
        <f>=F312*2</f>
        <v>295.2</v>
      </c>
      <c r="K312" s="40">
        <f>=H312*2</f>
        <v>328</v>
      </c>
      <c r="L312" s="40">
        <f>=I312*2</f>
        <v>344.4</v>
      </c>
      <c r="M312" s="41" t="s">
        <v>211</v>
      </c>
      <c r="N312" s="41">
        <v>0.5</v>
      </c>
      <c r="O312" s="41" t="s"/>
      <c r="P312" s="41">
        <v>1</v>
      </c>
      <c r="Q312" s="41">
        <v>1</v>
      </c>
      <c r="R312" s="41" t="s">
        <v>16</v>
      </c>
      <c r="S312" s="41" t="s">
        <v>17</v>
      </c>
      <c r="T312" s="41" t="s">
        <v>102</v>
      </c>
      <c r="U312" s="16" t="s">
        <v>13</v>
      </c>
      <c r="V312" s="16" t="s">
        <v>19</v>
      </c>
      <c r="W312" s="19" t="s"/>
      <c r="X312" s="26" t="s">
        <f>=M312&amp;N312&amp;P312&amp;Q312&amp;T312&amp;V312&amp;S312</f>
        <v>373</v>
      </c>
      <c r="Y312" s="19" t="s"/>
      <c r="Z312" s="19" t="s"/>
      <c r="AA312" s="19" t="s"/>
      <c r="AB312" s="19" t="s"/>
    </row>
    <row r="313" spans="1:28" ht="14.4">
      <c r="A313" s="4">
        <f>=H313/G313-1</f>
        <v>0.0982142857142858</v>
      </c>
      <c r="B313" s="20">
        <f>=F313/12</f>
        <v>18.45</v>
      </c>
      <c r="C313" s="20">
        <f>=J313/3</f>
        <v>147.6</v>
      </c>
      <c r="D313" s="20">
        <f>=K313/3</f>
        <v>164</v>
      </c>
      <c r="E313" s="20">
        <f>=L313/3</f>
        <v>172.2</v>
      </c>
      <c r="F313" s="20">
        <f>=H313*0.9</f>
        <v>221.4</v>
      </c>
      <c r="G313" s="21">
        <v>224</v>
      </c>
      <c r="H313" s="39">
        <v>246</v>
      </c>
      <c r="I313" s="40">
        <f>=H313*1.05</f>
        <v>258.3</v>
      </c>
      <c r="J313" s="40">
        <f>=F313*2</f>
        <v>442.8</v>
      </c>
      <c r="K313" s="40">
        <f>=H313*2</f>
        <v>492</v>
      </c>
      <c r="L313" s="40">
        <f>=I313*2</f>
        <v>516.6</v>
      </c>
      <c r="M313" s="41" t="s">
        <v>211</v>
      </c>
      <c r="N313" s="41">
        <v>0.5</v>
      </c>
      <c r="O313" s="41" t="s"/>
      <c r="P313" s="41">
        <v>1</v>
      </c>
      <c r="Q313" s="41">
        <v>2</v>
      </c>
      <c r="R313" s="41" t="s">
        <v>16</v>
      </c>
      <c r="S313" s="41" t="s">
        <v>17</v>
      </c>
      <c r="T313" s="41" t="s">
        <v>102</v>
      </c>
      <c r="U313" s="16" t="s">
        <v>13</v>
      </c>
      <c r="V313" s="16" t="s">
        <v>19</v>
      </c>
      <c r="W313" s="19" t="s"/>
      <c r="X313" s="26" t="s">
        <f>=M313&amp;N313&amp;P313&amp;Q313&amp;T313&amp;V313&amp;S313</f>
        <v>374</v>
      </c>
      <c r="Y313" s="19" t="s"/>
      <c r="Z313" s="19" t="s"/>
      <c r="AA313" s="19" t="s"/>
      <c r="AB313" s="19" t="s"/>
    </row>
    <row r="314" spans="1:28" ht="14.4">
      <c r="A314" s="4">
        <f>=H314/G314-1</f>
        <v>0.101626016260163</v>
      </c>
      <c r="B314" s="20">
        <f>=F314/12</f>
        <v>20.325</v>
      </c>
      <c r="C314" s="20">
        <f>=J314/3</f>
        <v>162.6</v>
      </c>
      <c r="D314" s="20">
        <f>=K314/3</f>
        <v>180.666666666667</v>
      </c>
      <c r="E314" s="20">
        <f>=L314/3</f>
        <v>189.7</v>
      </c>
      <c r="F314" s="20">
        <f>=H314*0.9</f>
        <v>243.9</v>
      </c>
      <c r="G314" s="21">
        <v>246</v>
      </c>
      <c r="H314" s="39">
        <v>271</v>
      </c>
      <c r="I314" s="40">
        <f>=H314*1.05</f>
        <v>284.55</v>
      </c>
      <c r="J314" s="40">
        <f>=F314*2</f>
        <v>487.8</v>
      </c>
      <c r="K314" s="40">
        <f>=H314*2</f>
        <v>542</v>
      </c>
      <c r="L314" s="40">
        <f>=I314*2</f>
        <v>569.1</v>
      </c>
      <c r="M314" s="41" t="s">
        <v>211</v>
      </c>
      <c r="N314" s="41">
        <v>0.5</v>
      </c>
      <c r="O314" s="41" t="s"/>
      <c r="P314" s="41">
        <v>2</v>
      </c>
      <c r="Q314" s="41">
        <v>2</v>
      </c>
      <c r="R314" s="41" t="s">
        <v>16</v>
      </c>
      <c r="S314" s="41" t="s">
        <v>17</v>
      </c>
      <c r="T314" s="41" t="s">
        <v>102</v>
      </c>
      <c r="U314" s="16" t="s">
        <v>13</v>
      </c>
      <c r="V314" s="16" t="s">
        <v>19</v>
      </c>
      <c r="W314" s="19" t="s"/>
      <c r="X314" s="26" t="s">
        <f>=M314&amp;N314&amp;P314&amp;Q314&amp;T314&amp;V314&amp;S314</f>
        <v>375</v>
      </c>
      <c r="Y314" s="19" t="s"/>
      <c r="Z314" s="19" t="s"/>
      <c r="AA314" s="19" t="s"/>
      <c r="AB314" s="19" t="s"/>
    </row>
    <row r="315" spans="1:28" ht="14.4">
      <c r="A315" s="4">
        <f>=H315/G315-1</f>
        <v>0.103448275862069</v>
      </c>
      <c r="B315" s="20">
        <f>=F315/12</f>
        <v>9.6</v>
      </c>
      <c r="C315" s="20">
        <f>=J315/3</f>
        <v>76.8</v>
      </c>
      <c r="D315" s="20">
        <f>=K315/3</f>
        <v>85.3333333333333</v>
      </c>
      <c r="E315" s="20">
        <f>=L315/3</f>
        <v>89.6</v>
      </c>
      <c r="F315" s="20">
        <f>=H315*0.9</f>
        <v>115.2</v>
      </c>
      <c r="G315" s="21">
        <v>116</v>
      </c>
      <c r="H315" s="39">
        <v>128</v>
      </c>
      <c r="I315" s="40">
        <f>=H315*1.05</f>
        <v>134.4</v>
      </c>
      <c r="J315" s="40">
        <f>=F315*2</f>
        <v>230.4</v>
      </c>
      <c r="K315" s="40">
        <f>=H315*2</f>
        <v>256</v>
      </c>
      <c r="L315" s="40">
        <f>=I315*2</f>
        <v>268.8</v>
      </c>
      <c r="M315" s="41" t="s">
        <v>211</v>
      </c>
      <c r="N315" s="41">
        <v>0.5</v>
      </c>
      <c r="O315" s="41" t="s"/>
      <c r="P315" s="41" t="s">
        <v>21</v>
      </c>
      <c r="Q315" s="41" t="s">
        <v>21</v>
      </c>
      <c r="R315" s="41" t="s">
        <v>16</v>
      </c>
      <c r="S315" s="41" t="s">
        <v>17</v>
      </c>
      <c r="T315" s="41" t="s">
        <v>102</v>
      </c>
      <c r="U315" s="16" t="s">
        <v>13</v>
      </c>
      <c r="V315" s="16" t="s">
        <v>19</v>
      </c>
      <c r="W315" s="19" t="s"/>
      <c r="X315" s="26" t="s">
        <f>=M315&amp;N315&amp;P315&amp;Q315&amp;T315&amp;V315&amp;S315</f>
        <v>376</v>
      </c>
      <c r="Y315" s="19" t="s"/>
      <c r="Z315" s="19" t="s"/>
      <c r="AA315" s="19" t="s"/>
      <c r="AB315" s="19" t="s"/>
    </row>
    <row r="316" spans="1:28" ht="14.4">
      <c r="A316" s="4">
        <f>=H316/G316-1</f>
        <v>0.0986842105263157</v>
      </c>
      <c r="B316" s="20">
        <f>=F316/12</f>
        <v>12.525</v>
      </c>
      <c r="C316" s="20">
        <f>=J316/3</f>
        <v>100.2</v>
      </c>
      <c r="D316" s="20">
        <f>=K316/3</f>
        <v>111.333333333333</v>
      </c>
      <c r="E316" s="20">
        <f>=L316/3</f>
        <v>116.9</v>
      </c>
      <c r="F316" s="20">
        <f>=H316*0.9</f>
        <v>150.3</v>
      </c>
      <c r="G316" s="21">
        <v>152</v>
      </c>
      <c r="H316" s="39">
        <v>167</v>
      </c>
      <c r="I316" s="40">
        <f>=H316*1.05</f>
        <v>175.35</v>
      </c>
      <c r="J316" s="40">
        <f>=F316*2</f>
        <v>300.6</v>
      </c>
      <c r="K316" s="40">
        <f>=H316*2</f>
        <v>334</v>
      </c>
      <c r="L316" s="40">
        <f>=I316*2</f>
        <v>350.7</v>
      </c>
      <c r="M316" s="41" t="s">
        <v>211</v>
      </c>
      <c r="N316" s="41">
        <v>0.51</v>
      </c>
      <c r="O316" s="41" t="s"/>
      <c r="P316" s="41">
        <v>1</v>
      </c>
      <c r="Q316" s="41">
        <v>1</v>
      </c>
      <c r="R316" s="41" t="s">
        <v>16</v>
      </c>
      <c r="S316" s="41" t="s">
        <v>17</v>
      </c>
      <c r="T316" s="41" t="s">
        <v>377</v>
      </c>
      <c r="U316" s="16" t="s">
        <v>13</v>
      </c>
      <c r="V316" s="16" t="s">
        <v>19</v>
      </c>
      <c r="W316" s="19" t="s"/>
      <c r="X316" s="26" t="s">
        <f>=M316&amp;N316&amp;P316&amp;Q316&amp;T316&amp;V316&amp;S316</f>
        <v>378</v>
      </c>
      <c r="Y316" s="19" t="s"/>
      <c r="Z316" s="19" t="s"/>
      <c r="AA316" s="19" t="s"/>
      <c r="AB316" s="19" t="s"/>
    </row>
    <row r="317" spans="1:28" ht="14.4">
      <c r="A317" s="4">
        <f>=H317/G317-1</f>
        <v>0.100806451612903</v>
      </c>
      <c r="B317" s="20">
        <f>=F317/12</f>
        <v>20.475</v>
      </c>
      <c r="C317" s="20">
        <f>=J317/3</f>
        <v>163.8</v>
      </c>
      <c r="D317" s="20">
        <f>=K317/3</f>
        <v>182</v>
      </c>
      <c r="E317" s="20">
        <f>=L317/3</f>
        <v>191.1</v>
      </c>
      <c r="F317" s="20">
        <f>=H317*0.9</f>
        <v>245.7</v>
      </c>
      <c r="G317" s="21">
        <v>248</v>
      </c>
      <c r="H317" s="39">
        <v>273</v>
      </c>
      <c r="I317" s="40">
        <f>=H317*1.05</f>
        <v>286.65</v>
      </c>
      <c r="J317" s="40">
        <f>=F317*2</f>
        <v>491.4</v>
      </c>
      <c r="K317" s="40">
        <f>=H317*2</f>
        <v>546</v>
      </c>
      <c r="L317" s="40">
        <f>=I317*2</f>
        <v>573.3</v>
      </c>
      <c r="M317" s="41" t="s">
        <v>211</v>
      </c>
      <c r="N317" s="41">
        <v>0.51</v>
      </c>
      <c r="O317" s="41" t="s"/>
      <c r="P317" s="41">
        <v>2</v>
      </c>
      <c r="Q317" s="41">
        <v>2</v>
      </c>
      <c r="R317" s="41" t="s">
        <v>16</v>
      </c>
      <c r="S317" s="41" t="s">
        <v>17</v>
      </c>
      <c r="T317" s="41" t="s">
        <v>102</v>
      </c>
      <c r="U317" s="16" t="s">
        <v>13</v>
      </c>
      <c r="V317" s="16" t="s">
        <v>19</v>
      </c>
      <c r="W317" s="19" t="s"/>
      <c r="X317" s="26" t="s">
        <f>=M317&amp;N317&amp;P317&amp;Q317&amp;T317&amp;V317&amp;S317</f>
        <v>379</v>
      </c>
      <c r="Y317" s="19" t="s"/>
      <c r="Z317" s="19" t="s"/>
      <c r="AA317" s="19" t="s"/>
      <c r="AB317" s="19" t="s"/>
    </row>
    <row r="318" spans="1:28" ht="14.4">
      <c r="A318" s="4">
        <f>=H318/G318-1</f>
        <v>0.10126582278481</v>
      </c>
      <c r="B318" s="20">
        <f>=F318/12</f>
        <v>32.625</v>
      </c>
      <c r="C318" s="20">
        <f>=J318/3</f>
        <v>261</v>
      </c>
      <c r="D318" s="20">
        <f>=K318/3</f>
        <v>290</v>
      </c>
      <c r="E318" s="20">
        <f>=L318/3</f>
        <v>304.5</v>
      </c>
      <c r="F318" s="20">
        <f>=H318*0.9</f>
        <v>391.5</v>
      </c>
      <c r="G318" s="21">
        <v>395</v>
      </c>
      <c r="H318" s="39">
        <v>435</v>
      </c>
      <c r="I318" s="40">
        <f>=H318*1.05</f>
        <v>456.75</v>
      </c>
      <c r="J318" s="40">
        <f>=F318*2</f>
        <v>783</v>
      </c>
      <c r="K318" s="40">
        <f>=H318*2</f>
        <v>870</v>
      </c>
      <c r="L318" s="40">
        <f>=I318*2</f>
        <v>913.5</v>
      </c>
      <c r="M318" s="41" t="s">
        <v>211</v>
      </c>
      <c r="N318" s="41">
        <v>0.51</v>
      </c>
      <c r="O318" s="41" t="s"/>
      <c r="P318" s="41">
        <v>3</v>
      </c>
      <c r="Q318" s="41">
        <v>3</v>
      </c>
      <c r="R318" s="41" t="s">
        <v>16</v>
      </c>
      <c r="S318" s="41" t="s">
        <v>17</v>
      </c>
      <c r="T318" s="41" t="s">
        <v>102</v>
      </c>
      <c r="U318" s="16" t="s">
        <v>13</v>
      </c>
      <c r="V318" s="16" t="s">
        <v>19</v>
      </c>
      <c r="W318" s="19" t="s"/>
      <c r="X318" s="26" t="s">
        <f>=M318&amp;N318&amp;P318&amp;Q318&amp;T318&amp;V318&amp;S318</f>
        <v>380</v>
      </c>
      <c r="Y318" s="19" t="s"/>
      <c r="Z318" s="19" t="s"/>
      <c r="AA318" s="19" t="s"/>
      <c r="AB318" s="19" t="s"/>
    </row>
    <row r="319" spans="1:28" ht="14.4">
      <c r="A319" s="4">
        <f>=H319/G319-1</f>
        <v>0.102564102564103</v>
      </c>
      <c r="B319" s="20">
        <f>=F319/12</f>
        <v>9.675</v>
      </c>
      <c r="C319" s="20">
        <f>=J319/3</f>
        <v>77.4</v>
      </c>
      <c r="D319" s="20">
        <f>=K319/3</f>
        <v>86</v>
      </c>
      <c r="E319" s="20">
        <f>=L319/3</f>
        <v>90.3</v>
      </c>
      <c r="F319" s="20">
        <f>=H319*0.9</f>
        <v>116.1</v>
      </c>
      <c r="G319" s="21">
        <v>117</v>
      </c>
      <c r="H319" s="39">
        <v>129</v>
      </c>
      <c r="I319" s="40">
        <f>=H319*1.05</f>
        <v>135.45</v>
      </c>
      <c r="J319" s="40">
        <f>=F319*2</f>
        <v>232.2</v>
      </c>
      <c r="K319" s="40">
        <f>=H319*2</f>
        <v>258</v>
      </c>
      <c r="L319" s="40">
        <f>=I319*2</f>
        <v>270.9</v>
      </c>
      <c r="M319" s="41" t="s">
        <v>211</v>
      </c>
      <c r="N319" s="41">
        <v>0.51</v>
      </c>
      <c r="O319" s="41" t="s"/>
      <c r="P319" s="41" t="s">
        <v>21</v>
      </c>
      <c r="Q319" s="41" t="s">
        <v>21</v>
      </c>
      <c r="R319" s="41" t="s">
        <v>16</v>
      </c>
      <c r="S319" s="41" t="s">
        <v>17</v>
      </c>
      <c r="T319" s="41" t="s">
        <v>377</v>
      </c>
      <c r="U319" s="16" t="s">
        <v>13</v>
      </c>
      <c r="V319" s="16" t="s">
        <v>19</v>
      </c>
      <c r="W319" s="19" t="s"/>
      <c r="X319" s="26" t="s">
        <f>=M319&amp;N319&amp;P319&amp;Q319&amp;T319&amp;V319&amp;S319</f>
        <v>381</v>
      </c>
      <c r="Y319" s="19" t="s"/>
      <c r="Z319" s="19" t="s"/>
      <c r="AA319" s="19" t="s"/>
      <c r="AB319" s="19" t="s"/>
    </row>
    <row r="320" spans="1:28" ht="14.4">
      <c r="A320" s="4">
        <f>=H320/G320-1</f>
        <v>0.0998463901689708</v>
      </c>
      <c r="B320" s="20">
        <f>=F320/12</f>
        <v>53.7</v>
      </c>
      <c r="C320" s="20">
        <f>=J320/3</f>
        <v>429.6</v>
      </c>
      <c r="D320" s="20">
        <f>=K320/3</f>
        <v>477.333333333333</v>
      </c>
      <c r="E320" s="20">
        <f>=L320/3</f>
        <v>501.2</v>
      </c>
      <c r="F320" s="20">
        <f>=H320*0.9</f>
        <v>644.4</v>
      </c>
      <c r="G320" s="21">
        <v>651</v>
      </c>
      <c r="H320" s="39">
        <v>716</v>
      </c>
      <c r="I320" s="40">
        <f>=H320*1.05</f>
        <v>751.8</v>
      </c>
      <c r="J320" s="40">
        <f>=F320*2</f>
        <v>1288.8</v>
      </c>
      <c r="K320" s="40">
        <f>=H320*2</f>
        <v>1432</v>
      </c>
      <c r="L320" s="40">
        <f>=I320*2</f>
        <v>1503.6</v>
      </c>
      <c r="M320" s="41" t="s">
        <v>211</v>
      </c>
      <c r="N320" s="41">
        <v>0.52</v>
      </c>
      <c r="O320" s="41" t="s"/>
      <c r="P320" s="41">
        <v>4</v>
      </c>
      <c r="Q320" s="41">
        <v>4</v>
      </c>
      <c r="R320" s="41" t="s">
        <v>16</v>
      </c>
      <c r="S320" s="41" t="s">
        <v>17</v>
      </c>
      <c r="T320" s="41" t="s">
        <v>102</v>
      </c>
      <c r="U320" s="16" t="s">
        <v>13</v>
      </c>
      <c r="V320" s="16" t="s">
        <v>19</v>
      </c>
      <c r="W320" s="19" t="s"/>
      <c r="X320" s="26" t="s">
        <f>=M320&amp;N320&amp;P320&amp;Q320&amp;T320&amp;V320&amp;S320</f>
        <v>382</v>
      </c>
      <c r="Y320" s="19" t="s"/>
      <c r="Z320" s="19" t="s"/>
      <c r="AA320" s="19" t="s"/>
      <c r="AB320" s="19" t="s"/>
    </row>
    <row r="321" spans="1:28" ht="14.4">
      <c r="A321" s="4">
        <f>=H321/G321-1</f>
        <v>0.0980392156862746</v>
      </c>
      <c r="B321" s="20">
        <f>=F321/12</f>
        <v>12.6</v>
      </c>
      <c r="C321" s="20">
        <f>=J321/3</f>
        <v>100.8</v>
      </c>
      <c r="D321" s="20">
        <f>=K321/3</f>
        <v>112</v>
      </c>
      <c r="E321" s="20">
        <f>=L321/3</f>
        <v>117.6</v>
      </c>
      <c r="F321" s="20">
        <f>=H321*0.9</f>
        <v>151.2</v>
      </c>
      <c r="G321" s="21">
        <v>153</v>
      </c>
      <c r="H321" s="39">
        <v>168</v>
      </c>
      <c r="I321" s="40">
        <f>=H321*1.05</f>
        <v>176.4</v>
      </c>
      <c r="J321" s="40">
        <f>=F321*2</f>
        <v>302.4</v>
      </c>
      <c r="K321" s="40">
        <f>=H321*2</f>
        <v>336</v>
      </c>
      <c r="L321" s="40">
        <f>=I321*2</f>
        <v>352.8</v>
      </c>
      <c r="M321" s="41" t="s">
        <v>211</v>
      </c>
      <c r="N321" s="41">
        <v>0.53</v>
      </c>
      <c r="O321" s="41" t="s"/>
      <c r="P321" s="41">
        <v>1</v>
      </c>
      <c r="Q321" s="41">
        <v>1</v>
      </c>
      <c r="R321" s="41" t="s">
        <v>16</v>
      </c>
      <c r="S321" s="41" t="s">
        <v>17</v>
      </c>
      <c r="T321" s="41" t="s">
        <v>110</v>
      </c>
      <c r="U321" s="16" t="s">
        <v>13</v>
      </c>
      <c r="V321" s="16" t="s">
        <v>19</v>
      </c>
      <c r="W321" s="19" t="s"/>
      <c r="X321" s="26" t="s">
        <f>=M321&amp;N321&amp;P321&amp;Q321&amp;T321&amp;V321&amp;S321</f>
        <v>383</v>
      </c>
      <c r="Y321" s="19" t="s"/>
      <c r="Z321" s="19" t="s"/>
      <c r="AA321" s="19" t="s"/>
      <c r="AB321" s="19" t="s"/>
    </row>
    <row r="322" spans="1:28" ht="14.4">
      <c r="A322" s="4">
        <f>=H322/G322-1</f>
        <v>0.100806451612903</v>
      </c>
      <c r="B322" s="20">
        <f>=F322/12</f>
        <v>20.475</v>
      </c>
      <c r="C322" s="20">
        <f>=J322/3</f>
        <v>163.8</v>
      </c>
      <c r="D322" s="20">
        <f>=K322/3</f>
        <v>182</v>
      </c>
      <c r="E322" s="20">
        <f>=L322/3</f>
        <v>191.1</v>
      </c>
      <c r="F322" s="20">
        <f>=H322*0.9</f>
        <v>245.7</v>
      </c>
      <c r="G322" s="21">
        <v>248</v>
      </c>
      <c r="H322" s="39">
        <v>273</v>
      </c>
      <c r="I322" s="40">
        <f>=H322*1.05</f>
        <v>286.65</v>
      </c>
      <c r="J322" s="40">
        <f>=F322*2</f>
        <v>491.4</v>
      </c>
      <c r="K322" s="40">
        <f>=H322*2</f>
        <v>546</v>
      </c>
      <c r="L322" s="40">
        <f>=I322*2</f>
        <v>573.3</v>
      </c>
      <c r="M322" s="41" t="s">
        <v>211</v>
      </c>
      <c r="N322" s="41">
        <v>0.53</v>
      </c>
      <c r="O322" s="41" t="s"/>
      <c r="P322" s="41">
        <v>2</v>
      </c>
      <c r="Q322" s="41">
        <v>2</v>
      </c>
      <c r="R322" s="41" t="s">
        <v>16</v>
      </c>
      <c r="S322" s="41" t="s">
        <v>17</v>
      </c>
      <c r="T322" s="41" t="s">
        <v>110</v>
      </c>
      <c r="U322" s="16" t="s">
        <v>13</v>
      </c>
      <c r="V322" s="16" t="s">
        <v>19</v>
      </c>
      <c r="W322" s="19" t="s"/>
      <c r="X322" s="26" t="s">
        <f>=M322&amp;N322&amp;P322&amp;Q322&amp;T322&amp;V322&amp;S322</f>
        <v>384</v>
      </c>
      <c r="Y322" s="19" t="s"/>
      <c r="Z322" s="19" t="s"/>
      <c r="AA322" s="19" t="s"/>
      <c r="AB322" s="19" t="s"/>
    </row>
    <row r="323" spans="1:28" ht="14.4">
      <c r="A323" s="4">
        <f>=H323/G323-1</f>
        <v>0.102564102564103</v>
      </c>
      <c r="B323" s="20">
        <f>=F323/12</f>
        <v>9.675</v>
      </c>
      <c r="C323" s="20">
        <f>=J323/3</f>
        <v>77.4</v>
      </c>
      <c r="D323" s="20">
        <f>=K323/3</f>
        <v>86</v>
      </c>
      <c r="E323" s="20">
        <f>=L323/3</f>
        <v>90.3</v>
      </c>
      <c r="F323" s="20">
        <f>=H323*0.9</f>
        <v>116.1</v>
      </c>
      <c r="G323" s="21">
        <v>117</v>
      </c>
      <c r="H323" s="39">
        <v>129</v>
      </c>
      <c r="I323" s="40">
        <f>=H323*1.05</f>
        <v>135.45</v>
      </c>
      <c r="J323" s="40">
        <f>=F323*2</f>
        <v>232.2</v>
      </c>
      <c r="K323" s="40">
        <f>=H323*2</f>
        <v>258</v>
      </c>
      <c r="L323" s="40">
        <f>=I323*2</f>
        <v>270.9</v>
      </c>
      <c r="M323" s="41" t="s">
        <v>211</v>
      </c>
      <c r="N323" s="41">
        <v>0.53</v>
      </c>
      <c r="O323" s="41" t="s"/>
      <c r="P323" s="41" t="s">
        <v>21</v>
      </c>
      <c r="Q323" s="41" t="s">
        <v>21</v>
      </c>
      <c r="R323" s="41" t="s">
        <v>16</v>
      </c>
      <c r="S323" s="41" t="s">
        <v>17</v>
      </c>
      <c r="T323" s="41" t="s">
        <v>110</v>
      </c>
      <c r="U323" s="16" t="s">
        <v>13</v>
      </c>
      <c r="V323" s="16" t="s">
        <v>19</v>
      </c>
      <c r="W323" s="19" t="s"/>
      <c r="X323" s="26" t="s">
        <f>=M323&amp;N323&amp;P323&amp;Q323&amp;T323&amp;V323&amp;S323</f>
        <v>385</v>
      </c>
      <c r="Y323" s="19" t="s"/>
      <c r="Z323" s="19" t="s"/>
      <c r="AA323" s="19" t="s"/>
      <c r="AB323" s="19" t="s"/>
    </row>
    <row r="324" spans="1:28" ht="14.4">
      <c r="A324" s="4">
        <f>=H324/G324-1</f>
        <v>0.0980392156862746</v>
      </c>
      <c r="B324" s="20">
        <f>=F324/12</f>
        <v>12.6</v>
      </c>
      <c r="C324" s="20">
        <f>=J324/3</f>
        <v>100.8</v>
      </c>
      <c r="D324" s="20">
        <f>=K324/3</f>
        <v>112</v>
      </c>
      <c r="E324" s="20">
        <f>=L324/3</f>
        <v>117.6</v>
      </c>
      <c r="F324" s="20">
        <f>=H324*0.9</f>
        <v>151.2</v>
      </c>
      <c r="G324" s="21">
        <v>153</v>
      </c>
      <c r="H324" s="39">
        <v>168</v>
      </c>
      <c r="I324" s="40">
        <f>=H324*1.05</f>
        <v>176.4</v>
      </c>
      <c r="J324" s="40">
        <f>=F324*2</f>
        <v>302.4</v>
      </c>
      <c r="K324" s="40">
        <f>=H324*2</f>
        <v>336</v>
      </c>
      <c r="L324" s="40">
        <f>=I324*2</f>
        <v>352.8</v>
      </c>
      <c r="M324" s="41" t="s">
        <v>211</v>
      </c>
      <c r="N324" s="41">
        <v>0.56</v>
      </c>
      <c r="O324" s="41" t="s"/>
      <c r="P324" s="41">
        <v>1</v>
      </c>
      <c r="Q324" s="41">
        <v>1</v>
      </c>
      <c r="R324" s="41" t="s">
        <v>16</v>
      </c>
      <c r="S324" s="41" t="s">
        <v>17</v>
      </c>
      <c r="T324" s="41" t="s">
        <v>110</v>
      </c>
      <c r="U324" s="16" t="s">
        <v>13</v>
      </c>
      <c r="V324" s="16" t="s">
        <v>19</v>
      </c>
      <c r="W324" s="19" t="s"/>
      <c r="X324" s="26" t="s">
        <f>=M324&amp;N324&amp;P324&amp;Q324&amp;T324&amp;V324&amp;S324</f>
        <v>386</v>
      </c>
      <c r="Y324" s="19" t="s"/>
      <c r="Z324" s="19" t="s"/>
      <c r="AA324" s="19" t="s"/>
      <c r="AB324" s="19" t="s"/>
    </row>
    <row r="325" spans="1:28" ht="14.4">
      <c r="A325" s="4">
        <f>=H325/G325-1</f>
        <v>0.102409638554217</v>
      </c>
      <c r="B325" s="20">
        <f>=F325/12</f>
        <v>13.725</v>
      </c>
      <c r="C325" s="20">
        <f>=J325/3</f>
        <v>109.8</v>
      </c>
      <c r="D325" s="20">
        <f>=K325/3</f>
        <v>122</v>
      </c>
      <c r="E325" s="20">
        <f>=L325/3</f>
        <v>128.1</v>
      </c>
      <c r="F325" s="20">
        <f>=H325*0.9</f>
        <v>164.7</v>
      </c>
      <c r="G325" s="21">
        <v>166</v>
      </c>
      <c r="H325" s="39">
        <v>183</v>
      </c>
      <c r="I325" s="40">
        <f>=H325*1.05</f>
        <v>192.15</v>
      </c>
      <c r="J325" s="40">
        <f>=F325*2</f>
        <v>329.4</v>
      </c>
      <c r="K325" s="40">
        <f>=H325*2</f>
        <v>366</v>
      </c>
      <c r="L325" s="40">
        <f>=I325*2</f>
        <v>384.3</v>
      </c>
      <c r="M325" s="41" t="s">
        <v>211</v>
      </c>
      <c r="N325" s="41">
        <v>0.56</v>
      </c>
      <c r="O325" s="41" t="s"/>
      <c r="P325" s="41">
        <v>1</v>
      </c>
      <c r="Q325" s="41">
        <v>1</v>
      </c>
      <c r="R325" s="41" t="s">
        <v>16</v>
      </c>
      <c r="S325" s="41" t="s">
        <v>17</v>
      </c>
      <c r="T325" s="41" t="s">
        <v>387</v>
      </c>
      <c r="U325" s="16" t="s">
        <v>13</v>
      </c>
      <c r="V325" s="16" t="s">
        <v>19</v>
      </c>
      <c r="W325" s="19" t="s"/>
      <c r="X325" s="26" t="s">
        <f>=M325&amp;N325&amp;P325&amp;Q325&amp;T325&amp;V325&amp;S325</f>
        <v>388</v>
      </c>
      <c r="Y325" s="19" t="s"/>
      <c r="Z325" s="19" t="s"/>
      <c r="AA325" s="19" t="s"/>
      <c r="AB325" s="19" t="s"/>
    </row>
    <row r="326" spans="1:28" ht="14.4">
      <c r="A326" s="4">
        <f>=H326/G326-1</f>
        <v>0.1</v>
      </c>
      <c r="B326" s="20">
        <f>=F326/12</f>
        <v>16.5</v>
      </c>
      <c r="C326" s="20">
        <f>=J326/3</f>
        <v>132</v>
      </c>
      <c r="D326" s="20">
        <f>=K326/3</f>
        <v>146.666666666667</v>
      </c>
      <c r="E326" s="20">
        <f>=L326/3</f>
        <v>154</v>
      </c>
      <c r="F326" s="20">
        <f>=H326*0.9</f>
        <v>198</v>
      </c>
      <c r="G326" s="21">
        <v>200</v>
      </c>
      <c r="H326" s="39">
        <v>220</v>
      </c>
      <c r="I326" s="40">
        <f>=H326*1.05</f>
        <v>231</v>
      </c>
      <c r="J326" s="40">
        <f>=F326*2</f>
        <v>396</v>
      </c>
      <c r="K326" s="40">
        <f>=H326*2</f>
        <v>440</v>
      </c>
      <c r="L326" s="40">
        <f>=I326*2</f>
        <v>462</v>
      </c>
      <c r="M326" s="41" t="s">
        <v>211</v>
      </c>
      <c r="N326" s="41">
        <v>0.56</v>
      </c>
      <c r="O326" s="41" t="s"/>
      <c r="P326" s="41">
        <v>1.5</v>
      </c>
      <c r="Q326" s="41">
        <v>1.5</v>
      </c>
      <c r="R326" s="41" t="s">
        <v>16</v>
      </c>
      <c r="S326" s="41" t="s">
        <v>17</v>
      </c>
      <c r="T326" s="41" t="s">
        <v>110</v>
      </c>
      <c r="U326" s="16" t="s">
        <v>13</v>
      </c>
      <c r="V326" s="16" t="s">
        <v>19</v>
      </c>
      <c r="W326" s="5" t="s"/>
      <c r="X326" s="26" t="s">
        <f>=M326&amp;N326&amp;P326&amp;Q326&amp;T326&amp;V326&amp;S326</f>
        <v>389</v>
      </c>
      <c r="Y326" s="19" t="s"/>
      <c r="Z326" s="19" t="s"/>
      <c r="AA326" s="19" t="s"/>
      <c r="AB326" s="19" t="s"/>
    </row>
    <row r="327" spans="1:28" ht="14.4">
      <c r="A327" s="4">
        <f>=H327/G327-1</f>
        <v>0.100806451612903</v>
      </c>
      <c r="B327" s="20">
        <f>=F327/12</f>
        <v>20.475</v>
      </c>
      <c r="C327" s="20">
        <f>=J327/3</f>
        <v>163.8</v>
      </c>
      <c r="D327" s="20">
        <f>=K327/3</f>
        <v>182</v>
      </c>
      <c r="E327" s="20">
        <f>=L327/3</f>
        <v>191.1</v>
      </c>
      <c r="F327" s="20">
        <f>=H327*0.9</f>
        <v>245.7</v>
      </c>
      <c r="G327" s="21">
        <v>248</v>
      </c>
      <c r="H327" s="39">
        <v>273</v>
      </c>
      <c r="I327" s="40">
        <f>=H327*1.05</f>
        <v>286.65</v>
      </c>
      <c r="J327" s="40">
        <f>=F327*2</f>
        <v>491.4</v>
      </c>
      <c r="K327" s="40">
        <f>=H327*2</f>
        <v>546</v>
      </c>
      <c r="L327" s="40">
        <f>=I327*2</f>
        <v>573.3</v>
      </c>
      <c r="M327" s="41" t="s">
        <v>211</v>
      </c>
      <c r="N327" s="41">
        <v>0.56</v>
      </c>
      <c r="O327" s="41" t="s"/>
      <c r="P327" s="41">
        <v>2</v>
      </c>
      <c r="Q327" s="41">
        <v>2</v>
      </c>
      <c r="R327" s="41" t="s">
        <v>16</v>
      </c>
      <c r="S327" s="41" t="s">
        <v>17</v>
      </c>
      <c r="T327" s="41" t="s">
        <v>110</v>
      </c>
      <c r="U327" s="16" t="s">
        <v>13</v>
      </c>
      <c r="V327" s="16" t="s">
        <v>19</v>
      </c>
      <c r="W327" s="19" t="s"/>
      <c r="X327" s="26" t="s">
        <f>=M327&amp;N327&amp;P327&amp;Q327&amp;T327&amp;V327&amp;S327</f>
        <v>390</v>
      </c>
      <c r="Y327" s="19" t="s"/>
      <c r="Z327" s="19" t="s"/>
      <c r="AA327" s="19" t="s"/>
      <c r="AB327" s="19" t="s"/>
    </row>
    <row r="328" spans="1:28" ht="14.4">
      <c r="A328" s="4">
        <f>=H328/G328-1</f>
        <v>0.0997229916897506</v>
      </c>
      <c r="B328" s="20">
        <f>=F328/12</f>
        <v>29.775</v>
      </c>
      <c r="C328" s="20">
        <f>=J328/3</f>
        <v>238.2</v>
      </c>
      <c r="D328" s="20">
        <f>=K328/3</f>
        <v>264.666666666667</v>
      </c>
      <c r="E328" s="20">
        <f>=L328/3</f>
        <v>277.9</v>
      </c>
      <c r="F328" s="20">
        <f>=H328*0.9</f>
        <v>357.3</v>
      </c>
      <c r="G328" s="21">
        <v>361</v>
      </c>
      <c r="H328" s="39">
        <v>397</v>
      </c>
      <c r="I328" s="40">
        <f>=H328*1.05</f>
        <v>416.85</v>
      </c>
      <c r="J328" s="40">
        <f>=F328*2</f>
        <v>714.6</v>
      </c>
      <c r="K328" s="40">
        <f>=H328*2</f>
        <v>794</v>
      </c>
      <c r="L328" s="40">
        <f>=I328*2</f>
        <v>833.7</v>
      </c>
      <c r="M328" s="41" t="s">
        <v>211</v>
      </c>
      <c r="N328" s="41">
        <v>0.56</v>
      </c>
      <c r="O328" s="41" t="s"/>
      <c r="P328" s="41">
        <v>2.5</v>
      </c>
      <c r="Q328" s="41">
        <v>2.5</v>
      </c>
      <c r="R328" s="41" t="s">
        <v>16</v>
      </c>
      <c r="S328" s="41" t="s">
        <v>17</v>
      </c>
      <c r="T328" s="41" t="s">
        <v>110</v>
      </c>
      <c r="U328" s="16" t="s">
        <v>13</v>
      </c>
      <c r="V328" s="16" t="s">
        <v>19</v>
      </c>
      <c r="W328" s="19" t="s"/>
      <c r="X328" s="26" t="s">
        <f>=M328&amp;N328&amp;P328&amp;Q328&amp;T328&amp;V328&amp;S328</f>
        <v>391</v>
      </c>
      <c r="Y328" s="19" t="s"/>
      <c r="Z328" s="19" t="s"/>
      <c r="AA328" s="19" t="s"/>
      <c r="AB328" s="19" t="s"/>
    </row>
    <row r="329" spans="1:28" ht="14.4">
      <c r="A329" s="4">
        <f>=H329/G329-1</f>
        <v>0.103448275862069</v>
      </c>
      <c r="B329" s="20">
        <f>=F329/12</f>
        <v>9.6</v>
      </c>
      <c r="C329" s="20">
        <f>=J329/3</f>
        <v>76.8</v>
      </c>
      <c r="D329" s="20">
        <f>=K329/3</f>
        <v>85.3333333333333</v>
      </c>
      <c r="E329" s="20">
        <f>=L329/3</f>
        <v>89.6</v>
      </c>
      <c r="F329" s="20">
        <f>=H329*0.9</f>
        <v>115.2</v>
      </c>
      <c r="G329" s="21">
        <v>116</v>
      </c>
      <c r="H329" s="39">
        <v>128</v>
      </c>
      <c r="I329" s="40">
        <f>=H329*1.05</f>
        <v>134.4</v>
      </c>
      <c r="J329" s="40">
        <f>=F329*2</f>
        <v>230.4</v>
      </c>
      <c r="K329" s="40">
        <f>=H329*2</f>
        <v>256</v>
      </c>
      <c r="L329" s="40">
        <f>=I329*2</f>
        <v>268.8</v>
      </c>
      <c r="M329" s="41" t="s">
        <v>211</v>
      </c>
      <c r="N329" s="41">
        <v>0.56</v>
      </c>
      <c r="O329" s="41" t="s"/>
      <c r="P329" s="41" t="s">
        <v>21</v>
      </c>
      <c r="Q329" s="41" t="s">
        <v>21</v>
      </c>
      <c r="R329" s="41" t="s">
        <v>16</v>
      </c>
      <c r="S329" s="41" t="s">
        <v>17</v>
      </c>
      <c r="T329" s="41" t="s">
        <v>110</v>
      </c>
      <c r="U329" s="16" t="s">
        <v>13</v>
      </c>
      <c r="V329" s="16" t="s">
        <v>19</v>
      </c>
      <c r="W329" s="19" t="s"/>
      <c r="X329" s="26" t="s">
        <f>=M329&amp;N329&amp;P329&amp;Q329&amp;T329&amp;V329&amp;S329</f>
        <v>392</v>
      </c>
      <c r="Y329" s="19" t="s"/>
      <c r="Z329" s="19" t="s"/>
      <c r="AA329" s="19" t="s"/>
      <c r="AB329" s="19" t="s"/>
    </row>
    <row r="330" spans="1:28" ht="14.4">
      <c r="A330" s="4">
        <f>=H330/G330-1</f>
        <v>0.1</v>
      </c>
      <c r="B330" s="20">
        <f>=F330/12</f>
        <v>33</v>
      </c>
      <c r="C330" s="20">
        <f>=J330/3</f>
        <v>264</v>
      </c>
      <c r="D330" s="20">
        <f>=K330/3</f>
        <v>293.333333333333</v>
      </c>
      <c r="E330" s="20">
        <f>=L330/3</f>
        <v>308</v>
      </c>
      <c r="F330" s="20">
        <f>=H330*0.9</f>
        <v>396</v>
      </c>
      <c r="G330" s="21">
        <v>400</v>
      </c>
      <c r="H330" s="39">
        <v>440</v>
      </c>
      <c r="I330" s="40">
        <f>=H330*1.05</f>
        <v>462</v>
      </c>
      <c r="J330" s="40">
        <f>=F330*2</f>
        <v>792</v>
      </c>
      <c r="K330" s="40">
        <f>=H330*2</f>
        <v>880</v>
      </c>
      <c r="L330" s="40">
        <f>=I330*2</f>
        <v>924</v>
      </c>
      <c r="M330" s="41" t="s">
        <v>211</v>
      </c>
      <c r="N330" s="41">
        <v>0.59</v>
      </c>
      <c r="O330" s="41" t="s"/>
      <c r="P330" s="41">
        <v>3</v>
      </c>
      <c r="Q330" s="41">
        <v>3</v>
      </c>
      <c r="R330" s="41" t="s">
        <v>16</v>
      </c>
      <c r="S330" s="41" t="s">
        <v>17</v>
      </c>
      <c r="T330" s="41" t="s">
        <v>110</v>
      </c>
      <c r="U330" s="16" t="s">
        <v>13</v>
      </c>
      <c r="V330" s="16" t="s">
        <v>19</v>
      </c>
      <c r="W330" s="19" t="s"/>
      <c r="X330" s="26" t="s">
        <f>=M330&amp;N330&amp;P330&amp;Q330&amp;T330&amp;V330&amp;S330</f>
        <v>393</v>
      </c>
      <c r="Y330" s="19" t="s"/>
      <c r="Z330" s="19" t="s"/>
      <c r="AA330" s="19" t="s"/>
      <c r="AB330" s="19" t="s"/>
    </row>
    <row r="331" spans="1:28" ht="14.4">
      <c r="A331" s="4">
        <f>=H331/G331-1</f>
        <v>0.100671140939597</v>
      </c>
      <c r="B331" s="20">
        <f>=F331/12</f>
        <v>12.3</v>
      </c>
      <c r="C331" s="20">
        <f>=J331/3</f>
        <v>98.4</v>
      </c>
      <c r="D331" s="20">
        <f>=K331/3</f>
        <v>109.333333333333</v>
      </c>
      <c r="E331" s="20">
        <f>=L331/3</f>
        <v>114.8</v>
      </c>
      <c r="F331" s="20">
        <f>=H331*0.9</f>
        <v>147.6</v>
      </c>
      <c r="G331" s="21">
        <v>149</v>
      </c>
      <c r="H331" s="39">
        <v>164</v>
      </c>
      <c r="I331" s="40">
        <f>=H331*1.05</f>
        <v>172.2</v>
      </c>
      <c r="J331" s="40">
        <f>=F331*2</f>
        <v>295.2</v>
      </c>
      <c r="K331" s="40">
        <f>=H331*2</f>
        <v>328</v>
      </c>
      <c r="L331" s="40">
        <f>=I331*2</f>
        <v>344.4</v>
      </c>
      <c r="M331" s="41" t="s">
        <v>211</v>
      </c>
      <c r="N331" s="41">
        <v>0.6</v>
      </c>
      <c r="O331" s="41" t="s"/>
      <c r="P331" s="41">
        <v>1</v>
      </c>
      <c r="Q331" s="41">
        <v>1</v>
      </c>
      <c r="R331" s="41" t="s">
        <v>16</v>
      </c>
      <c r="S331" s="41" t="s">
        <v>17</v>
      </c>
      <c r="T331" s="41" t="s">
        <v>110</v>
      </c>
      <c r="U331" s="16" t="s">
        <v>13</v>
      </c>
      <c r="V331" s="16" t="s">
        <v>19</v>
      </c>
      <c r="W331" s="19" t="s"/>
      <c r="X331" s="26" t="s">
        <f>=M331&amp;N331&amp;P331&amp;Q331&amp;T331&amp;V331&amp;S331</f>
        <v>394</v>
      </c>
      <c r="Y331" s="19" t="s"/>
      <c r="Z331" s="19" t="s"/>
      <c r="AA331" s="19" t="s"/>
      <c r="AB331" s="19" t="s"/>
    </row>
    <row r="332" spans="1:28" ht="14.4">
      <c r="A332" s="4">
        <f>=H332/G332-1</f>
        <v>0.1</v>
      </c>
      <c r="B332" s="20">
        <f>=F332/12</f>
        <v>16.5</v>
      </c>
      <c r="C332" s="20">
        <f>=J332/3</f>
        <v>132</v>
      </c>
      <c r="D332" s="20">
        <f>=K332/3</f>
        <v>146.666666666667</v>
      </c>
      <c r="E332" s="20">
        <f>=L332/3</f>
        <v>154</v>
      </c>
      <c r="F332" s="20">
        <f>=H332*0.9</f>
        <v>198</v>
      </c>
      <c r="G332" s="21">
        <v>200</v>
      </c>
      <c r="H332" s="39">
        <v>220</v>
      </c>
      <c r="I332" s="40">
        <f>=H332*1.05</f>
        <v>231</v>
      </c>
      <c r="J332" s="40">
        <f>=F332*2</f>
        <v>396</v>
      </c>
      <c r="K332" s="40">
        <f>=H332*2</f>
        <v>440</v>
      </c>
      <c r="L332" s="40">
        <f>=I332*2</f>
        <v>462</v>
      </c>
      <c r="M332" s="41" t="s">
        <v>211</v>
      </c>
      <c r="N332" s="41">
        <v>0.6</v>
      </c>
      <c r="O332" s="41" t="s"/>
      <c r="P332" s="41">
        <v>1.5</v>
      </c>
      <c r="Q332" s="41">
        <v>1.5</v>
      </c>
      <c r="R332" s="41" t="s">
        <v>16</v>
      </c>
      <c r="S332" s="41" t="s">
        <v>17</v>
      </c>
      <c r="T332" s="41" t="s">
        <v>110</v>
      </c>
      <c r="U332" s="16" t="s">
        <v>13</v>
      </c>
      <c r="V332" s="16" t="s">
        <v>19</v>
      </c>
      <c r="W332" s="19" t="s"/>
      <c r="X332" s="26" t="s">
        <f>=M332&amp;N332&amp;P332&amp;Q332&amp;T332&amp;V332&amp;S332</f>
        <v>395</v>
      </c>
      <c r="Y332" s="19" t="s"/>
      <c r="Z332" s="19" t="s"/>
      <c r="AA332" s="19" t="s"/>
      <c r="AB332" s="19" t="s"/>
    </row>
    <row r="333" spans="1:28" ht="14.4">
      <c r="A333" s="4">
        <f>=H333/G333-1</f>
        <v>0.100806451612903</v>
      </c>
      <c r="B333" s="20">
        <f>=F333/12</f>
        <v>20.475</v>
      </c>
      <c r="C333" s="20">
        <f>=J333/3</f>
        <v>163.8</v>
      </c>
      <c r="D333" s="20">
        <f>=K333/3</f>
        <v>182</v>
      </c>
      <c r="E333" s="20">
        <f>=L333/3</f>
        <v>191.1</v>
      </c>
      <c r="F333" s="20">
        <f>=H333*0.9</f>
        <v>245.7</v>
      </c>
      <c r="G333" s="21">
        <v>248</v>
      </c>
      <c r="H333" s="39">
        <v>273</v>
      </c>
      <c r="I333" s="40">
        <f>=H333*1.05</f>
        <v>286.65</v>
      </c>
      <c r="J333" s="40">
        <f>=F333*2</f>
        <v>491.4</v>
      </c>
      <c r="K333" s="40">
        <f>=H333*2</f>
        <v>546</v>
      </c>
      <c r="L333" s="40">
        <f>=I333*2</f>
        <v>573.3</v>
      </c>
      <c r="M333" s="41" t="s">
        <v>211</v>
      </c>
      <c r="N333" s="41">
        <v>0.6</v>
      </c>
      <c r="O333" s="41" t="s"/>
      <c r="P333" s="41">
        <v>2</v>
      </c>
      <c r="Q333" s="41">
        <v>2</v>
      </c>
      <c r="R333" s="41" t="s">
        <v>16</v>
      </c>
      <c r="S333" s="41" t="s">
        <v>17</v>
      </c>
      <c r="T333" s="41" t="s">
        <v>110</v>
      </c>
      <c r="U333" s="16" t="s">
        <v>13</v>
      </c>
      <c r="V333" s="16" t="s">
        <v>19</v>
      </c>
      <c r="W333" s="19" t="s"/>
      <c r="X333" s="26" t="s">
        <f>=M333&amp;N333&amp;P333&amp;Q333&amp;T333&amp;V333&amp;S333</f>
        <v>396</v>
      </c>
      <c r="Y333" s="19" t="s"/>
      <c r="Z333" s="19" t="s"/>
      <c r="AA333" s="19" t="s"/>
      <c r="AB333" s="19" t="s"/>
    </row>
    <row r="334" spans="1:28" ht="14.4">
      <c r="A334" s="4">
        <f>=H334/G334-1</f>
        <v>0.101694915254237</v>
      </c>
      <c r="B334" s="20">
        <f>=F334/12</f>
        <v>9.75</v>
      </c>
      <c r="C334" s="20">
        <f>=J334/3</f>
        <v>78</v>
      </c>
      <c r="D334" s="20">
        <f>=K334/3</f>
        <v>86.6666666666667</v>
      </c>
      <c r="E334" s="20">
        <f>=L334/3</f>
        <v>91</v>
      </c>
      <c r="F334" s="20">
        <f>=H334*0.9</f>
        <v>117</v>
      </c>
      <c r="G334" s="21">
        <v>118</v>
      </c>
      <c r="H334" s="39">
        <v>130</v>
      </c>
      <c r="I334" s="40">
        <f>=H334*1.05</f>
        <v>136.5</v>
      </c>
      <c r="J334" s="40">
        <f>=F334*2</f>
        <v>234</v>
      </c>
      <c r="K334" s="40">
        <f>=H334*2</f>
        <v>260</v>
      </c>
      <c r="L334" s="40">
        <f>=I334*2</f>
        <v>273</v>
      </c>
      <c r="M334" s="41" t="s">
        <v>211</v>
      </c>
      <c r="N334" s="41">
        <v>0.6</v>
      </c>
      <c r="O334" s="41" t="s"/>
      <c r="P334" s="41" t="s">
        <v>21</v>
      </c>
      <c r="Q334" s="41" t="s">
        <v>21</v>
      </c>
      <c r="R334" s="41" t="s">
        <v>16</v>
      </c>
      <c r="S334" s="41" t="s">
        <v>17</v>
      </c>
      <c r="T334" s="41" t="s">
        <v>110</v>
      </c>
      <c r="U334" s="16" t="s">
        <v>13</v>
      </c>
      <c r="V334" s="16" t="s">
        <v>19</v>
      </c>
      <c r="W334" s="19" t="s"/>
      <c r="X334" s="26" t="s">
        <f>=M334&amp;N334&amp;P334&amp;Q334&amp;T334&amp;V334&amp;S334</f>
        <v>397</v>
      </c>
      <c r="Y334" s="19" t="s"/>
      <c r="Z334" s="19" t="s"/>
      <c r="AA334" s="19" t="s"/>
      <c r="AB334" s="19" t="s"/>
    </row>
    <row r="335" spans="1:28" ht="14.4">
      <c r="A335" s="4">
        <f>=H335/G335-1</f>
        <v>0.100671140939597</v>
      </c>
      <c r="B335" s="20">
        <f>=F335/12</f>
        <v>12.3</v>
      </c>
      <c r="C335" s="20">
        <f>=J335/3</f>
        <v>98.4</v>
      </c>
      <c r="D335" s="20">
        <f>=K335/3</f>
        <v>109.333333333333</v>
      </c>
      <c r="E335" s="20">
        <f>=L335/3</f>
        <v>114.8</v>
      </c>
      <c r="F335" s="20">
        <f>=H335*0.9</f>
        <v>147.6</v>
      </c>
      <c r="G335" s="21">
        <v>149</v>
      </c>
      <c r="H335" s="39">
        <v>164</v>
      </c>
      <c r="I335" s="40">
        <f>=H335*1.05</f>
        <v>172.2</v>
      </c>
      <c r="J335" s="40">
        <f>=F335*2</f>
        <v>295.2</v>
      </c>
      <c r="K335" s="40">
        <f>=H335*2</f>
        <v>328</v>
      </c>
      <c r="L335" s="40">
        <f>=I335*2</f>
        <v>344.4</v>
      </c>
      <c r="M335" s="41" t="s">
        <v>211</v>
      </c>
      <c r="N335" s="41">
        <v>0.61</v>
      </c>
      <c r="O335" s="41" t="s"/>
      <c r="P335" s="41">
        <v>1</v>
      </c>
      <c r="Q335" s="41">
        <v>1</v>
      </c>
      <c r="R335" s="41" t="s">
        <v>16</v>
      </c>
      <c r="S335" s="41" t="s">
        <v>17</v>
      </c>
      <c r="T335" s="41" t="s">
        <v>110</v>
      </c>
      <c r="U335" s="16" t="s">
        <v>13</v>
      </c>
      <c r="V335" s="16" t="s">
        <v>19</v>
      </c>
      <c r="W335" s="19" t="s"/>
      <c r="X335" s="26" t="s">
        <f>=M335&amp;N335&amp;P335&amp;Q335&amp;T335&amp;V335&amp;S335</f>
        <v>398</v>
      </c>
      <c r="Y335" s="19" t="s"/>
      <c r="Z335" s="19" t="s"/>
      <c r="AA335" s="19" t="s"/>
      <c r="AB335" s="19" t="s"/>
    </row>
    <row r="336" spans="1:28" ht="14.4">
      <c r="A336" s="4">
        <f>=H336/G336-1</f>
        <v>0.1</v>
      </c>
      <c r="B336" s="20">
        <f>=F336/12</f>
        <v>33</v>
      </c>
      <c r="C336" s="20">
        <f>=J336/3</f>
        <v>264</v>
      </c>
      <c r="D336" s="20">
        <f>=K336/3</f>
        <v>293.333333333333</v>
      </c>
      <c r="E336" s="20">
        <f>=L336/3</f>
        <v>308</v>
      </c>
      <c r="F336" s="20">
        <f>=H336*0.9</f>
        <v>396</v>
      </c>
      <c r="G336" s="21">
        <v>400</v>
      </c>
      <c r="H336" s="39">
        <v>440</v>
      </c>
      <c r="I336" s="40">
        <f>=H336*1.05</f>
        <v>462</v>
      </c>
      <c r="J336" s="40">
        <f>=F336*2</f>
        <v>792</v>
      </c>
      <c r="K336" s="40">
        <f>=H336*2</f>
        <v>880</v>
      </c>
      <c r="L336" s="40">
        <f>=I336*2</f>
        <v>924</v>
      </c>
      <c r="M336" s="41" t="s">
        <v>211</v>
      </c>
      <c r="N336" s="41">
        <v>0.61</v>
      </c>
      <c r="O336" s="41" t="s"/>
      <c r="P336" s="41">
        <v>3</v>
      </c>
      <c r="Q336" s="41">
        <v>3</v>
      </c>
      <c r="R336" s="41" t="s">
        <v>16</v>
      </c>
      <c r="S336" s="41" t="s">
        <v>17</v>
      </c>
      <c r="T336" s="41" t="s">
        <v>110</v>
      </c>
      <c r="U336" s="16" t="s">
        <v>13</v>
      </c>
      <c r="V336" s="16" t="s">
        <v>19</v>
      </c>
      <c r="W336" s="19" t="s"/>
      <c r="X336" s="26" t="s">
        <f>=M336&amp;N336&amp;P336&amp;Q336&amp;T336&amp;V336&amp;S336</f>
        <v>399</v>
      </c>
      <c r="Y336" s="19" t="s"/>
      <c r="Z336" s="19" t="s"/>
      <c r="AA336" s="19" t="s"/>
      <c r="AB336" s="19" t="s"/>
    </row>
    <row r="337" spans="1:28" ht="14.4">
      <c r="A337" s="4">
        <f>=H337/G337-1</f>
        <v>0.0993377483443709</v>
      </c>
      <c r="B337" s="20">
        <f>=F337/12</f>
        <v>12.45</v>
      </c>
      <c r="C337" s="20">
        <f>=J337/3</f>
        <v>99.6</v>
      </c>
      <c r="D337" s="20">
        <f>=K337/3</f>
        <v>110.666666666667</v>
      </c>
      <c r="E337" s="20">
        <f>=L337/3</f>
        <v>116.2</v>
      </c>
      <c r="F337" s="20">
        <f>=H337*0.9</f>
        <v>149.4</v>
      </c>
      <c r="G337" s="21">
        <v>151</v>
      </c>
      <c r="H337" s="39">
        <v>166</v>
      </c>
      <c r="I337" s="40">
        <f>=H337*1.05</f>
        <v>174.3</v>
      </c>
      <c r="J337" s="40">
        <f>=F337*2</f>
        <v>298.8</v>
      </c>
      <c r="K337" s="40">
        <f>=H337*2</f>
        <v>332</v>
      </c>
      <c r="L337" s="40">
        <f>=I337*2</f>
        <v>348.6</v>
      </c>
      <c r="M337" s="41" t="s">
        <v>211</v>
      </c>
      <c r="N337" s="41">
        <v>0.63</v>
      </c>
      <c r="O337" s="41" t="s"/>
      <c r="P337" s="41">
        <v>1</v>
      </c>
      <c r="Q337" s="41">
        <v>1</v>
      </c>
      <c r="R337" s="41" t="s">
        <v>16</v>
      </c>
      <c r="S337" s="41" t="s">
        <v>137</v>
      </c>
      <c r="T337" s="41" t="s">
        <v>400</v>
      </c>
      <c r="U337" s="16" t="s">
        <v>13</v>
      </c>
      <c r="V337" s="16" t="s">
        <v>19</v>
      </c>
      <c r="W337" s="19" t="s"/>
      <c r="X337" s="26" t="s">
        <f>=M337&amp;N337&amp;P337&amp;Q337&amp;T337&amp;V337&amp;S337</f>
        <v>401</v>
      </c>
      <c r="Y337" s="19" t="s"/>
      <c r="Z337" s="19" t="s"/>
      <c r="AA337" s="19" t="s"/>
      <c r="AB337" s="19" t="s"/>
    </row>
    <row r="338" spans="1:28" ht="14.4">
      <c r="A338" s="4">
        <f>=H338/G338-1</f>
        <v>0.0986842105263157</v>
      </c>
      <c r="B338" s="20">
        <f>=F338/12</f>
        <v>12.525</v>
      </c>
      <c r="C338" s="20">
        <f>=J338/3</f>
        <v>100.2</v>
      </c>
      <c r="D338" s="20">
        <f>=K338/3</f>
        <v>111.333333333333</v>
      </c>
      <c r="E338" s="20">
        <f>=L338/3</f>
        <v>116.9</v>
      </c>
      <c r="F338" s="20">
        <f>=H338*0.9</f>
        <v>150.3</v>
      </c>
      <c r="G338" s="21">
        <v>152</v>
      </c>
      <c r="H338" s="39">
        <v>167</v>
      </c>
      <c r="I338" s="40">
        <f>=H338*1.05</f>
        <v>175.35</v>
      </c>
      <c r="J338" s="40">
        <f>=F338*2</f>
        <v>300.6</v>
      </c>
      <c r="K338" s="40">
        <f>=H338*2</f>
        <v>334</v>
      </c>
      <c r="L338" s="40">
        <f>=I338*2</f>
        <v>350.7</v>
      </c>
      <c r="M338" s="41" t="s">
        <v>211</v>
      </c>
      <c r="N338" s="41">
        <v>0.63</v>
      </c>
      <c r="O338" s="41" t="s"/>
      <c r="P338" s="41">
        <v>1</v>
      </c>
      <c r="Q338" s="41">
        <v>1</v>
      </c>
      <c r="R338" s="41" t="s">
        <v>16</v>
      </c>
      <c r="S338" s="41" t="s">
        <v>17</v>
      </c>
      <c r="T338" s="41" t="s">
        <v>402</v>
      </c>
      <c r="U338" s="16" t="s">
        <v>13</v>
      </c>
      <c r="V338" s="16" t="s">
        <v>19</v>
      </c>
      <c r="W338" s="19" t="s"/>
      <c r="X338" s="26" t="s">
        <f>=M338&amp;N338&amp;P338&amp;Q338&amp;T338&amp;V338&amp;S338</f>
        <v>403</v>
      </c>
      <c r="Y338" s="19" t="s"/>
      <c r="Z338" s="19" t="s"/>
      <c r="AA338" s="19" t="s"/>
      <c r="AB338" s="19" t="s"/>
    </row>
    <row r="339" spans="1:28" ht="14.4">
      <c r="A339" s="4">
        <f>=H339/G339-1</f>
        <v>0.10236220472441</v>
      </c>
      <c r="B339" s="20">
        <f>=F339/12</f>
        <v>10.5</v>
      </c>
      <c r="C339" s="20">
        <f>=J339/3</f>
        <v>84</v>
      </c>
      <c r="D339" s="20">
        <f>=K339/3</f>
        <v>93.3333333333333</v>
      </c>
      <c r="E339" s="20">
        <f>=L339/3</f>
        <v>98</v>
      </c>
      <c r="F339" s="20">
        <f>=H339*0.9</f>
        <v>126</v>
      </c>
      <c r="G339" s="21">
        <v>127</v>
      </c>
      <c r="H339" s="39">
        <v>140</v>
      </c>
      <c r="I339" s="40">
        <f>=H339*1.05</f>
        <v>147</v>
      </c>
      <c r="J339" s="40">
        <f>=F339*2</f>
        <v>252</v>
      </c>
      <c r="K339" s="40">
        <f>=H339*2</f>
        <v>280</v>
      </c>
      <c r="L339" s="40">
        <f>=I339*2</f>
        <v>294</v>
      </c>
      <c r="M339" s="41" t="s">
        <v>211</v>
      </c>
      <c r="N339" s="41">
        <v>0.63</v>
      </c>
      <c r="O339" s="41" t="s"/>
      <c r="P339" s="41" t="s">
        <v>21</v>
      </c>
      <c r="Q339" s="41" t="s">
        <v>21</v>
      </c>
      <c r="R339" s="41" t="s">
        <v>16</v>
      </c>
      <c r="S339" s="41" t="s">
        <v>17</v>
      </c>
      <c r="T339" s="41" t="s">
        <v>402</v>
      </c>
      <c r="U339" s="16" t="s">
        <v>13</v>
      </c>
      <c r="V339" s="16" t="s">
        <v>19</v>
      </c>
      <c r="W339" s="19" t="s"/>
      <c r="X339" s="26" t="s">
        <f>=M339&amp;N339&amp;P339&amp;Q339&amp;T339&amp;V339&amp;S339</f>
        <v>404</v>
      </c>
      <c r="Y339" s="19" t="s"/>
      <c r="Z339" s="19" t="s"/>
      <c r="AA339" s="19" t="s"/>
      <c r="AB339" s="19" t="s"/>
    </row>
    <row r="340" spans="1:28" ht="14.4">
      <c r="A340" s="4">
        <f>=H340/G340-1</f>
        <v>0.103225806451613</v>
      </c>
      <c r="B340" s="20">
        <f>=F340/12</f>
        <v>12.825</v>
      </c>
      <c r="C340" s="20">
        <f>=J340/3</f>
        <v>102.6</v>
      </c>
      <c r="D340" s="20">
        <f>=K340/3</f>
        <v>114</v>
      </c>
      <c r="E340" s="20">
        <f>=L340/3</f>
        <v>119.7</v>
      </c>
      <c r="F340" s="20">
        <f>=H340*0.9</f>
        <v>153.9</v>
      </c>
      <c r="G340" s="21">
        <v>155</v>
      </c>
      <c r="H340" s="39">
        <v>171</v>
      </c>
      <c r="I340" s="40">
        <f>=H340*1.05</f>
        <v>179.55</v>
      </c>
      <c r="J340" s="40">
        <f>=F340*2</f>
        <v>307.8</v>
      </c>
      <c r="K340" s="40">
        <f>=H340*2</f>
        <v>342</v>
      </c>
      <c r="L340" s="40">
        <f>=I340*2</f>
        <v>359.1</v>
      </c>
      <c r="M340" s="41" t="s">
        <v>211</v>
      </c>
      <c r="N340" s="41">
        <v>0.64</v>
      </c>
      <c r="O340" s="41" t="s"/>
      <c r="P340" s="41">
        <v>1</v>
      </c>
      <c r="Q340" s="41">
        <v>1</v>
      </c>
      <c r="R340" s="41" t="s">
        <v>16</v>
      </c>
      <c r="S340" s="41" t="s">
        <v>17</v>
      </c>
      <c r="T340" s="41" t="s">
        <v>402</v>
      </c>
      <c r="U340" s="16" t="s">
        <v>13</v>
      </c>
      <c r="V340" s="16" t="s">
        <v>19</v>
      </c>
      <c r="W340" s="19" t="s"/>
      <c r="X340" s="26" t="s">
        <f>=M340&amp;N340&amp;P340&amp;Q340&amp;T340&amp;V340&amp;S340</f>
        <v>405</v>
      </c>
      <c r="Y340" s="19" t="s"/>
      <c r="Z340" s="19" t="s"/>
      <c r="AA340" s="19" t="s"/>
      <c r="AB340" s="19" t="s"/>
    </row>
    <row r="341" spans="1:28" ht="14.4">
      <c r="A341" s="4">
        <f>=H341/G341-1</f>
        <v>0.0996015936254979</v>
      </c>
      <c r="B341" s="20">
        <f>=F341/12</f>
        <v>20.7</v>
      </c>
      <c r="C341" s="20">
        <f>=J341/3</f>
        <v>165.6</v>
      </c>
      <c r="D341" s="20">
        <f>=K341/3</f>
        <v>184</v>
      </c>
      <c r="E341" s="20">
        <f>=L341/3</f>
        <v>193.2</v>
      </c>
      <c r="F341" s="20">
        <f>=H341*0.9</f>
        <v>248.4</v>
      </c>
      <c r="G341" s="21">
        <v>251</v>
      </c>
      <c r="H341" s="39">
        <v>276</v>
      </c>
      <c r="I341" s="40">
        <f>=H341*1.05</f>
        <v>289.8</v>
      </c>
      <c r="J341" s="40">
        <f>=F341*2</f>
        <v>496.8</v>
      </c>
      <c r="K341" s="40">
        <f>=H341*2</f>
        <v>552</v>
      </c>
      <c r="L341" s="40">
        <f>=I341*2</f>
        <v>579.6</v>
      </c>
      <c r="M341" s="41" t="s">
        <v>211</v>
      </c>
      <c r="N341" s="41">
        <v>0.64</v>
      </c>
      <c r="O341" s="41" t="s"/>
      <c r="P341" s="41">
        <v>2</v>
      </c>
      <c r="Q341" s="41">
        <v>2</v>
      </c>
      <c r="R341" s="41" t="s">
        <v>16</v>
      </c>
      <c r="S341" s="41" t="s">
        <v>17</v>
      </c>
      <c r="T341" s="41" t="s">
        <v>402</v>
      </c>
      <c r="U341" s="16" t="s">
        <v>13</v>
      </c>
      <c r="V341" s="16" t="s">
        <v>19</v>
      </c>
      <c r="W341" s="19" t="s"/>
      <c r="X341" s="26" t="s">
        <f>=M341&amp;N341&amp;P341&amp;Q341&amp;T341&amp;V341&amp;S341</f>
        <v>406</v>
      </c>
      <c r="Y341" s="19" t="s"/>
      <c r="Z341" s="19" t="s"/>
      <c r="AA341" s="19" t="s"/>
      <c r="AB341" s="19" t="s"/>
    </row>
    <row r="342" spans="1:28" ht="14.4">
      <c r="A342" s="4">
        <f>=H342/G342-1</f>
        <v>0.10077519379845</v>
      </c>
      <c r="B342" s="20">
        <f>=F342/12</f>
        <v>21.3</v>
      </c>
      <c r="C342" s="20">
        <f>=J342/3</f>
        <v>170.4</v>
      </c>
      <c r="D342" s="20">
        <f>=K342/3</f>
        <v>189.333333333333</v>
      </c>
      <c r="E342" s="20">
        <f>=L342/3</f>
        <v>198.8</v>
      </c>
      <c r="F342" s="20">
        <f>=H342*0.9</f>
        <v>255.6</v>
      </c>
      <c r="G342" s="21">
        <v>258</v>
      </c>
      <c r="H342" s="39">
        <v>284</v>
      </c>
      <c r="I342" s="40">
        <f>=H342*1.05</f>
        <v>298.2</v>
      </c>
      <c r="J342" s="40">
        <f>=F342*2</f>
        <v>511.2</v>
      </c>
      <c r="K342" s="40">
        <f>=H342*2</f>
        <v>568</v>
      </c>
      <c r="L342" s="40">
        <f>=I342*2</f>
        <v>596.4</v>
      </c>
      <c r="M342" s="41" t="s">
        <v>211</v>
      </c>
      <c r="N342" s="41">
        <v>0.66</v>
      </c>
      <c r="O342" s="41" t="s"/>
      <c r="P342" s="41">
        <v>2</v>
      </c>
      <c r="Q342" s="41">
        <v>2</v>
      </c>
      <c r="R342" s="41" t="s">
        <v>16</v>
      </c>
      <c r="S342" s="41" t="s">
        <v>17</v>
      </c>
      <c r="T342" s="41" t="s">
        <v>122</v>
      </c>
      <c r="U342" s="16" t="s">
        <v>13</v>
      </c>
      <c r="V342" s="16" t="s">
        <v>19</v>
      </c>
      <c r="W342" s="19" t="s"/>
      <c r="X342" s="26" t="s">
        <f>=M342&amp;N342&amp;P342&amp;Q342&amp;T342&amp;V342&amp;S342</f>
        <v>407</v>
      </c>
      <c r="Y342" s="19" t="s"/>
      <c r="Z342" s="19" t="s"/>
      <c r="AA342" s="19" t="s"/>
      <c r="AB342" s="19" t="s"/>
    </row>
    <row r="343" spans="1:28" ht="14.4">
      <c r="A343" s="4">
        <f>=H343/G343-1</f>
        <v>0.0977011494252873</v>
      </c>
      <c r="B343" s="20">
        <f>=F343/12</f>
        <v>14.325</v>
      </c>
      <c r="C343" s="20">
        <f>=J343/3</f>
        <v>114.6</v>
      </c>
      <c r="D343" s="20">
        <f>=K343/3</f>
        <v>127.333333333333</v>
      </c>
      <c r="E343" s="20">
        <f>=L343/3</f>
        <v>133.7</v>
      </c>
      <c r="F343" s="20">
        <f>=H343*0.9</f>
        <v>171.9</v>
      </c>
      <c r="G343" s="21">
        <v>174</v>
      </c>
      <c r="H343" s="39">
        <v>191</v>
      </c>
      <c r="I343" s="40">
        <f>=H343*1.05</f>
        <v>200.55</v>
      </c>
      <c r="J343" s="40">
        <f>=F343*2</f>
        <v>343.8</v>
      </c>
      <c r="K343" s="40">
        <f>=H343*2</f>
        <v>382</v>
      </c>
      <c r="L343" s="40">
        <f>=I343*2</f>
        <v>401.1</v>
      </c>
      <c r="M343" s="41" t="s">
        <v>211</v>
      </c>
      <c r="N343" s="41">
        <v>0.66</v>
      </c>
      <c r="O343" s="41" t="s"/>
      <c r="P343" s="41">
        <v>1</v>
      </c>
      <c r="Q343" s="41">
        <v>1</v>
      </c>
      <c r="R343" s="41" t="s">
        <v>16</v>
      </c>
      <c r="S343" s="41" t="s">
        <v>17</v>
      </c>
      <c r="T343" s="41" t="s">
        <v>126</v>
      </c>
      <c r="U343" s="16" t="s">
        <v>13</v>
      </c>
      <c r="V343" s="16" t="s"/>
      <c r="W343" s="19" t="s"/>
      <c r="X343" s="26" t="s">
        <f>=M343&amp;N343&amp;P343&amp;Q343&amp;T343&amp;V343&amp;S343</f>
        <v>408</v>
      </c>
      <c r="Y343" s="19" t="s"/>
      <c r="Z343" s="19" t="s"/>
      <c r="AA343" s="19" t="s"/>
      <c r="AB343" s="19" t="s"/>
    </row>
    <row r="344" spans="1:28" ht="14.4">
      <c r="A344" s="4">
        <f>=H344/G344-1</f>
        <v>0.10077519379845</v>
      </c>
      <c r="B344" s="20">
        <f>=F344/12</f>
        <v>21.3</v>
      </c>
      <c r="C344" s="20">
        <f>=J344/3</f>
        <v>170.4</v>
      </c>
      <c r="D344" s="20">
        <f>=K344/3</f>
        <v>189.333333333333</v>
      </c>
      <c r="E344" s="20">
        <f>=L344/3</f>
        <v>198.8</v>
      </c>
      <c r="F344" s="20">
        <f>=H344*0.9</f>
        <v>255.6</v>
      </c>
      <c r="G344" s="21">
        <v>258</v>
      </c>
      <c r="H344" s="39">
        <v>284</v>
      </c>
      <c r="I344" s="40">
        <f>=H344*1.05</f>
        <v>298.2</v>
      </c>
      <c r="J344" s="40">
        <f>=F344*2</f>
        <v>511.2</v>
      </c>
      <c r="K344" s="40">
        <f>=H344*2</f>
        <v>568</v>
      </c>
      <c r="L344" s="40">
        <f>=I344*2</f>
        <v>596.4</v>
      </c>
      <c r="M344" s="41" t="s">
        <v>211</v>
      </c>
      <c r="N344" s="41">
        <v>0.66</v>
      </c>
      <c r="O344" s="41" t="s"/>
      <c r="P344" s="41">
        <v>2</v>
      </c>
      <c r="Q344" s="41">
        <v>2</v>
      </c>
      <c r="R344" s="41" t="s">
        <v>16</v>
      </c>
      <c r="S344" s="41" t="s">
        <v>17</v>
      </c>
      <c r="T344" s="41" t="s">
        <v>128</v>
      </c>
      <c r="U344" s="16" t="s">
        <v>13</v>
      </c>
      <c r="V344" s="16" t="s">
        <v>19</v>
      </c>
      <c r="W344" s="19" t="s"/>
      <c r="X344" s="26" t="s">
        <f>=M344&amp;N344&amp;P344&amp;Q344&amp;T344&amp;V344&amp;S344</f>
        <v>409</v>
      </c>
      <c r="Y344" s="19" t="s"/>
      <c r="Z344" s="19" t="s"/>
      <c r="AA344" s="19" t="s"/>
      <c r="AB344" s="19" t="s"/>
    </row>
    <row r="345" spans="1:28" ht="14.4">
      <c r="A345" s="4">
        <f>=H345/G345-1</f>
        <v>0.098360655737705</v>
      </c>
      <c r="B345" s="20">
        <f>=F345/12</f>
        <v>10.05</v>
      </c>
      <c r="C345" s="20">
        <f>=J345/3</f>
        <v>80.4</v>
      </c>
      <c r="D345" s="20">
        <f>=K345/3</f>
        <v>89.3333333333333</v>
      </c>
      <c r="E345" s="20">
        <f>=L345/3</f>
        <v>93.8</v>
      </c>
      <c r="F345" s="20">
        <f>=H345*0.9</f>
        <v>120.6</v>
      </c>
      <c r="G345" s="21">
        <v>122</v>
      </c>
      <c r="H345" s="39">
        <v>134</v>
      </c>
      <c r="I345" s="40">
        <f>=H345*1.05</f>
        <v>140.7</v>
      </c>
      <c r="J345" s="40">
        <f>=F345*2</f>
        <v>241.2</v>
      </c>
      <c r="K345" s="40">
        <f>=H345*2</f>
        <v>268</v>
      </c>
      <c r="L345" s="40">
        <f>=I345*2</f>
        <v>281.4</v>
      </c>
      <c r="M345" s="41" t="s">
        <v>211</v>
      </c>
      <c r="N345" s="41">
        <v>0.66</v>
      </c>
      <c r="O345" s="41" t="s"/>
      <c r="P345" s="41" t="s">
        <v>21</v>
      </c>
      <c r="Q345" s="41" t="s">
        <v>21</v>
      </c>
      <c r="R345" s="41" t="s">
        <v>16</v>
      </c>
      <c r="S345" s="41" t="s">
        <v>17</v>
      </c>
      <c r="T345" s="41" t="s">
        <v>122</v>
      </c>
      <c r="U345" s="16" t="s">
        <v>13</v>
      </c>
      <c r="V345" s="16" t="s">
        <v>19</v>
      </c>
      <c r="W345" s="19" t="s"/>
      <c r="X345" s="26" t="s">
        <f>=M345&amp;N345&amp;P345&amp;Q345&amp;T345&amp;V345&amp;S345</f>
        <v>410</v>
      </c>
      <c r="Y345" s="19" t="s"/>
      <c r="Z345" s="19" t="s"/>
      <c r="AA345" s="19" t="s"/>
      <c r="AB345" s="19" t="s"/>
    </row>
    <row r="346" spans="1:28" ht="14.4">
      <c r="A346" s="4">
        <f>=H346/G346-1</f>
        <v>0.102564102564103</v>
      </c>
      <c r="B346" s="20">
        <f>=F346/12</f>
        <v>12.9</v>
      </c>
      <c r="C346" s="20">
        <f>=J346/3</f>
        <v>103.2</v>
      </c>
      <c r="D346" s="20">
        <f>=K346/3</f>
        <v>114.666666666667</v>
      </c>
      <c r="E346" s="20">
        <f>=L346/3</f>
        <v>120.4</v>
      </c>
      <c r="F346" s="20">
        <f>=H346*0.9</f>
        <v>154.8</v>
      </c>
      <c r="G346" s="21">
        <v>156</v>
      </c>
      <c r="H346" s="39">
        <v>172</v>
      </c>
      <c r="I346" s="40">
        <f>=H346*1.05</f>
        <v>180.6</v>
      </c>
      <c r="J346" s="40">
        <f>=F346*2</f>
        <v>309.6</v>
      </c>
      <c r="K346" s="40">
        <f>=H346*2</f>
        <v>344</v>
      </c>
      <c r="L346" s="40">
        <f>=I346*2</f>
        <v>361.2</v>
      </c>
      <c r="M346" s="41" t="s">
        <v>211</v>
      </c>
      <c r="N346" s="41">
        <v>0.7</v>
      </c>
      <c r="O346" s="41" t="s"/>
      <c r="P346" s="41">
        <v>1</v>
      </c>
      <c r="Q346" s="41">
        <v>1</v>
      </c>
      <c r="R346" s="41" t="s">
        <v>16</v>
      </c>
      <c r="S346" s="41" t="s">
        <v>17</v>
      </c>
      <c r="T346" s="41" t="s">
        <v>128</v>
      </c>
      <c r="U346" s="16" t="s">
        <v>13</v>
      </c>
      <c r="V346" s="16" t="s">
        <v>19</v>
      </c>
      <c r="W346" s="19" t="s"/>
      <c r="X346" s="26" t="s">
        <f>=M346&amp;N346&amp;P346&amp;Q346&amp;T346&amp;V346&amp;S346</f>
        <v>411</v>
      </c>
      <c r="Y346" s="19" t="s"/>
      <c r="Z346" s="19" t="s"/>
      <c r="AA346" s="19" t="s"/>
      <c r="AB346" s="19" t="s"/>
    </row>
    <row r="347" spans="1:28" ht="14.4">
      <c r="A347" s="4">
        <f>=H347/G347-1</f>
        <v>0.102564102564103</v>
      </c>
      <c r="B347" s="20">
        <f>=F347/12</f>
        <v>12.9</v>
      </c>
      <c r="C347" s="20">
        <f>=J347/3</f>
        <v>103.2</v>
      </c>
      <c r="D347" s="20">
        <f>=K347/3</f>
        <v>114.666666666667</v>
      </c>
      <c r="E347" s="20">
        <f>=L347/3</f>
        <v>120.4</v>
      </c>
      <c r="F347" s="20">
        <f>=H347*0.9</f>
        <v>154.8</v>
      </c>
      <c r="G347" s="21">
        <v>156</v>
      </c>
      <c r="H347" s="39">
        <v>172</v>
      </c>
      <c r="I347" s="40">
        <f>=H347*1.05</f>
        <v>180.6</v>
      </c>
      <c r="J347" s="40">
        <f>=F347*2</f>
        <v>309.6</v>
      </c>
      <c r="K347" s="40">
        <f>=H347*2</f>
        <v>344</v>
      </c>
      <c r="L347" s="40">
        <f>=I347*2</f>
        <v>361.2</v>
      </c>
      <c r="M347" s="41" t="s">
        <v>211</v>
      </c>
      <c r="N347" s="41">
        <v>0.71</v>
      </c>
      <c r="O347" s="41" t="s"/>
      <c r="P347" s="41">
        <v>1</v>
      </c>
      <c r="Q347" s="41">
        <v>1</v>
      </c>
      <c r="R347" s="41" t="s">
        <v>16</v>
      </c>
      <c r="S347" s="41" t="s">
        <v>17</v>
      </c>
      <c r="T347" s="41" t="s">
        <v>128</v>
      </c>
      <c r="U347" s="16" t="s">
        <v>13</v>
      </c>
      <c r="V347" s="16" t="s">
        <v>19</v>
      </c>
      <c r="W347" s="19" t="s"/>
      <c r="X347" s="26" t="s">
        <f>=M347&amp;N347&amp;P347&amp;Q347&amp;T347&amp;V347&amp;S347</f>
        <v>412</v>
      </c>
      <c r="Y347" s="19" t="s"/>
      <c r="Z347" s="19" t="s"/>
      <c r="AA347" s="19" t="s"/>
      <c r="AB347" s="19" t="s"/>
    </row>
    <row r="348" spans="1:28" ht="14.4">
      <c r="A348" s="4">
        <f>=H348/G348-1</f>
        <v>0.0977011494252873</v>
      </c>
      <c r="B348" s="20">
        <f>=F348/12</f>
        <v>14.325</v>
      </c>
      <c r="C348" s="20">
        <f>=J348/3</f>
        <v>114.6</v>
      </c>
      <c r="D348" s="20">
        <f>=K348/3</f>
        <v>127.333333333333</v>
      </c>
      <c r="E348" s="20">
        <f>=L348/3</f>
        <v>133.7</v>
      </c>
      <c r="F348" s="20">
        <f>=H348*0.9</f>
        <v>171.9</v>
      </c>
      <c r="G348" s="21">
        <v>174</v>
      </c>
      <c r="H348" s="39">
        <v>191</v>
      </c>
      <c r="I348" s="40">
        <f>=H348*1.05</f>
        <v>200.55</v>
      </c>
      <c r="J348" s="40">
        <f>=F348*2</f>
        <v>343.8</v>
      </c>
      <c r="K348" s="40">
        <f>=H348*2</f>
        <v>382</v>
      </c>
      <c r="L348" s="40">
        <f>=I348*2</f>
        <v>401.1</v>
      </c>
      <c r="M348" s="41" t="s">
        <v>211</v>
      </c>
      <c r="N348" s="41">
        <v>0.71</v>
      </c>
      <c r="O348" s="41" t="s"/>
      <c r="P348" s="41">
        <v>1</v>
      </c>
      <c r="Q348" s="41">
        <v>1</v>
      </c>
      <c r="R348" s="41" t="s">
        <v>16</v>
      </c>
      <c r="S348" s="41" t="s">
        <v>17</v>
      </c>
      <c r="T348" s="41" t="s">
        <v>413</v>
      </c>
      <c r="U348" s="16" t="s">
        <v>13</v>
      </c>
      <c r="V348" s="16" t="s">
        <v>19</v>
      </c>
      <c r="W348" s="19" t="s"/>
      <c r="X348" s="26" t="s">
        <f>=M348&amp;N348&amp;P348&amp;Q348&amp;T348&amp;V348&amp;S348</f>
        <v>414</v>
      </c>
      <c r="Y348" s="19" t="s"/>
      <c r="Z348" s="19" t="s"/>
      <c r="AA348" s="19" t="s"/>
      <c r="AB348" s="19" t="s"/>
    </row>
    <row r="349" spans="1:28" ht="14.4">
      <c r="A349" s="4">
        <f>=H349/G349-1</f>
        <v>0.0988593155893536</v>
      </c>
      <c r="B349" s="20">
        <f>=F349/12</f>
        <v>21.675</v>
      </c>
      <c r="C349" s="20">
        <f>=J349/3</f>
        <v>173.4</v>
      </c>
      <c r="D349" s="20">
        <f>=K349/3</f>
        <v>192.666666666667</v>
      </c>
      <c r="E349" s="20">
        <f>=L349/3</f>
        <v>202.3</v>
      </c>
      <c r="F349" s="20">
        <f>=H349*0.9</f>
        <v>260.1</v>
      </c>
      <c r="G349" s="21">
        <v>263</v>
      </c>
      <c r="H349" s="39">
        <v>289</v>
      </c>
      <c r="I349" s="40">
        <f>=H349*1.05</f>
        <v>303.45</v>
      </c>
      <c r="J349" s="40">
        <f>=F349*2</f>
        <v>520.2</v>
      </c>
      <c r="K349" s="40">
        <f>=H349*2</f>
        <v>578</v>
      </c>
      <c r="L349" s="40">
        <f>=I349*2</f>
        <v>606.9</v>
      </c>
      <c r="M349" s="41" t="s">
        <v>211</v>
      </c>
      <c r="N349" s="41">
        <v>0.71</v>
      </c>
      <c r="O349" s="41" t="s"/>
      <c r="P349" s="41">
        <v>2</v>
      </c>
      <c r="Q349" s="41">
        <v>2</v>
      </c>
      <c r="R349" s="41" t="s">
        <v>16</v>
      </c>
      <c r="S349" s="41" t="s">
        <v>17</v>
      </c>
      <c r="T349" s="41" t="s">
        <v>128</v>
      </c>
      <c r="U349" s="16" t="s">
        <v>13</v>
      </c>
      <c r="V349" s="16" t="s">
        <v>19</v>
      </c>
      <c r="W349" s="19" t="s"/>
      <c r="X349" s="26" t="s">
        <f>=M349&amp;N349&amp;P349&amp;Q349&amp;T349&amp;V349&amp;S349</f>
        <v>415</v>
      </c>
      <c r="Y349" s="19" t="s"/>
      <c r="Z349" s="19" t="s"/>
      <c r="AA349" s="19" t="s"/>
      <c r="AB349" s="19" t="s"/>
    </row>
    <row r="350" spans="1:28" ht="14.4">
      <c r="A350" s="4">
        <f>=H350/G350-1</f>
        <v>0.1</v>
      </c>
      <c r="B350" s="20">
        <f>=F350/12</f>
        <v>10.725</v>
      </c>
      <c r="C350" s="20">
        <f>=J350/3</f>
        <v>85.8</v>
      </c>
      <c r="D350" s="20">
        <f>=K350/3</f>
        <v>95.3333333333333</v>
      </c>
      <c r="E350" s="20">
        <f>=L350/3</f>
        <v>100.1</v>
      </c>
      <c r="F350" s="20">
        <f>=H350*0.9</f>
        <v>128.7</v>
      </c>
      <c r="G350" s="21">
        <v>130</v>
      </c>
      <c r="H350" s="39">
        <v>143</v>
      </c>
      <c r="I350" s="40">
        <f>=H350*1.05</f>
        <v>150.15</v>
      </c>
      <c r="J350" s="40">
        <f>=F350*2</f>
        <v>257.4</v>
      </c>
      <c r="K350" s="40">
        <f>=H350*2</f>
        <v>286</v>
      </c>
      <c r="L350" s="40">
        <f>=I350*2</f>
        <v>300.3</v>
      </c>
      <c r="M350" s="41" t="s">
        <v>211</v>
      </c>
      <c r="N350" s="41">
        <v>0.71</v>
      </c>
      <c r="O350" s="41" t="s"/>
      <c r="P350" s="41" t="s">
        <v>21</v>
      </c>
      <c r="Q350" s="41" t="s">
        <v>21</v>
      </c>
      <c r="R350" s="41" t="s">
        <v>16</v>
      </c>
      <c r="S350" s="41" t="s">
        <v>17</v>
      </c>
      <c r="T350" s="41" t="s">
        <v>128</v>
      </c>
      <c r="U350" s="16" t="s">
        <v>13</v>
      </c>
      <c r="V350" s="16" t="s">
        <v>19</v>
      </c>
      <c r="W350" s="19" t="s"/>
      <c r="X350" s="26" t="s">
        <f>=M350&amp;N350&amp;P350&amp;Q350&amp;T350&amp;V350&amp;S350</f>
        <v>416</v>
      </c>
      <c r="Y350" s="19" t="s"/>
      <c r="Z350" s="19" t="s"/>
      <c r="AA350" s="19" t="s"/>
      <c r="AB350" s="19" t="s"/>
    </row>
    <row r="351" spans="1:28" ht="14.4">
      <c r="A351" s="4" t="s"/>
      <c r="B351" s="20">
        <f>=F351/12</f>
        <v>12.975</v>
      </c>
      <c r="C351" s="20">
        <f>=J351/3</f>
        <v>103.8</v>
      </c>
      <c r="D351" s="20">
        <f>=K351/3</f>
        <v>115.333333333333</v>
      </c>
      <c r="E351" s="20">
        <f>=L351/3</f>
        <v>121.1</v>
      </c>
      <c r="F351" s="20">
        <f>=H351*0.9</f>
        <v>155.7</v>
      </c>
      <c r="G351" s="21" t="s"/>
      <c r="H351" s="39">
        <v>173</v>
      </c>
      <c r="I351" s="40">
        <f>=H351*1.05</f>
        <v>181.65</v>
      </c>
      <c r="J351" s="40">
        <f>=F351*2</f>
        <v>311.4</v>
      </c>
      <c r="K351" s="40">
        <f>=H351*2</f>
        <v>346</v>
      </c>
      <c r="L351" s="40">
        <f>=I351*2</f>
        <v>363.3</v>
      </c>
      <c r="M351" s="41" t="s">
        <v>211</v>
      </c>
      <c r="N351" s="41">
        <v>0.73</v>
      </c>
      <c r="O351" s="41" t="s"/>
      <c r="P351" s="41">
        <v>1</v>
      </c>
      <c r="Q351" s="41">
        <v>1</v>
      </c>
      <c r="R351" s="41" t="s">
        <v>16</v>
      </c>
      <c r="S351" s="41" t="s">
        <v>17</v>
      </c>
      <c r="T351" s="41" t="s">
        <v>128</v>
      </c>
      <c r="U351" s="16" t="s">
        <v>13</v>
      </c>
      <c r="V351" s="16" t="s">
        <v>19</v>
      </c>
      <c r="W351" s="51">
        <v>46167</v>
      </c>
      <c r="X351" s="26" t="s">
        <f>=M351&amp;N351&amp;P351&amp;Q351&amp;T351&amp;V351&amp;S351</f>
        <v>417</v>
      </c>
      <c r="Y351" s="19" t="s"/>
      <c r="Z351" s="19" t="s"/>
      <c r="AA351" s="19" t="s"/>
      <c r="AB351" s="19" t="s"/>
    </row>
    <row r="352" spans="1:28" ht="14.4">
      <c r="A352" s="4">
        <f>=H352/G352-1</f>
        <v>0.101382488479263</v>
      </c>
      <c r="B352" s="20">
        <f>=F352/12</f>
        <v>17.925</v>
      </c>
      <c r="C352" s="20">
        <f>=J352/3</f>
        <v>143.4</v>
      </c>
      <c r="D352" s="20">
        <f>=K352/3</f>
        <v>159.333333333333</v>
      </c>
      <c r="E352" s="20">
        <f>=L352/3</f>
        <v>167.3</v>
      </c>
      <c r="F352" s="20">
        <f>=H352*0.9</f>
        <v>215.1</v>
      </c>
      <c r="G352" s="21">
        <v>217</v>
      </c>
      <c r="H352" s="39">
        <v>239</v>
      </c>
      <c r="I352" s="40">
        <f>=H352*1.05</f>
        <v>250.95</v>
      </c>
      <c r="J352" s="40">
        <f>=F352*2</f>
        <v>430.2</v>
      </c>
      <c r="K352" s="40">
        <f>=H352*2</f>
        <v>478</v>
      </c>
      <c r="L352" s="40">
        <f>=I352*2</f>
        <v>501.9</v>
      </c>
      <c r="M352" s="41" t="s">
        <v>211</v>
      </c>
      <c r="N352" s="41">
        <v>0.73</v>
      </c>
      <c r="O352" s="41" t="s"/>
      <c r="P352" s="41">
        <v>1.5</v>
      </c>
      <c r="Q352" s="41">
        <v>1.5</v>
      </c>
      <c r="R352" s="41" t="s">
        <v>16</v>
      </c>
      <c r="S352" s="41" t="s">
        <v>17</v>
      </c>
      <c r="T352" s="41" t="s">
        <v>128</v>
      </c>
      <c r="U352" s="16" t="s">
        <v>13</v>
      </c>
      <c r="V352" s="16" t="s">
        <v>19</v>
      </c>
      <c r="W352" s="19" t="s"/>
      <c r="X352" s="26" t="s">
        <f>=M352&amp;N352&amp;P352&amp;Q352&amp;T352&amp;V352&amp;S352</f>
        <v>418</v>
      </c>
      <c r="Y352" s="19" t="s"/>
      <c r="Z352" s="19" t="s"/>
      <c r="AA352" s="19" t="s"/>
      <c r="AB352" s="19" t="s"/>
    </row>
    <row r="353" spans="1:28" ht="14.4">
      <c r="A353" s="4">
        <f>=H353/G353-1</f>
        <v>0.1</v>
      </c>
      <c r="B353" s="20">
        <f>=F353/12</f>
        <v>10.725</v>
      </c>
      <c r="C353" s="20">
        <f>=J353/3</f>
        <v>85.8</v>
      </c>
      <c r="D353" s="20">
        <f>=K353/3</f>
        <v>95.3333333333333</v>
      </c>
      <c r="E353" s="20">
        <f>=L353/3</f>
        <v>100.1</v>
      </c>
      <c r="F353" s="20">
        <f>=H353*0.9</f>
        <v>128.7</v>
      </c>
      <c r="G353" s="21">
        <v>130</v>
      </c>
      <c r="H353" s="39">
        <v>143</v>
      </c>
      <c r="I353" s="40">
        <f>=H353*1.05</f>
        <v>150.15</v>
      </c>
      <c r="J353" s="40">
        <f>=F353*2</f>
        <v>257.4</v>
      </c>
      <c r="K353" s="40">
        <f>=H353*2</f>
        <v>286</v>
      </c>
      <c r="L353" s="40">
        <f>=I353*2</f>
        <v>300.3</v>
      </c>
      <c r="M353" s="41" t="s">
        <v>211</v>
      </c>
      <c r="N353" s="41">
        <v>0.73</v>
      </c>
      <c r="O353" s="41" t="s"/>
      <c r="P353" s="41" t="s">
        <v>21</v>
      </c>
      <c r="Q353" s="41" t="s">
        <v>21</v>
      </c>
      <c r="R353" s="41" t="s">
        <v>16</v>
      </c>
      <c r="S353" s="41" t="s">
        <v>17</v>
      </c>
      <c r="T353" s="41" t="s">
        <v>128</v>
      </c>
      <c r="U353" s="16" t="s">
        <v>13</v>
      </c>
      <c r="V353" s="16" t="s">
        <v>19</v>
      </c>
      <c r="W353" s="19" t="s"/>
      <c r="X353" s="26" t="s">
        <f>=M353&amp;N353&amp;P353&amp;Q353&amp;T353&amp;V353&amp;S353</f>
        <v>419</v>
      </c>
      <c r="Y353" s="19" t="s"/>
      <c r="Z353" s="19" t="s"/>
      <c r="AA353" s="19" t="s"/>
      <c r="AB353" s="19" t="s"/>
    </row>
    <row r="354" spans="1:29" ht="14.4">
      <c r="A354" s="49">
        <v>46181</v>
      </c>
      <c r="B354" s="43">
        <f>=F354/12</f>
        <v>14.7</v>
      </c>
      <c r="C354" s="43">
        <f>=J354/3</f>
        <v>117.6</v>
      </c>
      <c r="D354" s="43">
        <f>=K354/3</f>
        <v>130.666666666667</v>
      </c>
      <c r="E354" s="43">
        <f>=L354/3</f>
        <v>137.2</v>
      </c>
      <c r="F354" s="43">
        <f>=H354*0.9</f>
        <v>176.4</v>
      </c>
      <c r="G354" s="27">
        <v>261</v>
      </c>
      <c r="H354" s="44">
        <v>196</v>
      </c>
      <c r="I354" s="45">
        <f>=H354*1.05</f>
        <v>205.8</v>
      </c>
      <c r="J354" s="45">
        <f>=F354*2</f>
        <v>352.8</v>
      </c>
      <c r="K354" s="45">
        <f>=H354*2</f>
        <v>392</v>
      </c>
      <c r="L354" s="45">
        <f>=I354*2</f>
        <v>411.6</v>
      </c>
      <c r="M354" s="46" t="s">
        <v>211</v>
      </c>
      <c r="N354" s="46">
        <v>0.76</v>
      </c>
      <c r="O354" s="46" t="s"/>
      <c r="P354" s="12">
        <v>1</v>
      </c>
      <c r="Q354" s="46">
        <v>1</v>
      </c>
      <c r="R354" s="46" t="s">
        <v>16</v>
      </c>
      <c r="S354" s="46" t="s">
        <v>17</v>
      </c>
      <c r="T354" s="46" t="s">
        <v>128</v>
      </c>
      <c r="U354" s="13" t="s">
        <v>13</v>
      </c>
      <c r="V354" s="13" t="s">
        <v>19</v>
      </c>
      <c r="W354" s="15" t="s"/>
      <c r="X354" s="18" t="s">
        <f>=M354&amp;N354&amp;P354&amp;Q354&amp;T354&amp;V354&amp;S354</f>
        <v>420</v>
      </c>
      <c r="Y354" s="15" t="s"/>
      <c r="Z354" s="15" t="s"/>
      <c r="AA354" s="15" t="s"/>
      <c r="AB354" s="15" t="s"/>
      <c r="AC354" s="48" t="s"/>
    </row>
    <row r="355" spans="1:28" ht="14.4">
      <c r="A355" s="52">
        <f>=H355/G355-1</f>
        <v>0.0996168582375479</v>
      </c>
      <c r="B355" s="53">
        <f>=F355/12</f>
        <v>21.525</v>
      </c>
      <c r="C355" s="53">
        <f>=J355/3</f>
        <v>172.2</v>
      </c>
      <c r="D355" s="53">
        <f>=K355/3</f>
        <v>191.333333333333</v>
      </c>
      <c r="E355" s="53">
        <f>=L355/3</f>
        <v>200.9</v>
      </c>
      <c r="F355" s="53">
        <f>=H355*0.9</f>
        <v>258.3</v>
      </c>
      <c r="G355" s="39">
        <v>261</v>
      </c>
      <c r="H355" s="39">
        <v>287</v>
      </c>
      <c r="I355" s="40">
        <f>=H355*1.05</f>
        <v>301.35</v>
      </c>
      <c r="J355" s="40">
        <f>=F355*2</f>
        <v>516.6</v>
      </c>
      <c r="K355" s="40">
        <f>=H355*2</f>
        <v>574</v>
      </c>
      <c r="L355" s="40">
        <f>=I355*2</f>
        <v>602.7</v>
      </c>
      <c r="M355" s="41" t="s">
        <v>211</v>
      </c>
      <c r="N355" s="41">
        <v>0.76</v>
      </c>
      <c r="O355" s="41" t="s"/>
      <c r="P355" s="41">
        <v>2</v>
      </c>
      <c r="Q355" s="41">
        <v>1</v>
      </c>
      <c r="R355" s="41" t="s">
        <v>16</v>
      </c>
      <c r="S355" s="41" t="s">
        <v>17</v>
      </c>
      <c r="T355" s="41" t="s">
        <v>128</v>
      </c>
      <c r="U355" s="41" t="s">
        <v>13</v>
      </c>
      <c r="V355" s="41" t="s">
        <v>19</v>
      </c>
      <c r="W355" s="29" t="s"/>
      <c r="X355" s="26" t="s">
        <f>=M355&amp;N355&amp;P355&amp;Q355&amp;T355&amp;V355&amp;S355</f>
        <v>421</v>
      </c>
      <c r="Y355" s="29" t="s"/>
      <c r="Z355" s="29" t="s"/>
      <c r="AA355" s="29" t="s"/>
      <c r="AB355" s="29" t="s"/>
    </row>
    <row r="356" spans="1:28" ht="14.4">
      <c r="A356" s="4">
        <f>=H356/G356-1</f>
        <v>0.100840336134454</v>
      </c>
      <c r="B356" s="20">
        <f>=F356/12</f>
        <v>9.825</v>
      </c>
      <c r="C356" s="20">
        <f>=J356/3</f>
        <v>78.6</v>
      </c>
      <c r="D356" s="20">
        <f>=K356/3</f>
        <v>87.3333333333333</v>
      </c>
      <c r="E356" s="20">
        <f>=L356/3</f>
        <v>91.7</v>
      </c>
      <c r="F356" s="20">
        <f>=H356*0.9</f>
        <v>117.9</v>
      </c>
      <c r="G356" s="21">
        <v>119</v>
      </c>
      <c r="H356" s="39">
        <v>131</v>
      </c>
      <c r="I356" s="40">
        <f>=H356*1.05</f>
        <v>137.55</v>
      </c>
      <c r="J356" s="40">
        <f>=F356*2</f>
        <v>235.8</v>
      </c>
      <c r="K356" s="40">
        <f>=H356*2</f>
        <v>262</v>
      </c>
      <c r="L356" s="40">
        <f>=I356*2</f>
        <v>275.1</v>
      </c>
      <c r="M356" s="41" t="s">
        <v>211</v>
      </c>
      <c r="N356" s="41">
        <v>0.76</v>
      </c>
      <c r="O356" s="41" t="s"/>
      <c r="P356" s="41" t="s">
        <v>21</v>
      </c>
      <c r="Q356" s="41" t="s">
        <v>21</v>
      </c>
      <c r="R356" s="41" t="s">
        <v>16</v>
      </c>
      <c r="S356" s="41" t="s">
        <v>17</v>
      </c>
      <c r="T356" s="41" t="s">
        <v>128</v>
      </c>
      <c r="U356" s="16" t="s">
        <v>13</v>
      </c>
      <c r="V356" s="16" t="s">
        <v>19</v>
      </c>
      <c r="W356" s="19" t="s"/>
      <c r="X356" s="26" t="s">
        <f>=M356&amp;N356&amp;P356&amp;Q356&amp;T356&amp;V356&amp;S356</f>
        <v>422</v>
      </c>
      <c r="Y356" s="19" t="s"/>
      <c r="Z356" s="19" t="s"/>
      <c r="AA356" s="19" t="s"/>
      <c r="AB356" s="19" t="s"/>
    </row>
    <row r="357" spans="1:28" ht="14.4">
      <c r="A357" s="4">
        <f>=H357/G357-1</f>
        <v>0.100840336134454</v>
      </c>
      <c r="B357" s="20">
        <f>=F357/12</f>
        <v>9.825</v>
      </c>
      <c r="C357" s="20">
        <f>=J357/3</f>
        <v>78.6</v>
      </c>
      <c r="D357" s="20">
        <f>=K357/3</f>
        <v>87.3333333333333</v>
      </c>
      <c r="E357" s="20">
        <f>=L357/3</f>
        <v>91.7</v>
      </c>
      <c r="F357" s="20">
        <f>=H357*0.9</f>
        <v>117.9</v>
      </c>
      <c r="G357" s="21">
        <v>119</v>
      </c>
      <c r="H357" s="39">
        <v>131</v>
      </c>
      <c r="I357" s="40">
        <f>=H357*1.05</f>
        <v>137.55</v>
      </c>
      <c r="J357" s="40">
        <f>=F357*2</f>
        <v>235.8</v>
      </c>
      <c r="K357" s="40">
        <f>=H357*2</f>
        <v>262</v>
      </c>
      <c r="L357" s="40">
        <f>=I357*2</f>
        <v>275.1</v>
      </c>
      <c r="M357" s="41" t="s">
        <v>211</v>
      </c>
      <c r="N357" s="41">
        <v>0.765</v>
      </c>
      <c r="O357" s="41" t="s"/>
      <c r="P357" s="41" t="s">
        <v>21</v>
      </c>
      <c r="Q357" s="41" t="s">
        <v>21</v>
      </c>
      <c r="R357" s="41" t="s">
        <v>16</v>
      </c>
      <c r="S357" s="41" t="s">
        <v>17</v>
      </c>
      <c r="T357" s="41" t="s">
        <v>128</v>
      </c>
      <c r="U357" s="16" t="s">
        <v>13</v>
      </c>
      <c r="V357" s="16" t="s">
        <v>19</v>
      </c>
      <c r="W357" s="19" t="s"/>
      <c r="X357" s="26" t="s">
        <f>=M357&amp;N357&amp;P357&amp;Q357&amp;T357&amp;V357&amp;S357</f>
        <v>423</v>
      </c>
      <c r="Y357" s="19" t="s"/>
      <c r="Z357" s="19" t="s"/>
      <c r="AA357" s="19" t="s"/>
      <c r="AB357" s="19" t="s"/>
    </row>
    <row r="358" spans="1:28" ht="14.4">
      <c r="A358" s="4">
        <f>=H358/G358-1</f>
        <v>0.1</v>
      </c>
      <c r="B358" s="20">
        <f>=F358/12</f>
        <v>10.725</v>
      </c>
      <c r="C358" s="20">
        <f>=J358/3</f>
        <v>85.8</v>
      </c>
      <c r="D358" s="20">
        <f>=K358/3</f>
        <v>95.3333333333333</v>
      </c>
      <c r="E358" s="20">
        <f>=L358/3</f>
        <v>100.1</v>
      </c>
      <c r="F358" s="20">
        <f>=H358*0.9</f>
        <v>128.7</v>
      </c>
      <c r="G358" s="21">
        <v>130</v>
      </c>
      <c r="H358" s="39">
        <v>143</v>
      </c>
      <c r="I358" s="40">
        <f>=H358*1.05</f>
        <v>150.15</v>
      </c>
      <c r="J358" s="40">
        <f>=F358*2</f>
        <v>257.4</v>
      </c>
      <c r="K358" s="40">
        <f>=H358*2</f>
        <v>286</v>
      </c>
      <c r="L358" s="40">
        <f>=I358*2</f>
        <v>300.3</v>
      </c>
      <c r="M358" s="41" t="s">
        <v>211</v>
      </c>
      <c r="N358" s="41">
        <v>0.8</v>
      </c>
      <c r="O358" s="41" t="s"/>
      <c r="P358" s="41" t="s">
        <v>21</v>
      </c>
      <c r="Q358" s="41" t="s">
        <v>21</v>
      </c>
      <c r="R358" s="41" t="s">
        <v>16</v>
      </c>
      <c r="S358" s="41" t="s">
        <v>137</v>
      </c>
      <c r="T358" s="41" t="s">
        <v>128</v>
      </c>
      <c r="U358" s="16" t="s">
        <v>13</v>
      </c>
      <c r="V358" s="16" t="s">
        <v>19</v>
      </c>
      <c r="W358" s="19" t="s"/>
      <c r="X358" s="26" t="s">
        <f>=M358&amp;N358&amp;P358&amp;Q358&amp;T358&amp;V358&amp;S358</f>
        <v>424</v>
      </c>
      <c r="Y358" s="19" t="s"/>
      <c r="Z358" s="19" t="s"/>
      <c r="AA358" s="19" t="s"/>
      <c r="AB358" s="19" t="s"/>
    </row>
    <row r="359" spans="1:29" ht="14.4">
      <c r="A359" s="42">
        <f>=H359/G359-1</f>
        <v>0.684615384615385</v>
      </c>
      <c r="B359" s="43">
        <f>=F359/12</f>
        <v>16.425</v>
      </c>
      <c r="C359" s="43">
        <f>=J359/3</f>
        <v>131.4</v>
      </c>
      <c r="D359" s="43">
        <f>=K359/3</f>
        <v>146</v>
      </c>
      <c r="E359" s="43">
        <f>=L359/3</f>
        <v>153.3</v>
      </c>
      <c r="F359" s="43">
        <f>=H359*0.9</f>
        <v>197.1</v>
      </c>
      <c r="G359" s="27">
        <v>130</v>
      </c>
      <c r="H359" s="44">
        <v>219</v>
      </c>
      <c r="I359" s="45">
        <f>=H359*1.05</f>
        <v>229.95</v>
      </c>
      <c r="J359" s="45">
        <f>=F359*2</f>
        <v>394.2</v>
      </c>
      <c r="K359" s="45">
        <f>=H359*2</f>
        <v>438</v>
      </c>
      <c r="L359" s="45">
        <f>=I359*2</f>
        <v>459.9</v>
      </c>
      <c r="M359" s="46" t="s">
        <v>211</v>
      </c>
      <c r="N359" s="46">
        <v>0.8</v>
      </c>
      <c r="O359" s="46" t="s"/>
      <c r="P359" s="46">
        <v>1</v>
      </c>
      <c r="Q359" s="46">
        <v>1</v>
      </c>
      <c r="R359" s="46" t="s">
        <v>16</v>
      </c>
      <c r="S359" s="46" t="s">
        <v>137</v>
      </c>
      <c r="T359" s="46" t="s">
        <v>128</v>
      </c>
      <c r="U359" s="13" t="s">
        <v>13</v>
      </c>
      <c r="V359" s="13" t="s">
        <v>19</v>
      </c>
      <c r="W359" s="15" t="s"/>
      <c r="X359" s="18" t="s">
        <f>=M359&amp;N359&amp;P359&amp;Q359&amp;T359&amp;V359&amp;S359</f>
        <v>425</v>
      </c>
      <c r="Y359" s="15" t="s"/>
      <c r="Z359" s="15" t="s"/>
      <c r="AA359" s="15" t="s"/>
      <c r="AB359" s="15" t="s"/>
      <c r="AC359" s="48" t="s"/>
    </row>
    <row r="360" spans="1:28" ht="14.4">
      <c r="A360" s="4">
        <f>=H360/G360-1</f>
        <v>0.0993788819875776</v>
      </c>
      <c r="B360" s="20">
        <f>=F360/12</f>
        <v>13.275</v>
      </c>
      <c r="C360" s="20">
        <f>=J360/3</f>
        <v>106.2</v>
      </c>
      <c r="D360" s="20">
        <f>=K360/3</f>
        <v>118</v>
      </c>
      <c r="E360" s="20">
        <f>=L360/3</f>
        <v>123.9</v>
      </c>
      <c r="F360" s="20">
        <f>=H360*0.9</f>
        <v>159.3</v>
      </c>
      <c r="G360" s="21">
        <v>161</v>
      </c>
      <c r="H360" s="39">
        <v>177</v>
      </c>
      <c r="I360" s="40">
        <f>=H360*1.05</f>
        <v>185.85</v>
      </c>
      <c r="J360" s="40">
        <f>=F360*2</f>
        <v>318.6</v>
      </c>
      <c r="K360" s="40">
        <f>=H360*2</f>
        <v>354</v>
      </c>
      <c r="L360" s="40">
        <f>=I360*2</f>
        <v>371.7</v>
      </c>
      <c r="M360" s="41" t="s">
        <v>211</v>
      </c>
      <c r="N360" s="41">
        <v>0.85</v>
      </c>
      <c r="O360" s="41" t="s"/>
      <c r="P360" s="41">
        <v>1</v>
      </c>
      <c r="Q360" s="41">
        <v>1</v>
      </c>
      <c r="R360" s="41" t="s">
        <v>16</v>
      </c>
      <c r="S360" s="41" t="s">
        <v>137</v>
      </c>
      <c r="T360" s="41" t="s">
        <v>128</v>
      </c>
      <c r="U360" s="16" t="s">
        <v>13</v>
      </c>
      <c r="V360" s="16" t="s">
        <v>19</v>
      </c>
      <c r="W360" s="19" t="s"/>
      <c r="X360" s="26" t="s">
        <f>=M360&amp;N360&amp;P360&amp;Q360&amp;T360&amp;V360&amp;S360</f>
        <v>426</v>
      </c>
      <c r="Y360" s="19" t="s"/>
      <c r="Z360" s="19" t="s"/>
      <c r="AA360" s="19" t="s"/>
      <c r="AB360" s="19" t="s"/>
    </row>
    <row r="361" spans="1:28" ht="14.4">
      <c r="A361" s="4">
        <f>=H361/G361-1</f>
        <v>0.103703703703704</v>
      </c>
      <c r="B361" s="20">
        <f>=F361/12</f>
        <v>11.175</v>
      </c>
      <c r="C361" s="20">
        <f>=J361/3</f>
        <v>89.4</v>
      </c>
      <c r="D361" s="20">
        <f>=K361/3</f>
        <v>99.3333333333333</v>
      </c>
      <c r="E361" s="20">
        <f>=L361/3</f>
        <v>104.3</v>
      </c>
      <c r="F361" s="20">
        <f>=H361*0.9</f>
        <v>134.1</v>
      </c>
      <c r="G361" s="21">
        <v>135</v>
      </c>
      <c r="H361" s="39">
        <v>149</v>
      </c>
      <c r="I361" s="40">
        <f>=H361*1.05</f>
        <v>156.45</v>
      </c>
      <c r="J361" s="40">
        <f>=F361*2</f>
        <v>268.2</v>
      </c>
      <c r="K361" s="40">
        <f>=H361*2</f>
        <v>298</v>
      </c>
      <c r="L361" s="40">
        <f>=I361*2</f>
        <v>312.9</v>
      </c>
      <c r="M361" s="41" t="s">
        <v>211</v>
      </c>
      <c r="N361" s="41">
        <v>0.85</v>
      </c>
      <c r="O361" s="41" t="s"/>
      <c r="P361" s="41" t="s">
        <v>21</v>
      </c>
      <c r="Q361" s="41" t="s">
        <v>21</v>
      </c>
      <c r="R361" s="41" t="s">
        <v>16</v>
      </c>
      <c r="S361" s="41" t="s">
        <v>137</v>
      </c>
      <c r="T361" s="41" t="s">
        <v>128</v>
      </c>
      <c r="U361" s="16" t="s">
        <v>13</v>
      </c>
      <c r="V361" s="16" t="s">
        <v>19</v>
      </c>
      <c r="W361" s="19" t="s"/>
      <c r="X361" s="26" t="s">
        <f>=M361&amp;N361&amp;P361&amp;Q361&amp;T361&amp;V361&amp;S361</f>
        <v>427</v>
      </c>
      <c r="Y361" s="19" t="s"/>
      <c r="Z361" s="19" t="s"/>
      <c r="AA361" s="19" t="s"/>
      <c r="AB361" s="19" t="s"/>
    </row>
    <row r="362" spans="1:28" ht="14.4">
      <c r="A362" s="4">
        <f>=H362/G362-1</f>
        <v>0.0992366412213741</v>
      </c>
      <c r="B362" s="20">
        <f>=F362/12</f>
        <v>10.8</v>
      </c>
      <c r="C362" s="20">
        <f>=J362/3</f>
        <v>86.4</v>
      </c>
      <c r="D362" s="20">
        <f>=K362/3</f>
        <v>96</v>
      </c>
      <c r="E362" s="20">
        <f>=L362/3</f>
        <v>100.8</v>
      </c>
      <c r="F362" s="20">
        <f>=H362*0.9</f>
        <v>129.6</v>
      </c>
      <c r="G362" s="21">
        <v>131</v>
      </c>
      <c r="H362" s="39">
        <v>144</v>
      </c>
      <c r="I362" s="40">
        <f>=H362*1.05</f>
        <v>151.2</v>
      </c>
      <c r="J362" s="40">
        <f>=F362*2</f>
        <v>259.2</v>
      </c>
      <c r="K362" s="40">
        <f>=H362*2</f>
        <v>288</v>
      </c>
      <c r="L362" s="40">
        <f>=I362*2</f>
        <v>302.4</v>
      </c>
      <c r="M362" s="41" t="s">
        <v>211</v>
      </c>
      <c r="N362" s="41">
        <v>0.85</v>
      </c>
      <c r="O362" s="41" t="s"/>
      <c r="P362" s="41" t="s">
        <v>21</v>
      </c>
      <c r="Q362" s="41" t="s">
        <v>21</v>
      </c>
      <c r="R362" s="41" t="s">
        <v>16</v>
      </c>
      <c r="S362" s="41" t="s">
        <v>137</v>
      </c>
      <c r="T362" s="41" t="s">
        <v>145</v>
      </c>
      <c r="U362" s="16" t="s">
        <v>13</v>
      </c>
      <c r="V362" s="16" t="s">
        <v>19</v>
      </c>
      <c r="W362" s="19" t="s"/>
      <c r="X362" s="26" t="s">
        <f>=M362&amp;N362&amp;P362&amp;Q362&amp;T362&amp;V362&amp;S362</f>
        <v>428</v>
      </c>
      <c r="Y362" s="19" t="s"/>
      <c r="Z362" s="19" t="s"/>
      <c r="AA362" s="19" t="s"/>
      <c r="AB362" s="19" t="s"/>
    </row>
    <row r="363" spans="1:29" ht="14.4">
      <c r="A363" s="49">
        <v>46170</v>
      </c>
      <c r="B363" s="43">
        <f>=F363/12</f>
        <v>16.275</v>
      </c>
      <c r="C363" s="43">
        <f>=J363/3</f>
        <v>130.2</v>
      </c>
      <c r="D363" s="43">
        <f>=K363/3</f>
        <v>144.666666666667</v>
      </c>
      <c r="E363" s="43">
        <f>=L363/3</f>
        <v>151.9</v>
      </c>
      <c r="F363" s="43">
        <f>=H363*0.9</f>
        <v>195.3</v>
      </c>
      <c r="G363" s="27">
        <v>164</v>
      </c>
      <c r="H363" s="44">
        <v>217</v>
      </c>
      <c r="I363" s="45">
        <f>=H363*1.05</f>
        <v>227.85</v>
      </c>
      <c r="J363" s="45">
        <f>=F363*2</f>
        <v>390.6</v>
      </c>
      <c r="K363" s="45">
        <f>=H363*2</f>
        <v>434</v>
      </c>
      <c r="L363" s="45">
        <f>=I363*2</f>
        <v>455.7</v>
      </c>
      <c r="M363" s="46" t="s">
        <v>211</v>
      </c>
      <c r="N363" s="46">
        <v>0.9</v>
      </c>
      <c r="O363" s="46" t="s"/>
      <c r="P363" s="46">
        <v>1</v>
      </c>
      <c r="Q363" s="46">
        <v>1</v>
      </c>
      <c r="R363" s="46" t="s">
        <v>16</v>
      </c>
      <c r="S363" s="46" t="s">
        <v>137</v>
      </c>
      <c r="T363" s="12" t="s">
        <v>429</v>
      </c>
      <c r="U363" s="13" t="s">
        <v>13</v>
      </c>
      <c r="V363" s="13" t="s">
        <v>19</v>
      </c>
      <c r="W363" s="15" t="s"/>
      <c r="X363" s="18" t="s">
        <f>=M363&amp;N363&amp;P363&amp;Q363&amp;T363&amp;V363&amp;S363</f>
        <v>430</v>
      </c>
      <c r="Y363" s="15" t="s"/>
      <c r="Z363" s="15" t="s"/>
      <c r="AA363" s="15" t="s"/>
      <c r="AB363" s="15" t="s"/>
      <c r="AC363" s="48" t="s"/>
    </row>
    <row r="364" spans="1:28" ht="14.4">
      <c r="A364" s="4">
        <f>=H364/G364-1</f>
        <v>0.0975609756097562</v>
      </c>
      <c r="B364" s="20">
        <f>=F364/12</f>
        <v>13.5</v>
      </c>
      <c r="C364" s="20">
        <f>=J364/3</f>
        <v>108</v>
      </c>
      <c r="D364" s="20">
        <f>=K364/3</f>
        <v>120</v>
      </c>
      <c r="E364" s="20">
        <f>=L364/3</f>
        <v>126</v>
      </c>
      <c r="F364" s="20">
        <f>=H364*0.9</f>
        <v>162</v>
      </c>
      <c r="G364" s="21">
        <v>164</v>
      </c>
      <c r="H364" s="39">
        <v>180</v>
      </c>
      <c r="I364" s="40">
        <f>=H364*1.05</f>
        <v>189</v>
      </c>
      <c r="J364" s="40">
        <f>=F364*2</f>
        <v>324</v>
      </c>
      <c r="K364" s="40">
        <f>=H364*2</f>
        <v>360</v>
      </c>
      <c r="L364" s="40">
        <f>=I364*2</f>
        <v>378</v>
      </c>
      <c r="M364" s="41" t="s">
        <v>211</v>
      </c>
      <c r="N364" s="41">
        <v>0.9</v>
      </c>
      <c r="O364" s="41" t="s"/>
      <c r="P364" s="41">
        <v>1</v>
      </c>
      <c r="Q364" s="41">
        <v>1</v>
      </c>
      <c r="R364" s="41" t="s">
        <v>16</v>
      </c>
      <c r="S364" s="41" t="s">
        <v>137</v>
      </c>
      <c r="T364" s="41" t="s">
        <v>140</v>
      </c>
      <c r="U364" s="16" t="s">
        <v>13</v>
      </c>
      <c r="V364" s="16" t="s">
        <v>19</v>
      </c>
      <c r="W364" s="19" t="s"/>
      <c r="X364" s="26" t="s">
        <f>=M364&amp;N364&amp;P364&amp;Q364&amp;T364&amp;V364&amp;S364</f>
        <v>431</v>
      </c>
      <c r="Y364" s="19" t="s"/>
      <c r="Z364" s="19" t="s"/>
      <c r="AA364" s="19" t="s"/>
      <c r="AB364" s="19" t="s"/>
    </row>
    <row r="365" spans="1:28" ht="14.4">
      <c r="A365" s="4">
        <f>=H365/G365-1</f>
        <v>0.101851851851852</v>
      </c>
      <c r="B365" s="20">
        <f>=F365/12</f>
        <v>17.85</v>
      </c>
      <c r="C365" s="20">
        <f>=J365/3</f>
        <v>142.8</v>
      </c>
      <c r="D365" s="20">
        <f>=K365/3</f>
        <v>158.666666666667</v>
      </c>
      <c r="E365" s="20">
        <f>=L365/3</f>
        <v>166.6</v>
      </c>
      <c r="F365" s="20">
        <f>=H365*0.9</f>
        <v>214.2</v>
      </c>
      <c r="G365" s="21">
        <v>216</v>
      </c>
      <c r="H365" s="39">
        <v>238</v>
      </c>
      <c r="I365" s="40">
        <f>=H365*1.05</f>
        <v>249.9</v>
      </c>
      <c r="J365" s="40">
        <f>=F365*2</f>
        <v>428.4</v>
      </c>
      <c r="K365" s="40">
        <f>=H365*2</f>
        <v>476</v>
      </c>
      <c r="L365" s="40">
        <f>=I365*2</f>
        <v>499.8</v>
      </c>
      <c r="M365" s="41" t="s">
        <v>211</v>
      </c>
      <c r="N365" s="41">
        <v>0.9</v>
      </c>
      <c r="O365" s="41" t="s"/>
      <c r="P365" s="41">
        <v>1.5</v>
      </c>
      <c r="Q365" s="41">
        <v>1.5</v>
      </c>
      <c r="R365" s="41" t="s">
        <v>16</v>
      </c>
      <c r="S365" s="41" t="s">
        <v>137</v>
      </c>
      <c r="T365" s="41" t="s">
        <v>128</v>
      </c>
      <c r="U365" s="16" t="s">
        <v>13</v>
      </c>
      <c r="V365" s="16" t="s">
        <v>19</v>
      </c>
      <c r="W365" s="19" t="s"/>
      <c r="X365" s="26" t="s">
        <f>=M365&amp;N365&amp;P365&amp;Q365&amp;T365&amp;V365&amp;S365</f>
        <v>432</v>
      </c>
      <c r="Y365" s="19" t="s"/>
      <c r="Z365" s="19" t="s"/>
      <c r="AA365" s="19" t="s"/>
      <c r="AB365" s="19" t="s"/>
    </row>
    <row r="366" spans="1:28" ht="14.4">
      <c r="A366" s="4">
        <f>=H366/G366-1</f>
        <v>0.101503759398496</v>
      </c>
      <c r="B366" s="20">
        <f>=F366/12</f>
        <v>21.975</v>
      </c>
      <c r="C366" s="20">
        <f>=J366/3</f>
        <v>175.8</v>
      </c>
      <c r="D366" s="20">
        <f>=K366/3</f>
        <v>195.333333333333</v>
      </c>
      <c r="E366" s="20">
        <f>=L366/3</f>
        <v>205.1</v>
      </c>
      <c r="F366" s="20">
        <f>=H366*0.9</f>
        <v>263.7</v>
      </c>
      <c r="G366" s="21">
        <v>266</v>
      </c>
      <c r="H366" s="39">
        <v>293</v>
      </c>
      <c r="I366" s="40">
        <f>=H366*1.05</f>
        <v>307.65</v>
      </c>
      <c r="J366" s="40">
        <f>=F366*2</f>
        <v>527.4</v>
      </c>
      <c r="K366" s="40">
        <f>=H366*2</f>
        <v>586</v>
      </c>
      <c r="L366" s="40">
        <f>=I366*2</f>
        <v>615.3</v>
      </c>
      <c r="M366" s="41" t="s">
        <v>211</v>
      </c>
      <c r="N366" s="41">
        <v>0.9</v>
      </c>
      <c r="O366" s="41" t="s"/>
      <c r="P366" s="41">
        <v>2</v>
      </c>
      <c r="Q366" s="41">
        <v>2</v>
      </c>
      <c r="R366" s="41" t="s">
        <v>16</v>
      </c>
      <c r="S366" s="41" t="s">
        <v>137</v>
      </c>
      <c r="T366" s="41" t="s">
        <v>128</v>
      </c>
      <c r="U366" s="16" t="s">
        <v>13</v>
      </c>
      <c r="V366" s="16" t="s">
        <v>19</v>
      </c>
      <c r="W366" s="19" t="s"/>
      <c r="X366" s="26" t="s">
        <f>=M366&amp;N366&amp;P366&amp;Q366&amp;T366&amp;V366&amp;S366</f>
        <v>433</v>
      </c>
      <c r="Y366" s="19" t="s"/>
      <c r="Z366" s="19" t="s"/>
      <c r="AA366" s="19" t="s"/>
      <c r="AB366" s="19" t="s"/>
    </row>
    <row r="367" spans="1:28" ht="14.4">
      <c r="A367" s="4">
        <f>=H367/G367-1</f>
        <v>0.0995145631067962</v>
      </c>
      <c r="B367" s="20">
        <f>=F367/12</f>
        <v>33.975</v>
      </c>
      <c r="C367" s="20">
        <f>=J367/3</f>
        <v>271.8</v>
      </c>
      <c r="D367" s="20">
        <f>=K367/3</f>
        <v>302</v>
      </c>
      <c r="E367" s="20">
        <f>=L367/3</f>
        <v>317.1</v>
      </c>
      <c r="F367" s="20">
        <f>=H367*0.9</f>
        <v>407.7</v>
      </c>
      <c r="G367" s="21">
        <v>412</v>
      </c>
      <c r="H367" s="39">
        <v>453</v>
      </c>
      <c r="I367" s="40">
        <f>=H367*1.05</f>
        <v>475.65</v>
      </c>
      <c r="J367" s="40">
        <f>=F367*2</f>
        <v>815.4</v>
      </c>
      <c r="K367" s="40">
        <f>=H367*2</f>
        <v>906</v>
      </c>
      <c r="L367" s="40">
        <f>=I367*2</f>
        <v>951.3</v>
      </c>
      <c r="M367" s="41" t="s">
        <v>211</v>
      </c>
      <c r="N367" s="41">
        <v>0.9</v>
      </c>
      <c r="O367" s="41" t="s"/>
      <c r="P367" s="41">
        <v>3</v>
      </c>
      <c r="Q367" s="41">
        <v>3</v>
      </c>
      <c r="R367" s="41" t="s">
        <v>16</v>
      </c>
      <c r="S367" s="41" t="s">
        <v>137</v>
      </c>
      <c r="T367" s="41" t="s">
        <v>128</v>
      </c>
      <c r="U367" s="16" t="s">
        <v>13</v>
      </c>
      <c r="V367" s="16" t="s">
        <v>19</v>
      </c>
      <c r="W367" s="19" t="s"/>
      <c r="X367" s="26" t="s">
        <f>=M367&amp;N367&amp;P367&amp;Q367&amp;T367&amp;V367&amp;S367</f>
        <v>434</v>
      </c>
      <c r="Y367" s="19" t="s"/>
      <c r="Z367" s="19" t="s"/>
      <c r="AA367" s="19" t="s"/>
      <c r="AB367" s="19" t="s"/>
    </row>
    <row r="368" spans="1:28" ht="14.4">
      <c r="A368" s="4">
        <f>=H368/G368-1</f>
        <v>0.100456621004566</v>
      </c>
      <c r="B368" s="20">
        <f>=F368/12</f>
        <v>54.225</v>
      </c>
      <c r="C368" s="20">
        <f>=J368/3</f>
        <v>433.8</v>
      </c>
      <c r="D368" s="20">
        <f>=K368/3</f>
        <v>482</v>
      </c>
      <c r="E368" s="20">
        <f>=L368/3</f>
        <v>506.1</v>
      </c>
      <c r="F368" s="20">
        <f>=H368*0.9</f>
        <v>650.7</v>
      </c>
      <c r="G368" s="21">
        <v>657</v>
      </c>
      <c r="H368" s="39">
        <v>723</v>
      </c>
      <c r="I368" s="40">
        <f>=H368*1.05</f>
        <v>759.15</v>
      </c>
      <c r="J368" s="40">
        <f>=F368*2</f>
        <v>1301.4</v>
      </c>
      <c r="K368" s="40">
        <f>=H368*2</f>
        <v>1446</v>
      </c>
      <c r="L368" s="40">
        <f>=I368*2</f>
        <v>1518.3</v>
      </c>
      <c r="M368" s="41" t="s">
        <v>211</v>
      </c>
      <c r="N368" s="41">
        <v>0.9</v>
      </c>
      <c r="O368" s="41" t="s"/>
      <c r="P368" s="41">
        <v>4</v>
      </c>
      <c r="Q368" s="41">
        <v>4</v>
      </c>
      <c r="R368" s="41" t="s">
        <v>16</v>
      </c>
      <c r="S368" s="41" t="s">
        <v>137</v>
      </c>
      <c r="T368" s="41" t="s">
        <v>402</v>
      </c>
      <c r="U368" s="16" t="s">
        <v>13</v>
      </c>
      <c r="V368" s="16" t="s">
        <v>19</v>
      </c>
      <c r="W368" s="19" t="s"/>
      <c r="X368" s="26" t="s">
        <f>=M368&amp;N368&amp;P368&amp;Q368&amp;T368&amp;V368&amp;S368</f>
        <v>435</v>
      </c>
      <c r="Y368" s="19" t="s"/>
      <c r="Z368" s="19" t="s"/>
      <c r="AA368" s="19" t="s"/>
      <c r="AB368" s="19" t="s"/>
    </row>
    <row r="369" spans="1:28" ht="14.4">
      <c r="A369" s="4">
        <f>=H369/G369-1</f>
        <v>0.103703703703704</v>
      </c>
      <c r="B369" s="20">
        <f>=F369/12</f>
        <v>11.175</v>
      </c>
      <c r="C369" s="20">
        <f>=J369/3</f>
        <v>89.4</v>
      </c>
      <c r="D369" s="20">
        <f>=K369/3</f>
        <v>99.3333333333333</v>
      </c>
      <c r="E369" s="20">
        <f>=L369/3</f>
        <v>104.3</v>
      </c>
      <c r="F369" s="20">
        <f>=H369*0.9</f>
        <v>134.1</v>
      </c>
      <c r="G369" s="21">
        <v>135</v>
      </c>
      <c r="H369" s="39">
        <v>149</v>
      </c>
      <c r="I369" s="40">
        <f>=H369*1.05</f>
        <v>156.45</v>
      </c>
      <c r="J369" s="40">
        <f>=F369*2</f>
        <v>268.2</v>
      </c>
      <c r="K369" s="40">
        <f>=H369*2</f>
        <v>298</v>
      </c>
      <c r="L369" s="40">
        <f>=I369*2</f>
        <v>312.9</v>
      </c>
      <c r="M369" s="41" t="s">
        <v>211</v>
      </c>
      <c r="N369" s="41">
        <v>0.9</v>
      </c>
      <c r="O369" s="41" t="s"/>
      <c r="P369" s="41" t="s">
        <v>21</v>
      </c>
      <c r="Q369" s="41" t="s">
        <v>21</v>
      </c>
      <c r="R369" s="41" t="s">
        <v>16</v>
      </c>
      <c r="S369" s="41" t="s">
        <v>137</v>
      </c>
      <c r="T369" s="41" t="s">
        <v>147</v>
      </c>
      <c r="U369" s="16" t="s">
        <v>13</v>
      </c>
      <c r="V369" s="16" t="s">
        <v>19</v>
      </c>
      <c r="W369" s="19" t="s"/>
      <c r="X369" s="26" t="s">
        <f>=M369&amp;N369&amp;P369&amp;Q369&amp;T369&amp;V369&amp;S369</f>
        <v>436</v>
      </c>
      <c r="Y369" s="19" t="s"/>
      <c r="Z369" s="19" t="s"/>
      <c r="AA369" s="19" t="s"/>
      <c r="AB369" s="19" t="s"/>
    </row>
    <row r="370" spans="1:28" ht="14.4">
      <c r="A370" s="4">
        <f>=H370/G370-1</f>
        <v>0.103703703703704</v>
      </c>
      <c r="B370" s="20">
        <f>=F370/12</f>
        <v>11.175</v>
      </c>
      <c r="C370" s="20">
        <f>=J370/3</f>
        <v>89.4</v>
      </c>
      <c r="D370" s="20">
        <f>=K370/3</f>
        <v>99.3333333333333</v>
      </c>
      <c r="E370" s="20">
        <f>=L370/3</f>
        <v>104.3</v>
      </c>
      <c r="F370" s="20">
        <f>=H370*0.9</f>
        <v>134.1</v>
      </c>
      <c r="G370" s="21">
        <v>135</v>
      </c>
      <c r="H370" s="39">
        <v>149</v>
      </c>
      <c r="I370" s="40">
        <f>=H370*1.05</f>
        <v>156.45</v>
      </c>
      <c r="J370" s="40">
        <f>=F370*2</f>
        <v>268.2</v>
      </c>
      <c r="K370" s="40">
        <f>=H370*2</f>
        <v>298</v>
      </c>
      <c r="L370" s="40">
        <f>=I370*2</f>
        <v>312.9</v>
      </c>
      <c r="M370" s="41" t="s">
        <v>211</v>
      </c>
      <c r="N370" s="41">
        <v>0.9</v>
      </c>
      <c r="O370" s="41" t="s"/>
      <c r="P370" s="41" t="s">
        <v>21</v>
      </c>
      <c r="Q370" s="41" t="s">
        <v>21</v>
      </c>
      <c r="R370" s="41" t="s">
        <v>16</v>
      </c>
      <c r="S370" s="41" t="s">
        <v>137</v>
      </c>
      <c r="T370" s="41" t="s">
        <v>140</v>
      </c>
      <c r="U370" s="16" t="s">
        <v>13</v>
      </c>
      <c r="V370" s="16" t="s">
        <v>19</v>
      </c>
      <c r="W370" s="19" t="s"/>
      <c r="X370" s="26" t="s">
        <f>=M370&amp;N370&amp;P370&amp;Q370&amp;T370&amp;V370&amp;S370</f>
        <v>437</v>
      </c>
      <c r="Y370" s="19" t="s"/>
      <c r="Z370" s="19" t="s"/>
      <c r="AA370" s="19" t="s"/>
      <c r="AB370" s="19" t="s"/>
    </row>
    <row r="371" spans="1:28" ht="14.4">
      <c r="A371" s="4">
        <f>=H371/G371-1</f>
        <v>0.103030303030303</v>
      </c>
      <c r="B371" s="20">
        <f>=F371/12</f>
        <v>13.65</v>
      </c>
      <c r="C371" s="20">
        <f>=J371/3</f>
        <v>109.2</v>
      </c>
      <c r="D371" s="20">
        <f>=K371/3</f>
        <v>121.333333333333</v>
      </c>
      <c r="E371" s="20">
        <f>=L371/3</f>
        <v>127.4</v>
      </c>
      <c r="F371" s="20">
        <f>=H371*0.9</f>
        <v>163.8</v>
      </c>
      <c r="G371" s="21">
        <v>165</v>
      </c>
      <c r="H371" s="39">
        <v>182</v>
      </c>
      <c r="I371" s="40">
        <f>=H371*1.05</f>
        <v>191.1</v>
      </c>
      <c r="J371" s="40">
        <f>=F371*2</f>
        <v>327.6</v>
      </c>
      <c r="K371" s="40">
        <f>=H371*2</f>
        <v>364</v>
      </c>
      <c r="L371" s="40">
        <f>=I371*2</f>
        <v>382.2</v>
      </c>
      <c r="M371" s="41" t="s">
        <v>211</v>
      </c>
      <c r="N371" s="41">
        <v>0.94</v>
      </c>
      <c r="O371" s="41" t="s"/>
      <c r="P371" s="41">
        <v>1</v>
      </c>
      <c r="Q371" s="41">
        <v>1</v>
      </c>
      <c r="R371" s="41" t="s">
        <v>16</v>
      </c>
      <c r="S371" s="41" t="s">
        <v>137</v>
      </c>
      <c r="T371" s="41" t="s">
        <v>147</v>
      </c>
      <c r="U371" s="16" t="s">
        <v>13</v>
      </c>
      <c r="V371" s="16" t="s">
        <v>19</v>
      </c>
      <c r="W371" s="19" t="s"/>
      <c r="X371" s="26" t="s">
        <f>=M371&amp;N371&amp;P371&amp;Q371&amp;T371&amp;V371&amp;S371</f>
        <v>438</v>
      </c>
      <c r="Y371" s="19" t="s"/>
      <c r="Z371" s="19" t="s"/>
      <c r="AA371" s="19" t="s"/>
      <c r="AB371" s="19" t="s"/>
    </row>
    <row r="372" spans="1:28" ht="14.4">
      <c r="A372" s="4">
        <f>=H372/G372-1</f>
        <v>0.103703703703704</v>
      </c>
      <c r="B372" s="20">
        <f>=F372/12</f>
        <v>11.175</v>
      </c>
      <c r="C372" s="20">
        <f>=J372/3</f>
        <v>89.4</v>
      </c>
      <c r="D372" s="20">
        <f>=K372/3</f>
        <v>99.3333333333333</v>
      </c>
      <c r="E372" s="20">
        <f>=L372/3</f>
        <v>104.3</v>
      </c>
      <c r="F372" s="20">
        <f>=H372*0.9</f>
        <v>134.1</v>
      </c>
      <c r="G372" s="21">
        <v>135</v>
      </c>
      <c r="H372" s="39">
        <v>149</v>
      </c>
      <c r="I372" s="40">
        <f>=H372*1.05</f>
        <v>156.45</v>
      </c>
      <c r="J372" s="40">
        <f>=F372*2</f>
        <v>268.2</v>
      </c>
      <c r="K372" s="40">
        <f>=H372*2</f>
        <v>298</v>
      </c>
      <c r="L372" s="40">
        <f>=I372*2</f>
        <v>312.9</v>
      </c>
      <c r="M372" s="41" t="s">
        <v>211</v>
      </c>
      <c r="N372" s="41">
        <v>0.95</v>
      </c>
      <c r="O372" s="41" t="s"/>
      <c r="P372" s="41" t="s">
        <v>21</v>
      </c>
      <c r="Q372" s="41" t="s">
        <v>21</v>
      </c>
      <c r="R372" s="41" t="s">
        <v>16</v>
      </c>
      <c r="S372" s="41" t="s">
        <v>137</v>
      </c>
      <c r="T372" s="41" t="s">
        <v>147</v>
      </c>
      <c r="U372" s="16" t="s">
        <v>13</v>
      </c>
      <c r="V372" s="16" t="s">
        <v>19</v>
      </c>
      <c r="W372" s="19" t="s"/>
      <c r="X372" s="26" t="s">
        <f>=M372&amp;N372&amp;P372&amp;Q372&amp;T372&amp;V372&amp;S372</f>
        <v>439</v>
      </c>
      <c r="Y372" s="19" t="s"/>
      <c r="Z372" s="19" t="s"/>
      <c r="AA372" s="19" t="s"/>
      <c r="AB372" s="19" t="s"/>
    </row>
    <row r="373" spans="1:28" ht="14.4">
      <c r="A373" s="4">
        <f>=H373/G373-1</f>
        <v>0.100591715976331</v>
      </c>
      <c r="B373" s="20">
        <f>=F373/12</f>
        <v>13.95</v>
      </c>
      <c r="C373" s="20">
        <f>=J373/3</f>
        <v>111.6</v>
      </c>
      <c r="D373" s="20">
        <f>=K373/3</f>
        <v>124</v>
      </c>
      <c r="E373" s="20">
        <f>=L373/3</f>
        <v>130.2</v>
      </c>
      <c r="F373" s="20">
        <f>=H373*0.9</f>
        <v>167.4</v>
      </c>
      <c r="G373" s="21">
        <v>169</v>
      </c>
      <c r="H373" s="39">
        <v>186</v>
      </c>
      <c r="I373" s="40">
        <f>=H373*1.05</f>
        <v>195.3</v>
      </c>
      <c r="J373" s="40">
        <f>=F373*2</f>
        <v>334.8</v>
      </c>
      <c r="K373" s="40">
        <f>=H373*2</f>
        <v>372</v>
      </c>
      <c r="L373" s="40">
        <f>=I373*2</f>
        <v>390.6</v>
      </c>
      <c r="M373" s="41" t="s">
        <v>211</v>
      </c>
      <c r="N373" s="41">
        <v>1</v>
      </c>
      <c r="O373" s="41" t="s"/>
      <c r="P373" s="41">
        <v>1</v>
      </c>
      <c r="Q373" s="41">
        <v>1</v>
      </c>
      <c r="R373" s="41" t="s">
        <v>16</v>
      </c>
      <c r="S373" s="41" t="s">
        <v>137</v>
      </c>
      <c r="T373" s="41" t="s">
        <v>147</v>
      </c>
      <c r="U373" s="16" t="s">
        <v>13</v>
      </c>
      <c r="V373" s="16" t="s">
        <v>19</v>
      </c>
      <c r="W373" s="19" t="s"/>
      <c r="X373" s="26" t="s">
        <f>=M373&amp;N373&amp;P373&amp;Q373&amp;T373&amp;V373&amp;S373</f>
        <v>440</v>
      </c>
      <c r="Y373" s="19" t="s"/>
      <c r="Z373" s="19" t="s"/>
      <c r="AA373" s="19" t="s"/>
      <c r="AB373" s="19" t="s"/>
    </row>
    <row r="374" spans="1:28" ht="14.4">
      <c r="A374" s="4">
        <f>=H374/G374-1</f>
        <v>0.101769911504425</v>
      </c>
      <c r="B374" s="20">
        <f>=F374/12</f>
        <v>18.675</v>
      </c>
      <c r="C374" s="20">
        <f>=J374/3</f>
        <v>149.4</v>
      </c>
      <c r="D374" s="20">
        <f>=K374/3</f>
        <v>166</v>
      </c>
      <c r="E374" s="20">
        <f>=L374/3</f>
        <v>174.3</v>
      </c>
      <c r="F374" s="20">
        <f>=H374*0.9</f>
        <v>224.1</v>
      </c>
      <c r="G374" s="21">
        <v>226</v>
      </c>
      <c r="H374" s="39">
        <v>249</v>
      </c>
      <c r="I374" s="40">
        <f>=H374*1.05</f>
        <v>261.45</v>
      </c>
      <c r="J374" s="40">
        <f>=F374*2</f>
        <v>448.2</v>
      </c>
      <c r="K374" s="40">
        <f>=H374*2</f>
        <v>498</v>
      </c>
      <c r="L374" s="40">
        <f>=I374*2</f>
        <v>522.9</v>
      </c>
      <c r="M374" s="41" t="s">
        <v>211</v>
      </c>
      <c r="N374" s="41">
        <v>1</v>
      </c>
      <c r="O374" s="41" t="s"/>
      <c r="P374" s="41">
        <v>1.5</v>
      </c>
      <c r="Q374" s="41">
        <v>1.5</v>
      </c>
      <c r="R374" s="41" t="s">
        <v>16</v>
      </c>
      <c r="S374" s="41" t="s">
        <v>137</v>
      </c>
      <c r="T374" s="41" t="s">
        <v>147</v>
      </c>
      <c r="U374" s="16" t="s">
        <v>13</v>
      </c>
      <c r="V374" s="16" t="s">
        <v>19</v>
      </c>
      <c r="W374" s="19" t="s"/>
      <c r="X374" s="26" t="s">
        <f>=M374&amp;N374&amp;P374&amp;Q374&amp;T374&amp;V374&amp;S374</f>
        <v>441</v>
      </c>
      <c r="Y374" s="19" t="s"/>
      <c r="Z374" s="19" t="s"/>
      <c r="AA374" s="19" t="s"/>
      <c r="AB374" s="19" t="s"/>
    </row>
    <row r="375" spans="1:28" ht="14.4">
      <c r="A375" s="4">
        <f>=H375/G375-1</f>
        <v>0.098939929328622</v>
      </c>
      <c r="B375" s="20">
        <f>=F375/12</f>
        <v>23.325</v>
      </c>
      <c r="C375" s="20">
        <f>=J375/3</f>
        <v>186.6</v>
      </c>
      <c r="D375" s="20">
        <f>=K375/3</f>
        <v>207.333333333333</v>
      </c>
      <c r="E375" s="20">
        <f>=L375/3</f>
        <v>217.7</v>
      </c>
      <c r="F375" s="20">
        <f>=H375*0.9</f>
        <v>279.9</v>
      </c>
      <c r="G375" s="21">
        <v>283</v>
      </c>
      <c r="H375" s="39">
        <v>311</v>
      </c>
      <c r="I375" s="40">
        <f>=H375*1.05</f>
        <v>326.55</v>
      </c>
      <c r="J375" s="40">
        <f>=F375*2</f>
        <v>559.8</v>
      </c>
      <c r="K375" s="40">
        <f>=H375*2</f>
        <v>622</v>
      </c>
      <c r="L375" s="40">
        <f>=I375*2</f>
        <v>653.1</v>
      </c>
      <c r="M375" s="41" t="s">
        <v>211</v>
      </c>
      <c r="N375" s="41">
        <v>1</v>
      </c>
      <c r="O375" s="41" t="s"/>
      <c r="P375" s="41">
        <v>2</v>
      </c>
      <c r="Q375" s="41">
        <v>2</v>
      </c>
      <c r="R375" s="41" t="s">
        <v>16</v>
      </c>
      <c r="S375" s="41" t="s">
        <v>137</v>
      </c>
      <c r="T375" s="41" t="s">
        <v>140</v>
      </c>
      <c r="U375" s="16" t="s">
        <v>13</v>
      </c>
      <c r="V375" s="16" t="s">
        <v>19</v>
      </c>
      <c r="W375" s="19" t="s"/>
      <c r="X375" s="26" t="s">
        <f>=M375&amp;N375&amp;P375&amp;Q375&amp;T375&amp;V375&amp;S375</f>
        <v>442</v>
      </c>
      <c r="Y375" s="19" t="s"/>
      <c r="Z375" s="19" t="s"/>
      <c r="AA375" s="19" t="s"/>
      <c r="AB375" s="19" t="s"/>
    </row>
    <row r="376" spans="1:28" ht="14.4">
      <c r="A376" s="4">
        <f>=H376/G376-1</f>
        <v>0.098939929328622</v>
      </c>
      <c r="B376" s="20">
        <f>=F376/12</f>
        <v>23.325</v>
      </c>
      <c r="C376" s="20">
        <f>=J376/3</f>
        <v>186.6</v>
      </c>
      <c r="D376" s="20">
        <f>=K376/3</f>
        <v>207.333333333333</v>
      </c>
      <c r="E376" s="20">
        <f>=L376/3</f>
        <v>217.7</v>
      </c>
      <c r="F376" s="20">
        <f>=H376*0.9</f>
        <v>279.9</v>
      </c>
      <c r="G376" s="21">
        <v>283</v>
      </c>
      <c r="H376" s="39">
        <v>311</v>
      </c>
      <c r="I376" s="40">
        <f>=H376*1.05</f>
        <v>326.55</v>
      </c>
      <c r="J376" s="40">
        <f>=F376*2</f>
        <v>559.8</v>
      </c>
      <c r="K376" s="40">
        <f>=H376*2</f>
        <v>622</v>
      </c>
      <c r="L376" s="40">
        <f>=I376*2</f>
        <v>653.1</v>
      </c>
      <c r="M376" s="41" t="s">
        <v>211</v>
      </c>
      <c r="N376" s="41">
        <v>1</v>
      </c>
      <c r="O376" s="41" t="s"/>
      <c r="P376" s="41">
        <v>2</v>
      </c>
      <c r="Q376" s="41">
        <v>2</v>
      </c>
      <c r="R376" s="41" t="s">
        <v>16</v>
      </c>
      <c r="S376" s="41" t="s">
        <v>137</v>
      </c>
      <c r="T376" s="41" t="s">
        <v>147</v>
      </c>
      <c r="U376" s="16" t="s">
        <v>13</v>
      </c>
      <c r="V376" s="16" t="s">
        <v>19</v>
      </c>
      <c r="W376" s="19" t="s"/>
      <c r="X376" s="26" t="s">
        <f>=M376&amp;N376&amp;P376&amp;Q376&amp;T376&amp;V376&amp;S376</f>
        <v>443</v>
      </c>
      <c r="Y376" s="19" t="s"/>
      <c r="Z376" s="19" t="s"/>
      <c r="AA376" s="19" t="s"/>
      <c r="AB376" s="19" t="s"/>
    </row>
    <row r="377" spans="1:28" ht="14.4">
      <c r="A377" s="4">
        <f>=H377/G377-1</f>
        <v>0.0995145631067962</v>
      </c>
      <c r="B377" s="20">
        <f>=F377/12</f>
        <v>33.975</v>
      </c>
      <c r="C377" s="20">
        <f>=J377/3</f>
        <v>271.8</v>
      </c>
      <c r="D377" s="20">
        <f>=K377/3</f>
        <v>302</v>
      </c>
      <c r="E377" s="20">
        <f>=L377/3</f>
        <v>317.1</v>
      </c>
      <c r="F377" s="20">
        <f>=H377*0.9</f>
        <v>407.7</v>
      </c>
      <c r="G377" s="21">
        <v>412</v>
      </c>
      <c r="H377" s="39">
        <v>453</v>
      </c>
      <c r="I377" s="40">
        <f>=H377*1.05</f>
        <v>475.65</v>
      </c>
      <c r="J377" s="40">
        <f>=F377*2</f>
        <v>815.4</v>
      </c>
      <c r="K377" s="40">
        <f>=H377*2</f>
        <v>906</v>
      </c>
      <c r="L377" s="40">
        <f>=I377*2</f>
        <v>951.3</v>
      </c>
      <c r="M377" s="41" t="s">
        <v>211</v>
      </c>
      <c r="N377" s="41">
        <v>1</v>
      </c>
      <c r="O377" s="41" t="s"/>
      <c r="P377" s="41">
        <v>3</v>
      </c>
      <c r="Q377" s="41">
        <v>3</v>
      </c>
      <c r="R377" s="41" t="s">
        <v>16</v>
      </c>
      <c r="S377" s="41" t="s">
        <v>137</v>
      </c>
      <c r="T377" s="41" t="s">
        <v>128</v>
      </c>
      <c r="U377" s="16" t="s">
        <v>13</v>
      </c>
      <c r="V377" s="16" t="s">
        <v>19</v>
      </c>
      <c r="W377" s="19" t="s"/>
      <c r="X377" s="26" t="s">
        <f>=M377&amp;N377&amp;P377&amp;Q377&amp;T377&amp;V377&amp;S377</f>
        <v>444</v>
      </c>
      <c r="Y377" s="19" t="s"/>
      <c r="Z377" s="19" t="s"/>
      <c r="AA377" s="19" t="s"/>
      <c r="AB377" s="19" t="s"/>
    </row>
    <row r="378" spans="1:28" ht="14.4">
      <c r="A378" s="4">
        <f>=H378/G378-1</f>
        <v>0.099537037037037</v>
      </c>
      <c r="B378" s="20">
        <f>=F378/12</f>
        <v>35.625</v>
      </c>
      <c r="C378" s="20">
        <f>=J378/3</f>
        <v>285</v>
      </c>
      <c r="D378" s="20">
        <f>=K378/3</f>
        <v>316.666666666667</v>
      </c>
      <c r="E378" s="20">
        <f>=L378/3</f>
        <v>332.5</v>
      </c>
      <c r="F378" s="20">
        <f>=H378*0.9</f>
        <v>427.5</v>
      </c>
      <c r="G378" s="21">
        <v>432</v>
      </c>
      <c r="H378" s="39">
        <v>475</v>
      </c>
      <c r="I378" s="40">
        <f>=H378*1.05</f>
        <v>498.75</v>
      </c>
      <c r="J378" s="40">
        <f>=F378*2</f>
        <v>855</v>
      </c>
      <c r="K378" s="40">
        <f>=H378*2</f>
        <v>950</v>
      </c>
      <c r="L378" s="40">
        <f>=I378*2</f>
        <v>997.5</v>
      </c>
      <c r="M378" s="41" t="s">
        <v>211</v>
      </c>
      <c r="N378" s="41">
        <v>1</v>
      </c>
      <c r="O378" s="41" t="s"/>
      <c r="P378" s="41">
        <v>3</v>
      </c>
      <c r="Q378" s="41">
        <v>3</v>
      </c>
      <c r="R378" s="41" t="s">
        <v>16</v>
      </c>
      <c r="S378" s="41" t="s">
        <v>137</v>
      </c>
      <c r="T378" s="41" t="s">
        <v>145</v>
      </c>
      <c r="U378" s="16" t="s">
        <v>13</v>
      </c>
      <c r="V378" s="16" t="s">
        <v>19</v>
      </c>
      <c r="W378" s="19" t="s"/>
      <c r="X378" s="26" t="s">
        <f>=M378&amp;N378&amp;P378&amp;Q378&amp;T378&amp;V378&amp;S378</f>
        <v>445</v>
      </c>
      <c r="Y378" s="19" t="s"/>
      <c r="Z378" s="19" t="s"/>
      <c r="AA378" s="19" t="s"/>
      <c r="AB378" s="19" t="s"/>
    </row>
    <row r="379" spans="1:28" ht="14.4">
      <c r="A379" s="4">
        <f>=H379/G379-1</f>
        <v>0.100456621004566</v>
      </c>
      <c r="B379" s="20">
        <f>=F379/12</f>
        <v>54.225</v>
      </c>
      <c r="C379" s="20">
        <f>=J379/3</f>
        <v>433.8</v>
      </c>
      <c r="D379" s="20">
        <f>=K379/3</f>
        <v>482</v>
      </c>
      <c r="E379" s="20">
        <f>=L379/3</f>
        <v>506.1</v>
      </c>
      <c r="F379" s="20">
        <f>=H379*0.9</f>
        <v>650.7</v>
      </c>
      <c r="G379" s="21">
        <v>657</v>
      </c>
      <c r="H379" s="39">
        <v>723</v>
      </c>
      <c r="I379" s="40">
        <f>=H379*1.05</f>
        <v>759.15</v>
      </c>
      <c r="J379" s="40">
        <f>=F379*2</f>
        <v>1301.4</v>
      </c>
      <c r="K379" s="40">
        <f>=H379*2</f>
        <v>1446</v>
      </c>
      <c r="L379" s="40">
        <f>=I379*2</f>
        <v>1518.3</v>
      </c>
      <c r="M379" s="41" t="s">
        <v>211</v>
      </c>
      <c r="N379" s="41">
        <v>1</v>
      </c>
      <c r="O379" s="41" t="s"/>
      <c r="P379" s="41">
        <v>4</v>
      </c>
      <c r="Q379" s="41">
        <v>4</v>
      </c>
      <c r="R379" s="41" t="s">
        <v>16</v>
      </c>
      <c r="S379" s="41" t="s">
        <v>137</v>
      </c>
      <c r="T379" s="41" t="s">
        <v>128</v>
      </c>
      <c r="U379" s="16" t="s">
        <v>13</v>
      </c>
      <c r="V379" s="16" t="s">
        <v>19</v>
      </c>
      <c r="W379" s="19" t="s"/>
      <c r="X379" s="26" t="s">
        <f>=M379&amp;N379&amp;P379&amp;Q379&amp;T379&amp;V379&amp;S379</f>
        <v>446</v>
      </c>
      <c r="Y379" s="19" t="s"/>
      <c r="Z379" s="19" t="s"/>
      <c r="AA379" s="19" t="s"/>
      <c r="AB379" s="19" t="s"/>
    </row>
    <row r="380" spans="1:28" ht="14.4">
      <c r="A380" s="4">
        <f>=H380/G380-1</f>
        <v>0.102189781021898</v>
      </c>
      <c r="B380" s="20">
        <f>=F380/12</f>
        <v>11.325</v>
      </c>
      <c r="C380" s="20">
        <f>=J380/3</f>
        <v>90.6</v>
      </c>
      <c r="D380" s="20">
        <f>=K380/3</f>
        <v>100.666666666667</v>
      </c>
      <c r="E380" s="20">
        <f>=L380/3</f>
        <v>105.7</v>
      </c>
      <c r="F380" s="20">
        <f>=H380*0.9</f>
        <v>135.9</v>
      </c>
      <c r="G380" s="21">
        <v>137</v>
      </c>
      <c r="H380" s="39">
        <v>151</v>
      </c>
      <c r="I380" s="40">
        <f>=H380*1.05</f>
        <v>158.55</v>
      </c>
      <c r="J380" s="40">
        <f>=F380*2</f>
        <v>271.8</v>
      </c>
      <c r="K380" s="40">
        <f>=H380*2</f>
        <v>302</v>
      </c>
      <c r="L380" s="40">
        <f>=I380*2</f>
        <v>317.1</v>
      </c>
      <c r="M380" s="41" t="s">
        <v>211</v>
      </c>
      <c r="N380" s="41">
        <v>1</v>
      </c>
      <c r="O380" s="41" t="s"/>
      <c r="P380" s="41" t="s">
        <v>21</v>
      </c>
      <c r="Q380" s="41" t="s">
        <v>21</v>
      </c>
      <c r="R380" s="41" t="s">
        <v>16</v>
      </c>
      <c r="S380" s="41" t="s">
        <v>137</v>
      </c>
      <c r="T380" s="41" t="s">
        <v>147</v>
      </c>
      <c r="U380" s="16" t="s">
        <v>13</v>
      </c>
      <c r="V380" s="16" t="s">
        <v>19</v>
      </c>
      <c r="W380" s="19" t="s"/>
      <c r="X380" s="26" t="s">
        <f>=M380&amp;N380&amp;P380&amp;Q380&amp;T380&amp;V380&amp;S380</f>
        <v>447</v>
      </c>
      <c r="Y380" s="19" t="s"/>
      <c r="Z380" s="19" t="s"/>
      <c r="AA380" s="19" t="s"/>
      <c r="AB380" s="19" t="s"/>
    </row>
    <row r="381" spans="1:28" ht="14.4">
      <c r="A381" s="4">
        <f>=H381/G381-1</f>
        <v>0.100558659217877</v>
      </c>
      <c r="B381" s="20">
        <f>=F381/12</f>
        <v>14.775</v>
      </c>
      <c r="C381" s="20">
        <f>=J381/3</f>
        <v>118.2</v>
      </c>
      <c r="D381" s="20">
        <f>=K381/3</f>
        <v>131.333333333333</v>
      </c>
      <c r="E381" s="20">
        <f>=L381/3</f>
        <v>137.9</v>
      </c>
      <c r="F381" s="20">
        <f>=H381*0.9</f>
        <v>177.3</v>
      </c>
      <c r="G381" s="21">
        <v>179</v>
      </c>
      <c r="H381" s="39">
        <v>197</v>
      </c>
      <c r="I381" s="40">
        <f>=H381*1.05</f>
        <v>206.85</v>
      </c>
      <c r="J381" s="40">
        <f>=F381*2</f>
        <v>354.6</v>
      </c>
      <c r="K381" s="40">
        <f>=H381*2</f>
        <v>394</v>
      </c>
      <c r="L381" s="40">
        <f>=I381*2</f>
        <v>413.7</v>
      </c>
      <c r="M381" s="41" t="s">
        <v>211</v>
      </c>
      <c r="N381" s="41">
        <v>1.1</v>
      </c>
      <c r="O381" s="41" t="s"/>
      <c r="P381" s="41">
        <v>1</v>
      </c>
      <c r="Q381" s="41">
        <v>1</v>
      </c>
      <c r="R381" s="41" t="s">
        <v>16</v>
      </c>
      <c r="S381" s="41" t="s">
        <v>137</v>
      </c>
      <c r="T381" s="41" t="s">
        <v>153</v>
      </c>
      <c r="U381" s="16" t="s">
        <v>13</v>
      </c>
      <c r="V381" s="16" t="s">
        <v>19</v>
      </c>
      <c r="W381" s="19" t="s"/>
      <c r="X381" s="26" t="s">
        <f>=M381&amp;N381&amp;P381&amp;Q381&amp;T381&amp;V381&amp;S381</f>
        <v>448</v>
      </c>
      <c r="Y381" s="19" t="s"/>
      <c r="Z381" s="19" t="s"/>
      <c r="AA381" s="19" t="s"/>
      <c r="AB381" s="19" t="s"/>
    </row>
    <row r="382" spans="1:28" ht="14.4">
      <c r="A382" s="4">
        <f>=H382/G382-1</f>
        <v>0.1</v>
      </c>
      <c r="B382" s="20">
        <f>=F382/12</f>
        <v>23.1</v>
      </c>
      <c r="C382" s="20">
        <f>=J382/3</f>
        <v>184.8</v>
      </c>
      <c r="D382" s="20">
        <f>=K382/3</f>
        <v>205.333333333333</v>
      </c>
      <c r="E382" s="20">
        <f>=L382/3</f>
        <v>215.6</v>
      </c>
      <c r="F382" s="20">
        <f>=H382*0.9</f>
        <v>277.2</v>
      </c>
      <c r="G382" s="21">
        <v>280</v>
      </c>
      <c r="H382" s="39">
        <v>308</v>
      </c>
      <c r="I382" s="40">
        <f>=H382*1.05</f>
        <v>323.4</v>
      </c>
      <c r="J382" s="40">
        <f>=F382*2</f>
        <v>554.4</v>
      </c>
      <c r="K382" s="40">
        <f>=H382*2</f>
        <v>616</v>
      </c>
      <c r="L382" s="40">
        <f>=I382*2</f>
        <v>646.8</v>
      </c>
      <c r="M382" s="41" t="s">
        <v>211</v>
      </c>
      <c r="N382" s="41">
        <v>1.1</v>
      </c>
      <c r="O382" s="41" t="s"/>
      <c r="P382" s="41">
        <v>2</v>
      </c>
      <c r="Q382" s="41">
        <v>2</v>
      </c>
      <c r="R382" s="41" t="s">
        <v>16</v>
      </c>
      <c r="S382" s="41" t="s">
        <v>137</v>
      </c>
      <c r="T382" s="41" t="s">
        <v>147</v>
      </c>
      <c r="U382" s="16" t="s">
        <v>13</v>
      </c>
      <c r="V382" s="16" t="s">
        <v>19</v>
      </c>
      <c r="W382" s="19" t="s"/>
      <c r="X382" s="26" t="s">
        <f>=M382&amp;N382&amp;P382&amp;Q382&amp;T382&amp;V382&amp;S382</f>
        <v>449</v>
      </c>
      <c r="Y382" s="19" t="s"/>
      <c r="Z382" s="19" t="s"/>
      <c r="AA382" s="19" t="s"/>
      <c r="AB382" s="19" t="s"/>
    </row>
    <row r="383" spans="1:28" ht="14.4">
      <c r="A383" s="4">
        <f>=H383/G383-1</f>
        <v>0.099537037037037</v>
      </c>
      <c r="B383" s="20">
        <f>=F383/12</f>
        <v>35.625</v>
      </c>
      <c r="C383" s="20">
        <f>=J383/3</f>
        <v>285</v>
      </c>
      <c r="D383" s="20">
        <f>=K383/3</f>
        <v>316.666666666667</v>
      </c>
      <c r="E383" s="20">
        <f>=L383/3</f>
        <v>332.5</v>
      </c>
      <c r="F383" s="20">
        <f>=H383*0.9</f>
        <v>427.5</v>
      </c>
      <c r="G383" s="21">
        <v>432</v>
      </c>
      <c r="H383" s="39">
        <v>475</v>
      </c>
      <c r="I383" s="40">
        <f>=H383*1.05</f>
        <v>498.75</v>
      </c>
      <c r="J383" s="40">
        <f>=F383*2</f>
        <v>855</v>
      </c>
      <c r="K383" s="40">
        <f>=H383*2</f>
        <v>950</v>
      </c>
      <c r="L383" s="40">
        <f>=I383*2</f>
        <v>997.5</v>
      </c>
      <c r="M383" s="41" t="s">
        <v>211</v>
      </c>
      <c r="N383" s="41">
        <v>1.1</v>
      </c>
      <c r="O383" s="41" t="s"/>
      <c r="P383" s="41">
        <v>3</v>
      </c>
      <c r="Q383" s="41">
        <v>3</v>
      </c>
      <c r="R383" s="41" t="s">
        <v>16</v>
      </c>
      <c r="S383" s="41" t="s">
        <v>137</v>
      </c>
      <c r="T383" s="41" t="s">
        <v>147</v>
      </c>
      <c r="U383" s="16" t="s">
        <v>13</v>
      </c>
      <c r="V383" s="16" t="s">
        <v>19</v>
      </c>
      <c r="W383" s="19" t="s"/>
      <c r="X383" s="26" t="s">
        <f>=M383&amp;N383&amp;P383&amp;Q383&amp;T383&amp;V383&amp;S383</f>
        <v>450</v>
      </c>
      <c r="Y383" s="19" t="s"/>
      <c r="Z383" s="19" t="s"/>
      <c r="AA383" s="19" t="s"/>
      <c r="AB383" s="19" t="s"/>
    </row>
    <row r="384" spans="1:28" ht="14.4">
      <c r="A384" s="4">
        <f>=H384/G384-1</f>
        <v>0.0992907801418439</v>
      </c>
      <c r="B384" s="20">
        <f>=F384/12</f>
        <v>11.625</v>
      </c>
      <c r="C384" s="20">
        <f>=J384/3</f>
        <v>93</v>
      </c>
      <c r="D384" s="20">
        <f>=K384/3</f>
        <v>103.333333333333</v>
      </c>
      <c r="E384" s="20">
        <f>=L384/3</f>
        <v>108.5</v>
      </c>
      <c r="F384" s="20">
        <f>=H384*0.9</f>
        <v>139.5</v>
      </c>
      <c r="G384" s="21">
        <v>141</v>
      </c>
      <c r="H384" s="39">
        <v>155</v>
      </c>
      <c r="I384" s="40">
        <f>=H384*1.05</f>
        <v>162.75</v>
      </c>
      <c r="J384" s="40">
        <f>=F384*2</f>
        <v>279</v>
      </c>
      <c r="K384" s="40">
        <f>=H384*2</f>
        <v>310</v>
      </c>
      <c r="L384" s="40">
        <f>=I384*2</f>
        <v>325.5</v>
      </c>
      <c r="M384" s="41" t="s">
        <v>211</v>
      </c>
      <c r="N384" s="41">
        <v>1.1</v>
      </c>
      <c r="O384" s="41" t="s"/>
      <c r="P384" s="41" t="s">
        <v>21</v>
      </c>
      <c r="Q384" s="41" t="s">
        <v>21</v>
      </c>
      <c r="R384" s="41" t="s">
        <v>16</v>
      </c>
      <c r="S384" s="41" t="s">
        <v>137</v>
      </c>
      <c r="T384" s="41" t="s">
        <v>153</v>
      </c>
      <c r="U384" s="16" t="s">
        <v>13</v>
      </c>
      <c r="V384" s="16" t="s">
        <v>19</v>
      </c>
      <c r="W384" s="19" t="s"/>
      <c r="X384" s="26" t="s">
        <f>=M384&amp;N384&amp;P384&amp;Q384&amp;T384&amp;V384&amp;S384</f>
        <v>451</v>
      </c>
      <c r="Y384" s="19" t="s"/>
      <c r="Z384" s="19" t="s"/>
      <c r="AA384" s="19" t="s"/>
      <c r="AB384" s="19" t="s"/>
    </row>
    <row r="385" spans="1:28" ht="14.4">
      <c r="A385" s="4">
        <f>=H385/G385-1</f>
        <v>0.0970149253731343</v>
      </c>
      <c r="B385" s="20">
        <f>=F385/12</f>
        <v>11.025</v>
      </c>
      <c r="C385" s="20">
        <f>=J385/3</f>
        <v>88.2</v>
      </c>
      <c r="D385" s="20">
        <f>=K385/3</f>
        <v>98</v>
      </c>
      <c r="E385" s="20">
        <f>=L385/3</f>
        <v>102.9</v>
      </c>
      <c r="F385" s="20">
        <f>=H385*0.9</f>
        <v>132.3</v>
      </c>
      <c r="G385" s="21">
        <v>134</v>
      </c>
      <c r="H385" s="39">
        <v>147</v>
      </c>
      <c r="I385" s="40">
        <f>=H385*1.05</f>
        <v>154.35</v>
      </c>
      <c r="J385" s="40">
        <f>=F385*2</f>
        <v>264.6</v>
      </c>
      <c r="K385" s="40">
        <f>=H385*2</f>
        <v>294</v>
      </c>
      <c r="L385" s="40">
        <f>=I385*2</f>
        <v>308.7</v>
      </c>
      <c r="M385" s="41" t="s">
        <v>211</v>
      </c>
      <c r="N385" s="41">
        <v>1.1</v>
      </c>
      <c r="O385" s="41" t="s"/>
      <c r="P385" s="41" t="s">
        <v>452</v>
      </c>
      <c r="Q385" s="41" t="s">
        <v>452</v>
      </c>
      <c r="R385" s="41" t="s">
        <v>16</v>
      </c>
      <c r="S385" s="41" t="s">
        <v>137</v>
      </c>
      <c r="T385" s="41" t="s">
        <v>153</v>
      </c>
      <c r="U385" s="16" t="s">
        <v>13</v>
      </c>
      <c r="V385" s="16" t="s">
        <v>19</v>
      </c>
      <c r="W385" s="19" t="s"/>
      <c r="X385" s="26" t="s">
        <f>=M385&amp;N385&amp;P385&amp;Q385&amp;T385&amp;V385&amp;S385</f>
        <v>453</v>
      </c>
      <c r="Y385" s="19" t="s"/>
      <c r="Z385" s="19" t="s"/>
      <c r="AA385" s="19" t="s"/>
      <c r="AB385" s="19" t="s"/>
    </row>
    <row r="386" spans="1:28" ht="14.4">
      <c r="A386" s="4">
        <f>=H386/G386-1</f>
        <v>0.100558659217877</v>
      </c>
      <c r="B386" s="20">
        <f>=F386/12</f>
        <v>14.775</v>
      </c>
      <c r="C386" s="20">
        <f>=J386/3</f>
        <v>118.2</v>
      </c>
      <c r="D386" s="20">
        <f>=K386/3</f>
        <v>131.333333333333</v>
      </c>
      <c r="E386" s="20">
        <f>=L386/3</f>
        <v>137.9</v>
      </c>
      <c r="F386" s="20">
        <f>=H386*0.9</f>
        <v>177.3</v>
      </c>
      <c r="G386" s="21">
        <v>179</v>
      </c>
      <c r="H386" s="39">
        <v>197</v>
      </c>
      <c r="I386" s="40">
        <f>=H386*1.05</f>
        <v>206.85</v>
      </c>
      <c r="J386" s="40">
        <f>=F386*2</f>
        <v>354.6</v>
      </c>
      <c r="K386" s="40">
        <f>=H386*2</f>
        <v>394</v>
      </c>
      <c r="L386" s="40">
        <f>=I386*2</f>
        <v>413.7</v>
      </c>
      <c r="M386" s="41" t="s">
        <v>211</v>
      </c>
      <c r="N386" s="41">
        <v>1.15</v>
      </c>
      <c r="O386" s="41" t="s"/>
      <c r="P386" s="41">
        <v>1</v>
      </c>
      <c r="Q386" s="41">
        <v>1</v>
      </c>
      <c r="R386" s="41" t="s">
        <v>16</v>
      </c>
      <c r="S386" s="41" t="s">
        <v>137</v>
      </c>
      <c r="T386" s="41" t="s">
        <v>153</v>
      </c>
      <c r="U386" s="16" t="s">
        <v>13</v>
      </c>
      <c r="V386" s="16" t="s">
        <v>19</v>
      </c>
      <c r="W386" s="19" t="s"/>
      <c r="X386" s="26" t="s">
        <f>=M386&amp;N386&amp;P386&amp;Q386&amp;T386&amp;V386&amp;S386</f>
        <v>454</v>
      </c>
      <c r="Y386" s="19" t="s"/>
      <c r="Z386" s="19" t="s"/>
      <c r="AA386" s="19" t="s"/>
      <c r="AB386" s="19" t="s"/>
    </row>
    <row r="387" spans="1:28" ht="14.4">
      <c r="A387" s="4">
        <f>=H387/G387-1</f>
        <v>0.101604278074866</v>
      </c>
      <c r="B387" s="20">
        <f>=F387/12</f>
        <v>15.45</v>
      </c>
      <c r="C387" s="20">
        <f>=J387/3</f>
        <v>123.6</v>
      </c>
      <c r="D387" s="20">
        <f>=K387/3</f>
        <v>137.333333333333</v>
      </c>
      <c r="E387" s="20">
        <f>=L387/3</f>
        <v>144.2</v>
      </c>
      <c r="F387" s="20">
        <f>=H387*0.9</f>
        <v>185.4</v>
      </c>
      <c r="G387" s="21">
        <v>187</v>
      </c>
      <c r="H387" s="39">
        <v>206</v>
      </c>
      <c r="I387" s="40">
        <f>=H387*1.05</f>
        <v>216.3</v>
      </c>
      <c r="J387" s="40">
        <f>=F387*2</f>
        <v>370.8</v>
      </c>
      <c r="K387" s="40">
        <f>=H387*2</f>
        <v>412</v>
      </c>
      <c r="L387" s="40">
        <f>=I387*2</f>
        <v>432.6</v>
      </c>
      <c r="M387" s="41" t="s">
        <v>211</v>
      </c>
      <c r="N387" s="41">
        <v>1.2</v>
      </c>
      <c r="O387" s="41" t="s"/>
      <c r="P387" s="41">
        <v>1</v>
      </c>
      <c r="Q387" s="41">
        <v>1</v>
      </c>
      <c r="R387" s="41" t="s">
        <v>16</v>
      </c>
      <c r="S387" s="41" t="s">
        <v>137</v>
      </c>
      <c r="T387" s="41" t="s">
        <v>153</v>
      </c>
      <c r="U387" s="16" t="s">
        <v>13</v>
      </c>
      <c r="V387" s="16" t="s">
        <v>19</v>
      </c>
      <c r="W387" s="19" t="s"/>
      <c r="X387" s="26" t="s">
        <f>=M387&amp;N387&amp;P387&amp;Q387&amp;T387&amp;V387&amp;S387</f>
        <v>455</v>
      </c>
      <c r="Y387" s="19" t="s"/>
      <c r="Z387" s="19" t="s"/>
      <c r="AA387" s="19" t="s"/>
      <c r="AB387" s="19" t="s"/>
    </row>
    <row r="388" spans="1:28" ht="14.4">
      <c r="A388" s="4">
        <f>=H388/G388-1</f>
        <v>0.098939929328622</v>
      </c>
      <c r="B388" s="20">
        <f>=F388/12</f>
        <v>23.325</v>
      </c>
      <c r="C388" s="20">
        <f>=J388/3</f>
        <v>186.6</v>
      </c>
      <c r="D388" s="20">
        <f>=K388/3</f>
        <v>207.333333333333</v>
      </c>
      <c r="E388" s="20">
        <f>=L388/3</f>
        <v>217.7</v>
      </c>
      <c r="F388" s="20">
        <f>=H388*0.9</f>
        <v>279.9</v>
      </c>
      <c r="G388" s="21">
        <v>283</v>
      </c>
      <c r="H388" s="39">
        <v>311</v>
      </c>
      <c r="I388" s="40">
        <f>=H388*1.05</f>
        <v>326.55</v>
      </c>
      <c r="J388" s="40">
        <f>=F388*2</f>
        <v>559.8</v>
      </c>
      <c r="K388" s="40">
        <f>=H388*2</f>
        <v>622</v>
      </c>
      <c r="L388" s="40">
        <f>=I388*2</f>
        <v>653.1</v>
      </c>
      <c r="M388" s="41" t="s">
        <v>211</v>
      </c>
      <c r="N388" s="41">
        <v>1.2</v>
      </c>
      <c r="O388" s="41" t="s"/>
      <c r="P388" s="41">
        <v>2</v>
      </c>
      <c r="Q388" s="41">
        <v>2</v>
      </c>
      <c r="R388" s="41" t="s">
        <v>16</v>
      </c>
      <c r="S388" s="41" t="s">
        <v>137</v>
      </c>
      <c r="T388" s="41" t="s">
        <v>153</v>
      </c>
      <c r="U388" s="16" t="s">
        <v>13</v>
      </c>
      <c r="V388" s="16" t="s">
        <v>19</v>
      </c>
      <c r="W388" s="19" t="s"/>
      <c r="X388" s="26" t="s">
        <f>=M388&amp;N388&amp;P388&amp;Q388&amp;T388&amp;V388&amp;S388</f>
        <v>456</v>
      </c>
      <c r="Y388" s="19" t="s"/>
      <c r="Z388" s="19" t="s"/>
      <c r="AA388" s="19" t="s"/>
      <c r="AB388" s="19" t="s"/>
    </row>
    <row r="389" spans="1:28" ht="14.4">
      <c r="A389" s="4">
        <f>=H389/G389-1</f>
        <v>0.099537037037037</v>
      </c>
      <c r="B389" s="20">
        <f>=F389/12</f>
        <v>35.625</v>
      </c>
      <c r="C389" s="20">
        <f>=J389/3</f>
        <v>285</v>
      </c>
      <c r="D389" s="20">
        <f>=K389/3</f>
        <v>316.666666666667</v>
      </c>
      <c r="E389" s="20">
        <f>=L389/3</f>
        <v>332.5</v>
      </c>
      <c r="F389" s="20">
        <f>=H389*0.9</f>
        <v>427.5</v>
      </c>
      <c r="G389" s="21">
        <v>432</v>
      </c>
      <c r="H389" s="39">
        <v>475</v>
      </c>
      <c r="I389" s="40">
        <f>=H389*1.05</f>
        <v>498.75</v>
      </c>
      <c r="J389" s="40">
        <f>=F389*2</f>
        <v>855</v>
      </c>
      <c r="K389" s="40">
        <f>=H389*2</f>
        <v>950</v>
      </c>
      <c r="L389" s="40">
        <f>=I389*2</f>
        <v>997.5</v>
      </c>
      <c r="M389" s="41" t="s">
        <v>211</v>
      </c>
      <c r="N389" s="41">
        <v>1.2</v>
      </c>
      <c r="O389" s="41" t="s"/>
      <c r="P389" s="41">
        <v>3</v>
      </c>
      <c r="Q389" s="41">
        <v>3</v>
      </c>
      <c r="R389" s="41" t="s">
        <v>16</v>
      </c>
      <c r="S389" s="41" t="s">
        <v>137</v>
      </c>
      <c r="T389" s="41" t="s">
        <v>147</v>
      </c>
      <c r="U389" s="16" t="s">
        <v>13</v>
      </c>
      <c r="V389" s="16" t="s">
        <v>19</v>
      </c>
      <c r="W389" s="19" t="s"/>
      <c r="X389" s="26" t="s">
        <f>=M389&amp;N389&amp;P389&amp;Q389&amp;T389&amp;V389&amp;S389</f>
        <v>457</v>
      </c>
      <c r="Y389" s="19" t="s"/>
      <c r="Z389" s="19" t="s"/>
      <c r="AA389" s="19" t="s"/>
      <c r="AB389" s="19" t="s"/>
    </row>
    <row r="390" spans="1:28" ht="14.4">
      <c r="A390" s="4">
        <f>=H390/G390-1</f>
        <v>0.0998509687034277</v>
      </c>
      <c r="B390" s="20">
        <f>=F390/12</f>
        <v>55.35</v>
      </c>
      <c r="C390" s="20">
        <f>=J390/3</f>
        <v>442.8</v>
      </c>
      <c r="D390" s="20">
        <f>=K390/3</f>
        <v>492</v>
      </c>
      <c r="E390" s="20">
        <f>=L390/3</f>
        <v>516.6</v>
      </c>
      <c r="F390" s="20">
        <f>=H390*0.9</f>
        <v>664.2</v>
      </c>
      <c r="G390" s="21">
        <v>671</v>
      </c>
      <c r="H390" s="39">
        <v>738</v>
      </c>
      <c r="I390" s="40">
        <f>=H390*1.05</f>
        <v>774.9</v>
      </c>
      <c r="J390" s="40">
        <f>=F390*2</f>
        <v>1328.4</v>
      </c>
      <c r="K390" s="40">
        <f>=H390*2</f>
        <v>1476</v>
      </c>
      <c r="L390" s="40">
        <f>=I390*2</f>
        <v>1549.8</v>
      </c>
      <c r="M390" s="41" t="s">
        <v>211</v>
      </c>
      <c r="N390" s="41">
        <v>1.2</v>
      </c>
      <c r="O390" s="41" t="s"/>
      <c r="P390" s="41">
        <v>4</v>
      </c>
      <c r="Q390" s="41">
        <v>4</v>
      </c>
      <c r="R390" s="41" t="s">
        <v>16</v>
      </c>
      <c r="S390" s="41" t="s">
        <v>137</v>
      </c>
      <c r="T390" s="41" t="s">
        <v>147</v>
      </c>
      <c r="U390" s="16" t="s">
        <v>13</v>
      </c>
      <c r="V390" s="16" t="s">
        <v>19</v>
      </c>
      <c r="W390" s="19" t="s"/>
      <c r="X390" s="26" t="s">
        <f>=M390&amp;N390&amp;P390&amp;Q390&amp;T390&amp;V390&amp;S390</f>
        <v>458</v>
      </c>
      <c r="Y390" s="19" t="s"/>
      <c r="Z390" s="19" t="s"/>
      <c r="AA390" s="19" t="s"/>
      <c r="AB390" s="19" t="s"/>
    </row>
    <row r="391" spans="1:28" ht="14.4">
      <c r="A391" s="4">
        <f>=H391/G391-1</f>
        <v>0.0985915492957748</v>
      </c>
      <c r="B391" s="20">
        <f>=F391/12</f>
        <v>11.7</v>
      </c>
      <c r="C391" s="20">
        <f>=J391/3</f>
        <v>93.6</v>
      </c>
      <c r="D391" s="20">
        <f>=K391/3</f>
        <v>104</v>
      </c>
      <c r="E391" s="20">
        <f>=L391/3</f>
        <v>109.2</v>
      </c>
      <c r="F391" s="20">
        <f>=H391*0.9</f>
        <v>140.4</v>
      </c>
      <c r="G391" s="21">
        <v>142</v>
      </c>
      <c r="H391" s="39">
        <v>156</v>
      </c>
      <c r="I391" s="40">
        <f>=H391*1.05</f>
        <v>163.8</v>
      </c>
      <c r="J391" s="40">
        <f>=F391*2</f>
        <v>280.8</v>
      </c>
      <c r="K391" s="40">
        <f>=H391*2</f>
        <v>312</v>
      </c>
      <c r="L391" s="40">
        <f>=I391*2</f>
        <v>327.6</v>
      </c>
      <c r="M391" s="41" t="s">
        <v>211</v>
      </c>
      <c r="N391" s="41">
        <v>1.2</v>
      </c>
      <c r="O391" s="41" t="s"/>
      <c r="P391" s="41" t="s">
        <v>21</v>
      </c>
      <c r="Q391" s="41" t="s">
        <v>21</v>
      </c>
      <c r="R391" s="41" t="s">
        <v>16</v>
      </c>
      <c r="S391" s="41" t="s">
        <v>137</v>
      </c>
      <c r="T391" s="41" t="s">
        <v>153</v>
      </c>
      <c r="U391" s="16" t="s">
        <v>13</v>
      </c>
      <c r="V391" s="16" t="s">
        <v>19</v>
      </c>
      <c r="W391" s="5" t="s"/>
      <c r="X391" s="26" t="s">
        <f>=M391&amp;N391&amp;P391&amp;Q391&amp;T391&amp;V391&amp;S391</f>
        <v>459</v>
      </c>
      <c r="Y391" s="19" t="s"/>
      <c r="Z391" s="19" t="s"/>
      <c r="AA391" s="19" t="s"/>
      <c r="AB391" s="19" t="s"/>
    </row>
    <row r="392" spans="1:28" ht="14.4">
      <c r="A392" s="4">
        <f>=H392/G392-1</f>
        <v>0.101010101010101</v>
      </c>
      <c r="B392" s="20">
        <f>=F392/12</f>
        <v>16.35</v>
      </c>
      <c r="C392" s="20">
        <f>=J392/3</f>
        <v>130.8</v>
      </c>
      <c r="D392" s="20">
        <f>=K392/3</f>
        <v>145.333333333333</v>
      </c>
      <c r="E392" s="20">
        <f>=L392/3</f>
        <v>152.6</v>
      </c>
      <c r="F392" s="20">
        <f>=H392*0.9</f>
        <v>196.2</v>
      </c>
      <c r="G392" s="21">
        <v>198</v>
      </c>
      <c r="H392" s="39">
        <v>218</v>
      </c>
      <c r="I392" s="40">
        <f>=H392*1.05</f>
        <v>228.9</v>
      </c>
      <c r="J392" s="40">
        <f>=F392*2</f>
        <v>392.4</v>
      </c>
      <c r="K392" s="40">
        <f>=H392*2</f>
        <v>436</v>
      </c>
      <c r="L392" s="40">
        <f>=I392*2</f>
        <v>457.8</v>
      </c>
      <c r="M392" s="41" t="s">
        <v>211</v>
      </c>
      <c r="N392" s="41">
        <v>1.3</v>
      </c>
      <c r="O392" s="41" t="s"/>
      <c r="P392" s="41">
        <v>1</v>
      </c>
      <c r="Q392" s="41">
        <v>1</v>
      </c>
      <c r="R392" s="41" t="s">
        <v>16</v>
      </c>
      <c r="S392" s="41" t="s">
        <v>137</v>
      </c>
      <c r="T392" s="41" t="s">
        <v>163</v>
      </c>
      <c r="U392" s="16" t="s">
        <v>13</v>
      </c>
      <c r="V392" s="16" t="s">
        <v>19</v>
      </c>
      <c r="W392" s="5" t="s"/>
      <c r="X392" s="26" t="s">
        <f>=M392&amp;N392&amp;P392&amp;Q392&amp;T392&amp;V392&amp;S392</f>
        <v>460</v>
      </c>
      <c r="Y392" s="19" t="s"/>
      <c r="Z392" s="19" t="s"/>
      <c r="AA392" s="19" t="s"/>
      <c r="AB392" s="19" t="s"/>
    </row>
    <row r="393" spans="1:28" ht="14.4">
      <c r="A393" s="4">
        <f>=H393/G393-1</f>
        <v>0.0996677740863787</v>
      </c>
      <c r="B393" s="20">
        <f>=F393/12</f>
        <v>24.825</v>
      </c>
      <c r="C393" s="20">
        <f>=J393/3</f>
        <v>198.6</v>
      </c>
      <c r="D393" s="20">
        <f>=K393/3</f>
        <v>220.666666666667</v>
      </c>
      <c r="E393" s="20">
        <f>=L393/3</f>
        <v>231.7</v>
      </c>
      <c r="F393" s="20">
        <f>=H393*0.9</f>
        <v>297.9</v>
      </c>
      <c r="G393" s="21">
        <v>301</v>
      </c>
      <c r="H393" s="39">
        <v>331</v>
      </c>
      <c r="I393" s="40">
        <f>=H393*1.05</f>
        <v>347.55</v>
      </c>
      <c r="J393" s="40">
        <f>=F393*2</f>
        <v>595.8</v>
      </c>
      <c r="K393" s="40">
        <f>=H393*2</f>
        <v>662</v>
      </c>
      <c r="L393" s="40">
        <f>=I393*2</f>
        <v>695.1</v>
      </c>
      <c r="M393" s="41" t="s">
        <v>211</v>
      </c>
      <c r="N393" s="41">
        <v>1.3</v>
      </c>
      <c r="O393" s="41" t="s"/>
      <c r="P393" s="41">
        <v>2</v>
      </c>
      <c r="Q393" s="41">
        <v>2</v>
      </c>
      <c r="R393" s="41" t="s">
        <v>16</v>
      </c>
      <c r="S393" s="41" t="s">
        <v>137</v>
      </c>
      <c r="T393" s="41" t="s">
        <v>153</v>
      </c>
      <c r="U393" s="16" t="s">
        <v>13</v>
      </c>
      <c r="V393" s="16" t="s">
        <v>19</v>
      </c>
      <c r="W393" s="19" t="s"/>
      <c r="X393" s="26" t="s">
        <f>=M393&amp;N393&amp;P393&amp;Q393&amp;T393&amp;V393&amp;S393</f>
        <v>461</v>
      </c>
      <c r="Y393" s="19" t="s"/>
      <c r="Z393" s="19" t="s"/>
      <c r="AA393" s="19" t="s"/>
      <c r="AB393" s="19" t="s"/>
    </row>
    <row r="394" spans="1:28" ht="14.4">
      <c r="A394" s="4">
        <f>=H394/G394-1</f>
        <v>0.100686498855835</v>
      </c>
      <c r="B394" s="20">
        <f>=F394/12</f>
        <v>36.075</v>
      </c>
      <c r="C394" s="20">
        <f>=J394/3</f>
        <v>288.6</v>
      </c>
      <c r="D394" s="20">
        <f>=K394/3</f>
        <v>320.666666666667</v>
      </c>
      <c r="E394" s="20">
        <f>=L394/3</f>
        <v>336.7</v>
      </c>
      <c r="F394" s="20">
        <f>=H394*0.9</f>
        <v>432.9</v>
      </c>
      <c r="G394" s="21">
        <v>437</v>
      </c>
      <c r="H394" s="39">
        <v>481</v>
      </c>
      <c r="I394" s="40">
        <f>=H394*1.05</f>
        <v>505.05</v>
      </c>
      <c r="J394" s="40">
        <f>=F394*2</f>
        <v>865.8</v>
      </c>
      <c r="K394" s="40">
        <f>=H394*2</f>
        <v>962</v>
      </c>
      <c r="L394" s="40">
        <f>=I394*2</f>
        <v>1010.1</v>
      </c>
      <c r="M394" s="41" t="s">
        <v>211</v>
      </c>
      <c r="N394" s="41">
        <v>1.3</v>
      </c>
      <c r="O394" s="41" t="s"/>
      <c r="P394" s="41">
        <v>3</v>
      </c>
      <c r="Q394" s="41">
        <v>3</v>
      </c>
      <c r="R394" s="41" t="s">
        <v>16</v>
      </c>
      <c r="S394" s="41" t="s">
        <v>137</v>
      </c>
      <c r="T394" s="41" t="s">
        <v>153</v>
      </c>
      <c r="U394" s="16" t="s">
        <v>13</v>
      </c>
      <c r="V394" s="16" t="s">
        <v>19</v>
      </c>
      <c r="W394" s="19" t="s"/>
      <c r="X394" s="26" t="s">
        <f>=M394&amp;N394&amp;P394&amp;Q394&amp;T394&amp;V394&amp;S394</f>
        <v>462</v>
      </c>
      <c r="Y394" s="19" t="s"/>
      <c r="Z394" s="19" t="s"/>
      <c r="AA394" s="19" t="s"/>
      <c r="AB394" s="19" t="s"/>
    </row>
    <row r="395" spans="1:28" ht="14.4">
      <c r="A395" s="4">
        <f>=H395/G395-1</f>
        <v>0.102564102564103</v>
      </c>
      <c r="B395" s="20">
        <f>=F395/12</f>
        <v>12.9</v>
      </c>
      <c r="C395" s="20">
        <f>=J395/3</f>
        <v>103.2</v>
      </c>
      <c r="D395" s="20">
        <f>=K395/3</f>
        <v>114.666666666667</v>
      </c>
      <c r="E395" s="20">
        <f>=L395/3</f>
        <v>120.4</v>
      </c>
      <c r="F395" s="20">
        <f>=H395*0.9</f>
        <v>154.8</v>
      </c>
      <c r="G395" s="21">
        <v>156</v>
      </c>
      <c r="H395" s="39">
        <v>172</v>
      </c>
      <c r="I395" s="40">
        <f>=H395*1.05</f>
        <v>180.6</v>
      </c>
      <c r="J395" s="40">
        <f>=F395*2</f>
        <v>309.6</v>
      </c>
      <c r="K395" s="40">
        <f>=H395*2</f>
        <v>344</v>
      </c>
      <c r="L395" s="40">
        <f>=I395*2</f>
        <v>361.2</v>
      </c>
      <c r="M395" s="41" t="s">
        <v>211</v>
      </c>
      <c r="N395" s="41">
        <v>1.3</v>
      </c>
      <c r="O395" s="41" t="s"/>
      <c r="P395" s="41" t="s">
        <v>21</v>
      </c>
      <c r="Q395" s="41" t="s">
        <v>21</v>
      </c>
      <c r="R395" s="41" t="s">
        <v>16</v>
      </c>
      <c r="S395" s="41" t="s">
        <v>137</v>
      </c>
      <c r="T395" s="41" t="s">
        <v>163</v>
      </c>
      <c r="U395" s="16" t="s">
        <v>13</v>
      </c>
      <c r="V395" s="16" t="s">
        <v>19</v>
      </c>
      <c r="W395" s="19" t="s"/>
      <c r="X395" s="26" t="s">
        <f>=M395&amp;N395&amp;P395&amp;Q395&amp;T395&amp;V395&amp;S395</f>
        <v>463</v>
      </c>
      <c r="Y395" s="19" t="s"/>
      <c r="Z395" s="19" t="s"/>
      <c r="AA395" s="19" t="s"/>
      <c r="AB395" s="19" t="s"/>
    </row>
    <row r="396" spans="1:28" ht="14.4">
      <c r="A396" s="4">
        <f>=H396/G396-1</f>
        <v>0.0984455958549222</v>
      </c>
      <c r="B396" s="20">
        <f>=F396/12</f>
        <v>15.9</v>
      </c>
      <c r="C396" s="20">
        <f>=J396/3</f>
        <v>127.2</v>
      </c>
      <c r="D396" s="20">
        <f>=K396/3</f>
        <v>141.333333333333</v>
      </c>
      <c r="E396" s="20">
        <f>=L396/3</f>
        <v>148.4</v>
      </c>
      <c r="F396" s="20">
        <f>=H396*0.9</f>
        <v>190.8</v>
      </c>
      <c r="G396" s="21">
        <v>193</v>
      </c>
      <c r="H396" s="39">
        <v>212</v>
      </c>
      <c r="I396" s="40">
        <f>=H396*1.05</f>
        <v>222.6</v>
      </c>
      <c r="J396" s="40">
        <f>=F396*2</f>
        <v>381.6</v>
      </c>
      <c r="K396" s="40">
        <f>=H396*2</f>
        <v>424</v>
      </c>
      <c r="L396" s="40">
        <f>=I396*2</f>
        <v>445.2</v>
      </c>
      <c r="M396" s="41" t="s">
        <v>211</v>
      </c>
      <c r="N396" s="41">
        <v>1.4</v>
      </c>
      <c r="O396" s="41" t="s"/>
      <c r="P396" s="41">
        <v>1</v>
      </c>
      <c r="Q396" s="41">
        <v>1</v>
      </c>
      <c r="R396" s="41" t="s">
        <v>16</v>
      </c>
      <c r="S396" s="41" t="s">
        <v>137</v>
      </c>
      <c r="T396" s="41" t="s">
        <v>163</v>
      </c>
      <c r="U396" s="16" t="s">
        <v>13</v>
      </c>
      <c r="V396" s="16" t="s">
        <v>19</v>
      </c>
      <c r="W396" s="19" t="s"/>
      <c r="X396" s="26" t="s">
        <f>=M396&amp;N396&amp;P396&amp;Q396&amp;T396&amp;V396&amp;S396</f>
        <v>464</v>
      </c>
      <c r="Y396" s="19" t="s"/>
      <c r="Z396" s="19" t="s"/>
      <c r="AA396" s="19" t="s"/>
      <c r="AB396" s="19" t="s"/>
    </row>
    <row r="397" spans="1:28" ht="14.4">
      <c r="A397" s="4">
        <f>=H397/G397-1</f>
        <v>0.1</v>
      </c>
      <c r="B397" s="20">
        <f>=F397/12</f>
        <v>21.45</v>
      </c>
      <c r="C397" s="20">
        <f>=J397/3</f>
        <v>171.6</v>
      </c>
      <c r="D397" s="20">
        <f>=K397/3</f>
        <v>190.666666666667</v>
      </c>
      <c r="E397" s="20">
        <f>=L397/3</f>
        <v>200.2</v>
      </c>
      <c r="F397" s="20">
        <f>=H397*0.9</f>
        <v>257.4</v>
      </c>
      <c r="G397" s="21">
        <v>260</v>
      </c>
      <c r="H397" s="39">
        <v>286</v>
      </c>
      <c r="I397" s="40">
        <f>=H397*1.05</f>
        <v>300.3</v>
      </c>
      <c r="J397" s="40">
        <f>=F397*2</f>
        <v>514.8</v>
      </c>
      <c r="K397" s="40">
        <f>=H397*2</f>
        <v>572</v>
      </c>
      <c r="L397" s="40">
        <f>=I397*2</f>
        <v>600.6</v>
      </c>
      <c r="M397" s="41" t="s">
        <v>211</v>
      </c>
      <c r="N397" s="41">
        <v>1.4</v>
      </c>
      <c r="O397" s="41" t="s"/>
      <c r="P397" s="41">
        <v>1.5</v>
      </c>
      <c r="Q397" s="41">
        <v>1.5</v>
      </c>
      <c r="R397" s="41" t="s">
        <v>16</v>
      </c>
      <c r="S397" s="41" t="s">
        <v>137</v>
      </c>
      <c r="T397" s="41" t="s">
        <v>163</v>
      </c>
      <c r="U397" s="16" t="s">
        <v>13</v>
      </c>
      <c r="V397" s="16" t="s">
        <v>19</v>
      </c>
      <c r="W397" s="19" t="s"/>
      <c r="X397" s="26" t="s">
        <f>=M397&amp;N397&amp;P397&amp;Q397&amp;T397&amp;V397&amp;S397</f>
        <v>465</v>
      </c>
      <c r="Y397" s="19" t="s"/>
      <c r="Z397" s="19" t="s"/>
      <c r="AA397" s="19" t="s"/>
      <c r="AB397" s="19" t="s"/>
    </row>
    <row r="398" spans="1:28" ht="14.4">
      <c r="A398" s="4">
        <f>=H398/G398-1</f>
        <v>0.101307189542484</v>
      </c>
      <c r="B398" s="20">
        <f>=F398/12</f>
        <v>25.275</v>
      </c>
      <c r="C398" s="20">
        <f>=J398/3</f>
        <v>202.2</v>
      </c>
      <c r="D398" s="20">
        <f>=K398/3</f>
        <v>224.666666666667</v>
      </c>
      <c r="E398" s="20">
        <f>=L398/3</f>
        <v>235.9</v>
      </c>
      <c r="F398" s="20">
        <f>=H398*0.9</f>
        <v>303.3</v>
      </c>
      <c r="G398" s="21">
        <v>306</v>
      </c>
      <c r="H398" s="39">
        <v>337</v>
      </c>
      <c r="I398" s="40">
        <f>=H398*1.05</f>
        <v>353.85</v>
      </c>
      <c r="J398" s="40">
        <f>=F398*2</f>
        <v>606.6</v>
      </c>
      <c r="K398" s="40">
        <f>=H398*2</f>
        <v>674</v>
      </c>
      <c r="L398" s="40">
        <f>=I398*2</f>
        <v>707.7</v>
      </c>
      <c r="M398" s="41" t="s">
        <v>211</v>
      </c>
      <c r="N398" s="41">
        <v>1.4</v>
      </c>
      <c r="O398" s="41" t="s"/>
      <c r="P398" s="41">
        <v>2</v>
      </c>
      <c r="Q398" s="41">
        <v>2</v>
      </c>
      <c r="R398" s="41" t="s">
        <v>16</v>
      </c>
      <c r="S398" s="41" t="s">
        <v>137</v>
      </c>
      <c r="T398" s="41" t="s">
        <v>163</v>
      </c>
      <c r="U398" s="16" t="s">
        <v>13</v>
      </c>
      <c r="V398" s="16" t="s">
        <v>19</v>
      </c>
      <c r="W398" s="19" t="s"/>
      <c r="X398" s="26" t="s">
        <f>=M398&amp;N398&amp;P398&amp;Q398&amp;T398&amp;V398&amp;S398</f>
        <v>466</v>
      </c>
      <c r="Y398" s="19" t="s"/>
      <c r="Z398" s="19" t="s"/>
      <c r="AA398" s="19" t="s"/>
      <c r="AB398" s="19" t="s"/>
    </row>
    <row r="399" spans="1:28" ht="14.4">
      <c r="A399" s="4">
        <f>=H399/G399-1</f>
        <v>0.100671140939597</v>
      </c>
      <c r="B399" s="20">
        <f>=F399/12</f>
        <v>36.9</v>
      </c>
      <c r="C399" s="20">
        <f>=J399/3</f>
        <v>295.2</v>
      </c>
      <c r="D399" s="20">
        <f>=K399/3</f>
        <v>328</v>
      </c>
      <c r="E399" s="20">
        <f>=L399/3</f>
        <v>344.4</v>
      </c>
      <c r="F399" s="20">
        <f>=H399*0.9</f>
        <v>442.8</v>
      </c>
      <c r="G399" s="21">
        <v>447</v>
      </c>
      <c r="H399" s="39">
        <v>492</v>
      </c>
      <c r="I399" s="40">
        <f>=H399*1.05</f>
        <v>516.6</v>
      </c>
      <c r="J399" s="40">
        <f>=F399*2</f>
        <v>885.6</v>
      </c>
      <c r="K399" s="40">
        <f>=H399*2</f>
        <v>984</v>
      </c>
      <c r="L399" s="40">
        <f>=I399*2</f>
        <v>1033.2</v>
      </c>
      <c r="M399" s="41" t="s">
        <v>211</v>
      </c>
      <c r="N399" s="41">
        <v>1.4</v>
      </c>
      <c r="O399" s="41" t="s"/>
      <c r="P399" s="41">
        <v>3</v>
      </c>
      <c r="Q399" s="41">
        <v>3</v>
      </c>
      <c r="R399" s="41" t="s">
        <v>16</v>
      </c>
      <c r="S399" s="41" t="s">
        <v>137</v>
      </c>
      <c r="T399" s="41" t="s">
        <v>153</v>
      </c>
      <c r="U399" s="16" t="s">
        <v>13</v>
      </c>
      <c r="V399" s="16" t="s">
        <v>19</v>
      </c>
      <c r="W399" s="19" t="s"/>
      <c r="X399" s="26" t="s">
        <f>=M399&amp;N399&amp;P399&amp;Q399&amp;T399&amp;V399&amp;S399</f>
        <v>467</v>
      </c>
      <c r="Y399" s="19" t="s"/>
      <c r="Z399" s="19" t="s"/>
      <c r="AA399" s="19" t="s"/>
      <c r="AB399" s="19" t="s"/>
    </row>
    <row r="400" spans="1:28" ht="14.4">
      <c r="A400" s="4">
        <f>=H400/G400-1</f>
        <v>0.102564102564103</v>
      </c>
      <c r="B400" s="20">
        <f>=F400/12</f>
        <v>12.9</v>
      </c>
      <c r="C400" s="20">
        <f>=J400/3</f>
        <v>103.2</v>
      </c>
      <c r="D400" s="20">
        <f>=K400/3</f>
        <v>114.666666666667</v>
      </c>
      <c r="E400" s="20">
        <f>=L400/3</f>
        <v>120.4</v>
      </c>
      <c r="F400" s="20">
        <f>=H400*0.9</f>
        <v>154.8</v>
      </c>
      <c r="G400" s="21">
        <v>156</v>
      </c>
      <c r="H400" s="39">
        <v>172</v>
      </c>
      <c r="I400" s="40">
        <f>=H400*1.05</f>
        <v>180.6</v>
      </c>
      <c r="J400" s="40">
        <f>=F400*2</f>
        <v>309.6</v>
      </c>
      <c r="K400" s="40">
        <f>=H400*2</f>
        <v>344</v>
      </c>
      <c r="L400" s="40">
        <f>=I400*2</f>
        <v>361.2</v>
      </c>
      <c r="M400" s="41" t="s">
        <v>211</v>
      </c>
      <c r="N400" s="41">
        <v>1.4</v>
      </c>
      <c r="O400" s="41" t="s"/>
      <c r="P400" s="41" t="s">
        <v>21</v>
      </c>
      <c r="Q400" s="41" t="s">
        <v>21</v>
      </c>
      <c r="R400" s="41" t="s">
        <v>16</v>
      </c>
      <c r="S400" s="41" t="s">
        <v>137</v>
      </c>
      <c r="T400" s="41" t="s">
        <v>163</v>
      </c>
      <c r="U400" s="16" t="s">
        <v>13</v>
      </c>
      <c r="V400" s="16" t="s">
        <v>19</v>
      </c>
      <c r="W400" s="19" t="s"/>
      <c r="X400" s="26" t="s">
        <f>=M400&amp;N400&amp;P400&amp;Q400&amp;T400&amp;V400&amp;S400</f>
        <v>468</v>
      </c>
      <c r="Y400" s="19" t="s"/>
      <c r="Z400" s="19" t="s"/>
      <c r="AA400" s="19" t="s"/>
      <c r="AB400" s="19" t="s"/>
    </row>
    <row r="401" spans="1:28" ht="14.4">
      <c r="A401" s="4">
        <f>=H401/G401-1</f>
        <v>0.10126582278481</v>
      </c>
      <c r="B401" s="20">
        <f>=F401/12</f>
        <v>13.05</v>
      </c>
      <c r="C401" s="20">
        <f>=J401/3</f>
        <v>104.4</v>
      </c>
      <c r="D401" s="20">
        <f>=K401/3</f>
        <v>116</v>
      </c>
      <c r="E401" s="20">
        <f>=L401/3</f>
        <v>121.8</v>
      </c>
      <c r="F401" s="20">
        <f>=H401*0.9</f>
        <v>156.6</v>
      </c>
      <c r="G401" s="21">
        <v>158</v>
      </c>
      <c r="H401" s="39">
        <v>174</v>
      </c>
      <c r="I401" s="40">
        <f>=H401*1.05</f>
        <v>182.7</v>
      </c>
      <c r="J401" s="40">
        <f>=F401*2</f>
        <v>313.2</v>
      </c>
      <c r="K401" s="40">
        <f>=H401*2</f>
        <v>348</v>
      </c>
      <c r="L401" s="40">
        <f>=I401*2</f>
        <v>365.4</v>
      </c>
      <c r="M401" s="41" t="s">
        <v>211</v>
      </c>
      <c r="N401" s="41">
        <v>1.42</v>
      </c>
      <c r="O401" s="41" t="s"/>
      <c r="P401" s="41" t="s">
        <v>21</v>
      </c>
      <c r="Q401" s="41" t="s">
        <v>21</v>
      </c>
      <c r="R401" s="41" t="s">
        <v>16</v>
      </c>
      <c r="S401" s="41" t="s">
        <v>17</v>
      </c>
      <c r="T401" s="41" t="s">
        <v>171</v>
      </c>
      <c r="U401" s="16" t="s">
        <v>13</v>
      </c>
      <c r="V401" s="16" t="s">
        <v>19</v>
      </c>
      <c r="W401" s="19" t="s"/>
      <c r="X401" s="26" t="s">
        <f>=M401&amp;N401&amp;P401&amp;Q401&amp;T401&amp;V401&amp;S401</f>
        <v>469</v>
      </c>
      <c r="Y401" s="19" t="s"/>
      <c r="Z401" s="19" t="s"/>
      <c r="AA401" s="19" t="s"/>
      <c r="AB401" s="19" t="s"/>
    </row>
    <row r="402" spans="1:28" ht="14.4">
      <c r="A402" s="4">
        <f>=H402/G402-1</f>
        <v>0.100502512562814</v>
      </c>
      <c r="B402" s="20">
        <f>=F402/12</f>
        <v>16.425</v>
      </c>
      <c r="C402" s="20">
        <f>=J402/3</f>
        <v>131.4</v>
      </c>
      <c r="D402" s="20">
        <f>=K402/3</f>
        <v>146</v>
      </c>
      <c r="E402" s="20">
        <f>=L402/3</f>
        <v>153.3</v>
      </c>
      <c r="F402" s="20">
        <f>=H402*0.9</f>
        <v>197.1</v>
      </c>
      <c r="G402" s="21">
        <v>199</v>
      </c>
      <c r="H402" s="39">
        <v>219</v>
      </c>
      <c r="I402" s="40">
        <f>=H402*1.05</f>
        <v>229.95</v>
      </c>
      <c r="J402" s="40">
        <f>=F402*2</f>
        <v>394.2</v>
      </c>
      <c r="K402" s="40">
        <f>=H402*2</f>
        <v>438</v>
      </c>
      <c r="L402" s="40">
        <f>=I402*2</f>
        <v>459.9</v>
      </c>
      <c r="M402" s="41" t="s">
        <v>211</v>
      </c>
      <c r="N402" s="41">
        <v>1.45</v>
      </c>
      <c r="O402" s="41" t="s"/>
      <c r="P402" s="41">
        <v>1</v>
      </c>
      <c r="Q402" s="41">
        <v>1</v>
      </c>
      <c r="R402" s="41" t="s">
        <v>16</v>
      </c>
      <c r="S402" s="41" t="s">
        <v>137</v>
      </c>
      <c r="T402" s="41" t="s">
        <v>163</v>
      </c>
      <c r="U402" s="16" t="s">
        <v>13</v>
      </c>
      <c r="V402" s="16" t="s">
        <v>19</v>
      </c>
      <c r="W402" s="19" t="s"/>
      <c r="X402" s="26" t="s">
        <f>=M402&amp;N402&amp;P402&amp;Q402&amp;T402&amp;V402&amp;S402</f>
        <v>470</v>
      </c>
      <c r="Y402" s="19" t="s"/>
      <c r="Z402" s="19" t="s"/>
      <c r="AA402" s="19" t="s"/>
      <c r="AB402" s="19" t="s"/>
    </row>
    <row r="403" spans="1:28" ht="14.4">
      <c r="A403" s="4">
        <f>=H403/G403-1</f>
        <v>0</v>
      </c>
      <c r="B403" s="20">
        <f>=F403/12</f>
        <v>23.7</v>
      </c>
      <c r="C403" s="20">
        <f>=J403/3</f>
        <v>189.6</v>
      </c>
      <c r="D403" s="20">
        <f>=K403/3</f>
        <v>210.666666666667</v>
      </c>
      <c r="E403" s="20">
        <f>=L403/3</f>
        <v>221.2</v>
      </c>
      <c r="F403" s="20">
        <f>=H403*0.9</f>
        <v>284.4</v>
      </c>
      <c r="G403" s="21">
        <v>316</v>
      </c>
      <c r="H403" s="39">
        <v>316</v>
      </c>
      <c r="I403" s="40">
        <f>=H403*1.05</f>
        <v>331.8</v>
      </c>
      <c r="J403" s="40">
        <f>=F403*2</f>
        <v>568.8</v>
      </c>
      <c r="K403" s="40">
        <f>=H403*2</f>
        <v>632</v>
      </c>
      <c r="L403" s="40">
        <f>=I403*2</f>
        <v>663.6</v>
      </c>
      <c r="M403" s="41" t="s">
        <v>211</v>
      </c>
      <c r="N403" s="41">
        <v>1.45</v>
      </c>
      <c r="O403" s="41" t="s"/>
      <c r="P403" s="41" t="s">
        <v>471</v>
      </c>
      <c r="Q403" s="41" t="s">
        <v>471</v>
      </c>
      <c r="R403" s="41" t="s">
        <v>16</v>
      </c>
      <c r="S403" s="41" t="s">
        <v>137</v>
      </c>
      <c r="T403" s="41" t="s">
        <v>163</v>
      </c>
      <c r="U403" s="16" t="s">
        <v>13</v>
      </c>
      <c r="V403" s="16" t="s">
        <v>19</v>
      </c>
      <c r="W403" s="54">
        <v>46135</v>
      </c>
      <c r="X403" s="26" t="s">
        <f>=M403&amp;N403&amp;P403&amp;Q403&amp;T403&amp;V403&amp;S403</f>
        <v>472</v>
      </c>
      <c r="Y403" s="19" t="s"/>
      <c r="Z403" s="19" t="s"/>
      <c r="AA403" s="19" t="s"/>
      <c r="AB403" s="19" t="s"/>
    </row>
    <row r="404" spans="1:28" ht="14.4">
      <c r="A404" s="4">
        <f>=H404/G404-1</f>
        <v>0.10126582278481</v>
      </c>
      <c r="B404" s="20">
        <f>=F404/12</f>
        <v>26.1</v>
      </c>
      <c r="C404" s="20">
        <f>=J404/3</f>
        <v>208.8</v>
      </c>
      <c r="D404" s="20">
        <f>=K404/3</f>
        <v>232</v>
      </c>
      <c r="E404" s="20">
        <f>=L404/3</f>
        <v>243.6</v>
      </c>
      <c r="F404" s="20">
        <f>=H404*0.9</f>
        <v>313.2</v>
      </c>
      <c r="G404" s="21">
        <v>316</v>
      </c>
      <c r="H404" s="39">
        <v>348</v>
      </c>
      <c r="I404" s="40">
        <f>=H404*1.05</f>
        <v>365.4</v>
      </c>
      <c r="J404" s="40">
        <f>=F404*2</f>
        <v>626.4</v>
      </c>
      <c r="K404" s="40">
        <f>=H404*2</f>
        <v>696</v>
      </c>
      <c r="L404" s="40">
        <f>=I404*2</f>
        <v>730.8</v>
      </c>
      <c r="M404" s="41" t="s">
        <v>211</v>
      </c>
      <c r="N404" s="41">
        <v>1.45</v>
      </c>
      <c r="O404" s="41" t="s"/>
      <c r="P404" s="41">
        <v>2</v>
      </c>
      <c r="Q404" s="41">
        <v>2</v>
      </c>
      <c r="R404" s="41" t="s">
        <v>16</v>
      </c>
      <c r="S404" s="41" t="s">
        <v>137</v>
      </c>
      <c r="T404" s="41" t="s">
        <v>163</v>
      </c>
      <c r="U404" s="16" t="s">
        <v>13</v>
      </c>
      <c r="V404" s="16" t="s">
        <v>19</v>
      </c>
      <c r="W404" s="19" t="s"/>
      <c r="X404" s="26" t="s">
        <f>=M404&amp;N404&amp;P404&amp;Q404&amp;T404&amp;V404&amp;S404</f>
        <v>473</v>
      </c>
      <c r="Y404" s="19" t="s"/>
      <c r="Z404" s="19" t="s"/>
      <c r="AA404" s="19" t="s"/>
      <c r="AB404" s="19" t="s"/>
    </row>
    <row r="405" spans="1:28" ht="14.4">
      <c r="A405" s="4">
        <f>=H405/G405-1</f>
        <v>0.102857142857143</v>
      </c>
      <c r="B405" s="20">
        <f>=F405/12</f>
        <v>14.475</v>
      </c>
      <c r="C405" s="20">
        <f>=J405/3</f>
        <v>115.8</v>
      </c>
      <c r="D405" s="20">
        <f>=K405/3</f>
        <v>128.666666666667</v>
      </c>
      <c r="E405" s="20">
        <f>=L405/3</f>
        <v>135.1</v>
      </c>
      <c r="F405" s="20">
        <f>=H405*0.9</f>
        <v>173.7</v>
      </c>
      <c r="G405" s="21">
        <v>175</v>
      </c>
      <c r="H405" s="39">
        <v>193</v>
      </c>
      <c r="I405" s="40">
        <f>=H405*1.05</f>
        <v>202.65</v>
      </c>
      <c r="J405" s="40">
        <f>=F405*2</f>
        <v>347.4</v>
      </c>
      <c r="K405" s="40">
        <f>=H405*2</f>
        <v>386</v>
      </c>
      <c r="L405" s="40">
        <f>=I405*2</f>
        <v>405.3</v>
      </c>
      <c r="M405" s="41" t="s">
        <v>211</v>
      </c>
      <c r="N405" s="41">
        <v>1.45</v>
      </c>
      <c r="O405" s="41" t="s"/>
      <c r="P405" s="41" t="s">
        <v>21</v>
      </c>
      <c r="Q405" s="41" t="s">
        <v>21</v>
      </c>
      <c r="R405" s="41" t="s">
        <v>16</v>
      </c>
      <c r="S405" s="41" t="s">
        <v>137</v>
      </c>
      <c r="T405" s="41" t="s">
        <v>171</v>
      </c>
      <c r="U405" s="16" t="s">
        <v>13</v>
      </c>
      <c r="V405" s="16" t="s">
        <v>19</v>
      </c>
      <c r="W405" s="19" t="s"/>
      <c r="X405" s="26" t="s">
        <f>=M405&amp;N405&amp;P405&amp;Q405&amp;T405&amp;V405&amp;S405</f>
        <v>474</v>
      </c>
      <c r="Y405" s="19" t="s"/>
      <c r="Z405" s="19" t="s"/>
      <c r="AA405" s="19" t="s"/>
      <c r="AB405" s="19" t="s"/>
    </row>
    <row r="406" spans="1:28" ht="14.4">
      <c r="A406" s="4">
        <f>=H406/G406-1</f>
        <v>0.0990099009900991</v>
      </c>
      <c r="B406" s="20">
        <f>=F406/12</f>
        <v>16.65</v>
      </c>
      <c r="C406" s="20">
        <f>=J406/3</f>
        <v>133.2</v>
      </c>
      <c r="D406" s="20">
        <f>=K406/3</f>
        <v>148</v>
      </c>
      <c r="E406" s="20">
        <f>=L406/3</f>
        <v>155.4</v>
      </c>
      <c r="F406" s="20">
        <f>=H406*0.9</f>
        <v>199.8</v>
      </c>
      <c r="G406" s="21">
        <v>202</v>
      </c>
      <c r="H406" s="39">
        <v>222</v>
      </c>
      <c r="I406" s="40">
        <f>=H406*1.05</f>
        <v>233.1</v>
      </c>
      <c r="J406" s="40">
        <f>=F406*2</f>
        <v>399.6</v>
      </c>
      <c r="K406" s="40">
        <f>=H406*2</f>
        <v>444</v>
      </c>
      <c r="L406" s="40">
        <f>=I406*2</f>
        <v>466.2</v>
      </c>
      <c r="M406" s="41" t="s">
        <v>211</v>
      </c>
      <c r="N406" s="41">
        <v>1.5</v>
      </c>
      <c r="O406" s="41" t="s"/>
      <c r="P406" s="41">
        <v>1</v>
      </c>
      <c r="Q406" s="41">
        <v>1</v>
      </c>
      <c r="R406" s="41" t="s">
        <v>16</v>
      </c>
      <c r="S406" s="41" t="s">
        <v>137</v>
      </c>
      <c r="T406" s="41" t="s">
        <v>171</v>
      </c>
      <c r="U406" s="16" t="s">
        <v>13</v>
      </c>
      <c r="V406" s="16" t="s">
        <v>19</v>
      </c>
      <c r="W406" s="19" t="s"/>
      <c r="X406" s="26" t="s">
        <f>=M406&amp;N406&amp;P406&amp;Q406&amp;T406&amp;V406&amp;S406</f>
        <v>475</v>
      </c>
      <c r="Y406" s="19" t="s"/>
      <c r="Z406" s="19" t="s"/>
      <c r="AA406" s="19" t="s"/>
      <c r="AB406" s="19" t="s"/>
    </row>
    <row r="407" spans="1:28" ht="14.4">
      <c r="A407" s="4">
        <f>=H407/G407-1</f>
        <v>0.1</v>
      </c>
      <c r="B407" s="20">
        <f>=F407/12</f>
        <v>23.1</v>
      </c>
      <c r="C407" s="20">
        <f>=J407/3</f>
        <v>184.8</v>
      </c>
      <c r="D407" s="20">
        <f>=K407/3</f>
        <v>205.333333333333</v>
      </c>
      <c r="E407" s="20">
        <f>=L407/3</f>
        <v>215.6</v>
      </c>
      <c r="F407" s="20">
        <f>=H407*0.9</f>
        <v>277.2</v>
      </c>
      <c r="G407" s="21">
        <v>280</v>
      </c>
      <c r="H407" s="39">
        <v>308</v>
      </c>
      <c r="I407" s="40">
        <f>=H407*1.05</f>
        <v>323.4</v>
      </c>
      <c r="J407" s="40">
        <f>=F407*2</f>
        <v>554.4</v>
      </c>
      <c r="K407" s="40">
        <f>=H407*2</f>
        <v>616</v>
      </c>
      <c r="L407" s="40">
        <f>=I407*2</f>
        <v>646.8</v>
      </c>
      <c r="M407" s="41" t="s">
        <v>211</v>
      </c>
      <c r="N407" s="41">
        <v>1.5</v>
      </c>
      <c r="O407" s="41" t="s"/>
      <c r="P407" s="41">
        <v>1.5</v>
      </c>
      <c r="Q407" s="41">
        <v>1.5</v>
      </c>
      <c r="R407" s="41" t="s">
        <v>16</v>
      </c>
      <c r="S407" s="41" t="s">
        <v>137</v>
      </c>
      <c r="T407" s="41" t="s">
        <v>171</v>
      </c>
      <c r="U407" s="16" t="s">
        <v>13</v>
      </c>
      <c r="V407" s="16" t="s">
        <v>19</v>
      </c>
      <c r="W407" s="19" t="s"/>
      <c r="X407" s="26" t="s">
        <f>=M407&amp;N407&amp;P407&amp;Q407&amp;T407&amp;V407&amp;S407</f>
        <v>476</v>
      </c>
      <c r="Y407" s="19" t="s"/>
      <c r="Z407" s="19" t="s"/>
      <c r="AA407" s="19" t="s"/>
      <c r="AB407" s="19" t="s"/>
    </row>
    <row r="408" spans="1:28" ht="14.4">
      <c r="A408" s="4">
        <f>=H408/G408-1</f>
        <v>0.100946372239748</v>
      </c>
      <c r="B408" s="20">
        <f>=F408/12</f>
        <v>26.175</v>
      </c>
      <c r="C408" s="20">
        <f>=J408/3</f>
        <v>209.4</v>
      </c>
      <c r="D408" s="20">
        <f>=K408/3</f>
        <v>232.666666666667</v>
      </c>
      <c r="E408" s="20">
        <f>=L408/3</f>
        <v>244.3</v>
      </c>
      <c r="F408" s="20">
        <f>=H408*0.9</f>
        <v>314.1</v>
      </c>
      <c r="G408" s="21">
        <v>317</v>
      </c>
      <c r="H408" s="39">
        <v>349</v>
      </c>
      <c r="I408" s="40">
        <f>=H408*1.05</f>
        <v>366.45</v>
      </c>
      <c r="J408" s="40">
        <f>=F408*2</f>
        <v>628.2</v>
      </c>
      <c r="K408" s="40">
        <f>=H408*2</f>
        <v>698</v>
      </c>
      <c r="L408" s="40">
        <f>=I408*2</f>
        <v>732.9</v>
      </c>
      <c r="M408" s="41" t="s">
        <v>211</v>
      </c>
      <c r="N408" s="41">
        <v>1.5</v>
      </c>
      <c r="O408" s="41" t="s"/>
      <c r="P408" s="41">
        <v>2</v>
      </c>
      <c r="Q408" s="41">
        <v>2</v>
      </c>
      <c r="R408" s="41" t="s">
        <v>16</v>
      </c>
      <c r="S408" s="41" t="s">
        <v>137</v>
      </c>
      <c r="T408" s="41" t="s">
        <v>163</v>
      </c>
      <c r="U408" s="16" t="s">
        <v>13</v>
      </c>
      <c r="V408" s="16" t="s">
        <v>19</v>
      </c>
      <c r="W408" s="19" t="s"/>
      <c r="X408" s="26" t="s">
        <f>=M408&amp;N408&amp;P408&amp;Q408&amp;T408&amp;V408&amp;S408</f>
        <v>477</v>
      </c>
      <c r="Y408" s="19" t="s"/>
      <c r="Z408" s="19" t="s"/>
      <c r="AA408" s="19" t="s"/>
      <c r="AB408" s="19" t="s"/>
    </row>
    <row r="409" spans="1:28" ht="14.4">
      <c r="A409" s="4">
        <f>=H409/G409-1</f>
        <v>0.0997732426303855</v>
      </c>
      <c r="B409" s="20">
        <f>=F409/12</f>
        <v>36.375</v>
      </c>
      <c r="C409" s="20">
        <f>=J409/3</f>
        <v>291</v>
      </c>
      <c r="D409" s="20">
        <f>=K409/3</f>
        <v>323.333333333333</v>
      </c>
      <c r="E409" s="20">
        <f>=L409/3</f>
        <v>339.5</v>
      </c>
      <c r="F409" s="20">
        <f>=H409*0.9</f>
        <v>436.5</v>
      </c>
      <c r="G409" s="21">
        <v>441</v>
      </c>
      <c r="H409" s="39">
        <v>485</v>
      </c>
      <c r="I409" s="40">
        <f>=H409*1.05</f>
        <v>509.25</v>
      </c>
      <c r="J409" s="40">
        <f>=F409*2</f>
        <v>873</v>
      </c>
      <c r="K409" s="40">
        <f>=H409*2</f>
        <v>970</v>
      </c>
      <c r="L409" s="40">
        <f>=I409*2</f>
        <v>1018.5</v>
      </c>
      <c r="M409" s="41" t="s">
        <v>211</v>
      </c>
      <c r="N409" s="41">
        <v>1.5</v>
      </c>
      <c r="O409" s="41" t="s"/>
      <c r="P409" s="41">
        <v>2.5</v>
      </c>
      <c r="Q409" s="41">
        <v>2.5</v>
      </c>
      <c r="R409" s="41" t="s">
        <v>16</v>
      </c>
      <c r="S409" s="41" t="s">
        <v>137</v>
      </c>
      <c r="T409" s="41" t="s">
        <v>163</v>
      </c>
      <c r="U409" s="16" t="s">
        <v>13</v>
      </c>
      <c r="V409" s="16" t="s">
        <v>19</v>
      </c>
      <c r="W409" s="19" t="s"/>
      <c r="X409" s="26" t="s">
        <f>=M409&amp;N409&amp;P409&amp;Q409&amp;T409&amp;V409&amp;S409</f>
        <v>478</v>
      </c>
      <c r="Y409" s="19" t="s"/>
      <c r="Z409" s="19" t="s"/>
      <c r="AA409" s="19" t="s"/>
      <c r="AB409" s="19" t="s"/>
    </row>
    <row r="410" spans="1:28" ht="14.4">
      <c r="A410" s="4">
        <f>=H410/G410-1</f>
        <v>0.100671140939597</v>
      </c>
      <c r="B410" s="20">
        <f>=F410/12</f>
        <v>36.9</v>
      </c>
      <c r="C410" s="20">
        <f>=J410/3</f>
        <v>295.2</v>
      </c>
      <c r="D410" s="20">
        <f>=K410/3</f>
        <v>328</v>
      </c>
      <c r="E410" s="20">
        <f>=L410/3</f>
        <v>344.4</v>
      </c>
      <c r="F410" s="20">
        <f>=H410*0.9</f>
        <v>442.8</v>
      </c>
      <c r="G410" s="21">
        <v>447</v>
      </c>
      <c r="H410" s="39">
        <v>492</v>
      </c>
      <c r="I410" s="40">
        <f>=H410*1.05</f>
        <v>516.6</v>
      </c>
      <c r="J410" s="40">
        <f>=F410*2</f>
        <v>885.6</v>
      </c>
      <c r="K410" s="40">
        <f>=H410*2</f>
        <v>984</v>
      </c>
      <c r="L410" s="40">
        <f>=I410*2</f>
        <v>1033.2</v>
      </c>
      <c r="M410" s="41" t="s">
        <v>211</v>
      </c>
      <c r="N410" s="41">
        <v>1.5</v>
      </c>
      <c r="O410" s="41" t="s"/>
      <c r="P410" s="41">
        <v>3</v>
      </c>
      <c r="Q410" s="41">
        <v>3</v>
      </c>
      <c r="R410" s="41" t="s">
        <v>16</v>
      </c>
      <c r="S410" s="41" t="s">
        <v>137</v>
      </c>
      <c r="T410" s="41" t="s">
        <v>163</v>
      </c>
      <c r="U410" s="16" t="s">
        <v>13</v>
      </c>
      <c r="V410" s="16" t="s">
        <v>19</v>
      </c>
      <c r="W410" s="19" t="s"/>
      <c r="X410" s="26" t="s">
        <f>=M410&amp;N410&amp;P410&amp;Q410&amp;T410&amp;V410&amp;S410</f>
        <v>479</v>
      </c>
      <c r="Y410" s="19" t="s"/>
      <c r="Z410" s="19" t="s"/>
      <c r="AA410" s="19" t="s"/>
      <c r="AB410" s="19" t="s"/>
    </row>
    <row r="411" spans="1:28" ht="14.4">
      <c r="A411" s="4">
        <f>=H411/G411-1</f>
        <v>0.100709219858156</v>
      </c>
      <c r="B411" s="20">
        <f>=F411/12</f>
        <v>58.2</v>
      </c>
      <c r="C411" s="20">
        <f>=J411/3</f>
        <v>465.6</v>
      </c>
      <c r="D411" s="20">
        <f>=K411/3</f>
        <v>517.333333333334</v>
      </c>
      <c r="E411" s="20">
        <f>=L411/3</f>
        <v>543.2</v>
      </c>
      <c r="F411" s="20">
        <f>=H411*0.9</f>
        <v>698.4</v>
      </c>
      <c r="G411" s="21">
        <v>705</v>
      </c>
      <c r="H411" s="39">
        <v>776</v>
      </c>
      <c r="I411" s="40">
        <f>=H411*1.05</f>
        <v>814.8</v>
      </c>
      <c r="J411" s="40">
        <f>=F411*2</f>
        <v>1396.8</v>
      </c>
      <c r="K411" s="40">
        <f>=H411*2</f>
        <v>1552</v>
      </c>
      <c r="L411" s="40">
        <f>=I411*2</f>
        <v>1629.6</v>
      </c>
      <c r="M411" s="41" t="s">
        <v>211</v>
      </c>
      <c r="N411" s="41">
        <v>1.5</v>
      </c>
      <c r="O411" s="41" t="s"/>
      <c r="P411" s="41">
        <v>4</v>
      </c>
      <c r="Q411" s="41">
        <v>4</v>
      </c>
      <c r="R411" s="41" t="s">
        <v>16</v>
      </c>
      <c r="S411" s="41" t="s">
        <v>137</v>
      </c>
      <c r="T411" s="41" t="s">
        <v>163</v>
      </c>
      <c r="U411" s="16" t="s">
        <v>13</v>
      </c>
      <c r="V411" s="16" t="s">
        <v>19</v>
      </c>
      <c r="W411" s="19" t="s"/>
      <c r="X411" s="26" t="s">
        <f>=M411&amp;N411&amp;P411&amp;Q411&amp;T411&amp;V411&amp;S411</f>
        <v>480</v>
      </c>
      <c r="Y411" s="19" t="s"/>
      <c r="Z411" s="19" t="s"/>
      <c r="AA411" s="19" t="s"/>
      <c r="AB411" s="19" t="s"/>
    </row>
    <row r="412" spans="1:28" ht="14.4">
      <c r="A412" s="4">
        <f>=H412/G412-1</f>
        <v>0.0994152046783625</v>
      </c>
      <c r="B412" s="20">
        <f>=F412/12</f>
        <v>14.1</v>
      </c>
      <c r="C412" s="20">
        <f>=J412/3</f>
        <v>112.8</v>
      </c>
      <c r="D412" s="20">
        <f>=K412/3</f>
        <v>125.333333333333</v>
      </c>
      <c r="E412" s="20">
        <f>=L412/3</f>
        <v>131.6</v>
      </c>
      <c r="F412" s="20">
        <f>=H412*0.9</f>
        <v>169.2</v>
      </c>
      <c r="G412" s="21">
        <v>171</v>
      </c>
      <c r="H412" s="39">
        <v>188</v>
      </c>
      <c r="I412" s="40">
        <f>=H412*1.05</f>
        <v>197.4</v>
      </c>
      <c r="J412" s="40">
        <f>=F412*2</f>
        <v>338.4</v>
      </c>
      <c r="K412" s="40">
        <f>=H412*2</f>
        <v>376</v>
      </c>
      <c r="L412" s="40">
        <f>=I412*2</f>
        <v>394.8</v>
      </c>
      <c r="M412" s="41" t="s">
        <v>211</v>
      </c>
      <c r="N412" s="41">
        <v>1.5</v>
      </c>
      <c r="O412" s="41" t="s"/>
      <c r="P412" s="41" t="s">
        <v>21</v>
      </c>
      <c r="Q412" s="41" t="s">
        <v>21</v>
      </c>
      <c r="R412" s="41" t="s">
        <v>16</v>
      </c>
      <c r="S412" s="41" t="s">
        <v>137</v>
      </c>
      <c r="T412" s="41" t="s">
        <v>171</v>
      </c>
      <c r="U412" s="16" t="s">
        <v>13</v>
      </c>
      <c r="V412" s="16" t="s">
        <v>19</v>
      </c>
      <c r="W412" s="19" t="s"/>
      <c r="X412" s="26" t="s">
        <f>=M412&amp;N412&amp;P412&amp;Q412&amp;T412&amp;V412&amp;S412</f>
        <v>481</v>
      </c>
      <c r="Y412" s="19" t="s"/>
      <c r="Z412" s="19" t="s"/>
      <c r="AA412" s="19" t="s"/>
      <c r="AB412" s="19" t="s"/>
    </row>
    <row r="413" spans="1:28" ht="14.4">
      <c r="A413" s="4">
        <f>=H413/G413-1</f>
        <v>0.0993788819875776</v>
      </c>
      <c r="B413" s="20">
        <f>=F413/12</f>
        <v>13.275</v>
      </c>
      <c r="C413" s="20">
        <f>=J413/3</f>
        <v>106.2</v>
      </c>
      <c r="D413" s="20">
        <f>=K413/3</f>
        <v>118</v>
      </c>
      <c r="E413" s="20">
        <f>=L413/3</f>
        <v>123.9</v>
      </c>
      <c r="F413" s="20">
        <f>=H413*0.9</f>
        <v>159.3</v>
      </c>
      <c r="G413" s="21">
        <v>161</v>
      </c>
      <c r="H413" s="39">
        <v>177</v>
      </c>
      <c r="I413" s="40">
        <f>=H413*1.05</f>
        <v>185.85</v>
      </c>
      <c r="J413" s="40">
        <f>=F413*2</f>
        <v>318.6</v>
      </c>
      <c r="K413" s="40">
        <f>=H413*2</f>
        <v>354</v>
      </c>
      <c r="L413" s="40">
        <f>=I413*2</f>
        <v>371.7</v>
      </c>
      <c r="M413" s="41" t="s">
        <v>211</v>
      </c>
      <c r="N413" s="41">
        <v>1.5</v>
      </c>
      <c r="O413" s="41" t="s"/>
      <c r="P413" s="41" t="s">
        <v>452</v>
      </c>
      <c r="Q413" s="41" t="s">
        <v>452</v>
      </c>
      <c r="R413" s="41" t="s">
        <v>16</v>
      </c>
      <c r="S413" s="41" t="s">
        <v>137</v>
      </c>
      <c r="T413" s="41" t="s">
        <v>171</v>
      </c>
      <c r="U413" s="16" t="s">
        <v>13</v>
      </c>
      <c r="V413" s="16" t="s">
        <v>19</v>
      </c>
      <c r="W413" s="19" t="s"/>
      <c r="X413" s="34" t="s">
        <f>=M413&amp;N413&amp;P413&amp;Q413&amp;T413&amp;V413&amp;S413</f>
        <v>482</v>
      </c>
      <c r="Y413" s="19" t="s"/>
      <c r="Z413" s="19" t="s"/>
      <c r="AA413" s="19" t="s"/>
      <c r="AB413" s="19" t="s"/>
    </row>
    <row r="414" spans="1:28" ht="14.4">
      <c r="A414" s="4">
        <f>=H414/G414-1</f>
        <v>0.0994475138121547</v>
      </c>
      <c r="B414" s="20">
        <f>=F414/12</f>
        <v>14.925</v>
      </c>
      <c r="C414" s="20">
        <f>=J414/3</f>
        <v>119.4</v>
      </c>
      <c r="D414" s="20">
        <f>=K414/3</f>
        <v>132.666666666667</v>
      </c>
      <c r="E414" s="20">
        <f>=L414/3</f>
        <v>139.3</v>
      </c>
      <c r="F414" s="20">
        <f>=H414*0.9</f>
        <v>179.1</v>
      </c>
      <c r="G414" s="21">
        <v>181</v>
      </c>
      <c r="H414" s="39">
        <v>199</v>
      </c>
      <c r="I414" s="40">
        <f>=H414*1.05</f>
        <v>208.95</v>
      </c>
      <c r="J414" s="40">
        <f>=F414*2</f>
        <v>358.2</v>
      </c>
      <c r="K414" s="40">
        <f>=H414*2</f>
        <v>398</v>
      </c>
      <c r="L414" s="40">
        <f>=I414*2</f>
        <v>417.9</v>
      </c>
      <c r="M414" s="41" t="s">
        <v>211</v>
      </c>
      <c r="N414" s="41">
        <v>1.6</v>
      </c>
      <c r="O414" s="41" t="s"/>
      <c r="P414" s="41">
        <v>1</v>
      </c>
      <c r="Q414" s="41">
        <v>0</v>
      </c>
      <c r="R414" s="41" t="s">
        <v>16</v>
      </c>
      <c r="S414" s="41" t="s">
        <v>137</v>
      </c>
      <c r="T414" s="41" t="s">
        <v>171</v>
      </c>
      <c r="U414" s="16" t="s">
        <v>13</v>
      </c>
      <c r="V414" s="16" t="s">
        <v>19</v>
      </c>
      <c r="W414" s="19" t="s"/>
      <c r="X414" s="26" t="s">
        <f>=M414&amp;N414&amp;P414&amp;Q414&amp;T414&amp;V414&amp;S414</f>
        <v>483</v>
      </c>
      <c r="Y414" s="19" t="s"/>
      <c r="Z414" s="19" t="s"/>
      <c r="AA414" s="19" t="s"/>
      <c r="AB414" s="19" t="s"/>
    </row>
    <row r="415" spans="1:28" ht="14.4">
      <c r="A415" s="4">
        <f>=H415/G415-1</f>
        <v>0.099056603773585</v>
      </c>
      <c r="B415" s="20">
        <f>=F415/12</f>
        <v>17.475</v>
      </c>
      <c r="C415" s="20">
        <f>=J415/3</f>
        <v>139.8</v>
      </c>
      <c r="D415" s="20">
        <f>=K415/3</f>
        <v>155.333333333333</v>
      </c>
      <c r="E415" s="20">
        <f>=L415/3</f>
        <v>163.1</v>
      </c>
      <c r="F415" s="20">
        <f>=H415*0.9</f>
        <v>209.7</v>
      </c>
      <c r="G415" s="21">
        <v>212</v>
      </c>
      <c r="H415" s="39">
        <v>233</v>
      </c>
      <c r="I415" s="40">
        <f>=H415*1.05</f>
        <v>244.65</v>
      </c>
      <c r="J415" s="40">
        <f>=F415*2</f>
        <v>419.4</v>
      </c>
      <c r="K415" s="40">
        <f>=H415*2</f>
        <v>466</v>
      </c>
      <c r="L415" s="40">
        <f>=I415*2</f>
        <v>489.3</v>
      </c>
      <c r="M415" s="41" t="s">
        <v>211</v>
      </c>
      <c r="N415" s="41">
        <v>1.6</v>
      </c>
      <c r="O415" s="41" t="s"/>
      <c r="P415" s="41">
        <v>1</v>
      </c>
      <c r="Q415" s="41">
        <v>1</v>
      </c>
      <c r="R415" s="41" t="s">
        <v>16</v>
      </c>
      <c r="S415" s="41" t="s">
        <v>137</v>
      </c>
      <c r="T415" s="41" t="s">
        <v>171</v>
      </c>
      <c r="U415" s="16" t="s">
        <v>13</v>
      </c>
      <c r="V415" s="16" t="s">
        <v>19</v>
      </c>
      <c r="W415" s="19" t="s"/>
      <c r="X415" s="26" t="s">
        <f>=M415&amp;N415&amp;P415&amp;Q415&amp;T415&amp;V415&amp;S415</f>
        <v>484</v>
      </c>
      <c r="Y415" s="19" t="s"/>
      <c r="Z415" s="19" t="s"/>
      <c r="AA415" s="19" t="s"/>
      <c r="AB415" s="19" t="s"/>
    </row>
    <row r="416" spans="1:28" ht="14.4">
      <c r="A416" s="4">
        <f>=H416/G416-1</f>
        <v>0.101226993865031</v>
      </c>
      <c r="B416" s="20">
        <f>=F416/12</f>
        <v>26.925</v>
      </c>
      <c r="C416" s="20">
        <f>=J416/3</f>
        <v>215.4</v>
      </c>
      <c r="D416" s="20">
        <f>=K416/3</f>
        <v>239.333333333333</v>
      </c>
      <c r="E416" s="20">
        <f>=L416/3</f>
        <v>251.3</v>
      </c>
      <c r="F416" s="20">
        <f>=H416*0.9</f>
        <v>323.1</v>
      </c>
      <c r="G416" s="21">
        <v>326</v>
      </c>
      <c r="H416" s="39">
        <v>359</v>
      </c>
      <c r="I416" s="40">
        <f>=H416*1.05</f>
        <v>376.95</v>
      </c>
      <c r="J416" s="40">
        <f>=F416*2</f>
        <v>646.2</v>
      </c>
      <c r="K416" s="40">
        <f>=H416*2</f>
        <v>718</v>
      </c>
      <c r="L416" s="40">
        <f>=I416*2</f>
        <v>753.9</v>
      </c>
      <c r="M416" s="41" t="s">
        <v>211</v>
      </c>
      <c r="N416" s="41">
        <v>1.6</v>
      </c>
      <c r="O416" s="41" t="s"/>
      <c r="P416" s="41">
        <v>2</v>
      </c>
      <c r="Q416" s="41">
        <v>2</v>
      </c>
      <c r="R416" s="41" t="s">
        <v>16</v>
      </c>
      <c r="S416" s="41" t="s">
        <v>137</v>
      </c>
      <c r="T416" s="41" t="s">
        <v>171</v>
      </c>
      <c r="U416" s="16" t="s">
        <v>13</v>
      </c>
      <c r="V416" s="16" t="s">
        <v>19</v>
      </c>
      <c r="W416" s="19" t="s"/>
      <c r="X416" s="26" t="s">
        <f>=M416&amp;N416&amp;P416&amp;Q416&amp;T416&amp;V416&amp;S416</f>
        <v>485</v>
      </c>
      <c r="Y416" s="19" t="s"/>
      <c r="Z416" s="19" t="s"/>
      <c r="AA416" s="19" t="s"/>
      <c r="AB416" s="19" t="s"/>
    </row>
    <row r="417" spans="1:28" ht="14.4">
      <c r="A417" s="4">
        <f>=H417/G417-1</f>
        <v>0.0995762711864408</v>
      </c>
      <c r="B417" s="20">
        <f>=F417/12</f>
        <v>38.925</v>
      </c>
      <c r="C417" s="20">
        <f>=J417/3</f>
        <v>311.4</v>
      </c>
      <c r="D417" s="20">
        <f>=K417/3</f>
        <v>346</v>
      </c>
      <c r="E417" s="20">
        <f>=L417/3</f>
        <v>363.3</v>
      </c>
      <c r="F417" s="20">
        <f>=H417*0.9</f>
        <v>467.1</v>
      </c>
      <c r="G417" s="21">
        <v>472</v>
      </c>
      <c r="H417" s="39">
        <v>519</v>
      </c>
      <c r="I417" s="40">
        <f>=H417*1.05</f>
        <v>544.95</v>
      </c>
      <c r="J417" s="40">
        <f>=F417*2</f>
        <v>934.2</v>
      </c>
      <c r="K417" s="40">
        <f>=H417*2</f>
        <v>1038</v>
      </c>
      <c r="L417" s="40">
        <f>=I417*2</f>
        <v>1089.9</v>
      </c>
      <c r="M417" s="41" t="s">
        <v>211</v>
      </c>
      <c r="N417" s="41">
        <v>1.6</v>
      </c>
      <c r="O417" s="41" t="s"/>
      <c r="P417" s="41">
        <v>3</v>
      </c>
      <c r="Q417" s="41">
        <v>3</v>
      </c>
      <c r="R417" s="41" t="s">
        <v>16</v>
      </c>
      <c r="S417" s="41" t="s">
        <v>137</v>
      </c>
      <c r="T417" s="41" t="s">
        <v>163</v>
      </c>
      <c r="U417" s="16" t="s">
        <v>13</v>
      </c>
      <c r="V417" s="16" t="s">
        <v>19</v>
      </c>
      <c r="W417" s="19" t="s"/>
      <c r="X417" s="26" t="s">
        <f>=M417&amp;N417&amp;P417&amp;Q417&amp;T417&amp;V417&amp;S417</f>
        <v>486</v>
      </c>
      <c r="Y417" s="19" t="s"/>
      <c r="Z417" s="19" t="s"/>
      <c r="AA417" s="19" t="s"/>
      <c r="AB417" s="19" t="s"/>
    </row>
    <row r="418" spans="1:28" ht="14.4">
      <c r="A418" s="4">
        <f>=H418/G418-1</f>
        <v>0.100709219858156</v>
      </c>
      <c r="B418" s="20">
        <f>=F418/12</f>
        <v>58.2</v>
      </c>
      <c r="C418" s="20">
        <f>=J418/3</f>
        <v>465.6</v>
      </c>
      <c r="D418" s="20">
        <f>=K418/3</f>
        <v>517.333333333334</v>
      </c>
      <c r="E418" s="20">
        <f>=L418/3</f>
        <v>543.2</v>
      </c>
      <c r="F418" s="20">
        <f>=H418*0.9</f>
        <v>698.4</v>
      </c>
      <c r="G418" s="21">
        <v>705</v>
      </c>
      <c r="H418" s="39">
        <v>776</v>
      </c>
      <c r="I418" s="40">
        <f>=H418*1.05</f>
        <v>814.8</v>
      </c>
      <c r="J418" s="40">
        <f>=F418*2</f>
        <v>1396.8</v>
      </c>
      <c r="K418" s="40">
        <f>=H418*2</f>
        <v>1552</v>
      </c>
      <c r="L418" s="40">
        <f>=I418*2</f>
        <v>1629.6</v>
      </c>
      <c r="M418" s="41" t="s">
        <v>211</v>
      </c>
      <c r="N418" s="41">
        <v>1.6</v>
      </c>
      <c r="O418" s="41" t="s"/>
      <c r="P418" s="41">
        <v>4</v>
      </c>
      <c r="Q418" s="41">
        <v>4</v>
      </c>
      <c r="R418" s="41" t="s">
        <v>16</v>
      </c>
      <c r="S418" s="41" t="s">
        <v>137</v>
      </c>
      <c r="T418" s="41" t="s">
        <v>163</v>
      </c>
      <c r="U418" s="16" t="s">
        <v>13</v>
      </c>
      <c r="V418" s="16" t="s">
        <v>19</v>
      </c>
      <c r="W418" s="19" t="s"/>
      <c r="X418" s="26" t="s">
        <f>=M418&amp;N418&amp;P418&amp;Q418&amp;T418&amp;V418&amp;S418</f>
        <v>487</v>
      </c>
      <c r="Y418" s="19" t="s"/>
      <c r="Z418" s="19" t="s"/>
      <c r="AA418" s="19" t="s"/>
      <c r="AB418" s="19" t="s"/>
    </row>
    <row r="419" spans="1:28" ht="14.4">
      <c r="A419" s="4">
        <f>=H419/G419-1</f>
        <v>0.0994152046783625</v>
      </c>
      <c r="B419" s="20">
        <f>=F419/12</f>
        <v>14.1</v>
      </c>
      <c r="C419" s="20">
        <f>=J419/3</f>
        <v>112.8</v>
      </c>
      <c r="D419" s="20">
        <f>=K419/3</f>
        <v>125.333333333333</v>
      </c>
      <c r="E419" s="20">
        <f>=L419/3</f>
        <v>131.6</v>
      </c>
      <c r="F419" s="20">
        <f>=H419*0.9</f>
        <v>169.2</v>
      </c>
      <c r="G419" s="21">
        <v>171</v>
      </c>
      <c r="H419" s="39">
        <v>188</v>
      </c>
      <c r="I419" s="40">
        <f>=H419*1.05</f>
        <v>197.4</v>
      </c>
      <c r="J419" s="40">
        <f>=F419*2</f>
        <v>338.4</v>
      </c>
      <c r="K419" s="40">
        <f>=H419*2</f>
        <v>376</v>
      </c>
      <c r="L419" s="40">
        <f>=I419*2</f>
        <v>394.8</v>
      </c>
      <c r="M419" s="41" t="s">
        <v>211</v>
      </c>
      <c r="N419" s="41">
        <v>1.6</v>
      </c>
      <c r="O419" s="41" t="s"/>
      <c r="P419" s="41" t="s">
        <v>21</v>
      </c>
      <c r="Q419" s="41" t="s">
        <v>21</v>
      </c>
      <c r="R419" s="41" t="s">
        <v>16</v>
      </c>
      <c r="S419" s="41" t="s">
        <v>137</v>
      </c>
      <c r="T419" s="41" t="s">
        <v>171</v>
      </c>
      <c r="U419" s="16" t="s">
        <v>13</v>
      </c>
      <c r="V419" s="16" t="s">
        <v>19</v>
      </c>
      <c r="W419" s="19" t="s"/>
      <c r="X419" s="26" t="s">
        <f>=M419&amp;N419&amp;P419&amp;Q419&amp;T419&amp;V419&amp;S419</f>
        <v>488</v>
      </c>
      <c r="Y419" s="19" t="s"/>
      <c r="Z419" s="19" t="s"/>
      <c r="AA419" s="19" t="s"/>
      <c r="AB419" s="19" t="s"/>
    </row>
    <row r="420" spans="1:28" ht="14.4">
      <c r="A420" s="4">
        <f>=H420/G420-1</f>
        <v>0.101694915254237</v>
      </c>
      <c r="B420" s="20">
        <f>=F420/12</f>
        <v>19.5</v>
      </c>
      <c r="C420" s="20">
        <f>=J420/3</f>
        <v>156</v>
      </c>
      <c r="D420" s="20">
        <f>=K420/3</f>
        <v>173.333333333333</v>
      </c>
      <c r="E420" s="20">
        <f>=L420/3</f>
        <v>182</v>
      </c>
      <c r="F420" s="20">
        <f>=H420*0.9</f>
        <v>234</v>
      </c>
      <c r="G420" s="21">
        <v>236</v>
      </c>
      <c r="H420" s="39">
        <v>260</v>
      </c>
      <c r="I420" s="40">
        <f>=H420*1.05</f>
        <v>273</v>
      </c>
      <c r="J420" s="40">
        <f>=F420*2</f>
        <v>468</v>
      </c>
      <c r="K420" s="40">
        <f>=H420*2</f>
        <v>520</v>
      </c>
      <c r="L420" s="40">
        <f>=I420*2</f>
        <v>546</v>
      </c>
      <c r="M420" s="41" t="s">
        <v>211</v>
      </c>
      <c r="N420" s="41">
        <v>1.7</v>
      </c>
      <c r="O420" s="41" t="s"/>
      <c r="P420" s="41">
        <v>1</v>
      </c>
      <c r="Q420" s="41">
        <v>1</v>
      </c>
      <c r="R420" s="41" t="s">
        <v>16</v>
      </c>
      <c r="S420" s="41" t="s">
        <v>137</v>
      </c>
      <c r="T420" s="41" t="s">
        <v>186</v>
      </c>
      <c r="U420" s="16" t="s">
        <v>13</v>
      </c>
      <c r="V420" s="16" t="s">
        <v>19</v>
      </c>
      <c r="W420" s="19" t="s"/>
      <c r="X420" s="26" t="s">
        <f>=M420&amp;N420&amp;P420&amp;Q420&amp;T420&amp;V420&amp;S420</f>
        <v>489</v>
      </c>
      <c r="Y420" s="19" t="s"/>
      <c r="Z420" s="19" t="s"/>
      <c r="AA420" s="19" t="s"/>
      <c r="AB420" s="19" t="s"/>
    </row>
    <row r="421" spans="1:28" ht="14.4">
      <c r="A421" s="4">
        <f>=H421/G421-1</f>
        <v>0.097938144329897</v>
      </c>
      <c r="B421" s="20">
        <f>=F421/12</f>
        <v>15.975</v>
      </c>
      <c r="C421" s="20">
        <f>=J421/3</f>
        <v>127.8</v>
      </c>
      <c r="D421" s="20">
        <f>=K421/3</f>
        <v>142</v>
      </c>
      <c r="E421" s="20">
        <f>=L421/3</f>
        <v>149.1</v>
      </c>
      <c r="F421" s="20">
        <f>=H421*0.9</f>
        <v>191.7</v>
      </c>
      <c r="G421" s="21">
        <v>194</v>
      </c>
      <c r="H421" s="39">
        <v>213</v>
      </c>
      <c r="I421" s="40">
        <f>=H421*1.05</f>
        <v>223.65</v>
      </c>
      <c r="J421" s="40">
        <f>=F421*2</f>
        <v>383.4</v>
      </c>
      <c r="K421" s="40">
        <f>=H421*2</f>
        <v>426</v>
      </c>
      <c r="L421" s="40">
        <f>=I421*2</f>
        <v>447.3</v>
      </c>
      <c r="M421" s="41" t="s">
        <v>211</v>
      </c>
      <c r="N421" s="41">
        <v>1.7</v>
      </c>
      <c r="O421" s="41" t="s"/>
      <c r="P421" s="41" t="s">
        <v>21</v>
      </c>
      <c r="Q421" s="41" t="s">
        <v>21</v>
      </c>
      <c r="R421" s="41" t="s">
        <v>16</v>
      </c>
      <c r="S421" s="41" t="s">
        <v>137</v>
      </c>
      <c r="T421" s="41" t="s">
        <v>186</v>
      </c>
      <c r="U421" s="16" t="s">
        <v>13</v>
      </c>
      <c r="V421" s="16" t="s">
        <v>19</v>
      </c>
      <c r="W421" s="19" t="s"/>
      <c r="X421" s="26" t="s">
        <f>=M421&amp;N421&amp;P421&amp;Q421&amp;T421&amp;V421&amp;S421</f>
        <v>490</v>
      </c>
      <c r="Y421" s="19" t="s"/>
      <c r="Z421" s="19" t="s"/>
      <c r="AA421" s="19" t="s"/>
      <c r="AB421" s="19" t="s"/>
    </row>
    <row r="422" spans="1:28" ht="14.4">
      <c r="A422" s="4">
        <f>=H422/G422-1</f>
        <v>0.101694915254237</v>
      </c>
      <c r="B422" s="20">
        <f>=F422/12</f>
        <v>19.5</v>
      </c>
      <c r="C422" s="20">
        <f>=J422/3</f>
        <v>156</v>
      </c>
      <c r="D422" s="20">
        <f>=K422/3</f>
        <v>173.333333333333</v>
      </c>
      <c r="E422" s="20">
        <f>=L422/3</f>
        <v>182</v>
      </c>
      <c r="F422" s="20">
        <f>=H422*0.9</f>
        <v>234</v>
      </c>
      <c r="G422" s="21">
        <v>236</v>
      </c>
      <c r="H422" s="39">
        <v>260</v>
      </c>
      <c r="I422" s="40">
        <f>=H422*1.05</f>
        <v>273</v>
      </c>
      <c r="J422" s="40">
        <f>=F422*2</f>
        <v>468</v>
      </c>
      <c r="K422" s="40">
        <f>=H422*2</f>
        <v>520</v>
      </c>
      <c r="L422" s="40">
        <f>=I422*2</f>
        <v>546</v>
      </c>
      <c r="M422" s="41" t="s">
        <v>211</v>
      </c>
      <c r="N422" s="41">
        <v>1.8</v>
      </c>
      <c r="O422" s="41" t="s"/>
      <c r="P422" s="41">
        <v>1</v>
      </c>
      <c r="Q422" s="41">
        <v>1</v>
      </c>
      <c r="R422" s="41" t="s">
        <v>16</v>
      </c>
      <c r="S422" s="41" t="s">
        <v>137</v>
      </c>
      <c r="T422" s="41" t="s">
        <v>186</v>
      </c>
      <c r="U422" s="16" t="s">
        <v>13</v>
      </c>
      <c r="V422" s="16" t="s">
        <v>19</v>
      </c>
      <c r="W422" s="19" t="s"/>
      <c r="X422" s="26" t="s">
        <f>=M422&amp;N422&amp;P422&amp;Q422&amp;T422&amp;V422&amp;S422</f>
        <v>491</v>
      </c>
      <c r="Y422" s="19" t="s"/>
      <c r="Z422" s="19" t="s"/>
      <c r="AA422" s="19" t="s"/>
      <c r="AB422" s="19" t="s"/>
    </row>
    <row r="423" spans="1:28" ht="14.4">
      <c r="A423" s="4">
        <f>=H423/G423-1</f>
        <v>0.101298701298701</v>
      </c>
      <c r="B423" s="20">
        <f>=F423/12</f>
        <v>31.8</v>
      </c>
      <c r="C423" s="20">
        <f>=J423/3</f>
        <v>254.4</v>
      </c>
      <c r="D423" s="20">
        <f>=K423/3</f>
        <v>282.666666666667</v>
      </c>
      <c r="E423" s="20">
        <f>=L423/3</f>
        <v>296.8</v>
      </c>
      <c r="F423" s="20">
        <f>=H423*0.9</f>
        <v>381.6</v>
      </c>
      <c r="G423" s="21">
        <v>385</v>
      </c>
      <c r="H423" s="39">
        <v>424</v>
      </c>
      <c r="I423" s="40">
        <f>=H423*1.05</f>
        <v>445.2</v>
      </c>
      <c r="J423" s="40">
        <f>=F423*2</f>
        <v>763.2</v>
      </c>
      <c r="K423" s="40">
        <f>=H423*2</f>
        <v>848</v>
      </c>
      <c r="L423" s="40">
        <f>=I423*2</f>
        <v>890.4</v>
      </c>
      <c r="M423" s="41" t="s">
        <v>211</v>
      </c>
      <c r="N423" s="41">
        <v>1.8</v>
      </c>
      <c r="O423" s="41" t="s"/>
      <c r="P423" s="41">
        <v>1.5</v>
      </c>
      <c r="Q423" s="41">
        <v>1.5</v>
      </c>
      <c r="R423" s="41" t="s">
        <v>16</v>
      </c>
      <c r="S423" s="41" t="s">
        <v>137</v>
      </c>
      <c r="T423" s="41" t="s">
        <v>186</v>
      </c>
      <c r="U423" s="16" t="s">
        <v>13</v>
      </c>
      <c r="V423" s="16" t="s">
        <v>19</v>
      </c>
      <c r="W423" s="19" t="s"/>
      <c r="X423" s="26" t="s">
        <f>=M423&amp;N423&amp;P423&amp;Q423&amp;T423&amp;V423&amp;S423</f>
        <v>492</v>
      </c>
      <c r="Y423" s="19" t="s"/>
      <c r="Z423" s="19" t="s"/>
      <c r="AA423" s="19" t="s"/>
      <c r="AB423" s="19" t="s"/>
    </row>
    <row r="424" spans="1:28" ht="14.4">
      <c r="A424" s="4">
        <f>=H424/G424-1</f>
        <v>0.101298701298701</v>
      </c>
      <c r="B424" s="20">
        <f>=F424/12</f>
        <v>31.8</v>
      </c>
      <c r="C424" s="20">
        <f>=J424/3</f>
        <v>254.4</v>
      </c>
      <c r="D424" s="20">
        <f>=K424/3</f>
        <v>282.666666666667</v>
      </c>
      <c r="E424" s="20">
        <f>=L424/3</f>
        <v>296.8</v>
      </c>
      <c r="F424" s="20">
        <f>=H424*0.9</f>
        <v>381.6</v>
      </c>
      <c r="G424" s="21">
        <v>385</v>
      </c>
      <c r="H424" s="39">
        <v>424</v>
      </c>
      <c r="I424" s="40">
        <f>=H424*1.05</f>
        <v>445.2</v>
      </c>
      <c r="J424" s="40">
        <f>=F424*2</f>
        <v>763.2</v>
      </c>
      <c r="K424" s="40">
        <f>=H424*2</f>
        <v>848</v>
      </c>
      <c r="L424" s="40">
        <f>=I424*2</f>
        <v>890.4</v>
      </c>
      <c r="M424" s="41" t="s">
        <v>211</v>
      </c>
      <c r="N424" s="41">
        <v>1.8</v>
      </c>
      <c r="O424" s="41" t="s"/>
      <c r="P424" s="41">
        <v>2</v>
      </c>
      <c r="Q424" s="41">
        <v>2</v>
      </c>
      <c r="R424" s="41" t="s">
        <v>16</v>
      </c>
      <c r="S424" s="41" t="s">
        <v>137</v>
      </c>
      <c r="T424" s="41" t="s">
        <v>186</v>
      </c>
      <c r="U424" s="16" t="s">
        <v>13</v>
      </c>
      <c r="V424" s="16" t="s">
        <v>19</v>
      </c>
      <c r="W424" s="19" t="s"/>
      <c r="X424" s="26" t="s">
        <f>=M424&amp;N424&amp;P424&amp;Q424&amp;T424&amp;V424&amp;S424</f>
        <v>493</v>
      </c>
      <c r="Y424" s="19" t="s"/>
      <c r="Z424" s="19" t="s"/>
      <c r="AA424" s="19" t="s"/>
      <c r="AB424" s="19" t="s"/>
    </row>
    <row r="425" spans="1:28" ht="14.4">
      <c r="A425" s="4">
        <f>=H425/G425-1</f>
        <v>0.099609375</v>
      </c>
      <c r="B425" s="20">
        <f>=F425/12</f>
        <v>42.225</v>
      </c>
      <c r="C425" s="20">
        <f>=J425/3</f>
        <v>337.8</v>
      </c>
      <c r="D425" s="20">
        <f>=K425/3</f>
        <v>375.333333333333</v>
      </c>
      <c r="E425" s="20">
        <f>=L425/3</f>
        <v>394.1</v>
      </c>
      <c r="F425" s="20">
        <f>=H425*0.9</f>
        <v>506.7</v>
      </c>
      <c r="G425" s="21">
        <v>512</v>
      </c>
      <c r="H425" s="39">
        <v>563</v>
      </c>
      <c r="I425" s="40">
        <f>=H425*1.05</f>
        <v>591.15</v>
      </c>
      <c r="J425" s="40">
        <f>=F425*2</f>
        <v>1013.4</v>
      </c>
      <c r="K425" s="40">
        <f>=H425*2</f>
        <v>1126</v>
      </c>
      <c r="L425" s="40">
        <f>=I425*2</f>
        <v>1182.3</v>
      </c>
      <c r="M425" s="41" t="s">
        <v>211</v>
      </c>
      <c r="N425" s="41">
        <v>1.8</v>
      </c>
      <c r="O425" s="41" t="s"/>
      <c r="P425" s="41">
        <v>3</v>
      </c>
      <c r="Q425" s="41">
        <v>3</v>
      </c>
      <c r="R425" s="41" t="s">
        <v>16</v>
      </c>
      <c r="S425" s="41" t="s">
        <v>137</v>
      </c>
      <c r="T425" s="41" t="s">
        <v>171</v>
      </c>
      <c r="U425" s="16" t="s">
        <v>13</v>
      </c>
      <c r="V425" s="16" t="s">
        <v>19</v>
      </c>
      <c r="W425" s="19" t="s"/>
      <c r="X425" s="26" t="s">
        <f>=M425&amp;N425&amp;P425&amp;Q425&amp;T425&amp;V425&amp;S425</f>
        <v>494</v>
      </c>
      <c r="Y425" s="19" t="s"/>
      <c r="Z425" s="19" t="s"/>
      <c r="AA425" s="19" t="s"/>
      <c r="AB425" s="19" t="s"/>
    </row>
    <row r="426" spans="1:28" ht="14.4">
      <c r="A426" s="4">
        <f>=H426/G426-1</f>
        <v>0.100806451612903</v>
      </c>
      <c r="B426" s="20">
        <f>=F426/12</f>
        <v>20.475</v>
      </c>
      <c r="C426" s="20">
        <f>=J426/3</f>
        <v>163.8</v>
      </c>
      <c r="D426" s="20">
        <f>=K426/3</f>
        <v>182</v>
      </c>
      <c r="E426" s="20">
        <f>=L426/3</f>
        <v>191.1</v>
      </c>
      <c r="F426" s="20">
        <f>=H426*0.9</f>
        <v>245.7</v>
      </c>
      <c r="G426" s="21">
        <v>248</v>
      </c>
      <c r="H426" s="39">
        <v>273</v>
      </c>
      <c r="I426" s="40">
        <f>=H426*1.05</f>
        <v>286.65</v>
      </c>
      <c r="J426" s="40">
        <f>=F426*2</f>
        <v>491.4</v>
      </c>
      <c r="K426" s="40">
        <f>=H426*2</f>
        <v>546</v>
      </c>
      <c r="L426" s="40">
        <f>=I426*2</f>
        <v>573.3</v>
      </c>
      <c r="M426" s="41" t="s">
        <v>211</v>
      </c>
      <c r="N426" s="41">
        <v>1.9</v>
      </c>
      <c r="O426" s="41" t="s"/>
      <c r="P426" s="41">
        <v>1</v>
      </c>
      <c r="Q426" s="41">
        <v>1</v>
      </c>
      <c r="R426" s="41" t="s">
        <v>16</v>
      </c>
      <c r="S426" s="41" t="s">
        <v>137</v>
      </c>
      <c r="T426" s="41" t="s">
        <v>193</v>
      </c>
      <c r="U426" s="16" t="s">
        <v>13</v>
      </c>
      <c r="V426" s="16" t="s">
        <v>19</v>
      </c>
      <c r="W426" s="19" t="s"/>
      <c r="X426" s="26" t="s">
        <f>=M426&amp;N426&amp;P426&amp;Q426&amp;T426&amp;V426&amp;S426</f>
        <v>495</v>
      </c>
      <c r="Y426" s="19" t="s"/>
      <c r="Z426" s="19" t="s"/>
      <c r="AA426" s="19" t="s"/>
      <c r="AB426" s="19" t="s"/>
    </row>
    <row r="427" spans="1:28" ht="14.4">
      <c r="A427" s="4">
        <f>=H427/G427-1</f>
        <v>0.0994318181818181</v>
      </c>
      <c r="B427" s="20">
        <f>=F427/12</f>
        <v>29.025</v>
      </c>
      <c r="C427" s="20">
        <f>=J427/3</f>
        <v>232.2</v>
      </c>
      <c r="D427" s="20">
        <f>=K427/3</f>
        <v>258</v>
      </c>
      <c r="E427" s="20">
        <f>=L427/3</f>
        <v>270.9</v>
      </c>
      <c r="F427" s="20">
        <f>=H427*0.9</f>
        <v>348.3</v>
      </c>
      <c r="G427" s="21">
        <v>352</v>
      </c>
      <c r="H427" s="39">
        <v>387</v>
      </c>
      <c r="I427" s="40">
        <f>=H427*1.05</f>
        <v>406.35</v>
      </c>
      <c r="J427" s="40">
        <f>=F427*2</f>
        <v>696.6</v>
      </c>
      <c r="K427" s="40">
        <f>=H427*2</f>
        <v>774</v>
      </c>
      <c r="L427" s="40">
        <f>=I427*2</f>
        <v>812.7</v>
      </c>
      <c r="M427" s="41" t="s">
        <v>211</v>
      </c>
      <c r="N427" s="41">
        <v>1.9</v>
      </c>
      <c r="O427" s="41" t="s"/>
      <c r="P427" s="41">
        <v>1.5</v>
      </c>
      <c r="Q427" s="41">
        <v>1.5</v>
      </c>
      <c r="R427" s="41" t="s">
        <v>16</v>
      </c>
      <c r="S427" s="41" t="s">
        <v>137</v>
      </c>
      <c r="T427" s="41" t="s">
        <v>193</v>
      </c>
      <c r="U427" s="16" t="s">
        <v>13</v>
      </c>
      <c r="V427" s="16" t="s">
        <v>19</v>
      </c>
      <c r="W427" s="19" t="s"/>
      <c r="X427" s="26" t="s">
        <f>=M427&amp;N427&amp;P427&amp;Q427&amp;T427&amp;V427&amp;S427</f>
        <v>496</v>
      </c>
      <c r="Y427" s="19" t="s"/>
      <c r="Z427" s="19" t="s"/>
      <c r="AA427" s="19" t="s"/>
      <c r="AB427" s="19" t="s"/>
    </row>
    <row r="428" spans="1:28" ht="14.4">
      <c r="A428" s="4">
        <f>=H428/G428-1</f>
        <v>0.1</v>
      </c>
      <c r="B428" s="20">
        <f>=F428/12</f>
        <v>32.175</v>
      </c>
      <c r="C428" s="20">
        <f>=J428/3</f>
        <v>257.4</v>
      </c>
      <c r="D428" s="20">
        <f>=K428/3</f>
        <v>286</v>
      </c>
      <c r="E428" s="20">
        <f>=L428/3</f>
        <v>300.3</v>
      </c>
      <c r="F428" s="20">
        <f>=H428*0.9</f>
        <v>386.1</v>
      </c>
      <c r="G428" s="21">
        <v>390</v>
      </c>
      <c r="H428" s="39">
        <v>429</v>
      </c>
      <c r="I428" s="40">
        <f>=H428*1.05</f>
        <v>450.45</v>
      </c>
      <c r="J428" s="40">
        <f>=F428*2</f>
        <v>772.2</v>
      </c>
      <c r="K428" s="40">
        <f>=H428*2</f>
        <v>858</v>
      </c>
      <c r="L428" s="40">
        <f>=I428*2</f>
        <v>900.9</v>
      </c>
      <c r="M428" s="41" t="s">
        <v>211</v>
      </c>
      <c r="N428" s="41">
        <v>1.9</v>
      </c>
      <c r="O428" s="41" t="s"/>
      <c r="P428" s="41">
        <v>2</v>
      </c>
      <c r="Q428" s="41">
        <v>2</v>
      </c>
      <c r="R428" s="41" t="s">
        <v>16</v>
      </c>
      <c r="S428" s="41" t="s">
        <v>137</v>
      </c>
      <c r="T428" s="41" t="s">
        <v>193</v>
      </c>
      <c r="U428" s="16" t="s">
        <v>13</v>
      </c>
      <c r="V428" s="16" t="s">
        <v>19</v>
      </c>
      <c r="W428" s="19" t="s"/>
      <c r="X428" s="26" t="s">
        <f>=M428&amp;N428&amp;P428&amp;Q428&amp;T428&amp;V428&amp;S428</f>
        <v>497</v>
      </c>
      <c r="Y428" s="19" t="s"/>
      <c r="Z428" s="19" t="s"/>
      <c r="AA428" s="19" t="s"/>
      <c r="AB428" s="19" t="s"/>
    </row>
    <row r="429" spans="1:28" ht="14.4">
      <c r="A429" s="4">
        <f>=H429/G429-1</f>
        <v>0.100746268656716</v>
      </c>
      <c r="B429" s="20">
        <f>=F429/12</f>
        <v>44.25</v>
      </c>
      <c r="C429" s="20">
        <f>=J429/3</f>
        <v>354</v>
      </c>
      <c r="D429" s="20">
        <f>=K429/3</f>
        <v>393.333333333333</v>
      </c>
      <c r="E429" s="20">
        <f>=L429/3</f>
        <v>413</v>
      </c>
      <c r="F429" s="20">
        <f>=H429*0.9</f>
        <v>531</v>
      </c>
      <c r="G429" s="21">
        <v>536</v>
      </c>
      <c r="H429" s="39">
        <v>590</v>
      </c>
      <c r="I429" s="40">
        <f>=H429*1.05</f>
        <v>619.5</v>
      </c>
      <c r="J429" s="40">
        <f>=F429*2</f>
        <v>1062</v>
      </c>
      <c r="K429" s="40">
        <f>=H429*2</f>
        <v>1180</v>
      </c>
      <c r="L429" s="40">
        <f>=I429*2</f>
        <v>1239</v>
      </c>
      <c r="M429" s="41" t="s">
        <v>211</v>
      </c>
      <c r="N429" s="41">
        <v>1.9</v>
      </c>
      <c r="O429" s="41" t="s"/>
      <c r="P429" s="41">
        <v>3</v>
      </c>
      <c r="Q429" s="41">
        <v>3</v>
      </c>
      <c r="R429" s="41" t="s">
        <v>16</v>
      </c>
      <c r="S429" s="41" t="s">
        <v>137</v>
      </c>
      <c r="T429" s="41" t="s">
        <v>186</v>
      </c>
      <c r="U429" s="16" t="s">
        <v>13</v>
      </c>
      <c r="V429" s="16" t="s">
        <v>19</v>
      </c>
      <c r="W429" s="19" t="s"/>
      <c r="X429" s="26" t="s">
        <f>=M429&amp;N429&amp;P429&amp;Q429&amp;T429&amp;V429&amp;S429</f>
        <v>498</v>
      </c>
      <c r="Y429" s="19" t="s"/>
      <c r="Z429" s="19" t="s"/>
      <c r="AA429" s="19" t="s"/>
      <c r="AB429" s="19" t="s"/>
    </row>
    <row r="430" spans="1:28" ht="14.4">
      <c r="A430" s="4">
        <f>=H430/G430-1</f>
        <v>0.0996015936254979</v>
      </c>
      <c r="B430" s="20">
        <f>=F430/12</f>
        <v>62.1</v>
      </c>
      <c r="C430" s="20">
        <f>=J430/3</f>
        <v>496.8</v>
      </c>
      <c r="D430" s="20">
        <f>=K430/3</f>
        <v>552</v>
      </c>
      <c r="E430" s="20">
        <f>=L430/3</f>
        <v>579.6</v>
      </c>
      <c r="F430" s="20">
        <f>=H430*0.9</f>
        <v>745.2</v>
      </c>
      <c r="G430" s="21">
        <v>753</v>
      </c>
      <c r="H430" s="39">
        <v>828</v>
      </c>
      <c r="I430" s="40">
        <f>=H430*1.05</f>
        <v>869.4</v>
      </c>
      <c r="J430" s="40">
        <f>=F430*2</f>
        <v>1490.4</v>
      </c>
      <c r="K430" s="40">
        <f>=H430*2</f>
        <v>1656</v>
      </c>
      <c r="L430" s="40">
        <f>=I430*2</f>
        <v>1738.8</v>
      </c>
      <c r="M430" s="41" t="s">
        <v>211</v>
      </c>
      <c r="N430" s="41">
        <v>1.9</v>
      </c>
      <c r="O430" s="41" t="s"/>
      <c r="P430" s="41">
        <v>4</v>
      </c>
      <c r="Q430" s="41">
        <v>4</v>
      </c>
      <c r="R430" s="41" t="s">
        <v>16</v>
      </c>
      <c r="S430" s="41" t="s">
        <v>137</v>
      </c>
      <c r="T430" s="41" t="s">
        <v>186</v>
      </c>
      <c r="U430" s="16" t="s">
        <v>13</v>
      </c>
      <c r="V430" s="16" t="s">
        <v>19</v>
      </c>
      <c r="W430" s="19" t="s"/>
      <c r="X430" s="26" t="s">
        <f>=M430&amp;N430&amp;P430&amp;Q430&amp;T430&amp;V430&amp;S430</f>
        <v>499</v>
      </c>
      <c r="Y430" s="19" t="s"/>
      <c r="Z430" s="19" t="s"/>
      <c r="AA430" s="19" t="s"/>
      <c r="AB430" s="19" t="s"/>
    </row>
    <row r="431" spans="1:28" ht="14.4">
      <c r="A431" s="4">
        <f>=H431/G431-1</f>
        <v>0.0980392156862746</v>
      </c>
      <c r="B431" s="20">
        <f>=F431/12</f>
        <v>16.8</v>
      </c>
      <c r="C431" s="20">
        <f>=J431/3</f>
        <v>134.4</v>
      </c>
      <c r="D431" s="20">
        <f>=K431/3</f>
        <v>149.333333333333</v>
      </c>
      <c r="E431" s="20">
        <f>=L431/3</f>
        <v>156.8</v>
      </c>
      <c r="F431" s="20">
        <f>=H431*0.9</f>
        <v>201.6</v>
      </c>
      <c r="G431" s="21">
        <v>204</v>
      </c>
      <c r="H431" s="39">
        <v>224</v>
      </c>
      <c r="I431" s="40">
        <f>=H431*1.05</f>
        <v>235.2</v>
      </c>
      <c r="J431" s="40">
        <f>=F431*2</f>
        <v>403.2</v>
      </c>
      <c r="K431" s="40">
        <f>=H431*2</f>
        <v>448</v>
      </c>
      <c r="L431" s="40">
        <f>=I431*2</f>
        <v>470.4</v>
      </c>
      <c r="M431" s="41" t="s">
        <v>211</v>
      </c>
      <c r="N431" s="41">
        <v>1.9</v>
      </c>
      <c r="O431" s="41" t="s"/>
      <c r="P431" s="41" t="s">
        <v>21</v>
      </c>
      <c r="Q431" s="41" t="s">
        <v>21</v>
      </c>
      <c r="R431" s="41" t="s">
        <v>16</v>
      </c>
      <c r="S431" s="41" t="s">
        <v>137</v>
      </c>
      <c r="T431" s="41" t="s">
        <v>193</v>
      </c>
      <c r="U431" s="16" t="s">
        <v>13</v>
      </c>
      <c r="V431" s="16" t="s">
        <v>19</v>
      </c>
      <c r="W431" s="19" t="s"/>
      <c r="X431" s="26" t="s">
        <f>=M431&amp;N431&amp;P431&amp;Q431&amp;T431&amp;V431&amp;S431</f>
        <v>500</v>
      </c>
      <c r="Y431" s="19" t="s"/>
      <c r="Z431" s="19" t="s"/>
      <c r="AA431" s="19" t="s"/>
      <c r="AB431" s="19" t="s"/>
    </row>
    <row r="432" spans="1:28" ht="14.4">
      <c r="A432" s="4">
        <f>=H432/G432-1</f>
        <v>0.098901098901099</v>
      </c>
      <c r="B432" s="20">
        <f>=F432/12</f>
        <v>22.5</v>
      </c>
      <c r="C432" s="20">
        <f>=J432/3</f>
        <v>180</v>
      </c>
      <c r="D432" s="20">
        <f>=K432/3</f>
        <v>200</v>
      </c>
      <c r="E432" s="20">
        <f>=L432/3</f>
        <v>210</v>
      </c>
      <c r="F432" s="20">
        <f>=H432*0.9</f>
        <v>270</v>
      </c>
      <c r="G432" s="21">
        <v>273</v>
      </c>
      <c r="H432" s="39">
        <v>300</v>
      </c>
      <c r="I432" s="40">
        <f>=H432*1.05</f>
        <v>315</v>
      </c>
      <c r="J432" s="40">
        <f>=F432*2</f>
        <v>540</v>
      </c>
      <c r="K432" s="40">
        <f>=H432*2</f>
        <v>600</v>
      </c>
      <c r="L432" s="40">
        <f>=I432*2</f>
        <v>630</v>
      </c>
      <c r="M432" s="41" t="s">
        <v>211</v>
      </c>
      <c r="N432" s="41">
        <v>2</v>
      </c>
      <c r="O432" s="41" t="s"/>
      <c r="P432" s="41">
        <v>1</v>
      </c>
      <c r="Q432" s="41">
        <v>1</v>
      </c>
      <c r="R432" s="41" t="s">
        <v>16</v>
      </c>
      <c r="S432" s="41" t="s">
        <v>137</v>
      </c>
      <c r="T432" s="41" t="s">
        <v>199</v>
      </c>
      <c r="U432" s="16" t="s">
        <v>13</v>
      </c>
      <c r="V432" s="16" t="s">
        <v>19</v>
      </c>
      <c r="W432" s="19" t="s"/>
      <c r="X432" s="26" t="s">
        <f>=M432&amp;N432&amp;P432&amp;Q432&amp;T432&amp;V432&amp;S432</f>
        <v>501</v>
      </c>
      <c r="Y432" s="19" t="s"/>
      <c r="Z432" s="19" t="s"/>
      <c r="AA432" s="19" t="s"/>
      <c r="AB432" s="19" t="s"/>
    </row>
    <row r="433" spans="1:28" ht="14.4">
      <c r="A433" s="4">
        <f>=H433/G433-1</f>
        <v>0.100436681222707</v>
      </c>
      <c r="B433" s="20">
        <f>=F433/12</f>
        <v>18.9</v>
      </c>
      <c r="C433" s="20">
        <f>=J433/3</f>
        <v>151.2</v>
      </c>
      <c r="D433" s="20">
        <f>=K433/3</f>
        <v>168</v>
      </c>
      <c r="E433" s="20">
        <f>=L433/3</f>
        <v>176.4</v>
      </c>
      <c r="F433" s="20">
        <f>=H433*0.9</f>
        <v>226.8</v>
      </c>
      <c r="G433" s="21">
        <v>229</v>
      </c>
      <c r="H433" s="39">
        <v>252</v>
      </c>
      <c r="I433" s="40">
        <f>=H433*1.05</f>
        <v>264.6</v>
      </c>
      <c r="J433" s="40">
        <f>=F433*2</f>
        <v>453.6</v>
      </c>
      <c r="K433" s="40">
        <f>=H433*2</f>
        <v>504</v>
      </c>
      <c r="L433" s="40">
        <f>=I433*2</f>
        <v>529.2</v>
      </c>
      <c r="M433" s="41" t="s">
        <v>211</v>
      </c>
      <c r="N433" s="41">
        <v>2</v>
      </c>
      <c r="O433" s="41" t="s"/>
      <c r="P433" s="41" t="s">
        <v>21</v>
      </c>
      <c r="Q433" s="41" t="s">
        <v>21</v>
      </c>
      <c r="R433" s="41" t="s">
        <v>16</v>
      </c>
      <c r="S433" s="41" t="s">
        <v>137</v>
      </c>
      <c r="T433" s="41" t="s">
        <v>199</v>
      </c>
      <c r="U433" s="16" t="s">
        <v>13</v>
      </c>
      <c r="V433" s="16" t="s">
        <v>19</v>
      </c>
      <c r="W433" s="19" t="s"/>
      <c r="X433" s="26" t="s">
        <f>=M433&amp;N433&amp;P433&amp;Q433&amp;T433&amp;V433&amp;S433</f>
        <v>502</v>
      </c>
      <c r="Y433" s="19" t="s"/>
      <c r="Z433" s="19" t="s"/>
      <c r="AA433" s="19" t="s"/>
      <c r="AB433" s="19" t="s"/>
    </row>
    <row r="434" spans="1:28" ht="14.4">
      <c r="A434" s="4">
        <f>=H434/G434-1</f>
        <v>0.0993589743589745</v>
      </c>
      <c r="B434" s="20">
        <f>=F434/12</f>
        <v>25.725</v>
      </c>
      <c r="C434" s="20">
        <f>=J434/3</f>
        <v>205.8</v>
      </c>
      <c r="D434" s="20">
        <f>=K434/3</f>
        <v>228.666666666667</v>
      </c>
      <c r="E434" s="20">
        <f>=L434/3</f>
        <v>240.1</v>
      </c>
      <c r="F434" s="20">
        <f>=H434*0.9</f>
        <v>308.7</v>
      </c>
      <c r="G434" s="21">
        <v>312</v>
      </c>
      <c r="H434" s="39">
        <v>343</v>
      </c>
      <c r="I434" s="40">
        <f>=H434*1.05</f>
        <v>360.15</v>
      </c>
      <c r="J434" s="40">
        <f>=F434*2</f>
        <v>617.4</v>
      </c>
      <c r="K434" s="40">
        <f>=H434*2</f>
        <v>686</v>
      </c>
      <c r="L434" s="40">
        <f>=I434*2</f>
        <v>720.3</v>
      </c>
      <c r="M434" s="41" t="s">
        <v>211</v>
      </c>
      <c r="N434" s="41">
        <v>2.1</v>
      </c>
      <c r="O434" s="41" t="s"/>
      <c r="P434" s="41">
        <v>1</v>
      </c>
      <c r="Q434" s="41">
        <v>1</v>
      </c>
      <c r="R434" s="41" t="s">
        <v>16</v>
      </c>
      <c r="S434" s="41" t="s">
        <v>137</v>
      </c>
      <c r="T434" s="41" t="s">
        <v>199</v>
      </c>
      <c r="U434" s="16" t="s">
        <v>13</v>
      </c>
      <c r="V434" s="16" t="s">
        <v>19</v>
      </c>
      <c r="W434" s="19" t="s"/>
      <c r="X434" s="26" t="s">
        <f>=M434&amp;N434&amp;P434&amp;Q434&amp;T434&amp;V434&amp;S434</f>
        <v>503</v>
      </c>
      <c r="Y434" s="19" t="s"/>
      <c r="Z434" s="19" t="s"/>
      <c r="AA434" s="19" t="s"/>
      <c r="AB434" s="19" t="s"/>
    </row>
    <row r="435" spans="1:28" ht="14.4">
      <c r="A435" s="4">
        <f>=H435/G435-1</f>
        <v>0.099041533546326</v>
      </c>
      <c r="B435" s="20">
        <f>=F435/12</f>
        <v>25.8</v>
      </c>
      <c r="C435" s="20">
        <f>=J435/3</f>
        <v>206.4</v>
      </c>
      <c r="D435" s="20">
        <f>=K435/3</f>
        <v>229.333333333333</v>
      </c>
      <c r="E435" s="20">
        <f>=L435/3</f>
        <v>240.8</v>
      </c>
      <c r="F435" s="20">
        <f>=H435*0.9</f>
        <v>309.6</v>
      </c>
      <c r="G435" s="21">
        <v>313</v>
      </c>
      <c r="H435" s="39">
        <v>344</v>
      </c>
      <c r="I435" s="40">
        <f>=H435*1.05</f>
        <v>361.2</v>
      </c>
      <c r="J435" s="40">
        <f>=F435*2</f>
        <v>619.2</v>
      </c>
      <c r="K435" s="40">
        <f>=H435*2</f>
        <v>688</v>
      </c>
      <c r="L435" s="40">
        <f>=I435*2</f>
        <v>722.4</v>
      </c>
      <c r="M435" s="41" t="s">
        <v>211</v>
      </c>
      <c r="N435" s="41">
        <v>2.2</v>
      </c>
      <c r="O435" s="41" t="s"/>
      <c r="P435" s="41">
        <v>1</v>
      </c>
      <c r="Q435" s="41">
        <v>1</v>
      </c>
      <c r="R435" s="41" t="s">
        <v>16</v>
      </c>
      <c r="S435" s="41" t="s">
        <v>137</v>
      </c>
      <c r="T435" s="41" t="s">
        <v>206</v>
      </c>
      <c r="U435" s="16" t="s">
        <v>13</v>
      </c>
      <c r="V435" s="16" t="s">
        <v>19</v>
      </c>
      <c r="W435" s="19" t="s"/>
      <c r="X435" s="26" t="s">
        <f>=M435&amp;N435&amp;P435&amp;Q435&amp;T435&amp;V435&amp;S435</f>
        <v>504</v>
      </c>
      <c r="Y435" s="19" t="s"/>
      <c r="Z435" s="19" t="s"/>
      <c r="AA435" s="19" t="s"/>
      <c r="AB435" s="19" t="s"/>
    </row>
    <row r="436" spans="1:28" ht="14.4">
      <c r="A436" s="4">
        <f>=H436/G436-1</f>
        <v>0.101351351351351</v>
      </c>
      <c r="B436" s="20">
        <f>=F436/12</f>
        <v>24.45</v>
      </c>
      <c r="C436" s="20">
        <f>=J436/3</f>
        <v>195.6</v>
      </c>
      <c r="D436" s="20">
        <f>=K436/3</f>
        <v>217.333333333333</v>
      </c>
      <c r="E436" s="20">
        <f>=L436/3</f>
        <v>228.2</v>
      </c>
      <c r="F436" s="20">
        <f>=H436*0.9</f>
        <v>293.4</v>
      </c>
      <c r="G436" s="21">
        <v>296</v>
      </c>
      <c r="H436" s="39">
        <v>326</v>
      </c>
      <c r="I436" s="40">
        <f>=H436*1.05</f>
        <v>342.3</v>
      </c>
      <c r="J436" s="40">
        <f>=F436*2</f>
        <v>586.8</v>
      </c>
      <c r="K436" s="40">
        <f>=H436*2</f>
        <v>652</v>
      </c>
      <c r="L436" s="40">
        <f>=I436*2</f>
        <v>684.6</v>
      </c>
      <c r="M436" s="41" t="s">
        <v>211</v>
      </c>
      <c r="N436" s="41">
        <v>2.3</v>
      </c>
      <c r="O436" s="41" t="s"/>
      <c r="P436" s="41">
        <v>1</v>
      </c>
      <c r="Q436" s="41">
        <v>1</v>
      </c>
      <c r="R436" s="41" t="s">
        <v>16</v>
      </c>
      <c r="S436" s="41" t="s">
        <v>137</v>
      </c>
      <c r="T436" s="41" t="s">
        <v>206</v>
      </c>
      <c r="U436" s="16" t="s">
        <v>13</v>
      </c>
      <c r="V436" s="16" t="s">
        <v>19</v>
      </c>
      <c r="W436" s="19" t="s"/>
      <c r="X436" s="26" t="s">
        <f>=M436&amp;N436&amp;P436&amp;Q436&amp;T436&amp;V436&amp;S436</f>
        <v>505</v>
      </c>
      <c r="Y436" s="19" t="s"/>
      <c r="Z436" s="19" t="s"/>
      <c r="AA436" s="19" t="s"/>
      <c r="AB436" s="19" t="s"/>
    </row>
    <row r="437" spans="1:28" ht="14.4">
      <c r="A437" s="4">
        <f>=H437/G437-1</f>
        <v>0.100702576112412</v>
      </c>
      <c r="B437" s="20">
        <f>=F437/12</f>
        <v>35.25</v>
      </c>
      <c r="C437" s="20">
        <f>=J437/3</f>
        <v>282</v>
      </c>
      <c r="D437" s="20">
        <f>=K437/3</f>
        <v>313.333333333333</v>
      </c>
      <c r="E437" s="20">
        <f>=L437/3</f>
        <v>329</v>
      </c>
      <c r="F437" s="20">
        <f>=H437*0.9</f>
        <v>423</v>
      </c>
      <c r="G437" s="21">
        <v>427</v>
      </c>
      <c r="H437" s="39">
        <v>470</v>
      </c>
      <c r="I437" s="40">
        <f>=H437*1.05</f>
        <v>493.5</v>
      </c>
      <c r="J437" s="40">
        <f>=F437*2</f>
        <v>846</v>
      </c>
      <c r="K437" s="40">
        <f>=H437*2</f>
        <v>940</v>
      </c>
      <c r="L437" s="40">
        <f>=I437*2</f>
        <v>987</v>
      </c>
      <c r="M437" s="41" t="s">
        <v>211</v>
      </c>
      <c r="N437" s="41">
        <v>2.3</v>
      </c>
      <c r="O437" s="41" t="s"/>
      <c r="P437" s="41">
        <v>2</v>
      </c>
      <c r="Q437" s="41">
        <v>2</v>
      </c>
      <c r="R437" s="41" t="s">
        <v>16</v>
      </c>
      <c r="S437" s="41" t="s">
        <v>137</v>
      </c>
      <c r="T437" s="41" t="s">
        <v>206</v>
      </c>
      <c r="U437" s="16" t="s">
        <v>13</v>
      </c>
      <c r="V437" s="16" t="s">
        <v>19</v>
      </c>
      <c r="W437" s="19" t="s"/>
      <c r="X437" s="26" t="s">
        <f>=M437&amp;N437&amp;P437&amp;Q437&amp;T437&amp;V437&amp;S437</f>
        <v>506</v>
      </c>
      <c r="Y437" s="19" t="s"/>
      <c r="Z437" s="19" t="s"/>
      <c r="AA437" s="19" t="s"/>
      <c r="AB437" s="19" t="s"/>
    </row>
    <row r="438" spans="1:28" ht="14.4">
      <c r="A438" s="4">
        <f>=H438/G438-1</f>
        <v>0.1</v>
      </c>
      <c r="B438" s="20">
        <f>=F438/12</f>
        <v>24.75</v>
      </c>
      <c r="C438" s="20">
        <f>=J438/3</f>
        <v>198</v>
      </c>
      <c r="D438" s="20">
        <f>=K438/3</f>
        <v>220</v>
      </c>
      <c r="E438" s="20">
        <f>=L438/3</f>
        <v>231</v>
      </c>
      <c r="F438" s="20">
        <f>=H438*0.9</f>
        <v>297</v>
      </c>
      <c r="G438" s="21">
        <v>300</v>
      </c>
      <c r="H438" s="39">
        <v>330</v>
      </c>
      <c r="I438" s="40">
        <f>=H438*1.05</f>
        <v>346.5</v>
      </c>
      <c r="J438" s="40">
        <f>=F438*2</f>
        <v>594</v>
      </c>
      <c r="K438" s="40">
        <f>=H438*2</f>
        <v>660</v>
      </c>
      <c r="L438" s="40">
        <f>=I438*2</f>
        <v>693</v>
      </c>
      <c r="M438" s="41" t="s">
        <v>211</v>
      </c>
      <c r="N438" s="41">
        <v>3.2</v>
      </c>
      <c r="O438" s="41" t="s"/>
      <c r="P438" s="41" t="s">
        <v>21</v>
      </c>
      <c r="Q438" s="41" t="s">
        <v>21</v>
      </c>
      <c r="R438" s="41" t="s">
        <v>16</v>
      </c>
      <c r="S438" s="41" t="s">
        <v>137</v>
      </c>
      <c r="T438" s="41" t="s">
        <v>507</v>
      </c>
      <c r="U438" s="16" t="s">
        <v>13</v>
      </c>
      <c r="V438" s="16" t="s">
        <v>19</v>
      </c>
      <c r="W438" s="19" t="s"/>
      <c r="X438" s="26" t="s">
        <f>=M438&amp;N438&amp;P438&amp;Q438&amp;T438&amp;V438&amp;S438</f>
        <v>508</v>
      </c>
      <c r="Y438" s="19" t="s"/>
      <c r="Z438" s="19" t="s"/>
      <c r="AA438" s="19" t="s"/>
      <c r="AB438" s="19" t="s"/>
    </row>
    <row r="439" spans="1:28" ht="14.4">
      <c r="A439" s="4">
        <f>=H439/G439-1</f>
        <v>0.101398601398601</v>
      </c>
      <c r="B439" s="20">
        <f>=F439/12</f>
        <v>23.625</v>
      </c>
      <c r="C439" s="20">
        <f>=J439/3</f>
        <v>189</v>
      </c>
      <c r="D439" s="20">
        <f>=K439/3</f>
        <v>210</v>
      </c>
      <c r="E439" s="20">
        <f>=L439/3</f>
        <v>220.5</v>
      </c>
      <c r="F439" s="20">
        <f>=H439*0.9</f>
        <v>283.5</v>
      </c>
      <c r="G439" s="21">
        <v>286</v>
      </c>
      <c r="H439" s="39">
        <v>315</v>
      </c>
      <c r="I439" s="40">
        <f>=H439*1.05</f>
        <v>330.75</v>
      </c>
      <c r="J439" s="40">
        <f>=F439*2</f>
        <v>567</v>
      </c>
      <c r="K439" s="40">
        <f>=H439*2</f>
        <v>630</v>
      </c>
      <c r="L439" s="40">
        <f>=I439*2</f>
        <v>661.5</v>
      </c>
      <c r="M439" s="41" t="s">
        <v>211</v>
      </c>
      <c r="N439" s="41">
        <v>2.4</v>
      </c>
      <c r="O439" s="41" t="s"/>
      <c r="P439" s="41">
        <v>1</v>
      </c>
      <c r="Q439" s="41">
        <v>1</v>
      </c>
      <c r="R439" s="41" t="s">
        <v>16</v>
      </c>
      <c r="S439" s="41" t="s">
        <v>137</v>
      </c>
      <c r="T439" s="41" t="s">
        <v>208</v>
      </c>
      <c r="U439" s="16" t="s">
        <v>13</v>
      </c>
      <c r="V439" s="16" t="s">
        <v>19</v>
      </c>
      <c r="W439" s="19" t="s"/>
      <c r="X439" s="26" t="s">
        <f>=M439&amp;N439&amp;P439&amp;Q439&amp;T439&amp;V439&amp;S439</f>
        <v>509</v>
      </c>
      <c r="Y439" s="19" t="s"/>
      <c r="Z439" s="19" t="s"/>
      <c r="AA439" s="19" t="s"/>
      <c r="AB439" s="19" t="s"/>
    </row>
    <row r="440" spans="1:28" ht="14.4">
      <c r="A440" s="4">
        <f>=H440/G440-1</f>
        <v>0.0996015936254979</v>
      </c>
      <c r="B440" s="20">
        <f>=F440/12</f>
        <v>20.7</v>
      </c>
      <c r="C440" s="20">
        <f>=J440/3</f>
        <v>165.6</v>
      </c>
      <c r="D440" s="20">
        <f>=K440/3</f>
        <v>184</v>
      </c>
      <c r="E440" s="20">
        <f>=L440/3</f>
        <v>193.2</v>
      </c>
      <c r="F440" s="20">
        <f>=H440*0.9</f>
        <v>248.4</v>
      </c>
      <c r="G440" s="21">
        <v>251</v>
      </c>
      <c r="H440" s="39">
        <v>276</v>
      </c>
      <c r="I440" s="40">
        <f>=H440*1.05</f>
        <v>289.8</v>
      </c>
      <c r="J440" s="40">
        <f>=F440*2</f>
        <v>496.8</v>
      </c>
      <c r="K440" s="40">
        <f>=H440*2</f>
        <v>552</v>
      </c>
      <c r="L440" s="40">
        <f>=I440*2</f>
        <v>579.6</v>
      </c>
      <c r="M440" s="41" t="s">
        <v>211</v>
      </c>
      <c r="N440" s="41">
        <v>2.4</v>
      </c>
      <c r="O440" s="41" t="s"/>
      <c r="P440" s="41" t="s">
        <v>21</v>
      </c>
      <c r="Q440" s="41" t="s">
        <v>21</v>
      </c>
      <c r="R440" s="41" t="s">
        <v>16</v>
      </c>
      <c r="S440" s="41" t="s">
        <v>137</v>
      </c>
      <c r="T440" s="41" t="s">
        <v>208</v>
      </c>
      <c r="U440" s="16" t="s">
        <v>13</v>
      </c>
      <c r="V440" s="16" t="s">
        <v>19</v>
      </c>
      <c r="W440" s="19" t="s"/>
      <c r="X440" s="26" t="s">
        <f>=M440&amp;N440&amp;P440&amp;Q440&amp;T440&amp;V440&amp;S440</f>
        <v>510</v>
      </c>
      <c r="Y440" s="19" t="s"/>
      <c r="Z440" s="19" t="s"/>
      <c r="AA440" s="19" t="s"/>
      <c r="AB440" s="19" t="s"/>
    </row>
    <row r="441" spans="1:28" ht="14.4">
      <c r="A441" s="4">
        <f>=H441/G441-1</f>
        <v>0.100746268656716</v>
      </c>
      <c r="B441" s="20">
        <f>=F441/12</f>
        <v>22.125</v>
      </c>
      <c r="C441" s="20">
        <f>=J441/3</f>
        <v>177</v>
      </c>
      <c r="D441" s="20">
        <f>=K441/3</f>
        <v>196.666666666667</v>
      </c>
      <c r="E441" s="20">
        <f>=L441/3</f>
        <v>206.5</v>
      </c>
      <c r="F441" s="20">
        <f>=H441*0.9</f>
        <v>265.5</v>
      </c>
      <c r="G441" s="21">
        <v>268</v>
      </c>
      <c r="H441" s="39">
        <v>295</v>
      </c>
      <c r="I441" s="40">
        <f>=H441*1.05</f>
        <v>309.75</v>
      </c>
      <c r="J441" s="40">
        <f>=F441*2</f>
        <v>531</v>
      </c>
      <c r="K441" s="40">
        <f>=H441*2</f>
        <v>590</v>
      </c>
      <c r="L441" s="40">
        <f>=I441*2</f>
        <v>619.5</v>
      </c>
      <c r="M441" s="41" t="s">
        <v>211</v>
      </c>
      <c r="N441" s="41">
        <v>2.5</v>
      </c>
      <c r="O441" s="41" t="s"/>
      <c r="P441" s="41" t="s">
        <v>21</v>
      </c>
      <c r="Q441" s="41" t="s">
        <v>21</v>
      </c>
      <c r="R441" s="41" t="s">
        <v>16</v>
      </c>
      <c r="S441" s="41" t="s">
        <v>137</v>
      </c>
      <c r="T441" s="41" t="s">
        <v>208</v>
      </c>
      <c r="U441" s="16" t="s">
        <v>13</v>
      </c>
      <c r="V441" s="16" t="s">
        <v>19</v>
      </c>
      <c r="W441" s="19" t="s"/>
      <c r="X441" s="26" t="s">
        <f>=M441&amp;N441&amp;P441&amp;Q441&amp;T441&amp;V441&amp;S441</f>
        <v>511</v>
      </c>
      <c r="Y441" s="19" t="s"/>
      <c r="Z441" s="19" t="s"/>
      <c r="AA441" s="19" t="s"/>
      <c r="AB441" s="19" t="s"/>
    </row>
    <row r="442" spans="1:28" ht="14.4">
      <c r="A442" s="4">
        <f>=H442/G442-1</f>
        <v>0.101036269430052</v>
      </c>
      <c r="B442" s="20">
        <f>=F442/12</f>
        <v>31.875</v>
      </c>
      <c r="C442" s="20">
        <f>=J442/3</f>
        <v>255</v>
      </c>
      <c r="D442" s="20">
        <f>=K442/3</f>
        <v>283.333333333333</v>
      </c>
      <c r="E442" s="20">
        <f>=L442/3</f>
        <v>297.5</v>
      </c>
      <c r="F442" s="20">
        <f>=H442*0.9</f>
        <v>382.5</v>
      </c>
      <c r="G442" s="21">
        <v>386</v>
      </c>
      <c r="H442" s="39">
        <v>425</v>
      </c>
      <c r="I442" s="40">
        <f>=H442*1.05</f>
        <v>446.25</v>
      </c>
      <c r="J442" s="40">
        <f>=F442*2</f>
        <v>765</v>
      </c>
      <c r="K442" s="40">
        <f>=H442*2</f>
        <v>850</v>
      </c>
      <c r="L442" s="40">
        <f>=I442*2</f>
        <v>892.5</v>
      </c>
      <c r="M442" s="41" t="s">
        <v>211</v>
      </c>
      <c r="N442" s="41">
        <v>2.6</v>
      </c>
      <c r="O442" s="41" t="s"/>
      <c r="P442" s="41">
        <v>1</v>
      </c>
      <c r="Q442" s="41">
        <v>1</v>
      </c>
      <c r="R442" s="41" t="s">
        <v>16</v>
      </c>
      <c r="S442" s="41" t="s">
        <v>137</v>
      </c>
      <c r="T442" s="41" t="s">
        <v>512</v>
      </c>
      <c r="U442" s="16" t="s">
        <v>13</v>
      </c>
      <c r="V442" s="16" t="s">
        <v>19</v>
      </c>
      <c r="W442" s="19" t="s"/>
      <c r="X442" s="26" t="s">
        <f>=M442&amp;N442&amp;P442&amp;Q442&amp;T442&amp;V442&amp;S442</f>
        <v>513</v>
      </c>
      <c r="Y442" s="19" t="s"/>
      <c r="Z442" s="19" t="s"/>
      <c r="AA442" s="19" t="s"/>
      <c r="AB442" s="19" t="s"/>
    </row>
    <row r="443" spans="1:28" ht="14.4">
      <c r="A443" s="4">
        <f>=H443/G443-1</f>
        <v>0.101449275362319</v>
      </c>
      <c r="B443" s="20">
        <f>=F443/12</f>
        <v>28.5</v>
      </c>
      <c r="C443" s="20">
        <f>=J443/3</f>
        <v>228</v>
      </c>
      <c r="D443" s="20">
        <f>=K443/3</f>
        <v>253.333333333333</v>
      </c>
      <c r="E443" s="20">
        <f>=L443/3</f>
        <v>266</v>
      </c>
      <c r="F443" s="20">
        <f>=H443*0.9</f>
        <v>342</v>
      </c>
      <c r="G443" s="21">
        <v>345</v>
      </c>
      <c r="H443" s="39">
        <v>380</v>
      </c>
      <c r="I443" s="40">
        <f>=H443*1.05</f>
        <v>399</v>
      </c>
      <c r="J443" s="40">
        <f>=F443*2</f>
        <v>684</v>
      </c>
      <c r="K443" s="40">
        <f>=H443*2</f>
        <v>760</v>
      </c>
      <c r="L443" s="40">
        <f>=I443*2</f>
        <v>798</v>
      </c>
      <c r="M443" s="41" t="s">
        <v>211</v>
      </c>
      <c r="N443" s="41">
        <v>2.6</v>
      </c>
      <c r="O443" s="41" t="s"/>
      <c r="P443" s="41" t="s">
        <v>21</v>
      </c>
      <c r="Q443" s="41" t="s">
        <v>21</v>
      </c>
      <c r="R443" s="41" t="s">
        <v>16</v>
      </c>
      <c r="S443" s="41" t="s">
        <v>137</v>
      </c>
      <c r="T443" s="41" t="s">
        <v>512</v>
      </c>
      <c r="U443" s="16" t="s">
        <v>13</v>
      </c>
      <c r="V443" s="16" t="s">
        <v>19</v>
      </c>
      <c r="W443" s="19" t="s"/>
      <c r="X443" s="26" t="s">
        <f>=M443&amp;N443&amp;P443&amp;Q443&amp;T443&amp;V443&amp;S443</f>
        <v>514</v>
      </c>
      <c r="Y443" s="19" t="s"/>
      <c r="Z443" s="19" t="s"/>
      <c r="AA443" s="19" t="s"/>
      <c r="AB443" s="19" t="s"/>
    </row>
    <row r="444" spans="1:28" ht="14.4">
      <c r="A444" s="4">
        <f>=H444/G444-1</f>
        <v>0.100313479623825</v>
      </c>
      <c r="B444" s="20">
        <f>=F444/12</f>
        <v>26.325</v>
      </c>
      <c r="C444" s="20">
        <f>=J444/3</f>
        <v>210.6</v>
      </c>
      <c r="D444" s="20">
        <f>=K444/3</f>
        <v>234</v>
      </c>
      <c r="E444" s="20">
        <f>=L444/3</f>
        <v>245.7</v>
      </c>
      <c r="F444" s="20">
        <f>=H444*0.9</f>
        <v>315.9</v>
      </c>
      <c r="G444" s="21">
        <v>319</v>
      </c>
      <c r="H444" s="39">
        <v>351</v>
      </c>
      <c r="I444" s="40">
        <f>=H444*1.05</f>
        <v>368.55</v>
      </c>
      <c r="J444" s="40">
        <f>=F444*2</f>
        <v>631.8</v>
      </c>
      <c r="K444" s="40">
        <f>=H444*2</f>
        <v>702</v>
      </c>
      <c r="L444" s="40">
        <f>=I444*2</f>
        <v>737.1</v>
      </c>
      <c r="M444" s="41" t="s">
        <v>211</v>
      </c>
      <c r="N444" s="41">
        <v>2.9</v>
      </c>
      <c r="O444" s="41" t="s"/>
      <c r="P444" s="41">
        <v>1</v>
      </c>
      <c r="Q444" s="41">
        <v>1</v>
      </c>
      <c r="R444" s="41" t="s">
        <v>16</v>
      </c>
      <c r="S444" s="41" t="s">
        <v>137</v>
      </c>
      <c r="T444" s="41" t="s">
        <v>515</v>
      </c>
      <c r="U444" s="16" t="s">
        <v>13</v>
      </c>
      <c r="V444" s="16" t="s">
        <v>19</v>
      </c>
      <c r="W444" s="19" t="s"/>
      <c r="X444" s="26" t="s">
        <f>=M444&amp;N444&amp;P444&amp;Q444&amp;T444&amp;V444&amp;S444</f>
        <v>516</v>
      </c>
      <c r="Y444" s="19" t="s"/>
      <c r="Z444" s="19" t="s"/>
      <c r="AA444" s="19" t="s"/>
      <c r="AB444" s="19" t="s"/>
    </row>
    <row r="445" spans="1:28" ht="14.4">
      <c r="A445" s="4">
        <f>=H445/G445-1</f>
        <v>0.101398601398601</v>
      </c>
      <c r="B445" s="20">
        <f>=F445/12</f>
        <v>23.625</v>
      </c>
      <c r="C445" s="20">
        <f>=J445/3</f>
        <v>189</v>
      </c>
      <c r="D445" s="20">
        <f>=K445/3</f>
        <v>210</v>
      </c>
      <c r="E445" s="20">
        <f>=L445/3</f>
        <v>220.5</v>
      </c>
      <c r="F445" s="20">
        <f>=H445*0.9</f>
        <v>283.5</v>
      </c>
      <c r="G445" s="21">
        <v>286</v>
      </c>
      <c r="H445" s="39">
        <v>315</v>
      </c>
      <c r="I445" s="40">
        <f>=H445*1.05</f>
        <v>330.75</v>
      </c>
      <c r="J445" s="40">
        <f>=F445*2</f>
        <v>567</v>
      </c>
      <c r="K445" s="40">
        <f>=H445*2</f>
        <v>630</v>
      </c>
      <c r="L445" s="40">
        <f>=I445*2</f>
        <v>661.5</v>
      </c>
      <c r="M445" s="41" t="s">
        <v>211</v>
      </c>
      <c r="N445" s="41">
        <v>2.9</v>
      </c>
      <c r="O445" s="41" t="s"/>
      <c r="P445" s="41" t="s">
        <v>21</v>
      </c>
      <c r="Q445" s="41" t="s">
        <v>21</v>
      </c>
      <c r="R445" s="41" t="s">
        <v>16</v>
      </c>
      <c r="S445" s="41" t="s">
        <v>137</v>
      </c>
      <c r="T445" s="41" t="s">
        <v>515</v>
      </c>
      <c r="U445" s="16" t="s">
        <v>13</v>
      </c>
      <c r="V445" s="16" t="s">
        <v>19</v>
      </c>
      <c r="W445" s="19" t="s"/>
      <c r="X445" s="26" t="s">
        <f>=M445&amp;N445&amp;P445&amp;Q445&amp;T445&amp;V445&amp;S445</f>
        <v>517</v>
      </c>
      <c r="Y445" s="19" t="s"/>
      <c r="Z445" s="19" t="s"/>
      <c r="AA445" s="19" t="s"/>
      <c r="AB445" s="19" t="s"/>
    </row>
    <row r="446" spans="1:28" ht="14.4">
      <c r="A446" s="4">
        <f>=H446/G446-1</f>
        <v>0.101010101010101</v>
      </c>
      <c r="B446" s="20">
        <f>=F446/12</f>
        <v>24.525</v>
      </c>
      <c r="C446" s="20">
        <f>=J446/3</f>
        <v>196.2</v>
      </c>
      <c r="D446" s="20">
        <f>=K446/3</f>
        <v>218</v>
      </c>
      <c r="E446" s="20">
        <f>=L446/3</f>
        <v>228.9</v>
      </c>
      <c r="F446" s="20">
        <f>=H446*0.9</f>
        <v>294.3</v>
      </c>
      <c r="G446" s="21">
        <v>297</v>
      </c>
      <c r="H446" s="39">
        <v>327</v>
      </c>
      <c r="I446" s="40">
        <f>=H446*1.05</f>
        <v>343.35</v>
      </c>
      <c r="J446" s="40">
        <f>=F446*2</f>
        <v>588.6</v>
      </c>
      <c r="K446" s="40">
        <f>=H446*2</f>
        <v>654</v>
      </c>
      <c r="L446" s="40">
        <f>=I446*2</f>
        <v>686.7</v>
      </c>
      <c r="M446" s="41" t="s">
        <v>211</v>
      </c>
      <c r="N446" s="41">
        <v>2.9</v>
      </c>
      <c r="O446" s="41" t="s"/>
      <c r="P446" s="41" t="s">
        <v>21</v>
      </c>
      <c r="Q446" s="41" t="s">
        <v>21</v>
      </c>
      <c r="R446" s="41" t="s">
        <v>16</v>
      </c>
      <c r="S446" s="41" t="s">
        <v>137</v>
      </c>
      <c r="T446" s="41" t="s">
        <v>518</v>
      </c>
      <c r="U446" s="16" t="s">
        <v>13</v>
      </c>
      <c r="V446" s="16" t="s">
        <v>19</v>
      </c>
      <c r="W446" s="19" t="s"/>
      <c r="X446" s="26" t="s">
        <f>=M446&amp;N446&amp;P446&amp;Q446&amp;T446&amp;V446&amp;S446</f>
        <v>519</v>
      </c>
      <c r="Y446" s="19" t="s"/>
      <c r="Z446" s="19" t="s"/>
      <c r="AA446" s="19" t="s"/>
      <c r="AB446" s="19" t="s"/>
    </row>
    <row r="447" spans="1:28" ht="14.4">
      <c r="A447" s="4">
        <f>=H447/G447-1</f>
        <v>0.102040816326531</v>
      </c>
      <c r="B447" s="20">
        <f>=F447/12</f>
        <v>20.25</v>
      </c>
      <c r="C447" s="20">
        <f>=J447/3</f>
        <v>162</v>
      </c>
      <c r="D447" s="20">
        <f>=K447/3</f>
        <v>180</v>
      </c>
      <c r="E447" s="20">
        <f>=L447/3</f>
        <v>189</v>
      </c>
      <c r="F447" s="20">
        <f>=H447*0.9</f>
        <v>243</v>
      </c>
      <c r="G447" s="21">
        <v>245</v>
      </c>
      <c r="H447" s="39">
        <v>270</v>
      </c>
      <c r="I447" s="40">
        <f>=H447*1.05</f>
        <v>283.5</v>
      </c>
      <c r="J447" s="40">
        <f>=F447*2</f>
        <v>486</v>
      </c>
      <c r="K447" s="40">
        <f>=H447*2</f>
        <v>540</v>
      </c>
      <c r="L447" s="40">
        <f>=I447*2</f>
        <v>567</v>
      </c>
      <c r="M447" s="41" t="s">
        <v>211</v>
      </c>
      <c r="N447" s="41">
        <v>2.3</v>
      </c>
      <c r="O447" s="41" t="s"/>
      <c r="P447" s="41" t="s">
        <v>21</v>
      </c>
      <c r="Q447" s="41" t="s">
        <v>21</v>
      </c>
      <c r="R447" s="41" t="s">
        <v>16</v>
      </c>
      <c r="S447" s="41" t="s">
        <v>137</v>
      </c>
      <c r="T447" s="41" t="s">
        <v>206</v>
      </c>
      <c r="U447" s="16" t="s">
        <v>13</v>
      </c>
      <c r="V447" s="16" t="s">
        <v>19</v>
      </c>
      <c r="W447" s="19" t="s"/>
      <c r="X447" s="26" t="s">
        <f>=M447&amp;N447&amp;P447&amp;Q447&amp;T447&amp;V447&amp;S447</f>
        <v>520</v>
      </c>
      <c r="Y447" s="19" t="s"/>
      <c r="Z447" s="19" t="s"/>
      <c r="AA447" s="19" t="s"/>
      <c r="AB447" s="19" t="s"/>
    </row>
    <row r="448" spans="1:28" ht="14.4">
      <c r="A448" s="4">
        <f>=H448/G448-1</f>
        <v>0.098901098901099</v>
      </c>
      <c r="B448" s="20">
        <f>=F448/12</f>
        <v>7.5</v>
      </c>
      <c r="C448" s="20">
        <f>=J448/3</f>
        <v>60</v>
      </c>
      <c r="D448" s="20">
        <f>=K448/3</f>
        <v>66.6666666666667</v>
      </c>
      <c r="E448" s="20">
        <f>=L448/3</f>
        <v>70</v>
      </c>
      <c r="F448" s="20">
        <f>=H448*0.9</f>
        <v>90</v>
      </c>
      <c r="G448" s="21">
        <v>91</v>
      </c>
      <c r="H448" s="39">
        <v>100</v>
      </c>
      <c r="I448" s="40">
        <f>=H448*1.05</f>
        <v>105</v>
      </c>
      <c r="J448" s="40">
        <f>=F448*2</f>
        <v>180</v>
      </c>
      <c r="K448" s="40">
        <f>=H448*2</f>
        <v>200</v>
      </c>
      <c r="L448" s="40">
        <f>=I448*2</f>
        <v>210</v>
      </c>
      <c r="M448" s="41" t="s">
        <v>521</v>
      </c>
      <c r="N448" s="41">
        <v>0.075</v>
      </c>
      <c r="O448" s="41" t="s"/>
      <c r="P448" s="41" t="s">
        <v>21</v>
      </c>
      <c r="Q448" s="41" t="s">
        <v>21</v>
      </c>
      <c r="R448" s="41" t="s">
        <v>16</v>
      </c>
      <c r="S448" s="41" t="s">
        <v>17</v>
      </c>
      <c r="T448" s="41" t="s">
        <v>18</v>
      </c>
      <c r="U448" s="16" t="s">
        <v>13</v>
      </c>
      <c r="V448" s="16" t="s">
        <v>19</v>
      </c>
      <c r="W448" s="19" t="s"/>
      <c r="X448" s="26" t="s">
        <f>=M448&amp;N448&amp;P448&amp;Q448&amp;T448&amp;V448&amp;S448</f>
        <v>522</v>
      </c>
      <c r="Y448" s="19" t="s"/>
      <c r="Z448" s="19" t="s"/>
      <c r="AA448" s="19" t="s"/>
      <c r="AB448" s="19" t="s"/>
    </row>
    <row r="449" spans="1:28" ht="14.4">
      <c r="A449" s="4">
        <f>=H449/G449-1</f>
        <v>0.098901098901099</v>
      </c>
      <c r="B449" s="20">
        <f>=F449/12</f>
        <v>7.5</v>
      </c>
      <c r="C449" s="20">
        <f>=J449/3</f>
        <v>60</v>
      </c>
      <c r="D449" s="20">
        <f>=K449/3</f>
        <v>66.6666666666667</v>
      </c>
      <c r="E449" s="20">
        <f>=L449/3</f>
        <v>70</v>
      </c>
      <c r="F449" s="20">
        <f>=H449*0.9</f>
        <v>90</v>
      </c>
      <c r="G449" s="21">
        <v>91</v>
      </c>
      <c r="H449" s="39">
        <v>100</v>
      </c>
      <c r="I449" s="40">
        <f>=H449*1.05</f>
        <v>105</v>
      </c>
      <c r="J449" s="40">
        <f>=F449*2</f>
        <v>180</v>
      </c>
      <c r="K449" s="40">
        <f>=H449*2</f>
        <v>200</v>
      </c>
      <c r="L449" s="40">
        <f>=I449*2</f>
        <v>210</v>
      </c>
      <c r="M449" s="41" t="s">
        <v>521</v>
      </c>
      <c r="N449" s="41">
        <v>0.08</v>
      </c>
      <c r="O449" s="41" t="s"/>
      <c r="P449" s="41" t="s">
        <v>21</v>
      </c>
      <c r="Q449" s="41" t="s">
        <v>21</v>
      </c>
      <c r="R449" s="41" t="s">
        <v>16</v>
      </c>
      <c r="S449" s="41" t="s">
        <v>17</v>
      </c>
      <c r="T449" s="41" t="s">
        <v>18</v>
      </c>
      <c r="U449" s="16" t="s">
        <v>13</v>
      </c>
      <c r="V449" s="16" t="s">
        <v>19</v>
      </c>
      <c r="W449" s="19" t="s"/>
      <c r="X449" s="26" t="s">
        <f>=M449&amp;N449&amp;P449&amp;Q449&amp;T449&amp;V449&amp;S449</f>
        <v>523</v>
      </c>
      <c r="Y449" s="19" t="s"/>
      <c r="Z449" s="19" t="s"/>
      <c r="AA449" s="19" t="s"/>
      <c r="AB449" s="19" t="s"/>
    </row>
    <row r="450" spans="1:28" ht="14.4">
      <c r="A450" s="4">
        <f>=H450/G450-1</f>
        <v>0.0992366412213741</v>
      </c>
      <c r="B450" s="20">
        <f>=F450/12</f>
        <v>10.8</v>
      </c>
      <c r="C450" s="20">
        <f>=J450/3</f>
        <v>86.4</v>
      </c>
      <c r="D450" s="20">
        <f>=K450/3</f>
        <v>96</v>
      </c>
      <c r="E450" s="20">
        <f>=L450/3</f>
        <v>100.8</v>
      </c>
      <c r="F450" s="20">
        <f>=H450*0.9</f>
        <v>129.6</v>
      </c>
      <c r="G450" s="21">
        <v>131</v>
      </c>
      <c r="H450" s="39">
        <v>144</v>
      </c>
      <c r="I450" s="40">
        <f>=H450*1.05</f>
        <v>151.2</v>
      </c>
      <c r="J450" s="40">
        <f>=F450*2</f>
        <v>259.2</v>
      </c>
      <c r="K450" s="40">
        <f>=H450*2</f>
        <v>288</v>
      </c>
      <c r="L450" s="40">
        <f>=I450*2</f>
        <v>302.4</v>
      </c>
      <c r="M450" s="41" t="s">
        <v>521</v>
      </c>
      <c r="N450" s="41">
        <v>0.1</v>
      </c>
      <c r="O450" s="41" t="s"/>
      <c r="P450" s="41">
        <v>1</v>
      </c>
      <c r="Q450" s="41">
        <v>1</v>
      </c>
      <c r="R450" s="41" t="s">
        <v>16</v>
      </c>
      <c r="S450" s="41" t="s">
        <v>17</v>
      </c>
      <c r="T450" s="41" t="s">
        <v>23</v>
      </c>
      <c r="U450" s="16" t="s">
        <v>13</v>
      </c>
      <c r="V450" s="16" t="s">
        <v>19</v>
      </c>
      <c r="W450" s="19" t="s"/>
      <c r="X450" s="26" t="s">
        <f>=M450&amp;N450&amp;P450&amp;Q450&amp;T450&amp;V450&amp;S450</f>
        <v>524</v>
      </c>
      <c r="Y450" s="19" t="s"/>
      <c r="Z450" s="19" t="s"/>
      <c r="AA450" s="19" t="s"/>
      <c r="AB450" s="19" t="s"/>
    </row>
    <row r="451" spans="1:28" ht="14.4">
      <c r="A451" s="4">
        <f>=H451/G451-1</f>
        <v>0.0991735537190082</v>
      </c>
      <c r="B451" s="20">
        <f>=F451/12</f>
        <v>9.975</v>
      </c>
      <c r="C451" s="20">
        <f>=J451/3</f>
        <v>79.8</v>
      </c>
      <c r="D451" s="20">
        <f>=K451/3</f>
        <v>88.6666666666667</v>
      </c>
      <c r="E451" s="20">
        <f>=L451/3</f>
        <v>93.1</v>
      </c>
      <c r="F451" s="20">
        <f>=H451*0.9</f>
        <v>119.7</v>
      </c>
      <c r="G451" s="21">
        <v>121</v>
      </c>
      <c r="H451" s="39">
        <v>133</v>
      </c>
      <c r="I451" s="40">
        <f>=H451*1.05</f>
        <v>139.65</v>
      </c>
      <c r="J451" s="40">
        <f>=F451*2</f>
        <v>239.4</v>
      </c>
      <c r="K451" s="40">
        <f>=H451*2</f>
        <v>266</v>
      </c>
      <c r="L451" s="40">
        <f>=I451*2</f>
        <v>279.3</v>
      </c>
      <c r="M451" s="41" t="s">
        <v>521</v>
      </c>
      <c r="N451" s="41">
        <v>0.1</v>
      </c>
      <c r="O451" s="41" t="s"/>
      <c r="P451" s="41">
        <v>1</v>
      </c>
      <c r="Q451" s="41">
        <v>1</v>
      </c>
      <c r="R451" s="41" t="s">
        <v>16</v>
      </c>
      <c r="S451" s="41" t="s">
        <v>17</v>
      </c>
      <c r="T451" s="41" t="s">
        <v>25</v>
      </c>
      <c r="U451" s="16" t="s">
        <v>13</v>
      </c>
      <c r="V451" s="16" t="s">
        <v>19</v>
      </c>
      <c r="W451" s="19" t="s"/>
      <c r="X451" s="26" t="s">
        <f>=M451&amp;N451&amp;P451&amp;Q451&amp;T451&amp;V451&amp;S451</f>
        <v>525</v>
      </c>
      <c r="Y451" s="19" t="s"/>
      <c r="Z451" s="19" t="s"/>
      <c r="AA451" s="19" t="s"/>
      <c r="AB451" s="19" t="s"/>
    </row>
    <row r="452" spans="1:28" ht="14.4">
      <c r="A452" s="4">
        <f>=H452/G452-1</f>
        <v>0.101123595505618</v>
      </c>
      <c r="B452" s="20">
        <f>=F452/12</f>
        <v>7.35</v>
      </c>
      <c r="C452" s="20">
        <f>=J452/3</f>
        <v>58.8</v>
      </c>
      <c r="D452" s="20">
        <f>=K452/3</f>
        <v>65.3333333333333</v>
      </c>
      <c r="E452" s="20">
        <f>=L452/3</f>
        <v>68.6</v>
      </c>
      <c r="F452" s="20">
        <f>=H452*0.9</f>
        <v>88.2</v>
      </c>
      <c r="G452" s="21">
        <v>89</v>
      </c>
      <c r="H452" s="39">
        <v>98</v>
      </c>
      <c r="I452" s="40">
        <f>=H452*1.05</f>
        <v>102.9</v>
      </c>
      <c r="J452" s="40">
        <f>=F452*2</f>
        <v>176.4</v>
      </c>
      <c r="K452" s="40">
        <f>=H452*2</f>
        <v>196</v>
      </c>
      <c r="L452" s="40">
        <f>=I452*2</f>
        <v>205.8</v>
      </c>
      <c r="M452" s="41" t="s">
        <v>521</v>
      </c>
      <c r="N452" s="41">
        <v>0.1</v>
      </c>
      <c r="O452" s="41" t="s"/>
      <c r="P452" s="41" t="s">
        <v>21</v>
      </c>
      <c r="Q452" s="41" t="s">
        <v>21</v>
      </c>
      <c r="R452" s="41" t="s">
        <v>16</v>
      </c>
      <c r="S452" s="41" t="s">
        <v>17</v>
      </c>
      <c r="T452" s="41" t="s">
        <v>23</v>
      </c>
      <c r="U452" s="16" t="s">
        <v>13</v>
      </c>
      <c r="V452" s="16" t="s">
        <v>19</v>
      </c>
      <c r="W452" s="19" t="s"/>
      <c r="X452" s="26" t="s">
        <f>=M452&amp;N452&amp;P452&amp;Q452&amp;T452&amp;V452&amp;S452</f>
        <v>526</v>
      </c>
      <c r="Y452" s="19" t="s"/>
      <c r="Z452" s="19" t="s"/>
      <c r="AA452" s="19" t="s"/>
      <c r="AB452" s="19" t="s"/>
    </row>
    <row r="453" spans="1:28" ht="14.4">
      <c r="A453" s="4">
        <f>=H453/G453-1</f>
        <v>0.0992366412213741</v>
      </c>
      <c r="B453" s="20">
        <f>=F453/12</f>
        <v>10.8</v>
      </c>
      <c r="C453" s="20">
        <f>=J453/3</f>
        <v>86.4</v>
      </c>
      <c r="D453" s="20">
        <f>=K453/3</f>
        <v>96</v>
      </c>
      <c r="E453" s="20">
        <f>=L453/3</f>
        <v>100.8</v>
      </c>
      <c r="F453" s="20">
        <f>=H453*0.9</f>
        <v>129.6</v>
      </c>
      <c r="G453" s="21">
        <v>131</v>
      </c>
      <c r="H453" s="39">
        <v>144</v>
      </c>
      <c r="I453" s="40">
        <f>=H453*1.05</f>
        <v>151.2</v>
      </c>
      <c r="J453" s="40">
        <f>=F453*2</f>
        <v>259.2</v>
      </c>
      <c r="K453" s="40">
        <f>=H453*2</f>
        <v>288</v>
      </c>
      <c r="L453" s="40">
        <f>=I453*2</f>
        <v>302.4</v>
      </c>
      <c r="M453" s="41" t="s">
        <v>521</v>
      </c>
      <c r="N453" s="41">
        <v>0.11</v>
      </c>
      <c r="O453" s="41" t="s"/>
      <c r="P453" s="41">
        <v>1</v>
      </c>
      <c r="Q453" s="41">
        <v>1</v>
      </c>
      <c r="R453" s="41" t="s">
        <v>16</v>
      </c>
      <c r="S453" s="41" t="s">
        <v>17</v>
      </c>
      <c r="T453" s="41" t="s">
        <v>23</v>
      </c>
      <c r="U453" s="16" t="s">
        <v>13</v>
      </c>
      <c r="V453" s="16" t="s">
        <v>19</v>
      </c>
      <c r="W453" s="19" t="s"/>
      <c r="X453" s="26" t="s">
        <f>=M453&amp;N453&amp;P453&amp;Q453&amp;T453&amp;V453&amp;S453</f>
        <v>527</v>
      </c>
      <c r="Y453" s="19" t="s"/>
      <c r="Z453" s="19" t="s"/>
      <c r="AA453" s="19" t="s"/>
      <c r="AB453" s="19" t="s"/>
    </row>
    <row r="454" spans="1:28" ht="14.4">
      <c r="A454" s="4">
        <f>=H454/G454-1</f>
        <v>0.102941176470588</v>
      </c>
      <c r="B454" s="20">
        <f>=F454/12</f>
        <v>11.25</v>
      </c>
      <c r="C454" s="20">
        <f>=J454/3</f>
        <v>90</v>
      </c>
      <c r="D454" s="20">
        <f>=K454/3</f>
        <v>100</v>
      </c>
      <c r="E454" s="20">
        <f>=L454/3</f>
        <v>105</v>
      </c>
      <c r="F454" s="20">
        <f>=H454*0.9</f>
        <v>135</v>
      </c>
      <c r="G454" s="21">
        <v>136</v>
      </c>
      <c r="H454" s="39">
        <v>150</v>
      </c>
      <c r="I454" s="40">
        <f>=H454*1.05</f>
        <v>157.5</v>
      </c>
      <c r="J454" s="40">
        <f>=F454*2</f>
        <v>270</v>
      </c>
      <c r="K454" s="40">
        <f>=H454*2</f>
        <v>300</v>
      </c>
      <c r="L454" s="40">
        <f>=I454*2</f>
        <v>315</v>
      </c>
      <c r="M454" s="41" t="s">
        <v>521</v>
      </c>
      <c r="N454" s="41">
        <v>0.13</v>
      </c>
      <c r="O454" s="41" t="s"/>
      <c r="P454" s="41">
        <v>1</v>
      </c>
      <c r="Q454" s="41">
        <v>1</v>
      </c>
      <c r="R454" s="41" t="s">
        <v>16</v>
      </c>
      <c r="S454" s="41" t="s">
        <v>17</v>
      </c>
      <c r="T454" s="41" t="s">
        <v>43</v>
      </c>
      <c r="U454" s="16" t="s">
        <v>13</v>
      </c>
      <c r="V454" s="16" t="s">
        <v>19</v>
      </c>
      <c r="W454" s="19" t="s"/>
      <c r="X454" s="26" t="s">
        <f>=M454&amp;N454&amp;P454&amp;Q454&amp;T454&amp;V454&amp;S454</f>
        <v>528</v>
      </c>
      <c r="Y454" s="19" t="s"/>
      <c r="Z454" s="19" t="s"/>
      <c r="AA454" s="19" t="s"/>
      <c r="AB454" s="19" t="s"/>
    </row>
    <row r="455" spans="1:28" ht="14.4">
      <c r="A455" s="4">
        <f>=H455/G455-1</f>
        <v>0.1015625</v>
      </c>
      <c r="B455" s="20">
        <f>=F455/12</f>
        <v>10.575</v>
      </c>
      <c r="C455" s="20">
        <f>=J455/3</f>
        <v>84.6</v>
      </c>
      <c r="D455" s="20">
        <f>=K455/3</f>
        <v>94</v>
      </c>
      <c r="E455" s="20">
        <f>=L455/3</f>
        <v>98.7</v>
      </c>
      <c r="F455" s="20">
        <f>=H455*0.9</f>
        <v>126.9</v>
      </c>
      <c r="G455" s="21">
        <v>128</v>
      </c>
      <c r="H455" s="39">
        <v>141</v>
      </c>
      <c r="I455" s="40">
        <f>=H455*1.05</f>
        <v>148.05</v>
      </c>
      <c r="J455" s="40">
        <f>=F455*2</f>
        <v>253.8</v>
      </c>
      <c r="K455" s="40">
        <f>=H455*2</f>
        <v>282</v>
      </c>
      <c r="L455" s="40">
        <f>=I455*2</f>
        <v>296.1</v>
      </c>
      <c r="M455" s="41" t="s">
        <v>521</v>
      </c>
      <c r="N455" s="41">
        <v>0.13</v>
      </c>
      <c r="O455" s="41" t="s"/>
      <c r="P455" s="41">
        <v>1</v>
      </c>
      <c r="Q455" s="41">
        <v>1</v>
      </c>
      <c r="R455" s="41" t="s">
        <v>16</v>
      </c>
      <c r="S455" s="41" t="s">
        <v>17</v>
      </c>
      <c r="T455" s="41" t="s">
        <v>529</v>
      </c>
      <c r="U455" s="16" t="s">
        <v>13</v>
      </c>
      <c r="V455" s="16" t="s">
        <v>19</v>
      </c>
      <c r="W455" s="19" t="s"/>
      <c r="X455" s="26" t="s">
        <f>=M455&amp;N455&amp;P455&amp;Q455&amp;T455&amp;V455&amp;S455</f>
        <v>530</v>
      </c>
      <c r="Y455" s="19" t="s"/>
      <c r="Z455" s="19" t="s"/>
      <c r="AA455" s="19" t="s"/>
      <c r="AB455" s="19" t="s"/>
    </row>
    <row r="456" spans="1:28" ht="14.4">
      <c r="A456" s="4">
        <f>=H456/G456-1</f>
        <v>0.0964912280701755</v>
      </c>
      <c r="B456" s="20">
        <f>=F456/12</f>
        <v>9.375</v>
      </c>
      <c r="C456" s="20">
        <f>=J456/3</f>
        <v>75</v>
      </c>
      <c r="D456" s="20">
        <f>=K456/3</f>
        <v>83.3333333333333</v>
      </c>
      <c r="E456" s="20">
        <f>=L456/3</f>
        <v>87.5</v>
      </c>
      <c r="F456" s="20">
        <f>=H456*0.9</f>
        <v>112.5</v>
      </c>
      <c r="G456" s="21">
        <v>114</v>
      </c>
      <c r="H456" s="39">
        <v>125</v>
      </c>
      <c r="I456" s="40">
        <f>=H456*1.05</f>
        <v>131.25</v>
      </c>
      <c r="J456" s="40">
        <f>=F456*2</f>
        <v>225</v>
      </c>
      <c r="K456" s="40">
        <f>=H456*2</f>
        <v>250</v>
      </c>
      <c r="L456" s="40">
        <f>=I456*2</f>
        <v>262.5</v>
      </c>
      <c r="M456" s="41" t="s">
        <v>521</v>
      </c>
      <c r="N456" s="41">
        <v>0.13</v>
      </c>
      <c r="O456" s="41" t="s"/>
      <c r="P456" s="41" t="s">
        <v>21</v>
      </c>
      <c r="Q456" s="41" t="s">
        <v>21</v>
      </c>
      <c r="R456" s="41" t="s">
        <v>16</v>
      </c>
      <c r="S456" s="41" t="s">
        <v>17</v>
      </c>
      <c r="T456" s="41" t="s">
        <v>529</v>
      </c>
      <c r="U456" s="16" t="s">
        <v>13</v>
      </c>
      <c r="V456" s="16" t="s">
        <v>19</v>
      </c>
      <c r="W456" s="19" t="s"/>
      <c r="X456" s="26" t="s">
        <f>=M456&amp;N456&amp;P456&amp;Q456&amp;T456&amp;V456&amp;S456</f>
        <v>531</v>
      </c>
      <c r="Y456" s="19" t="s"/>
      <c r="Z456" s="19" t="s"/>
      <c r="AA456" s="19" t="s"/>
      <c r="AB456" s="19" t="s"/>
    </row>
    <row r="457" spans="1:28" ht="14.4">
      <c r="A457" s="4">
        <f>=H457/G457-1</f>
        <v>0.0997506234413965</v>
      </c>
      <c r="B457" s="20">
        <f>=F457/12</f>
        <v>33.075</v>
      </c>
      <c r="C457" s="20">
        <f>=J457/3</f>
        <v>264.6</v>
      </c>
      <c r="D457" s="20">
        <f>=K457/3</f>
        <v>294</v>
      </c>
      <c r="E457" s="20">
        <f>=L457/3</f>
        <v>308.7</v>
      </c>
      <c r="F457" s="20">
        <f>=H457*0.9</f>
        <v>396.9</v>
      </c>
      <c r="G457" s="21">
        <v>401</v>
      </c>
      <c r="H457" s="39">
        <v>441</v>
      </c>
      <c r="I457" s="40">
        <f>=H457*1.05</f>
        <v>463.05</v>
      </c>
      <c r="J457" s="40">
        <f>=F457*2</f>
        <v>793.8</v>
      </c>
      <c r="K457" s="40">
        <f>=H457*2</f>
        <v>882</v>
      </c>
      <c r="L457" s="40">
        <f>=I457*2</f>
        <v>926.1</v>
      </c>
      <c r="M457" s="41" t="s">
        <v>521</v>
      </c>
      <c r="N457" s="41">
        <v>0.13</v>
      </c>
      <c r="O457" s="41" t="s"/>
      <c r="P457" s="41">
        <v>3</v>
      </c>
      <c r="Q457" s="41">
        <v>3</v>
      </c>
      <c r="R457" s="41" t="s">
        <v>16</v>
      </c>
      <c r="S457" s="41" t="s">
        <v>17</v>
      </c>
      <c r="T457" s="41" t="s">
        <v>529</v>
      </c>
      <c r="U457" s="16" t="s">
        <v>13</v>
      </c>
      <c r="V457" s="16" t="s">
        <v>19</v>
      </c>
      <c r="W457" s="19" t="s"/>
      <c r="X457" s="26" t="s">
        <f>=M457&amp;N457&amp;P457&amp;Q457&amp;T457&amp;V457&amp;S457</f>
        <v>532</v>
      </c>
      <c r="Y457" s="19" t="s"/>
      <c r="Z457" s="19" t="s"/>
      <c r="AA457" s="19" t="s"/>
      <c r="AB457" s="19" t="s"/>
    </row>
    <row r="458" spans="1:28" ht="14.4">
      <c r="A458" s="4">
        <f>=H458/G458-1</f>
        <v>0.0970149253731343</v>
      </c>
      <c r="B458" s="20">
        <f>=F458/12</f>
        <v>11.025</v>
      </c>
      <c r="C458" s="20">
        <f>=J458/3</f>
        <v>88.2</v>
      </c>
      <c r="D458" s="20">
        <f>=K458/3</f>
        <v>98</v>
      </c>
      <c r="E458" s="20">
        <f>=L458/3</f>
        <v>102.9</v>
      </c>
      <c r="F458" s="20">
        <f>=H458*0.9</f>
        <v>132.3</v>
      </c>
      <c r="G458" s="21">
        <v>134</v>
      </c>
      <c r="H458" s="39">
        <v>147</v>
      </c>
      <c r="I458" s="40">
        <f>=H458*1.05</f>
        <v>154.35</v>
      </c>
      <c r="J458" s="40">
        <f>=F458*2</f>
        <v>264.6</v>
      </c>
      <c r="K458" s="40">
        <f>=H458*2</f>
        <v>294</v>
      </c>
      <c r="L458" s="40">
        <f>=I458*2</f>
        <v>308.7</v>
      </c>
      <c r="M458" s="41" t="s">
        <v>521</v>
      </c>
      <c r="N458" s="41">
        <v>0.2</v>
      </c>
      <c r="O458" s="41" t="s"/>
      <c r="P458" s="41">
        <v>1</v>
      </c>
      <c r="Q458" s="41">
        <v>1</v>
      </c>
      <c r="R458" s="41" t="s">
        <v>16</v>
      </c>
      <c r="S458" s="41" t="s">
        <v>17</v>
      </c>
      <c r="T458" s="41" t="s">
        <v>46</v>
      </c>
      <c r="U458" s="16" t="s">
        <v>13</v>
      </c>
      <c r="V458" s="16" t="s">
        <v>19</v>
      </c>
      <c r="W458" s="19" t="s"/>
      <c r="X458" s="26" t="s">
        <f>=M458&amp;N458&amp;P458&amp;Q458&amp;T458&amp;V458&amp;S458</f>
        <v>533</v>
      </c>
      <c r="Y458" s="19" t="s"/>
      <c r="Z458" s="19" t="s"/>
      <c r="AA458" s="19" t="s"/>
      <c r="AB458" s="19" t="s"/>
    </row>
    <row r="459" spans="1:28" ht="14.4">
      <c r="A459" s="4">
        <f>=H459/G459-1</f>
        <v>0.101449275362319</v>
      </c>
      <c r="B459" s="20">
        <f>=F459/12</f>
        <v>22.8</v>
      </c>
      <c r="C459" s="20">
        <f>=J459/3</f>
        <v>182.4</v>
      </c>
      <c r="D459" s="20">
        <f>=K459/3</f>
        <v>202.666666666667</v>
      </c>
      <c r="E459" s="20">
        <f>=L459/3</f>
        <v>212.8</v>
      </c>
      <c r="F459" s="20">
        <f>=H459*0.9</f>
        <v>273.6</v>
      </c>
      <c r="G459" s="21">
        <v>276</v>
      </c>
      <c r="H459" s="39">
        <v>304</v>
      </c>
      <c r="I459" s="40">
        <f>=H459*1.05</f>
        <v>319.2</v>
      </c>
      <c r="J459" s="40">
        <f>=F459*2</f>
        <v>547.2</v>
      </c>
      <c r="K459" s="40">
        <f>=H459*2</f>
        <v>608</v>
      </c>
      <c r="L459" s="40">
        <f>=I459*2</f>
        <v>638.4</v>
      </c>
      <c r="M459" s="41" t="s">
        <v>521</v>
      </c>
      <c r="N459" s="41">
        <v>0.2</v>
      </c>
      <c r="O459" s="41" t="s"/>
      <c r="P459" s="41">
        <v>2</v>
      </c>
      <c r="Q459" s="41">
        <v>2</v>
      </c>
      <c r="R459" s="41" t="s">
        <v>16</v>
      </c>
      <c r="S459" s="41" t="s">
        <v>17</v>
      </c>
      <c r="T459" s="41" t="s">
        <v>46</v>
      </c>
      <c r="U459" s="16" t="s">
        <v>13</v>
      </c>
      <c r="V459" s="16" t="s">
        <v>19</v>
      </c>
      <c r="W459" s="19" t="s"/>
      <c r="X459" s="26" t="s">
        <f>=M459&amp;N459&amp;P459&amp;Q459&amp;T459&amp;V459&amp;S459</f>
        <v>534</v>
      </c>
      <c r="Y459" s="19" t="s"/>
      <c r="Z459" s="19" t="s"/>
      <c r="AA459" s="19" t="s"/>
      <c r="AB459" s="19" t="s"/>
    </row>
    <row r="460" spans="1:28" ht="14.4">
      <c r="A460" s="4">
        <f>=H460/G460-1</f>
        <v>0.0773480662983426</v>
      </c>
      <c r="B460" s="20">
        <f>=F460/12</f>
        <v>14.625</v>
      </c>
      <c r="C460" s="20">
        <f>=J460/3</f>
        <v>117</v>
      </c>
      <c r="D460" s="20">
        <f>=K460/3</f>
        <v>130</v>
      </c>
      <c r="E460" s="20">
        <f>=L460/3</f>
        <v>136.5</v>
      </c>
      <c r="F460" s="20">
        <f>=H460*0.9</f>
        <v>175.5</v>
      </c>
      <c r="G460" s="21">
        <v>181</v>
      </c>
      <c r="H460" s="39">
        <v>195</v>
      </c>
      <c r="I460" s="40">
        <f>=H460*1.05</f>
        <v>204.75</v>
      </c>
      <c r="J460" s="40">
        <f>=F460*2</f>
        <v>351</v>
      </c>
      <c r="K460" s="40">
        <f>=H460*2</f>
        <v>390</v>
      </c>
      <c r="L460" s="40">
        <f>=I460*2</f>
        <v>409.5</v>
      </c>
      <c r="M460" s="41" t="s">
        <v>521</v>
      </c>
      <c r="N460" s="41">
        <v>0.25</v>
      </c>
      <c r="O460" s="41" t="s"/>
      <c r="P460" s="41">
        <v>1</v>
      </c>
      <c r="Q460" s="41">
        <v>1</v>
      </c>
      <c r="R460" s="41" t="s">
        <v>16</v>
      </c>
      <c r="S460" s="41" t="s">
        <v>17</v>
      </c>
      <c r="T460" s="41" t="s">
        <v>52</v>
      </c>
      <c r="U460" s="16" t="s">
        <v>13</v>
      </c>
      <c r="V460" s="16" t="s">
        <v>19</v>
      </c>
      <c r="W460" s="19" t="s"/>
      <c r="X460" s="26" t="s">
        <f>=M460&amp;N460&amp;P460&amp;Q460&amp;T460&amp;V460&amp;S460</f>
        <v>535</v>
      </c>
      <c r="Y460" s="19" t="s"/>
      <c r="Z460" s="19" t="s"/>
      <c r="AA460" s="19" t="s"/>
      <c r="AB460" s="19" t="s"/>
    </row>
    <row r="461" spans="1:28" ht="14.4">
      <c r="A461" s="4">
        <f>=H461/G461-1</f>
        <v>0.099585062240664</v>
      </c>
      <c r="B461" s="20">
        <f>=F461/12</f>
        <v>19.875</v>
      </c>
      <c r="C461" s="20">
        <f>=J461/3</f>
        <v>159</v>
      </c>
      <c r="D461" s="20">
        <f>=K461/3</f>
        <v>176.666666666667</v>
      </c>
      <c r="E461" s="20">
        <f>=L461/3</f>
        <v>185.5</v>
      </c>
      <c r="F461" s="20">
        <f>=H461*0.9</f>
        <v>238.5</v>
      </c>
      <c r="G461" s="21">
        <v>241</v>
      </c>
      <c r="H461" s="39">
        <v>265</v>
      </c>
      <c r="I461" s="40">
        <f>=H461*1.05</f>
        <v>278.25</v>
      </c>
      <c r="J461" s="40">
        <f>=F461*2</f>
        <v>477</v>
      </c>
      <c r="K461" s="40">
        <f>=H461*2</f>
        <v>530</v>
      </c>
      <c r="L461" s="40">
        <f>=I461*2</f>
        <v>556.5</v>
      </c>
      <c r="M461" s="41" t="s">
        <v>521</v>
      </c>
      <c r="N461" s="41">
        <v>0.25</v>
      </c>
      <c r="O461" s="41" t="s"/>
      <c r="P461" s="41">
        <v>2</v>
      </c>
      <c r="Q461" s="41">
        <v>2</v>
      </c>
      <c r="R461" s="41" t="s">
        <v>16</v>
      </c>
      <c r="S461" s="41" t="s">
        <v>17</v>
      </c>
      <c r="T461" s="41" t="s">
        <v>52</v>
      </c>
      <c r="U461" s="16" t="s">
        <v>13</v>
      </c>
      <c r="V461" s="16" t="s">
        <v>19</v>
      </c>
      <c r="W461" s="19" t="s"/>
      <c r="X461" s="26" t="s">
        <f>=M461&amp;N461&amp;P461&amp;Q461&amp;T461&amp;V461&amp;S461</f>
        <v>536</v>
      </c>
      <c r="Y461" s="19" t="s"/>
      <c r="Z461" s="19" t="s"/>
      <c r="AA461" s="19" t="s"/>
      <c r="AB461" s="19" t="s"/>
    </row>
    <row r="462" spans="1:28" ht="14.4">
      <c r="A462" s="4">
        <f>=H462/G462-1</f>
        <v>0.102127659574468</v>
      </c>
      <c r="B462" s="20">
        <f>=F462/12</f>
        <v>19.425</v>
      </c>
      <c r="C462" s="20">
        <f>=J462/3</f>
        <v>155.4</v>
      </c>
      <c r="D462" s="20">
        <f>=K462/3</f>
        <v>172.666666666667</v>
      </c>
      <c r="E462" s="20">
        <f>=L462/3</f>
        <v>181.3</v>
      </c>
      <c r="F462" s="20">
        <f>=H462*0.9</f>
        <v>233.1</v>
      </c>
      <c r="G462" s="21">
        <v>235</v>
      </c>
      <c r="H462" s="39">
        <v>259</v>
      </c>
      <c r="I462" s="40">
        <f>=H462*1.05</f>
        <v>271.95</v>
      </c>
      <c r="J462" s="40">
        <f>=F462*2</f>
        <v>466.2</v>
      </c>
      <c r="K462" s="40">
        <f>=H462*2</f>
        <v>518</v>
      </c>
      <c r="L462" s="40">
        <f>=I462*2</f>
        <v>543.9</v>
      </c>
      <c r="M462" s="41" t="s">
        <v>521</v>
      </c>
      <c r="N462" s="41">
        <v>0.2</v>
      </c>
      <c r="O462" s="41" t="s"/>
      <c r="P462" s="41">
        <v>2</v>
      </c>
      <c r="Q462" s="41">
        <v>2</v>
      </c>
      <c r="R462" s="41" t="s">
        <v>16</v>
      </c>
      <c r="S462" s="41" t="s">
        <v>17</v>
      </c>
      <c r="T462" s="41" t="s">
        <v>48</v>
      </c>
      <c r="U462" s="16" t="s">
        <v>13</v>
      </c>
      <c r="V462" s="16" t="s">
        <v>19</v>
      </c>
      <c r="W462" s="19" t="s"/>
      <c r="X462" s="26" t="s">
        <f>=M462&amp;N462&amp;P462&amp;Q462&amp;T462&amp;V462&amp;S462</f>
        <v>537</v>
      </c>
      <c r="Y462" s="19" t="s"/>
      <c r="Z462" s="19" t="s"/>
      <c r="AA462" s="19" t="s"/>
      <c r="AB462" s="19" t="s"/>
    </row>
    <row r="463" spans="1:28" ht="14.4">
      <c r="A463" s="4">
        <f>=H463/G463-1</f>
        <v>0.101321585903084</v>
      </c>
      <c r="B463" s="20">
        <f>=F463/12</f>
        <v>18.75</v>
      </c>
      <c r="C463" s="20">
        <f>=J463/3</f>
        <v>150</v>
      </c>
      <c r="D463" s="20">
        <f>=K463/3</f>
        <v>166.666666666667</v>
      </c>
      <c r="E463" s="20">
        <f>=L463/3</f>
        <v>175</v>
      </c>
      <c r="F463" s="20">
        <f>=H463*0.9</f>
        <v>225</v>
      </c>
      <c r="G463" s="21">
        <v>227</v>
      </c>
      <c r="H463" s="39">
        <v>250</v>
      </c>
      <c r="I463" s="40">
        <f>=H463*1.05</f>
        <v>262.5</v>
      </c>
      <c r="J463" s="40">
        <f>=F463*2</f>
        <v>450</v>
      </c>
      <c r="K463" s="40">
        <f>=H463*2</f>
        <v>500</v>
      </c>
      <c r="L463" s="40">
        <f>=I463*2</f>
        <v>525</v>
      </c>
      <c r="M463" s="41" t="s">
        <v>521</v>
      </c>
      <c r="N463" s="41">
        <v>0.2</v>
      </c>
      <c r="O463" s="41" t="s"/>
      <c r="P463" s="41">
        <v>2</v>
      </c>
      <c r="Q463" s="41">
        <v>2</v>
      </c>
      <c r="R463" s="41" t="s">
        <v>16</v>
      </c>
      <c r="S463" s="41" t="s">
        <v>17</v>
      </c>
      <c r="T463" s="41" t="s">
        <v>52</v>
      </c>
      <c r="U463" s="16" t="s">
        <v>13</v>
      </c>
      <c r="V463" s="16" t="s">
        <v>19</v>
      </c>
      <c r="W463" s="19" t="s"/>
      <c r="X463" s="26" t="s">
        <f>=M463&amp;N463&amp;P463&amp;Q463&amp;T463&amp;V463&amp;S463</f>
        <v>538</v>
      </c>
      <c r="Y463" s="19" t="s"/>
      <c r="Z463" s="19" t="s"/>
      <c r="AA463" s="19" t="s"/>
      <c r="AB463" s="19" t="s"/>
    </row>
    <row r="464" spans="1:28" ht="14.4">
      <c r="A464" s="4">
        <f>=H464/G464-1</f>
        <v>0.100961538461539</v>
      </c>
      <c r="B464" s="20">
        <f>=F464/12</f>
        <v>34.35</v>
      </c>
      <c r="C464" s="20">
        <f>=J464/3</f>
        <v>274.8</v>
      </c>
      <c r="D464" s="20">
        <f>=K464/3</f>
        <v>305.333333333333</v>
      </c>
      <c r="E464" s="20">
        <f>=L464/3</f>
        <v>320.6</v>
      </c>
      <c r="F464" s="20">
        <f>=H464*0.9</f>
        <v>412.2</v>
      </c>
      <c r="G464" s="21">
        <v>416</v>
      </c>
      <c r="H464" s="39">
        <v>458</v>
      </c>
      <c r="I464" s="40">
        <f>=H464*1.05</f>
        <v>480.9</v>
      </c>
      <c r="J464" s="40">
        <f>=F464*2</f>
        <v>824.4</v>
      </c>
      <c r="K464" s="40">
        <f>=H464*2</f>
        <v>916</v>
      </c>
      <c r="L464" s="40">
        <f>=I464*2</f>
        <v>961.8</v>
      </c>
      <c r="M464" s="41" t="s">
        <v>521</v>
      </c>
      <c r="N464" s="41">
        <v>0.2</v>
      </c>
      <c r="O464" s="41" t="s"/>
      <c r="P464" s="41">
        <v>3</v>
      </c>
      <c r="Q464" s="41">
        <v>3</v>
      </c>
      <c r="R464" s="41" t="s">
        <v>16</v>
      </c>
      <c r="S464" s="41" t="s">
        <v>17</v>
      </c>
      <c r="T464" s="41" t="s">
        <v>52</v>
      </c>
      <c r="U464" s="16" t="s">
        <v>13</v>
      </c>
      <c r="V464" s="16" t="s">
        <v>19</v>
      </c>
      <c r="W464" s="19" t="s"/>
      <c r="X464" s="26" t="s">
        <f>=M464&amp;N464&amp;P464&amp;Q464&amp;T464&amp;V464&amp;S464</f>
        <v>539</v>
      </c>
      <c r="Y464" s="19" t="s"/>
      <c r="Z464" s="19" t="s"/>
      <c r="AA464" s="19" t="s"/>
      <c r="AB464" s="19" t="s"/>
    </row>
    <row r="465" spans="1:28" ht="14.4">
      <c r="A465" s="4">
        <f>=H465/G465-1</f>
        <v>0.102040816326531</v>
      </c>
      <c r="B465" s="20">
        <f>=F465/12</f>
        <v>12.15</v>
      </c>
      <c r="C465" s="20">
        <f>=J465/3</f>
        <v>97.2</v>
      </c>
      <c r="D465" s="20">
        <f>=K465/3</f>
        <v>108</v>
      </c>
      <c r="E465" s="20">
        <f>=L465/3</f>
        <v>113.4</v>
      </c>
      <c r="F465" s="20">
        <f>=H465*0.9</f>
        <v>145.8</v>
      </c>
      <c r="G465" s="21">
        <v>147</v>
      </c>
      <c r="H465" s="39">
        <v>162</v>
      </c>
      <c r="I465" s="40">
        <f>=H465*1.05</f>
        <v>170.1</v>
      </c>
      <c r="J465" s="40">
        <f>=F465*2</f>
        <v>291.6</v>
      </c>
      <c r="K465" s="40">
        <f>=H465*2</f>
        <v>324</v>
      </c>
      <c r="L465" s="40">
        <f>=I465*2</f>
        <v>340.2</v>
      </c>
      <c r="M465" s="41" t="s">
        <v>521</v>
      </c>
      <c r="N465" s="41">
        <v>0.23</v>
      </c>
      <c r="O465" s="41" t="s"/>
      <c r="P465" s="41">
        <v>1</v>
      </c>
      <c r="Q465" s="41">
        <v>1</v>
      </c>
      <c r="R465" s="41" t="s">
        <v>16</v>
      </c>
      <c r="S465" s="41" t="s">
        <v>17</v>
      </c>
      <c r="T465" s="41" t="s">
        <v>52</v>
      </c>
      <c r="U465" s="16" t="s">
        <v>13</v>
      </c>
      <c r="V465" s="16" t="s">
        <v>19</v>
      </c>
      <c r="W465" s="19" t="s"/>
      <c r="X465" s="26" t="s">
        <f>=M465&amp;N465&amp;P465&amp;Q465&amp;T465&amp;V465&amp;S465</f>
        <v>540</v>
      </c>
      <c r="Y465" s="19" t="s"/>
      <c r="Z465" s="19" t="s"/>
      <c r="AA465" s="19" t="s"/>
      <c r="AB465" s="19" t="s"/>
    </row>
    <row r="466" spans="1:28" ht="14.4">
      <c r="A466" s="4">
        <f>=H466/G466-1</f>
        <v>0.1</v>
      </c>
      <c r="B466" s="20">
        <f>=F466/12</f>
        <v>18.975</v>
      </c>
      <c r="C466" s="20">
        <f>=J466/3</f>
        <v>151.8</v>
      </c>
      <c r="D466" s="20">
        <f>=K466/3</f>
        <v>168.666666666667</v>
      </c>
      <c r="E466" s="20">
        <f>=L466/3</f>
        <v>177.1</v>
      </c>
      <c r="F466" s="20">
        <f>=H466*0.9</f>
        <v>227.7</v>
      </c>
      <c r="G466" s="21">
        <v>230</v>
      </c>
      <c r="H466" s="39">
        <v>253</v>
      </c>
      <c r="I466" s="40">
        <f>=H466*1.05</f>
        <v>265.65</v>
      </c>
      <c r="J466" s="40">
        <f>=F466*2</f>
        <v>455.4</v>
      </c>
      <c r="K466" s="40">
        <f>=H466*2</f>
        <v>506</v>
      </c>
      <c r="L466" s="40">
        <f>=I466*2</f>
        <v>531.3</v>
      </c>
      <c r="M466" s="41" t="s">
        <v>521</v>
      </c>
      <c r="N466" s="41">
        <v>0.23</v>
      </c>
      <c r="O466" s="41" t="s"/>
      <c r="P466" s="41">
        <v>2</v>
      </c>
      <c r="Q466" s="41">
        <v>2</v>
      </c>
      <c r="R466" s="41" t="s">
        <v>16</v>
      </c>
      <c r="S466" s="41" t="s">
        <v>17</v>
      </c>
      <c r="T466" s="41" t="s">
        <v>52</v>
      </c>
      <c r="U466" s="16" t="s">
        <v>13</v>
      </c>
      <c r="V466" s="16" t="s">
        <v>19</v>
      </c>
      <c r="W466" s="19" t="s"/>
      <c r="X466" s="26" t="s">
        <f>=M466&amp;N466&amp;P466&amp;Q466&amp;T466&amp;V466&amp;S466</f>
        <v>541</v>
      </c>
      <c r="Y466" s="19" t="s"/>
      <c r="Z466" s="19" t="s"/>
      <c r="AA466" s="19" t="s"/>
      <c r="AB466" s="19" t="s"/>
    </row>
    <row r="467" spans="1:28" ht="14.4">
      <c r="A467" s="4">
        <f>=H467/G467-1</f>
        <v>0.0980392156862746</v>
      </c>
      <c r="B467" s="20">
        <f>=F467/12</f>
        <v>8.4</v>
      </c>
      <c r="C467" s="20">
        <f>=J467/3</f>
        <v>67.2</v>
      </c>
      <c r="D467" s="20">
        <f>=K467/3</f>
        <v>74.6666666666667</v>
      </c>
      <c r="E467" s="20">
        <f>=L467/3</f>
        <v>78.4</v>
      </c>
      <c r="F467" s="20">
        <f>=H467*0.9</f>
        <v>100.8</v>
      </c>
      <c r="G467" s="21">
        <v>102</v>
      </c>
      <c r="H467" s="39">
        <v>112</v>
      </c>
      <c r="I467" s="40">
        <f>=H467*1.05</f>
        <v>117.6</v>
      </c>
      <c r="J467" s="40">
        <f>=F467*2</f>
        <v>201.6</v>
      </c>
      <c r="K467" s="40">
        <f>=H467*2</f>
        <v>224</v>
      </c>
      <c r="L467" s="40">
        <f>=I467*2</f>
        <v>235.2</v>
      </c>
      <c r="M467" s="41" t="s">
        <v>521</v>
      </c>
      <c r="N467" s="41">
        <v>0.25</v>
      </c>
      <c r="O467" s="41" t="s"/>
      <c r="P467" s="41" t="s">
        <v>21</v>
      </c>
      <c r="Q467" s="41" t="s">
        <v>21</v>
      </c>
      <c r="R467" s="41" t="s">
        <v>16</v>
      </c>
      <c r="S467" s="41" t="s">
        <v>17</v>
      </c>
      <c r="T467" s="41" t="s">
        <v>52</v>
      </c>
      <c r="U467" s="16" t="s">
        <v>13</v>
      </c>
      <c r="V467" s="16" t="s">
        <v>19</v>
      </c>
      <c r="W467" s="19" t="s"/>
      <c r="X467" s="26" t="s">
        <f>=M467&amp;N467&amp;P467&amp;Q467&amp;T467&amp;V467&amp;S467</f>
        <v>542</v>
      </c>
      <c r="Y467" s="19" t="s"/>
      <c r="Z467" s="19" t="s"/>
      <c r="AA467" s="19" t="s"/>
      <c r="AB467" s="19" t="s"/>
    </row>
    <row r="468" spans="1:28" ht="14.4">
      <c r="A468" s="4">
        <f>=H468/G468-1</f>
        <v>0.10377358490566</v>
      </c>
      <c r="B468" s="20">
        <f>=F468/12</f>
        <v>8.775</v>
      </c>
      <c r="C468" s="20">
        <f>=J468/3</f>
        <v>70.2</v>
      </c>
      <c r="D468" s="20">
        <f>=K468/3</f>
        <v>78</v>
      </c>
      <c r="E468" s="20">
        <f>=L468/3</f>
        <v>81.9</v>
      </c>
      <c r="F468" s="20">
        <f>=H468*0.9</f>
        <v>105.3</v>
      </c>
      <c r="G468" s="21">
        <v>106</v>
      </c>
      <c r="H468" s="39">
        <v>117</v>
      </c>
      <c r="I468" s="40">
        <f>=H468*1.05</f>
        <v>122.85</v>
      </c>
      <c r="J468" s="40">
        <f>=F468*2</f>
        <v>210.6</v>
      </c>
      <c r="K468" s="40">
        <f>=H468*2</f>
        <v>234</v>
      </c>
      <c r="L468" s="40">
        <f>=I468*2</f>
        <v>245.7</v>
      </c>
      <c r="M468" s="41" t="s">
        <v>521</v>
      </c>
      <c r="N468" s="41">
        <v>0.26</v>
      </c>
      <c r="O468" s="41" t="s"/>
      <c r="P468" s="41" t="s">
        <v>21</v>
      </c>
      <c r="Q468" s="41" t="s">
        <v>21</v>
      </c>
      <c r="R468" s="41" t="s">
        <v>16</v>
      </c>
      <c r="S468" s="41" t="s">
        <v>17</v>
      </c>
      <c r="T468" s="41" t="s">
        <v>52</v>
      </c>
      <c r="U468" s="16" t="s">
        <v>13</v>
      </c>
      <c r="V468" s="16" t="s">
        <v>19</v>
      </c>
      <c r="W468" s="19" t="s"/>
      <c r="X468" s="26" t="s">
        <f>=M468&amp;N468&amp;P468&amp;Q468&amp;T468&amp;V468&amp;S468</f>
        <v>543</v>
      </c>
      <c r="Y468" s="19" t="s"/>
      <c r="Z468" s="19" t="s"/>
      <c r="AA468" s="19" t="s"/>
      <c r="AB468" s="19" t="s"/>
    </row>
    <row r="469" spans="1:28" ht="14.4">
      <c r="A469" s="4">
        <f>=H469/G469-1</f>
        <v>0.101045296167247</v>
      </c>
      <c r="B469" s="20">
        <f>=F469/12</f>
        <v>23.7</v>
      </c>
      <c r="C469" s="20">
        <f>=J469/3</f>
        <v>189.6</v>
      </c>
      <c r="D469" s="20">
        <f>=K469/3</f>
        <v>210.666666666667</v>
      </c>
      <c r="E469" s="20">
        <f>=L469/3</f>
        <v>221.2</v>
      </c>
      <c r="F469" s="20">
        <f>=H469*0.9</f>
        <v>284.4</v>
      </c>
      <c r="G469" s="21">
        <v>287</v>
      </c>
      <c r="H469" s="39">
        <v>316</v>
      </c>
      <c r="I469" s="40">
        <f>=H469*1.05</f>
        <v>331.8</v>
      </c>
      <c r="J469" s="40">
        <f>=F469*2</f>
        <v>568.8</v>
      </c>
      <c r="K469" s="40">
        <f>=H469*2</f>
        <v>632</v>
      </c>
      <c r="L469" s="40">
        <f>=I469*2</f>
        <v>663.6</v>
      </c>
      <c r="M469" s="41" t="s">
        <v>521</v>
      </c>
      <c r="N469" s="41">
        <v>0.28</v>
      </c>
      <c r="O469" s="41" t="s"/>
      <c r="P469" s="41">
        <v>2</v>
      </c>
      <c r="Q469" s="41">
        <v>2</v>
      </c>
      <c r="R469" s="41" t="s">
        <v>16</v>
      </c>
      <c r="S469" s="41" t="s">
        <v>17</v>
      </c>
      <c r="T469" s="55" t="s">
        <v>544</v>
      </c>
      <c r="U469" s="16" t="s">
        <v>13</v>
      </c>
      <c r="V469" s="16" t="s">
        <v>19</v>
      </c>
      <c r="W469" s="19" t="s"/>
      <c r="X469" s="26" t="s">
        <f>=M469&amp;N469&amp;P469&amp;Q469&amp;T469&amp;V469&amp;S469</f>
        <v>545</v>
      </c>
      <c r="Y469" s="19" t="s"/>
      <c r="Z469" s="19" t="s"/>
      <c r="AA469" s="19" t="s"/>
      <c r="AB469" s="19" t="s"/>
    </row>
    <row r="470" spans="1:28" ht="14.4">
      <c r="A470" s="4">
        <f>=H470/G470-1</f>
        <v>0.1</v>
      </c>
      <c r="B470" s="20">
        <f>=F470/12</f>
        <v>20.625</v>
      </c>
      <c r="C470" s="20">
        <f>=J470/3</f>
        <v>165</v>
      </c>
      <c r="D470" s="20">
        <f>=K470/3</f>
        <v>183.333333333333</v>
      </c>
      <c r="E470" s="20">
        <f>=L470/3</f>
        <v>192.5</v>
      </c>
      <c r="F470" s="20">
        <f>=H470*0.9</f>
        <v>247.5</v>
      </c>
      <c r="G470" s="21">
        <v>250</v>
      </c>
      <c r="H470" s="39">
        <v>275</v>
      </c>
      <c r="I470" s="40">
        <f>=H470*1.05</f>
        <v>288.75</v>
      </c>
      <c r="J470" s="40">
        <f>=F470*2</f>
        <v>495</v>
      </c>
      <c r="K470" s="40">
        <f>=H470*2</f>
        <v>550</v>
      </c>
      <c r="L470" s="40">
        <f>=I470*2</f>
        <v>577.5</v>
      </c>
      <c r="M470" s="41" t="s">
        <v>521</v>
      </c>
      <c r="N470" s="41">
        <v>0.3</v>
      </c>
      <c r="O470" s="41" t="s"/>
      <c r="P470" s="41">
        <v>2</v>
      </c>
      <c r="Q470" s="41">
        <v>2</v>
      </c>
      <c r="R470" s="41" t="s">
        <v>16</v>
      </c>
      <c r="S470" s="41" t="s">
        <v>17</v>
      </c>
      <c r="T470" s="41" t="s">
        <v>67</v>
      </c>
      <c r="U470" s="16" t="s">
        <v>13</v>
      </c>
      <c r="V470" s="16" t="s">
        <v>19</v>
      </c>
      <c r="W470" s="19" t="s"/>
      <c r="X470" s="26" t="s">
        <f>=M470&amp;N470&amp;P470&amp;Q470&amp;T470&amp;V470&amp;S470</f>
        <v>546</v>
      </c>
      <c r="Y470" s="19" t="s"/>
      <c r="Z470" s="19" t="s"/>
      <c r="AA470" s="19" t="s"/>
      <c r="AB470" s="19" t="s"/>
    </row>
    <row r="471" spans="1:28" ht="14.4">
      <c r="A471" s="4">
        <f>=H471/G471-1</f>
        <v>0.0380622837370241</v>
      </c>
      <c r="B471" s="20">
        <f>=F471/12</f>
        <v>22.5</v>
      </c>
      <c r="C471" s="20">
        <f>=J471/3</f>
        <v>180</v>
      </c>
      <c r="D471" s="20">
        <f>=K471/3</f>
        <v>200</v>
      </c>
      <c r="E471" s="20">
        <f>=L471/3</f>
        <v>210</v>
      </c>
      <c r="F471" s="20">
        <f>=H471*0.9</f>
        <v>270</v>
      </c>
      <c r="G471" s="21">
        <v>289</v>
      </c>
      <c r="H471" s="39">
        <v>300</v>
      </c>
      <c r="I471" s="40">
        <f>=H471*1.05</f>
        <v>315</v>
      </c>
      <c r="J471" s="40">
        <f>=F471*2</f>
        <v>540</v>
      </c>
      <c r="K471" s="40">
        <f>=H471*2</f>
        <v>600</v>
      </c>
      <c r="L471" s="40">
        <f>=I471*2</f>
        <v>630</v>
      </c>
      <c r="M471" s="41" t="s">
        <v>521</v>
      </c>
      <c r="N471" s="41">
        <v>0.31</v>
      </c>
      <c r="O471" s="41" t="s"/>
      <c r="P471" s="41">
        <v>2</v>
      </c>
      <c r="Q471" s="41">
        <v>2</v>
      </c>
      <c r="R471" s="41" t="s">
        <v>16</v>
      </c>
      <c r="S471" s="41" t="s">
        <v>17</v>
      </c>
      <c r="T471" s="41" t="s">
        <v>67</v>
      </c>
      <c r="U471" s="16" t="s">
        <v>13</v>
      </c>
      <c r="V471" s="16" t="s">
        <v>19</v>
      </c>
      <c r="W471" s="19" t="s"/>
      <c r="X471" s="34" t="s">
        <f>=M471&amp;N471&amp;P471&amp;Q471&amp;T471&amp;V471&amp;S471</f>
        <v>547</v>
      </c>
      <c r="Y471" s="19" t="s"/>
      <c r="Z471" s="19" t="s"/>
      <c r="AA471" s="19" t="s"/>
      <c r="AB471" s="19" t="s"/>
    </row>
    <row r="472" spans="1:28" ht="14.4">
      <c r="A472" s="4">
        <f>=H472/G472-1</f>
        <v>0.100961538461539</v>
      </c>
      <c r="B472" s="20">
        <f>=F472/12</f>
        <v>34.35</v>
      </c>
      <c r="C472" s="20">
        <f>=J472/3</f>
        <v>274.8</v>
      </c>
      <c r="D472" s="20">
        <f>=K472/3</f>
        <v>305.333333333333</v>
      </c>
      <c r="E472" s="20">
        <f>=L472/3</f>
        <v>320.6</v>
      </c>
      <c r="F472" s="20">
        <f>=H472*0.9</f>
        <v>412.2</v>
      </c>
      <c r="G472" s="21">
        <v>416</v>
      </c>
      <c r="H472" s="39">
        <v>458</v>
      </c>
      <c r="I472" s="40">
        <f>=H472*1.05</f>
        <v>480.9</v>
      </c>
      <c r="J472" s="40">
        <f>=F472*2</f>
        <v>824.4</v>
      </c>
      <c r="K472" s="40">
        <f>=H472*2</f>
        <v>916</v>
      </c>
      <c r="L472" s="40">
        <f>=I472*2</f>
        <v>961.8</v>
      </c>
      <c r="M472" s="41" t="s">
        <v>521</v>
      </c>
      <c r="N472" s="41">
        <v>0.3</v>
      </c>
      <c r="O472" s="41" t="s"/>
      <c r="P472" s="41">
        <v>3</v>
      </c>
      <c r="Q472" s="41">
        <v>3</v>
      </c>
      <c r="R472" s="41" t="s">
        <v>16</v>
      </c>
      <c r="S472" s="41" t="s">
        <v>17</v>
      </c>
      <c r="T472" s="41" t="s">
        <v>67</v>
      </c>
      <c r="U472" s="16" t="s">
        <v>13</v>
      </c>
      <c r="V472" s="16" t="s">
        <v>19</v>
      </c>
      <c r="W472" s="19" t="s"/>
      <c r="X472" s="26" t="s">
        <f>=M472&amp;N472&amp;P472&amp;Q472&amp;T472&amp;V472&amp;S472</f>
        <v>548</v>
      </c>
      <c r="Y472" s="19" t="s"/>
      <c r="Z472" s="19" t="s"/>
      <c r="AA472" s="19" t="s"/>
      <c r="AB472" s="19" t="s"/>
    </row>
    <row r="473" spans="1:28" ht="14.4">
      <c r="A473" s="4">
        <f>=H473/G473-1</f>
        <v>0.102189781021898</v>
      </c>
      <c r="B473" s="20">
        <f>=F473/12</f>
        <v>11.325</v>
      </c>
      <c r="C473" s="20">
        <f>=J473/3</f>
        <v>90.6</v>
      </c>
      <c r="D473" s="20">
        <f>=K473/3</f>
        <v>100.666666666667</v>
      </c>
      <c r="E473" s="20">
        <f>=L473/3</f>
        <v>105.7</v>
      </c>
      <c r="F473" s="20">
        <f>=H473*0.9</f>
        <v>135.9</v>
      </c>
      <c r="G473" s="21">
        <v>137</v>
      </c>
      <c r="H473" s="39">
        <v>151</v>
      </c>
      <c r="I473" s="40">
        <f>=H473*1.05</f>
        <v>158.55</v>
      </c>
      <c r="J473" s="40">
        <f>=F473*2</f>
        <v>271.8</v>
      </c>
      <c r="K473" s="40">
        <f>=H473*2</f>
        <v>302</v>
      </c>
      <c r="L473" s="40">
        <f>=I473*2</f>
        <v>317.1</v>
      </c>
      <c r="M473" s="41" t="s">
        <v>521</v>
      </c>
      <c r="N473" s="41">
        <v>0.33</v>
      </c>
      <c r="O473" s="41" t="s"/>
      <c r="P473" s="41">
        <v>1</v>
      </c>
      <c r="Q473" s="41">
        <v>1</v>
      </c>
      <c r="R473" s="41" t="s">
        <v>16</v>
      </c>
      <c r="S473" s="41" t="s">
        <v>17</v>
      </c>
      <c r="T473" s="41" t="s">
        <v>67</v>
      </c>
      <c r="U473" s="16" t="s">
        <v>13</v>
      </c>
      <c r="V473" s="16" t="s">
        <v>19</v>
      </c>
      <c r="W473" s="19" t="s"/>
      <c r="X473" s="26" t="s">
        <f>=M473&amp;N473&amp;P473&amp;Q473&amp;T473&amp;V473&amp;S473</f>
        <v>549</v>
      </c>
      <c r="Y473" s="19" t="s"/>
      <c r="Z473" s="19" t="s"/>
      <c r="AA473" s="19" t="s"/>
      <c r="AB473" s="19" t="s"/>
    </row>
    <row r="474" spans="1:28" ht="14.4">
      <c r="A474" s="4">
        <f>=H474/G474-1</f>
        <v>0.101960784313726</v>
      </c>
      <c r="B474" s="20">
        <f>=F474/12</f>
        <v>21.075</v>
      </c>
      <c r="C474" s="20">
        <f>=J474/3</f>
        <v>168.6</v>
      </c>
      <c r="D474" s="20">
        <f>=K474/3</f>
        <v>187.333333333333</v>
      </c>
      <c r="E474" s="20">
        <f>=L474/3</f>
        <v>196.7</v>
      </c>
      <c r="F474" s="20">
        <f>=H474*0.9</f>
        <v>252.9</v>
      </c>
      <c r="G474" s="21">
        <v>255</v>
      </c>
      <c r="H474" s="39">
        <v>281</v>
      </c>
      <c r="I474" s="40">
        <f>=H474*1.05</f>
        <v>295.05</v>
      </c>
      <c r="J474" s="40">
        <f>=F474*2</f>
        <v>505.8</v>
      </c>
      <c r="K474" s="40">
        <f>=H474*2</f>
        <v>562</v>
      </c>
      <c r="L474" s="40">
        <f>=I474*2</f>
        <v>590.1</v>
      </c>
      <c r="M474" s="41" t="s">
        <v>521</v>
      </c>
      <c r="N474" s="41">
        <v>0.33</v>
      </c>
      <c r="O474" s="41" t="s"/>
      <c r="P474" s="41">
        <v>2</v>
      </c>
      <c r="Q474" s="41">
        <v>2</v>
      </c>
      <c r="R474" s="41" t="s">
        <v>16</v>
      </c>
      <c r="S474" s="41" t="s">
        <v>17</v>
      </c>
      <c r="T474" s="41" t="s">
        <v>67</v>
      </c>
      <c r="U474" s="16" t="s">
        <v>13</v>
      </c>
      <c r="V474" s="16" t="s">
        <v>19</v>
      </c>
      <c r="W474" s="19" t="s"/>
      <c r="X474" s="26" t="s">
        <f>=M474&amp;N474&amp;P474&amp;Q474&amp;T474&amp;V474&amp;S474</f>
        <v>550</v>
      </c>
      <c r="Y474" s="56" t="s"/>
      <c r="Z474" s="56" t="s"/>
      <c r="AA474" s="56" t="s"/>
      <c r="AB474" s="56" t="s"/>
    </row>
    <row r="475" spans="1:28" ht="14.4">
      <c r="A475" s="4">
        <f>=H475/G475-1</f>
        <v>0.102189781021898</v>
      </c>
      <c r="B475" s="20">
        <f>=F475/12</f>
        <v>11.325</v>
      </c>
      <c r="C475" s="20">
        <f>=J475/3</f>
        <v>90.6</v>
      </c>
      <c r="D475" s="20">
        <f>=K475/3</f>
        <v>100.666666666667</v>
      </c>
      <c r="E475" s="20">
        <f>=L475/3</f>
        <v>105.7</v>
      </c>
      <c r="F475" s="20">
        <f>=H475*0.9</f>
        <v>135.9</v>
      </c>
      <c r="G475" s="21">
        <v>137</v>
      </c>
      <c r="H475" s="39">
        <v>151</v>
      </c>
      <c r="I475" s="40">
        <f>=H475*1.05</f>
        <v>158.55</v>
      </c>
      <c r="J475" s="40">
        <f>=F475*2</f>
        <v>271.8</v>
      </c>
      <c r="K475" s="40">
        <f>=H475*2</f>
        <v>302</v>
      </c>
      <c r="L475" s="40">
        <f>=I475*2</f>
        <v>317.1</v>
      </c>
      <c r="M475" s="41" t="s">
        <v>521</v>
      </c>
      <c r="N475" s="41">
        <v>0.35</v>
      </c>
      <c r="O475" s="41" t="s"/>
      <c r="P475" s="41">
        <v>1</v>
      </c>
      <c r="Q475" s="41">
        <v>1</v>
      </c>
      <c r="R475" s="41" t="s">
        <v>16</v>
      </c>
      <c r="S475" s="41" t="s">
        <v>17</v>
      </c>
      <c r="T475" s="41" t="s">
        <v>76</v>
      </c>
      <c r="U475" s="16" t="s">
        <v>13</v>
      </c>
      <c r="V475" s="16" t="s">
        <v>19</v>
      </c>
      <c r="W475" s="56" t="s"/>
      <c r="X475" s="26" t="s">
        <f>=M475&amp;N475&amp;P475&amp;Q475&amp;T475&amp;V475&amp;S475</f>
        <v>551</v>
      </c>
      <c r="Y475" s="19" t="s"/>
      <c r="Z475" s="19" t="s"/>
      <c r="AA475" s="19" t="s"/>
      <c r="AB475" s="19" t="s"/>
    </row>
    <row r="476" spans="1:28" ht="14.4">
      <c r="A476" s="4">
        <f>=H476/G476-1</f>
        <v>0.101960784313726</v>
      </c>
      <c r="B476" s="20">
        <f>=F476/12</f>
        <v>21.075</v>
      </c>
      <c r="C476" s="20">
        <f>=J476/3</f>
        <v>168.6</v>
      </c>
      <c r="D476" s="20">
        <f>=K476/3</f>
        <v>187.333333333333</v>
      </c>
      <c r="E476" s="20">
        <f>=L476/3</f>
        <v>196.7</v>
      </c>
      <c r="F476" s="20">
        <f>=H476*0.9</f>
        <v>252.9</v>
      </c>
      <c r="G476" s="21">
        <v>255</v>
      </c>
      <c r="H476" s="39">
        <v>281</v>
      </c>
      <c r="I476" s="40">
        <f>=H476*1.05</f>
        <v>295.05</v>
      </c>
      <c r="J476" s="40">
        <f>=F476*2</f>
        <v>505.8</v>
      </c>
      <c r="K476" s="40">
        <f>=H476*2</f>
        <v>562</v>
      </c>
      <c r="L476" s="40">
        <f>=I476*2</f>
        <v>590.1</v>
      </c>
      <c r="M476" s="41" t="s">
        <v>521</v>
      </c>
      <c r="N476" s="41">
        <v>0.35</v>
      </c>
      <c r="O476" s="41" t="s"/>
      <c r="P476" s="41">
        <v>2</v>
      </c>
      <c r="Q476" s="41">
        <v>2</v>
      </c>
      <c r="R476" s="41" t="s">
        <v>16</v>
      </c>
      <c r="S476" s="41" t="s">
        <v>17</v>
      </c>
      <c r="T476" s="41" t="s">
        <v>76</v>
      </c>
      <c r="U476" s="16" t="s">
        <v>13</v>
      </c>
      <c r="V476" s="16" t="s">
        <v>19</v>
      </c>
      <c r="W476" s="19" t="s"/>
      <c r="X476" s="26" t="s">
        <f>=M476&amp;N476&amp;P476&amp;Q476&amp;T476&amp;V476&amp;S476</f>
        <v>552</v>
      </c>
      <c r="Y476" s="19" t="s"/>
      <c r="Z476" s="19" t="s"/>
      <c r="AA476" s="19" t="s"/>
      <c r="AB476" s="19" t="s"/>
    </row>
    <row r="477" spans="1:28" ht="14.4">
      <c r="A477" s="4">
        <f>=H477/G477-1</f>
        <v>0.102564102564103</v>
      </c>
      <c r="B477" s="20">
        <f>=F477/12</f>
        <v>12.9</v>
      </c>
      <c r="C477" s="20">
        <f>=J477/3</f>
        <v>103.2</v>
      </c>
      <c r="D477" s="20">
        <f>=K477/3</f>
        <v>114.666666666667</v>
      </c>
      <c r="E477" s="20">
        <f>=L477/3</f>
        <v>120.4</v>
      </c>
      <c r="F477" s="20">
        <f>=H477*0.9</f>
        <v>154.8</v>
      </c>
      <c r="G477" s="21">
        <v>156</v>
      </c>
      <c r="H477" s="39">
        <v>172</v>
      </c>
      <c r="I477" s="40">
        <f>=H477*1.05</f>
        <v>180.6</v>
      </c>
      <c r="J477" s="40">
        <f>=F477*2</f>
        <v>309.6</v>
      </c>
      <c r="K477" s="40">
        <f>=H477*2</f>
        <v>344</v>
      </c>
      <c r="L477" s="40">
        <f>=I477*2</f>
        <v>361.2</v>
      </c>
      <c r="M477" s="41" t="s">
        <v>521</v>
      </c>
      <c r="N477" s="41">
        <v>0.36</v>
      </c>
      <c r="O477" s="41" t="s"/>
      <c r="P477" s="41">
        <v>1</v>
      </c>
      <c r="Q477" s="41">
        <v>1</v>
      </c>
      <c r="R477" s="41" t="s">
        <v>16</v>
      </c>
      <c r="S477" s="41" t="s">
        <v>17</v>
      </c>
      <c r="T477" s="41" t="s">
        <v>76</v>
      </c>
      <c r="U477" s="16" t="s">
        <v>13</v>
      </c>
      <c r="V477" s="16" t="s">
        <v>19</v>
      </c>
      <c r="W477" s="19" t="s"/>
      <c r="X477" s="26" t="s">
        <f>=M477&amp;N477&amp;P477&amp;Q477&amp;T477&amp;V477&amp;S477</f>
        <v>553</v>
      </c>
      <c r="Y477" s="19" t="s"/>
      <c r="Z477" s="19" t="s"/>
      <c r="AA477" s="19" t="s"/>
      <c r="AB477" s="19" t="s"/>
    </row>
    <row r="478" spans="1:28" ht="14.4">
      <c r="A478" s="4">
        <f>=H478/G478-1</f>
        <v>0.101626016260163</v>
      </c>
      <c r="B478" s="20">
        <f>=F478/12</f>
        <v>20.325</v>
      </c>
      <c r="C478" s="20">
        <f>=J478/3</f>
        <v>162.6</v>
      </c>
      <c r="D478" s="20">
        <f>=K478/3</f>
        <v>180.666666666667</v>
      </c>
      <c r="E478" s="20">
        <f>=L478/3</f>
        <v>189.7</v>
      </c>
      <c r="F478" s="20">
        <f>=H478*0.9</f>
        <v>243.9</v>
      </c>
      <c r="G478" s="21">
        <v>246</v>
      </c>
      <c r="H478" s="39">
        <v>271</v>
      </c>
      <c r="I478" s="40">
        <f>=H478*1.05</f>
        <v>284.55</v>
      </c>
      <c r="J478" s="40">
        <f>=F478*2</f>
        <v>487.8</v>
      </c>
      <c r="K478" s="40">
        <f>=H478*2</f>
        <v>542</v>
      </c>
      <c r="L478" s="40">
        <f>=I478*2</f>
        <v>569.1</v>
      </c>
      <c r="M478" s="41" t="s">
        <v>521</v>
      </c>
      <c r="N478" s="41">
        <v>0.36</v>
      </c>
      <c r="O478" s="41" t="s"/>
      <c r="P478" s="41">
        <v>2</v>
      </c>
      <c r="Q478" s="41">
        <v>2</v>
      </c>
      <c r="R478" s="41" t="s">
        <v>16</v>
      </c>
      <c r="S478" s="41" t="s">
        <v>17</v>
      </c>
      <c r="T478" s="41" t="s">
        <v>76</v>
      </c>
      <c r="U478" s="16" t="s">
        <v>13</v>
      </c>
      <c r="V478" s="16" t="s">
        <v>19</v>
      </c>
      <c r="W478" s="19" t="s"/>
      <c r="X478" s="26" t="s">
        <f>=M478&amp;N478&amp;P478&amp;Q478&amp;T478&amp;V478&amp;S478</f>
        <v>554</v>
      </c>
      <c r="Y478" s="19" t="s"/>
      <c r="Z478" s="19" t="s"/>
      <c r="AA478" s="19" t="s"/>
      <c r="AB478" s="19" t="s"/>
    </row>
    <row r="479" spans="1:28" ht="14.4">
      <c r="A479" s="4">
        <f>=H479/G479-1</f>
        <v>0.1</v>
      </c>
      <c r="B479" s="20">
        <f>=F479/12</f>
        <v>33</v>
      </c>
      <c r="C479" s="20">
        <f>=J479/3</f>
        <v>264</v>
      </c>
      <c r="D479" s="20">
        <f>=K479/3</f>
        <v>293.333333333333</v>
      </c>
      <c r="E479" s="20">
        <f>=L479/3</f>
        <v>308</v>
      </c>
      <c r="F479" s="20">
        <f>=H479*0.9</f>
        <v>396</v>
      </c>
      <c r="G479" s="21">
        <v>400</v>
      </c>
      <c r="H479" s="39">
        <v>440</v>
      </c>
      <c r="I479" s="40">
        <f>=H479*1.05</f>
        <v>462</v>
      </c>
      <c r="J479" s="40">
        <f>=F479*2</f>
        <v>792</v>
      </c>
      <c r="K479" s="40">
        <f>=H479*2</f>
        <v>880</v>
      </c>
      <c r="L479" s="40">
        <f>=I479*2</f>
        <v>924</v>
      </c>
      <c r="M479" s="41" t="s">
        <v>521</v>
      </c>
      <c r="N479" s="41">
        <v>0.36</v>
      </c>
      <c r="O479" s="41" t="s"/>
      <c r="P479" s="41">
        <v>3</v>
      </c>
      <c r="Q479" s="41">
        <v>3</v>
      </c>
      <c r="R479" s="41" t="s">
        <v>16</v>
      </c>
      <c r="S479" s="41" t="s">
        <v>17</v>
      </c>
      <c r="T479" s="41" t="s">
        <v>76</v>
      </c>
      <c r="U479" s="16" t="s">
        <v>13</v>
      </c>
      <c r="V479" s="16" t="s">
        <v>19</v>
      </c>
      <c r="W479" s="19" t="s"/>
      <c r="X479" s="26" t="s">
        <f>=M479&amp;N479&amp;P479&amp;Q479&amp;T479&amp;V479&amp;S479</f>
        <v>555</v>
      </c>
      <c r="Y479" s="19" t="s"/>
      <c r="Z479" s="19" t="s"/>
      <c r="AA479" s="19" t="s"/>
      <c r="AB479" s="19" t="s"/>
    </row>
    <row r="480" spans="1:28" ht="14.4">
      <c r="A480" s="4">
        <f>=H480/G480-1</f>
        <v>0.0990099009900991</v>
      </c>
      <c r="B480" s="20">
        <f>=F480/12</f>
        <v>8.325</v>
      </c>
      <c r="C480" s="20">
        <f>=J480/3</f>
        <v>66.6</v>
      </c>
      <c r="D480" s="20">
        <f>=K480/3</f>
        <v>74</v>
      </c>
      <c r="E480" s="20">
        <f>=L480/3</f>
        <v>77.7</v>
      </c>
      <c r="F480" s="20">
        <f>=H480*0.9</f>
        <v>99.9</v>
      </c>
      <c r="G480" s="21">
        <v>101</v>
      </c>
      <c r="H480" s="39">
        <v>111</v>
      </c>
      <c r="I480" s="40">
        <f>=H480*1.05</f>
        <v>116.55</v>
      </c>
      <c r="J480" s="40">
        <f>=F480*2</f>
        <v>199.8</v>
      </c>
      <c r="K480" s="40">
        <f>=H480*2</f>
        <v>222</v>
      </c>
      <c r="L480" s="40">
        <f>=I480*2</f>
        <v>233.1</v>
      </c>
      <c r="M480" s="41" t="s">
        <v>521</v>
      </c>
      <c r="N480" s="41">
        <v>0.36</v>
      </c>
      <c r="O480" s="41" t="s"/>
      <c r="P480" s="41" t="s">
        <v>21</v>
      </c>
      <c r="Q480" s="41" t="s">
        <v>21</v>
      </c>
      <c r="R480" s="41" t="s">
        <v>16</v>
      </c>
      <c r="S480" s="41" t="s">
        <v>17</v>
      </c>
      <c r="T480" s="41" t="s">
        <v>76</v>
      </c>
      <c r="U480" s="16" t="s">
        <v>13</v>
      </c>
      <c r="V480" s="16" t="s">
        <v>19</v>
      </c>
      <c r="W480" s="19" t="s"/>
      <c r="X480" s="26" t="s">
        <f>=M480&amp;N480&amp;P480&amp;Q480&amp;T480&amp;V480&amp;S480</f>
        <v>556</v>
      </c>
      <c r="Y480" s="19" t="s"/>
      <c r="Z480" s="19" t="s"/>
      <c r="AA480" s="19" t="s"/>
      <c r="AB480" s="19" t="s"/>
    </row>
    <row r="481" spans="1:28" ht="14.4">
      <c r="A481" s="4">
        <f>=H481/G481-1</f>
        <v>0.101910828025478</v>
      </c>
      <c r="B481" s="20">
        <f>=F481/12</f>
        <v>12.975</v>
      </c>
      <c r="C481" s="20">
        <f>=J481/3</f>
        <v>103.8</v>
      </c>
      <c r="D481" s="20">
        <f>=K481/3</f>
        <v>115.333333333333</v>
      </c>
      <c r="E481" s="20">
        <f>=L481/3</f>
        <v>121.1</v>
      </c>
      <c r="F481" s="20">
        <f>=H481*0.9</f>
        <v>155.7</v>
      </c>
      <c r="G481" s="21">
        <v>157</v>
      </c>
      <c r="H481" s="39">
        <v>173</v>
      </c>
      <c r="I481" s="40">
        <f>=H481*1.05</f>
        <v>181.65</v>
      </c>
      <c r="J481" s="40">
        <f>=F481*2</f>
        <v>311.4</v>
      </c>
      <c r="K481" s="40">
        <f>=H481*2</f>
        <v>346</v>
      </c>
      <c r="L481" s="40">
        <f>=I481*2</f>
        <v>363.3</v>
      </c>
      <c r="M481" s="41" t="s">
        <v>521</v>
      </c>
      <c r="N481" s="41">
        <v>0.38</v>
      </c>
      <c r="O481" s="41" t="s"/>
      <c r="P481" s="41">
        <v>1</v>
      </c>
      <c r="Q481" s="41">
        <v>1</v>
      </c>
      <c r="R481" s="41" t="s">
        <v>16</v>
      </c>
      <c r="S481" s="41" t="s">
        <v>17</v>
      </c>
      <c r="T481" s="41" t="s">
        <v>76</v>
      </c>
      <c r="U481" s="16" t="s">
        <v>13</v>
      </c>
      <c r="V481" s="16" t="s">
        <v>19</v>
      </c>
      <c r="W481" s="19" t="s"/>
      <c r="X481" s="26" t="s">
        <f>=M481&amp;N481&amp;P481&amp;Q481&amp;T481&amp;V481&amp;S481</f>
        <v>557</v>
      </c>
      <c r="Y481" s="19" t="s"/>
      <c r="Z481" s="19" t="s"/>
      <c r="AA481" s="19" t="s"/>
      <c r="AB481" s="19" t="s"/>
    </row>
    <row r="482" spans="1:28" ht="14.4">
      <c r="A482" s="4">
        <f>=H482/G482-1</f>
        <v>0.100961538461539</v>
      </c>
      <c r="B482" s="20">
        <f>=F482/12</f>
        <v>34.35</v>
      </c>
      <c r="C482" s="20">
        <f>=J482/3</f>
        <v>274.8</v>
      </c>
      <c r="D482" s="20">
        <f>=K482/3</f>
        <v>305.333333333333</v>
      </c>
      <c r="E482" s="20">
        <f>=L482/3</f>
        <v>320.6</v>
      </c>
      <c r="F482" s="20">
        <f>=H482*0.9</f>
        <v>412.2</v>
      </c>
      <c r="G482" s="21">
        <v>416</v>
      </c>
      <c r="H482" s="39">
        <v>458</v>
      </c>
      <c r="I482" s="40">
        <f>=H482*1.05</f>
        <v>480.9</v>
      </c>
      <c r="J482" s="40">
        <f>=F482*2</f>
        <v>824.4</v>
      </c>
      <c r="K482" s="40">
        <f>=H482*2</f>
        <v>916</v>
      </c>
      <c r="L482" s="40">
        <f>=I482*2</f>
        <v>961.8</v>
      </c>
      <c r="M482" s="41" t="s">
        <v>521</v>
      </c>
      <c r="N482" s="41">
        <v>0.38</v>
      </c>
      <c r="O482" s="41" t="s"/>
      <c r="P482" s="41">
        <v>3</v>
      </c>
      <c r="Q482" s="41">
        <v>3</v>
      </c>
      <c r="R482" s="41" t="s">
        <v>16</v>
      </c>
      <c r="S482" s="41" t="s">
        <v>17</v>
      </c>
      <c r="T482" s="41" t="s">
        <v>76</v>
      </c>
      <c r="U482" s="16" t="s">
        <v>13</v>
      </c>
      <c r="V482" s="16" t="s">
        <v>19</v>
      </c>
      <c r="W482" s="19" t="s"/>
      <c r="X482" s="26" t="s">
        <f>=M482&amp;N482&amp;P482&amp;Q482&amp;T482&amp;V482&amp;S482</f>
        <v>558</v>
      </c>
      <c r="Y482" s="19" t="s"/>
      <c r="Z482" s="19" t="s"/>
      <c r="AA482" s="19" t="s"/>
      <c r="AB482" s="19" t="s"/>
    </row>
    <row r="483" spans="1:28" ht="14.4">
      <c r="A483" s="4">
        <f>=H483/G483-1</f>
        <v>0.101626016260163</v>
      </c>
      <c r="B483" s="20">
        <f>=F483/12</f>
        <v>20.325</v>
      </c>
      <c r="C483" s="20">
        <f>=J483/3</f>
        <v>162.6</v>
      </c>
      <c r="D483" s="20">
        <f>=K483/3</f>
        <v>180.666666666667</v>
      </c>
      <c r="E483" s="20">
        <f>=L483/3</f>
        <v>189.7</v>
      </c>
      <c r="F483" s="20">
        <f>=H483*0.9</f>
        <v>243.9</v>
      </c>
      <c r="G483" s="21">
        <v>246</v>
      </c>
      <c r="H483" s="39">
        <v>271</v>
      </c>
      <c r="I483" s="40">
        <f>=H483*1.05</f>
        <v>284.55</v>
      </c>
      <c r="J483" s="40">
        <f>=F483*2</f>
        <v>487.8</v>
      </c>
      <c r="K483" s="40">
        <f>=H483*2</f>
        <v>542</v>
      </c>
      <c r="L483" s="40">
        <f>=I483*2</f>
        <v>569.1</v>
      </c>
      <c r="M483" s="41" t="s">
        <v>521</v>
      </c>
      <c r="N483" s="41">
        <v>0.4</v>
      </c>
      <c r="O483" s="41">
        <v>0.41</v>
      </c>
      <c r="P483" s="41">
        <v>2</v>
      </c>
      <c r="Q483" s="41">
        <v>2</v>
      </c>
      <c r="R483" s="41" t="s">
        <v>16</v>
      </c>
      <c r="S483" s="41" t="s">
        <v>17</v>
      </c>
      <c r="T483" s="41" t="s">
        <v>76</v>
      </c>
      <c r="U483" s="16" t="s">
        <v>13</v>
      </c>
      <c r="V483" s="16" t="s">
        <v>19</v>
      </c>
      <c r="W483" s="19" t="s"/>
      <c r="X483" s="26" t="s">
        <f>=M483&amp;N483&amp;P483&amp;Q483&amp;T483&amp;V483&amp;S483</f>
        <v>559</v>
      </c>
      <c r="Y483" s="56" t="s"/>
      <c r="Z483" s="56" t="s"/>
      <c r="AA483" s="56" t="s"/>
      <c r="AB483" s="56" t="s"/>
    </row>
    <row r="484" spans="1:28" ht="14.4">
      <c r="A484" s="4">
        <f>=H484/G484-1</f>
        <v>0.1</v>
      </c>
      <c r="B484" s="20">
        <f>=F484/12</f>
        <v>33</v>
      </c>
      <c r="C484" s="20">
        <f>=J484/3</f>
        <v>264</v>
      </c>
      <c r="D484" s="20">
        <f>=K484/3</f>
        <v>293.333333333333</v>
      </c>
      <c r="E484" s="20">
        <f>=L484/3</f>
        <v>308</v>
      </c>
      <c r="F484" s="20">
        <f>=H484*0.9</f>
        <v>396</v>
      </c>
      <c r="G484" s="21">
        <v>400</v>
      </c>
      <c r="H484" s="39">
        <v>440</v>
      </c>
      <c r="I484" s="40">
        <f>=H484*1.05</f>
        <v>462</v>
      </c>
      <c r="J484" s="40">
        <f>=F484*2</f>
        <v>792</v>
      </c>
      <c r="K484" s="40">
        <f>=H484*2</f>
        <v>880</v>
      </c>
      <c r="L484" s="40">
        <f>=I484*2</f>
        <v>924</v>
      </c>
      <c r="M484" s="41" t="s">
        <v>521</v>
      </c>
      <c r="N484" s="41">
        <v>0.4</v>
      </c>
      <c r="O484" s="41" t="s"/>
      <c r="P484" s="41">
        <v>3</v>
      </c>
      <c r="Q484" s="41">
        <v>3</v>
      </c>
      <c r="R484" s="41" t="s">
        <v>16</v>
      </c>
      <c r="S484" s="41" t="s">
        <v>17</v>
      </c>
      <c r="T484" s="41" t="s">
        <v>76</v>
      </c>
      <c r="U484" s="16" t="s">
        <v>13</v>
      </c>
      <c r="V484" s="16" t="s">
        <v>19</v>
      </c>
      <c r="W484" s="56" t="s"/>
      <c r="X484" s="26" t="s">
        <f>=M484&amp;N484&amp;P484&amp;Q484&amp;T484&amp;V484&amp;S484</f>
        <v>560</v>
      </c>
      <c r="Y484" s="19" t="s"/>
      <c r="Z484" s="19" t="s"/>
      <c r="AA484" s="19" t="s"/>
      <c r="AB484" s="19" t="s"/>
    </row>
    <row r="485" spans="1:28" ht="14.4">
      <c r="A485" s="4">
        <f>=H485/G485-1</f>
        <v>0.101910828025478</v>
      </c>
      <c r="B485" s="20">
        <f>=F485/12</f>
        <v>12.975</v>
      </c>
      <c r="C485" s="20">
        <f>=J485/3</f>
        <v>103.8</v>
      </c>
      <c r="D485" s="20">
        <f>=K485/3</f>
        <v>115.333333333333</v>
      </c>
      <c r="E485" s="20">
        <f>=L485/3</f>
        <v>121.1</v>
      </c>
      <c r="F485" s="20">
        <f>=H485*0.9</f>
        <v>155.7</v>
      </c>
      <c r="G485" s="21">
        <v>157</v>
      </c>
      <c r="H485" s="39">
        <v>173</v>
      </c>
      <c r="I485" s="40">
        <f>=H485*1.05</f>
        <v>181.65</v>
      </c>
      <c r="J485" s="40">
        <f>=F485*2</f>
        <v>311.4</v>
      </c>
      <c r="K485" s="40">
        <f>=H485*2</f>
        <v>346</v>
      </c>
      <c r="L485" s="40">
        <f>=I485*2</f>
        <v>363.3</v>
      </c>
      <c r="M485" s="41" t="s">
        <v>521</v>
      </c>
      <c r="N485" s="41">
        <v>0.43</v>
      </c>
      <c r="O485" s="41" t="s"/>
      <c r="P485" s="41">
        <v>1</v>
      </c>
      <c r="Q485" s="41">
        <v>1</v>
      </c>
      <c r="R485" s="41" t="s">
        <v>16</v>
      </c>
      <c r="S485" s="41" t="s">
        <v>17</v>
      </c>
      <c r="T485" s="41" t="s">
        <v>91</v>
      </c>
      <c r="U485" s="16" t="s">
        <v>13</v>
      </c>
      <c r="V485" s="16" t="s">
        <v>19</v>
      </c>
      <c r="W485" s="19" t="s"/>
      <c r="X485" s="26" t="s">
        <f>=M485&amp;N485&amp;P485&amp;Q485&amp;T485&amp;V485&amp;S485</f>
        <v>561</v>
      </c>
      <c r="Y485" s="19" t="s"/>
      <c r="Z485" s="19" t="s"/>
      <c r="AA485" s="19" t="s"/>
      <c r="AB485" s="19" t="s"/>
    </row>
    <row r="486" spans="1:28" ht="14.4">
      <c r="A486" s="4">
        <f>=H486/G486-1</f>
        <v>0.1</v>
      </c>
      <c r="B486" s="20">
        <f>=F486/12</f>
        <v>33</v>
      </c>
      <c r="C486" s="20">
        <f>=J486/3</f>
        <v>264</v>
      </c>
      <c r="D486" s="20">
        <f>=K486/3</f>
        <v>293.333333333333</v>
      </c>
      <c r="E486" s="20">
        <f>=L486/3</f>
        <v>308</v>
      </c>
      <c r="F486" s="20">
        <f>=H486*0.9</f>
        <v>396</v>
      </c>
      <c r="G486" s="21">
        <v>400</v>
      </c>
      <c r="H486" s="39">
        <v>440</v>
      </c>
      <c r="I486" s="40">
        <f>=H486*1.05</f>
        <v>462</v>
      </c>
      <c r="J486" s="40">
        <f>=F486*2</f>
        <v>792</v>
      </c>
      <c r="K486" s="40">
        <f>=H486*2</f>
        <v>880</v>
      </c>
      <c r="L486" s="40">
        <f>=I486*2</f>
        <v>924</v>
      </c>
      <c r="M486" s="41" t="s">
        <v>521</v>
      </c>
      <c r="N486" s="41">
        <v>0.43</v>
      </c>
      <c r="O486" s="41" t="s"/>
      <c r="P486" s="41">
        <v>3</v>
      </c>
      <c r="Q486" s="41">
        <v>3</v>
      </c>
      <c r="R486" s="41" t="s">
        <v>16</v>
      </c>
      <c r="S486" s="41" t="s">
        <v>17</v>
      </c>
      <c r="T486" s="41" t="s">
        <v>91</v>
      </c>
      <c r="U486" s="16" t="s">
        <v>13</v>
      </c>
      <c r="V486" s="16" t="s">
        <v>19</v>
      </c>
      <c r="W486" s="19" t="s"/>
      <c r="X486" s="26" t="s">
        <f>=M486&amp;N486&amp;P486&amp;Q486&amp;T486&amp;V486&amp;S486</f>
        <v>562</v>
      </c>
      <c r="Y486" s="19" t="s"/>
      <c r="Z486" s="19" t="s"/>
      <c r="AA486" s="19" t="s"/>
      <c r="AB486" s="19" t="s"/>
    </row>
    <row r="487" spans="1:28" ht="14.4">
      <c r="A487" s="4">
        <f>=H487/G487-1</f>
        <v>0.0984251968503938</v>
      </c>
      <c r="B487" s="20">
        <f>=F487/12</f>
        <v>20.925</v>
      </c>
      <c r="C487" s="20">
        <f>=J487/3</f>
        <v>167.4</v>
      </c>
      <c r="D487" s="20">
        <f>=K487/3</f>
        <v>186</v>
      </c>
      <c r="E487" s="20">
        <f>=L487/3</f>
        <v>195.3</v>
      </c>
      <c r="F487" s="20">
        <f>=H487*0.9</f>
        <v>251.1</v>
      </c>
      <c r="G487" s="21">
        <v>254</v>
      </c>
      <c r="H487" s="39">
        <v>279</v>
      </c>
      <c r="I487" s="40">
        <f>=H487*1.05</f>
        <v>292.95</v>
      </c>
      <c r="J487" s="40">
        <f>=F487*2</f>
        <v>502.2</v>
      </c>
      <c r="K487" s="40">
        <f>=H487*2</f>
        <v>558</v>
      </c>
      <c r="L487" s="40">
        <f>=I487*2</f>
        <v>585.9</v>
      </c>
      <c r="M487" s="41" t="s">
        <v>521</v>
      </c>
      <c r="N487" s="41">
        <v>0.46</v>
      </c>
      <c r="O487" s="41" t="s"/>
      <c r="P487" s="41">
        <v>2</v>
      </c>
      <c r="Q487" s="41">
        <v>2</v>
      </c>
      <c r="R487" s="41" t="s">
        <v>16</v>
      </c>
      <c r="S487" s="41" t="s">
        <v>17</v>
      </c>
      <c r="T487" s="41" t="s">
        <v>91</v>
      </c>
      <c r="U487" s="16" t="s">
        <v>13</v>
      </c>
      <c r="V487" s="16" t="s">
        <v>19</v>
      </c>
      <c r="W487" s="19" t="s"/>
      <c r="X487" s="26" t="s">
        <f>=M487&amp;N487&amp;P487&amp;Q487&amp;T487&amp;V487&amp;S487</f>
        <v>563</v>
      </c>
      <c r="Y487" s="19" t="s"/>
      <c r="Z487" s="19" t="s"/>
      <c r="AA487" s="19" t="s"/>
      <c r="AB487" s="19" t="s"/>
    </row>
    <row r="488" spans="1:28" ht="14.4">
      <c r="A488" s="4">
        <f>=H488/G488-1</f>
        <v>0.100409836065574</v>
      </c>
      <c r="B488" s="20">
        <f>=F488/12</f>
        <v>40.275</v>
      </c>
      <c r="C488" s="20">
        <f>=J488/3</f>
        <v>322.2</v>
      </c>
      <c r="D488" s="20">
        <f>=K488/3</f>
        <v>358</v>
      </c>
      <c r="E488" s="20">
        <f>=L488/3</f>
        <v>375.9</v>
      </c>
      <c r="F488" s="20">
        <f>=H488*0.9</f>
        <v>483.3</v>
      </c>
      <c r="G488" s="21">
        <v>488</v>
      </c>
      <c r="H488" s="39">
        <v>537</v>
      </c>
      <c r="I488" s="40">
        <f>=H488*1.05</f>
        <v>563.85</v>
      </c>
      <c r="J488" s="40">
        <f>=F488*2</f>
        <v>966.6</v>
      </c>
      <c r="K488" s="40">
        <f>=H488*2</f>
        <v>1074</v>
      </c>
      <c r="L488" s="40">
        <f>=I488*2</f>
        <v>1127.7</v>
      </c>
      <c r="M488" s="41" t="s">
        <v>521</v>
      </c>
      <c r="N488" s="41">
        <v>0.46</v>
      </c>
      <c r="O488" s="41" t="s"/>
      <c r="P488" s="41">
        <v>3</v>
      </c>
      <c r="Q488" s="41">
        <v>3</v>
      </c>
      <c r="R488" s="41" t="s">
        <v>16</v>
      </c>
      <c r="S488" s="41" t="s">
        <v>17</v>
      </c>
      <c r="T488" s="41" t="s">
        <v>564</v>
      </c>
      <c r="U488" s="16" t="s">
        <v>13</v>
      </c>
      <c r="V488" s="16" t="s">
        <v>19</v>
      </c>
      <c r="W488" s="19" t="s"/>
      <c r="X488" s="26" t="s">
        <f>=M488&amp;N488&amp;P488&amp;Q488&amp;T488&amp;V488&amp;S488</f>
        <v>565</v>
      </c>
      <c r="Y488" s="19" t="s"/>
      <c r="Z488" s="19" t="s"/>
      <c r="AA488" s="19" t="s"/>
      <c r="AB488" s="19" t="s"/>
    </row>
    <row r="489" spans="1:28" ht="14.4">
      <c r="A489" s="4">
        <f>=H489/G489-1</f>
        <v>0.100409836065574</v>
      </c>
      <c r="B489" s="20">
        <f>=F489/12</f>
        <v>40.275</v>
      </c>
      <c r="C489" s="20">
        <f>=J489/3</f>
        <v>322.2</v>
      </c>
      <c r="D489" s="20">
        <f>=K489/3</f>
        <v>358</v>
      </c>
      <c r="E489" s="20">
        <f>=L489/3</f>
        <v>375.9</v>
      </c>
      <c r="F489" s="20">
        <f>=H489*0.9</f>
        <v>483.3</v>
      </c>
      <c r="G489" s="21">
        <v>488</v>
      </c>
      <c r="H489" s="39">
        <v>537</v>
      </c>
      <c r="I489" s="40">
        <f>=H489*1.05</f>
        <v>563.85</v>
      </c>
      <c r="J489" s="40">
        <f>=F489*2</f>
        <v>966.6</v>
      </c>
      <c r="K489" s="40">
        <f>=H489*2</f>
        <v>1074</v>
      </c>
      <c r="L489" s="40">
        <f>=I489*2</f>
        <v>1127.7</v>
      </c>
      <c r="M489" s="41" t="s">
        <v>521</v>
      </c>
      <c r="N489" s="41">
        <v>0.46</v>
      </c>
      <c r="O489" s="41" t="s"/>
      <c r="P489" s="41">
        <v>3</v>
      </c>
      <c r="Q489" s="41">
        <v>3</v>
      </c>
      <c r="R489" s="41" t="s">
        <v>16</v>
      </c>
      <c r="S489" s="41" t="s">
        <v>17</v>
      </c>
      <c r="T489" s="41" t="s">
        <v>102</v>
      </c>
      <c r="U489" s="16" t="s">
        <v>13</v>
      </c>
      <c r="V489" s="16" t="s">
        <v>19</v>
      </c>
      <c r="W489" s="19" t="s"/>
      <c r="X489" s="26" t="s">
        <f>=M489&amp;N489&amp;P489&amp;Q489&amp;T489&amp;V489&amp;S489</f>
        <v>566</v>
      </c>
      <c r="Y489" s="19" t="s"/>
      <c r="Z489" s="19" t="s"/>
      <c r="AA489" s="19" t="s"/>
      <c r="AB489" s="19" t="s"/>
    </row>
    <row r="490" spans="1:28" ht="14.4">
      <c r="A490" s="4">
        <f>=H490/G490-1</f>
        <v>0.096774193548387</v>
      </c>
      <c r="B490" s="20">
        <f>=F490/12</f>
        <v>10.2</v>
      </c>
      <c r="C490" s="20">
        <f>=J490/3</f>
        <v>81.6</v>
      </c>
      <c r="D490" s="20">
        <f>=K490/3</f>
        <v>90.6666666666667</v>
      </c>
      <c r="E490" s="20">
        <f>=L490/3</f>
        <v>95.2</v>
      </c>
      <c r="F490" s="20">
        <f>=H490*0.9</f>
        <v>122.4</v>
      </c>
      <c r="G490" s="21">
        <v>124</v>
      </c>
      <c r="H490" s="39">
        <v>136</v>
      </c>
      <c r="I490" s="40">
        <f>=H490*1.05</f>
        <v>142.8</v>
      </c>
      <c r="J490" s="40">
        <f>=F490*2</f>
        <v>244.8</v>
      </c>
      <c r="K490" s="40">
        <f>=H490*2</f>
        <v>272</v>
      </c>
      <c r="L490" s="40">
        <f>=I490*2</f>
        <v>285.6</v>
      </c>
      <c r="M490" s="41" t="s">
        <v>521</v>
      </c>
      <c r="N490" s="41">
        <v>0.46</v>
      </c>
      <c r="O490" s="41" t="s"/>
      <c r="P490" s="41" t="s">
        <v>21</v>
      </c>
      <c r="Q490" s="41" t="s">
        <v>21</v>
      </c>
      <c r="R490" s="41" t="s">
        <v>16</v>
      </c>
      <c r="S490" s="41" t="s">
        <v>17</v>
      </c>
      <c r="T490" s="41" t="s">
        <v>91</v>
      </c>
      <c r="U490" s="16" t="s">
        <v>13</v>
      </c>
      <c r="V490" s="16" t="s">
        <v>19</v>
      </c>
      <c r="W490" s="19" t="s"/>
      <c r="X490" s="26" t="s">
        <f>=M490&amp;N490&amp;P490&amp;Q490&amp;T490&amp;V490&amp;S490</f>
        <v>567</v>
      </c>
      <c r="Y490" s="19" t="s"/>
      <c r="Z490" s="19" t="s"/>
      <c r="AA490" s="19" t="s"/>
      <c r="AB490" s="19" t="s"/>
    </row>
    <row r="491" spans="1:28" ht="14.4">
      <c r="A491" s="4">
        <f>=H491/G491-1</f>
        <v>0.100746268656716</v>
      </c>
      <c r="B491" s="20">
        <f>=F491/12</f>
        <v>22.125</v>
      </c>
      <c r="C491" s="20">
        <f>=J491/3</f>
        <v>177</v>
      </c>
      <c r="D491" s="20">
        <f>=K491/3</f>
        <v>196.666666666667</v>
      </c>
      <c r="E491" s="20">
        <f>=L491/3</f>
        <v>206.5</v>
      </c>
      <c r="F491" s="20">
        <f>=H491*0.9</f>
        <v>265.5</v>
      </c>
      <c r="G491" s="21">
        <v>268</v>
      </c>
      <c r="H491" s="39">
        <v>295</v>
      </c>
      <c r="I491" s="40">
        <f>=H491*1.05</f>
        <v>309.75</v>
      </c>
      <c r="J491" s="40">
        <f>=F491*2</f>
        <v>531</v>
      </c>
      <c r="K491" s="40">
        <f>=H491*2</f>
        <v>590</v>
      </c>
      <c r="L491" s="40">
        <f>=I491*2</f>
        <v>619.5</v>
      </c>
      <c r="M491" s="41" t="s">
        <v>521</v>
      </c>
      <c r="N491" s="41">
        <v>0.5</v>
      </c>
      <c r="O491" s="41">
        <v>0.5</v>
      </c>
      <c r="P491" s="41">
        <v>2</v>
      </c>
      <c r="Q491" s="41">
        <v>2</v>
      </c>
      <c r="R491" s="41" t="s">
        <v>16</v>
      </c>
      <c r="S491" s="41" t="s">
        <v>17</v>
      </c>
      <c r="T491" s="41" t="s">
        <v>102</v>
      </c>
      <c r="U491" s="16" t="s">
        <v>13</v>
      </c>
      <c r="V491" s="16" t="s">
        <v>19</v>
      </c>
      <c r="W491" s="19" t="s"/>
      <c r="X491" s="26" t="s">
        <f>=M491&amp;N491&amp;P491&amp;Q491&amp;T491&amp;V491&amp;S491</f>
        <v>568</v>
      </c>
      <c r="Y491" s="19" t="s"/>
      <c r="Z491" s="19" t="s"/>
      <c r="AA491" s="19" t="s"/>
      <c r="AB491" s="19" t="s"/>
    </row>
    <row r="492" spans="1:28" ht="14.4">
      <c r="A492" s="4">
        <f>=H492/G492-1</f>
        <v>0.100896860986547</v>
      </c>
      <c r="B492" s="20">
        <f>=F492/12</f>
        <v>36.825</v>
      </c>
      <c r="C492" s="20">
        <f>=J492/3</f>
        <v>294.6</v>
      </c>
      <c r="D492" s="20">
        <f>=K492/3</f>
        <v>327.333333333333</v>
      </c>
      <c r="E492" s="20">
        <f>=L492/3</f>
        <v>343.7</v>
      </c>
      <c r="F492" s="20">
        <f>=H492*0.9</f>
        <v>441.9</v>
      </c>
      <c r="G492" s="21">
        <v>446</v>
      </c>
      <c r="H492" s="39">
        <v>491</v>
      </c>
      <c r="I492" s="40">
        <f>=H492*1.05</f>
        <v>515.55</v>
      </c>
      <c r="J492" s="40">
        <f>=F492*2</f>
        <v>883.8</v>
      </c>
      <c r="K492" s="40">
        <f>=H492*2</f>
        <v>982</v>
      </c>
      <c r="L492" s="40">
        <f>=I492*2</f>
        <v>1031.1</v>
      </c>
      <c r="M492" s="41" t="s">
        <v>521</v>
      </c>
      <c r="N492" s="41">
        <v>0.5</v>
      </c>
      <c r="O492" s="57">
        <v>0.51</v>
      </c>
      <c r="P492" s="41">
        <v>3</v>
      </c>
      <c r="Q492" s="41">
        <v>3</v>
      </c>
      <c r="R492" s="41" t="s">
        <v>16</v>
      </c>
      <c r="S492" s="41" t="s">
        <v>17</v>
      </c>
      <c r="T492" s="41" t="s">
        <v>102</v>
      </c>
      <c r="U492" s="16" t="s">
        <v>13</v>
      </c>
      <c r="V492" s="16" t="s">
        <v>19</v>
      </c>
      <c r="W492" s="19" t="s"/>
      <c r="X492" s="26" t="s">
        <f>=M492&amp;N492&amp;P492&amp;Q492&amp;T492&amp;V492&amp;S492</f>
        <v>569</v>
      </c>
      <c r="Y492" s="19" t="s"/>
      <c r="Z492" s="19" t="s"/>
      <c r="AA492" s="19" t="s"/>
      <c r="AB492" s="19" t="s"/>
    </row>
    <row r="493" spans="1:28" ht="14.4">
      <c r="A493" s="4">
        <f>=H493/G493-1</f>
        <v>0.0974025974025974</v>
      </c>
      <c r="B493" s="20">
        <f>=F493/12</f>
        <v>12.675</v>
      </c>
      <c r="C493" s="20">
        <f>=J493/3</f>
        <v>101.4</v>
      </c>
      <c r="D493" s="20">
        <f>=K493/3</f>
        <v>112.666666666667</v>
      </c>
      <c r="E493" s="20">
        <f>=L493/3</f>
        <v>118.3</v>
      </c>
      <c r="F493" s="20">
        <f>=H493*0.9</f>
        <v>152.1</v>
      </c>
      <c r="G493" s="21">
        <v>154</v>
      </c>
      <c r="H493" s="39">
        <v>169</v>
      </c>
      <c r="I493" s="40">
        <f>=H493*1.05</f>
        <v>177.45</v>
      </c>
      <c r="J493" s="40">
        <f>=F493*2</f>
        <v>304.2</v>
      </c>
      <c r="K493" s="40">
        <f>=H493*2</f>
        <v>338</v>
      </c>
      <c r="L493" s="40">
        <f>=I493*2</f>
        <v>354.9</v>
      </c>
      <c r="M493" s="41" t="s">
        <v>521</v>
      </c>
      <c r="N493" s="41">
        <v>0.5</v>
      </c>
      <c r="O493" s="57">
        <v>0.51</v>
      </c>
      <c r="P493" s="41">
        <v>1</v>
      </c>
      <c r="Q493" s="41">
        <v>1</v>
      </c>
      <c r="R493" s="41" t="s">
        <v>16</v>
      </c>
      <c r="S493" s="41" t="s">
        <v>17</v>
      </c>
      <c r="T493" s="41" t="s">
        <v>102</v>
      </c>
      <c r="U493" s="16" t="s">
        <v>13</v>
      </c>
      <c r="V493" s="16" t="s">
        <v>19</v>
      </c>
      <c r="W493" s="19" t="s"/>
      <c r="X493" s="26" t="s">
        <f>=M493&amp;N493&amp;P493&amp;Q493&amp;T493&amp;V493&amp;S493</f>
        <v>570</v>
      </c>
      <c r="Y493" s="19" t="s"/>
      <c r="Z493" s="19" t="s"/>
      <c r="AA493" s="19" t="s"/>
      <c r="AB493" s="19" t="s"/>
    </row>
    <row r="494" spans="1:28" ht="14.4">
      <c r="A494" s="4">
        <f>=H494/G494-1</f>
        <v>0.101910828025478</v>
      </c>
      <c r="B494" s="20">
        <f>=F494/12</f>
        <v>12.975</v>
      </c>
      <c r="C494" s="20">
        <f>=J494/3</f>
        <v>103.8</v>
      </c>
      <c r="D494" s="20">
        <f>=K494/3</f>
        <v>115.333333333333</v>
      </c>
      <c r="E494" s="20">
        <f>=L494/3</f>
        <v>121.1</v>
      </c>
      <c r="F494" s="20">
        <f>=H494*0.9</f>
        <v>155.7</v>
      </c>
      <c r="G494" s="21">
        <v>157</v>
      </c>
      <c r="H494" s="39">
        <v>173</v>
      </c>
      <c r="I494" s="40">
        <f>=H494*1.05</f>
        <v>181.65</v>
      </c>
      <c r="J494" s="40">
        <f>=F494*2</f>
        <v>311.4</v>
      </c>
      <c r="K494" s="40">
        <f>=H494*2</f>
        <v>346</v>
      </c>
      <c r="L494" s="40">
        <f>=I494*2</f>
        <v>363.3</v>
      </c>
      <c r="M494" s="41" t="s">
        <v>521</v>
      </c>
      <c r="N494" s="41">
        <v>0.53</v>
      </c>
      <c r="O494" s="41" t="s"/>
      <c r="P494" s="41">
        <v>1</v>
      </c>
      <c r="Q494" s="41">
        <v>1</v>
      </c>
      <c r="R494" s="41" t="s">
        <v>16</v>
      </c>
      <c r="S494" s="41" t="s">
        <v>17</v>
      </c>
      <c r="T494" s="41" t="s">
        <v>110</v>
      </c>
      <c r="U494" s="16" t="s">
        <v>13</v>
      </c>
      <c r="V494" s="16" t="s">
        <v>19</v>
      </c>
      <c r="W494" s="19" t="s"/>
      <c r="X494" s="26" t="s">
        <f>=M494&amp;N494&amp;P494&amp;Q494&amp;T494&amp;V494&amp;S494</f>
        <v>571</v>
      </c>
      <c r="Y494" s="19" t="s"/>
      <c r="Z494" s="19" t="s"/>
      <c r="AA494" s="19" t="s"/>
      <c r="AB494" s="19" t="s"/>
    </row>
    <row r="495" spans="1:28" ht="14.4">
      <c r="A495" s="4">
        <f>=H495/G495-1</f>
        <v>0.101910828025478</v>
      </c>
      <c r="B495" s="20">
        <f>=F495/12</f>
        <v>12.975</v>
      </c>
      <c r="C495" s="20">
        <f>=J495/3</f>
        <v>103.8</v>
      </c>
      <c r="D495" s="20">
        <f>=K495/3</f>
        <v>115.333333333333</v>
      </c>
      <c r="E495" s="20">
        <f>=L495/3</f>
        <v>121.1</v>
      </c>
      <c r="F495" s="20">
        <f>=H495*0.9</f>
        <v>155.7</v>
      </c>
      <c r="G495" s="21">
        <v>157</v>
      </c>
      <c r="H495" s="39">
        <v>173</v>
      </c>
      <c r="I495" s="40">
        <f>=H495*1.05</f>
        <v>181.65</v>
      </c>
      <c r="J495" s="40">
        <f>=F495*2</f>
        <v>311.4</v>
      </c>
      <c r="K495" s="40">
        <f>=H495*2</f>
        <v>346</v>
      </c>
      <c r="L495" s="40">
        <f>=I495*2</f>
        <v>363.3</v>
      </c>
      <c r="M495" s="41" t="s">
        <v>521</v>
      </c>
      <c r="N495" s="41">
        <v>0.53</v>
      </c>
      <c r="O495" s="41" t="s"/>
      <c r="P495" s="41">
        <v>1</v>
      </c>
      <c r="Q495" s="41">
        <v>1</v>
      </c>
      <c r="R495" s="41" t="s">
        <v>16</v>
      </c>
      <c r="S495" s="41" t="s">
        <v>17</v>
      </c>
      <c r="T495" s="41" t="s">
        <v>110</v>
      </c>
      <c r="U495" s="16" t="s">
        <v>13</v>
      </c>
      <c r="V495" s="16" t="s">
        <v>19</v>
      </c>
      <c r="W495" s="19" t="s"/>
      <c r="X495" s="26" t="s">
        <f>=M495&amp;N495&amp;P495&amp;Q495&amp;T495&amp;V495&amp;S495</f>
        <v>571</v>
      </c>
      <c r="Y495" s="19" t="s"/>
      <c r="Z495" s="19" t="s"/>
      <c r="AA495" s="19" t="s"/>
      <c r="AB495" s="19" t="s"/>
    </row>
    <row r="496" spans="1:28" ht="14.4">
      <c r="A496" s="4">
        <f>=H496/G496-1</f>
        <v>0.1</v>
      </c>
      <c r="B496" s="20">
        <f>=F496/12</f>
        <v>15.675</v>
      </c>
      <c r="C496" s="20">
        <f>=J496/3</f>
        <v>125.4</v>
      </c>
      <c r="D496" s="20">
        <f>=K496/3</f>
        <v>139.333333333333</v>
      </c>
      <c r="E496" s="20">
        <f>=L496/3</f>
        <v>146.3</v>
      </c>
      <c r="F496" s="20">
        <f>=H496*0.9</f>
        <v>188.1</v>
      </c>
      <c r="G496" s="21">
        <v>190</v>
      </c>
      <c r="H496" s="39">
        <v>209</v>
      </c>
      <c r="I496" s="40">
        <f>=H496*1.05</f>
        <v>219.45</v>
      </c>
      <c r="J496" s="40">
        <f>=F496*2</f>
        <v>376.2</v>
      </c>
      <c r="K496" s="40">
        <f>=H496*2</f>
        <v>418</v>
      </c>
      <c r="L496" s="40">
        <f>=I496*2</f>
        <v>438.9</v>
      </c>
      <c r="M496" s="41" t="s">
        <v>521</v>
      </c>
      <c r="N496" s="41">
        <v>0.53</v>
      </c>
      <c r="O496" s="41" t="s"/>
      <c r="P496" s="41">
        <v>1</v>
      </c>
      <c r="Q496" s="41">
        <v>2</v>
      </c>
      <c r="R496" s="41" t="s">
        <v>16</v>
      </c>
      <c r="S496" s="41" t="s">
        <v>17</v>
      </c>
      <c r="T496" s="41" t="s">
        <v>110</v>
      </c>
      <c r="U496" s="16" t="s">
        <v>13</v>
      </c>
      <c r="V496" s="16" t="s">
        <v>19</v>
      </c>
      <c r="W496" s="19" t="s"/>
      <c r="X496" s="26" t="s">
        <f>=M496&amp;N496&amp;P496&amp;Q496&amp;T496&amp;V496&amp;S496</f>
        <v>572</v>
      </c>
      <c r="Y496" s="19" t="s"/>
      <c r="Z496" s="19" t="s"/>
      <c r="AA496" s="19" t="s"/>
      <c r="AB496" s="19" t="s"/>
    </row>
    <row r="497" spans="1:28" ht="14.4">
      <c r="A497" s="4">
        <f>=H497/G497-1</f>
        <v>0.101010101010101</v>
      </c>
      <c r="B497" s="20">
        <f>=F497/12</f>
        <v>24.525</v>
      </c>
      <c r="C497" s="20">
        <f>=J497/3</f>
        <v>196.2</v>
      </c>
      <c r="D497" s="20">
        <f>=K497/3</f>
        <v>218</v>
      </c>
      <c r="E497" s="20">
        <f>=L497/3</f>
        <v>228.9</v>
      </c>
      <c r="F497" s="20">
        <f>=H497*0.9</f>
        <v>294.3</v>
      </c>
      <c r="G497" s="21">
        <v>297</v>
      </c>
      <c r="H497" s="39">
        <v>327</v>
      </c>
      <c r="I497" s="40">
        <f>=H497*1.05</f>
        <v>343.35</v>
      </c>
      <c r="J497" s="40">
        <f>=F497*2</f>
        <v>588.6</v>
      </c>
      <c r="K497" s="40">
        <f>=H497*2</f>
        <v>654</v>
      </c>
      <c r="L497" s="40">
        <f>=I497*2</f>
        <v>686.7</v>
      </c>
      <c r="M497" s="41" t="s">
        <v>521</v>
      </c>
      <c r="N497" s="41">
        <v>0.53</v>
      </c>
      <c r="O497" s="41" t="s"/>
      <c r="P497" s="41">
        <v>2</v>
      </c>
      <c r="Q497" s="41">
        <v>2</v>
      </c>
      <c r="R497" s="41" t="s">
        <v>16</v>
      </c>
      <c r="S497" s="41" t="s">
        <v>17</v>
      </c>
      <c r="T497" s="41" t="s">
        <v>110</v>
      </c>
      <c r="U497" s="16" t="s">
        <v>13</v>
      </c>
      <c r="V497" s="16" t="s">
        <v>19</v>
      </c>
      <c r="W497" s="19" t="s"/>
      <c r="X497" s="26" t="s">
        <f>=M497&amp;N497&amp;P497&amp;Q497&amp;T497&amp;V497&amp;S497</f>
        <v>573</v>
      </c>
      <c r="Y497" s="19" t="s"/>
      <c r="Z497" s="19" t="s"/>
      <c r="AA497" s="19" t="s"/>
      <c r="AB497" s="19" t="s"/>
    </row>
    <row r="498" spans="1:28" ht="14.4">
      <c r="A498" s="4">
        <f>=H498/G498-1</f>
        <v>0.0993788819875776</v>
      </c>
      <c r="B498" s="20">
        <f>=F498/12</f>
        <v>13.275</v>
      </c>
      <c r="C498" s="20">
        <f>=J498/3</f>
        <v>106.2</v>
      </c>
      <c r="D498" s="20">
        <f>=K498/3</f>
        <v>118</v>
      </c>
      <c r="E498" s="20">
        <f>=L498/3</f>
        <v>123.9</v>
      </c>
      <c r="F498" s="20">
        <f>=H498*0.9</f>
        <v>159.3</v>
      </c>
      <c r="G498" s="21">
        <v>161</v>
      </c>
      <c r="H498" s="39">
        <v>177</v>
      </c>
      <c r="I498" s="40">
        <f>=H498*1.05</f>
        <v>185.85</v>
      </c>
      <c r="J498" s="40">
        <f>=F498*2</f>
        <v>318.6</v>
      </c>
      <c r="K498" s="40">
        <f>=H498*2</f>
        <v>354</v>
      </c>
      <c r="L498" s="40">
        <f>=I498*2</f>
        <v>371.7</v>
      </c>
      <c r="M498" s="41" t="s">
        <v>521</v>
      </c>
      <c r="N498" s="41">
        <v>0.56</v>
      </c>
      <c r="O498" s="41" t="s"/>
      <c r="P498" s="41">
        <v>1</v>
      </c>
      <c r="Q498" s="41">
        <v>1</v>
      </c>
      <c r="R498" s="41" t="s">
        <v>16</v>
      </c>
      <c r="S498" s="41" t="s">
        <v>17</v>
      </c>
      <c r="T498" s="41" t="s">
        <v>110</v>
      </c>
      <c r="U498" s="16" t="s">
        <v>13</v>
      </c>
      <c r="V498" s="16" t="s">
        <v>19</v>
      </c>
      <c r="W498" s="19" t="s"/>
      <c r="X498" s="26" t="s">
        <f>=M498&amp;N498&amp;P498&amp;Q498&amp;T498&amp;V498&amp;S498</f>
        <v>574</v>
      </c>
      <c r="Y498" s="19" t="s"/>
      <c r="Z498" s="19" t="s"/>
      <c r="AA498" s="19" t="s"/>
      <c r="AB498" s="19" t="s"/>
    </row>
    <row r="499" spans="1:28" ht="14.4">
      <c r="A499" s="4">
        <f>=H499/G499-1</f>
        <v>0.0975609756097562</v>
      </c>
      <c r="B499" s="20">
        <f>=F499/12</f>
        <v>10.125</v>
      </c>
      <c r="C499" s="20">
        <f>=J499/3</f>
        <v>81</v>
      </c>
      <c r="D499" s="20">
        <f>=K499/3</f>
        <v>90</v>
      </c>
      <c r="E499" s="20">
        <f>=L499/3</f>
        <v>94.5</v>
      </c>
      <c r="F499" s="20">
        <f>=H499*0.9</f>
        <v>121.5</v>
      </c>
      <c r="G499" s="21">
        <v>123</v>
      </c>
      <c r="H499" s="39">
        <v>135</v>
      </c>
      <c r="I499" s="40">
        <f>=H499*1.05</f>
        <v>141.75</v>
      </c>
      <c r="J499" s="40">
        <f>=F499*2</f>
        <v>243</v>
      </c>
      <c r="K499" s="40">
        <f>=H499*2</f>
        <v>270</v>
      </c>
      <c r="L499" s="40">
        <f>=I499*2</f>
        <v>283.5</v>
      </c>
      <c r="M499" s="41" t="s">
        <v>521</v>
      </c>
      <c r="N499" s="41">
        <v>0.6</v>
      </c>
      <c r="O499" s="41" t="s"/>
      <c r="P499" s="41" t="s">
        <v>21</v>
      </c>
      <c r="Q499" s="41" t="s">
        <v>21</v>
      </c>
      <c r="R499" s="41" t="s">
        <v>16</v>
      </c>
      <c r="S499" s="41" t="s">
        <v>17</v>
      </c>
      <c r="T499" s="41" t="s">
        <v>110</v>
      </c>
      <c r="U499" s="16" t="s">
        <v>13</v>
      </c>
      <c r="V499" s="16" t="s">
        <v>19</v>
      </c>
      <c r="W499" s="19" t="s"/>
      <c r="X499" s="26" t="s">
        <f>=M499&amp;N499&amp;P499&amp;Q499&amp;T499&amp;V499&amp;S499</f>
        <v>575</v>
      </c>
      <c r="Y499" s="19" t="s"/>
      <c r="Z499" s="19" t="s"/>
      <c r="AA499" s="19" t="s"/>
      <c r="AB499" s="19" t="s"/>
    </row>
    <row r="500" spans="1:28" ht="14.4">
      <c r="A500" s="4">
        <f>=H500/G500-1</f>
        <v>0.101694915254237</v>
      </c>
      <c r="B500" s="20">
        <f>=F500/12</f>
        <v>24.375</v>
      </c>
      <c r="C500" s="20">
        <f>=J500/3</f>
        <v>195</v>
      </c>
      <c r="D500" s="20">
        <f>=K500/3</f>
        <v>216.666666666667</v>
      </c>
      <c r="E500" s="20">
        <f>=L500/3</f>
        <v>227.5</v>
      </c>
      <c r="F500" s="20">
        <f>=H500*0.9</f>
        <v>292.5</v>
      </c>
      <c r="G500" s="21">
        <v>295</v>
      </c>
      <c r="H500" s="39">
        <v>325</v>
      </c>
      <c r="I500" s="40">
        <f>=H500*1.05</f>
        <v>341.25</v>
      </c>
      <c r="J500" s="40">
        <f>=F500*2</f>
        <v>585</v>
      </c>
      <c r="K500" s="40">
        <f>=H500*2</f>
        <v>650</v>
      </c>
      <c r="L500" s="40">
        <f>=I500*2</f>
        <v>682.5</v>
      </c>
      <c r="M500" s="41" t="s">
        <v>521</v>
      </c>
      <c r="N500" s="41">
        <v>0.6</v>
      </c>
      <c r="O500" s="41" t="s"/>
      <c r="P500" s="41">
        <v>2</v>
      </c>
      <c r="Q500" s="41">
        <v>2</v>
      </c>
      <c r="R500" s="41" t="s">
        <v>16</v>
      </c>
      <c r="S500" s="41" t="s">
        <v>17</v>
      </c>
      <c r="T500" s="41" t="s">
        <v>110</v>
      </c>
      <c r="U500" s="16" t="s">
        <v>13</v>
      </c>
      <c r="V500" s="16" t="s">
        <v>19</v>
      </c>
      <c r="W500" s="19" t="s"/>
      <c r="X500" s="26" t="s">
        <f>=M500&amp;N500&amp;P500&amp;Q500&amp;T500&amp;V500&amp;S500</f>
        <v>576</v>
      </c>
      <c r="Y500" s="56" t="s"/>
      <c r="Z500" s="56" t="s"/>
      <c r="AA500" s="56" t="s"/>
      <c r="AB500" s="56" t="s"/>
    </row>
    <row r="501" spans="1:28" ht="14.4">
      <c r="A501" s="4">
        <f>=H501/G501-1</f>
        <v>0.098976109215017</v>
      </c>
      <c r="B501" s="20">
        <f>=F501/12</f>
        <v>24.15</v>
      </c>
      <c r="C501" s="20">
        <f>=J501/3</f>
        <v>193.2</v>
      </c>
      <c r="D501" s="20">
        <f>=K501/3</f>
        <v>214.666666666667</v>
      </c>
      <c r="E501" s="20">
        <f>=L501/3</f>
        <v>225.4</v>
      </c>
      <c r="F501" s="20">
        <f>=H501*0.9</f>
        <v>289.8</v>
      </c>
      <c r="G501" s="21">
        <v>293</v>
      </c>
      <c r="H501" s="39">
        <v>322</v>
      </c>
      <c r="I501" s="40">
        <f>=H501*1.05</f>
        <v>338.1</v>
      </c>
      <c r="J501" s="40">
        <f>=F501*2</f>
        <v>579.6</v>
      </c>
      <c r="K501" s="40">
        <f>=H501*2</f>
        <v>644</v>
      </c>
      <c r="L501" s="40">
        <f>=I501*2</f>
        <v>676.2</v>
      </c>
      <c r="M501" s="41" t="s">
        <v>521</v>
      </c>
      <c r="N501" s="41">
        <v>0.61</v>
      </c>
      <c r="O501" s="41" t="s"/>
      <c r="P501" s="41">
        <v>2</v>
      </c>
      <c r="Q501" s="41">
        <v>2</v>
      </c>
      <c r="R501" s="41" t="s">
        <v>16</v>
      </c>
      <c r="S501" s="41" t="s">
        <v>17</v>
      </c>
      <c r="T501" s="41" t="s">
        <v>110</v>
      </c>
      <c r="U501" s="16" t="s">
        <v>13</v>
      </c>
      <c r="V501" s="16" t="s">
        <v>19</v>
      </c>
      <c r="W501" s="56" t="s"/>
      <c r="X501" s="26" t="s">
        <f>=M501&amp;N501&amp;P501&amp;Q501&amp;T501&amp;V501&amp;S501</f>
        <v>577</v>
      </c>
      <c r="Y501" s="19" t="s"/>
      <c r="Z501" s="19" t="s"/>
      <c r="AA501" s="19" t="s"/>
      <c r="AB501" s="19" t="s"/>
    </row>
    <row r="502" spans="1:28" ht="14.4">
      <c r="A502" s="4">
        <f>=H502/G502-1</f>
        <v>0.098901098901099</v>
      </c>
      <c r="B502" s="20">
        <f>=F502/12</f>
        <v>15</v>
      </c>
      <c r="C502" s="20">
        <f>=J502/3</f>
        <v>120</v>
      </c>
      <c r="D502" s="20">
        <f>=K502/3</f>
        <v>133.333333333333</v>
      </c>
      <c r="E502" s="20">
        <f>=L502/3</f>
        <v>140</v>
      </c>
      <c r="F502" s="20">
        <f>=H502*0.9</f>
        <v>180</v>
      </c>
      <c r="G502" s="21">
        <v>182</v>
      </c>
      <c r="H502" s="39">
        <v>200</v>
      </c>
      <c r="I502" s="40">
        <f>=H502*1.05</f>
        <v>210</v>
      </c>
      <c r="J502" s="40">
        <f>=F502*2</f>
        <v>360</v>
      </c>
      <c r="K502" s="40">
        <f>=H502*2</f>
        <v>400</v>
      </c>
      <c r="L502" s="40">
        <f>=I502*2</f>
        <v>420</v>
      </c>
      <c r="M502" s="41" t="s">
        <v>521</v>
      </c>
      <c r="N502" s="41">
        <v>0.63</v>
      </c>
      <c r="O502" s="41" t="s"/>
      <c r="P502" s="41">
        <v>1</v>
      </c>
      <c r="Q502" s="41">
        <v>1</v>
      </c>
      <c r="R502" s="41" t="s">
        <v>16</v>
      </c>
      <c r="S502" s="41" t="s">
        <v>17</v>
      </c>
      <c r="T502" s="41" t="s">
        <v>126</v>
      </c>
      <c r="U502" s="16" t="s">
        <v>13</v>
      </c>
      <c r="V502" s="16" t="s">
        <v>19</v>
      </c>
      <c r="W502" s="19" t="s"/>
      <c r="X502" s="26" t="s">
        <f>=M502&amp;N502&amp;P502&amp;Q502&amp;T502&amp;V502&amp;S502</f>
        <v>578</v>
      </c>
      <c r="Y502" s="19" t="s"/>
      <c r="Z502" s="19" t="s"/>
      <c r="AA502" s="19" t="s"/>
      <c r="AB502" s="19" t="s"/>
    </row>
    <row r="503" spans="1:28" ht="14.4">
      <c r="A503" s="4">
        <f>=H503/G503-1</f>
        <v>0.102941176470588</v>
      </c>
      <c r="B503" s="20">
        <f>=F503/12</f>
        <v>11.25</v>
      </c>
      <c r="C503" s="20">
        <f>=J503/3</f>
        <v>90</v>
      </c>
      <c r="D503" s="20">
        <f>=K503/3</f>
        <v>100</v>
      </c>
      <c r="E503" s="20">
        <f>=L503/3</f>
        <v>105</v>
      </c>
      <c r="F503" s="20">
        <f>=H503*0.9</f>
        <v>135</v>
      </c>
      <c r="G503" s="21">
        <v>136</v>
      </c>
      <c r="H503" s="39">
        <v>150</v>
      </c>
      <c r="I503" s="40">
        <f>=H503*1.05</f>
        <v>157.5</v>
      </c>
      <c r="J503" s="40">
        <f>=F503*2</f>
        <v>270</v>
      </c>
      <c r="K503" s="40">
        <f>=H503*2</f>
        <v>300</v>
      </c>
      <c r="L503" s="40">
        <f>=I503*2</f>
        <v>315</v>
      </c>
      <c r="M503" s="41" t="s">
        <v>521</v>
      </c>
      <c r="N503" s="41">
        <v>0.66</v>
      </c>
      <c r="O503" s="41" t="s"/>
      <c r="P503" s="41" t="s">
        <v>21</v>
      </c>
      <c r="Q503" s="41" t="s">
        <v>21</v>
      </c>
      <c r="R503" s="41" t="s">
        <v>16</v>
      </c>
      <c r="S503" s="41" t="s">
        <v>17</v>
      </c>
      <c r="T503" s="41" t="s">
        <v>579</v>
      </c>
      <c r="U503" s="16" t="s">
        <v>13</v>
      </c>
      <c r="V503" s="16" t="s">
        <v>19</v>
      </c>
      <c r="W503" s="19" t="s"/>
      <c r="X503" s="26" t="s">
        <f>=M503&amp;N503&amp;P503&amp;Q503&amp;T503&amp;V503&amp;S503</f>
        <v>580</v>
      </c>
      <c r="Y503" s="19" t="s"/>
      <c r="Z503" s="19" t="s"/>
      <c r="AA503" s="19" t="s"/>
      <c r="AB503" s="19" t="s"/>
    </row>
    <row r="504" spans="1:28" ht="14.4">
      <c r="A504" s="4">
        <f>=H504/G504-1</f>
        <v>0.101398601398601</v>
      </c>
      <c r="B504" s="20">
        <f>=F504/12</f>
        <v>23.625</v>
      </c>
      <c r="C504" s="20">
        <f>=J504/3</f>
        <v>189</v>
      </c>
      <c r="D504" s="20">
        <f>=K504/3</f>
        <v>210</v>
      </c>
      <c r="E504" s="20">
        <f>=L504/3</f>
        <v>220.5</v>
      </c>
      <c r="F504" s="20">
        <f>=H504*0.9</f>
        <v>283.5</v>
      </c>
      <c r="G504" s="21">
        <v>286</v>
      </c>
      <c r="H504" s="39">
        <v>315</v>
      </c>
      <c r="I504" s="40">
        <f>=H504*1.05</f>
        <v>330.75</v>
      </c>
      <c r="J504" s="40">
        <f>=F504*2</f>
        <v>567</v>
      </c>
      <c r="K504" s="40">
        <f>=H504*2</f>
        <v>630</v>
      </c>
      <c r="L504" s="40">
        <f>=I504*2</f>
        <v>661.5</v>
      </c>
      <c r="M504" s="41" t="s">
        <v>521</v>
      </c>
      <c r="N504" s="41">
        <v>0.66</v>
      </c>
      <c r="O504" s="41" t="s"/>
      <c r="P504" s="41">
        <v>2</v>
      </c>
      <c r="Q504" s="41">
        <v>2</v>
      </c>
      <c r="R504" s="41" t="s">
        <v>16</v>
      </c>
      <c r="S504" s="41" t="s">
        <v>17</v>
      </c>
      <c r="T504" s="41" t="s">
        <v>579</v>
      </c>
      <c r="U504" s="16" t="s">
        <v>13</v>
      </c>
      <c r="V504" s="16" t="s">
        <v>19</v>
      </c>
      <c r="W504" s="19" t="s"/>
      <c r="X504" s="26" t="s">
        <f>=M504&amp;N504&amp;P504&amp;Q504&amp;T504&amp;V504&amp;S504</f>
        <v>581</v>
      </c>
      <c r="Y504" s="19" t="s"/>
      <c r="Z504" s="19" t="s"/>
      <c r="AA504" s="19" t="s"/>
      <c r="AB504" s="19" t="s"/>
    </row>
    <row r="505" spans="1:28" ht="14.4">
      <c r="A505" s="4">
        <f>=H505/G505-1</f>
        <v>0.1</v>
      </c>
      <c r="B505" s="20">
        <f>=F505/12</f>
        <v>14.85</v>
      </c>
      <c r="C505" s="20">
        <f>=J505/3</f>
        <v>118.8</v>
      </c>
      <c r="D505" s="20">
        <f>=K505/3</f>
        <v>132</v>
      </c>
      <c r="E505" s="20">
        <f>=L505/3</f>
        <v>138.6</v>
      </c>
      <c r="F505" s="20">
        <f>=H505*0.9</f>
        <v>178.2</v>
      </c>
      <c r="G505" s="21">
        <v>180</v>
      </c>
      <c r="H505" s="39">
        <v>198</v>
      </c>
      <c r="I505" s="40">
        <f>=H505*1.05</f>
        <v>207.9</v>
      </c>
      <c r="J505" s="40">
        <f>=F505*2</f>
        <v>356.4</v>
      </c>
      <c r="K505" s="40">
        <f>=H505*2</f>
        <v>396</v>
      </c>
      <c r="L505" s="40">
        <f>=I505*2</f>
        <v>415.8</v>
      </c>
      <c r="M505" s="41" t="s">
        <v>521</v>
      </c>
      <c r="N505" s="41">
        <v>0.71</v>
      </c>
      <c r="O505" s="41" t="s"/>
      <c r="P505" s="41">
        <v>1</v>
      </c>
      <c r="Q505" s="41">
        <v>1</v>
      </c>
      <c r="R505" s="41" t="s">
        <v>16</v>
      </c>
      <c r="S505" s="41" t="s">
        <v>17</v>
      </c>
      <c r="T505" s="41" t="s">
        <v>128</v>
      </c>
      <c r="U505" s="16" t="s">
        <v>13</v>
      </c>
      <c r="V505" s="16" t="s">
        <v>19</v>
      </c>
      <c r="W505" s="19" t="s"/>
      <c r="X505" s="26" t="s">
        <f>=M505&amp;N505&amp;P505&amp;Q505&amp;T505&amp;V505&amp;S505</f>
        <v>582</v>
      </c>
      <c r="Y505" s="19" t="s"/>
      <c r="Z505" s="19" t="s"/>
      <c r="AA505" s="19" t="s"/>
      <c r="AB505" s="19" t="s"/>
    </row>
    <row r="506" spans="1:28" ht="14.4">
      <c r="A506" s="4">
        <f>=H506/G506-1</f>
        <v>0.0986842105263157</v>
      </c>
      <c r="B506" s="20">
        <f>=F506/12</f>
        <v>25.05</v>
      </c>
      <c r="C506" s="20">
        <f>=J506/3</f>
        <v>200.4</v>
      </c>
      <c r="D506" s="20">
        <f>=K506/3</f>
        <v>222.666666666667</v>
      </c>
      <c r="E506" s="20">
        <f>=L506/3</f>
        <v>233.8</v>
      </c>
      <c r="F506" s="20">
        <f>=H506*0.9</f>
        <v>300.6</v>
      </c>
      <c r="G506" s="21">
        <v>304</v>
      </c>
      <c r="H506" s="39">
        <v>334</v>
      </c>
      <c r="I506" s="40">
        <f>=H506*1.05</f>
        <v>350.7</v>
      </c>
      <c r="J506" s="40">
        <f>=F506*2</f>
        <v>601.2</v>
      </c>
      <c r="K506" s="40">
        <f>=H506*2</f>
        <v>668</v>
      </c>
      <c r="L506" s="40">
        <f>=I506*2</f>
        <v>701.4</v>
      </c>
      <c r="M506" s="41" t="s">
        <v>521</v>
      </c>
      <c r="N506" s="41">
        <v>0.71</v>
      </c>
      <c r="O506" s="41" t="s"/>
      <c r="P506" s="41">
        <v>2</v>
      </c>
      <c r="Q506" s="41">
        <v>2</v>
      </c>
      <c r="R506" s="41" t="s">
        <v>16</v>
      </c>
      <c r="S506" s="41" t="s">
        <v>17</v>
      </c>
      <c r="T506" s="41" t="s">
        <v>128</v>
      </c>
      <c r="U506" s="16" t="s">
        <v>13</v>
      </c>
      <c r="V506" s="16" t="s">
        <v>19</v>
      </c>
      <c r="W506" s="19" t="s"/>
      <c r="X506" s="26" t="s">
        <f>=M506&amp;N506&amp;P506&amp;Q506&amp;T506&amp;V506&amp;S506</f>
        <v>583</v>
      </c>
      <c r="Y506" s="19" t="s"/>
      <c r="Z506" s="19" t="s"/>
      <c r="AA506" s="19" t="s"/>
      <c r="AB506" s="19" t="s"/>
    </row>
    <row r="507" spans="1:28" ht="14.4">
      <c r="A507" s="4">
        <f>=H507/G507-1</f>
        <v>0.103703703703704</v>
      </c>
      <c r="B507" s="20">
        <f>=F507/12</f>
        <v>11.175</v>
      </c>
      <c r="C507" s="20">
        <f>=J507/3</f>
        <v>89.4</v>
      </c>
      <c r="D507" s="20">
        <f>=K507/3</f>
        <v>99.3333333333333</v>
      </c>
      <c r="E507" s="20">
        <f>=L507/3</f>
        <v>104.3</v>
      </c>
      <c r="F507" s="20">
        <f>=H507*0.9</f>
        <v>134.1</v>
      </c>
      <c r="G507" s="21">
        <v>135</v>
      </c>
      <c r="H507" s="39">
        <v>149</v>
      </c>
      <c r="I507" s="40">
        <f>=H507*1.05</f>
        <v>156.45</v>
      </c>
      <c r="J507" s="40">
        <f>=F507*2</f>
        <v>268.2</v>
      </c>
      <c r="K507" s="40">
        <f>=H507*2</f>
        <v>298</v>
      </c>
      <c r="L507" s="40">
        <f>=I507*2</f>
        <v>312.9</v>
      </c>
      <c r="M507" s="41" t="s">
        <v>521</v>
      </c>
      <c r="N507" s="41">
        <v>0.71</v>
      </c>
      <c r="O507" s="41" t="s"/>
      <c r="P507" s="41" t="s">
        <v>21</v>
      </c>
      <c r="Q507" s="41" t="s">
        <v>21</v>
      </c>
      <c r="R507" s="41" t="s">
        <v>16</v>
      </c>
      <c r="S507" s="41" t="s">
        <v>17</v>
      </c>
      <c r="T507" s="41" t="s">
        <v>128</v>
      </c>
      <c r="U507" s="16" t="s">
        <v>13</v>
      </c>
      <c r="V507" s="16" t="s">
        <v>19</v>
      </c>
      <c r="W507" s="19" t="s"/>
      <c r="X507" s="26" t="s">
        <f>=M507&amp;N507&amp;P507&amp;Q507&amp;T507&amp;V507&amp;S507</f>
        <v>584</v>
      </c>
      <c r="Y507" s="19" t="s"/>
      <c r="Z507" s="19" t="s"/>
      <c r="AA507" s="19" t="s"/>
      <c r="AB507" s="19" t="s"/>
    </row>
    <row r="508" spans="1:28" ht="14.4">
      <c r="A508" s="4">
        <f>=H508/G508-1</f>
        <v>0</v>
      </c>
      <c r="B508" s="20">
        <f>=F508/12</f>
        <v>13.575</v>
      </c>
      <c r="C508" s="20">
        <f>=J508/3</f>
        <v>108.6</v>
      </c>
      <c r="D508" s="20">
        <f>=K508/3</f>
        <v>120.666666666667</v>
      </c>
      <c r="E508" s="20">
        <f>=L508/3</f>
        <v>126.7</v>
      </c>
      <c r="F508" s="20">
        <f>=H508*0.9</f>
        <v>162.9</v>
      </c>
      <c r="G508" s="21">
        <v>181</v>
      </c>
      <c r="H508" s="39">
        <v>181</v>
      </c>
      <c r="I508" s="40">
        <f>=H508*1.05</f>
        <v>190.05</v>
      </c>
      <c r="J508" s="40">
        <f>=F508*2</f>
        <v>325.8</v>
      </c>
      <c r="K508" s="40">
        <f>=H508*2</f>
        <v>362</v>
      </c>
      <c r="L508" s="40">
        <f>=I508*2</f>
        <v>380.1</v>
      </c>
      <c r="M508" s="41" t="s">
        <v>521</v>
      </c>
      <c r="N508" s="41">
        <v>0.8</v>
      </c>
      <c r="O508" s="41" t="s"/>
      <c r="P508" s="41">
        <v>1</v>
      </c>
      <c r="Q508" s="41">
        <v>1</v>
      </c>
      <c r="R508" s="41" t="s">
        <v>16</v>
      </c>
      <c r="S508" s="41" t="s">
        <v>137</v>
      </c>
      <c r="T508" s="41" t="s">
        <v>128</v>
      </c>
      <c r="U508" s="16" t="s">
        <v>13</v>
      </c>
      <c r="V508" s="16" t="s">
        <v>19</v>
      </c>
      <c r="W508" s="17" t="s">
        <v>352</v>
      </c>
      <c r="X508" s="26" t="s">
        <f>=M508&amp;N508&amp;P508&amp;Q508&amp;T508&amp;V508&amp;S508</f>
        <v>585</v>
      </c>
      <c r="Y508" s="19" t="s"/>
      <c r="Z508" s="19" t="s"/>
      <c r="AA508" s="19" t="s"/>
      <c r="AB508" s="19" t="s"/>
    </row>
    <row r="509" spans="1:28" ht="14.4">
      <c r="A509" s="4">
        <f>=H509/G509-1</f>
        <v>0</v>
      </c>
      <c r="B509" s="20">
        <f>=F509/12</f>
        <v>11.1</v>
      </c>
      <c r="C509" s="20">
        <f>=J509/3</f>
        <v>88.8</v>
      </c>
      <c r="D509" s="20">
        <f>=K509/3</f>
        <v>98.6666666666667</v>
      </c>
      <c r="E509" s="20">
        <f>=L509/3</f>
        <v>103.6</v>
      </c>
      <c r="F509" s="20">
        <f>=H509*0.9</f>
        <v>133.2</v>
      </c>
      <c r="G509" s="21">
        <v>148</v>
      </c>
      <c r="H509" s="39">
        <v>148</v>
      </c>
      <c r="I509" s="40">
        <f>=H509*1.05</f>
        <v>155.4</v>
      </c>
      <c r="J509" s="40">
        <f>=F509*2</f>
        <v>266.4</v>
      </c>
      <c r="K509" s="40">
        <f>=H509*2</f>
        <v>296</v>
      </c>
      <c r="L509" s="40">
        <f>=I509*2</f>
        <v>310.8</v>
      </c>
      <c r="M509" s="41" t="s">
        <v>521</v>
      </c>
      <c r="N509" s="41">
        <v>0.8</v>
      </c>
      <c r="O509" s="41" t="s"/>
      <c r="P509" s="41" t="s">
        <v>21</v>
      </c>
      <c r="Q509" s="41" t="s">
        <v>21</v>
      </c>
      <c r="R509" s="41" t="s">
        <v>16</v>
      </c>
      <c r="S509" s="41" t="s">
        <v>137</v>
      </c>
      <c r="T509" s="41" t="s">
        <v>128</v>
      </c>
      <c r="U509" s="16" t="s">
        <v>13</v>
      </c>
      <c r="V509" s="16" t="s">
        <v>19</v>
      </c>
      <c r="W509" s="54">
        <v>46154</v>
      </c>
      <c r="X509" s="26" t="s">
        <f>=M509&amp;N509&amp;P509&amp;Q509&amp;T509&amp;V509&amp;S509</f>
        <v>586</v>
      </c>
      <c r="Y509" s="19" t="s"/>
      <c r="Z509" s="19" t="s"/>
      <c r="AA509" s="19" t="s"/>
      <c r="AB509" s="19" t="s"/>
    </row>
    <row r="510" spans="1:28" ht="14.4">
      <c r="A510" s="4">
        <f>=H510/G510-1</f>
        <v>0.098360655737705</v>
      </c>
      <c r="B510" s="20">
        <f>=F510/12</f>
        <v>15.075</v>
      </c>
      <c r="C510" s="20">
        <f>=J510/3</f>
        <v>120.6</v>
      </c>
      <c r="D510" s="20">
        <f>=K510/3</f>
        <v>134</v>
      </c>
      <c r="E510" s="20">
        <f>=L510/3</f>
        <v>140.7</v>
      </c>
      <c r="F510" s="20">
        <f>=H510*0.9</f>
        <v>180.9</v>
      </c>
      <c r="G510" s="21">
        <v>183</v>
      </c>
      <c r="H510" s="39">
        <v>201</v>
      </c>
      <c r="I510" s="40">
        <f>=H510*1.05</f>
        <v>211.05</v>
      </c>
      <c r="J510" s="40">
        <f>=F510*2</f>
        <v>361.8</v>
      </c>
      <c r="K510" s="40">
        <f>=H510*2</f>
        <v>402</v>
      </c>
      <c r="L510" s="40">
        <f>=I510*2</f>
        <v>422.1</v>
      </c>
      <c r="M510" s="41" t="s">
        <v>521</v>
      </c>
      <c r="N510" s="41">
        <v>0.9</v>
      </c>
      <c r="O510" s="41" t="s"/>
      <c r="P510" s="41" t="s">
        <v>21</v>
      </c>
      <c r="Q510" s="41" t="s">
        <v>21</v>
      </c>
      <c r="R510" s="41" t="s">
        <v>16</v>
      </c>
      <c r="S510" s="41" t="s">
        <v>137</v>
      </c>
      <c r="T510" s="41" t="s">
        <v>140</v>
      </c>
      <c r="U510" s="16" t="s">
        <v>13</v>
      </c>
      <c r="V510" s="16" t="s">
        <v>19</v>
      </c>
      <c r="W510" s="19" t="s"/>
      <c r="X510" s="26" t="s">
        <f>=M510&amp;N510&amp;P510&amp;Q510&amp;T510&amp;V510&amp;S510</f>
        <v>587</v>
      </c>
      <c r="Y510" s="19" t="s"/>
      <c r="Z510" s="19" t="s"/>
      <c r="AA510" s="19" t="s"/>
      <c r="AB510" s="19" t="s"/>
    </row>
    <row r="511" spans="1:28" ht="14.4">
      <c r="A511" s="4">
        <f>=H511/G511-1</f>
        <v>0.101851851851852</v>
      </c>
      <c r="B511" s="20">
        <f>=F511/12</f>
        <v>17.85</v>
      </c>
      <c r="C511" s="20">
        <f>=J511/3</f>
        <v>142.8</v>
      </c>
      <c r="D511" s="20">
        <f>=K511/3</f>
        <v>158.666666666667</v>
      </c>
      <c r="E511" s="20">
        <f>=L511/3</f>
        <v>166.6</v>
      </c>
      <c r="F511" s="20">
        <f>=H511*0.9</f>
        <v>214.2</v>
      </c>
      <c r="G511" s="21">
        <v>216</v>
      </c>
      <c r="H511" s="39">
        <v>238</v>
      </c>
      <c r="I511" s="40">
        <f>=H511*1.05</f>
        <v>249.9</v>
      </c>
      <c r="J511" s="40">
        <f>=F511*2</f>
        <v>428.4</v>
      </c>
      <c r="K511" s="40">
        <f>=H511*2</f>
        <v>476</v>
      </c>
      <c r="L511" s="40">
        <f>=I511*2</f>
        <v>499.8</v>
      </c>
      <c r="M511" s="41" t="s">
        <v>521</v>
      </c>
      <c r="N511" s="41">
        <v>0.9</v>
      </c>
      <c r="O511" s="41" t="s"/>
      <c r="P511" s="41">
        <v>1</v>
      </c>
      <c r="Q511" s="41">
        <v>1</v>
      </c>
      <c r="R511" s="41" t="s">
        <v>16</v>
      </c>
      <c r="S511" s="41" t="s">
        <v>137</v>
      </c>
      <c r="T511" s="41" t="s">
        <v>140</v>
      </c>
      <c r="U511" s="16" t="s">
        <v>13</v>
      </c>
      <c r="V511" s="16" t="s">
        <v>19</v>
      </c>
      <c r="W511" s="19" t="s"/>
      <c r="X511" s="26" t="s">
        <f>=M511&amp;N511&amp;P511&amp;Q511&amp;T511&amp;V511&amp;S511</f>
        <v>588</v>
      </c>
      <c r="Y511" s="19" t="s"/>
      <c r="Z511" s="19" t="s"/>
      <c r="AA511" s="19" t="s"/>
      <c r="AB511" s="19" t="s"/>
    </row>
    <row r="512" spans="1:28" ht="14.4">
      <c r="A512" s="4">
        <f>=H512/G512-1</f>
        <v>0.0980392156862746</v>
      </c>
      <c r="B512" s="20">
        <f>=F512/12</f>
        <v>16.8</v>
      </c>
      <c r="C512" s="20">
        <f>=J512/3</f>
        <v>134.4</v>
      </c>
      <c r="D512" s="20">
        <f>=K512/3</f>
        <v>149.333333333333</v>
      </c>
      <c r="E512" s="20">
        <f>=L512/3</f>
        <v>156.8</v>
      </c>
      <c r="F512" s="20">
        <f>=H512*0.9</f>
        <v>201.6</v>
      </c>
      <c r="G512" s="21">
        <v>204</v>
      </c>
      <c r="H512" s="39">
        <v>224</v>
      </c>
      <c r="I512" s="40">
        <f>=H512*1.05</f>
        <v>235.2</v>
      </c>
      <c r="J512" s="40">
        <f>=F512*2</f>
        <v>403.2</v>
      </c>
      <c r="K512" s="40">
        <f>=H512*2</f>
        <v>448</v>
      </c>
      <c r="L512" s="40">
        <f>=I512*2</f>
        <v>470.4</v>
      </c>
      <c r="M512" s="41" t="s">
        <v>521</v>
      </c>
      <c r="N512" s="41">
        <v>0.9</v>
      </c>
      <c r="O512" s="41" t="s"/>
      <c r="P512" s="41">
        <v>1</v>
      </c>
      <c r="Q512" s="41">
        <v>1</v>
      </c>
      <c r="R512" s="41" t="s">
        <v>16</v>
      </c>
      <c r="S512" s="41" t="s">
        <v>137</v>
      </c>
      <c r="T512" s="41" t="s">
        <v>429</v>
      </c>
      <c r="U512" s="16" t="s">
        <v>13</v>
      </c>
      <c r="V512" s="16" t="s">
        <v>19</v>
      </c>
      <c r="W512" s="19" t="s"/>
      <c r="X512" s="26" t="s">
        <f>=M512&amp;N512&amp;P512&amp;Q512&amp;T512&amp;V512&amp;S512</f>
        <v>589</v>
      </c>
      <c r="Y512" s="19" t="s"/>
      <c r="Z512" s="19" t="s"/>
      <c r="AA512" s="19" t="s"/>
      <c r="AB512" s="19" t="s"/>
    </row>
    <row r="513" spans="1:28" ht="14.4">
      <c r="A513" s="4">
        <f>=H513/G513-1</f>
        <v>0.0994475138121547</v>
      </c>
      <c r="B513" s="20">
        <f>=F513/12</f>
        <v>14.925</v>
      </c>
      <c r="C513" s="20">
        <f>=J513/3</f>
        <v>119.4</v>
      </c>
      <c r="D513" s="20">
        <f>=K513/3</f>
        <v>132.666666666667</v>
      </c>
      <c r="E513" s="20">
        <f>=L513/3</f>
        <v>139.3</v>
      </c>
      <c r="F513" s="20">
        <f>=H513*0.9</f>
        <v>179.1</v>
      </c>
      <c r="G513" s="21">
        <v>181</v>
      </c>
      <c r="H513" s="39">
        <v>199</v>
      </c>
      <c r="I513" s="40">
        <f>=H513*1.05</f>
        <v>208.95</v>
      </c>
      <c r="J513" s="40">
        <f>=F513*2</f>
        <v>358.2</v>
      </c>
      <c r="K513" s="40">
        <f>=H513*2</f>
        <v>398</v>
      </c>
      <c r="L513" s="40">
        <f>=I513*2</f>
        <v>417.9</v>
      </c>
      <c r="M513" s="41" t="s">
        <v>521</v>
      </c>
      <c r="N513" s="41">
        <v>0.73</v>
      </c>
      <c r="O513" s="41" t="s"/>
      <c r="P513" s="41">
        <v>1</v>
      </c>
      <c r="Q513" s="41">
        <v>1</v>
      </c>
      <c r="R513" s="41" t="s">
        <v>16</v>
      </c>
      <c r="S513" s="41" t="s">
        <v>17</v>
      </c>
      <c r="T513" s="41" t="s">
        <v>128</v>
      </c>
      <c r="U513" s="16" t="s">
        <v>13</v>
      </c>
      <c r="V513" s="16" t="s">
        <v>19</v>
      </c>
      <c r="W513" s="19" t="s"/>
      <c r="X513" s="26" t="s">
        <f>=M513&amp;N513&amp;P513&amp;Q513&amp;T513&amp;V513&amp;S513</f>
        <v>590</v>
      </c>
      <c r="Y513" s="19" t="s"/>
      <c r="Z513" s="19" t="s"/>
      <c r="AA513" s="19" t="s"/>
      <c r="AB513" s="19" t="s"/>
    </row>
    <row r="514" spans="1:28" ht="14.4">
      <c r="A514" s="4">
        <f>=H514/G514-1</f>
        <v>0.100977198697068</v>
      </c>
      <c r="B514" s="20">
        <f>=F514/12</f>
        <v>25.35</v>
      </c>
      <c r="C514" s="20">
        <f>=J514/3</f>
        <v>202.8</v>
      </c>
      <c r="D514" s="20">
        <f>=K514/3</f>
        <v>225.333333333333</v>
      </c>
      <c r="E514" s="20">
        <f>=L514/3</f>
        <v>236.6</v>
      </c>
      <c r="F514" s="20">
        <f>=H514*0.9</f>
        <v>304.2</v>
      </c>
      <c r="G514" s="21">
        <v>307</v>
      </c>
      <c r="H514" s="39">
        <v>338</v>
      </c>
      <c r="I514" s="40">
        <f>=H514*1.05</f>
        <v>354.9</v>
      </c>
      <c r="J514" s="40">
        <f>=F514*2</f>
        <v>608.4</v>
      </c>
      <c r="K514" s="40">
        <f>=H514*2</f>
        <v>676</v>
      </c>
      <c r="L514" s="40">
        <f>=I514*2</f>
        <v>709.8</v>
      </c>
      <c r="M514" s="41" t="s">
        <v>521</v>
      </c>
      <c r="N514" s="41">
        <v>0.9</v>
      </c>
      <c r="O514" s="41" t="s"/>
      <c r="P514" s="41">
        <v>2</v>
      </c>
      <c r="Q514" s="41">
        <v>2</v>
      </c>
      <c r="R514" s="41" t="s">
        <v>16</v>
      </c>
      <c r="S514" s="41" t="s">
        <v>137</v>
      </c>
      <c r="T514" s="41" t="s">
        <v>128</v>
      </c>
      <c r="U514" s="16" t="s">
        <v>13</v>
      </c>
      <c r="V514" s="16" t="s">
        <v>19</v>
      </c>
      <c r="W514" s="19" t="s"/>
      <c r="X514" s="26" t="s">
        <f>=M514&amp;N514&amp;P514&amp;Q514&amp;T514&amp;V514&amp;S514</f>
        <v>591</v>
      </c>
      <c r="Y514" s="19" t="s"/>
      <c r="Z514" s="19" t="s"/>
      <c r="AA514" s="19" t="s"/>
      <c r="AB514" s="19" t="s"/>
    </row>
    <row r="515" spans="1:28" ht="14.4">
      <c r="A515" s="4">
        <f>=H515/G515-1</f>
        <v>0.100961538461539</v>
      </c>
      <c r="B515" s="20">
        <f>=F515/12</f>
        <v>17.175</v>
      </c>
      <c r="C515" s="20">
        <f>=J515/3</f>
        <v>137.4</v>
      </c>
      <c r="D515" s="20">
        <f>=K515/3</f>
        <v>152.666666666667</v>
      </c>
      <c r="E515" s="20">
        <f>=L515/3</f>
        <v>160.3</v>
      </c>
      <c r="F515" s="20">
        <f>=H515*0.9</f>
        <v>206.1</v>
      </c>
      <c r="G515" s="21">
        <v>208</v>
      </c>
      <c r="H515" s="39">
        <v>229</v>
      </c>
      <c r="I515" s="40">
        <f>=H515*1.05</f>
        <v>240.45</v>
      </c>
      <c r="J515" s="40">
        <f>=F515*2</f>
        <v>412.2</v>
      </c>
      <c r="K515" s="40">
        <f>=H515*2</f>
        <v>458</v>
      </c>
      <c r="L515" s="40">
        <f>=I515*2</f>
        <v>480.9</v>
      </c>
      <c r="M515" s="41" t="s">
        <v>521</v>
      </c>
      <c r="N515" s="41">
        <v>1</v>
      </c>
      <c r="O515" s="41" t="s"/>
      <c r="P515" s="41">
        <v>1</v>
      </c>
      <c r="Q515" s="41">
        <v>1</v>
      </c>
      <c r="R515" s="41" t="s">
        <v>16</v>
      </c>
      <c r="S515" s="41" t="s">
        <v>137</v>
      </c>
      <c r="T515" s="41" t="s">
        <v>147</v>
      </c>
      <c r="U515" s="16" t="s">
        <v>13</v>
      </c>
      <c r="V515" s="16" t="s">
        <v>19</v>
      </c>
      <c r="W515" s="19" t="s"/>
      <c r="X515" s="26" t="s">
        <f>=M515&amp;N515&amp;P515&amp;Q515&amp;T515&amp;V515&amp;S515</f>
        <v>592</v>
      </c>
      <c r="Y515" s="19" t="s"/>
      <c r="Z515" s="19" t="s"/>
      <c r="AA515" s="19" t="s"/>
      <c r="AB515" s="19" t="s"/>
    </row>
    <row r="516" spans="1:28" ht="14.4">
      <c r="A516" s="4">
        <f>=H516/G516-1</f>
        <v>0.1</v>
      </c>
      <c r="B516" s="20">
        <f>=F516/12</f>
        <v>28.05</v>
      </c>
      <c r="C516" s="20">
        <f>=J516/3</f>
        <v>224.4</v>
      </c>
      <c r="D516" s="20">
        <f>=K516/3</f>
        <v>249.333333333333</v>
      </c>
      <c r="E516" s="20">
        <f>=L516/3</f>
        <v>261.8</v>
      </c>
      <c r="F516" s="20">
        <f>=H516*0.9</f>
        <v>336.6</v>
      </c>
      <c r="G516" s="21">
        <v>340</v>
      </c>
      <c r="H516" s="39">
        <v>374</v>
      </c>
      <c r="I516" s="40">
        <f>=H516*1.05</f>
        <v>392.7</v>
      </c>
      <c r="J516" s="40">
        <f>=F516*2</f>
        <v>673.2</v>
      </c>
      <c r="K516" s="40">
        <f>=H516*2</f>
        <v>748</v>
      </c>
      <c r="L516" s="40">
        <f>=I516*2</f>
        <v>785.4</v>
      </c>
      <c r="M516" s="41" t="s">
        <v>521</v>
      </c>
      <c r="N516" s="41">
        <v>1</v>
      </c>
      <c r="O516" s="41" t="s"/>
      <c r="P516" s="41">
        <v>2</v>
      </c>
      <c r="Q516" s="41">
        <v>2</v>
      </c>
      <c r="R516" s="41" t="s">
        <v>16</v>
      </c>
      <c r="S516" s="41" t="s">
        <v>137</v>
      </c>
      <c r="T516" s="41" t="s">
        <v>145</v>
      </c>
      <c r="U516" s="16" t="s">
        <v>13</v>
      </c>
      <c r="V516" s="16" t="s">
        <v>19</v>
      </c>
      <c r="W516" s="19" t="s"/>
      <c r="X516" s="26" t="s">
        <f>=M516&amp;N516&amp;P516&amp;Q516&amp;T516&amp;V516&amp;S516</f>
        <v>593</v>
      </c>
      <c r="Y516" s="19" t="s"/>
      <c r="Z516" s="19" t="s"/>
      <c r="AA516" s="19" t="s"/>
      <c r="AB516" s="19" t="s"/>
    </row>
    <row r="517" spans="1:28" ht="14.4">
      <c r="A517" s="4">
        <f>=H517/G517-1</f>
        <v>0.0990712074303406</v>
      </c>
      <c r="B517" s="20">
        <f>=F517/12</f>
        <v>26.625</v>
      </c>
      <c r="C517" s="20">
        <f>=J517/3</f>
        <v>213</v>
      </c>
      <c r="D517" s="20">
        <f>=K517/3</f>
        <v>236.666666666667</v>
      </c>
      <c r="E517" s="20">
        <f>=L517/3</f>
        <v>248.5</v>
      </c>
      <c r="F517" s="20">
        <f>=H517*0.9</f>
        <v>319.5</v>
      </c>
      <c r="G517" s="21">
        <v>323</v>
      </c>
      <c r="H517" s="39">
        <v>355</v>
      </c>
      <c r="I517" s="40">
        <f>=H517*1.05</f>
        <v>372.75</v>
      </c>
      <c r="J517" s="40">
        <f>=F517*2</f>
        <v>639</v>
      </c>
      <c r="K517" s="40">
        <f>=H517*2</f>
        <v>710</v>
      </c>
      <c r="L517" s="40">
        <f>=I517*2</f>
        <v>745.5</v>
      </c>
      <c r="M517" s="41" t="s">
        <v>521</v>
      </c>
      <c r="N517" s="41">
        <v>1</v>
      </c>
      <c r="O517" s="41" t="s"/>
      <c r="P517" s="41">
        <v>2</v>
      </c>
      <c r="Q517" s="41">
        <v>2</v>
      </c>
      <c r="R517" s="41" t="s">
        <v>16</v>
      </c>
      <c r="S517" s="41" t="s">
        <v>137</v>
      </c>
      <c r="T517" s="41" t="s">
        <v>147</v>
      </c>
      <c r="U517" s="16" t="s">
        <v>13</v>
      </c>
      <c r="V517" s="16" t="s">
        <v>19</v>
      </c>
      <c r="W517" s="19" t="s"/>
      <c r="X517" s="26" t="s">
        <f>=M517&amp;N517&amp;P517&amp;Q517&amp;T517&amp;V517&amp;S517</f>
        <v>594</v>
      </c>
      <c r="Y517" s="19" t="s"/>
      <c r="Z517" s="19" t="s"/>
      <c r="AA517" s="19" t="s"/>
      <c r="AB517" s="19" t="s"/>
    </row>
    <row r="518" spans="1:28" ht="14.4">
      <c r="A518" s="4">
        <f>=H518/G518-1</f>
        <v>0.0997782705099779</v>
      </c>
      <c r="B518" s="20">
        <f>=F518/12</f>
        <v>37.2</v>
      </c>
      <c r="C518" s="20">
        <f>=J518/3</f>
        <v>297.6</v>
      </c>
      <c r="D518" s="20">
        <f>=K518/3</f>
        <v>330.666666666667</v>
      </c>
      <c r="E518" s="20">
        <f>=L518/3</f>
        <v>347.2</v>
      </c>
      <c r="F518" s="20">
        <f>=H518*0.9</f>
        <v>446.4</v>
      </c>
      <c r="G518" s="21">
        <v>451</v>
      </c>
      <c r="H518" s="39">
        <v>496</v>
      </c>
      <c r="I518" s="40">
        <f>=H518*1.05</f>
        <v>520.8</v>
      </c>
      <c r="J518" s="40">
        <f>=F518*2</f>
        <v>892.8</v>
      </c>
      <c r="K518" s="40">
        <f>=H518*2</f>
        <v>992</v>
      </c>
      <c r="L518" s="40">
        <f>=I518*2</f>
        <v>1041.6</v>
      </c>
      <c r="M518" s="41" t="s">
        <v>521</v>
      </c>
      <c r="N518" s="41">
        <v>1</v>
      </c>
      <c r="O518" s="41" t="s"/>
      <c r="P518" s="41">
        <v>3</v>
      </c>
      <c r="Q518" s="41">
        <v>3</v>
      </c>
      <c r="R518" s="41" t="s">
        <v>16</v>
      </c>
      <c r="S518" s="41" t="s">
        <v>137</v>
      </c>
      <c r="T518" s="41" t="s">
        <v>128</v>
      </c>
      <c r="U518" s="16" t="s">
        <v>13</v>
      </c>
      <c r="V518" s="16" t="s">
        <v>19</v>
      </c>
      <c r="W518" s="19" t="s"/>
      <c r="X518" s="26" t="s">
        <f>=M518&amp;N518&amp;P518&amp;Q518&amp;T518&amp;V518&amp;S518</f>
        <v>595</v>
      </c>
      <c r="Y518" s="19" t="s"/>
      <c r="Z518" s="19" t="s"/>
      <c r="AA518" s="19" t="s"/>
      <c r="AB518" s="19" t="s"/>
    </row>
    <row r="519" spans="1:28" ht="14.4">
      <c r="A519" s="4">
        <f>=H519/G519-1</f>
        <v>0.0993377483443709</v>
      </c>
      <c r="B519" s="20">
        <f>=F519/12</f>
        <v>12.45</v>
      </c>
      <c r="C519" s="20">
        <f>=J519/3</f>
        <v>99.6</v>
      </c>
      <c r="D519" s="20">
        <f>=K519/3</f>
        <v>110.666666666667</v>
      </c>
      <c r="E519" s="20">
        <f>=L519/3</f>
        <v>116.2</v>
      </c>
      <c r="F519" s="20">
        <f>=H519*0.9</f>
        <v>149.4</v>
      </c>
      <c r="G519" s="21">
        <v>151</v>
      </c>
      <c r="H519" s="39">
        <v>166</v>
      </c>
      <c r="I519" s="40">
        <f>=H519*1.05</f>
        <v>174.3</v>
      </c>
      <c r="J519" s="40">
        <f>=F519*2</f>
        <v>298.8</v>
      </c>
      <c r="K519" s="40">
        <f>=H519*2</f>
        <v>332</v>
      </c>
      <c r="L519" s="40">
        <f>=I519*2</f>
        <v>348.6</v>
      </c>
      <c r="M519" s="41" t="s">
        <v>521</v>
      </c>
      <c r="N519" s="41">
        <v>1</v>
      </c>
      <c r="O519" s="41" t="s"/>
      <c r="P519" s="41" t="s">
        <v>21</v>
      </c>
      <c r="Q519" s="41" t="s">
        <v>21</v>
      </c>
      <c r="R519" s="41" t="s">
        <v>16</v>
      </c>
      <c r="S519" s="41" t="s">
        <v>137</v>
      </c>
      <c r="T519" s="41" t="s">
        <v>147</v>
      </c>
      <c r="U519" s="16" t="s">
        <v>13</v>
      </c>
      <c r="V519" s="16" t="s">
        <v>19</v>
      </c>
      <c r="W519" s="19" t="s"/>
      <c r="X519" s="26" t="s">
        <f>=M519&amp;N519&amp;P519&amp;Q519&amp;T519&amp;V519&amp;S519</f>
        <v>596</v>
      </c>
      <c r="Y519" s="19" t="s"/>
      <c r="Z519" s="19" t="s"/>
      <c r="AA519" s="19" t="s"/>
      <c r="AB519" s="19" t="s"/>
    </row>
    <row r="520" spans="1:28" ht="14.4">
      <c r="A520" s="4">
        <f>=H520/G520-1</f>
        <v>0.100961538461539</v>
      </c>
      <c r="B520" s="20">
        <f>=F520/12</f>
        <v>17.175</v>
      </c>
      <c r="C520" s="20">
        <f>=J520/3</f>
        <v>137.4</v>
      </c>
      <c r="D520" s="20">
        <f>=K520/3</f>
        <v>152.666666666667</v>
      </c>
      <c r="E520" s="20">
        <f>=L520/3</f>
        <v>160.3</v>
      </c>
      <c r="F520" s="20">
        <f>=H520*0.9</f>
        <v>206.1</v>
      </c>
      <c r="G520" s="21">
        <v>208</v>
      </c>
      <c r="H520" s="39">
        <v>229</v>
      </c>
      <c r="I520" s="40">
        <f>=H520*1.05</f>
        <v>240.45</v>
      </c>
      <c r="J520" s="40">
        <f>=F520*2</f>
        <v>412.2</v>
      </c>
      <c r="K520" s="40">
        <f>=H520*2</f>
        <v>458</v>
      </c>
      <c r="L520" s="40">
        <f>=I520*2</f>
        <v>480.9</v>
      </c>
      <c r="M520" s="41" t="s">
        <v>521</v>
      </c>
      <c r="N520" s="41">
        <v>1.1</v>
      </c>
      <c r="O520" s="41" t="s"/>
      <c r="P520" s="41">
        <v>1</v>
      </c>
      <c r="Q520" s="41">
        <v>1</v>
      </c>
      <c r="R520" s="41" t="s">
        <v>16</v>
      </c>
      <c r="S520" s="41" t="s">
        <v>137</v>
      </c>
      <c r="T520" s="41" t="s">
        <v>153</v>
      </c>
      <c r="U520" s="16" t="s">
        <v>13</v>
      </c>
      <c r="V520" s="16" t="s">
        <v>19</v>
      </c>
      <c r="W520" s="19" t="s"/>
      <c r="X520" s="26" t="s">
        <f>=M520&amp;N520&amp;P520&amp;Q520&amp;T520&amp;V520&amp;S520</f>
        <v>597</v>
      </c>
      <c r="Y520" s="19" t="s"/>
      <c r="Z520" s="19" t="s"/>
      <c r="AA520" s="19" t="s"/>
      <c r="AB520" s="19" t="s"/>
    </row>
    <row r="521" spans="1:28" ht="14.4">
      <c r="A521" s="4">
        <f>=H521/G521-1</f>
        <v>0.0993975903614457</v>
      </c>
      <c r="B521" s="20">
        <f>=F521/12</f>
        <v>27.375</v>
      </c>
      <c r="C521" s="20">
        <f>=J521/3</f>
        <v>219</v>
      </c>
      <c r="D521" s="20">
        <f>=K521/3</f>
        <v>243.333333333333</v>
      </c>
      <c r="E521" s="20">
        <f>=L521/3</f>
        <v>255.5</v>
      </c>
      <c r="F521" s="20">
        <f>=H521*0.9</f>
        <v>328.5</v>
      </c>
      <c r="G521" s="21">
        <v>332</v>
      </c>
      <c r="H521" s="39">
        <v>365</v>
      </c>
      <c r="I521" s="40">
        <f>=H521*1.05</f>
        <v>383.25</v>
      </c>
      <c r="J521" s="40">
        <f>=F521*2</f>
        <v>657</v>
      </c>
      <c r="K521" s="40">
        <f>=H521*2</f>
        <v>730</v>
      </c>
      <c r="L521" s="40">
        <f>=I521*2</f>
        <v>766.5</v>
      </c>
      <c r="M521" s="41" t="s">
        <v>521</v>
      </c>
      <c r="N521" s="41">
        <v>1.1</v>
      </c>
      <c r="O521" s="41" t="s"/>
      <c r="P521" s="41">
        <v>2</v>
      </c>
      <c r="Q521" s="41">
        <v>2</v>
      </c>
      <c r="R521" s="41" t="s">
        <v>16</v>
      </c>
      <c r="S521" s="41" t="s">
        <v>137</v>
      </c>
      <c r="T521" s="41" t="s">
        <v>147</v>
      </c>
      <c r="U521" s="16" t="s">
        <v>13</v>
      </c>
      <c r="V521" s="16" t="s">
        <v>19</v>
      </c>
      <c r="W521" s="19" t="s"/>
      <c r="X521" s="26" t="s">
        <f>=M521&amp;N521&amp;P521&amp;Q521&amp;T521&amp;V521&amp;S521</f>
        <v>598</v>
      </c>
      <c r="Y521" s="19" t="s"/>
      <c r="Z521" s="19" t="s"/>
      <c r="AA521" s="19" t="s"/>
      <c r="AB521" s="19" t="s"/>
    </row>
    <row r="522" spans="1:28" ht="14.4">
      <c r="A522" s="4">
        <f>=H522/G522-1</f>
        <v>0.0975609756097562</v>
      </c>
      <c r="B522" s="20">
        <f>=F522/12</f>
        <v>13.5</v>
      </c>
      <c r="C522" s="20">
        <f>=J522/3</f>
        <v>108</v>
      </c>
      <c r="D522" s="20">
        <f>=K522/3</f>
        <v>120</v>
      </c>
      <c r="E522" s="20">
        <f>=L522/3</f>
        <v>126</v>
      </c>
      <c r="F522" s="20">
        <f>=H522*0.9</f>
        <v>162</v>
      </c>
      <c r="G522" s="21">
        <v>164</v>
      </c>
      <c r="H522" s="39">
        <v>180</v>
      </c>
      <c r="I522" s="40">
        <f>=H522*1.05</f>
        <v>189</v>
      </c>
      <c r="J522" s="40">
        <f>=F522*2</f>
        <v>324</v>
      </c>
      <c r="K522" s="40">
        <f>=H522*2</f>
        <v>360</v>
      </c>
      <c r="L522" s="40">
        <f>=I522*2</f>
        <v>378</v>
      </c>
      <c r="M522" s="41" t="s">
        <v>521</v>
      </c>
      <c r="N522" s="41">
        <v>1.1</v>
      </c>
      <c r="O522" s="41" t="s"/>
      <c r="P522" s="41" t="s">
        <v>21</v>
      </c>
      <c r="Q522" s="41" t="s">
        <v>21</v>
      </c>
      <c r="R522" s="41" t="s">
        <v>16</v>
      </c>
      <c r="S522" s="41" t="s">
        <v>137</v>
      </c>
      <c r="T522" s="41" t="s">
        <v>153</v>
      </c>
      <c r="U522" s="16" t="s">
        <v>13</v>
      </c>
      <c r="V522" s="16" t="s">
        <v>19</v>
      </c>
      <c r="W522" s="19" t="s"/>
      <c r="X522" s="26" t="s">
        <f>=M522&amp;N522&amp;P522&amp;Q522&amp;T522&amp;V522&amp;S522</f>
        <v>599</v>
      </c>
      <c r="Y522" s="19" t="s"/>
      <c r="Z522" s="19" t="s"/>
      <c r="AA522" s="19" t="s"/>
      <c r="AB522" s="19" t="s"/>
    </row>
    <row r="523" spans="1:28" ht="14.4">
      <c r="A523" s="4">
        <f>=H523/G523-1</f>
        <v>0.1</v>
      </c>
      <c r="B523" s="20">
        <f>=F523/12</f>
        <v>14.025</v>
      </c>
      <c r="C523" s="20">
        <f>=J523/3</f>
        <v>112.2</v>
      </c>
      <c r="D523" s="20">
        <f>=K523/3</f>
        <v>124.666666666667</v>
      </c>
      <c r="E523" s="20">
        <f>=L523/3</f>
        <v>130.9</v>
      </c>
      <c r="F523" s="20">
        <f>=H523*0.9</f>
        <v>168.3</v>
      </c>
      <c r="G523" s="21">
        <v>170</v>
      </c>
      <c r="H523" s="39">
        <v>187</v>
      </c>
      <c r="I523" s="40">
        <f>=H523*1.05</f>
        <v>196.35</v>
      </c>
      <c r="J523" s="40">
        <f>=F523*2</f>
        <v>336.6</v>
      </c>
      <c r="K523" s="40">
        <f>=H523*2</f>
        <v>374</v>
      </c>
      <c r="L523" s="40">
        <f>=I523*2</f>
        <v>392.7</v>
      </c>
      <c r="M523" s="41" t="s">
        <v>521</v>
      </c>
      <c r="N523" s="41">
        <v>1.2</v>
      </c>
      <c r="O523" s="41" t="s"/>
      <c r="P523" s="41" t="s">
        <v>21</v>
      </c>
      <c r="Q523" s="41" t="s">
        <v>21</v>
      </c>
      <c r="R523" s="41" t="s">
        <v>16</v>
      </c>
      <c r="S523" s="41" t="s">
        <v>137</v>
      </c>
      <c r="T523" s="41" t="s">
        <v>153</v>
      </c>
      <c r="U523" s="16" t="s">
        <v>13</v>
      </c>
      <c r="V523" s="16" t="s">
        <v>19</v>
      </c>
      <c r="W523" s="19" t="s"/>
      <c r="X523" s="26" t="s">
        <f>=M523&amp;N523&amp;P523&amp;Q523&amp;T523&amp;V523&amp;S523</f>
        <v>600</v>
      </c>
      <c r="Y523" s="19" t="s"/>
      <c r="Z523" s="19" t="s"/>
      <c r="AA523" s="19" t="s"/>
      <c r="AB523" s="19" t="s"/>
    </row>
    <row r="524" spans="1:28" ht="14.4">
      <c r="A524" s="4">
        <f>=H524/G524-1</f>
        <v>0.101010101010101</v>
      </c>
      <c r="B524" s="20">
        <f>=F524/12</f>
        <v>16.35</v>
      </c>
      <c r="C524" s="20">
        <f>=J524/3</f>
        <v>130.8</v>
      </c>
      <c r="D524" s="20">
        <f>=K524/3</f>
        <v>145.333333333333</v>
      </c>
      <c r="E524" s="20">
        <f>=L524/3</f>
        <v>152.6</v>
      </c>
      <c r="F524" s="20">
        <f>=H524*0.9</f>
        <v>196.2</v>
      </c>
      <c r="G524" s="21">
        <v>198</v>
      </c>
      <c r="H524" s="39">
        <v>218</v>
      </c>
      <c r="I524" s="40">
        <f>=H524*1.05</f>
        <v>228.9</v>
      </c>
      <c r="J524" s="40">
        <f>=F524*2</f>
        <v>392.4</v>
      </c>
      <c r="K524" s="40">
        <f>=H524*2</f>
        <v>436</v>
      </c>
      <c r="L524" s="40">
        <f>=I524*2</f>
        <v>457.8</v>
      </c>
      <c r="M524" s="41" t="s">
        <v>521</v>
      </c>
      <c r="N524" s="41">
        <v>1.2</v>
      </c>
      <c r="O524" s="41" t="s"/>
      <c r="P524" s="41">
        <v>1</v>
      </c>
      <c r="Q524" s="41">
        <v>1</v>
      </c>
      <c r="R524" s="41" t="s">
        <v>16</v>
      </c>
      <c r="S524" s="41" t="s">
        <v>137</v>
      </c>
      <c r="T524" s="41" t="s">
        <v>153</v>
      </c>
      <c r="U524" s="16" t="s">
        <v>13</v>
      </c>
      <c r="V524" s="16" t="s">
        <v>19</v>
      </c>
      <c r="W524" s="19" t="s"/>
      <c r="X524" s="58" t="s">
        <f>=M524&amp;N524&amp;P524&amp;Q524&amp;T524&amp;V524&amp;S524</f>
        <v>601</v>
      </c>
      <c r="Y524" s="59" t="s"/>
      <c r="Z524" s="59" t="s"/>
      <c r="AA524" s="59" t="s"/>
      <c r="AB524" s="59" t="s"/>
    </row>
    <row r="525" spans="1:28" ht="14.4">
      <c r="A525" s="4">
        <f>=H525/G525-1</f>
        <v>0.0997304582210244</v>
      </c>
      <c r="B525" s="20">
        <f>=F525/12</f>
        <v>30.6</v>
      </c>
      <c r="C525" s="20">
        <f>=J525/3</f>
        <v>244.8</v>
      </c>
      <c r="D525" s="20">
        <f>=K525/3</f>
        <v>272</v>
      </c>
      <c r="E525" s="20">
        <f>=L525/3</f>
        <v>285.6</v>
      </c>
      <c r="F525" s="20">
        <f>=H525*0.9</f>
        <v>367.2</v>
      </c>
      <c r="G525" s="21">
        <v>371</v>
      </c>
      <c r="H525" s="39">
        <v>408</v>
      </c>
      <c r="I525" s="40">
        <f>=H525*1.05</f>
        <v>428.4</v>
      </c>
      <c r="J525" s="40">
        <f>=F525*2</f>
        <v>734.4</v>
      </c>
      <c r="K525" s="40">
        <f>=H525*2</f>
        <v>816</v>
      </c>
      <c r="L525" s="40">
        <f>=I525*2</f>
        <v>856.8</v>
      </c>
      <c r="M525" s="41" t="s">
        <v>521</v>
      </c>
      <c r="N525" s="41">
        <v>1.2</v>
      </c>
      <c r="O525" s="41" t="s"/>
      <c r="P525" s="41">
        <v>2</v>
      </c>
      <c r="Q525" s="41">
        <v>2</v>
      </c>
      <c r="R525" s="41" t="s">
        <v>16</v>
      </c>
      <c r="S525" s="41" t="s">
        <v>137</v>
      </c>
      <c r="T525" s="41" t="s">
        <v>153</v>
      </c>
      <c r="U525" s="16" t="s">
        <v>13</v>
      </c>
      <c r="V525" s="16" t="s">
        <v>19</v>
      </c>
      <c r="W525" s="19" t="s"/>
      <c r="X525" s="58" t="s">
        <f>=M525&amp;N525&amp;P525&amp;Q525&amp;T525&amp;V525&amp;S525</f>
        <v>602</v>
      </c>
      <c r="Y525" s="59" t="s"/>
      <c r="Z525" s="59" t="s"/>
      <c r="AA525" s="59" t="s"/>
      <c r="AB525" s="59" t="s"/>
    </row>
    <row r="526" spans="1:29" ht="14.4">
      <c r="A526" s="42">
        <f>=H526/G526-1</f>
        <v>0.808035714285714</v>
      </c>
      <c r="B526" s="43">
        <f>=F526/12</f>
        <v>30.375</v>
      </c>
      <c r="C526" s="43">
        <f>=J526/3</f>
        <v>243</v>
      </c>
      <c r="D526" s="43">
        <f>=K526/3</f>
        <v>270</v>
      </c>
      <c r="E526" s="43">
        <f>=L526/3</f>
        <v>283.5</v>
      </c>
      <c r="F526" s="43">
        <f>=H526*0.9</f>
        <v>364.5</v>
      </c>
      <c r="G526" s="27">
        <v>224</v>
      </c>
      <c r="H526" s="44">
        <v>405</v>
      </c>
      <c r="I526" s="45">
        <f>=H526*1.05</f>
        <v>425.25</v>
      </c>
      <c r="J526" s="45">
        <f>=F526*2</f>
        <v>729</v>
      </c>
      <c r="K526" s="45">
        <f>=H526*2</f>
        <v>810</v>
      </c>
      <c r="L526" s="45">
        <f>=I526*2</f>
        <v>850.5</v>
      </c>
      <c r="M526" s="60" t="s">
        <v>521</v>
      </c>
      <c r="N526" s="60">
        <v>1.3</v>
      </c>
      <c r="O526" s="60" t="s"/>
      <c r="P526" s="60">
        <v>2</v>
      </c>
      <c r="Q526" s="60">
        <v>2</v>
      </c>
      <c r="R526" s="60" t="s">
        <v>16</v>
      </c>
      <c r="S526" s="60" t="s">
        <v>137</v>
      </c>
      <c r="T526" s="60" t="s">
        <v>153</v>
      </c>
      <c r="U526" s="61" t="s">
        <v>13</v>
      </c>
      <c r="V526" s="61" t="s">
        <v>19</v>
      </c>
      <c r="W526" s="62" t="s"/>
      <c r="X526" s="63" t="s">
        <f>=M526&amp;N526&amp;P526&amp;Q526&amp;T526&amp;V526&amp;S526</f>
        <v>603</v>
      </c>
      <c r="Y526" s="62" t="s"/>
      <c r="Z526" s="62" t="s"/>
      <c r="AA526" s="62" t="s"/>
      <c r="AB526" s="62" t="s"/>
      <c r="AC526" s="48" t="s"/>
    </row>
    <row r="527" spans="1:28" ht="14.4">
      <c r="A527" s="4">
        <f>=H527/G527-1</f>
        <v>0.0982142857142858</v>
      </c>
      <c r="B527" s="20">
        <f>=F527/12</f>
        <v>18.45</v>
      </c>
      <c r="C527" s="20">
        <f>=J527/3</f>
        <v>147.6</v>
      </c>
      <c r="D527" s="20">
        <f>=K527/3</f>
        <v>164</v>
      </c>
      <c r="E527" s="20">
        <f>=L527/3</f>
        <v>172.2</v>
      </c>
      <c r="F527" s="20">
        <f>=H527*0.9</f>
        <v>221.4</v>
      </c>
      <c r="G527" s="21">
        <v>224</v>
      </c>
      <c r="H527" s="39">
        <v>246</v>
      </c>
      <c r="I527" s="40">
        <f>=H527*1.05</f>
        <v>258.3</v>
      </c>
      <c r="J527" s="40">
        <f>=F527*2</f>
        <v>442.8</v>
      </c>
      <c r="K527" s="40">
        <f>=H527*2</f>
        <v>492</v>
      </c>
      <c r="L527" s="40">
        <f>=I527*2</f>
        <v>516.6</v>
      </c>
      <c r="M527" s="64" t="s">
        <v>521</v>
      </c>
      <c r="N527" s="64">
        <v>1.3</v>
      </c>
      <c r="O527" s="64" t="s"/>
      <c r="P527" s="64">
        <v>1</v>
      </c>
      <c r="Q527" s="64">
        <v>1</v>
      </c>
      <c r="R527" s="64" t="s">
        <v>16</v>
      </c>
      <c r="S527" s="64" t="s">
        <v>137</v>
      </c>
      <c r="T527" s="64" t="s">
        <v>163</v>
      </c>
      <c r="U527" s="65" t="s">
        <v>13</v>
      </c>
      <c r="V527" s="65" t="s">
        <v>19</v>
      </c>
      <c r="W527" s="59" t="s"/>
      <c r="X527" s="58" t="s">
        <f>=M527&amp;N527&amp;P527&amp;Q527&amp;T527&amp;V527&amp;S527</f>
        <v>604</v>
      </c>
      <c r="Y527" s="59" t="s"/>
      <c r="Z527" s="59" t="s"/>
      <c r="AA527" s="59" t="s"/>
      <c r="AB527" s="59" t="s"/>
    </row>
    <row r="528" spans="1:28" ht="14.4">
      <c r="A528" s="4">
        <f>=H528/G528-1</f>
        <v>0.102272727272727</v>
      </c>
      <c r="B528" s="20">
        <f>=F528/12</f>
        <v>14.55</v>
      </c>
      <c r="C528" s="20">
        <f>=J528/3</f>
        <v>116.4</v>
      </c>
      <c r="D528" s="20">
        <f>=K528/3</f>
        <v>129.333333333333</v>
      </c>
      <c r="E528" s="20">
        <f>=L528/3</f>
        <v>135.8</v>
      </c>
      <c r="F528" s="20">
        <f>=H528*0.9</f>
        <v>174.6</v>
      </c>
      <c r="G528" s="21">
        <v>176</v>
      </c>
      <c r="H528" s="39">
        <v>194</v>
      </c>
      <c r="I528" s="40">
        <f>=H528*1.05</f>
        <v>203.7</v>
      </c>
      <c r="J528" s="40">
        <f>=F528*2</f>
        <v>349.2</v>
      </c>
      <c r="K528" s="40">
        <f>=H528*2</f>
        <v>388</v>
      </c>
      <c r="L528" s="40">
        <f>=I528*2</f>
        <v>407.4</v>
      </c>
      <c r="M528" s="64" t="s">
        <v>521</v>
      </c>
      <c r="N528" s="64">
        <v>1.3</v>
      </c>
      <c r="O528" s="64" t="s"/>
      <c r="P528" s="64" t="s">
        <v>21</v>
      </c>
      <c r="Q528" s="64" t="s">
        <v>21</v>
      </c>
      <c r="R528" s="64" t="s">
        <v>16</v>
      </c>
      <c r="S528" s="64" t="s">
        <v>137</v>
      </c>
      <c r="T528" s="64" t="s">
        <v>163</v>
      </c>
      <c r="U528" s="65" t="s">
        <v>13</v>
      </c>
      <c r="V528" s="65" t="s">
        <v>19</v>
      </c>
      <c r="W528" s="59" t="s"/>
      <c r="X528" s="58" t="s">
        <f>=M528&amp;N528&amp;P528&amp;Q528&amp;T528&amp;V528&amp;S528</f>
        <v>605</v>
      </c>
      <c r="Y528" s="59" t="s"/>
      <c r="Z528" s="59" t="s"/>
      <c r="AA528" s="59" t="s"/>
      <c r="AB528" s="59" t="s"/>
    </row>
    <row r="529" spans="1:28" ht="14.4">
      <c r="A529" s="4">
        <f>=H529/G529-1</f>
        <v>0.102222222222222</v>
      </c>
      <c r="B529" s="20">
        <f>=F529/12</f>
        <v>18.6</v>
      </c>
      <c r="C529" s="20">
        <f>=J529/3</f>
        <v>148.8</v>
      </c>
      <c r="D529" s="20">
        <f>=K529/3</f>
        <v>165.333333333333</v>
      </c>
      <c r="E529" s="20">
        <f>=L529/3</f>
        <v>173.6</v>
      </c>
      <c r="F529" s="20">
        <f>=H529*0.9</f>
        <v>223.2</v>
      </c>
      <c r="G529" s="21">
        <v>225</v>
      </c>
      <c r="H529" s="39">
        <v>248</v>
      </c>
      <c r="I529" s="40">
        <f>=H529*1.05</f>
        <v>260.4</v>
      </c>
      <c r="J529" s="40">
        <f>=F529*2</f>
        <v>446.4</v>
      </c>
      <c r="K529" s="40">
        <f>=H529*2</f>
        <v>496</v>
      </c>
      <c r="L529" s="40">
        <f>=I529*2</f>
        <v>520.8</v>
      </c>
      <c r="M529" s="64" t="s">
        <v>521</v>
      </c>
      <c r="N529" s="64">
        <v>1.4</v>
      </c>
      <c r="O529" s="64" t="s"/>
      <c r="P529" s="64">
        <v>1</v>
      </c>
      <c r="Q529" s="64">
        <v>1</v>
      </c>
      <c r="R529" s="64" t="s">
        <v>16</v>
      </c>
      <c r="S529" s="64" t="s">
        <v>137</v>
      </c>
      <c r="T529" s="64" t="s">
        <v>163</v>
      </c>
      <c r="U529" s="65" t="s">
        <v>13</v>
      </c>
      <c r="V529" s="65" t="s">
        <v>19</v>
      </c>
      <c r="W529" s="59" t="s"/>
      <c r="X529" s="26" t="s">
        <f>=M529&amp;N529&amp;P529&amp;Q529&amp;T529&amp;V529&amp;S529</f>
        <v>606</v>
      </c>
      <c r="Y529" s="19" t="s"/>
      <c r="Z529" s="19" t="s"/>
      <c r="AA529" s="19" t="s"/>
      <c r="AB529" s="19" t="s"/>
    </row>
    <row r="530" spans="1:28" ht="14.4">
      <c r="A530" s="4">
        <f>=H530/G530-1</f>
        <v>0.1</v>
      </c>
      <c r="B530" s="20">
        <f>=F530/12</f>
        <v>16.5</v>
      </c>
      <c r="C530" s="20">
        <f>=J530/3</f>
        <v>132</v>
      </c>
      <c r="D530" s="20">
        <f>=K530/3</f>
        <v>146.666666666667</v>
      </c>
      <c r="E530" s="20">
        <f>=L530/3</f>
        <v>154</v>
      </c>
      <c r="F530" s="20">
        <f>=H530*0.9</f>
        <v>198</v>
      </c>
      <c r="G530" s="21">
        <v>200</v>
      </c>
      <c r="H530" s="39">
        <v>220</v>
      </c>
      <c r="I530" s="40">
        <f>=H530*1.05</f>
        <v>231</v>
      </c>
      <c r="J530" s="40">
        <f>=F530*2</f>
        <v>396</v>
      </c>
      <c r="K530" s="40">
        <f>=H530*2</f>
        <v>440</v>
      </c>
      <c r="L530" s="40">
        <f>=I530*2</f>
        <v>462</v>
      </c>
      <c r="M530" s="41" t="s">
        <v>521</v>
      </c>
      <c r="N530" s="41">
        <v>1.4</v>
      </c>
      <c r="O530" s="41" t="s"/>
      <c r="P530" s="41" t="s">
        <v>21</v>
      </c>
      <c r="Q530" s="41" t="s">
        <v>21</v>
      </c>
      <c r="R530" s="41" t="s">
        <v>16</v>
      </c>
      <c r="S530" s="41" t="s">
        <v>137</v>
      </c>
      <c r="T530" s="41" t="s">
        <v>163</v>
      </c>
      <c r="U530" s="16" t="s">
        <v>13</v>
      </c>
      <c r="V530" s="16" t="s">
        <v>19</v>
      </c>
      <c r="W530" s="19" t="s"/>
      <c r="X530" s="26" t="s">
        <f>=M530&amp;N530&amp;P530&amp;Q530&amp;T530&amp;V530&amp;S530</f>
        <v>607</v>
      </c>
      <c r="Y530" s="19" t="s"/>
      <c r="Z530" s="19" t="s"/>
      <c r="AA530" s="19" t="s"/>
      <c r="AB530" s="19" t="s"/>
    </row>
    <row r="531" spans="1:28" ht="14.4">
      <c r="A531" s="4">
        <f>=H531/G531-1</f>
        <v>0.0987654320987654</v>
      </c>
      <c r="B531" s="20">
        <f>=F531/12</f>
        <v>20.025</v>
      </c>
      <c r="C531" s="20">
        <f>=J531/3</f>
        <v>160.2</v>
      </c>
      <c r="D531" s="20">
        <f>=K531/3</f>
        <v>178</v>
      </c>
      <c r="E531" s="20">
        <f>=L531/3</f>
        <v>186.9</v>
      </c>
      <c r="F531" s="20">
        <f>=H531*0.9</f>
        <v>240.3</v>
      </c>
      <c r="G531" s="21">
        <v>243</v>
      </c>
      <c r="H531" s="39">
        <v>267</v>
      </c>
      <c r="I531" s="40">
        <f>=H531*1.05</f>
        <v>280.35</v>
      </c>
      <c r="J531" s="40">
        <f>=F531*2</f>
        <v>480.6</v>
      </c>
      <c r="K531" s="40">
        <f>=H531*2</f>
        <v>534</v>
      </c>
      <c r="L531" s="40">
        <f>=I531*2</f>
        <v>560.7</v>
      </c>
      <c r="M531" s="41" t="s">
        <v>521</v>
      </c>
      <c r="N531" s="41">
        <v>1.5</v>
      </c>
      <c r="O531" s="41" t="s"/>
      <c r="P531" s="41">
        <v>1</v>
      </c>
      <c r="Q531" s="41">
        <v>1</v>
      </c>
      <c r="R531" s="41" t="s">
        <v>16</v>
      </c>
      <c r="S531" s="41" t="s">
        <v>137</v>
      </c>
      <c r="T531" s="41" t="s">
        <v>171</v>
      </c>
      <c r="U531" s="16" t="s">
        <v>13</v>
      </c>
      <c r="V531" s="16" t="s">
        <v>19</v>
      </c>
      <c r="W531" s="19" t="s"/>
      <c r="X531" s="26" t="s">
        <f>=M531&amp;N531&amp;P531&amp;Q531&amp;T531&amp;V531&amp;S531</f>
        <v>608</v>
      </c>
      <c r="Y531" s="19" t="s"/>
      <c r="Z531" s="19" t="s"/>
      <c r="AA531" s="19" t="s"/>
      <c r="AB531" s="19" t="s"/>
    </row>
    <row r="532" spans="1:28" ht="14.4">
      <c r="A532" s="4">
        <f>=H532/G532-1</f>
        <v>0.1</v>
      </c>
      <c r="B532" s="20">
        <f>=F532/12</f>
        <v>28.05</v>
      </c>
      <c r="C532" s="20">
        <f>=J532/3</f>
        <v>224.4</v>
      </c>
      <c r="D532" s="20">
        <f>=K532/3</f>
        <v>249.333333333333</v>
      </c>
      <c r="E532" s="20">
        <f>=L532/3</f>
        <v>261.8</v>
      </c>
      <c r="F532" s="20">
        <f>=H532*0.9</f>
        <v>336.6</v>
      </c>
      <c r="G532" s="21">
        <v>340</v>
      </c>
      <c r="H532" s="39">
        <v>374</v>
      </c>
      <c r="I532" s="40">
        <f>=H532*1.05</f>
        <v>392.7</v>
      </c>
      <c r="J532" s="40">
        <f>=F532*2</f>
        <v>673.2</v>
      </c>
      <c r="K532" s="40">
        <f>=H532*2</f>
        <v>748</v>
      </c>
      <c r="L532" s="40">
        <f>=I532*2</f>
        <v>785.4</v>
      </c>
      <c r="M532" s="41" t="s">
        <v>521</v>
      </c>
      <c r="N532" s="41">
        <v>1.5</v>
      </c>
      <c r="O532" s="41" t="s"/>
      <c r="P532" s="41">
        <v>2</v>
      </c>
      <c r="Q532" s="41">
        <v>2</v>
      </c>
      <c r="R532" s="41" t="s">
        <v>16</v>
      </c>
      <c r="S532" s="41" t="s">
        <v>137</v>
      </c>
      <c r="T532" s="41" t="s">
        <v>163</v>
      </c>
      <c r="U532" s="16" t="s">
        <v>13</v>
      </c>
      <c r="V532" s="16" t="s">
        <v>19</v>
      </c>
      <c r="W532" s="19" t="s"/>
      <c r="X532" s="26" t="s">
        <f>=M532&amp;N532&amp;P532&amp;Q532&amp;T532&amp;V532&amp;S532</f>
        <v>609</v>
      </c>
      <c r="Y532" s="19" t="s"/>
      <c r="Z532" s="19" t="s"/>
      <c r="AA532" s="19" t="s"/>
      <c r="AB532" s="19" t="s"/>
    </row>
    <row r="533" spans="1:28" ht="14.4">
      <c r="A533" s="4">
        <f>=H533/G533-1</f>
        <v>0.0987654320987654</v>
      </c>
      <c r="B533" s="20">
        <f>=F533/12</f>
        <v>26.7</v>
      </c>
      <c r="C533" s="20">
        <f>=J533/3</f>
        <v>213.6</v>
      </c>
      <c r="D533" s="20">
        <f>=K533/3</f>
        <v>237.333333333333</v>
      </c>
      <c r="E533" s="20">
        <f>=L533/3</f>
        <v>249.2</v>
      </c>
      <c r="F533" s="20">
        <f>=H533*0.9</f>
        <v>320.4</v>
      </c>
      <c r="G533" s="21">
        <v>324</v>
      </c>
      <c r="H533" s="39">
        <v>356</v>
      </c>
      <c r="I533" s="40">
        <f>=H533*1.05</f>
        <v>373.8</v>
      </c>
      <c r="J533" s="40">
        <f>=F533*2</f>
        <v>640.8</v>
      </c>
      <c r="K533" s="40">
        <f>=H533*2</f>
        <v>712</v>
      </c>
      <c r="L533" s="40">
        <f>=I533*2</f>
        <v>747.6</v>
      </c>
      <c r="M533" s="41" t="s">
        <v>521</v>
      </c>
      <c r="N533" s="41">
        <v>1.5</v>
      </c>
      <c r="O533" s="41" t="s"/>
      <c r="P533" s="41">
        <v>2</v>
      </c>
      <c r="Q533" s="41">
        <v>2</v>
      </c>
      <c r="R533" s="41" t="s">
        <v>16</v>
      </c>
      <c r="S533" s="41" t="s">
        <v>137</v>
      </c>
      <c r="T533" s="41" t="s">
        <v>171</v>
      </c>
      <c r="U533" s="16" t="s">
        <v>13</v>
      </c>
      <c r="V533" s="16" t="s">
        <v>19</v>
      </c>
      <c r="W533" s="19" t="s"/>
      <c r="X533" s="26" t="s">
        <f>=M533&amp;N533&amp;P533&amp;Q533&amp;T533&amp;V533&amp;S533</f>
        <v>610</v>
      </c>
      <c r="Y533" s="19" t="s"/>
      <c r="Z533" s="19" t="s"/>
      <c r="AA533" s="19" t="s"/>
      <c r="AB533" s="19" t="s"/>
    </row>
    <row r="534" spans="1:28" ht="14.4">
      <c r="A534" s="4">
        <f>=H534/G534-1</f>
        <v>0.0978260869565217</v>
      </c>
      <c r="B534" s="20">
        <f>=F534/12</f>
        <v>15.15</v>
      </c>
      <c r="C534" s="20">
        <f>=J534/3</f>
        <v>121.2</v>
      </c>
      <c r="D534" s="20">
        <f>=K534/3</f>
        <v>134.666666666667</v>
      </c>
      <c r="E534" s="20">
        <f>=L534/3</f>
        <v>141.4</v>
      </c>
      <c r="F534" s="20">
        <f>=H534*0.9</f>
        <v>181.8</v>
      </c>
      <c r="G534" s="21">
        <v>184</v>
      </c>
      <c r="H534" s="39">
        <v>202</v>
      </c>
      <c r="I534" s="40">
        <f>=H534*1.05</f>
        <v>212.1</v>
      </c>
      <c r="J534" s="40">
        <f>=F534*2</f>
        <v>363.6</v>
      </c>
      <c r="K534" s="40">
        <f>=H534*2</f>
        <v>404</v>
      </c>
      <c r="L534" s="40">
        <f>=I534*2</f>
        <v>424.2</v>
      </c>
      <c r="M534" s="41" t="s">
        <v>521</v>
      </c>
      <c r="N534" s="41">
        <v>1.5</v>
      </c>
      <c r="O534" s="41" t="s"/>
      <c r="P534" s="41" t="s">
        <v>21</v>
      </c>
      <c r="Q534" s="41" t="s">
        <v>21</v>
      </c>
      <c r="R534" s="41" t="s">
        <v>16</v>
      </c>
      <c r="S534" s="41" t="s">
        <v>137</v>
      </c>
      <c r="T534" s="41" t="s">
        <v>171</v>
      </c>
      <c r="U534" s="16" t="s">
        <v>13</v>
      </c>
      <c r="V534" s="16" t="s">
        <v>19</v>
      </c>
      <c r="W534" s="19" t="s"/>
      <c r="X534" s="26" t="s">
        <f>=M534&amp;N534&amp;P534&amp;Q534&amp;T534&amp;V534&amp;S534</f>
        <v>611</v>
      </c>
      <c r="Y534" s="19" t="s"/>
      <c r="Z534" s="19" t="s"/>
      <c r="AA534" s="19" t="s"/>
      <c r="AB534" s="19" t="s"/>
    </row>
    <row r="535" spans="1:28" ht="14.4">
      <c r="A535" s="4">
        <f>=H535/G535-1</f>
        <v>0.0996168582375479</v>
      </c>
      <c r="B535" s="20">
        <f>=F535/12</f>
        <v>21.525</v>
      </c>
      <c r="C535" s="20">
        <f>=J535/3</f>
        <v>172.2</v>
      </c>
      <c r="D535" s="20">
        <f>=K535/3</f>
        <v>191.333333333333</v>
      </c>
      <c r="E535" s="20">
        <f>=L535/3</f>
        <v>200.9</v>
      </c>
      <c r="F535" s="20">
        <f>=H535*0.9</f>
        <v>258.3</v>
      </c>
      <c r="G535" s="21">
        <v>261</v>
      </c>
      <c r="H535" s="39">
        <v>287</v>
      </c>
      <c r="I535" s="40">
        <f>=H535*1.05</f>
        <v>301.35</v>
      </c>
      <c r="J535" s="40">
        <f>=F535*2</f>
        <v>516.6</v>
      </c>
      <c r="K535" s="40">
        <f>=H535*2</f>
        <v>574</v>
      </c>
      <c r="L535" s="40">
        <f>=I535*2</f>
        <v>602.7</v>
      </c>
      <c r="M535" s="41" t="s">
        <v>521</v>
      </c>
      <c r="N535" s="41">
        <v>1.8</v>
      </c>
      <c r="O535" s="41" t="s"/>
      <c r="P535" s="41">
        <v>1</v>
      </c>
      <c r="Q535" s="41">
        <v>1</v>
      </c>
      <c r="R535" s="41" t="s">
        <v>16</v>
      </c>
      <c r="S535" s="41" t="s">
        <v>137</v>
      </c>
      <c r="T535" s="41" t="s">
        <v>186</v>
      </c>
      <c r="U535" s="16" t="s">
        <v>13</v>
      </c>
      <c r="V535" s="16" t="s">
        <v>19</v>
      </c>
      <c r="W535" s="19" t="s"/>
      <c r="X535" s="26" t="s">
        <f>=M535&amp;N535&amp;P535&amp;Q535&amp;T535&amp;V535&amp;S535</f>
        <v>612</v>
      </c>
      <c r="Y535" s="19" t="s"/>
      <c r="Z535" s="19" t="s"/>
      <c r="AA535" s="19" t="s"/>
      <c r="AB535" s="19" t="s"/>
    </row>
    <row r="536" spans="1:28" ht="14.4">
      <c r="A536" s="52">
        <f>=H536/G536-1</f>
        <v>0.1005291005291</v>
      </c>
      <c r="B536" s="53">
        <f>=F536/12</f>
        <v>31.2</v>
      </c>
      <c r="C536" s="53">
        <f>=J536/3</f>
        <v>249.6</v>
      </c>
      <c r="D536" s="53">
        <f>=K536/3</f>
        <v>277.333333333333</v>
      </c>
      <c r="E536" s="53">
        <f>=L536/3</f>
        <v>291.2</v>
      </c>
      <c r="F536" s="53">
        <f>=H536*0.9</f>
        <v>374.4</v>
      </c>
      <c r="G536" s="39">
        <v>378</v>
      </c>
      <c r="H536" s="39">
        <v>416</v>
      </c>
      <c r="I536" s="40">
        <f>=H536*1.05</f>
        <v>436.8</v>
      </c>
      <c r="J536" s="40">
        <f>=F536*2</f>
        <v>748.8</v>
      </c>
      <c r="K536" s="40">
        <f>=H536*2</f>
        <v>832</v>
      </c>
      <c r="L536" s="40">
        <f>=I536*2</f>
        <v>873.6</v>
      </c>
      <c r="M536" s="41" t="s">
        <v>521</v>
      </c>
      <c r="N536" s="41">
        <v>1.8</v>
      </c>
      <c r="O536" s="41" t="s"/>
      <c r="P536" s="41">
        <v>1.5</v>
      </c>
      <c r="Q536" s="41">
        <v>1.5</v>
      </c>
      <c r="R536" s="41" t="s">
        <v>16</v>
      </c>
      <c r="S536" s="41" t="s">
        <v>137</v>
      </c>
      <c r="T536" s="41" t="s">
        <v>186</v>
      </c>
      <c r="U536" s="16" t="s">
        <v>13</v>
      </c>
      <c r="V536" s="16" t="s">
        <v>19</v>
      </c>
      <c r="W536" s="19" t="s"/>
      <c r="X536" s="26" t="s">
        <f>=M536&amp;N536&amp;P536&amp;Q536&amp;T536&amp;V536&amp;S536</f>
        <v>613</v>
      </c>
      <c r="Y536" s="19" t="s"/>
      <c r="Z536" s="19" t="s"/>
      <c r="AA536" s="19" t="s"/>
      <c r="AB536" s="19" t="s"/>
    </row>
    <row r="537" spans="1:28" ht="14.4">
      <c r="A537" s="66">
        <f>=H537/G537-1</f>
        <v>0.132275132275132</v>
      </c>
      <c r="B537" s="67">
        <f>=F537/12</f>
        <v>32.1</v>
      </c>
      <c r="C537" s="67">
        <f>=J537/3</f>
        <v>256.8</v>
      </c>
      <c r="D537" s="67">
        <f>=K537/3</f>
        <v>285.333333333333</v>
      </c>
      <c r="E537" s="67">
        <f>=L537/3</f>
        <v>299.6</v>
      </c>
      <c r="F537" s="67">
        <f>=H537*0.9</f>
        <v>385.2</v>
      </c>
      <c r="G537" s="44">
        <v>378</v>
      </c>
      <c r="H537" s="44">
        <v>428</v>
      </c>
      <c r="I537" s="45">
        <f>=H537*1.05</f>
        <v>449.4</v>
      </c>
      <c r="J537" s="45">
        <f>=F537*2</f>
        <v>770.4</v>
      </c>
      <c r="K537" s="45">
        <f>=H537*2</f>
        <v>856</v>
      </c>
      <c r="L537" s="45">
        <f>=I537*2</f>
        <v>898.8</v>
      </c>
      <c r="M537" s="46" t="s">
        <v>521</v>
      </c>
      <c r="N537" s="46">
        <v>1.8</v>
      </c>
      <c r="O537" s="46" t="s"/>
      <c r="P537" s="12">
        <v>2</v>
      </c>
      <c r="Q537" s="12">
        <v>2</v>
      </c>
      <c r="R537" s="46" t="s">
        <v>16</v>
      </c>
      <c r="S537" s="46" t="s">
        <v>137</v>
      </c>
      <c r="T537" s="46" t="s">
        <v>186</v>
      </c>
      <c r="U537" s="13" t="s">
        <v>13</v>
      </c>
      <c r="V537" s="13" t="s">
        <v>19</v>
      </c>
      <c r="W537" s="15" t="s"/>
      <c r="X537" s="18" t="s">
        <f>=M537&amp;N537&amp;P537&amp;Q537&amp;T537&amp;V537&amp;S537</f>
        <v>614</v>
      </c>
      <c r="Y537" s="15" t="s"/>
      <c r="Z537" s="15" t="s"/>
      <c r="AA537" s="15" t="s"/>
      <c r="AB537" s="15" t="s"/>
    </row>
    <row r="538" spans="1:28" ht="14.4">
      <c r="A538" s="4">
        <f>=H538/G538-1</f>
        <v>0.0986394557823129</v>
      </c>
      <c r="B538" s="20">
        <f>=F538/12</f>
        <v>24.225</v>
      </c>
      <c r="C538" s="20">
        <f>=J538/3</f>
        <v>193.8</v>
      </c>
      <c r="D538" s="20">
        <f>=K538/3</f>
        <v>215.333333333333</v>
      </c>
      <c r="E538" s="20">
        <f>=L538/3</f>
        <v>226.1</v>
      </c>
      <c r="F538" s="20">
        <f>=H538*0.9</f>
        <v>290.7</v>
      </c>
      <c r="G538" s="21">
        <v>294</v>
      </c>
      <c r="H538" s="39">
        <v>323</v>
      </c>
      <c r="I538" s="40">
        <f>=H538*1.05</f>
        <v>339.15</v>
      </c>
      <c r="J538" s="40">
        <f>=F538*2</f>
        <v>581.4</v>
      </c>
      <c r="K538" s="40">
        <f>=H538*2</f>
        <v>646</v>
      </c>
      <c r="L538" s="40">
        <f>=I538*2</f>
        <v>678.3</v>
      </c>
      <c r="M538" s="41" t="s">
        <v>521</v>
      </c>
      <c r="N538" s="41">
        <v>1.9</v>
      </c>
      <c r="O538" s="41" t="s"/>
      <c r="P538" s="41">
        <v>1</v>
      </c>
      <c r="Q538" s="41">
        <v>1</v>
      </c>
      <c r="R538" s="41" t="s">
        <v>16</v>
      </c>
      <c r="S538" s="41" t="s">
        <v>137</v>
      </c>
      <c r="T538" s="41" t="s">
        <v>193</v>
      </c>
      <c r="U538" s="16" t="s">
        <v>13</v>
      </c>
      <c r="V538" s="16" t="s">
        <v>19</v>
      </c>
      <c r="W538" s="19" t="s"/>
      <c r="X538" s="26" t="s">
        <f>=M538&amp;N538&amp;P538&amp;Q538&amp;T538&amp;V538&amp;S538</f>
        <v>615</v>
      </c>
      <c r="Y538" s="19" t="s"/>
      <c r="Z538" s="19" t="s"/>
      <c r="AA538" s="19" t="s"/>
      <c r="AB538" s="19" t="s"/>
    </row>
    <row r="539" spans="1:28" ht="14.4">
      <c r="A539" s="66">
        <f>=H539/G539-1</f>
        <v>0.124338624338624</v>
      </c>
      <c r="B539" s="67">
        <f>=F539/12</f>
        <v>31.875</v>
      </c>
      <c r="C539" s="67">
        <f>=J539/3</f>
        <v>255</v>
      </c>
      <c r="D539" s="67">
        <f>=K539/3</f>
        <v>283.333333333333</v>
      </c>
      <c r="E539" s="67">
        <f>=L539/3</f>
        <v>297.5</v>
      </c>
      <c r="F539" s="67">
        <f>=H539*0.9</f>
        <v>382.5</v>
      </c>
      <c r="G539" s="44">
        <v>378</v>
      </c>
      <c r="H539" s="44">
        <v>425</v>
      </c>
      <c r="I539" s="45">
        <f>=H539*1.05</f>
        <v>446.25</v>
      </c>
      <c r="J539" s="45">
        <f>=F539*2</f>
        <v>765</v>
      </c>
      <c r="K539" s="45">
        <f>=H539*2</f>
        <v>850</v>
      </c>
      <c r="L539" s="45">
        <f>=I539*2</f>
        <v>892.5</v>
      </c>
      <c r="M539" s="46" t="s">
        <v>521</v>
      </c>
      <c r="N539" s="46">
        <v>1.9</v>
      </c>
      <c r="O539" s="46" t="s"/>
      <c r="P539" s="46">
        <v>1.5</v>
      </c>
      <c r="Q539" s="46">
        <v>1.5</v>
      </c>
      <c r="R539" s="46" t="s">
        <v>16</v>
      </c>
      <c r="S539" s="46" t="s">
        <v>137</v>
      </c>
      <c r="T539" s="12" t="s">
        <v>193</v>
      </c>
      <c r="U539" s="13" t="s">
        <v>13</v>
      </c>
      <c r="V539" s="13" t="s">
        <v>19</v>
      </c>
      <c r="W539" s="15" t="s"/>
      <c r="X539" s="18" t="s">
        <f>=M539&amp;N539&amp;P539&amp;Q539&amp;T539&amp;V539&amp;S539</f>
        <v>616</v>
      </c>
      <c r="Y539" s="15" t="s"/>
      <c r="Z539" s="15" t="s"/>
      <c r="AA539" s="15" t="s"/>
      <c r="AB539" s="15" t="s"/>
    </row>
    <row r="540" spans="1:28" ht="14.4">
      <c r="A540" s="66">
        <f>=H540/G540-1</f>
        <v>0.137566137566138</v>
      </c>
      <c r="B540" s="67">
        <f>=F540/12</f>
        <v>32.25</v>
      </c>
      <c r="C540" s="67">
        <f>=J540/3</f>
        <v>258</v>
      </c>
      <c r="D540" s="67">
        <f>=K540/3</f>
        <v>286.666666666667</v>
      </c>
      <c r="E540" s="67">
        <f>=L540/3</f>
        <v>301</v>
      </c>
      <c r="F540" s="67">
        <f>=H540*0.9</f>
        <v>387</v>
      </c>
      <c r="G540" s="44">
        <v>378</v>
      </c>
      <c r="H540" s="44">
        <v>430</v>
      </c>
      <c r="I540" s="45">
        <f>=H540*1.05</f>
        <v>451.5</v>
      </c>
      <c r="J540" s="45">
        <f>=F540*2</f>
        <v>774</v>
      </c>
      <c r="K540" s="45">
        <f>=H540*2</f>
        <v>860</v>
      </c>
      <c r="L540" s="45">
        <f>=I540*2</f>
        <v>903</v>
      </c>
      <c r="M540" s="46" t="s">
        <v>521</v>
      </c>
      <c r="N540" s="46">
        <v>1.9</v>
      </c>
      <c r="O540" s="46" t="s"/>
      <c r="P540" s="12">
        <v>2</v>
      </c>
      <c r="Q540" s="12">
        <v>2</v>
      </c>
      <c r="R540" s="46" t="s">
        <v>16</v>
      </c>
      <c r="S540" s="46" t="s">
        <v>137</v>
      </c>
      <c r="T540" s="12" t="s">
        <v>193</v>
      </c>
      <c r="U540" s="13" t="s">
        <v>13</v>
      </c>
      <c r="V540" s="13" t="s">
        <v>19</v>
      </c>
      <c r="W540" s="15" t="s"/>
      <c r="X540" s="18" t="s">
        <f>=M540&amp;N540&amp;P540&amp;Q540&amp;T540&amp;V540&amp;S540</f>
        <v>617</v>
      </c>
      <c r="Y540" s="15" t="s"/>
      <c r="Z540" s="15" t="s"/>
      <c r="AA540" s="15" t="s"/>
      <c r="AB540" s="15" t="s"/>
    </row>
    <row r="541" spans="1:28" ht="14.4">
      <c r="A541" s="4">
        <f>=H541/G541-1</f>
        <v>0.10126582278481</v>
      </c>
      <c r="B541" s="20">
        <f>=F541/12</f>
        <v>19.575</v>
      </c>
      <c r="C541" s="20">
        <f>=J541/3</f>
        <v>156.6</v>
      </c>
      <c r="D541" s="20">
        <f>=K541/3</f>
        <v>174</v>
      </c>
      <c r="E541" s="20">
        <f>=L541/3</f>
        <v>182.7</v>
      </c>
      <c r="F541" s="20">
        <f>=H541*0.9</f>
        <v>234.9</v>
      </c>
      <c r="G541" s="21">
        <v>237</v>
      </c>
      <c r="H541" s="39">
        <v>261</v>
      </c>
      <c r="I541" s="40">
        <f>=H541*1.05</f>
        <v>274.05</v>
      </c>
      <c r="J541" s="40">
        <f>=F541*2</f>
        <v>469.8</v>
      </c>
      <c r="K541" s="40">
        <f>=H541*2</f>
        <v>522</v>
      </c>
      <c r="L541" s="40">
        <f>=I541*2</f>
        <v>548.1</v>
      </c>
      <c r="M541" s="41" t="s">
        <v>521</v>
      </c>
      <c r="N541" s="41">
        <v>1.9</v>
      </c>
      <c r="O541" s="41" t="s"/>
      <c r="P541" s="41" t="s">
        <v>21</v>
      </c>
      <c r="Q541" s="41" t="s">
        <v>21</v>
      </c>
      <c r="R541" s="41" t="s">
        <v>16</v>
      </c>
      <c r="S541" s="41" t="s">
        <v>137</v>
      </c>
      <c r="T541" s="41" t="s">
        <v>193</v>
      </c>
      <c r="U541" s="16" t="s">
        <v>13</v>
      </c>
      <c r="V541" s="16" t="s">
        <v>19</v>
      </c>
      <c r="W541" s="19" t="s"/>
      <c r="X541" s="26" t="s">
        <f>=M541&amp;N541&amp;P541&amp;Q541&amp;T541&amp;V541&amp;S541</f>
        <v>618</v>
      </c>
      <c r="Y541" s="19" t="s"/>
      <c r="Z541" s="19" t="s"/>
      <c r="AA541" s="19" t="s"/>
      <c r="AB541" s="19" t="s"/>
    </row>
    <row r="542" spans="1:28" ht="14.4">
      <c r="A542" s="4">
        <f>=H542/G542-1</f>
        <v>0.101503759398496</v>
      </c>
      <c r="B542" s="20">
        <f>=F542/12</f>
        <v>21.975</v>
      </c>
      <c r="C542" s="20">
        <f>=J542/3</f>
        <v>175.8</v>
      </c>
      <c r="D542" s="20">
        <f>=K542/3</f>
        <v>195.333333333333</v>
      </c>
      <c r="E542" s="20">
        <f>=L542/3</f>
        <v>205.1</v>
      </c>
      <c r="F542" s="20">
        <f>=H542*0.9</f>
        <v>263.7</v>
      </c>
      <c r="G542" s="21">
        <v>266</v>
      </c>
      <c r="H542" s="39">
        <v>293</v>
      </c>
      <c r="I542" s="40">
        <f>=H542*1.05</f>
        <v>307.65</v>
      </c>
      <c r="J542" s="40">
        <f>=F542*2</f>
        <v>527.4</v>
      </c>
      <c r="K542" s="40">
        <f>=H542*2</f>
        <v>586</v>
      </c>
      <c r="L542" s="40">
        <f>=I542*2</f>
        <v>615.3</v>
      </c>
      <c r="M542" s="41" t="s">
        <v>521</v>
      </c>
      <c r="N542" s="41">
        <v>2.3</v>
      </c>
      <c r="O542" s="41" t="s"/>
      <c r="P542" s="41" t="s">
        <v>21</v>
      </c>
      <c r="Q542" s="41" t="s">
        <v>21</v>
      </c>
      <c r="R542" s="41" t="s">
        <v>16</v>
      </c>
      <c r="S542" s="41" t="s">
        <v>137</v>
      </c>
      <c r="T542" s="41" t="s">
        <v>208</v>
      </c>
      <c r="U542" s="16" t="s">
        <v>13</v>
      </c>
      <c r="V542" s="16" t="s">
        <v>19</v>
      </c>
      <c r="W542" s="19" t="s"/>
      <c r="X542" s="26" t="s">
        <f>=M542&amp;N542&amp;P542&amp;Q542&amp;T542&amp;V542&amp;S542</f>
        <v>619</v>
      </c>
      <c r="Y542" s="19" t="s"/>
      <c r="Z542" s="19" t="s"/>
      <c r="AA542" s="19" t="s"/>
      <c r="AB542" s="19" t="s"/>
    </row>
    <row r="543" spans="1:28" ht="14.4">
      <c r="A543" s="4">
        <f>=H543/G543-1</f>
        <v>0.101503759398496</v>
      </c>
      <c r="B543" s="20">
        <f>=F543/12</f>
        <v>21.975</v>
      </c>
      <c r="C543" s="20">
        <f>=J543/3</f>
        <v>175.8</v>
      </c>
      <c r="D543" s="20">
        <f>=K543/3</f>
        <v>195.333333333333</v>
      </c>
      <c r="E543" s="20">
        <f>=L543/3</f>
        <v>205.1</v>
      </c>
      <c r="F543" s="20">
        <f>=H543*0.9</f>
        <v>263.7</v>
      </c>
      <c r="G543" s="21">
        <v>266</v>
      </c>
      <c r="H543" s="39">
        <v>293</v>
      </c>
      <c r="I543" s="40">
        <f>=H543*1.05</f>
        <v>307.65</v>
      </c>
      <c r="J543" s="40">
        <f>=F543*2</f>
        <v>527.4</v>
      </c>
      <c r="K543" s="40">
        <f>=H543*2</f>
        <v>586</v>
      </c>
      <c r="L543" s="40">
        <f>=I543*2</f>
        <v>615.3</v>
      </c>
      <c r="M543" s="41" t="s">
        <v>521</v>
      </c>
      <c r="N543" s="41">
        <v>2.4</v>
      </c>
      <c r="O543" s="41" t="s"/>
      <c r="P543" s="41" t="s">
        <v>21</v>
      </c>
      <c r="Q543" s="41" t="s">
        <v>21</v>
      </c>
      <c r="R543" s="41" t="s">
        <v>16</v>
      </c>
      <c r="S543" s="41" t="s">
        <v>137</v>
      </c>
      <c r="T543" s="41" t="s">
        <v>208</v>
      </c>
      <c r="U543" s="16" t="s">
        <v>13</v>
      </c>
      <c r="V543" s="16" t="s">
        <v>19</v>
      </c>
      <c r="W543" s="19" t="s"/>
      <c r="X543" s="37" t="s">
        <f>=M543&amp;N543&amp;P543&amp;Q543&amp;T543&amp;V543&amp;S543</f>
        <v>620</v>
      </c>
      <c r="Y543" s="19" t="s"/>
      <c r="Z543" s="19" t="s"/>
      <c r="AA543" s="19" t="s"/>
      <c r="AB543" s="19" t="s"/>
    </row>
    <row r="544" spans="1:28" ht="14.4">
      <c r="A544" s="4">
        <f>=H544/G544-1</f>
        <v>0.100694444444444</v>
      </c>
      <c r="B544" s="20">
        <f>=F544/12</f>
        <v>23.775</v>
      </c>
      <c r="C544" s="20">
        <f>=J544/3</f>
        <v>190.2</v>
      </c>
      <c r="D544" s="20">
        <f>=K544/3</f>
        <v>211.333333333333</v>
      </c>
      <c r="E544" s="20">
        <f>=L544/3</f>
        <v>221.9</v>
      </c>
      <c r="F544" s="20">
        <f>=H544*0.9</f>
        <v>285.3</v>
      </c>
      <c r="G544" s="21">
        <v>288</v>
      </c>
      <c r="H544" s="39">
        <v>317</v>
      </c>
      <c r="I544" s="40">
        <f>=H544*1.05</f>
        <v>332.85</v>
      </c>
      <c r="J544" s="40">
        <f>=F544*2</f>
        <v>570.6</v>
      </c>
      <c r="K544" s="40">
        <f>=H544*2</f>
        <v>634</v>
      </c>
      <c r="L544" s="40">
        <f>=I544*2</f>
        <v>665.7</v>
      </c>
      <c r="M544" s="41" t="s">
        <v>521</v>
      </c>
      <c r="N544" s="41">
        <v>3.1</v>
      </c>
      <c r="O544" s="41" t="s"/>
      <c r="P544" s="41" t="s">
        <v>21</v>
      </c>
      <c r="Q544" s="41" t="s">
        <v>21</v>
      </c>
      <c r="R544" s="41" t="s">
        <v>16</v>
      </c>
      <c r="S544" s="41" t="s">
        <v>137</v>
      </c>
      <c r="T544" s="41" t="s">
        <v>507</v>
      </c>
      <c r="U544" s="16" t="s">
        <v>13</v>
      </c>
      <c r="V544" s="16" t="s">
        <v>19</v>
      </c>
      <c r="W544" s="19" t="s"/>
      <c r="X544" s="26" t="s">
        <f>=M544&amp;N544&amp;P544&amp;Q544&amp;T544&amp;V544&amp;S544</f>
        <v>621</v>
      </c>
      <c r="Y544" s="19" t="s"/>
      <c r="Z544" s="19" t="s"/>
      <c r="AA544" s="19" t="s"/>
      <c r="AB544" s="19" t="s"/>
    </row>
    <row r="545" spans="1:28" ht="14.4">
      <c r="A545" s="4">
        <f>=H545/G545-1</f>
        <v>0.0990990990990992</v>
      </c>
      <c r="B545" s="20">
        <f>=F545/12</f>
        <v>9.15</v>
      </c>
      <c r="C545" s="20">
        <f>=J545/3</f>
        <v>73.2</v>
      </c>
      <c r="D545" s="20">
        <f>=K545/3</f>
        <v>81.3333333333333</v>
      </c>
      <c r="E545" s="20">
        <f>=L545/3</f>
        <v>85.4</v>
      </c>
      <c r="F545" s="20">
        <f>=H545*0.9</f>
        <v>109.8</v>
      </c>
      <c r="G545" s="21">
        <v>111</v>
      </c>
      <c r="H545" s="39">
        <v>122</v>
      </c>
      <c r="I545" s="40">
        <f>=H545*1.05</f>
        <v>128.1</v>
      </c>
      <c r="J545" s="40">
        <f>=F545*2</f>
        <v>219.6</v>
      </c>
      <c r="K545" s="40">
        <f>=H545*2</f>
        <v>244</v>
      </c>
      <c r="L545" s="40">
        <f>=I545*2</f>
        <v>256.2</v>
      </c>
      <c r="M545" s="41" t="s">
        <v>622</v>
      </c>
      <c r="N545" s="41">
        <v>0.05</v>
      </c>
      <c r="O545" s="41" t="s"/>
      <c r="P545" s="41">
        <v>1</v>
      </c>
      <c r="Q545" s="41">
        <v>1</v>
      </c>
      <c r="R545" s="41" t="s">
        <v>16</v>
      </c>
      <c r="S545" s="41" t="s">
        <v>17</v>
      </c>
      <c r="T545" s="41" t="s">
        <v>212</v>
      </c>
      <c r="U545" s="16" t="s">
        <v>13</v>
      </c>
      <c r="V545" s="16" t="s">
        <v>19</v>
      </c>
      <c r="W545" s="19" t="s"/>
      <c r="X545" s="26" t="s">
        <f>=M545&amp;N545&amp;P545&amp;Q545&amp;T545&amp;V545&amp;S545</f>
        <v>623</v>
      </c>
      <c r="Y545" s="19" t="s"/>
      <c r="Z545" s="19" t="s"/>
      <c r="AA545" s="19" t="s"/>
      <c r="AB545" s="19" t="s"/>
    </row>
    <row r="546" spans="1:29" s="272" customFormat="true" ht="14.4">
      <c r="A546" s="4">
        <f>=H546/G546-1</f>
        <v>0.0972222222222223</v>
      </c>
      <c r="B546" s="20">
        <f>=F546/12</f>
        <v>11.85</v>
      </c>
      <c r="C546" s="20">
        <f>=J546/3</f>
        <v>94.8</v>
      </c>
      <c r="D546" s="20">
        <f>=K546/3</f>
        <v>105.333333333333</v>
      </c>
      <c r="E546" s="20">
        <f>=L546/3</f>
        <v>110.6</v>
      </c>
      <c r="F546" s="20">
        <f>=H546*0.9</f>
        <v>142.2</v>
      </c>
      <c r="G546" s="68">
        <v>144</v>
      </c>
      <c r="H546" s="39">
        <v>158</v>
      </c>
      <c r="I546" s="40">
        <f>=H546*1.05</f>
        <v>165.9</v>
      </c>
      <c r="J546" s="40">
        <f>=F546*2</f>
        <v>284.4</v>
      </c>
      <c r="K546" s="40">
        <f>=H546*2</f>
        <v>316</v>
      </c>
      <c r="L546" s="40">
        <f>=I546*2</f>
        <v>331.8</v>
      </c>
      <c r="M546" s="41" t="s">
        <v>622</v>
      </c>
      <c r="N546" s="41">
        <v>0.076</v>
      </c>
      <c r="O546" s="41" t="s"/>
      <c r="P546" s="41">
        <v>1</v>
      </c>
      <c r="Q546" s="41">
        <v>1</v>
      </c>
      <c r="R546" s="41" t="s">
        <v>16</v>
      </c>
      <c r="S546" s="41" t="s">
        <v>17</v>
      </c>
      <c r="T546" s="41" t="s">
        <v>624</v>
      </c>
      <c r="U546" s="69" t="s">
        <v>13</v>
      </c>
      <c r="V546" s="69" t="s">
        <v>19</v>
      </c>
      <c r="W546" s="70" t="s"/>
      <c r="X546" s="26" t="s">
        <f>=M546&amp;N546&amp;P546&amp;Q546&amp;T546&amp;V546&amp;S546</f>
        <v>625</v>
      </c>
      <c r="Y546" s="70" t="s"/>
      <c r="Z546" s="70" t="s"/>
      <c r="AA546" s="70" t="s"/>
      <c r="AB546" s="70" t="s"/>
      <c r="AC546" s="71" t="s"/>
    </row>
    <row r="547" spans="1:29" s="272" customFormat="true" ht="14.4">
      <c r="A547" s="4">
        <f>=H547/G547-1</f>
        <v>0.0984848484848484</v>
      </c>
      <c r="B547" s="20">
        <f>=F547/12</f>
        <v>21.75</v>
      </c>
      <c r="C547" s="20">
        <f>=J547/3</f>
        <v>174</v>
      </c>
      <c r="D547" s="20">
        <f>=K547/3</f>
        <v>193.333333333333</v>
      </c>
      <c r="E547" s="20">
        <f>=L547/3</f>
        <v>203</v>
      </c>
      <c r="F547" s="20">
        <f>=H547*0.9</f>
        <v>261</v>
      </c>
      <c r="G547" s="68">
        <v>264</v>
      </c>
      <c r="H547" s="39">
        <v>290</v>
      </c>
      <c r="I547" s="40">
        <f>=H547*1.05</f>
        <v>304.5</v>
      </c>
      <c r="J547" s="40">
        <f>=F547*2</f>
        <v>522</v>
      </c>
      <c r="K547" s="40">
        <f>=H547*2</f>
        <v>580</v>
      </c>
      <c r="L547" s="40">
        <f>=I547*2</f>
        <v>609</v>
      </c>
      <c r="M547" s="41" t="s">
        <v>622</v>
      </c>
      <c r="N547" s="41">
        <v>0.075</v>
      </c>
      <c r="O547" s="41">
        <v>0.076</v>
      </c>
      <c r="P547" s="41">
        <v>2</v>
      </c>
      <c r="Q547" s="41">
        <v>2</v>
      </c>
      <c r="R547" s="41" t="s">
        <v>16</v>
      </c>
      <c r="S547" s="41" t="s">
        <v>17</v>
      </c>
      <c r="T547" s="41" t="s">
        <v>624</v>
      </c>
      <c r="U547" s="69" t="s">
        <v>13</v>
      </c>
      <c r="V547" s="69" t="s">
        <v>19</v>
      </c>
      <c r="W547" s="70" t="s"/>
      <c r="X547" s="26" t="s">
        <f>=M547&amp;N547&amp;P547&amp;Q547&amp;T547&amp;V547&amp;S547</f>
        <v>626</v>
      </c>
      <c r="Y547" s="70" t="s"/>
      <c r="Z547" s="70" t="s"/>
      <c r="AA547" s="70" t="s"/>
      <c r="AB547" s="70" t="s"/>
      <c r="AC547" s="71" t="s"/>
    </row>
    <row r="548" spans="1:28" ht="14.4">
      <c r="A548" s="4">
        <f>=H548/G548-1</f>
        <v>0.0973451327433628</v>
      </c>
      <c r="B548" s="20">
        <f>=F548/12</f>
        <v>9.3</v>
      </c>
      <c r="C548" s="20">
        <f>=J548/3</f>
        <v>74.4</v>
      </c>
      <c r="D548" s="20">
        <f>=K548/3</f>
        <v>82.6666666666667</v>
      </c>
      <c r="E548" s="20">
        <f>=L548/3</f>
        <v>86.8</v>
      </c>
      <c r="F548" s="20">
        <f>=H548*0.9</f>
        <v>111.6</v>
      </c>
      <c r="G548" s="21">
        <v>113</v>
      </c>
      <c r="H548" s="39">
        <v>124</v>
      </c>
      <c r="I548" s="40">
        <f>=H548*1.05</f>
        <v>130.2</v>
      </c>
      <c r="J548" s="40">
        <f>=F548*2</f>
        <v>223.2</v>
      </c>
      <c r="K548" s="40">
        <f>=H548*2</f>
        <v>248</v>
      </c>
      <c r="L548" s="40">
        <f>=I548*2</f>
        <v>260.4</v>
      </c>
      <c r="M548" s="41" t="s">
        <v>622</v>
      </c>
      <c r="N548" s="41">
        <v>0.075</v>
      </c>
      <c r="O548" s="41" t="s"/>
      <c r="P548" s="41">
        <v>1</v>
      </c>
      <c r="Q548" s="41">
        <v>1</v>
      </c>
      <c r="R548" s="41" t="s">
        <v>16</v>
      </c>
      <c r="S548" s="41" t="s">
        <v>17</v>
      </c>
      <c r="T548" s="41" t="s">
        <v>18</v>
      </c>
      <c r="U548" s="16" t="s">
        <v>13</v>
      </c>
      <c r="V548" s="16" t="s">
        <v>19</v>
      </c>
      <c r="W548" s="19" t="s"/>
      <c r="X548" s="26" t="s">
        <f>=M548&amp;N548&amp;P548&amp;Q548&amp;T548&amp;V548&amp;S548</f>
        <v>627</v>
      </c>
      <c r="Y548" s="19" t="s"/>
      <c r="Z548" s="19" t="s"/>
      <c r="AA548" s="19" t="s"/>
      <c r="AB548" s="19" t="s"/>
    </row>
    <row r="549" spans="1:28" ht="14.4">
      <c r="A549" s="4">
        <f>=H549/G549-1</f>
        <v>0.096774193548387</v>
      </c>
      <c r="B549" s="20">
        <f>=F549/12</f>
        <v>7.65</v>
      </c>
      <c r="C549" s="20">
        <f>=J549/3</f>
        <v>61.2</v>
      </c>
      <c r="D549" s="20">
        <f>=K549/3</f>
        <v>68</v>
      </c>
      <c r="E549" s="20">
        <f>=L549/3</f>
        <v>71.4</v>
      </c>
      <c r="F549" s="20">
        <f>=H549*0.9</f>
        <v>91.8</v>
      </c>
      <c r="G549" s="21">
        <v>93</v>
      </c>
      <c r="H549" s="39">
        <v>102</v>
      </c>
      <c r="I549" s="40">
        <f>=H549*1.05</f>
        <v>107.1</v>
      </c>
      <c r="J549" s="40">
        <f>=F549*2</f>
        <v>183.6</v>
      </c>
      <c r="K549" s="40">
        <f>=H549*2</f>
        <v>204</v>
      </c>
      <c r="L549" s="40">
        <f>=I549*2</f>
        <v>214.2</v>
      </c>
      <c r="M549" s="41" t="s">
        <v>622</v>
      </c>
      <c r="N549" s="41">
        <v>0.075</v>
      </c>
      <c r="O549" s="41">
        <v>0.076</v>
      </c>
      <c r="P549" s="41" t="s">
        <v>21</v>
      </c>
      <c r="Q549" s="41" t="s">
        <v>21</v>
      </c>
      <c r="R549" s="41" t="s">
        <v>16</v>
      </c>
      <c r="S549" s="41" t="s">
        <v>17</v>
      </c>
      <c r="T549" s="41" t="s">
        <v>624</v>
      </c>
      <c r="U549" s="16" t="s">
        <v>13</v>
      </c>
      <c r="V549" s="16" t="s">
        <v>19</v>
      </c>
      <c r="W549" s="19" t="s"/>
      <c r="X549" s="26" t="s">
        <f>=M549&amp;N549&amp;P549&amp;Q549&amp;T549&amp;V549&amp;S549</f>
        <v>628</v>
      </c>
      <c r="Y549" s="19" t="s"/>
      <c r="Z549" s="19" t="s"/>
      <c r="AA549" s="19" t="s"/>
      <c r="AB549" s="19" t="s"/>
    </row>
    <row r="550" spans="1:28" ht="14.4">
      <c r="A550" s="4">
        <f>=H550/G550-1</f>
        <v>0.105882352941177</v>
      </c>
      <c r="B550" s="20">
        <f>=F550/12</f>
        <v>7.05</v>
      </c>
      <c r="C550" s="20">
        <f>=J550/3</f>
        <v>56.4</v>
      </c>
      <c r="D550" s="20">
        <f>=K550/3</f>
        <v>62.6666666666667</v>
      </c>
      <c r="E550" s="20">
        <f>=L550/3</f>
        <v>65.8</v>
      </c>
      <c r="F550" s="20">
        <f>=H550*0.9</f>
        <v>84.6</v>
      </c>
      <c r="G550" s="21">
        <v>85</v>
      </c>
      <c r="H550" s="39">
        <v>94</v>
      </c>
      <c r="I550" s="40">
        <f>=H550*1.05</f>
        <v>98.7</v>
      </c>
      <c r="J550" s="40">
        <f>=F550*2</f>
        <v>169.2</v>
      </c>
      <c r="K550" s="40">
        <f>=H550*2</f>
        <v>188</v>
      </c>
      <c r="L550" s="40">
        <f>=I550*2</f>
        <v>197.4</v>
      </c>
      <c r="M550" s="41" t="s">
        <v>622</v>
      </c>
      <c r="N550" s="41">
        <v>0.075</v>
      </c>
      <c r="O550" s="41">
        <v>0.076</v>
      </c>
      <c r="P550" s="41" t="s">
        <v>21</v>
      </c>
      <c r="Q550" s="41" t="s">
        <v>21</v>
      </c>
      <c r="R550" s="41" t="s">
        <v>16</v>
      </c>
      <c r="S550" s="41" t="s">
        <v>17</v>
      </c>
      <c r="T550" s="41" t="s">
        <v>18</v>
      </c>
      <c r="U550" s="16" t="s">
        <v>13</v>
      </c>
      <c r="V550" s="16" t="s">
        <v>19</v>
      </c>
      <c r="W550" s="19" t="s"/>
      <c r="X550" s="26" t="s">
        <f>=M550&amp;N550&amp;P550&amp;Q550&amp;T550&amp;V550&amp;S550</f>
        <v>629</v>
      </c>
      <c r="Y550" s="19" t="s"/>
      <c r="Z550" s="19" t="s"/>
      <c r="AA550" s="19" t="s"/>
      <c r="AB550" s="19" t="s"/>
    </row>
    <row r="551" spans="1:28" ht="14.4">
      <c r="A551" s="4">
        <f>=H551/G551-1</f>
        <v>0.0961538461538463</v>
      </c>
      <c r="B551" s="20">
        <f>=F551/12</f>
        <v>8.55</v>
      </c>
      <c r="C551" s="20">
        <f>=J551/3</f>
        <v>68.4</v>
      </c>
      <c r="D551" s="20">
        <f>=K551/3</f>
        <v>76</v>
      </c>
      <c r="E551" s="20">
        <f>=L551/3</f>
        <v>79.8</v>
      </c>
      <c r="F551" s="20">
        <f>=H551*0.9</f>
        <v>102.6</v>
      </c>
      <c r="G551" s="21">
        <v>104</v>
      </c>
      <c r="H551" s="39">
        <v>114</v>
      </c>
      <c r="I551" s="40">
        <f>=H551*1.05</f>
        <v>119.7</v>
      </c>
      <c r="J551" s="40">
        <f>=F551*2</f>
        <v>205.2</v>
      </c>
      <c r="K551" s="40">
        <f>=H551*2</f>
        <v>228</v>
      </c>
      <c r="L551" s="40">
        <f>=I551*2</f>
        <v>239.4</v>
      </c>
      <c r="M551" s="41" t="s">
        <v>622</v>
      </c>
      <c r="N551" s="41">
        <v>0.075</v>
      </c>
      <c r="O551" s="41">
        <v>0.08</v>
      </c>
      <c r="P551" s="41" t="s">
        <v>21</v>
      </c>
      <c r="Q551" s="41">
        <v>1</v>
      </c>
      <c r="R551" s="41" t="s">
        <v>16</v>
      </c>
      <c r="S551" s="41" t="s">
        <v>17</v>
      </c>
      <c r="T551" s="41" t="s">
        <v>18</v>
      </c>
      <c r="U551" s="16" t="s">
        <v>13</v>
      </c>
      <c r="V551" s="16" t="s">
        <v>19</v>
      </c>
      <c r="W551" s="19" t="s"/>
      <c r="X551" s="26" t="s">
        <f>=M551&amp;N551&amp;P551&amp;Q551&amp;T551&amp;V551&amp;S551</f>
        <v>630</v>
      </c>
      <c r="Y551" s="19" t="s"/>
      <c r="Z551" s="19" t="s"/>
      <c r="AA551" s="19" t="s"/>
      <c r="AB551" s="19" t="s"/>
    </row>
    <row r="552" spans="1:28" ht="14.4">
      <c r="A552" s="4">
        <f>=H552/G552-1</f>
        <v>0.0990990990990992</v>
      </c>
      <c r="B552" s="20">
        <f>=F552/12</f>
        <v>9.15</v>
      </c>
      <c r="C552" s="20">
        <f>=J552/3</f>
        <v>73.2</v>
      </c>
      <c r="D552" s="20">
        <f>=K552/3</f>
        <v>81.3333333333333</v>
      </c>
      <c r="E552" s="20">
        <f>=L552/3</f>
        <v>85.4</v>
      </c>
      <c r="F552" s="20">
        <f>=H552*0.9</f>
        <v>109.8</v>
      </c>
      <c r="G552" s="21">
        <v>111</v>
      </c>
      <c r="H552" s="39">
        <v>122</v>
      </c>
      <c r="I552" s="40">
        <f>=H552*1.05</f>
        <v>128.1</v>
      </c>
      <c r="J552" s="40">
        <f>=F552*2</f>
        <v>219.6</v>
      </c>
      <c r="K552" s="40">
        <f>=H552*2</f>
        <v>244</v>
      </c>
      <c r="L552" s="40">
        <f>=I552*2</f>
        <v>256.2</v>
      </c>
      <c r="M552" s="41" t="s">
        <v>622</v>
      </c>
      <c r="N552" s="41">
        <v>0.08</v>
      </c>
      <c r="O552" s="41" t="s"/>
      <c r="P552" s="41">
        <v>1</v>
      </c>
      <c r="Q552" s="41">
        <v>1</v>
      </c>
      <c r="R552" s="41" t="s">
        <v>16</v>
      </c>
      <c r="S552" s="41" t="s">
        <v>17</v>
      </c>
      <c r="T552" s="41" t="s">
        <v>18</v>
      </c>
      <c r="U552" s="16" t="s">
        <v>13</v>
      </c>
      <c r="V552" s="16" t="s">
        <v>19</v>
      </c>
      <c r="W552" s="19" t="s"/>
      <c r="X552" s="26" t="s">
        <f>=M552&amp;N552&amp;P552&amp;Q552&amp;T552&amp;V552&amp;S552</f>
        <v>631</v>
      </c>
      <c r="Y552" s="19" t="s"/>
      <c r="Z552" s="19" t="s"/>
      <c r="AA552" s="19" t="s"/>
      <c r="AB552" s="19" t="s"/>
    </row>
    <row r="553" spans="1:29" ht="14.4">
      <c r="A553" s="42">
        <f>=H553/G553-1</f>
        <v>0.564705882352941</v>
      </c>
      <c r="B553" s="43">
        <f>=F553/12</f>
        <v>9.975</v>
      </c>
      <c r="C553" s="43">
        <f>=J553/3</f>
        <v>79.8</v>
      </c>
      <c r="D553" s="43">
        <f>=K553/3</f>
        <v>88.6666666666667</v>
      </c>
      <c r="E553" s="43">
        <f>=L553/3</f>
        <v>93.1</v>
      </c>
      <c r="F553" s="43">
        <f>=H553*0.9</f>
        <v>119.7</v>
      </c>
      <c r="G553" s="27">
        <v>85</v>
      </c>
      <c r="H553" s="44">
        <v>133</v>
      </c>
      <c r="I553" s="45">
        <f>=H553*1.05</f>
        <v>139.65</v>
      </c>
      <c r="J553" s="45">
        <f>=F553*2</f>
        <v>239.4</v>
      </c>
      <c r="K553" s="45">
        <f>=H553*2</f>
        <v>266</v>
      </c>
      <c r="L553" s="45">
        <f>=I553*2</f>
        <v>279.3</v>
      </c>
      <c r="M553" s="46" t="s">
        <v>622</v>
      </c>
      <c r="N553" s="46">
        <v>0.08</v>
      </c>
      <c r="O553" s="46" t="s"/>
      <c r="P553" s="12">
        <v>1</v>
      </c>
      <c r="Q553" s="46" t="s">
        <v>21</v>
      </c>
      <c r="R553" s="46" t="s">
        <v>16</v>
      </c>
      <c r="S553" s="46" t="s">
        <v>17</v>
      </c>
      <c r="T553" s="12" t="s">
        <v>624</v>
      </c>
      <c r="U553" s="13" t="s">
        <v>13</v>
      </c>
      <c r="V553" s="13" t="s">
        <v>19</v>
      </c>
      <c r="W553" s="15" t="s"/>
      <c r="X553" s="18" t="s">
        <f>=M553&amp;N553&amp;P553&amp;Q553&amp;T553&amp;V553&amp;S553</f>
        <v>632</v>
      </c>
      <c r="Y553" s="15" t="s"/>
      <c r="Z553" s="15" t="s"/>
      <c r="AA553" s="15" t="s"/>
      <c r="AB553" s="15" t="s"/>
      <c r="AC553" s="48" t="s"/>
    </row>
    <row r="554" spans="1:28" ht="14.4">
      <c r="A554" s="4">
        <f>=H554/G554-1</f>
        <v>0.105882352941177</v>
      </c>
      <c r="B554" s="20">
        <f>=F554/12</f>
        <v>7.05</v>
      </c>
      <c r="C554" s="20">
        <f>=J554/3</f>
        <v>56.4</v>
      </c>
      <c r="D554" s="20">
        <f>=K554/3</f>
        <v>62.6666666666667</v>
      </c>
      <c r="E554" s="20">
        <f>=L554/3</f>
        <v>65.8</v>
      </c>
      <c r="F554" s="20">
        <f>=H554*0.9</f>
        <v>84.6</v>
      </c>
      <c r="G554" s="21">
        <v>85</v>
      </c>
      <c r="H554" s="39">
        <v>94</v>
      </c>
      <c r="I554" s="40">
        <f>=H554*1.05</f>
        <v>98.7</v>
      </c>
      <c r="J554" s="40">
        <f>=F554*2</f>
        <v>169.2</v>
      </c>
      <c r="K554" s="40">
        <f>=H554*2</f>
        <v>188</v>
      </c>
      <c r="L554" s="40">
        <f>=I554*2</f>
        <v>197.4</v>
      </c>
      <c r="M554" s="41" t="s">
        <v>622</v>
      </c>
      <c r="N554" s="41">
        <v>0.08</v>
      </c>
      <c r="O554" s="41" t="s"/>
      <c r="P554" s="41" t="s">
        <v>21</v>
      </c>
      <c r="Q554" s="41" t="s">
        <v>21</v>
      </c>
      <c r="R554" s="41" t="s">
        <v>16</v>
      </c>
      <c r="S554" s="41" t="s">
        <v>17</v>
      </c>
      <c r="T554" s="41" t="s">
        <v>18</v>
      </c>
      <c r="U554" s="16" t="s">
        <v>13</v>
      </c>
      <c r="V554" s="16" t="s">
        <v>19</v>
      </c>
      <c r="W554" s="19" t="s"/>
      <c r="X554" s="26" t="s">
        <f>=M554&amp;N554&amp;P554&amp;Q554&amp;T554&amp;V554&amp;S554</f>
        <v>633</v>
      </c>
      <c r="Y554" s="19" t="s"/>
      <c r="Z554" s="19" t="s"/>
      <c r="AA554" s="19" t="s"/>
      <c r="AB554" s="19" t="s"/>
    </row>
    <row r="555" spans="1:28" ht="14.4">
      <c r="A555" s="4">
        <f>=H555/G555-1</f>
        <v>0.0970873786407767</v>
      </c>
      <c r="B555" s="20">
        <f>=F555/12</f>
        <v>8.475</v>
      </c>
      <c r="C555" s="20">
        <f>=J555/3</f>
        <v>67.8</v>
      </c>
      <c r="D555" s="20">
        <f>=K555/3</f>
        <v>75.3333333333333</v>
      </c>
      <c r="E555" s="20">
        <f>=L555/3</f>
        <v>79.1</v>
      </c>
      <c r="F555" s="20">
        <f>=H555*0.9</f>
        <v>101.7</v>
      </c>
      <c r="G555" s="21">
        <v>103</v>
      </c>
      <c r="H555" s="39">
        <v>113</v>
      </c>
      <c r="I555" s="40">
        <f>=H555*1.05</f>
        <v>118.65</v>
      </c>
      <c r="J555" s="40">
        <f>=F555*2</f>
        <v>203.4</v>
      </c>
      <c r="K555" s="40">
        <f>=H555*2</f>
        <v>226</v>
      </c>
      <c r="L555" s="40">
        <f>=I555*2</f>
        <v>237.3</v>
      </c>
      <c r="M555" s="41" t="s">
        <v>622</v>
      </c>
      <c r="N555" s="41">
        <v>0.1</v>
      </c>
      <c r="O555" s="41" t="s"/>
      <c r="P555" s="41">
        <v>1</v>
      </c>
      <c r="Q555" s="41" t="s">
        <v>21</v>
      </c>
      <c r="R555" s="41" t="s">
        <v>16</v>
      </c>
      <c r="S555" s="41" t="s">
        <v>17</v>
      </c>
      <c r="T555" s="41" t="s">
        <v>25</v>
      </c>
      <c r="U555" s="16" t="s">
        <v>13</v>
      </c>
      <c r="V555" s="16" t="s">
        <v>19</v>
      </c>
      <c r="W555" s="19" t="s"/>
      <c r="X555" s="26" t="s">
        <f>=M555&amp;N555&amp;P555&amp;Q555&amp;T555&amp;V555&amp;S555</f>
        <v>634</v>
      </c>
      <c r="Y555" s="19" t="s"/>
      <c r="Z555" s="19" t="s"/>
      <c r="AA555" s="19" t="s"/>
      <c r="AB555" s="19" t="s"/>
    </row>
    <row r="556" spans="1:29" ht="14.4">
      <c r="A556" s="42">
        <f>=H556/G556-1</f>
        <v>0.0578512396694215</v>
      </c>
      <c r="B556" s="43">
        <f>=F556/12</f>
        <v>9.6</v>
      </c>
      <c r="C556" s="43">
        <f>=J556/3</f>
        <v>76.8</v>
      </c>
      <c r="D556" s="43">
        <f>=K556/3</f>
        <v>85.3333333333333</v>
      </c>
      <c r="E556" s="43">
        <f>=L556/3</f>
        <v>89.6</v>
      </c>
      <c r="F556" s="43">
        <f>=H556*0.9</f>
        <v>115.2</v>
      </c>
      <c r="G556" s="27">
        <v>121</v>
      </c>
      <c r="H556" s="44">
        <v>128</v>
      </c>
      <c r="I556" s="45">
        <f>=H556*1.05</f>
        <v>134.4</v>
      </c>
      <c r="J556" s="45">
        <f>=F556*2</f>
        <v>230.4</v>
      </c>
      <c r="K556" s="45">
        <f>=H556*2</f>
        <v>256</v>
      </c>
      <c r="L556" s="45">
        <f>=I556*2</f>
        <v>268.8</v>
      </c>
      <c r="M556" s="46" t="s">
        <v>622</v>
      </c>
      <c r="N556" s="46">
        <v>0.1</v>
      </c>
      <c r="O556" s="46" t="s"/>
      <c r="P556" s="46">
        <v>1</v>
      </c>
      <c r="Q556" s="12" t="s">
        <v>21</v>
      </c>
      <c r="R556" s="46" t="s">
        <v>16</v>
      </c>
      <c r="S556" s="46" t="s">
        <v>17</v>
      </c>
      <c r="T556" s="46" t="s">
        <v>23</v>
      </c>
      <c r="U556" s="13" t="s">
        <v>13</v>
      </c>
      <c r="V556" s="11" t="s">
        <v>19</v>
      </c>
      <c r="W556" s="15" t="s"/>
      <c r="X556" s="18" t="s">
        <f>=M556&amp;N556&amp;P556&amp;Q556&amp;T556&amp;V556&amp;S556</f>
        <v>635</v>
      </c>
      <c r="Y556" s="15" t="s"/>
      <c r="Z556" s="15" t="s"/>
      <c r="AA556" s="15" t="s"/>
      <c r="AB556" s="15" t="s"/>
      <c r="AC556" s="48" t="s"/>
    </row>
    <row r="557" spans="1:28" ht="14.4">
      <c r="A557" s="4">
        <f>=H557/G557-1</f>
        <v>0.0991735537190082</v>
      </c>
      <c r="B557" s="20">
        <f>=F557/12</f>
        <v>9.975</v>
      </c>
      <c r="C557" s="20">
        <f>=J557/3</f>
        <v>79.8</v>
      </c>
      <c r="D557" s="20">
        <f>=K557/3</f>
        <v>88.6666666666667</v>
      </c>
      <c r="E557" s="20">
        <f>=L557/3</f>
        <v>93.1</v>
      </c>
      <c r="F557" s="20">
        <f>=H557*0.9</f>
        <v>119.7</v>
      </c>
      <c r="G557" s="21">
        <v>121</v>
      </c>
      <c r="H557" s="39">
        <v>133</v>
      </c>
      <c r="I557" s="40">
        <f>=H557*1.05</f>
        <v>139.65</v>
      </c>
      <c r="J557" s="40">
        <f>=F557*2</f>
        <v>239.4</v>
      </c>
      <c r="K557" s="40">
        <f>=H557*2</f>
        <v>266</v>
      </c>
      <c r="L557" s="40">
        <f>=I557*2</f>
        <v>279.3</v>
      </c>
      <c r="M557" s="41" t="s">
        <v>622</v>
      </c>
      <c r="N557" s="41">
        <v>0.1</v>
      </c>
      <c r="O557" s="41" t="s"/>
      <c r="P557" s="41">
        <v>1</v>
      </c>
      <c r="Q557" s="41">
        <v>1</v>
      </c>
      <c r="R557" s="41" t="s">
        <v>16</v>
      </c>
      <c r="S557" s="41" t="s">
        <v>17</v>
      </c>
      <c r="T557" s="72" t="s">
        <v>23</v>
      </c>
      <c r="U557" s="16" t="s">
        <v>13</v>
      </c>
      <c r="V557" s="16" t="s">
        <v>215</v>
      </c>
      <c r="W557" s="19" t="s"/>
      <c r="X557" s="26" t="s">
        <f>=M557&amp;N557&amp;P557&amp;Q557&amp;T557&amp;V557&amp;S557</f>
        <v>636</v>
      </c>
      <c r="Y557" s="19" t="s"/>
      <c r="Z557" s="19" t="s"/>
      <c r="AA557" s="19" t="s"/>
      <c r="AB557" s="19" t="s"/>
    </row>
    <row r="558" spans="1:28" ht="14.4">
      <c r="A558" s="4">
        <f>=H558/G558-1</f>
        <v>0.0973451327433628</v>
      </c>
      <c r="B558" s="20">
        <f>=F558/12</f>
        <v>9.3</v>
      </c>
      <c r="C558" s="20">
        <f>=J558/3</f>
        <v>74.4</v>
      </c>
      <c r="D558" s="20">
        <f>=K558/3</f>
        <v>82.6666666666667</v>
      </c>
      <c r="E558" s="20">
        <f>=L558/3</f>
        <v>86.8</v>
      </c>
      <c r="F558" s="20">
        <f>=H558*0.9</f>
        <v>111.6</v>
      </c>
      <c r="G558" s="21">
        <v>113</v>
      </c>
      <c r="H558" s="39">
        <v>124</v>
      </c>
      <c r="I558" s="40">
        <f>=H558*1.05</f>
        <v>130.2</v>
      </c>
      <c r="J558" s="40">
        <f>=F558*2</f>
        <v>223.2</v>
      </c>
      <c r="K558" s="40">
        <f>=H558*2</f>
        <v>248</v>
      </c>
      <c r="L558" s="40">
        <f>=I558*2</f>
        <v>260.4</v>
      </c>
      <c r="M558" s="41" t="s">
        <v>622</v>
      </c>
      <c r="N558" s="41">
        <v>0.1</v>
      </c>
      <c r="O558" s="41" t="s"/>
      <c r="P558" s="41">
        <v>1</v>
      </c>
      <c r="Q558" s="41">
        <v>1</v>
      </c>
      <c r="R558" s="41" t="s">
        <v>16</v>
      </c>
      <c r="S558" s="41" t="s">
        <v>17</v>
      </c>
      <c r="T558" s="41" t="s">
        <v>23</v>
      </c>
      <c r="U558" s="16" t="s">
        <v>13</v>
      </c>
      <c r="V558" s="16" t="s">
        <v>19</v>
      </c>
      <c r="W558" s="19" t="s"/>
      <c r="X558" s="26" t="s">
        <f>=M558&amp;N558&amp;P558&amp;Q558&amp;T558&amp;V558&amp;S558</f>
        <v>637</v>
      </c>
      <c r="Y558" s="19" t="s"/>
      <c r="Z558" s="19" t="s"/>
      <c r="AA558" s="19" t="s"/>
      <c r="AB558" s="19" t="s"/>
    </row>
    <row r="559" spans="1:28" ht="14.4">
      <c r="A559" s="4">
        <f>=H559/G559-1</f>
        <v>0.0973451327433628</v>
      </c>
      <c r="B559" s="20">
        <f>=F559/12</f>
        <v>9.3</v>
      </c>
      <c r="C559" s="20">
        <f>=J559/3</f>
        <v>74.4</v>
      </c>
      <c r="D559" s="20">
        <f>=K559/3</f>
        <v>82.6666666666667</v>
      </c>
      <c r="E559" s="20">
        <f>=L559/3</f>
        <v>86.8</v>
      </c>
      <c r="F559" s="20">
        <f>=H559*0.9</f>
        <v>111.6</v>
      </c>
      <c r="G559" s="21">
        <v>113</v>
      </c>
      <c r="H559" s="39">
        <v>124</v>
      </c>
      <c r="I559" s="40">
        <f>=H559*1.05</f>
        <v>130.2</v>
      </c>
      <c r="J559" s="40">
        <f>=F559*2</f>
        <v>223.2</v>
      </c>
      <c r="K559" s="40">
        <f>=H559*2</f>
        <v>248</v>
      </c>
      <c r="L559" s="40">
        <f>=I559*2</f>
        <v>260.4</v>
      </c>
      <c r="M559" s="41" t="s">
        <v>622</v>
      </c>
      <c r="N559" s="41">
        <v>0.1</v>
      </c>
      <c r="O559" s="41" t="s"/>
      <c r="P559" s="41">
        <v>1</v>
      </c>
      <c r="Q559" s="41">
        <v>1</v>
      </c>
      <c r="R559" s="41" t="s">
        <v>16</v>
      </c>
      <c r="S559" s="41" t="s">
        <v>17</v>
      </c>
      <c r="T559" s="41" t="s">
        <v>25</v>
      </c>
      <c r="U559" s="16" t="s">
        <v>13</v>
      </c>
      <c r="V559" s="16" t="s">
        <v>19</v>
      </c>
      <c r="W559" s="19" t="s"/>
      <c r="X559" s="26" t="s">
        <f>=M559&amp;N559&amp;P559&amp;Q559&amp;T559&amp;V559&amp;S559</f>
        <v>638</v>
      </c>
      <c r="Y559" s="19" t="s"/>
      <c r="Z559" s="19" t="s"/>
      <c r="AA559" s="19" t="s"/>
      <c r="AB559" s="19" t="s"/>
    </row>
    <row r="560" spans="1:29" ht="14.4">
      <c r="A560" s="49">
        <v>46178</v>
      </c>
      <c r="B560" s="43">
        <f>=F560/12</f>
        <v>11.025</v>
      </c>
      <c r="C560" s="43">
        <f>=J560/3</f>
        <v>88.2</v>
      </c>
      <c r="D560" s="43">
        <f>=K560/3</f>
        <v>98</v>
      </c>
      <c r="E560" s="43">
        <f>=L560/3</f>
        <v>102.9</v>
      </c>
      <c r="F560" s="43">
        <f>=H560*0.9</f>
        <v>132.3</v>
      </c>
      <c r="G560" s="27">
        <v>113</v>
      </c>
      <c r="H560" s="44">
        <v>147</v>
      </c>
      <c r="I560" s="45">
        <f>=H560*1.05</f>
        <v>154.35</v>
      </c>
      <c r="J560" s="45">
        <f>=F560*2</f>
        <v>264.6</v>
      </c>
      <c r="K560" s="45">
        <f>=H560*2</f>
        <v>294</v>
      </c>
      <c r="L560" s="45">
        <f>=I560*2</f>
        <v>308.7</v>
      </c>
      <c r="M560" s="46" t="s">
        <v>622</v>
      </c>
      <c r="N560" s="46">
        <v>0.1</v>
      </c>
      <c r="O560" s="46" t="s"/>
      <c r="P560" s="46">
        <v>1</v>
      </c>
      <c r="Q560" s="46">
        <v>1</v>
      </c>
      <c r="R560" s="46" t="s">
        <v>16</v>
      </c>
      <c r="S560" s="46" t="s">
        <v>17</v>
      </c>
      <c r="T560" s="12" t="s">
        <v>639</v>
      </c>
      <c r="U560" s="13" t="s">
        <v>13</v>
      </c>
      <c r="V560" s="13" t="s">
        <v>19</v>
      </c>
      <c r="W560" s="15" t="s"/>
      <c r="X560" s="18" t="s">
        <f>=M560&amp;N560&amp;P560&amp;Q560&amp;T560&amp;V560&amp;S560</f>
        <v>640</v>
      </c>
      <c r="Y560" s="15" t="s"/>
      <c r="Z560" s="15" t="s"/>
      <c r="AA560" s="15" t="s"/>
      <c r="AB560" s="15" t="s"/>
      <c r="AC560" s="48" t="s"/>
    </row>
    <row r="561" spans="1:28" ht="14.4">
      <c r="A561" s="4">
        <f>=H561/G561-1</f>
        <v>0.102127659574468</v>
      </c>
      <c r="B561" s="20">
        <f>=F561/12</f>
        <v>19.425</v>
      </c>
      <c r="C561" s="20">
        <f>=J561/3</f>
        <v>155.4</v>
      </c>
      <c r="D561" s="20">
        <f>=K561/3</f>
        <v>172.666666666667</v>
      </c>
      <c r="E561" s="20">
        <f>=L561/3</f>
        <v>181.3</v>
      </c>
      <c r="F561" s="20">
        <f>=H561*0.9</f>
        <v>233.1</v>
      </c>
      <c r="G561" s="21">
        <v>235</v>
      </c>
      <c r="H561" s="39">
        <v>259</v>
      </c>
      <c r="I561" s="40">
        <f>=H561*1.05</f>
        <v>271.95</v>
      </c>
      <c r="J561" s="40">
        <f>=F561*2</f>
        <v>466.2</v>
      </c>
      <c r="K561" s="40">
        <f>=H561*2</f>
        <v>518</v>
      </c>
      <c r="L561" s="40">
        <f>=I561*2</f>
        <v>543.9</v>
      </c>
      <c r="M561" s="41" t="s">
        <v>622</v>
      </c>
      <c r="N561" s="41">
        <v>0.1</v>
      </c>
      <c r="O561" s="41" t="s"/>
      <c r="P561" s="41">
        <v>1</v>
      </c>
      <c r="Q561" s="41">
        <v>2</v>
      </c>
      <c r="R561" s="41" t="s">
        <v>16</v>
      </c>
      <c r="S561" s="41" t="s">
        <v>17</v>
      </c>
      <c r="T561" s="41" t="s">
        <v>27</v>
      </c>
      <c r="U561" s="16" t="s">
        <v>13</v>
      </c>
      <c r="V561" s="16" t="s">
        <v>19</v>
      </c>
      <c r="W561" s="19" t="s"/>
      <c r="X561" s="26" t="s">
        <f>=M561&amp;N561&amp;P561&amp;Q561&amp;T561&amp;V561&amp;S561</f>
        <v>641</v>
      </c>
      <c r="Y561" s="19" t="s"/>
      <c r="Z561" s="19" t="s"/>
      <c r="AA561" s="19" t="s"/>
      <c r="AB561" s="19" t="s"/>
    </row>
    <row r="562" spans="1:28" ht="14.4">
      <c r="A562" s="4">
        <f>=H562/G562-1</f>
        <v>0.102127659574468</v>
      </c>
      <c r="B562" s="20">
        <f>=F562/12</f>
        <v>19.425</v>
      </c>
      <c r="C562" s="20">
        <f>=J562/3</f>
        <v>155.4</v>
      </c>
      <c r="D562" s="20">
        <f>=K562/3</f>
        <v>172.666666666667</v>
      </c>
      <c r="E562" s="20">
        <f>=L562/3</f>
        <v>181.3</v>
      </c>
      <c r="F562" s="20">
        <f>=H562*0.9</f>
        <v>233.1</v>
      </c>
      <c r="G562" s="21">
        <v>235</v>
      </c>
      <c r="H562" s="39">
        <v>259</v>
      </c>
      <c r="I562" s="40">
        <f>=H562*1.05</f>
        <v>271.95</v>
      </c>
      <c r="J562" s="40">
        <f>=F562*2</f>
        <v>466.2</v>
      </c>
      <c r="K562" s="40">
        <f>=H562*2</f>
        <v>518</v>
      </c>
      <c r="L562" s="40">
        <f>=I562*2</f>
        <v>543.9</v>
      </c>
      <c r="M562" s="41" t="s">
        <v>622</v>
      </c>
      <c r="N562" s="41">
        <v>0.1</v>
      </c>
      <c r="O562" s="41" t="s"/>
      <c r="P562" s="41">
        <v>2</v>
      </c>
      <c r="Q562" s="41">
        <v>2</v>
      </c>
      <c r="R562" s="41" t="s">
        <v>16</v>
      </c>
      <c r="S562" s="41" t="s">
        <v>17</v>
      </c>
      <c r="T562" s="41" t="s">
        <v>27</v>
      </c>
      <c r="U562" s="16" t="s">
        <v>13</v>
      </c>
      <c r="V562" s="16" t="s">
        <v>19</v>
      </c>
      <c r="W562" s="19" t="s"/>
      <c r="X562" s="26" t="s">
        <f>=M562&amp;N562&amp;P562&amp;Q562&amp;T562&amp;V562&amp;S562</f>
        <v>642</v>
      </c>
      <c r="Y562" s="19" t="s"/>
      <c r="Z562" s="19" t="s"/>
      <c r="AA562" s="19" t="s"/>
      <c r="AB562" s="19" t="s"/>
    </row>
    <row r="563" spans="1:28" ht="14.4">
      <c r="A563" s="4">
        <f>=H563/G563-1</f>
        <v>0.0994764397905759</v>
      </c>
      <c r="B563" s="20">
        <f>=F563/12</f>
        <v>31.5</v>
      </c>
      <c r="C563" s="20">
        <f>=J563/3</f>
        <v>252</v>
      </c>
      <c r="D563" s="20">
        <f>=K563/3</f>
        <v>280</v>
      </c>
      <c r="E563" s="20">
        <f>=L563/3</f>
        <v>294</v>
      </c>
      <c r="F563" s="20">
        <f>=H563*0.9</f>
        <v>378</v>
      </c>
      <c r="G563" s="21">
        <v>382</v>
      </c>
      <c r="H563" s="39">
        <v>420</v>
      </c>
      <c r="I563" s="40">
        <f>=H563*1.05</f>
        <v>441</v>
      </c>
      <c r="J563" s="40">
        <f>=F563*2</f>
        <v>756</v>
      </c>
      <c r="K563" s="40">
        <f>=H563*2</f>
        <v>840</v>
      </c>
      <c r="L563" s="40">
        <f>=I563*2</f>
        <v>882</v>
      </c>
      <c r="M563" s="41" t="s">
        <v>622</v>
      </c>
      <c r="N563" s="41">
        <v>0.1</v>
      </c>
      <c r="O563" s="41" t="s"/>
      <c r="P563" s="41">
        <v>3</v>
      </c>
      <c r="Q563" s="41">
        <v>3</v>
      </c>
      <c r="R563" s="41" t="s">
        <v>16</v>
      </c>
      <c r="S563" s="41" t="s">
        <v>17</v>
      </c>
      <c r="T563" s="41" t="s">
        <v>27</v>
      </c>
      <c r="U563" s="16" t="s">
        <v>13</v>
      </c>
      <c r="V563" s="16" t="s">
        <v>19</v>
      </c>
      <c r="W563" s="19" t="s"/>
      <c r="X563" s="26" t="s">
        <f>=M563&amp;N563&amp;P563&amp;Q563&amp;T563&amp;V563&amp;S563</f>
        <v>643</v>
      </c>
      <c r="Y563" s="19" t="s"/>
      <c r="Z563" s="19" t="s"/>
      <c r="AA563" s="19" t="s"/>
      <c r="AB563" s="19" t="s"/>
    </row>
    <row r="564" spans="1:28" ht="14.4">
      <c r="A564" s="4">
        <f>=H564/G564-1</f>
        <v>0.100156494522692</v>
      </c>
      <c r="B564" s="20">
        <f>=F564/12</f>
        <v>52.725</v>
      </c>
      <c r="C564" s="20">
        <f>=J564/3</f>
        <v>421.8</v>
      </c>
      <c r="D564" s="20">
        <f>=K564/3</f>
        <v>468.666666666667</v>
      </c>
      <c r="E564" s="20">
        <f>=L564/3</f>
        <v>492.1</v>
      </c>
      <c r="F564" s="20">
        <f>=H564*0.9</f>
        <v>632.7</v>
      </c>
      <c r="G564" s="21">
        <v>639</v>
      </c>
      <c r="H564" s="39">
        <v>703</v>
      </c>
      <c r="I564" s="40">
        <f>=H564*1.05</f>
        <v>738.15</v>
      </c>
      <c r="J564" s="40">
        <f>=F564*2</f>
        <v>1265.4</v>
      </c>
      <c r="K564" s="40">
        <f>=H564*2</f>
        <v>1406</v>
      </c>
      <c r="L564" s="40">
        <f>=I564*2</f>
        <v>1476.3</v>
      </c>
      <c r="M564" s="41" t="s">
        <v>622</v>
      </c>
      <c r="N564" s="41">
        <v>0.1</v>
      </c>
      <c r="O564" s="41" t="s"/>
      <c r="P564" s="41">
        <v>4</v>
      </c>
      <c r="Q564" s="41">
        <v>4</v>
      </c>
      <c r="R564" s="41" t="s">
        <v>16</v>
      </c>
      <c r="S564" s="41" t="s">
        <v>17</v>
      </c>
      <c r="T564" s="41" t="s">
        <v>27</v>
      </c>
      <c r="U564" s="16" t="s">
        <v>13</v>
      </c>
      <c r="V564" s="16" t="s">
        <v>19</v>
      </c>
      <c r="W564" s="19" t="s"/>
      <c r="X564" s="26" t="s">
        <f>=M564&amp;N564&amp;P564&amp;Q564&amp;T564&amp;V564&amp;S564</f>
        <v>644</v>
      </c>
      <c r="Y564" s="19" t="s"/>
      <c r="Z564" s="19" t="s"/>
      <c r="AA564" s="19" t="s"/>
      <c r="AB564" s="19" t="s"/>
    </row>
    <row r="565" spans="1:28" ht="14.4">
      <c r="A565" s="4">
        <f>=H565/G565-1</f>
        <v>0.105882352941177</v>
      </c>
      <c r="B565" s="20">
        <f>=F565/12</f>
        <v>7.05</v>
      </c>
      <c r="C565" s="20">
        <f>=J565/3</f>
        <v>56.4</v>
      </c>
      <c r="D565" s="20">
        <f>=K565/3</f>
        <v>62.6666666666667</v>
      </c>
      <c r="E565" s="20">
        <f>=L565/3</f>
        <v>65.8</v>
      </c>
      <c r="F565" s="20">
        <f>=H565*0.9</f>
        <v>84.6</v>
      </c>
      <c r="G565" s="21">
        <v>85</v>
      </c>
      <c r="H565" s="39">
        <v>94</v>
      </c>
      <c r="I565" s="40">
        <f>=H565*1.05</f>
        <v>98.7</v>
      </c>
      <c r="J565" s="40">
        <f>=F565*2</f>
        <v>169.2</v>
      </c>
      <c r="K565" s="40">
        <f>=H565*2</f>
        <v>188</v>
      </c>
      <c r="L565" s="40">
        <f>=I565*2</f>
        <v>197.4</v>
      </c>
      <c r="M565" s="41" t="s">
        <v>622</v>
      </c>
      <c r="N565" s="41">
        <v>0.1</v>
      </c>
      <c r="O565" s="41" t="s"/>
      <c r="P565" s="41" t="s">
        <v>21</v>
      </c>
      <c r="Q565" s="41" t="s">
        <v>21</v>
      </c>
      <c r="R565" s="41" t="s">
        <v>16</v>
      </c>
      <c r="S565" s="41" t="s">
        <v>17</v>
      </c>
      <c r="T565" s="41" t="s">
        <v>23</v>
      </c>
      <c r="U565" s="16" t="s">
        <v>13</v>
      </c>
      <c r="V565" s="16" t="s">
        <v>19</v>
      </c>
      <c r="W565" s="19" t="s"/>
      <c r="X565" s="26" t="s">
        <f>=M565&amp;N565&amp;P565&amp;Q565&amp;T565&amp;V565&amp;S565</f>
        <v>645</v>
      </c>
      <c r="Y565" s="19" t="s"/>
      <c r="Z565" s="19" t="s"/>
      <c r="AA565" s="19" t="s"/>
      <c r="AB565" s="19" t="s"/>
    </row>
    <row r="566" spans="1:28" ht="14.4">
      <c r="A566" s="4">
        <f>=H566/G566-1</f>
        <v>0.105882352941177</v>
      </c>
      <c r="B566" s="20">
        <f>=F566/12</f>
        <v>7.05</v>
      </c>
      <c r="C566" s="20">
        <f>=J566/3</f>
        <v>56.4</v>
      </c>
      <c r="D566" s="20">
        <f>=K566/3</f>
        <v>62.6666666666667</v>
      </c>
      <c r="E566" s="20">
        <f>=L566/3</f>
        <v>65.8</v>
      </c>
      <c r="F566" s="20">
        <f>=H566*0.9</f>
        <v>84.6</v>
      </c>
      <c r="G566" s="21">
        <v>85</v>
      </c>
      <c r="H566" s="39">
        <v>94</v>
      </c>
      <c r="I566" s="40">
        <f>=H566*1.05</f>
        <v>98.7</v>
      </c>
      <c r="J566" s="40">
        <f>=F566*2</f>
        <v>169.2</v>
      </c>
      <c r="K566" s="40">
        <f>=H566*2</f>
        <v>188</v>
      </c>
      <c r="L566" s="40">
        <f>=I566*2</f>
        <v>197.4</v>
      </c>
      <c r="M566" s="41" t="s">
        <v>622</v>
      </c>
      <c r="N566" s="41">
        <v>0.1</v>
      </c>
      <c r="O566" s="41" t="s"/>
      <c r="P566" s="41" t="s">
        <v>21</v>
      </c>
      <c r="Q566" s="41" t="s">
        <v>21</v>
      </c>
      <c r="R566" s="41" t="s">
        <v>16</v>
      </c>
      <c r="S566" s="41" t="s">
        <v>17</v>
      </c>
      <c r="T566" s="41" t="s">
        <v>25</v>
      </c>
      <c r="U566" s="16" t="s">
        <v>13</v>
      </c>
      <c r="V566" s="16" t="s">
        <v>19</v>
      </c>
      <c r="W566" s="19" t="s"/>
      <c r="X566" s="26" t="s">
        <f>=M566&amp;N566&amp;P566&amp;Q566&amp;T566&amp;V566&amp;S566</f>
        <v>646</v>
      </c>
      <c r="Y566" s="19" t="s"/>
      <c r="Z566" s="19" t="s"/>
      <c r="AA566" s="19" t="s"/>
      <c r="AB566" s="19" t="s"/>
    </row>
    <row r="567" spans="1:28" ht="14.4">
      <c r="A567" s="4">
        <f>=H567/G567-1</f>
        <v>0.102564102564103</v>
      </c>
      <c r="B567" s="20">
        <f>=F567/12</f>
        <v>16.125</v>
      </c>
      <c r="C567" s="20">
        <f>=J567/3</f>
        <v>129</v>
      </c>
      <c r="D567" s="20">
        <f>=K567/3</f>
        <v>143.333333333333</v>
      </c>
      <c r="E567" s="20">
        <f>=L567/3</f>
        <v>150.5</v>
      </c>
      <c r="F567" s="20">
        <f>=H567*0.9</f>
        <v>193.5</v>
      </c>
      <c r="G567" s="21">
        <v>195</v>
      </c>
      <c r="H567" s="39">
        <v>215</v>
      </c>
      <c r="I567" s="40">
        <f>=H567*1.05</f>
        <v>225.75</v>
      </c>
      <c r="J567" s="40">
        <f>=F567*2</f>
        <v>387</v>
      </c>
      <c r="K567" s="40">
        <f>=H567*2</f>
        <v>430</v>
      </c>
      <c r="L567" s="40">
        <f>=I567*2</f>
        <v>451.5</v>
      </c>
      <c r="M567" s="41" t="s">
        <v>622</v>
      </c>
      <c r="N567" s="41">
        <v>0.1</v>
      </c>
      <c r="O567" s="41" t="s"/>
      <c r="P567" s="41" t="s">
        <v>21</v>
      </c>
      <c r="Q567" s="41">
        <v>2</v>
      </c>
      <c r="R567" s="41" t="s">
        <v>16</v>
      </c>
      <c r="S567" s="41" t="s">
        <v>17</v>
      </c>
      <c r="T567" s="41" t="s">
        <v>23</v>
      </c>
      <c r="U567" s="16" t="s">
        <v>13</v>
      </c>
      <c r="V567" s="16" t="s">
        <v>19</v>
      </c>
      <c r="W567" s="19" t="s"/>
      <c r="X567" s="26" t="s">
        <f>=M567&amp;N567&amp;P567&amp;Q567&amp;T567&amp;V567&amp;S567</f>
        <v>647</v>
      </c>
      <c r="Y567" s="19" t="s"/>
      <c r="Z567" s="19" t="s"/>
      <c r="AA567" s="19" t="s"/>
      <c r="AB567" s="19" t="s"/>
    </row>
    <row r="568" spans="1:28" ht="14.4">
      <c r="A568" s="66" t="e">
        <f>=H568/G568-1</f>
        <v>#DIV/0!</v>
      </c>
      <c r="B568" s="67">
        <f>=F568/12</f>
        <v>10.725</v>
      </c>
      <c r="C568" s="67">
        <f>=J568/3</f>
        <v>85.8</v>
      </c>
      <c r="D568" s="67">
        <f>=K568/3</f>
        <v>95.3333333333333</v>
      </c>
      <c r="E568" s="67">
        <f>=L568/3</f>
        <v>100.1</v>
      </c>
      <c r="F568" s="67">
        <f>=H568*0.9</f>
        <v>128.7</v>
      </c>
      <c r="G568" s="44" t="s"/>
      <c r="H568" s="44">
        <v>143</v>
      </c>
      <c r="I568" s="45">
        <f>=H568*1.05</f>
        <v>150.15</v>
      </c>
      <c r="J568" s="45">
        <f>=F568*2</f>
        <v>257.4</v>
      </c>
      <c r="K568" s="45">
        <f>=H568*2</f>
        <v>286</v>
      </c>
      <c r="L568" s="45">
        <f>=I568*2</f>
        <v>300.3</v>
      </c>
      <c r="M568" s="46" t="s">
        <v>622</v>
      </c>
      <c r="N568" s="46">
        <v>0.1</v>
      </c>
      <c r="O568" s="46" t="s"/>
      <c r="P568" s="46">
        <v>1</v>
      </c>
      <c r="Q568" s="46">
        <v>1</v>
      </c>
      <c r="R568" s="46" t="s">
        <v>16</v>
      </c>
      <c r="S568" s="46" t="s">
        <v>17</v>
      </c>
      <c r="T568" s="46" t="s">
        <v>27</v>
      </c>
      <c r="U568" s="46" t="s">
        <v>13</v>
      </c>
      <c r="V568" s="46" t="s">
        <v>19</v>
      </c>
      <c r="W568" s="50" t="s"/>
      <c r="X568" s="18" t="s">
        <f>=M568&amp;N568&amp;P568&amp;Q568&amp;T568&amp;V568&amp;S568</f>
        <v>648</v>
      </c>
      <c r="Y568" s="50" t="s"/>
      <c r="Z568" s="50" t="s"/>
      <c r="AA568" s="50" t="s"/>
      <c r="AB568" s="50" t="s"/>
    </row>
    <row r="569" spans="1:29" ht="14.4">
      <c r="A569" s="42">
        <f>=H569/G569-1</f>
        <v>0.221276595744681</v>
      </c>
      <c r="B569" s="43">
        <f>=F569/12</f>
        <v>21.525</v>
      </c>
      <c r="C569" s="43">
        <f>=J569/3</f>
        <v>172.2</v>
      </c>
      <c r="D569" s="43">
        <f>=K569/3</f>
        <v>191.333333333333</v>
      </c>
      <c r="E569" s="43">
        <f>=L569/3</f>
        <v>200.9</v>
      </c>
      <c r="F569" s="43">
        <f>=H569*0.9</f>
        <v>258.3</v>
      </c>
      <c r="G569" s="27">
        <v>235</v>
      </c>
      <c r="H569" s="44">
        <v>287</v>
      </c>
      <c r="I569" s="45">
        <f>=H569*1.05</f>
        <v>301.35</v>
      </c>
      <c r="J569" s="45">
        <f>=F569*2</f>
        <v>516.6</v>
      </c>
      <c r="K569" s="45">
        <f>=H569*2</f>
        <v>574</v>
      </c>
      <c r="L569" s="45">
        <f>=I569*2</f>
        <v>602.7</v>
      </c>
      <c r="M569" s="46" t="s">
        <v>622</v>
      </c>
      <c r="N569" s="12">
        <v>0.11</v>
      </c>
      <c r="O569" s="46" t="s"/>
      <c r="P569" s="46">
        <v>2</v>
      </c>
      <c r="Q569" s="46">
        <v>2</v>
      </c>
      <c r="R569" s="46" t="s">
        <v>16</v>
      </c>
      <c r="S569" s="46" t="s">
        <v>17</v>
      </c>
      <c r="T569" s="46" t="s">
        <v>27</v>
      </c>
      <c r="U569" s="13" t="s">
        <v>13</v>
      </c>
      <c r="V569" s="13" t="s">
        <v>19</v>
      </c>
      <c r="W569" s="15" t="s"/>
      <c r="X569" s="18" t="s">
        <f>=M569&amp;N569&amp;P569&amp;Q569&amp;T569&amp;V569&amp;S569</f>
        <v>649</v>
      </c>
      <c r="Y569" s="15" t="s"/>
      <c r="Z569" s="15" t="s"/>
      <c r="AA569" s="15" t="s"/>
      <c r="AB569" s="15" t="s"/>
      <c r="AC569" s="48" t="s"/>
    </row>
    <row r="570" spans="1:28" ht="14.4">
      <c r="A570" s="52">
        <f>=H570/G570-1</f>
        <v>0.1</v>
      </c>
      <c r="B570" s="53">
        <f>=F570/12</f>
        <v>10.725</v>
      </c>
      <c r="C570" s="53">
        <f>=J570/3</f>
        <v>85.8</v>
      </c>
      <c r="D570" s="53">
        <f>=K570/3</f>
        <v>95.3333333333333</v>
      </c>
      <c r="E570" s="53">
        <f>=L570/3</f>
        <v>100.1</v>
      </c>
      <c r="F570" s="53">
        <f>=H570*0.9</f>
        <v>128.7</v>
      </c>
      <c r="G570" s="39">
        <v>130</v>
      </c>
      <c r="H570" s="39">
        <v>143</v>
      </c>
      <c r="I570" s="40">
        <f>=H570*1.05</f>
        <v>150.15</v>
      </c>
      <c r="J570" s="40">
        <f>=F570*2</f>
        <v>257.4</v>
      </c>
      <c r="K570" s="40">
        <f>=H570*2</f>
        <v>286</v>
      </c>
      <c r="L570" s="40">
        <f>=I570*2</f>
        <v>300.3</v>
      </c>
      <c r="M570" s="41" t="s">
        <v>622</v>
      </c>
      <c r="N570" s="41">
        <v>0.11</v>
      </c>
      <c r="O570" s="41" t="s"/>
      <c r="P570" s="41">
        <v>1</v>
      </c>
      <c r="Q570" s="41">
        <v>1</v>
      </c>
      <c r="R570" s="41" t="s">
        <v>16</v>
      </c>
      <c r="S570" s="41" t="s">
        <v>17</v>
      </c>
      <c r="T570" s="41" t="s">
        <v>27</v>
      </c>
      <c r="U570" s="41" t="s">
        <v>13</v>
      </c>
      <c r="V570" s="41" t="s">
        <v>19</v>
      </c>
      <c r="W570" s="29" t="s"/>
      <c r="X570" s="26" t="s">
        <f>=M570&amp;N570&amp;P570&amp;Q570&amp;T570&amp;V570&amp;S570</f>
        <v>650</v>
      </c>
      <c r="Y570" s="29" t="s"/>
      <c r="Z570" s="29" t="s"/>
      <c r="AA570" s="29" t="s"/>
      <c r="AB570" s="29" t="s"/>
    </row>
    <row r="571" spans="1:28" ht="14.4">
      <c r="A571" s="4">
        <f>=H571/G571-1</f>
        <v>0.100917431192661</v>
      </c>
      <c r="B571" s="20">
        <f>=F571/12</f>
        <v>9</v>
      </c>
      <c r="C571" s="20">
        <f>=J571/3</f>
        <v>72</v>
      </c>
      <c r="D571" s="20">
        <f>=K571/3</f>
        <v>80</v>
      </c>
      <c r="E571" s="20">
        <f>=L571/3</f>
        <v>84</v>
      </c>
      <c r="F571" s="20">
        <f>=H571*0.9</f>
        <v>108</v>
      </c>
      <c r="G571" s="21">
        <v>109</v>
      </c>
      <c r="H571" s="39">
        <v>120</v>
      </c>
      <c r="I571" s="40">
        <f>=H571*1.05</f>
        <v>126</v>
      </c>
      <c r="J571" s="40">
        <f>=F571*2</f>
        <v>216</v>
      </c>
      <c r="K571" s="40">
        <f>=H571*2</f>
        <v>240</v>
      </c>
      <c r="L571" s="40">
        <f>=I571*2</f>
        <v>252</v>
      </c>
      <c r="M571" s="41" t="s">
        <v>622</v>
      </c>
      <c r="N571" s="41">
        <v>0.11</v>
      </c>
      <c r="O571" s="41" t="s"/>
      <c r="P571" s="41" t="s">
        <v>21</v>
      </c>
      <c r="Q571" s="41" t="s">
        <v>21</v>
      </c>
      <c r="R571" s="41" t="s">
        <v>16</v>
      </c>
      <c r="S571" s="41" t="s">
        <v>17</v>
      </c>
      <c r="T571" s="41" t="s">
        <v>27</v>
      </c>
      <c r="U571" s="16" t="s">
        <v>13</v>
      </c>
      <c r="V571" s="16" t="s">
        <v>19</v>
      </c>
      <c r="W571" s="19" t="s"/>
      <c r="X571" s="26" t="s">
        <f>=M571&amp;N571&amp;P571&amp;Q571&amp;T571&amp;V571&amp;S571</f>
        <v>651</v>
      </c>
      <c r="Y571" s="19" t="s"/>
      <c r="Z571" s="19" t="s"/>
      <c r="AA571" s="19" t="s"/>
      <c r="AB571" s="19" t="s"/>
    </row>
    <row r="572" spans="1:28" ht="14.4">
      <c r="A572" s="4">
        <f>=H572/G572-1</f>
        <v>0.0994764397905759</v>
      </c>
      <c r="B572" s="20">
        <f>=F572/12</f>
        <v>31.5</v>
      </c>
      <c r="C572" s="20">
        <f>=J572/3</f>
        <v>252</v>
      </c>
      <c r="D572" s="20">
        <f>=K572/3</f>
        <v>280</v>
      </c>
      <c r="E572" s="20">
        <f>=L572/3</f>
        <v>294</v>
      </c>
      <c r="F572" s="20">
        <f>=H572*0.9</f>
        <v>378</v>
      </c>
      <c r="G572" s="21">
        <v>382</v>
      </c>
      <c r="H572" s="39">
        <v>420</v>
      </c>
      <c r="I572" s="40">
        <f>=H572*1.05</f>
        <v>441</v>
      </c>
      <c r="J572" s="40">
        <f>=F572*2</f>
        <v>756</v>
      </c>
      <c r="K572" s="40">
        <f>=H572*2</f>
        <v>840</v>
      </c>
      <c r="L572" s="40">
        <f>=I572*2</f>
        <v>882</v>
      </c>
      <c r="M572" s="41" t="s">
        <v>622</v>
      </c>
      <c r="N572" s="41">
        <v>0.12</v>
      </c>
      <c r="O572" s="41" t="s"/>
      <c r="P572" s="41">
        <v>3</v>
      </c>
      <c r="Q572" s="41">
        <v>3</v>
      </c>
      <c r="R572" s="41" t="s">
        <v>16</v>
      </c>
      <c r="S572" s="41" t="s">
        <v>17</v>
      </c>
      <c r="T572" s="41" t="s">
        <v>27</v>
      </c>
      <c r="U572" s="16" t="s">
        <v>13</v>
      </c>
      <c r="V572" s="16" t="s">
        <v>19</v>
      </c>
      <c r="W572" s="19" t="s"/>
      <c r="X572" s="26" t="s">
        <f>=M572&amp;N572&amp;P572&amp;Q572&amp;T572&amp;V572&amp;S572</f>
        <v>652</v>
      </c>
      <c r="Y572" s="19" t="s"/>
      <c r="Z572" s="19" t="s"/>
      <c r="AA572" s="19" t="s"/>
      <c r="AB572" s="19" t="s"/>
    </row>
    <row r="573" spans="1:28" ht="14.4">
      <c r="A573" s="4">
        <f>=H573/G573-1</f>
        <v>0.100156494522692</v>
      </c>
      <c r="B573" s="20">
        <f>=F573/12</f>
        <v>52.725</v>
      </c>
      <c r="C573" s="20">
        <f>=J573/3</f>
        <v>421.8</v>
      </c>
      <c r="D573" s="20">
        <f>=K573/3</f>
        <v>468.666666666667</v>
      </c>
      <c r="E573" s="20">
        <f>=L573/3</f>
        <v>492.1</v>
      </c>
      <c r="F573" s="20">
        <f>=H573*0.9</f>
        <v>632.7</v>
      </c>
      <c r="G573" s="21">
        <v>639</v>
      </c>
      <c r="H573" s="39">
        <v>703</v>
      </c>
      <c r="I573" s="40">
        <f>=H573*1.05</f>
        <v>738.15</v>
      </c>
      <c r="J573" s="40">
        <f>=F573*2</f>
        <v>1265.4</v>
      </c>
      <c r="K573" s="40">
        <f>=H573*2</f>
        <v>1406</v>
      </c>
      <c r="L573" s="40">
        <f>=I573*2</f>
        <v>1476.3</v>
      </c>
      <c r="M573" s="41" t="s">
        <v>622</v>
      </c>
      <c r="N573" s="41">
        <v>0.12</v>
      </c>
      <c r="O573" s="41" t="s"/>
      <c r="P573" s="41">
        <v>4</v>
      </c>
      <c r="Q573" s="41">
        <v>4</v>
      </c>
      <c r="R573" s="41" t="s">
        <v>16</v>
      </c>
      <c r="S573" s="41" t="s">
        <v>17</v>
      </c>
      <c r="T573" s="41" t="s">
        <v>27</v>
      </c>
      <c r="U573" s="16" t="s">
        <v>13</v>
      </c>
      <c r="V573" s="16" t="s">
        <v>19</v>
      </c>
      <c r="W573" s="19" t="s"/>
      <c r="X573" s="26" t="s">
        <f>=M573&amp;N573&amp;P573&amp;Q573&amp;T573&amp;V573&amp;S573</f>
        <v>653</v>
      </c>
      <c r="Y573" s="19" t="s"/>
      <c r="Z573" s="19" t="s"/>
      <c r="AA573" s="19" t="s"/>
      <c r="AB573" s="19" t="s"/>
    </row>
    <row r="574" spans="1:28" ht="14.4">
      <c r="A574" s="4">
        <f>=H574/G574-1</f>
        <v>0.0982142857142858</v>
      </c>
      <c r="B574" s="20">
        <f>=F574/12</f>
        <v>9.225</v>
      </c>
      <c r="C574" s="20">
        <f>=J574/3</f>
        <v>73.8</v>
      </c>
      <c r="D574" s="20">
        <f>=K574/3</f>
        <v>82</v>
      </c>
      <c r="E574" s="20">
        <f>=L574/3</f>
        <v>86.1</v>
      </c>
      <c r="F574" s="20">
        <f>=H574*0.9</f>
        <v>110.7</v>
      </c>
      <c r="G574" s="21">
        <v>112</v>
      </c>
      <c r="H574" s="39">
        <v>123</v>
      </c>
      <c r="I574" s="40">
        <f>=H574*1.05</f>
        <v>129.15</v>
      </c>
      <c r="J574" s="40">
        <f>=F574*2</f>
        <v>221.4</v>
      </c>
      <c r="K574" s="40">
        <f>=H574*2</f>
        <v>246</v>
      </c>
      <c r="L574" s="40">
        <f>=I574*2</f>
        <v>258.3</v>
      </c>
      <c r="M574" s="41" t="s">
        <v>622</v>
      </c>
      <c r="N574" s="41">
        <v>0.12</v>
      </c>
      <c r="O574" s="41" t="s"/>
      <c r="P574" s="41" t="s">
        <v>21</v>
      </c>
      <c r="Q574" s="41" t="s">
        <v>21</v>
      </c>
      <c r="R574" s="41" t="s">
        <v>16</v>
      </c>
      <c r="S574" s="41" t="s">
        <v>17</v>
      </c>
      <c r="T574" s="41" t="s">
        <v>654</v>
      </c>
      <c r="U574" s="16" t="s">
        <v>13</v>
      </c>
      <c r="V574" s="16" t="s">
        <v>19</v>
      </c>
      <c r="W574" s="19" t="s"/>
      <c r="X574" s="26" t="s">
        <f>=M574&amp;N574&amp;P574&amp;Q574&amp;T574&amp;V574&amp;S574</f>
        <v>655</v>
      </c>
      <c r="Y574" s="19" t="s"/>
      <c r="Z574" s="19" t="s"/>
      <c r="AA574" s="19" t="s"/>
      <c r="AB574" s="19" t="s"/>
    </row>
    <row r="575" spans="1:28" ht="14.4">
      <c r="A575" s="4">
        <f>=H575/G575-1</f>
        <v>0.0980392156862746</v>
      </c>
      <c r="B575" s="20">
        <f>=F575/12</f>
        <v>8.4</v>
      </c>
      <c r="C575" s="20">
        <f>=J575/3</f>
        <v>67.2</v>
      </c>
      <c r="D575" s="20">
        <f>=K575/3</f>
        <v>74.6666666666667</v>
      </c>
      <c r="E575" s="20">
        <f>=L575/3</f>
        <v>78.4</v>
      </c>
      <c r="F575" s="20">
        <f>=H575*0.9</f>
        <v>100.8</v>
      </c>
      <c r="G575" s="21">
        <v>102</v>
      </c>
      <c r="H575" s="39">
        <v>112</v>
      </c>
      <c r="I575" s="40">
        <f>=H575*1.05</f>
        <v>117.6</v>
      </c>
      <c r="J575" s="40">
        <f>=F575*2</f>
        <v>201.6</v>
      </c>
      <c r="K575" s="40">
        <f>=H575*2</f>
        <v>224</v>
      </c>
      <c r="L575" s="40">
        <f>=I575*2</f>
        <v>235.2</v>
      </c>
      <c r="M575" s="41" t="s">
        <v>622</v>
      </c>
      <c r="N575" s="41">
        <v>0.13</v>
      </c>
      <c r="O575" s="41" t="s"/>
      <c r="P575" s="41">
        <v>1</v>
      </c>
      <c r="Q575" s="41" t="s">
        <v>21</v>
      </c>
      <c r="R575" s="41" t="s">
        <v>16</v>
      </c>
      <c r="S575" s="41" t="s">
        <v>17</v>
      </c>
      <c r="T575" s="41" t="s">
        <v>23</v>
      </c>
      <c r="U575" s="16" t="s">
        <v>13</v>
      </c>
      <c r="V575" s="16" t="s">
        <v>19</v>
      </c>
      <c r="W575" s="19" t="s"/>
      <c r="X575" s="26" t="s">
        <f>=M575&amp;N575&amp;P575&amp;Q575&amp;T575&amp;V575&amp;S575</f>
        <v>656</v>
      </c>
      <c r="Y575" s="19" t="s"/>
      <c r="Z575" s="19" t="s"/>
      <c r="AA575" s="19" t="s"/>
      <c r="AB575" s="19" t="s"/>
    </row>
    <row r="576" spans="1:28" ht="14.4">
      <c r="A576" s="4">
        <f>=H576/G576-1</f>
        <v>0.0964912280701755</v>
      </c>
      <c r="B576" s="20">
        <f>=F576/12</f>
        <v>9.375</v>
      </c>
      <c r="C576" s="20">
        <f>=J576/3</f>
        <v>75</v>
      </c>
      <c r="D576" s="20">
        <f>=K576/3</f>
        <v>83.3333333333333</v>
      </c>
      <c r="E576" s="20">
        <f>=L576/3</f>
        <v>87.5</v>
      </c>
      <c r="F576" s="20">
        <f>=H576*0.9</f>
        <v>112.5</v>
      </c>
      <c r="G576" s="21">
        <v>114</v>
      </c>
      <c r="H576" s="39">
        <v>125</v>
      </c>
      <c r="I576" s="40">
        <f>=H576*1.05</f>
        <v>131.25</v>
      </c>
      <c r="J576" s="40">
        <f>=F576*2</f>
        <v>225</v>
      </c>
      <c r="K576" s="40">
        <f>=H576*2</f>
        <v>250</v>
      </c>
      <c r="L576" s="40">
        <f>=I576*2</f>
        <v>262.5</v>
      </c>
      <c r="M576" s="41" t="s">
        <v>622</v>
      </c>
      <c r="N576" s="41">
        <v>0.13</v>
      </c>
      <c r="O576" s="41" t="s"/>
      <c r="P576" s="41">
        <v>1</v>
      </c>
      <c r="Q576" s="41">
        <v>1</v>
      </c>
      <c r="R576" s="41" t="s">
        <v>16</v>
      </c>
      <c r="S576" s="41" t="s">
        <v>17</v>
      </c>
      <c r="T576" s="41" t="s">
        <v>23</v>
      </c>
      <c r="U576" s="16" t="s">
        <v>13</v>
      </c>
      <c r="V576" s="16" t="s">
        <v>19</v>
      </c>
      <c r="W576" s="19" t="s"/>
      <c r="X576" s="26" t="s">
        <f>=M576&amp;N576&amp;P576&amp;Q576&amp;T576&amp;V576&amp;S576</f>
        <v>657</v>
      </c>
      <c r="Y576" s="19" t="s"/>
      <c r="Z576" s="19" t="s"/>
      <c r="AA576" s="19" t="s"/>
      <c r="AB576" s="19" t="s"/>
    </row>
    <row r="577" spans="1:28" ht="14.4">
      <c r="A577" s="4">
        <f>=H577/G577-1</f>
        <v>0.101604278074866</v>
      </c>
      <c r="B577" s="20">
        <f>=F577/12</f>
        <v>15.45</v>
      </c>
      <c r="C577" s="20">
        <f>=J577/3</f>
        <v>123.6</v>
      </c>
      <c r="D577" s="20">
        <f>=K577/3</f>
        <v>137.333333333333</v>
      </c>
      <c r="E577" s="20">
        <f>=L577/3</f>
        <v>144.2</v>
      </c>
      <c r="F577" s="20">
        <f>=H577*0.9</f>
        <v>185.4</v>
      </c>
      <c r="G577" s="21">
        <v>187</v>
      </c>
      <c r="H577" s="39">
        <v>206</v>
      </c>
      <c r="I577" s="40">
        <f>=H577*1.05</f>
        <v>216.3</v>
      </c>
      <c r="J577" s="40">
        <f>=F577*2</f>
        <v>370.8</v>
      </c>
      <c r="K577" s="40">
        <f>=H577*2</f>
        <v>412</v>
      </c>
      <c r="L577" s="40">
        <f>=I577*2</f>
        <v>432.6</v>
      </c>
      <c r="M577" s="41" t="s">
        <v>622</v>
      </c>
      <c r="N577" s="41">
        <v>0.13</v>
      </c>
      <c r="O577" s="41" t="s"/>
      <c r="P577" s="41">
        <v>1</v>
      </c>
      <c r="Q577" s="41">
        <v>2</v>
      </c>
      <c r="R577" s="41" t="s">
        <v>16</v>
      </c>
      <c r="S577" s="41" t="s">
        <v>17</v>
      </c>
      <c r="T577" s="41" t="s">
        <v>27</v>
      </c>
      <c r="U577" s="16" t="s">
        <v>13</v>
      </c>
      <c r="V577" s="16" t="s">
        <v>19</v>
      </c>
      <c r="W577" s="19" t="s"/>
      <c r="X577" s="26" t="s">
        <f>=M577&amp;N577&amp;P577&amp;Q577&amp;T577&amp;V577&amp;S577</f>
        <v>658</v>
      </c>
      <c r="Y577" s="19" t="s"/>
      <c r="Z577" s="19" t="s"/>
      <c r="AA577" s="19" t="s"/>
      <c r="AB577" s="19" t="s"/>
    </row>
    <row r="578" spans="1:28" ht="14.4">
      <c r="A578" s="4">
        <f>=H578/G578-1</f>
        <v>0.100858369098712</v>
      </c>
      <c r="B578" s="20">
        <f>=F578/12</f>
        <v>38.475</v>
      </c>
      <c r="C578" s="20">
        <f>=J578/3</f>
        <v>307.8</v>
      </c>
      <c r="D578" s="20">
        <f>=K578/3</f>
        <v>342</v>
      </c>
      <c r="E578" s="20">
        <f>=L578/3</f>
        <v>359.1</v>
      </c>
      <c r="F578" s="20">
        <f>=H578*0.9</f>
        <v>461.7</v>
      </c>
      <c r="G578" s="21">
        <v>466</v>
      </c>
      <c r="H578" s="39">
        <v>513</v>
      </c>
      <c r="I578" s="40">
        <f>=H578*1.05</f>
        <v>538.65</v>
      </c>
      <c r="J578" s="40">
        <f>=F578*2</f>
        <v>923.4</v>
      </c>
      <c r="K578" s="40">
        <f>=H578*2</f>
        <v>1026</v>
      </c>
      <c r="L578" s="40">
        <f>=I578*2</f>
        <v>1077.3</v>
      </c>
      <c r="M578" s="73" t="s">
        <v>622</v>
      </c>
      <c r="N578" s="73">
        <v>0.11</v>
      </c>
      <c r="O578" s="73" t="s"/>
      <c r="P578" s="73">
        <v>3</v>
      </c>
      <c r="Q578" s="73">
        <v>3</v>
      </c>
      <c r="R578" s="73" t="s">
        <v>16</v>
      </c>
      <c r="S578" s="73" t="s">
        <v>17</v>
      </c>
      <c r="T578" s="73" t="s">
        <v>27</v>
      </c>
      <c r="U578" s="74" t="s">
        <v>13</v>
      </c>
      <c r="V578" s="74" t="s">
        <v>215</v>
      </c>
      <c r="W578" s="19" t="s"/>
      <c r="X578" s="26" t="s">
        <f>=M578&amp;N578&amp;P578&amp;Q578&amp;T578&amp;V578&amp;S578</f>
        <v>659</v>
      </c>
      <c r="Y578" s="19" t="s"/>
      <c r="Z578" s="19" t="s"/>
      <c r="AA578" s="19" t="s"/>
      <c r="AB578" s="19" t="s"/>
    </row>
    <row r="579" spans="1:28" ht="14.4">
      <c r="A579" s="4">
        <f>=H579/G579-1</f>
        <v>0.100253807106599</v>
      </c>
      <c r="B579" s="20">
        <f>=F579/12</f>
        <v>65.025</v>
      </c>
      <c r="C579" s="20">
        <f>=J579/3</f>
        <v>520.2</v>
      </c>
      <c r="D579" s="20">
        <f>=K579/3</f>
        <v>578</v>
      </c>
      <c r="E579" s="20">
        <f>=L579/3</f>
        <v>606.9</v>
      </c>
      <c r="F579" s="20">
        <f>=H579*0.9</f>
        <v>780.3</v>
      </c>
      <c r="G579" s="21">
        <v>788</v>
      </c>
      <c r="H579" s="39">
        <v>867</v>
      </c>
      <c r="I579" s="40">
        <f>=H579*1.05</f>
        <v>910.35</v>
      </c>
      <c r="J579" s="40">
        <f>=F579*2</f>
        <v>1560.6</v>
      </c>
      <c r="K579" s="40">
        <f>=H579*2</f>
        <v>1734</v>
      </c>
      <c r="L579" s="40">
        <f>=I579*2</f>
        <v>1820.7</v>
      </c>
      <c r="M579" s="73" t="s">
        <v>622</v>
      </c>
      <c r="N579" s="73">
        <v>0.15</v>
      </c>
      <c r="O579" s="73" t="s"/>
      <c r="P579" s="73">
        <v>5</v>
      </c>
      <c r="Q579" s="73">
        <v>5</v>
      </c>
      <c r="R579" s="73" t="s">
        <v>16</v>
      </c>
      <c r="S579" s="73" t="s">
        <v>17</v>
      </c>
      <c r="T579" s="73" t="s">
        <v>43</v>
      </c>
      <c r="U579" s="74" t="s">
        <v>13</v>
      </c>
      <c r="V579" s="74" t="s">
        <v>19</v>
      </c>
      <c r="W579" s="19" t="s"/>
      <c r="X579" s="26" t="s">
        <f>=M579&amp;N579&amp;P579&amp;Q579&amp;T579&amp;V579&amp;S579</f>
        <v>660</v>
      </c>
      <c r="Y579" s="19" t="s"/>
      <c r="Z579" s="19" t="s"/>
      <c r="AA579" s="19" t="s"/>
      <c r="AB579" s="19" t="s"/>
    </row>
    <row r="580" spans="1:28" ht="14.4">
      <c r="A580" s="4">
        <f>=H580/G580-1</f>
        <v>0.0997536945812807</v>
      </c>
      <c r="B580" s="20">
        <f>=F580/12</f>
        <v>66.975</v>
      </c>
      <c r="C580" s="20">
        <f>=J580/3</f>
        <v>535.8</v>
      </c>
      <c r="D580" s="20">
        <f>=K580/3</f>
        <v>595.333333333334</v>
      </c>
      <c r="E580" s="20">
        <f>=L580/3</f>
        <v>625.1</v>
      </c>
      <c r="F580" s="20">
        <f>=H580*0.9</f>
        <v>803.7</v>
      </c>
      <c r="G580" s="21">
        <v>812</v>
      </c>
      <c r="H580" s="39">
        <v>893</v>
      </c>
      <c r="I580" s="40">
        <f>=H580*1.05</f>
        <v>937.65</v>
      </c>
      <c r="J580" s="40">
        <f>=F580*2</f>
        <v>1607.4</v>
      </c>
      <c r="K580" s="40">
        <f>=H580*2</f>
        <v>1786</v>
      </c>
      <c r="L580" s="40">
        <f>=I580*2</f>
        <v>1875.3</v>
      </c>
      <c r="M580" s="73" t="s">
        <v>622</v>
      </c>
      <c r="N580" s="73">
        <v>0.15</v>
      </c>
      <c r="O580" s="73" t="s"/>
      <c r="P580" s="73">
        <v>5</v>
      </c>
      <c r="Q580" s="73">
        <v>5</v>
      </c>
      <c r="R580" s="73" t="s">
        <v>16</v>
      </c>
      <c r="S580" s="73" t="s">
        <v>17</v>
      </c>
      <c r="T580" s="73" t="s">
        <v>43</v>
      </c>
      <c r="U580" s="74" t="s">
        <v>13</v>
      </c>
      <c r="V580" s="74" t="s">
        <v>215</v>
      </c>
      <c r="W580" s="19" t="s"/>
      <c r="X580" s="26" t="s">
        <f>=M580&amp;N580&amp;P580&amp;Q580&amp;T580&amp;V580&amp;S580</f>
        <v>661</v>
      </c>
      <c r="Y580" s="19" t="s"/>
      <c r="Z580" s="19" t="s"/>
      <c r="AA580" s="19" t="s"/>
      <c r="AB580" s="19" t="s"/>
    </row>
    <row r="581" spans="1:28" ht="14.4">
      <c r="A581" s="4">
        <f>=H581/G581-1</f>
        <v>0.0988372093023256</v>
      </c>
      <c r="B581" s="20">
        <f>=F581/12</f>
        <v>14.175</v>
      </c>
      <c r="C581" s="20">
        <f>=J581/3</f>
        <v>113.4</v>
      </c>
      <c r="D581" s="20">
        <f>=K581/3</f>
        <v>126</v>
      </c>
      <c r="E581" s="20">
        <f>=L581/3</f>
        <v>132.3</v>
      </c>
      <c r="F581" s="20">
        <f>=H581*0.9</f>
        <v>170.1</v>
      </c>
      <c r="G581" s="21">
        <v>172</v>
      </c>
      <c r="H581" s="39">
        <v>189</v>
      </c>
      <c r="I581" s="40">
        <f>=H581*1.05</f>
        <v>198.45</v>
      </c>
      <c r="J581" s="40">
        <f>=F581*2</f>
        <v>340.2</v>
      </c>
      <c r="K581" s="40">
        <f>=H581*2</f>
        <v>378</v>
      </c>
      <c r="L581" s="40">
        <f>=I581*2</f>
        <v>396.9</v>
      </c>
      <c r="M581" s="73" t="s">
        <v>622</v>
      </c>
      <c r="N581" s="73">
        <v>0.15</v>
      </c>
      <c r="O581" s="73" t="s"/>
      <c r="P581" s="73">
        <v>1</v>
      </c>
      <c r="Q581" s="73">
        <v>1</v>
      </c>
      <c r="R581" s="73" t="s">
        <v>16</v>
      </c>
      <c r="S581" s="73" t="s">
        <v>17</v>
      </c>
      <c r="T581" s="73" t="s">
        <v>43</v>
      </c>
      <c r="U581" s="74" t="s">
        <v>13</v>
      </c>
      <c r="V581" s="74" t="s">
        <v>215</v>
      </c>
      <c r="W581" s="19" t="s"/>
      <c r="X581" s="26" t="s">
        <f>=M581&amp;N581&amp;P581&amp;Q581&amp;T581&amp;V581&amp;S581</f>
        <v>662</v>
      </c>
      <c r="Y581" s="19" t="s"/>
      <c r="Z581" s="19" t="s"/>
      <c r="AA581" s="19" t="s"/>
      <c r="AB581" s="19" t="s"/>
    </row>
    <row r="582" spans="1:28" ht="14.4">
      <c r="A582" s="4">
        <f>=H582/G582-1</f>
        <v>0.0984251968503938</v>
      </c>
      <c r="B582" s="20">
        <f>=F582/12</f>
        <v>20.925</v>
      </c>
      <c r="C582" s="20">
        <f>=J582/3</f>
        <v>167.4</v>
      </c>
      <c r="D582" s="20">
        <f>=K582/3</f>
        <v>186</v>
      </c>
      <c r="E582" s="20">
        <f>=L582/3</f>
        <v>195.3</v>
      </c>
      <c r="F582" s="20">
        <f>=H582*0.9</f>
        <v>251.1</v>
      </c>
      <c r="G582" s="21">
        <v>254</v>
      </c>
      <c r="H582" s="39">
        <v>279</v>
      </c>
      <c r="I582" s="40">
        <f>=H582*1.05</f>
        <v>292.95</v>
      </c>
      <c r="J582" s="40">
        <f>=F582*2</f>
        <v>502.2</v>
      </c>
      <c r="K582" s="40">
        <f>=H582*2</f>
        <v>558</v>
      </c>
      <c r="L582" s="40">
        <f>=I582*2</f>
        <v>585.9</v>
      </c>
      <c r="M582" s="73" t="s">
        <v>622</v>
      </c>
      <c r="N582" s="73">
        <v>0.15</v>
      </c>
      <c r="O582" s="73" t="s"/>
      <c r="P582" s="73">
        <v>1</v>
      </c>
      <c r="Q582" s="73">
        <v>2</v>
      </c>
      <c r="R582" s="73" t="s">
        <v>16</v>
      </c>
      <c r="S582" s="73" t="s">
        <v>17</v>
      </c>
      <c r="T582" s="73" t="s">
        <v>43</v>
      </c>
      <c r="U582" s="74" t="s">
        <v>13</v>
      </c>
      <c r="V582" s="74" t="s">
        <v>215</v>
      </c>
      <c r="W582" s="19" t="s"/>
      <c r="X582" s="26" t="s">
        <f>=M582&amp;N582&amp;P582&amp;Q582&amp;T582&amp;V582&amp;S582</f>
        <v>663</v>
      </c>
      <c r="Y582" s="19" t="s"/>
      <c r="Z582" s="19" t="s"/>
      <c r="AA582" s="19" t="s"/>
      <c r="AB582" s="19" t="s"/>
    </row>
    <row r="583" spans="1:28" ht="14.4">
      <c r="A583" s="4">
        <f>=H583/G583-1</f>
        <v>0.0992063492063493</v>
      </c>
      <c r="B583" s="20">
        <f>=F583/12</f>
        <v>20.775</v>
      </c>
      <c r="C583" s="20">
        <f>=J583/3</f>
        <v>166.2</v>
      </c>
      <c r="D583" s="20">
        <f>=K583/3</f>
        <v>184.666666666667</v>
      </c>
      <c r="E583" s="20">
        <f>=L583/3</f>
        <v>193.9</v>
      </c>
      <c r="F583" s="20">
        <f>=H583*0.9</f>
        <v>249.3</v>
      </c>
      <c r="G583" s="21">
        <v>252</v>
      </c>
      <c r="H583" s="39">
        <v>277</v>
      </c>
      <c r="I583" s="40">
        <f>=H583*1.05</f>
        <v>290.85</v>
      </c>
      <c r="J583" s="40">
        <f>=F583*2</f>
        <v>498.6</v>
      </c>
      <c r="K583" s="40">
        <f>=H583*2</f>
        <v>554</v>
      </c>
      <c r="L583" s="40">
        <f>=I583*2</f>
        <v>581.7</v>
      </c>
      <c r="M583" s="73" t="s">
        <v>622</v>
      </c>
      <c r="N583" s="73">
        <v>0.53</v>
      </c>
      <c r="O583" s="73" t="s"/>
      <c r="P583" s="73">
        <v>2</v>
      </c>
      <c r="Q583" s="73">
        <v>2</v>
      </c>
      <c r="R583" s="73" t="s">
        <v>16</v>
      </c>
      <c r="S583" s="73" t="s">
        <v>17</v>
      </c>
      <c r="T583" s="73" t="s">
        <v>110</v>
      </c>
      <c r="U583" s="74" t="s">
        <v>13</v>
      </c>
      <c r="V583" s="74" t="s">
        <v>19</v>
      </c>
      <c r="W583" s="19" t="s"/>
      <c r="X583" s="26" t="s">
        <f>=M583&amp;N583&amp;P583&amp;Q583&amp;T583&amp;V583&amp;S583</f>
        <v>664</v>
      </c>
      <c r="Y583" s="19" t="s"/>
      <c r="Z583" s="19" t="s"/>
      <c r="AA583" s="19" t="s"/>
      <c r="AB583" s="19" t="s"/>
    </row>
    <row r="584" spans="1:28" ht="14.4">
      <c r="A584" s="4">
        <f>=H584/G584-1</f>
        <v>0.101123595505618</v>
      </c>
      <c r="B584" s="20">
        <f>=F584/12</f>
        <v>29.4</v>
      </c>
      <c r="C584" s="20">
        <f>=J584/3</f>
        <v>235.2</v>
      </c>
      <c r="D584" s="20">
        <f>=K584/3</f>
        <v>261.333333333333</v>
      </c>
      <c r="E584" s="20">
        <f>=L584/3</f>
        <v>274.4</v>
      </c>
      <c r="F584" s="20">
        <f>=H584*0.9</f>
        <v>352.8</v>
      </c>
      <c r="G584" s="21">
        <v>356</v>
      </c>
      <c r="H584" s="39">
        <v>392</v>
      </c>
      <c r="I584" s="40">
        <f>=H584*1.05</f>
        <v>411.6</v>
      </c>
      <c r="J584" s="40">
        <f>=F584*2</f>
        <v>705.6</v>
      </c>
      <c r="K584" s="40">
        <f>=H584*2</f>
        <v>784</v>
      </c>
      <c r="L584" s="40">
        <f>=I584*2</f>
        <v>823.2</v>
      </c>
      <c r="M584" s="73" t="s">
        <v>622</v>
      </c>
      <c r="N584" s="73">
        <v>1.3</v>
      </c>
      <c r="O584" s="73" t="s"/>
      <c r="P584" s="73">
        <v>2</v>
      </c>
      <c r="Q584" s="73">
        <v>2</v>
      </c>
      <c r="R584" s="73" t="s">
        <v>16</v>
      </c>
      <c r="S584" s="73" t="s">
        <v>137</v>
      </c>
      <c r="T584" s="73" t="s">
        <v>153</v>
      </c>
      <c r="U584" s="74" t="s">
        <v>13</v>
      </c>
      <c r="V584" s="74" t="s">
        <v>19</v>
      </c>
      <c r="W584" s="19" t="s"/>
      <c r="X584" s="26" t="s">
        <f>=M584&amp;N584&amp;P584&amp;Q584&amp;T584&amp;V584&amp;S584</f>
        <v>665</v>
      </c>
      <c r="Y584" s="19" t="s"/>
      <c r="Z584" s="19" t="s"/>
      <c r="AA584" s="19" t="s"/>
      <c r="AB584" s="19" t="s"/>
    </row>
    <row r="585" spans="1:28" ht="14.4">
      <c r="A585" s="4">
        <f>=H585/G585-1</f>
        <v>0.100877192982456</v>
      </c>
      <c r="B585" s="20">
        <f>=F585/12</f>
        <v>18.825</v>
      </c>
      <c r="C585" s="20">
        <f>=J585/3</f>
        <v>150.6</v>
      </c>
      <c r="D585" s="20">
        <f>=K585/3</f>
        <v>167.333333333333</v>
      </c>
      <c r="E585" s="20">
        <f>=L585/3</f>
        <v>175.7</v>
      </c>
      <c r="F585" s="20">
        <f>=H585*0.9</f>
        <v>225.9</v>
      </c>
      <c r="G585" s="21">
        <v>228</v>
      </c>
      <c r="H585" s="39">
        <v>251</v>
      </c>
      <c r="I585" s="40">
        <f>=H585*1.05</f>
        <v>263.55</v>
      </c>
      <c r="J585" s="40">
        <f>=F585*2</f>
        <v>451.8</v>
      </c>
      <c r="K585" s="40">
        <f>=H585*2</f>
        <v>502</v>
      </c>
      <c r="L585" s="40">
        <f>=I585*2</f>
        <v>527.1</v>
      </c>
      <c r="M585" s="41" t="s">
        <v>622</v>
      </c>
      <c r="N585" s="41">
        <v>0.13</v>
      </c>
      <c r="O585" s="41" t="s"/>
      <c r="P585" s="41">
        <v>2</v>
      </c>
      <c r="Q585" s="41">
        <v>2</v>
      </c>
      <c r="R585" s="41" t="s">
        <v>16</v>
      </c>
      <c r="S585" s="41" t="s">
        <v>17</v>
      </c>
      <c r="T585" s="41" t="s">
        <v>27</v>
      </c>
      <c r="U585" s="16" t="s">
        <v>13</v>
      </c>
      <c r="V585" s="16" t="s">
        <v>19</v>
      </c>
      <c r="W585" s="19" t="s"/>
      <c r="X585" s="26" t="s">
        <f>=M585&amp;N585&amp;P585&amp;Q585&amp;T585&amp;V585&amp;S585</f>
        <v>666</v>
      </c>
      <c r="Y585" s="19" t="s"/>
      <c r="Z585" s="19" t="s"/>
      <c r="AA585" s="19" t="s"/>
      <c r="AB585" s="19" t="s"/>
    </row>
    <row r="586" spans="1:28" ht="14.4">
      <c r="A586" s="4">
        <f>=H586/G586-1</f>
        <v>0.0994764397905759</v>
      </c>
      <c r="B586" s="20">
        <f>=F586/12</f>
        <v>31.5</v>
      </c>
      <c r="C586" s="20">
        <f>=J586/3</f>
        <v>252</v>
      </c>
      <c r="D586" s="20">
        <f>=K586/3</f>
        <v>280</v>
      </c>
      <c r="E586" s="20">
        <f>=L586/3</f>
        <v>294</v>
      </c>
      <c r="F586" s="20">
        <f>=H586*0.9</f>
        <v>378</v>
      </c>
      <c r="G586" s="21">
        <v>382</v>
      </c>
      <c r="H586" s="39">
        <v>420</v>
      </c>
      <c r="I586" s="40">
        <f>=H586*1.05</f>
        <v>441</v>
      </c>
      <c r="J586" s="40">
        <f>=F586*2</f>
        <v>756</v>
      </c>
      <c r="K586" s="40">
        <f>=H586*2</f>
        <v>840</v>
      </c>
      <c r="L586" s="40">
        <f>=I586*2</f>
        <v>882</v>
      </c>
      <c r="M586" s="41" t="s">
        <v>622</v>
      </c>
      <c r="N586" s="41">
        <v>0.13</v>
      </c>
      <c r="O586" s="41" t="s"/>
      <c r="P586" s="41">
        <v>3</v>
      </c>
      <c r="Q586" s="41">
        <v>3</v>
      </c>
      <c r="R586" s="41" t="s">
        <v>16</v>
      </c>
      <c r="S586" s="41" t="s">
        <v>17</v>
      </c>
      <c r="T586" s="41" t="s">
        <v>27</v>
      </c>
      <c r="U586" s="16" t="s">
        <v>13</v>
      </c>
      <c r="V586" s="16" t="s">
        <v>19</v>
      </c>
      <c r="W586" s="19" t="s"/>
      <c r="X586" s="26" t="s">
        <f>=M586&amp;N586&amp;P586&amp;Q586&amp;T586&amp;V586&amp;S586</f>
        <v>667</v>
      </c>
      <c r="Y586" s="19" t="s"/>
      <c r="Z586" s="19" t="s"/>
      <c r="AA586" s="19" t="s"/>
      <c r="AB586" s="19" t="s"/>
    </row>
    <row r="587" spans="1:28" ht="14.4">
      <c r="A587" s="4">
        <f>=H587/G587-1</f>
        <v>0.100156494522692</v>
      </c>
      <c r="B587" s="20">
        <f>=F587/12</f>
        <v>52.725</v>
      </c>
      <c r="C587" s="20">
        <f>=J587/3</f>
        <v>421.8</v>
      </c>
      <c r="D587" s="20">
        <f>=K587/3</f>
        <v>468.666666666667</v>
      </c>
      <c r="E587" s="20">
        <f>=L587/3</f>
        <v>492.1</v>
      </c>
      <c r="F587" s="20">
        <f>=H587*0.9</f>
        <v>632.7</v>
      </c>
      <c r="G587" s="21">
        <v>639</v>
      </c>
      <c r="H587" s="39">
        <v>703</v>
      </c>
      <c r="I587" s="40">
        <f>=H587*1.05</f>
        <v>738.15</v>
      </c>
      <c r="J587" s="40">
        <f>=F587*2</f>
        <v>1265.4</v>
      </c>
      <c r="K587" s="40">
        <f>=H587*2</f>
        <v>1406</v>
      </c>
      <c r="L587" s="40">
        <f>=I587*2</f>
        <v>1476.3</v>
      </c>
      <c r="M587" s="41" t="s">
        <v>622</v>
      </c>
      <c r="N587" s="41">
        <v>0.13</v>
      </c>
      <c r="O587" s="41" t="s"/>
      <c r="P587" s="41">
        <v>4</v>
      </c>
      <c r="Q587" s="41">
        <v>4</v>
      </c>
      <c r="R587" s="41" t="s">
        <v>16</v>
      </c>
      <c r="S587" s="41" t="s">
        <v>17</v>
      </c>
      <c r="T587" s="41" t="s">
        <v>27</v>
      </c>
      <c r="U587" s="16" t="s">
        <v>13</v>
      </c>
      <c r="V587" s="16" t="s">
        <v>19</v>
      </c>
      <c r="W587" s="19" t="s"/>
      <c r="X587" s="26" t="s">
        <f>=M587&amp;N587&amp;P587&amp;Q587&amp;T587&amp;V587&amp;S587</f>
        <v>668</v>
      </c>
      <c r="Y587" s="19" t="s"/>
      <c r="Z587" s="19" t="s"/>
      <c r="AA587" s="19" t="s"/>
      <c r="AB587" s="19" t="s"/>
    </row>
    <row r="588" spans="1:28" ht="14.4">
      <c r="A588" s="4">
        <f>=H588/G588-1</f>
        <v>0.105882352941177</v>
      </c>
      <c r="B588" s="20">
        <f>=F588/12</f>
        <v>7.05</v>
      </c>
      <c r="C588" s="20">
        <f>=J588/3</f>
        <v>56.4</v>
      </c>
      <c r="D588" s="20">
        <f>=K588/3</f>
        <v>62.6666666666667</v>
      </c>
      <c r="E588" s="20">
        <f>=L588/3</f>
        <v>65.8</v>
      </c>
      <c r="F588" s="20">
        <f>=H588*0.9</f>
        <v>84.6</v>
      </c>
      <c r="G588" s="21">
        <v>85</v>
      </c>
      <c r="H588" s="39">
        <v>94</v>
      </c>
      <c r="I588" s="40">
        <f>=H588*1.05</f>
        <v>98.7</v>
      </c>
      <c r="J588" s="40">
        <f>=F588*2</f>
        <v>169.2</v>
      </c>
      <c r="K588" s="40">
        <f>=H588*2</f>
        <v>188</v>
      </c>
      <c r="L588" s="40">
        <f>=I588*2</f>
        <v>197.4</v>
      </c>
      <c r="M588" s="41" t="s">
        <v>622</v>
      </c>
      <c r="N588" s="41">
        <v>0.13</v>
      </c>
      <c r="O588" s="41" t="s"/>
      <c r="P588" s="41" t="s">
        <v>21</v>
      </c>
      <c r="Q588" s="41" t="s">
        <v>21</v>
      </c>
      <c r="R588" s="41" t="s">
        <v>16</v>
      </c>
      <c r="S588" s="41" t="s">
        <v>17</v>
      </c>
      <c r="T588" s="41" t="s">
        <v>23</v>
      </c>
      <c r="U588" s="16" t="s">
        <v>13</v>
      </c>
      <c r="V588" s="16" t="s">
        <v>19</v>
      </c>
      <c r="W588" s="19" t="s"/>
      <c r="X588" s="26" t="s">
        <f>=M588&amp;N588&amp;P588&amp;Q588&amp;T588&amp;V588&amp;S588</f>
        <v>669</v>
      </c>
      <c r="Y588" s="19" t="s"/>
      <c r="Z588" s="19" t="s"/>
      <c r="AA588" s="19" t="s"/>
      <c r="AB588" s="19" t="s"/>
    </row>
    <row r="589" spans="1:28" ht="14.4">
      <c r="A589" s="4">
        <f>=H589/G589-1</f>
        <v>0.0970873786407767</v>
      </c>
      <c r="B589" s="20">
        <f>=F589/12</f>
        <v>8.475</v>
      </c>
      <c r="C589" s="20">
        <f>=J589/3</f>
        <v>67.8</v>
      </c>
      <c r="D589" s="20">
        <f>=K589/3</f>
        <v>75.3333333333333</v>
      </c>
      <c r="E589" s="20">
        <f>=L589/3</f>
        <v>79.1</v>
      </c>
      <c r="F589" s="20">
        <f>=H589*0.9</f>
        <v>101.7</v>
      </c>
      <c r="G589" s="21">
        <v>103</v>
      </c>
      <c r="H589" s="39">
        <v>113</v>
      </c>
      <c r="I589" s="40">
        <f>=H589*1.05</f>
        <v>118.65</v>
      </c>
      <c r="J589" s="40">
        <f>=F589*2</f>
        <v>203.4</v>
      </c>
      <c r="K589" s="40">
        <f>=H589*2</f>
        <v>226</v>
      </c>
      <c r="L589" s="40">
        <f>=I589*2</f>
        <v>237.3</v>
      </c>
      <c r="M589" s="41" t="s">
        <v>622</v>
      </c>
      <c r="N589" s="41">
        <v>0.13</v>
      </c>
      <c r="O589" s="41" t="s"/>
      <c r="P589" s="41" t="s">
        <v>21</v>
      </c>
      <c r="Q589" s="41" t="s">
        <v>21</v>
      </c>
      <c r="R589" s="41" t="s">
        <v>16</v>
      </c>
      <c r="S589" s="41" t="s">
        <v>17</v>
      </c>
      <c r="T589" s="41" t="s">
        <v>43</v>
      </c>
      <c r="U589" s="16" t="s">
        <v>13</v>
      </c>
      <c r="V589" s="16" t="s">
        <v>19</v>
      </c>
      <c r="W589" s="19" t="s"/>
      <c r="X589" s="26" t="s">
        <f>=M589&amp;N589&amp;P589&amp;Q589&amp;T589&amp;V589&amp;S589</f>
        <v>670</v>
      </c>
      <c r="Y589" s="19" t="s"/>
      <c r="Z589" s="19" t="s"/>
      <c r="AA589" s="19" t="s"/>
      <c r="AB589" s="19" t="s"/>
    </row>
    <row r="590" spans="1:28" ht="14.4">
      <c r="A590" s="4">
        <f>=H590/G590-1</f>
        <v>0.0980392156862746</v>
      </c>
      <c r="B590" s="20">
        <f>=F590/12</f>
        <v>16.8</v>
      </c>
      <c r="C590" s="20">
        <f>=J590/3</f>
        <v>134.4</v>
      </c>
      <c r="D590" s="20">
        <f>=K590/3</f>
        <v>149.333333333333</v>
      </c>
      <c r="E590" s="20">
        <f>=L590/3</f>
        <v>156.8</v>
      </c>
      <c r="F590" s="20">
        <f>=H590*0.9</f>
        <v>201.6</v>
      </c>
      <c r="G590" s="21">
        <v>204</v>
      </c>
      <c r="H590" s="39">
        <v>224</v>
      </c>
      <c r="I590" s="40">
        <f>=H590*1.05</f>
        <v>235.2</v>
      </c>
      <c r="J590" s="40">
        <f>=F590*2</f>
        <v>403.2</v>
      </c>
      <c r="K590" s="40">
        <f>=H590*2</f>
        <v>448</v>
      </c>
      <c r="L590" s="40">
        <f>=I590*2</f>
        <v>470.4</v>
      </c>
      <c r="M590" s="41" t="s">
        <v>622</v>
      </c>
      <c r="N590" s="41">
        <v>0.13</v>
      </c>
      <c r="O590" s="41" t="s"/>
      <c r="P590" s="41" t="s">
        <v>21</v>
      </c>
      <c r="Q590" s="41">
        <v>2</v>
      </c>
      <c r="R590" s="41" t="s">
        <v>16</v>
      </c>
      <c r="S590" s="41" t="s">
        <v>17</v>
      </c>
      <c r="T590" s="41" t="s">
        <v>23</v>
      </c>
      <c r="U590" s="16" t="s">
        <v>13</v>
      </c>
      <c r="V590" s="16" t="s">
        <v>19</v>
      </c>
      <c r="W590" s="19" t="s"/>
      <c r="X590" s="26" t="s">
        <f>=M590&amp;N590&amp;P590&amp;Q590&amp;T590&amp;V590&amp;S590</f>
        <v>671</v>
      </c>
      <c r="Y590" s="19" t="s"/>
      <c r="Z590" s="19" t="s"/>
      <c r="AA590" s="19" t="s"/>
      <c r="AB590" s="19" t="s"/>
    </row>
    <row r="591" spans="1:28" ht="14.4">
      <c r="A591" s="4">
        <f>=H591/G591-1</f>
        <v>0.101010101010101</v>
      </c>
      <c r="B591" s="20">
        <f>=F591/12</f>
        <v>8.175</v>
      </c>
      <c r="C591" s="20">
        <f>=J591/3</f>
        <v>65.4</v>
      </c>
      <c r="D591" s="20">
        <f>=K591/3</f>
        <v>72.6666666666667</v>
      </c>
      <c r="E591" s="20">
        <f>=L591/3</f>
        <v>76.3</v>
      </c>
      <c r="F591" s="20">
        <f>=H591*0.9</f>
        <v>98.1</v>
      </c>
      <c r="G591" s="21">
        <v>99</v>
      </c>
      <c r="H591" s="39">
        <v>109</v>
      </c>
      <c r="I591" s="40">
        <f>=H591*1.05</f>
        <v>114.45</v>
      </c>
      <c r="J591" s="40">
        <f>=F591*2</f>
        <v>196.2</v>
      </c>
      <c r="K591" s="40">
        <f>=H591*2</f>
        <v>218</v>
      </c>
      <c r="L591" s="40">
        <f>=I591*2</f>
        <v>228.9</v>
      </c>
      <c r="M591" s="41" t="s">
        <v>622</v>
      </c>
      <c r="N591" s="41">
        <v>0.14</v>
      </c>
      <c r="O591" s="41" t="s"/>
      <c r="P591" s="41" t="s">
        <v>21</v>
      </c>
      <c r="Q591" s="41" t="s">
        <v>21</v>
      </c>
      <c r="R591" s="41" t="s">
        <v>16</v>
      </c>
      <c r="S591" s="41" t="s">
        <v>17</v>
      </c>
      <c r="T591" s="41" t="s">
        <v>43</v>
      </c>
      <c r="U591" s="16" t="s">
        <v>13</v>
      </c>
      <c r="V591" s="16" t="s">
        <v>19</v>
      </c>
      <c r="W591" s="19" t="s"/>
      <c r="X591" s="26" t="s">
        <f>=M591&amp;N591&amp;P591&amp;Q591&amp;T591&amp;V591&amp;S591</f>
        <v>672</v>
      </c>
      <c r="Y591" s="19" t="s"/>
      <c r="Z591" s="19" t="s"/>
      <c r="AA591" s="19" t="s"/>
      <c r="AB591" s="19" t="s"/>
    </row>
    <row r="592" spans="1:28" ht="14.4">
      <c r="A592" s="4">
        <f>=H592/G592-1</f>
        <v>0.1</v>
      </c>
      <c r="B592" s="20">
        <f>=F592/12</f>
        <v>9.9</v>
      </c>
      <c r="C592" s="20">
        <f>=J592/3</f>
        <v>79.2</v>
      </c>
      <c r="D592" s="20">
        <f>=K592/3</f>
        <v>88</v>
      </c>
      <c r="E592" s="20">
        <f>=L592/3</f>
        <v>92.4</v>
      </c>
      <c r="F592" s="20">
        <f>=H592*0.9</f>
        <v>118.8</v>
      </c>
      <c r="G592" s="21">
        <v>120</v>
      </c>
      <c r="H592" s="39">
        <v>132</v>
      </c>
      <c r="I592" s="40">
        <f>=H592*1.05</f>
        <v>138.6</v>
      </c>
      <c r="J592" s="40">
        <f>=F592*2</f>
        <v>237.6</v>
      </c>
      <c r="K592" s="40">
        <f>=H592*2</f>
        <v>264</v>
      </c>
      <c r="L592" s="40">
        <f>=I592*2</f>
        <v>277.2</v>
      </c>
      <c r="M592" s="41" t="s">
        <v>622</v>
      </c>
      <c r="N592" s="41">
        <v>0.15</v>
      </c>
      <c r="O592" s="41" t="s"/>
      <c r="P592" s="41">
        <v>1</v>
      </c>
      <c r="Q592" s="41">
        <v>1</v>
      </c>
      <c r="R592" s="41" t="s">
        <v>16</v>
      </c>
      <c r="S592" s="41" t="s">
        <v>17</v>
      </c>
      <c r="T592" s="41" t="s">
        <v>39</v>
      </c>
      <c r="U592" s="16" t="s">
        <v>13</v>
      </c>
      <c r="V592" s="16" t="s">
        <v>19</v>
      </c>
      <c r="W592" s="19" t="s"/>
      <c r="X592" s="26" t="s">
        <f>=M592&amp;N592&amp;P592&amp;Q592&amp;T592&amp;V592&amp;S592</f>
        <v>673</v>
      </c>
      <c r="Y592" s="19" t="s"/>
      <c r="Z592" s="19" t="s"/>
      <c r="AA592" s="19" t="s"/>
      <c r="AB592" s="19" t="s"/>
    </row>
    <row r="593" spans="1:28" ht="14.4">
      <c r="A593" s="4">
        <f>=H593/G593-1</f>
        <v>0.0992907801418439</v>
      </c>
      <c r="B593" s="20">
        <f>=F593/12</f>
        <v>11.625</v>
      </c>
      <c r="C593" s="20">
        <f>=J593/3</f>
        <v>93</v>
      </c>
      <c r="D593" s="20">
        <f>=K593/3</f>
        <v>103.333333333333</v>
      </c>
      <c r="E593" s="20">
        <f>=L593/3</f>
        <v>108.5</v>
      </c>
      <c r="F593" s="20">
        <f>=H593*0.9</f>
        <v>139.5</v>
      </c>
      <c r="G593" s="21">
        <v>141</v>
      </c>
      <c r="H593" s="39">
        <v>155</v>
      </c>
      <c r="I593" s="40">
        <f>=H593*1.05</f>
        <v>162.75</v>
      </c>
      <c r="J593" s="40">
        <f>=F593*2</f>
        <v>279</v>
      </c>
      <c r="K593" s="40">
        <f>=H593*2</f>
        <v>310</v>
      </c>
      <c r="L593" s="40">
        <f>=I593*2</f>
        <v>325.5</v>
      </c>
      <c r="M593" s="41" t="s">
        <v>622</v>
      </c>
      <c r="N593" s="41">
        <v>0.15</v>
      </c>
      <c r="O593" s="41" t="s"/>
      <c r="P593" s="41">
        <v>1</v>
      </c>
      <c r="Q593" s="41">
        <v>1</v>
      </c>
      <c r="R593" s="41" t="s">
        <v>16</v>
      </c>
      <c r="S593" s="41" t="s">
        <v>17</v>
      </c>
      <c r="T593" s="41" t="s">
        <v>43</v>
      </c>
      <c r="U593" s="16" t="s">
        <v>13</v>
      </c>
      <c r="V593" s="16" t="s">
        <v>19</v>
      </c>
      <c r="W593" s="19" t="s"/>
      <c r="X593" s="26" t="s">
        <f>=M593&amp;N593&amp;P593&amp;Q593&amp;T593&amp;V593&amp;S593</f>
        <v>674</v>
      </c>
      <c r="Y593" s="19" t="s"/>
      <c r="Z593" s="19" t="s"/>
      <c r="AA593" s="19" t="s"/>
      <c r="AB593" s="19" t="s"/>
    </row>
    <row r="594" spans="1:28" ht="14.4">
      <c r="A594" s="4">
        <f>=H594/G594-1</f>
        <v>0.101604278074866</v>
      </c>
      <c r="B594" s="20">
        <f>=F594/12</f>
        <v>15.45</v>
      </c>
      <c r="C594" s="20">
        <f>=J594/3</f>
        <v>123.6</v>
      </c>
      <c r="D594" s="20">
        <f>=K594/3</f>
        <v>137.333333333333</v>
      </c>
      <c r="E594" s="20">
        <f>=L594/3</f>
        <v>144.2</v>
      </c>
      <c r="F594" s="20">
        <f>=H594*0.9</f>
        <v>185.4</v>
      </c>
      <c r="G594" s="21">
        <v>187</v>
      </c>
      <c r="H594" s="39">
        <v>206</v>
      </c>
      <c r="I594" s="40">
        <f>=H594*1.05</f>
        <v>216.3</v>
      </c>
      <c r="J594" s="40">
        <f>=F594*2</f>
        <v>370.8</v>
      </c>
      <c r="K594" s="40">
        <f>=H594*2</f>
        <v>412</v>
      </c>
      <c r="L594" s="40">
        <f>=I594*2</f>
        <v>432.6</v>
      </c>
      <c r="M594" s="41" t="s">
        <v>622</v>
      </c>
      <c r="N594" s="41">
        <v>0.15</v>
      </c>
      <c r="O594" s="41" t="s"/>
      <c r="P594" s="41">
        <v>1</v>
      </c>
      <c r="Q594" s="41">
        <v>2</v>
      </c>
      <c r="R594" s="41" t="s">
        <v>16</v>
      </c>
      <c r="S594" s="41" t="s">
        <v>17</v>
      </c>
      <c r="T594" s="41" t="s">
        <v>39</v>
      </c>
      <c r="U594" s="16" t="s">
        <v>13</v>
      </c>
      <c r="V594" s="16" t="s">
        <v>19</v>
      </c>
      <c r="W594" s="19" t="s"/>
      <c r="X594" s="26" t="s">
        <f>=M594&amp;N594&amp;P594&amp;Q594&amp;T594&amp;V594&amp;S594</f>
        <v>675</v>
      </c>
      <c r="Y594" s="19" t="s"/>
      <c r="Z594" s="19" t="s"/>
      <c r="AA594" s="19" t="s"/>
      <c r="AB594" s="19" t="s"/>
    </row>
    <row r="595" spans="1:28" ht="14.4">
      <c r="A595" s="4">
        <f>=H595/G595-1</f>
        <v>0.101694915254237</v>
      </c>
      <c r="B595" s="20">
        <f>=F595/12</f>
        <v>19.5</v>
      </c>
      <c r="C595" s="20">
        <f>=J595/3</f>
        <v>156</v>
      </c>
      <c r="D595" s="20">
        <f>=K595/3</f>
        <v>173.333333333333</v>
      </c>
      <c r="E595" s="20">
        <f>=L595/3</f>
        <v>182</v>
      </c>
      <c r="F595" s="20">
        <f>=H595*0.9</f>
        <v>234</v>
      </c>
      <c r="G595" s="21">
        <v>236</v>
      </c>
      <c r="H595" s="39">
        <v>260</v>
      </c>
      <c r="I595" s="40">
        <f>=H595*1.05</f>
        <v>273</v>
      </c>
      <c r="J595" s="40">
        <f>=F595*2</f>
        <v>468</v>
      </c>
      <c r="K595" s="40">
        <f>=H595*2</f>
        <v>520</v>
      </c>
      <c r="L595" s="40">
        <f>=I595*2</f>
        <v>546</v>
      </c>
      <c r="M595" s="41" t="s">
        <v>622</v>
      </c>
      <c r="N595" s="41">
        <v>0.15</v>
      </c>
      <c r="O595" s="41" t="s"/>
      <c r="P595" s="41">
        <v>2</v>
      </c>
      <c r="Q595" s="41">
        <v>2</v>
      </c>
      <c r="R595" s="41" t="s">
        <v>16</v>
      </c>
      <c r="S595" s="41" t="s">
        <v>17</v>
      </c>
      <c r="T595" s="41" t="s">
        <v>39</v>
      </c>
      <c r="U595" s="16" t="s">
        <v>13</v>
      </c>
      <c r="V595" s="16" t="s">
        <v>19</v>
      </c>
      <c r="W595" s="19" t="s"/>
      <c r="X595" s="26" t="s">
        <f>=M595&amp;N595&amp;P595&amp;Q595&amp;T595&amp;V595&amp;S595</f>
        <v>676</v>
      </c>
      <c r="Y595" s="19" t="s"/>
      <c r="Z595" s="19" t="s"/>
      <c r="AA595" s="19" t="s"/>
      <c r="AB595" s="19" t="s"/>
    </row>
    <row r="596" spans="1:28" ht="14.4">
      <c r="A596" s="4">
        <f>=H596/G596-1</f>
        <v>0.1015625</v>
      </c>
      <c r="B596" s="20">
        <f>=F596/12</f>
        <v>21.15</v>
      </c>
      <c r="C596" s="20">
        <f>=J596/3</f>
        <v>169.2</v>
      </c>
      <c r="D596" s="20">
        <f>=K596/3</f>
        <v>188</v>
      </c>
      <c r="E596" s="20">
        <f>=L596/3</f>
        <v>197.4</v>
      </c>
      <c r="F596" s="20">
        <f>=H596*0.9</f>
        <v>253.8</v>
      </c>
      <c r="G596" s="21">
        <v>256</v>
      </c>
      <c r="H596" s="39">
        <v>282</v>
      </c>
      <c r="I596" s="40">
        <f>=H596*1.05</f>
        <v>296.1</v>
      </c>
      <c r="J596" s="40">
        <f>=F596*2</f>
        <v>507.6</v>
      </c>
      <c r="K596" s="40">
        <f>=H596*2</f>
        <v>564</v>
      </c>
      <c r="L596" s="40">
        <f>=I596*2</f>
        <v>592.2</v>
      </c>
      <c r="M596" s="41" t="s">
        <v>622</v>
      </c>
      <c r="N596" s="41">
        <v>0.15</v>
      </c>
      <c r="O596" s="41" t="s"/>
      <c r="P596" s="41">
        <v>2</v>
      </c>
      <c r="Q596" s="41">
        <v>2</v>
      </c>
      <c r="R596" s="41" t="s">
        <v>16</v>
      </c>
      <c r="S596" s="41" t="s">
        <v>17</v>
      </c>
      <c r="T596" s="41" t="s">
        <v>43</v>
      </c>
      <c r="U596" s="16" t="s">
        <v>13</v>
      </c>
      <c r="V596" s="16" t="s">
        <v>19</v>
      </c>
      <c r="W596" s="19" t="s"/>
      <c r="X596" s="26" t="s">
        <f>=M596&amp;N596&amp;P596&amp;Q596&amp;T596&amp;V596&amp;S596</f>
        <v>677</v>
      </c>
      <c r="Y596" s="19" t="s"/>
      <c r="Z596" s="19" t="s"/>
      <c r="AA596" s="19" t="s"/>
      <c r="AB596" s="19" t="s"/>
    </row>
    <row r="597" spans="1:28" ht="14.4">
      <c r="A597" s="4">
        <f>=H597/G597-1</f>
        <v>0.105882352941177</v>
      </c>
      <c r="B597" s="20">
        <f>=F597/12</f>
        <v>7.05</v>
      </c>
      <c r="C597" s="20">
        <f>=J597/3</f>
        <v>56.4</v>
      </c>
      <c r="D597" s="20">
        <f>=K597/3</f>
        <v>62.6666666666667</v>
      </c>
      <c r="E597" s="20">
        <f>=L597/3</f>
        <v>65.8</v>
      </c>
      <c r="F597" s="20">
        <f>=H597*0.9</f>
        <v>84.6</v>
      </c>
      <c r="G597" s="21">
        <v>85</v>
      </c>
      <c r="H597" s="39">
        <v>94</v>
      </c>
      <c r="I597" s="40">
        <f>=H597*1.05</f>
        <v>98.7</v>
      </c>
      <c r="J597" s="40">
        <f>=F597*2</f>
        <v>169.2</v>
      </c>
      <c r="K597" s="40">
        <f>=H597*2</f>
        <v>188</v>
      </c>
      <c r="L597" s="40">
        <f>=I597*2</f>
        <v>197.4</v>
      </c>
      <c r="M597" s="41" t="s">
        <v>622</v>
      </c>
      <c r="N597" s="41">
        <v>0.15</v>
      </c>
      <c r="O597" s="41" t="s"/>
      <c r="P597" s="41" t="s">
        <v>21</v>
      </c>
      <c r="Q597" s="41" t="s">
        <v>21</v>
      </c>
      <c r="R597" s="41" t="s">
        <v>16</v>
      </c>
      <c r="S597" s="41" t="s">
        <v>17</v>
      </c>
      <c r="T597" s="41" t="s">
        <v>43</v>
      </c>
      <c r="U597" s="16" t="s">
        <v>13</v>
      </c>
      <c r="V597" s="16" t="s">
        <v>19</v>
      </c>
      <c r="W597" s="19" t="s"/>
      <c r="X597" s="26" t="s">
        <f>=M597&amp;N597&amp;P597&amp;Q597&amp;T597&amp;V597&amp;S597</f>
        <v>678</v>
      </c>
      <c r="Y597" s="19" t="s"/>
      <c r="Z597" s="19" t="s"/>
      <c r="AA597" s="19" t="s"/>
      <c r="AB597" s="19" t="s"/>
    </row>
    <row r="598" spans="1:28" ht="14.4">
      <c r="A598" s="4">
        <f>=H598/G598-1</f>
        <v>0.103448275862069</v>
      </c>
      <c r="B598" s="20">
        <f>=F598/12</f>
        <v>7.2</v>
      </c>
      <c r="C598" s="20">
        <f>=J598/3</f>
        <v>57.6</v>
      </c>
      <c r="D598" s="20">
        <f>=K598/3</f>
        <v>64</v>
      </c>
      <c r="E598" s="20">
        <f>=L598/3</f>
        <v>67.2</v>
      </c>
      <c r="F598" s="20">
        <f>=H598*0.9</f>
        <v>86.4</v>
      </c>
      <c r="G598" s="21">
        <v>87</v>
      </c>
      <c r="H598" s="39">
        <v>96</v>
      </c>
      <c r="I598" s="40">
        <f>=H598*1.05</f>
        <v>100.8</v>
      </c>
      <c r="J598" s="40">
        <f>=F598*2</f>
        <v>172.8</v>
      </c>
      <c r="K598" s="40">
        <f>=H598*2</f>
        <v>192</v>
      </c>
      <c r="L598" s="40">
        <f>=I598*2</f>
        <v>201.6</v>
      </c>
      <c r="M598" s="41" t="s">
        <v>622</v>
      </c>
      <c r="N598" s="41">
        <v>0.15</v>
      </c>
      <c r="O598" s="41" t="s"/>
      <c r="P598" s="41" t="s">
        <v>21</v>
      </c>
      <c r="Q598" s="41" t="s">
        <v>21</v>
      </c>
      <c r="R598" s="41" t="s">
        <v>16</v>
      </c>
      <c r="S598" s="41" t="s">
        <v>17</v>
      </c>
      <c r="T598" s="41" t="s">
        <v>39</v>
      </c>
      <c r="U598" s="16" t="s">
        <v>13</v>
      </c>
      <c r="V598" s="16" t="s">
        <v>19</v>
      </c>
      <c r="W598" s="19" t="s"/>
      <c r="X598" s="26" t="s">
        <f>=M598&amp;N598&amp;P598&amp;Q598&amp;T598&amp;V598&amp;S598</f>
        <v>679</v>
      </c>
      <c r="Y598" s="19" t="s"/>
      <c r="Z598" s="19" t="s"/>
      <c r="AA598" s="19" t="s"/>
      <c r="AB598" s="19" t="s"/>
    </row>
    <row r="599" spans="1:28" ht="14.4">
      <c r="A599" s="4">
        <f>=H599/G599-1</f>
        <v>0.104761904761905</v>
      </c>
      <c r="B599" s="20">
        <f>=F599/12</f>
        <v>8.7</v>
      </c>
      <c r="C599" s="20">
        <f>=J599/3</f>
        <v>69.6</v>
      </c>
      <c r="D599" s="20">
        <f>=K599/3</f>
        <v>77.3333333333333</v>
      </c>
      <c r="E599" s="20">
        <f>=L599/3</f>
        <v>81.2</v>
      </c>
      <c r="F599" s="20">
        <f>=H599*0.9</f>
        <v>104.4</v>
      </c>
      <c r="G599" s="21">
        <v>105</v>
      </c>
      <c r="H599" s="39">
        <v>116</v>
      </c>
      <c r="I599" s="40">
        <f>=H599*1.05</f>
        <v>121.8</v>
      </c>
      <c r="J599" s="40">
        <f>=F599*2</f>
        <v>208.8</v>
      </c>
      <c r="K599" s="40">
        <f>=H599*2</f>
        <v>232</v>
      </c>
      <c r="L599" s="40">
        <f>=I599*2</f>
        <v>243.6</v>
      </c>
      <c r="M599" s="41" t="s">
        <v>622</v>
      </c>
      <c r="N599" s="41">
        <v>0.15</v>
      </c>
      <c r="O599" s="41" t="s"/>
      <c r="P599" s="41" t="s">
        <v>21</v>
      </c>
      <c r="Q599" s="41">
        <v>1</v>
      </c>
      <c r="R599" s="41" t="s">
        <v>16</v>
      </c>
      <c r="S599" s="41" t="s">
        <v>17</v>
      </c>
      <c r="T599" s="41" t="s">
        <v>39</v>
      </c>
      <c r="U599" s="16" t="s">
        <v>13</v>
      </c>
      <c r="V599" s="16" t="s">
        <v>19</v>
      </c>
      <c r="W599" s="5" t="s"/>
      <c r="X599" s="26" t="s">
        <f>=M599&amp;N599&amp;P599&amp;Q599&amp;T599&amp;V599&amp;S599</f>
        <v>680</v>
      </c>
      <c r="Y599" s="19" t="s"/>
      <c r="Z599" s="19" t="s"/>
      <c r="AA599" s="19" t="s"/>
      <c r="AB599" s="19" t="s"/>
    </row>
    <row r="600" spans="1:28" ht="14.4">
      <c r="A600" s="4">
        <f>=H600/G600-1</f>
        <v>0.102702702702703</v>
      </c>
      <c r="B600" s="20">
        <f>=F600/12</f>
        <v>15.3</v>
      </c>
      <c r="C600" s="20">
        <f>=J600/3</f>
        <v>122.4</v>
      </c>
      <c r="D600" s="20">
        <f>=K600/3</f>
        <v>136</v>
      </c>
      <c r="E600" s="20">
        <f>=L600/3</f>
        <v>142.8</v>
      </c>
      <c r="F600" s="20">
        <f>=H600*0.9</f>
        <v>183.6</v>
      </c>
      <c r="G600" s="21">
        <v>185</v>
      </c>
      <c r="H600" s="39">
        <v>204</v>
      </c>
      <c r="I600" s="40">
        <f>=H600*1.05</f>
        <v>214.2</v>
      </c>
      <c r="J600" s="40">
        <f>=F600*2</f>
        <v>367.2</v>
      </c>
      <c r="K600" s="40">
        <f>=H600*2</f>
        <v>408</v>
      </c>
      <c r="L600" s="40">
        <f>=I600*2</f>
        <v>428.4</v>
      </c>
      <c r="M600" s="41" t="s">
        <v>622</v>
      </c>
      <c r="N600" s="41">
        <v>0.15</v>
      </c>
      <c r="O600" s="41" t="s"/>
      <c r="P600" s="41" t="s">
        <v>21</v>
      </c>
      <c r="Q600" s="41">
        <v>2</v>
      </c>
      <c r="R600" s="41" t="s">
        <v>16</v>
      </c>
      <c r="S600" s="41" t="s">
        <v>17</v>
      </c>
      <c r="T600" s="41" t="s">
        <v>43</v>
      </c>
      <c r="U600" s="16" t="s">
        <v>13</v>
      </c>
      <c r="V600" s="16" t="s">
        <v>19</v>
      </c>
      <c r="W600" s="19" t="s"/>
      <c r="X600" s="26" t="s">
        <f>=M600&amp;N600&amp;P600&amp;Q600&amp;T600&amp;V600&amp;S600</f>
        <v>681</v>
      </c>
      <c r="Y600" s="19" t="s"/>
      <c r="Z600" s="19" t="s"/>
      <c r="AA600" s="19" t="s"/>
      <c r="AB600" s="19" t="s"/>
    </row>
    <row r="601" spans="1:28" ht="14.4">
      <c r="A601" s="4">
        <f>=H601/G601-1</f>
        <v>0.0987124463519313</v>
      </c>
      <c r="B601" s="20">
        <f>=F601/12</f>
        <v>19.2</v>
      </c>
      <c r="C601" s="20">
        <f>=J601/3</f>
        <v>153.6</v>
      </c>
      <c r="D601" s="20">
        <f>=K601/3</f>
        <v>170.666666666667</v>
      </c>
      <c r="E601" s="20">
        <f>=L601/3</f>
        <v>179.2</v>
      </c>
      <c r="F601" s="20">
        <f>=H601*0.9</f>
        <v>230.4</v>
      </c>
      <c r="G601" s="21">
        <v>233</v>
      </c>
      <c r="H601" s="39">
        <v>256</v>
      </c>
      <c r="I601" s="40">
        <f>=H601*1.05</f>
        <v>268.8</v>
      </c>
      <c r="J601" s="40">
        <f>=F601*2</f>
        <v>460.8</v>
      </c>
      <c r="K601" s="40">
        <f>=H601*2</f>
        <v>512</v>
      </c>
      <c r="L601" s="40">
        <f>=I601*2</f>
        <v>537.6</v>
      </c>
      <c r="M601" s="41" t="s">
        <v>622</v>
      </c>
      <c r="N601" s="41">
        <v>0.16</v>
      </c>
      <c r="O601" s="41" t="s"/>
      <c r="P601" s="41">
        <v>2</v>
      </c>
      <c r="Q601" s="41">
        <v>2</v>
      </c>
      <c r="R601" s="41" t="s">
        <v>16</v>
      </c>
      <c r="S601" s="41" t="s">
        <v>17</v>
      </c>
      <c r="T601" s="41" t="s">
        <v>43</v>
      </c>
      <c r="U601" s="16" t="s">
        <v>13</v>
      </c>
      <c r="V601" s="16" t="s">
        <v>19</v>
      </c>
      <c r="W601" s="5" t="s"/>
      <c r="X601" s="26" t="s">
        <f>=M601&amp;N601&amp;P601&amp;Q601&amp;T601&amp;V601&amp;S601</f>
        <v>682</v>
      </c>
      <c r="Y601" s="19" t="s"/>
      <c r="Z601" s="19" t="s"/>
      <c r="AA601" s="19" t="s"/>
      <c r="AB601" s="19" t="s"/>
    </row>
    <row r="602" spans="1:28" ht="14.4">
      <c r="A602" s="4">
        <f>=H602/G602-1</f>
        <v>0.104651162790698</v>
      </c>
      <c r="B602" s="20">
        <f>=F602/12</f>
        <v>7.125</v>
      </c>
      <c r="C602" s="20">
        <f>=J602/3</f>
        <v>57</v>
      </c>
      <c r="D602" s="20">
        <f>=K602/3</f>
        <v>63.3333333333333</v>
      </c>
      <c r="E602" s="20">
        <f>=L602/3</f>
        <v>66.5</v>
      </c>
      <c r="F602" s="20">
        <f>=H602*0.9</f>
        <v>85.5</v>
      </c>
      <c r="G602" s="21">
        <v>86</v>
      </c>
      <c r="H602" s="39">
        <v>95</v>
      </c>
      <c r="I602" s="40">
        <f>=H602*1.05</f>
        <v>99.75</v>
      </c>
      <c r="J602" s="40">
        <f>=F602*2</f>
        <v>171</v>
      </c>
      <c r="K602" s="40">
        <f>=H602*2</f>
        <v>190</v>
      </c>
      <c r="L602" s="40">
        <f>=I602*2</f>
        <v>199.5</v>
      </c>
      <c r="M602" s="41" t="s">
        <v>622</v>
      </c>
      <c r="N602" s="41">
        <v>0.16</v>
      </c>
      <c r="O602" s="41" t="s"/>
      <c r="P602" s="41" t="s">
        <v>21</v>
      </c>
      <c r="Q602" s="41" t="s">
        <v>21</v>
      </c>
      <c r="R602" s="41" t="s">
        <v>16</v>
      </c>
      <c r="S602" s="41" t="s">
        <v>17</v>
      </c>
      <c r="T602" s="41" t="s">
        <v>39</v>
      </c>
      <c r="U602" s="16" t="s">
        <v>13</v>
      </c>
      <c r="V602" s="16" t="s">
        <v>19</v>
      </c>
      <c r="W602" s="19" t="s"/>
      <c r="X602" s="26" t="s">
        <f>=M602&amp;N602&amp;P602&amp;Q602&amp;T602&amp;V602&amp;S602</f>
        <v>683</v>
      </c>
      <c r="Y602" s="19" t="s"/>
      <c r="Z602" s="19" t="s"/>
      <c r="AA602" s="19" t="s"/>
      <c r="AB602" s="19" t="s"/>
    </row>
    <row r="603" spans="1:28" ht="14.4">
      <c r="A603" s="4">
        <f>=H603/G603-1</f>
        <v>0.101010101010101</v>
      </c>
      <c r="B603" s="20">
        <f>=F603/12</f>
        <v>8.175</v>
      </c>
      <c r="C603" s="20">
        <f>=J603/3</f>
        <v>65.4</v>
      </c>
      <c r="D603" s="20">
        <f>=K603/3</f>
        <v>72.6666666666667</v>
      </c>
      <c r="E603" s="20">
        <f>=L603/3</f>
        <v>76.3</v>
      </c>
      <c r="F603" s="20">
        <f>=H603*0.9</f>
        <v>98.1</v>
      </c>
      <c r="G603" s="21">
        <v>99</v>
      </c>
      <c r="H603" s="39">
        <v>109</v>
      </c>
      <c r="I603" s="40">
        <f>=H603*1.05</f>
        <v>114.45</v>
      </c>
      <c r="J603" s="40">
        <f>=F603*2</f>
        <v>196.2</v>
      </c>
      <c r="K603" s="40">
        <f>=H603*2</f>
        <v>218</v>
      </c>
      <c r="L603" s="40">
        <f>=I603*2</f>
        <v>228.9</v>
      </c>
      <c r="M603" s="41" t="s">
        <v>622</v>
      </c>
      <c r="N603" s="41">
        <v>0.16</v>
      </c>
      <c r="O603" s="41" t="s"/>
      <c r="P603" s="41" t="s">
        <v>21</v>
      </c>
      <c r="Q603" s="41" t="s">
        <v>21</v>
      </c>
      <c r="R603" s="41" t="s">
        <v>16</v>
      </c>
      <c r="S603" s="41" t="s">
        <v>17</v>
      </c>
      <c r="T603" s="41" t="s">
        <v>43</v>
      </c>
      <c r="U603" s="16" t="s">
        <v>13</v>
      </c>
      <c r="V603" s="16" t="s">
        <v>19</v>
      </c>
      <c r="W603" s="19" t="s"/>
      <c r="X603" s="26" t="s">
        <f>=M603&amp;N603&amp;P603&amp;Q603&amp;T603&amp;V603&amp;S603</f>
        <v>684</v>
      </c>
      <c r="Y603" s="19" t="s"/>
      <c r="Z603" s="19" t="s"/>
      <c r="AA603" s="19" t="s"/>
      <c r="AB603" s="19" t="s"/>
    </row>
    <row r="604" spans="1:28" ht="14.4">
      <c r="A604" s="4">
        <f>=H604/G604-1</f>
        <v>0.0977443609022557</v>
      </c>
      <c r="B604" s="20">
        <f>=F604/12</f>
        <v>10.95</v>
      </c>
      <c r="C604" s="20">
        <f>=J604/3</f>
        <v>87.6</v>
      </c>
      <c r="D604" s="20">
        <f>=K604/3</f>
        <v>97.3333333333333</v>
      </c>
      <c r="E604" s="20">
        <f>=L604/3</f>
        <v>102.2</v>
      </c>
      <c r="F604" s="20">
        <f>=H604*0.9</f>
        <v>131.4</v>
      </c>
      <c r="G604" s="21">
        <v>133</v>
      </c>
      <c r="H604" s="39">
        <v>146</v>
      </c>
      <c r="I604" s="40">
        <f>=H604*1.05</f>
        <v>153.3</v>
      </c>
      <c r="J604" s="40">
        <f>=F604*2</f>
        <v>262.8</v>
      </c>
      <c r="K604" s="40">
        <f>=H604*2</f>
        <v>292</v>
      </c>
      <c r="L604" s="40">
        <f>=I604*2</f>
        <v>306.6</v>
      </c>
      <c r="M604" s="41" t="s">
        <v>622</v>
      </c>
      <c r="N604" s="41">
        <v>0.18</v>
      </c>
      <c r="O604" s="41" t="s"/>
      <c r="P604" s="41">
        <v>1</v>
      </c>
      <c r="Q604" s="41">
        <v>1</v>
      </c>
      <c r="R604" s="41" t="s">
        <v>16</v>
      </c>
      <c r="S604" s="41" t="s">
        <v>17</v>
      </c>
      <c r="T604" s="41" t="s">
        <v>46</v>
      </c>
      <c r="U604" s="16" t="s">
        <v>13</v>
      </c>
      <c r="V604" s="16" t="s">
        <v>19</v>
      </c>
      <c r="W604" s="19" t="s"/>
      <c r="X604" s="26" t="s">
        <f>=M604&amp;N604&amp;P604&amp;Q604&amp;T604&amp;V604&amp;S604</f>
        <v>685</v>
      </c>
      <c r="Y604" s="19" t="s"/>
      <c r="Z604" s="19" t="s"/>
      <c r="AA604" s="19" t="s"/>
      <c r="AB604" s="19" t="s"/>
    </row>
    <row r="605" spans="1:28" ht="14.4">
      <c r="A605" s="4">
        <f>=H605/G605-1</f>
        <v>0.102739726027397</v>
      </c>
      <c r="B605" s="20">
        <f>=F605/12</f>
        <v>12.075</v>
      </c>
      <c r="C605" s="20">
        <f>=J605/3</f>
        <v>96.6</v>
      </c>
      <c r="D605" s="20">
        <f>=K605/3</f>
        <v>107.333333333333</v>
      </c>
      <c r="E605" s="20">
        <f>=L605/3</f>
        <v>112.7</v>
      </c>
      <c r="F605" s="20">
        <f>=H605*0.9</f>
        <v>144.9</v>
      </c>
      <c r="G605" s="21">
        <v>146</v>
      </c>
      <c r="H605" s="39">
        <v>161</v>
      </c>
      <c r="I605" s="40">
        <f>=H605*1.05</f>
        <v>169.05</v>
      </c>
      <c r="J605" s="40">
        <f>=F605*2</f>
        <v>289.8</v>
      </c>
      <c r="K605" s="40">
        <f>=H605*2</f>
        <v>322</v>
      </c>
      <c r="L605" s="40">
        <f>=I605*2</f>
        <v>338.1</v>
      </c>
      <c r="M605" s="41" t="s">
        <v>622</v>
      </c>
      <c r="N605" s="41">
        <v>0.18</v>
      </c>
      <c r="O605" s="41" t="s"/>
      <c r="P605" s="41">
        <v>1</v>
      </c>
      <c r="Q605" s="41">
        <v>1</v>
      </c>
      <c r="R605" s="41" t="s">
        <v>16</v>
      </c>
      <c r="S605" s="41" t="s">
        <v>17</v>
      </c>
      <c r="T605" s="41" t="s">
        <v>48</v>
      </c>
      <c r="U605" s="16" t="s">
        <v>13</v>
      </c>
      <c r="V605" s="16" t="s">
        <v>19</v>
      </c>
      <c r="W605" s="19" t="s"/>
      <c r="X605" s="26" t="s">
        <f>=M605&amp;N605&amp;P605&amp;Q605&amp;T605&amp;V605&amp;S605</f>
        <v>686</v>
      </c>
      <c r="Y605" s="19" t="s"/>
      <c r="Z605" s="19" t="s"/>
      <c r="AA605" s="19" t="s"/>
      <c r="AB605" s="19" t="s"/>
    </row>
    <row r="606" spans="1:28" ht="14.4">
      <c r="A606" s="4">
        <f>=H606/G606-1</f>
        <v>0.097938144329897</v>
      </c>
      <c r="B606" s="20">
        <f>=F606/12</f>
        <v>15.975</v>
      </c>
      <c r="C606" s="20">
        <f>=J606/3</f>
        <v>127.8</v>
      </c>
      <c r="D606" s="20">
        <f>=K606/3</f>
        <v>142</v>
      </c>
      <c r="E606" s="20">
        <f>=L606/3</f>
        <v>149.1</v>
      </c>
      <c r="F606" s="20">
        <f>=H606*0.9</f>
        <v>191.7</v>
      </c>
      <c r="G606" s="21">
        <v>194</v>
      </c>
      <c r="H606" s="39">
        <v>213</v>
      </c>
      <c r="I606" s="40">
        <f>=H606*1.05</f>
        <v>223.65</v>
      </c>
      <c r="J606" s="40">
        <f>=F606*2</f>
        <v>383.4</v>
      </c>
      <c r="K606" s="40">
        <f>=H606*2</f>
        <v>426</v>
      </c>
      <c r="L606" s="40">
        <f>=I606*2</f>
        <v>447.3</v>
      </c>
      <c r="M606" s="41" t="s">
        <v>622</v>
      </c>
      <c r="N606" s="41">
        <v>0.18</v>
      </c>
      <c r="O606" s="41" t="s"/>
      <c r="P606" s="41">
        <v>1</v>
      </c>
      <c r="Q606" s="41">
        <v>2</v>
      </c>
      <c r="R606" s="41" t="s">
        <v>16</v>
      </c>
      <c r="S606" s="41" t="s">
        <v>17</v>
      </c>
      <c r="T606" s="41" t="s">
        <v>48</v>
      </c>
      <c r="U606" s="16" t="s">
        <v>13</v>
      </c>
      <c r="V606" s="16" t="s">
        <v>19</v>
      </c>
      <c r="W606" s="19" t="s"/>
      <c r="X606" s="26" t="s">
        <f>=M606&amp;N606&amp;P606&amp;Q606&amp;T606&amp;V606&amp;S606</f>
        <v>687</v>
      </c>
      <c r="Y606" s="19" t="s"/>
      <c r="Z606" s="19" t="s"/>
      <c r="AA606" s="19" t="s"/>
      <c r="AB606" s="19" t="s"/>
    </row>
    <row r="607" spans="1:28" ht="14.4">
      <c r="A607" s="4">
        <f>=H607/G607-1</f>
        <v>0.098360655737705</v>
      </c>
      <c r="B607" s="20">
        <f>=F607/12</f>
        <v>20.1</v>
      </c>
      <c r="C607" s="20">
        <f>=J607/3</f>
        <v>160.8</v>
      </c>
      <c r="D607" s="20">
        <f>=K607/3</f>
        <v>178.666666666667</v>
      </c>
      <c r="E607" s="20">
        <f>=L607/3</f>
        <v>187.6</v>
      </c>
      <c r="F607" s="20">
        <f>=H607*0.9</f>
        <v>241.2</v>
      </c>
      <c r="G607" s="21">
        <v>244</v>
      </c>
      <c r="H607" s="39">
        <v>268</v>
      </c>
      <c r="I607" s="40">
        <f>=H607*1.05</f>
        <v>281.4</v>
      </c>
      <c r="J607" s="40">
        <f>=F607*2</f>
        <v>482.4</v>
      </c>
      <c r="K607" s="40">
        <f>=H607*2</f>
        <v>536</v>
      </c>
      <c r="L607" s="40">
        <f>=I607*2</f>
        <v>562.8</v>
      </c>
      <c r="M607" s="41" t="s">
        <v>622</v>
      </c>
      <c r="N607" s="41">
        <v>0.18</v>
      </c>
      <c r="O607" s="41" t="s"/>
      <c r="P607" s="41">
        <v>2</v>
      </c>
      <c r="Q607" s="41">
        <v>2</v>
      </c>
      <c r="R607" s="41" t="s">
        <v>16</v>
      </c>
      <c r="S607" s="41" t="s">
        <v>17</v>
      </c>
      <c r="T607" s="41" t="s">
        <v>46</v>
      </c>
      <c r="U607" s="16" t="s">
        <v>13</v>
      </c>
      <c r="V607" s="16" t="s">
        <v>19</v>
      </c>
      <c r="W607" s="19" t="s"/>
      <c r="X607" s="26" t="s">
        <f>=M607&amp;N607&amp;P607&amp;Q607&amp;T607&amp;V607&amp;S607</f>
        <v>688</v>
      </c>
      <c r="Y607" s="19" t="s"/>
      <c r="Z607" s="19" t="s"/>
      <c r="AA607" s="19" t="s"/>
      <c r="AB607" s="19" t="s"/>
    </row>
    <row r="608" spans="1:29" ht="14.4">
      <c r="A608" s="49">
        <v>46178</v>
      </c>
      <c r="B608" s="43">
        <f>=F608/12</f>
        <v>21.75</v>
      </c>
      <c r="C608" s="43">
        <f>=J608/3</f>
        <v>174</v>
      </c>
      <c r="D608" s="43">
        <f>=K608/3</f>
        <v>193.333333333333</v>
      </c>
      <c r="E608" s="43">
        <f>=L608/3</f>
        <v>203</v>
      </c>
      <c r="F608" s="43">
        <f>=H608*0.9</f>
        <v>261</v>
      </c>
      <c r="G608" s="27">
        <v>245</v>
      </c>
      <c r="H608" s="44">
        <v>290</v>
      </c>
      <c r="I608" s="45">
        <f>=H608*1.05</f>
        <v>304.5</v>
      </c>
      <c r="J608" s="45">
        <f>=F608*2</f>
        <v>522</v>
      </c>
      <c r="K608" s="45">
        <f>=H608*2</f>
        <v>580</v>
      </c>
      <c r="L608" s="45">
        <f>=I608*2</f>
        <v>609</v>
      </c>
      <c r="M608" s="46" t="s">
        <v>622</v>
      </c>
      <c r="N608" s="46">
        <v>0.18</v>
      </c>
      <c r="O608" s="46" t="s"/>
      <c r="P608" s="46">
        <v>2</v>
      </c>
      <c r="Q608" s="46">
        <v>2</v>
      </c>
      <c r="R608" s="46" t="s">
        <v>16</v>
      </c>
      <c r="S608" s="46" t="s">
        <v>17</v>
      </c>
      <c r="T608" s="12" t="s">
        <v>689</v>
      </c>
      <c r="U608" s="13" t="s">
        <v>13</v>
      </c>
      <c r="V608" s="13" t="s">
        <v>19</v>
      </c>
      <c r="W608" s="15" t="s"/>
      <c r="X608" s="18" t="s">
        <f>=M608&amp;N608&amp;P608&amp;Q608&amp;T608&amp;V608&amp;S608</f>
        <v>690</v>
      </c>
      <c r="Y608" s="15" t="s"/>
      <c r="Z608" s="15" t="s"/>
      <c r="AA608" s="15" t="s"/>
      <c r="AB608" s="15" t="s"/>
      <c r="AC608" s="48" t="s"/>
    </row>
    <row r="609" spans="1:28" ht="14.4">
      <c r="A609" s="4">
        <f>=H609/G609-1</f>
        <v>0.102040816326531</v>
      </c>
      <c r="B609" s="20">
        <f>=F609/12</f>
        <v>20.25</v>
      </c>
      <c r="C609" s="20">
        <f>=J609/3</f>
        <v>162</v>
      </c>
      <c r="D609" s="20">
        <f>=K609/3</f>
        <v>180</v>
      </c>
      <c r="E609" s="20">
        <f>=L609/3</f>
        <v>189</v>
      </c>
      <c r="F609" s="20">
        <f>=H609*0.9</f>
        <v>243</v>
      </c>
      <c r="G609" s="21">
        <v>245</v>
      </c>
      <c r="H609" s="39">
        <v>270</v>
      </c>
      <c r="I609" s="40">
        <f>=H609*1.05</f>
        <v>283.5</v>
      </c>
      <c r="J609" s="40">
        <f>=F609*2</f>
        <v>486</v>
      </c>
      <c r="K609" s="40">
        <f>=H609*2</f>
        <v>540</v>
      </c>
      <c r="L609" s="40">
        <f>=I609*2</f>
        <v>567</v>
      </c>
      <c r="M609" s="41" t="s">
        <v>622</v>
      </c>
      <c r="N609" s="41">
        <v>0.18</v>
      </c>
      <c r="O609" s="41" t="s"/>
      <c r="P609" s="41">
        <v>2</v>
      </c>
      <c r="Q609" s="41">
        <v>2</v>
      </c>
      <c r="R609" s="41" t="s">
        <v>16</v>
      </c>
      <c r="S609" s="41" t="s">
        <v>17</v>
      </c>
      <c r="T609" s="41" t="s">
        <v>48</v>
      </c>
      <c r="U609" s="16" t="s">
        <v>13</v>
      </c>
      <c r="V609" s="16" t="s">
        <v>19</v>
      </c>
      <c r="W609" s="5" t="s"/>
      <c r="X609" s="26" t="s">
        <f>=M609&amp;N609&amp;P609&amp;Q609&amp;T609&amp;V609&amp;S609</f>
        <v>691</v>
      </c>
      <c r="Y609" s="19" t="s"/>
      <c r="Z609" s="19" t="s"/>
      <c r="AA609" s="19" t="s"/>
      <c r="AB609" s="19" t="s"/>
    </row>
    <row r="610" spans="1:28" ht="14.4">
      <c r="A610" s="4">
        <f>=H610/G610-1</f>
        <v>0.1</v>
      </c>
      <c r="B610" s="20">
        <f>=F610/12</f>
        <v>20.625</v>
      </c>
      <c r="C610" s="20">
        <f>=J610/3</f>
        <v>165</v>
      </c>
      <c r="D610" s="20">
        <f>=K610/3</f>
        <v>183.333333333333</v>
      </c>
      <c r="E610" s="20">
        <f>=L610/3</f>
        <v>192.5</v>
      </c>
      <c r="F610" s="20">
        <f>=H610*0.9</f>
        <v>247.5</v>
      </c>
      <c r="G610" s="21">
        <v>250</v>
      </c>
      <c r="H610" s="39">
        <v>275</v>
      </c>
      <c r="I610" s="40">
        <f>=H610*1.05</f>
        <v>288.75</v>
      </c>
      <c r="J610" s="40">
        <f>=F610*2</f>
        <v>495</v>
      </c>
      <c r="K610" s="40">
        <f>=H610*2</f>
        <v>550</v>
      </c>
      <c r="L610" s="40">
        <f>=I610*2</f>
        <v>577.5</v>
      </c>
      <c r="M610" s="41" t="s">
        <v>622</v>
      </c>
      <c r="N610" s="41">
        <v>0.18</v>
      </c>
      <c r="O610" s="41" t="s"/>
      <c r="P610" s="41">
        <v>2</v>
      </c>
      <c r="Q610" s="41">
        <v>2</v>
      </c>
      <c r="R610" s="41" t="s">
        <v>16</v>
      </c>
      <c r="S610" s="41" t="s">
        <v>17</v>
      </c>
      <c r="T610" s="41" t="s">
        <v>692</v>
      </c>
      <c r="U610" s="16" t="s">
        <v>13</v>
      </c>
      <c r="V610" s="16" t="s">
        <v>19</v>
      </c>
      <c r="W610" s="19" t="s"/>
      <c r="X610" s="26" t="s">
        <f>=M610&amp;N610&amp;P610&amp;Q610&amp;T610&amp;V610&amp;S610</f>
        <v>693</v>
      </c>
      <c r="Y610" s="19" t="s"/>
      <c r="Z610" s="19" t="s"/>
      <c r="AA610" s="19" t="s"/>
      <c r="AB610" s="19" t="s"/>
    </row>
    <row r="611" spans="1:28" ht="14.4">
      <c r="A611" s="4">
        <f>=H611/G611-1</f>
        <v>0.103448275862069</v>
      </c>
      <c r="B611" s="20">
        <f>=F611/12</f>
        <v>7.2</v>
      </c>
      <c r="C611" s="20">
        <f>=J611/3</f>
        <v>57.6</v>
      </c>
      <c r="D611" s="20">
        <f>=K611/3</f>
        <v>64</v>
      </c>
      <c r="E611" s="20">
        <f>=L611/3</f>
        <v>67.2</v>
      </c>
      <c r="F611" s="20">
        <f>=H611*0.9</f>
        <v>86.4</v>
      </c>
      <c r="G611" s="21">
        <v>87</v>
      </c>
      <c r="H611" s="39">
        <v>96</v>
      </c>
      <c r="I611" s="40">
        <f>=H611*1.05</f>
        <v>100.8</v>
      </c>
      <c r="J611" s="40">
        <f>=F611*2</f>
        <v>172.8</v>
      </c>
      <c r="K611" s="40">
        <f>=H611*2</f>
        <v>192</v>
      </c>
      <c r="L611" s="40">
        <f>=I611*2</f>
        <v>201.6</v>
      </c>
      <c r="M611" s="41" t="s">
        <v>622</v>
      </c>
      <c r="N611" s="41">
        <v>0.18</v>
      </c>
      <c r="O611" s="41" t="s"/>
      <c r="P611" s="41" t="s">
        <v>21</v>
      </c>
      <c r="Q611" s="41" t="s">
        <v>21</v>
      </c>
      <c r="R611" s="41" t="s">
        <v>16</v>
      </c>
      <c r="S611" s="41" t="s">
        <v>17</v>
      </c>
      <c r="T611" s="41" t="s">
        <v>39</v>
      </c>
      <c r="U611" s="16" t="s">
        <v>13</v>
      </c>
      <c r="V611" s="16" t="s">
        <v>19</v>
      </c>
      <c r="W611" s="19" t="s"/>
      <c r="X611" s="26" t="s">
        <f>=M611&amp;N611&amp;P611&amp;Q611&amp;T611&amp;V611&amp;S611</f>
        <v>694</v>
      </c>
      <c r="Y611" s="19" t="s"/>
      <c r="Z611" s="19" t="s"/>
      <c r="AA611" s="19" t="s"/>
      <c r="AB611" s="19" t="s"/>
    </row>
    <row r="612" spans="1:28" ht="14.4">
      <c r="A612" s="4">
        <f>=H612/G612-1</f>
        <v>0.103448275862069</v>
      </c>
      <c r="B612" s="20">
        <f>=F612/12</f>
        <v>7.2</v>
      </c>
      <c r="C612" s="20">
        <f>=J612/3</f>
        <v>57.6</v>
      </c>
      <c r="D612" s="20">
        <f>=K612/3</f>
        <v>64</v>
      </c>
      <c r="E612" s="20">
        <f>=L612/3</f>
        <v>67.2</v>
      </c>
      <c r="F612" s="20">
        <f>=H612*0.9</f>
        <v>86.4</v>
      </c>
      <c r="G612" s="21">
        <v>87</v>
      </c>
      <c r="H612" s="39">
        <v>96</v>
      </c>
      <c r="I612" s="40">
        <f>=H612*1.05</f>
        <v>100.8</v>
      </c>
      <c r="J612" s="40">
        <f>=F612*2</f>
        <v>172.8</v>
      </c>
      <c r="K612" s="40">
        <f>=H612*2</f>
        <v>192</v>
      </c>
      <c r="L612" s="40">
        <f>=I612*2</f>
        <v>201.6</v>
      </c>
      <c r="M612" s="41" t="s">
        <v>622</v>
      </c>
      <c r="N612" s="41">
        <v>0.18</v>
      </c>
      <c r="O612" s="41" t="s"/>
      <c r="P612" s="41" t="s">
        <v>21</v>
      </c>
      <c r="Q612" s="41" t="s">
        <v>21</v>
      </c>
      <c r="R612" s="41" t="s">
        <v>16</v>
      </c>
      <c r="S612" s="41" t="s">
        <v>17</v>
      </c>
      <c r="T612" s="41" t="s">
        <v>46</v>
      </c>
      <c r="U612" s="16" t="s">
        <v>13</v>
      </c>
      <c r="V612" s="16" t="s">
        <v>19</v>
      </c>
      <c r="W612" s="19" t="s"/>
      <c r="X612" s="26" t="s">
        <f>=M612&amp;N612&amp;P612&amp;Q612&amp;T612&amp;V612&amp;S612</f>
        <v>695</v>
      </c>
      <c r="Y612" s="19" t="s"/>
      <c r="Z612" s="19" t="s"/>
      <c r="AA612" s="19" t="s"/>
      <c r="AB612" s="19" t="s"/>
    </row>
    <row r="613" spans="1:28" ht="14.4">
      <c r="A613" s="4">
        <f>=H613/G613-1</f>
        <v>0.0961538461538463</v>
      </c>
      <c r="B613" s="20">
        <f>=F613/12</f>
        <v>8.55</v>
      </c>
      <c r="C613" s="20">
        <f>=J613/3</f>
        <v>68.4</v>
      </c>
      <c r="D613" s="20">
        <f>=K613/3</f>
        <v>76</v>
      </c>
      <c r="E613" s="20">
        <f>=L613/3</f>
        <v>79.8</v>
      </c>
      <c r="F613" s="20">
        <f>=H613*0.9</f>
        <v>102.6</v>
      </c>
      <c r="G613" s="21">
        <v>104</v>
      </c>
      <c r="H613" s="39">
        <v>114</v>
      </c>
      <c r="I613" s="40">
        <f>=H613*1.05</f>
        <v>119.7</v>
      </c>
      <c r="J613" s="40">
        <f>=F613*2</f>
        <v>205.2</v>
      </c>
      <c r="K613" s="40">
        <f>=H613*2</f>
        <v>228</v>
      </c>
      <c r="L613" s="40">
        <f>=I613*2</f>
        <v>239.4</v>
      </c>
      <c r="M613" s="41" t="s">
        <v>622</v>
      </c>
      <c r="N613" s="41">
        <v>0.18</v>
      </c>
      <c r="O613" s="41">
        <v>0.2</v>
      </c>
      <c r="P613" s="41" t="s">
        <v>21</v>
      </c>
      <c r="Q613" s="41" t="s">
        <v>21</v>
      </c>
      <c r="R613" s="41" t="s">
        <v>16</v>
      </c>
      <c r="S613" s="41" t="s">
        <v>17</v>
      </c>
      <c r="T613" s="41" t="s">
        <v>48</v>
      </c>
      <c r="U613" s="16" t="s">
        <v>13</v>
      </c>
      <c r="V613" s="16" t="s">
        <v>19</v>
      </c>
      <c r="W613" s="19" t="s"/>
      <c r="X613" s="26" t="s">
        <f>=M613&amp;N613&amp;P613&amp;Q613&amp;T613&amp;V613&amp;S613</f>
        <v>696</v>
      </c>
      <c r="Y613" s="19" t="s"/>
      <c r="Z613" s="19" t="s"/>
      <c r="AA613" s="19" t="s"/>
      <c r="AB613" s="19" t="s"/>
    </row>
    <row r="614" spans="1:28" ht="14.4">
      <c r="A614" s="4">
        <f>=H614/G614-1</f>
        <v>0.0973451327433628</v>
      </c>
      <c r="B614" s="20">
        <f>=F614/12</f>
        <v>9.3</v>
      </c>
      <c r="C614" s="20">
        <f>=J614/3</f>
        <v>74.4</v>
      </c>
      <c r="D614" s="20">
        <f>=K614/3</f>
        <v>82.6666666666667</v>
      </c>
      <c r="E614" s="20">
        <f>=L614/3</f>
        <v>86.8</v>
      </c>
      <c r="F614" s="20">
        <f>=H614*0.9</f>
        <v>111.6</v>
      </c>
      <c r="G614" s="21">
        <v>113</v>
      </c>
      <c r="H614" s="39">
        <v>124</v>
      </c>
      <c r="I614" s="40">
        <f>=H614*1.05</f>
        <v>130.2</v>
      </c>
      <c r="J614" s="40">
        <f>=F614*2</f>
        <v>223.2</v>
      </c>
      <c r="K614" s="40">
        <f>=H614*2</f>
        <v>248</v>
      </c>
      <c r="L614" s="40">
        <f>=I614*2</f>
        <v>260.4</v>
      </c>
      <c r="M614" s="41" t="s">
        <v>622</v>
      </c>
      <c r="N614" s="41">
        <v>0.2</v>
      </c>
      <c r="O614" s="41" t="s"/>
      <c r="P614" s="41">
        <v>1</v>
      </c>
      <c r="Q614" s="41">
        <v>1</v>
      </c>
      <c r="R614" s="41" t="s">
        <v>16</v>
      </c>
      <c r="S614" s="41" t="s">
        <v>17</v>
      </c>
      <c r="T614" s="41" t="s">
        <v>46</v>
      </c>
      <c r="U614" s="16" t="s">
        <v>13</v>
      </c>
      <c r="V614" s="16" t="s">
        <v>19</v>
      </c>
      <c r="W614" s="5" t="s"/>
      <c r="X614" s="26" t="s">
        <f>=M614&amp;N614&amp;P614&amp;Q614&amp;T614&amp;V614&amp;S614</f>
        <v>697</v>
      </c>
      <c r="Y614" s="19" t="s"/>
      <c r="Z614" s="19" t="s"/>
      <c r="AA614" s="19" t="s"/>
      <c r="AB614" s="19" t="s"/>
    </row>
    <row r="615" spans="1:28" ht="14.4">
      <c r="A615" s="4">
        <f>=H615/G615-1</f>
        <v>0.100877192982456</v>
      </c>
      <c r="B615" s="20">
        <f>=F615/12</f>
        <v>18.825</v>
      </c>
      <c r="C615" s="20">
        <f>=J615/3</f>
        <v>150.6</v>
      </c>
      <c r="D615" s="20">
        <f>=K615/3</f>
        <v>167.333333333333</v>
      </c>
      <c r="E615" s="20">
        <f>=L615/3</f>
        <v>175.7</v>
      </c>
      <c r="F615" s="20">
        <f>=H615*0.9</f>
        <v>225.9</v>
      </c>
      <c r="G615" s="21">
        <v>228</v>
      </c>
      <c r="H615" s="39">
        <v>251</v>
      </c>
      <c r="I615" s="40">
        <f>=H615*1.05</f>
        <v>263.55</v>
      </c>
      <c r="J615" s="40">
        <f>=F615*2</f>
        <v>451.8</v>
      </c>
      <c r="K615" s="40">
        <f>=H615*2</f>
        <v>502</v>
      </c>
      <c r="L615" s="40">
        <f>=I615*2</f>
        <v>527.1</v>
      </c>
      <c r="M615" s="41" t="s">
        <v>622</v>
      </c>
      <c r="N615" s="41">
        <v>0.2</v>
      </c>
      <c r="O615" s="41" t="s"/>
      <c r="P615" s="41">
        <v>1</v>
      </c>
      <c r="Q615" s="41">
        <v>2</v>
      </c>
      <c r="R615" s="41" t="s">
        <v>16</v>
      </c>
      <c r="S615" s="41" t="s">
        <v>17</v>
      </c>
      <c r="T615" s="41" t="s">
        <v>48</v>
      </c>
      <c r="U615" s="16" t="s">
        <v>13</v>
      </c>
      <c r="V615" s="16" t="s">
        <v>19</v>
      </c>
      <c r="W615" s="19" t="s"/>
      <c r="X615" s="26" t="s">
        <f>=M615&amp;N615&amp;P615&amp;Q615&amp;T615&amp;V615&amp;S615</f>
        <v>698</v>
      </c>
      <c r="Y615" s="19" t="s"/>
      <c r="Z615" s="19" t="s"/>
      <c r="AA615" s="19" t="s"/>
      <c r="AB615" s="19" t="s"/>
    </row>
    <row r="616" spans="1:28" ht="14.4">
      <c r="A616" s="42" t="e">
        <f>=H616/G616-1</f>
        <v>#DIV/0!</v>
      </c>
      <c r="B616" s="43">
        <f>=F616/12</f>
        <v>20.4</v>
      </c>
      <c r="C616" s="43">
        <f>=J616/3</f>
        <v>163.2</v>
      </c>
      <c r="D616" s="43">
        <f>=K616/3</f>
        <v>181.333333333333</v>
      </c>
      <c r="E616" s="43">
        <f>=L616/3</f>
        <v>190.4</v>
      </c>
      <c r="F616" s="43">
        <f>=H616*0.9</f>
        <v>244.8</v>
      </c>
      <c r="G616" s="27" t="s"/>
      <c r="H616" s="44">
        <v>272</v>
      </c>
      <c r="I616" s="45">
        <f>=H616*1.05</f>
        <v>285.6</v>
      </c>
      <c r="J616" s="45">
        <f>=F616*2</f>
        <v>489.6</v>
      </c>
      <c r="K616" s="45">
        <f>=H616*2</f>
        <v>544</v>
      </c>
      <c r="L616" s="45">
        <f>=I616*2</f>
        <v>571.2</v>
      </c>
      <c r="M616" s="46" t="s">
        <v>622</v>
      </c>
      <c r="N616" s="46">
        <v>0.2</v>
      </c>
      <c r="O616" s="46" t="s"/>
      <c r="P616" s="12">
        <v>2</v>
      </c>
      <c r="Q616" s="12">
        <v>2</v>
      </c>
      <c r="R616" s="46" t="s">
        <v>16</v>
      </c>
      <c r="S616" s="46" t="s">
        <v>17</v>
      </c>
      <c r="T616" s="46" t="s">
        <v>46</v>
      </c>
      <c r="U616" s="13" t="s">
        <v>13</v>
      </c>
      <c r="V616" s="13" t="s">
        <v>19</v>
      </c>
      <c r="W616" s="15" t="s"/>
      <c r="X616" s="18" t="s">
        <f>=M616&amp;N616&amp;P616&amp;Q616&amp;T616&amp;V616&amp;S616</f>
        <v>699</v>
      </c>
      <c r="Y616" s="15" t="s"/>
      <c r="Z616" s="15" t="s"/>
      <c r="AA616" s="15" t="s"/>
      <c r="AB616" s="15" t="s"/>
    </row>
    <row r="617" spans="1:28" ht="14.4">
      <c r="A617" s="4">
        <f>=H617/G617-1</f>
        <v>0</v>
      </c>
      <c r="B617" s="20">
        <f>=F617/12</f>
        <v>21.6</v>
      </c>
      <c r="C617" s="20">
        <f>=J617/3</f>
        <v>172.8</v>
      </c>
      <c r="D617" s="20">
        <f>=K617/3</f>
        <v>192</v>
      </c>
      <c r="E617" s="20">
        <f>=L617/3</f>
        <v>201.6</v>
      </c>
      <c r="F617" s="20">
        <f>=H617*0.9</f>
        <v>259.2</v>
      </c>
      <c r="G617" s="21">
        <v>288</v>
      </c>
      <c r="H617" s="39">
        <v>288</v>
      </c>
      <c r="I617" s="40">
        <f>=H617*1.05</f>
        <v>302.4</v>
      </c>
      <c r="J617" s="40">
        <f>=F617*2</f>
        <v>518.4</v>
      </c>
      <c r="K617" s="40">
        <f>=H617*2</f>
        <v>576</v>
      </c>
      <c r="L617" s="40">
        <f>=I617*2</f>
        <v>604.8</v>
      </c>
      <c r="M617" s="41" t="s">
        <v>622</v>
      </c>
      <c r="N617" s="41">
        <v>0.2</v>
      </c>
      <c r="O617" s="41" t="s"/>
      <c r="P617" s="41">
        <v>2</v>
      </c>
      <c r="Q617" s="41">
        <v>2</v>
      </c>
      <c r="R617" s="41" t="s">
        <v>16</v>
      </c>
      <c r="S617" s="41" t="s">
        <v>17</v>
      </c>
      <c r="T617" s="41" t="s">
        <v>48</v>
      </c>
      <c r="U617" s="16" t="s">
        <v>13</v>
      </c>
      <c r="V617" s="16" t="s">
        <v>19</v>
      </c>
      <c r="W617" s="17" t="s">
        <v>352</v>
      </c>
      <c r="X617" s="26" t="s">
        <f>=M617&amp;N617&amp;P617&amp;Q617&amp;T617&amp;V617&amp;S617</f>
        <v>700</v>
      </c>
      <c r="Y617" s="19" t="s"/>
      <c r="Z617" s="19" t="s"/>
      <c r="AA617" s="19" t="s"/>
      <c r="AB617" s="19" t="s"/>
    </row>
    <row r="618" spans="1:28" ht="14.4">
      <c r="A618" s="4">
        <f>=H618/G618-1</f>
        <v>0.10126582278481</v>
      </c>
      <c r="B618" s="20">
        <f>=F618/12</f>
        <v>19.575</v>
      </c>
      <c r="C618" s="20">
        <f>=J618/3</f>
        <v>156.6</v>
      </c>
      <c r="D618" s="20">
        <f>=K618/3</f>
        <v>174</v>
      </c>
      <c r="E618" s="20">
        <f>=L618/3</f>
        <v>182.7</v>
      </c>
      <c r="F618" s="20">
        <f>=H618*0.9</f>
        <v>234.9</v>
      </c>
      <c r="G618" s="21">
        <v>237</v>
      </c>
      <c r="H618" s="39">
        <v>261</v>
      </c>
      <c r="I618" s="40">
        <f>=H618*1.05</f>
        <v>274.05</v>
      </c>
      <c r="J618" s="40">
        <f>=F618*2</f>
        <v>469.8</v>
      </c>
      <c r="K618" s="40">
        <f>=H618*2</f>
        <v>522</v>
      </c>
      <c r="L618" s="40">
        <f>=I618*2</f>
        <v>548.1</v>
      </c>
      <c r="M618" s="41" t="s">
        <v>622</v>
      </c>
      <c r="N618" s="41">
        <v>0.2</v>
      </c>
      <c r="O618" s="41" t="s"/>
      <c r="P618" s="41">
        <v>2</v>
      </c>
      <c r="Q618" s="41">
        <v>2</v>
      </c>
      <c r="R618" s="41" t="s">
        <v>16</v>
      </c>
      <c r="S618" s="41" t="s">
        <v>17</v>
      </c>
      <c r="T618" s="41" t="s">
        <v>52</v>
      </c>
      <c r="U618" s="16" t="s">
        <v>13</v>
      </c>
      <c r="V618" s="16" t="s">
        <v>19</v>
      </c>
      <c r="W618" s="5" t="s"/>
      <c r="X618" s="34" t="s">
        <f>=M618&amp;N618&amp;P618&amp;Q618&amp;T618&amp;V618&amp;S618</f>
        <v>701</v>
      </c>
      <c r="Y618" s="19" t="s"/>
      <c r="Z618" s="19" t="s"/>
      <c r="AA618" s="19" t="s"/>
      <c r="AB618" s="19" t="s"/>
    </row>
    <row r="619" spans="1:28" ht="14.4">
      <c r="A619" s="4">
        <f>=H619/G619-1</f>
        <v>0.0994764397905759</v>
      </c>
      <c r="B619" s="20">
        <f>=F619/12</f>
        <v>31.5</v>
      </c>
      <c r="C619" s="20">
        <f>=J619/3</f>
        <v>252</v>
      </c>
      <c r="D619" s="20">
        <f>=K619/3</f>
        <v>280</v>
      </c>
      <c r="E619" s="20">
        <f>=L619/3</f>
        <v>294</v>
      </c>
      <c r="F619" s="20">
        <f>=H619*0.9</f>
        <v>378</v>
      </c>
      <c r="G619" s="21">
        <v>382</v>
      </c>
      <c r="H619" s="39">
        <v>420</v>
      </c>
      <c r="I619" s="40">
        <f>=H619*1.05</f>
        <v>441</v>
      </c>
      <c r="J619" s="40">
        <f>=F619*2</f>
        <v>756</v>
      </c>
      <c r="K619" s="40">
        <f>=H619*2</f>
        <v>840</v>
      </c>
      <c r="L619" s="40">
        <f>=I619*2</f>
        <v>882</v>
      </c>
      <c r="M619" s="41" t="s">
        <v>622</v>
      </c>
      <c r="N619" s="41">
        <v>0.2</v>
      </c>
      <c r="O619" s="41" t="s"/>
      <c r="P619" s="41">
        <v>3</v>
      </c>
      <c r="Q619" s="41">
        <v>3</v>
      </c>
      <c r="R619" s="41" t="s">
        <v>16</v>
      </c>
      <c r="S619" s="41" t="s">
        <v>17</v>
      </c>
      <c r="T619" s="41" t="s">
        <v>48</v>
      </c>
      <c r="U619" s="16" t="s">
        <v>13</v>
      </c>
      <c r="V619" s="16" t="s">
        <v>19</v>
      </c>
      <c r="W619" s="19" t="s"/>
      <c r="X619" s="34" t="s">
        <f>=M619&amp;N619&amp;P619&amp;Q619&amp;T619&amp;V619&amp;S619</f>
        <v>702</v>
      </c>
      <c r="Y619" s="19" t="s"/>
      <c r="Z619" s="19" t="s"/>
      <c r="AA619" s="19" t="s"/>
      <c r="AB619" s="19" t="s"/>
    </row>
    <row r="620" spans="1:28" ht="14.4">
      <c r="A620" s="4">
        <f>=H620/G620-1</f>
        <v>0.102272727272727</v>
      </c>
      <c r="B620" s="20">
        <f>=F620/12</f>
        <v>7.275</v>
      </c>
      <c r="C620" s="20">
        <f>=J620/3</f>
        <v>58.2</v>
      </c>
      <c r="D620" s="20">
        <f>=K620/3</f>
        <v>64.6666666666667</v>
      </c>
      <c r="E620" s="20">
        <f>=L620/3</f>
        <v>67.9</v>
      </c>
      <c r="F620" s="20">
        <f>=H620*0.9</f>
        <v>87.3</v>
      </c>
      <c r="G620" s="21">
        <v>88</v>
      </c>
      <c r="H620" s="39">
        <v>97</v>
      </c>
      <c r="I620" s="40">
        <f>=H620*1.05</f>
        <v>101.85</v>
      </c>
      <c r="J620" s="40">
        <f>=F620*2</f>
        <v>174.6</v>
      </c>
      <c r="K620" s="40">
        <f>=H620*2</f>
        <v>194</v>
      </c>
      <c r="L620" s="40">
        <f>=I620*2</f>
        <v>203.7</v>
      </c>
      <c r="M620" s="41" t="s">
        <v>622</v>
      </c>
      <c r="N620" s="41">
        <v>0.2</v>
      </c>
      <c r="O620" s="41" t="s"/>
      <c r="P620" s="41" t="s">
        <v>21</v>
      </c>
      <c r="Q620" s="41" t="s">
        <v>21</v>
      </c>
      <c r="R620" s="41" t="s">
        <v>16</v>
      </c>
      <c r="S620" s="41" t="s">
        <v>17</v>
      </c>
      <c r="T620" s="41" t="s">
        <v>46</v>
      </c>
      <c r="U620" s="16" t="s">
        <v>13</v>
      </c>
      <c r="V620" s="16" t="s">
        <v>19</v>
      </c>
      <c r="W620" s="5" t="s"/>
      <c r="X620" s="34" t="s">
        <f>=M620&amp;N620&amp;P620&amp;Q620&amp;T620&amp;V620&amp;S620</f>
        <v>703</v>
      </c>
      <c r="Y620" s="19" t="s"/>
      <c r="Z620" s="19" t="s"/>
      <c r="AA620" s="19" t="s"/>
      <c r="AB620" s="19" t="s"/>
    </row>
    <row r="621" spans="1:28" ht="14.4">
      <c r="A621" s="4">
        <f>=H621/G621-1</f>
        <v>0.102272727272727</v>
      </c>
      <c r="B621" s="20">
        <f>=F621/12</f>
        <v>7.275</v>
      </c>
      <c r="C621" s="20">
        <f>=J621/3</f>
        <v>58.2</v>
      </c>
      <c r="D621" s="20">
        <f>=K621/3</f>
        <v>64.6666666666667</v>
      </c>
      <c r="E621" s="20">
        <f>=L621/3</f>
        <v>67.9</v>
      </c>
      <c r="F621" s="20">
        <f>=H621*0.9</f>
        <v>87.3</v>
      </c>
      <c r="G621" s="21">
        <v>88</v>
      </c>
      <c r="H621" s="39">
        <v>97</v>
      </c>
      <c r="I621" s="40">
        <f>=H621*1.05</f>
        <v>101.85</v>
      </c>
      <c r="J621" s="40">
        <f>=F621*2</f>
        <v>174.6</v>
      </c>
      <c r="K621" s="40">
        <f>=H621*2</f>
        <v>194</v>
      </c>
      <c r="L621" s="40">
        <f>=I621*2</f>
        <v>203.7</v>
      </c>
      <c r="M621" s="41" t="s">
        <v>622</v>
      </c>
      <c r="N621" s="41">
        <v>0.21</v>
      </c>
      <c r="O621" s="41" t="s"/>
      <c r="P621" s="41" t="s">
        <v>21</v>
      </c>
      <c r="Q621" s="41" t="s">
        <v>21</v>
      </c>
      <c r="R621" s="41" t="s">
        <v>16</v>
      </c>
      <c r="S621" s="41" t="s">
        <v>17</v>
      </c>
      <c r="T621" s="41" t="s">
        <v>46</v>
      </c>
      <c r="U621" s="16" t="s">
        <v>13</v>
      </c>
      <c r="V621" s="16" t="s">
        <v>19</v>
      </c>
      <c r="W621" s="19" t="s"/>
      <c r="X621" s="26" t="s">
        <f>=M621&amp;N621&amp;P621&amp;Q621&amp;T621&amp;V621&amp;S621</f>
        <v>704</v>
      </c>
      <c r="Y621" s="19" t="s"/>
      <c r="Z621" s="19" t="s"/>
      <c r="AA621" s="19" t="s"/>
      <c r="AB621" s="19" t="s"/>
    </row>
    <row r="622" spans="1:28" ht="14.4">
      <c r="A622" s="4">
        <f>=H622/G622-1</f>
        <v>0.103174603174603</v>
      </c>
      <c r="B622" s="20">
        <f>=F622/12</f>
        <v>10.425</v>
      </c>
      <c r="C622" s="20">
        <f>=J622/3</f>
        <v>83.4</v>
      </c>
      <c r="D622" s="20">
        <f>=K622/3</f>
        <v>92.6666666666667</v>
      </c>
      <c r="E622" s="20">
        <f>=L622/3</f>
        <v>97.3</v>
      </c>
      <c r="F622" s="20">
        <f>=H622*0.9</f>
        <v>125.1</v>
      </c>
      <c r="G622" s="21">
        <v>126</v>
      </c>
      <c r="H622" s="39">
        <v>139</v>
      </c>
      <c r="I622" s="40">
        <f>=H622*1.05</f>
        <v>145.95</v>
      </c>
      <c r="J622" s="40">
        <f>=F622*2</f>
        <v>250.2</v>
      </c>
      <c r="K622" s="40">
        <f>=H622*2</f>
        <v>278</v>
      </c>
      <c r="L622" s="40">
        <f>=I622*2</f>
        <v>291.9</v>
      </c>
      <c r="M622" s="41" t="s">
        <v>622</v>
      </c>
      <c r="N622" s="41">
        <v>0.23</v>
      </c>
      <c r="O622" s="41" t="s"/>
      <c r="P622" s="41">
        <v>1</v>
      </c>
      <c r="Q622" s="41">
        <v>1</v>
      </c>
      <c r="R622" s="41" t="s">
        <v>16</v>
      </c>
      <c r="S622" s="41" t="s">
        <v>17</v>
      </c>
      <c r="T622" s="41" t="s">
        <v>52</v>
      </c>
      <c r="U622" s="16" t="s">
        <v>13</v>
      </c>
      <c r="V622" s="16" t="s">
        <v>19</v>
      </c>
      <c r="W622" s="19" t="s"/>
      <c r="X622" s="26" t="s">
        <f>=M622&amp;N622&amp;P622&amp;Q622&amp;T622&amp;V622&amp;S622</f>
        <v>705</v>
      </c>
      <c r="Y622" s="19" t="s"/>
      <c r="Z622" s="19" t="s"/>
      <c r="AA622" s="19" t="s"/>
      <c r="AB622" s="19" t="s"/>
    </row>
    <row r="623" spans="1:28" ht="14.4">
      <c r="A623" s="4">
        <f>=H623/G623-1</f>
        <v>0.1</v>
      </c>
      <c r="B623" s="20">
        <f>=F623/12</f>
        <v>19.8</v>
      </c>
      <c r="C623" s="20">
        <f>=J623/3</f>
        <v>158.4</v>
      </c>
      <c r="D623" s="20">
        <f>=K623/3</f>
        <v>176</v>
      </c>
      <c r="E623" s="20">
        <f>=L623/3</f>
        <v>184.8</v>
      </c>
      <c r="F623" s="20">
        <f>=H623*0.9</f>
        <v>237.6</v>
      </c>
      <c r="G623" s="21">
        <v>240</v>
      </c>
      <c r="H623" s="39">
        <v>264</v>
      </c>
      <c r="I623" s="40">
        <f>=H623*1.05</f>
        <v>277.2</v>
      </c>
      <c r="J623" s="40">
        <f>=F623*2</f>
        <v>475.2</v>
      </c>
      <c r="K623" s="40">
        <f>=H623*2</f>
        <v>528</v>
      </c>
      <c r="L623" s="40">
        <f>=I623*2</f>
        <v>554.4</v>
      </c>
      <c r="M623" s="41" t="s">
        <v>622</v>
      </c>
      <c r="N623" s="41">
        <v>0.23</v>
      </c>
      <c r="O623" s="41" t="s"/>
      <c r="P623" s="41">
        <v>2</v>
      </c>
      <c r="Q623" s="41">
        <v>2</v>
      </c>
      <c r="R623" s="41" t="s">
        <v>16</v>
      </c>
      <c r="S623" s="41" t="s">
        <v>17</v>
      </c>
      <c r="T623" s="41" t="s">
        <v>52</v>
      </c>
      <c r="U623" s="16" t="s">
        <v>13</v>
      </c>
      <c r="V623" s="16" t="s">
        <v>19</v>
      </c>
      <c r="W623" s="19" t="s"/>
      <c r="X623" s="26" t="s">
        <f>=M623&amp;N623&amp;P623&amp;Q623&amp;T623&amp;V623&amp;S623</f>
        <v>706</v>
      </c>
      <c r="Y623" s="19" t="s"/>
      <c r="Z623" s="19" t="s"/>
      <c r="AA623" s="19" t="s"/>
      <c r="AB623" s="19" t="s"/>
    </row>
    <row r="624" spans="1:28" ht="14.4">
      <c r="A624" s="4">
        <f>=H624/G624-1</f>
        <v>0.0994764397905759</v>
      </c>
      <c r="B624" s="20">
        <f>=F624/12</f>
        <v>31.5</v>
      </c>
      <c r="C624" s="20">
        <f>=J624/3</f>
        <v>252</v>
      </c>
      <c r="D624" s="20">
        <f>=K624/3</f>
        <v>280</v>
      </c>
      <c r="E624" s="20">
        <f>=L624/3</f>
        <v>294</v>
      </c>
      <c r="F624" s="20">
        <f>=H624*0.9</f>
        <v>378</v>
      </c>
      <c r="G624" s="21">
        <v>382</v>
      </c>
      <c r="H624" s="39">
        <v>420</v>
      </c>
      <c r="I624" s="40">
        <f>=H624*1.05</f>
        <v>441</v>
      </c>
      <c r="J624" s="40">
        <f>=F624*2</f>
        <v>756</v>
      </c>
      <c r="K624" s="40">
        <f>=H624*2</f>
        <v>840</v>
      </c>
      <c r="L624" s="40">
        <f>=I624*2</f>
        <v>882</v>
      </c>
      <c r="M624" s="41" t="s">
        <v>622</v>
      </c>
      <c r="N624" s="41">
        <v>0.23</v>
      </c>
      <c r="O624" s="41" t="s"/>
      <c r="P624" s="41">
        <v>3</v>
      </c>
      <c r="Q624" s="41">
        <v>3</v>
      </c>
      <c r="R624" s="41" t="s">
        <v>16</v>
      </c>
      <c r="S624" s="41" t="s">
        <v>17</v>
      </c>
      <c r="T624" s="41" t="s">
        <v>52</v>
      </c>
      <c r="U624" s="16" t="s">
        <v>13</v>
      </c>
      <c r="V624" s="16" t="s">
        <v>19</v>
      </c>
      <c r="W624" s="19" t="s"/>
      <c r="X624" s="26" t="s">
        <f>=M624&amp;N624&amp;P624&amp;Q624&amp;T624&amp;V624&amp;S624</f>
        <v>707</v>
      </c>
      <c r="Y624" s="19" t="s"/>
      <c r="Z624" s="19" t="s"/>
      <c r="AA624" s="19" t="s"/>
      <c r="AB624" s="19" t="s"/>
    </row>
    <row r="625" spans="1:28" ht="14.4">
      <c r="A625" s="4">
        <f>=H625/G625-1</f>
        <v>0.100156494522692</v>
      </c>
      <c r="B625" s="20">
        <f>=F625/12</f>
        <v>52.725</v>
      </c>
      <c r="C625" s="20">
        <f>=J625/3</f>
        <v>421.8</v>
      </c>
      <c r="D625" s="20">
        <f>=K625/3</f>
        <v>468.666666666667</v>
      </c>
      <c r="E625" s="20">
        <f>=L625/3</f>
        <v>492.1</v>
      </c>
      <c r="F625" s="20">
        <f>=H625*0.9</f>
        <v>632.7</v>
      </c>
      <c r="G625" s="21">
        <v>639</v>
      </c>
      <c r="H625" s="39">
        <v>703</v>
      </c>
      <c r="I625" s="40">
        <f>=H625*1.05</f>
        <v>738.15</v>
      </c>
      <c r="J625" s="40">
        <f>=F625*2</f>
        <v>1265.4</v>
      </c>
      <c r="K625" s="40">
        <f>=H625*2</f>
        <v>1406</v>
      </c>
      <c r="L625" s="40">
        <f>=I625*2</f>
        <v>1476.3</v>
      </c>
      <c r="M625" s="41" t="s">
        <v>622</v>
      </c>
      <c r="N625" s="41">
        <v>0.23</v>
      </c>
      <c r="O625" s="41" t="s"/>
      <c r="P625" s="41">
        <v>4</v>
      </c>
      <c r="Q625" s="41">
        <v>4</v>
      </c>
      <c r="R625" s="41" t="s">
        <v>16</v>
      </c>
      <c r="S625" s="41" t="s">
        <v>17</v>
      </c>
      <c r="T625" s="41" t="s">
        <v>52</v>
      </c>
      <c r="U625" s="16" t="s">
        <v>13</v>
      </c>
      <c r="V625" s="16" t="s">
        <v>19</v>
      </c>
      <c r="W625" s="19" t="s"/>
      <c r="X625" s="26" t="s">
        <f>=M625&amp;N625&amp;P625&amp;Q625&amp;T625&amp;V625&amp;S625</f>
        <v>708</v>
      </c>
      <c r="Y625" s="19" t="s"/>
      <c r="Z625" s="19" t="s"/>
      <c r="AA625" s="19" t="s"/>
      <c r="AB625" s="19" t="s"/>
    </row>
    <row r="626" spans="1:28" ht="14.4">
      <c r="A626" s="4">
        <f>=H626/G626-1</f>
        <v>0.0961538461538463</v>
      </c>
      <c r="B626" s="20">
        <f>=F626/12</f>
        <v>8.55</v>
      </c>
      <c r="C626" s="20">
        <f>=J626/3</f>
        <v>68.4</v>
      </c>
      <c r="D626" s="20">
        <f>=K626/3</f>
        <v>76</v>
      </c>
      <c r="E626" s="20">
        <f>=L626/3</f>
        <v>79.8</v>
      </c>
      <c r="F626" s="20">
        <f>=H626*0.9</f>
        <v>102.6</v>
      </c>
      <c r="G626" s="21">
        <v>104</v>
      </c>
      <c r="H626" s="39">
        <v>114</v>
      </c>
      <c r="I626" s="40">
        <f>=H626*1.05</f>
        <v>119.7</v>
      </c>
      <c r="J626" s="40">
        <f>=F626*2</f>
        <v>205.2</v>
      </c>
      <c r="K626" s="40">
        <f>=H626*2</f>
        <v>228</v>
      </c>
      <c r="L626" s="40">
        <f>=I626*2</f>
        <v>239.4</v>
      </c>
      <c r="M626" s="41" t="s">
        <v>622</v>
      </c>
      <c r="N626" s="41">
        <v>0.23</v>
      </c>
      <c r="O626" s="41" t="s"/>
      <c r="P626" s="41" t="s">
        <v>21</v>
      </c>
      <c r="Q626" s="41" t="s">
        <v>21</v>
      </c>
      <c r="R626" s="41" t="s">
        <v>16</v>
      </c>
      <c r="S626" s="41" t="s">
        <v>17</v>
      </c>
      <c r="T626" s="41" t="s">
        <v>52</v>
      </c>
      <c r="U626" s="16" t="s">
        <v>13</v>
      </c>
      <c r="V626" s="16" t="s">
        <v>19</v>
      </c>
      <c r="W626" s="19" t="s"/>
      <c r="X626" s="26" t="s">
        <f>=M626&amp;N626&amp;P626&amp;Q626&amp;T626&amp;V626&amp;S626</f>
        <v>709</v>
      </c>
      <c r="Y626" s="19" t="s"/>
      <c r="Z626" s="19" t="s"/>
      <c r="AA626" s="19" t="s"/>
      <c r="AB626" s="19" t="s"/>
    </row>
    <row r="627" spans="1:28" ht="14.4">
      <c r="A627" s="4">
        <f>=H627/G627-1</f>
        <v>0.103174603174603</v>
      </c>
      <c r="B627" s="20">
        <f>=F627/12</f>
        <v>10.425</v>
      </c>
      <c r="C627" s="20">
        <f>=J627/3</f>
        <v>83.4</v>
      </c>
      <c r="D627" s="20">
        <f>=K627/3</f>
        <v>92.6666666666667</v>
      </c>
      <c r="E627" s="20">
        <f>=L627/3</f>
        <v>97.3</v>
      </c>
      <c r="F627" s="20">
        <f>=H627*0.9</f>
        <v>125.1</v>
      </c>
      <c r="G627" s="21">
        <v>126</v>
      </c>
      <c r="H627" s="39">
        <v>139</v>
      </c>
      <c r="I627" s="40">
        <f>=H627*1.05</f>
        <v>145.95</v>
      </c>
      <c r="J627" s="40">
        <f>=F627*2</f>
        <v>250.2</v>
      </c>
      <c r="K627" s="40">
        <f>=H627*2</f>
        <v>278</v>
      </c>
      <c r="L627" s="40">
        <f>=I627*2</f>
        <v>291.9</v>
      </c>
      <c r="M627" s="41" t="s">
        <v>622</v>
      </c>
      <c r="N627" s="41">
        <v>0.25</v>
      </c>
      <c r="O627" s="41" t="s"/>
      <c r="P627" s="41">
        <v>1</v>
      </c>
      <c r="Q627" s="41">
        <v>1</v>
      </c>
      <c r="R627" s="41" t="s">
        <v>16</v>
      </c>
      <c r="S627" s="41" t="s">
        <v>17</v>
      </c>
      <c r="T627" s="41" t="s">
        <v>52</v>
      </c>
      <c r="U627" s="16" t="s">
        <v>13</v>
      </c>
      <c r="V627" s="16" t="s">
        <v>19</v>
      </c>
      <c r="W627" s="19" t="s"/>
      <c r="X627" s="26" t="s">
        <f>=M627&amp;N627&amp;P627&amp;Q627&amp;T627&amp;V627&amp;S627</f>
        <v>710</v>
      </c>
      <c r="Y627" s="19" t="s"/>
      <c r="Z627" s="19" t="s"/>
      <c r="AA627" s="19" t="s"/>
      <c r="AB627" s="19" t="s"/>
    </row>
    <row r="628" spans="1:28" ht="14.4">
      <c r="A628" s="4">
        <f>=H628/G628-1</f>
        <v>0.0808080808080809</v>
      </c>
      <c r="B628" s="20">
        <f>=F628/12</f>
        <v>16.05</v>
      </c>
      <c r="C628" s="20">
        <f>=J628/3</f>
        <v>128.4</v>
      </c>
      <c r="D628" s="20">
        <f>=K628/3</f>
        <v>142.666666666667</v>
      </c>
      <c r="E628" s="20">
        <f>=L628/3</f>
        <v>149.8</v>
      </c>
      <c r="F628" s="20">
        <f>=H628*0.9</f>
        <v>192.6</v>
      </c>
      <c r="G628" s="21">
        <v>198</v>
      </c>
      <c r="H628" s="39">
        <v>214</v>
      </c>
      <c r="I628" s="40">
        <f>=H628*1.05</f>
        <v>224.7</v>
      </c>
      <c r="J628" s="40">
        <f>=F628*2</f>
        <v>385.2</v>
      </c>
      <c r="K628" s="40">
        <f>=H628*2</f>
        <v>428</v>
      </c>
      <c r="L628" s="40">
        <f>=I628*2</f>
        <v>449.4</v>
      </c>
      <c r="M628" s="41" t="s">
        <v>622</v>
      </c>
      <c r="N628" s="41">
        <v>0.25</v>
      </c>
      <c r="O628" s="41" t="s"/>
      <c r="P628" s="41">
        <v>1</v>
      </c>
      <c r="Q628" s="41">
        <v>2</v>
      </c>
      <c r="R628" s="41" t="s">
        <v>16</v>
      </c>
      <c r="S628" s="41" t="s">
        <v>17</v>
      </c>
      <c r="T628" s="41" t="s">
        <v>52</v>
      </c>
      <c r="U628" s="16" t="s">
        <v>13</v>
      </c>
      <c r="V628" s="16" t="s">
        <v>19</v>
      </c>
      <c r="W628" s="19" t="s"/>
      <c r="X628" s="26" t="s">
        <f>=M628&amp;N628&amp;P628&amp;Q628&amp;T628&amp;V628&amp;S628</f>
        <v>711</v>
      </c>
      <c r="Y628" s="19" t="s"/>
      <c r="Z628" s="19" t="s"/>
      <c r="AA628" s="19" t="s"/>
      <c r="AB628" s="19" t="s"/>
    </row>
    <row r="629" spans="1:28" ht="14.4">
      <c r="A629" s="4">
        <f>=H629/G629-1</f>
        <v>0.101626016260163</v>
      </c>
      <c r="B629" s="20">
        <f>=F629/12</f>
        <v>20.325</v>
      </c>
      <c r="C629" s="20">
        <f>=J629/3</f>
        <v>162.6</v>
      </c>
      <c r="D629" s="20">
        <f>=K629/3</f>
        <v>180.666666666667</v>
      </c>
      <c r="E629" s="20">
        <f>=L629/3</f>
        <v>189.7</v>
      </c>
      <c r="F629" s="20">
        <f>=H629*0.9</f>
        <v>243.9</v>
      </c>
      <c r="G629" s="21">
        <v>246</v>
      </c>
      <c r="H629" s="39">
        <v>271</v>
      </c>
      <c r="I629" s="40">
        <f>=H629*1.05</f>
        <v>284.55</v>
      </c>
      <c r="J629" s="40">
        <f>=F629*2</f>
        <v>487.8</v>
      </c>
      <c r="K629" s="40">
        <f>=H629*2</f>
        <v>542</v>
      </c>
      <c r="L629" s="40">
        <f>=I629*2</f>
        <v>569.1</v>
      </c>
      <c r="M629" s="41" t="s">
        <v>622</v>
      </c>
      <c r="N629" s="41">
        <v>0.25</v>
      </c>
      <c r="O629" s="41" t="s"/>
      <c r="P629" s="41">
        <v>2</v>
      </c>
      <c r="Q629" s="41">
        <v>2</v>
      </c>
      <c r="R629" s="41" t="s">
        <v>16</v>
      </c>
      <c r="S629" s="41" t="s">
        <v>17</v>
      </c>
      <c r="T629" s="41" t="s">
        <v>52</v>
      </c>
      <c r="U629" s="16" t="s">
        <v>13</v>
      </c>
      <c r="V629" s="16" t="s">
        <v>19</v>
      </c>
      <c r="W629" s="19" t="s"/>
      <c r="X629" s="26" t="s">
        <f>=M629&amp;N629&amp;P629&amp;Q629&amp;T629&amp;V629&amp;S629</f>
        <v>712</v>
      </c>
      <c r="Y629" s="19" t="s"/>
      <c r="Z629" s="19" t="s"/>
      <c r="AA629" s="19" t="s"/>
      <c r="AB629" s="19" t="s"/>
    </row>
    <row r="630" spans="1:28" ht="14.4">
      <c r="A630" s="4">
        <f>=H630/G630-1</f>
        <v>0.0994764397905759</v>
      </c>
      <c r="B630" s="20">
        <f>=F630/12</f>
        <v>31.5</v>
      </c>
      <c r="C630" s="20">
        <f>=J630/3</f>
        <v>252</v>
      </c>
      <c r="D630" s="20">
        <f>=K630/3</f>
        <v>280</v>
      </c>
      <c r="E630" s="20">
        <f>=L630/3</f>
        <v>294</v>
      </c>
      <c r="F630" s="20">
        <f>=H630*0.9</f>
        <v>378</v>
      </c>
      <c r="G630" s="21">
        <v>382</v>
      </c>
      <c r="H630" s="39">
        <v>420</v>
      </c>
      <c r="I630" s="40">
        <f>=H630*1.05</f>
        <v>441</v>
      </c>
      <c r="J630" s="40">
        <f>=F630*2</f>
        <v>756</v>
      </c>
      <c r="K630" s="40">
        <f>=H630*2</f>
        <v>840</v>
      </c>
      <c r="L630" s="40">
        <f>=I630*2</f>
        <v>882</v>
      </c>
      <c r="M630" s="41" t="s">
        <v>622</v>
      </c>
      <c r="N630" s="41">
        <v>0.25</v>
      </c>
      <c r="O630" s="41" t="s"/>
      <c r="P630" s="41">
        <v>3</v>
      </c>
      <c r="Q630" s="41">
        <v>3</v>
      </c>
      <c r="R630" s="41" t="s">
        <v>16</v>
      </c>
      <c r="S630" s="41" t="s">
        <v>17</v>
      </c>
      <c r="T630" s="41" t="s">
        <v>52</v>
      </c>
      <c r="U630" s="16" t="s">
        <v>13</v>
      </c>
      <c r="V630" s="16" t="s">
        <v>19</v>
      </c>
      <c r="W630" s="19" t="s"/>
      <c r="X630" s="26" t="s">
        <f>=M630&amp;N630&amp;P630&amp;Q630&amp;T630&amp;V630&amp;S630</f>
        <v>713</v>
      </c>
      <c r="Y630" s="19" t="s"/>
      <c r="Z630" s="19" t="s"/>
      <c r="AA630" s="19" t="s"/>
      <c r="AB630" s="19" t="s"/>
    </row>
    <row r="631" spans="1:28" ht="14.4">
      <c r="A631" s="4">
        <f>=H631/G631-1</f>
        <v>0.0970873786407767</v>
      </c>
      <c r="B631" s="20">
        <f>=F631/12</f>
        <v>8.475</v>
      </c>
      <c r="C631" s="20">
        <f>=J631/3</f>
        <v>67.8</v>
      </c>
      <c r="D631" s="20">
        <f>=K631/3</f>
        <v>75.3333333333333</v>
      </c>
      <c r="E631" s="20">
        <f>=L631/3</f>
        <v>79.1</v>
      </c>
      <c r="F631" s="20">
        <f>=H631*0.9</f>
        <v>101.7</v>
      </c>
      <c r="G631" s="21">
        <v>103</v>
      </c>
      <c r="H631" s="39">
        <v>113</v>
      </c>
      <c r="I631" s="40">
        <f>=H631*1.05</f>
        <v>118.65</v>
      </c>
      <c r="J631" s="40">
        <f>=F631*2</f>
        <v>203.4</v>
      </c>
      <c r="K631" s="40">
        <f>=H631*2</f>
        <v>226</v>
      </c>
      <c r="L631" s="40">
        <f>=I631*2</f>
        <v>237.3</v>
      </c>
      <c r="M631" s="41" t="s">
        <v>622</v>
      </c>
      <c r="N631" s="41">
        <v>0.25</v>
      </c>
      <c r="O631" s="41" t="s"/>
      <c r="P631" s="41" t="s">
        <v>21</v>
      </c>
      <c r="Q631" s="41" t="s">
        <v>21</v>
      </c>
      <c r="R631" s="41" t="s">
        <v>16</v>
      </c>
      <c r="S631" s="41" t="s">
        <v>17</v>
      </c>
      <c r="T631" s="41" t="s">
        <v>52</v>
      </c>
      <c r="U631" s="16" t="s">
        <v>13</v>
      </c>
      <c r="V631" s="16" t="s">
        <v>19</v>
      </c>
      <c r="W631" s="19" t="s"/>
      <c r="X631" s="26" t="s">
        <f>=M631&amp;N631&amp;P631&amp;Q631&amp;T631&amp;V631&amp;S631</f>
        <v>714</v>
      </c>
      <c r="Y631" s="19" t="s"/>
      <c r="Z631" s="19" t="s"/>
      <c r="AA631" s="19" t="s"/>
      <c r="AB631" s="19" t="s"/>
    </row>
    <row r="632" spans="1:28" ht="14.4">
      <c r="A632" s="4">
        <f>=H632/G632-1</f>
        <v>0.0981308411214954</v>
      </c>
      <c r="B632" s="20">
        <f>=F632/12</f>
        <v>17.625</v>
      </c>
      <c r="C632" s="20">
        <f>=J632/3</f>
        <v>141</v>
      </c>
      <c r="D632" s="20">
        <f>=K632/3</f>
        <v>156.666666666667</v>
      </c>
      <c r="E632" s="20">
        <f>=L632/3</f>
        <v>164.5</v>
      </c>
      <c r="F632" s="20">
        <f>=H632*0.9</f>
        <v>211.5</v>
      </c>
      <c r="G632" s="21">
        <v>214</v>
      </c>
      <c r="H632" s="39">
        <v>235</v>
      </c>
      <c r="I632" s="40">
        <f>=H632*1.05</f>
        <v>246.75</v>
      </c>
      <c r="J632" s="40">
        <f>=F632*2</f>
        <v>423</v>
      </c>
      <c r="K632" s="40">
        <f>=H632*2</f>
        <v>470</v>
      </c>
      <c r="L632" s="40">
        <f>=I632*2</f>
        <v>493.5</v>
      </c>
      <c r="M632" s="41" t="s">
        <v>622</v>
      </c>
      <c r="N632" s="41">
        <v>0.25</v>
      </c>
      <c r="O632" s="41" t="s"/>
      <c r="P632" s="41" t="s">
        <v>21</v>
      </c>
      <c r="Q632" s="41">
        <v>2</v>
      </c>
      <c r="R632" s="41" t="s">
        <v>16</v>
      </c>
      <c r="S632" s="41" t="s">
        <v>17</v>
      </c>
      <c r="T632" s="41" t="s">
        <v>52</v>
      </c>
      <c r="U632" s="16" t="s">
        <v>13</v>
      </c>
      <c r="V632" s="16" t="s">
        <v>19</v>
      </c>
      <c r="W632" s="19" t="s"/>
      <c r="X632" s="26" t="s">
        <f>=M632&amp;N632&amp;P632&amp;Q632&amp;T632&amp;V632&amp;S632</f>
        <v>715</v>
      </c>
      <c r="Y632" s="19" t="s"/>
      <c r="Z632" s="19" t="s"/>
      <c r="AA632" s="19" t="s"/>
      <c r="AB632" s="19" t="s"/>
    </row>
    <row r="633" spans="1:28" ht="14.4">
      <c r="A633" s="4">
        <f>=H633/G633-1</f>
        <v>0.10188679245283</v>
      </c>
      <c r="B633" s="20">
        <f>=F633/12</f>
        <v>21.9</v>
      </c>
      <c r="C633" s="20">
        <f>=J633/3</f>
        <v>175.2</v>
      </c>
      <c r="D633" s="20">
        <f>=K633/3</f>
        <v>194.666666666667</v>
      </c>
      <c r="E633" s="20">
        <f>=L633/3</f>
        <v>204.4</v>
      </c>
      <c r="F633" s="20">
        <f>=H633*0.9</f>
        <v>262.8</v>
      </c>
      <c r="G633" s="21">
        <v>265</v>
      </c>
      <c r="H633" s="39">
        <v>292</v>
      </c>
      <c r="I633" s="40">
        <f>=H633*1.05</f>
        <v>306.6</v>
      </c>
      <c r="J633" s="40">
        <f>=F633*2</f>
        <v>525.6</v>
      </c>
      <c r="K633" s="40">
        <f>=H633*2</f>
        <v>584</v>
      </c>
      <c r="L633" s="40">
        <f>=I633*2</f>
        <v>613.2</v>
      </c>
      <c r="M633" s="41" t="s">
        <v>622</v>
      </c>
      <c r="N633" s="41">
        <v>0.26</v>
      </c>
      <c r="O633" s="41" t="s"/>
      <c r="P633" s="41">
        <v>2</v>
      </c>
      <c r="Q633" s="41">
        <v>2</v>
      </c>
      <c r="R633" s="41" t="s">
        <v>16</v>
      </c>
      <c r="S633" s="41" t="s">
        <v>17</v>
      </c>
      <c r="T633" s="41" t="s">
        <v>52</v>
      </c>
      <c r="U633" s="16" t="s">
        <v>13</v>
      </c>
      <c r="V633" s="16" t="s">
        <v>19</v>
      </c>
      <c r="W633" s="19" t="s"/>
      <c r="X633" s="26" t="s">
        <f>=M633&amp;N633&amp;P633&amp;Q633&amp;T633&amp;V633&amp;S633</f>
        <v>716</v>
      </c>
      <c r="Y633" s="19" t="s"/>
      <c r="Z633" s="19" t="s"/>
      <c r="AA633" s="19" t="s"/>
      <c r="AB633" s="19" t="s"/>
    </row>
    <row r="634" spans="1:28" ht="14.4">
      <c r="A634" s="4">
        <f>=H634/G634-1</f>
        <v>0.0980392156862746</v>
      </c>
      <c r="B634" s="20">
        <f>=F634/12</f>
        <v>8.4</v>
      </c>
      <c r="C634" s="20">
        <f>=J634/3</f>
        <v>67.2</v>
      </c>
      <c r="D634" s="20">
        <f>=K634/3</f>
        <v>74.6666666666667</v>
      </c>
      <c r="E634" s="20">
        <f>=L634/3</f>
        <v>78.4</v>
      </c>
      <c r="F634" s="20">
        <f>=H634*0.9</f>
        <v>100.8</v>
      </c>
      <c r="G634" s="21">
        <v>102</v>
      </c>
      <c r="H634" s="39">
        <v>112</v>
      </c>
      <c r="I634" s="40">
        <f>=H634*1.05</f>
        <v>117.6</v>
      </c>
      <c r="J634" s="40">
        <f>=F634*2</f>
        <v>201.6</v>
      </c>
      <c r="K634" s="40">
        <f>=H634*2</f>
        <v>224</v>
      </c>
      <c r="L634" s="40">
        <f>=I634*2</f>
        <v>235.2</v>
      </c>
      <c r="M634" s="41" t="s">
        <v>622</v>
      </c>
      <c r="N634" s="41">
        <v>0.26</v>
      </c>
      <c r="O634" s="41" t="s"/>
      <c r="P634" s="41" t="s">
        <v>21</v>
      </c>
      <c r="Q634" s="41" t="s">
        <v>21</v>
      </c>
      <c r="R634" s="41" t="s">
        <v>16</v>
      </c>
      <c r="S634" s="41" t="s">
        <v>17</v>
      </c>
      <c r="T634" s="41" t="s">
        <v>52</v>
      </c>
      <c r="U634" s="16" t="s">
        <v>13</v>
      </c>
      <c r="V634" s="16" t="s">
        <v>19</v>
      </c>
      <c r="W634" s="19" t="s"/>
      <c r="X634" s="26" t="s">
        <f>=M634&amp;N634&amp;P634&amp;Q634&amp;T634&amp;V634&amp;S634</f>
        <v>717</v>
      </c>
      <c r="Y634" s="19" t="s"/>
      <c r="Z634" s="19" t="s"/>
      <c r="AA634" s="19" t="s"/>
      <c r="AB634" s="19" t="s"/>
    </row>
    <row r="635" spans="1:28" ht="14.4">
      <c r="A635" s="4">
        <f>=H635/G635-1</f>
        <v>0.103174603174603</v>
      </c>
      <c r="B635" s="20">
        <f>=F635/12</f>
        <v>10.425</v>
      </c>
      <c r="C635" s="20">
        <f>=J635/3</f>
        <v>83.4</v>
      </c>
      <c r="D635" s="20">
        <f>=K635/3</f>
        <v>92.6666666666667</v>
      </c>
      <c r="E635" s="20">
        <f>=L635/3</f>
        <v>97.3</v>
      </c>
      <c r="F635" s="20">
        <f>=H635*0.9</f>
        <v>125.1</v>
      </c>
      <c r="G635" s="21">
        <v>126</v>
      </c>
      <c r="H635" s="39">
        <v>139</v>
      </c>
      <c r="I635" s="40">
        <f>=H635*1.05</f>
        <v>145.95</v>
      </c>
      <c r="J635" s="40">
        <f>=F635*2</f>
        <v>250.2</v>
      </c>
      <c r="K635" s="40">
        <f>=H635*2</f>
        <v>278</v>
      </c>
      <c r="L635" s="40">
        <f>=I635*2</f>
        <v>291.9</v>
      </c>
      <c r="M635" s="41" t="s">
        <v>622</v>
      </c>
      <c r="N635" s="41">
        <v>0.28</v>
      </c>
      <c r="O635" s="41" t="s"/>
      <c r="P635" s="41">
        <v>1</v>
      </c>
      <c r="Q635" s="41">
        <v>1</v>
      </c>
      <c r="R635" s="41" t="s">
        <v>16</v>
      </c>
      <c r="S635" s="41" t="s">
        <v>17</v>
      </c>
      <c r="T635" s="41" t="s">
        <v>63</v>
      </c>
      <c r="U635" s="16" t="s">
        <v>13</v>
      </c>
      <c r="V635" s="16" t="s">
        <v>19</v>
      </c>
      <c r="W635" s="19" t="s"/>
      <c r="X635" s="26" t="s">
        <f>=M635&amp;N635&amp;P635&amp;Q635&amp;T635&amp;V635&amp;S635</f>
        <v>718</v>
      </c>
      <c r="Y635" s="19" t="s"/>
      <c r="Z635" s="19" t="s"/>
      <c r="AA635" s="19" t="s"/>
      <c r="AB635" s="19" t="s"/>
    </row>
    <row r="636" spans="1:28" ht="14.4">
      <c r="A636" s="4">
        <f>=H636/G636-1</f>
        <v>0.1</v>
      </c>
      <c r="B636" s="20">
        <f>=F636/12</f>
        <v>25.575</v>
      </c>
      <c r="C636" s="20">
        <f>=J636/3</f>
        <v>204.6</v>
      </c>
      <c r="D636" s="20">
        <f>=K636/3</f>
        <v>227.333333333333</v>
      </c>
      <c r="E636" s="20">
        <f>=L636/3</f>
        <v>238.7</v>
      </c>
      <c r="F636" s="20">
        <f>=H636*0.9</f>
        <v>306.9</v>
      </c>
      <c r="G636" s="21">
        <v>310</v>
      </c>
      <c r="H636" s="39">
        <v>341</v>
      </c>
      <c r="I636" s="40">
        <f>=H636*1.05</f>
        <v>358.05</v>
      </c>
      <c r="J636" s="40">
        <f>=F636*2</f>
        <v>613.8</v>
      </c>
      <c r="K636" s="40">
        <f>=H636*2</f>
        <v>682</v>
      </c>
      <c r="L636" s="40">
        <f>=I636*2</f>
        <v>716.1</v>
      </c>
      <c r="M636" s="41" t="s">
        <v>622</v>
      </c>
      <c r="N636" s="41">
        <v>0.305</v>
      </c>
      <c r="O636" s="41" t="s"/>
      <c r="P636" s="41">
        <v>2</v>
      </c>
      <c r="Q636" s="41">
        <v>2</v>
      </c>
      <c r="R636" s="41" t="s">
        <v>16</v>
      </c>
      <c r="S636" s="41" t="s">
        <v>17</v>
      </c>
      <c r="T636" s="41" t="s">
        <v>325</v>
      </c>
      <c r="U636" s="16" t="s">
        <v>13</v>
      </c>
      <c r="V636" s="16" t="s">
        <v>19</v>
      </c>
      <c r="W636" s="19" t="s"/>
      <c r="X636" s="26" t="s">
        <f>=M636&amp;N636&amp;P636&amp;Q636&amp;T636&amp;V636&amp;S636</f>
        <v>719</v>
      </c>
      <c r="Y636" s="19" t="s"/>
      <c r="Z636" s="19" t="s"/>
      <c r="AA636" s="19" t="s"/>
      <c r="AB636" s="19" t="s"/>
    </row>
    <row r="637" spans="1:28" ht="14.4">
      <c r="A637" s="4">
        <f>=H637/G637-1</f>
        <v>0.1015625</v>
      </c>
      <c r="B637" s="20">
        <f>=F637/12</f>
        <v>10.575</v>
      </c>
      <c r="C637" s="20">
        <f>=J637/3</f>
        <v>84.6</v>
      </c>
      <c r="D637" s="20">
        <f>=K637/3</f>
        <v>94</v>
      </c>
      <c r="E637" s="20">
        <f>=L637/3</f>
        <v>98.7</v>
      </c>
      <c r="F637" s="20">
        <f>=H637*0.9</f>
        <v>126.9</v>
      </c>
      <c r="G637" s="21">
        <v>128</v>
      </c>
      <c r="H637" s="39">
        <v>141</v>
      </c>
      <c r="I637" s="40">
        <f>=H637*1.05</f>
        <v>148.05</v>
      </c>
      <c r="J637" s="40">
        <f>=F637*2</f>
        <v>253.8</v>
      </c>
      <c r="K637" s="40">
        <f>=H637*2</f>
        <v>282</v>
      </c>
      <c r="L637" s="40">
        <f>=I637*2</f>
        <v>296.1</v>
      </c>
      <c r="M637" s="41" t="s">
        <v>622</v>
      </c>
      <c r="N637" s="41">
        <v>0.3</v>
      </c>
      <c r="O637" s="41" t="s"/>
      <c r="P637" s="41">
        <v>1</v>
      </c>
      <c r="Q637" s="41">
        <v>1</v>
      </c>
      <c r="R637" s="41" t="s">
        <v>16</v>
      </c>
      <c r="S637" s="41" t="s">
        <v>17</v>
      </c>
      <c r="T637" s="41" t="s">
        <v>67</v>
      </c>
      <c r="U637" s="16" t="s">
        <v>13</v>
      </c>
      <c r="V637" s="16" t="s">
        <v>19</v>
      </c>
      <c r="W637" s="19" t="s"/>
      <c r="X637" s="26" t="s">
        <f>=M637&amp;N637&amp;P637&amp;Q637&amp;T637&amp;V637&amp;S637</f>
        <v>720</v>
      </c>
      <c r="Y637" s="19" t="s"/>
      <c r="Z637" s="19" t="s"/>
      <c r="AA637" s="19" t="s"/>
      <c r="AB637" s="19" t="s"/>
    </row>
    <row r="638" spans="1:28" ht="14.4">
      <c r="A638" s="4">
        <f>=H638/G638-1</f>
        <v>0.1</v>
      </c>
      <c r="B638" s="20">
        <f>=F638/12</f>
        <v>17.325</v>
      </c>
      <c r="C638" s="20">
        <f>=J638/3</f>
        <v>138.6</v>
      </c>
      <c r="D638" s="20">
        <f>=K638/3</f>
        <v>154</v>
      </c>
      <c r="E638" s="20">
        <f>=L638/3</f>
        <v>161.7</v>
      </c>
      <c r="F638" s="20">
        <f>=H638*0.9</f>
        <v>207.9</v>
      </c>
      <c r="G638" s="21">
        <v>210</v>
      </c>
      <c r="H638" s="39">
        <v>231</v>
      </c>
      <c r="I638" s="40">
        <f>=H638*1.05</f>
        <v>242.55</v>
      </c>
      <c r="J638" s="40">
        <f>=F638*2</f>
        <v>415.8</v>
      </c>
      <c r="K638" s="40">
        <f>=H638*2</f>
        <v>462</v>
      </c>
      <c r="L638" s="40">
        <f>=I638*2</f>
        <v>485.1</v>
      </c>
      <c r="M638" s="41" t="s">
        <v>622</v>
      </c>
      <c r="N638" s="41">
        <v>0.3</v>
      </c>
      <c r="O638" s="41" t="s"/>
      <c r="P638" s="41">
        <v>2</v>
      </c>
      <c r="Q638" s="41">
        <v>1</v>
      </c>
      <c r="R638" s="41" t="s">
        <v>16</v>
      </c>
      <c r="S638" s="41" t="s">
        <v>17</v>
      </c>
      <c r="T638" s="41" t="s">
        <v>67</v>
      </c>
      <c r="U638" s="16" t="s">
        <v>13</v>
      </c>
      <c r="V638" s="16" t="s">
        <v>19</v>
      </c>
      <c r="W638" s="19" t="s"/>
      <c r="X638" s="26" t="s">
        <f>=M638&amp;N638&amp;P638&amp;Q638&amp;T638&amp;V638&amp;S638</f>
        <v>721</v>
      </c>
      <c r="Y638" s="19" t="s"/>
      <c r="Z638" s="19" t="s"/>
      <c r="AA638" s="19" t="s"/>
      <c r="AB638" s="19" t="s"/>
    </row>
    <row r="639" spans="1:28" ht="14.4">
      <c r="A639" s="4">
        <f>=H639/G639-1</f>
        <v>0.0991735537190082</v>
      </c>
      <c r="B639" s="20">
        <f>=F639/12</f>
        <v>19.95</v>
      </c>
      <c r="C639" s="20">
        <f>=J639/3</f>
        <v>159.6</v>
      </c>
      <c r="D639" s="20">
        <f>=K639/3</f>
        <v>177.333333333333</v>
      </c>
      <c r="E639" s="20">
        <f>=L639/3</f>
        <v>186.2</v>
      </c>
      <c r="F639" s="20">
        <f>=H639*0.9</f>
        <v>239.4</v>
      </c>
      <c r="G639" s="21">
        <v>242</v>
      </c>
      <c r="H639" s="39">
        <v>266</v>
      </c>
      <c r="I639" s="40">
        <f>=H639*1.05</f>
        <v>279.3</v>
      </c>
      <c r="J639" s="40">
        <f>=F639*2</f>
        <v>478.8</v>
      </c>
      <c r="K639" s="40">
        <f>=H639*2</f>
        <v>532</v>
      </c>
      <c r="L639" s="40">
        <f>=I639*2</f>
        <v>558.6</v>
      </c>
      <c r="M639" s="41" t="s">
        <v>622</v>
      </c>
      <c r="N639" s="41">
        <v>0.3</v>
      </c>
      <c r="O639" s="41" t="s"/>
      <c r="P639" s="41">
        <v>2</v>
      </c>
      <c r="Q639" s="41">
        <v>2</v>
      </c>
      <c r="R639" s="41" t="s">
        <v>16</v>
      </c>
      <c r="S639" s="41" t="s">
        <v>17</v>
      </c>
      <c r="T639" s="41" t="s">
        <v>67</v>
      </c>
      <c r="U639" s="16" t="s">
        <v>13</v>
      </c>
      <c r="V639" s="16" t="s">
        <v>19</v>
      </c>
      <c r="W639" s="19" t="s"/>
      <c r="X639" s="26" t="s">
        <f>=M639&amp;N639&amp;P639&amp;Q639&amp;T639&amp;V639&amp;S639</f>
        <v>722</v>
      </c>
      <c r="Y639" s="19" t="s"/>
      <c r="Z639" s="19" t="s"/>
      <c r="AA639" s="19" t="s"/>
      <c r="AB639" s="19" t="s"/>
    </row>
    <row r="640" spans="1:28" ht="14.4">
      <c r="A640" s="4">
        <f>=H640/G640-1</f>
        <v>0.0989583333333333</v>
      </c>
      <c r="B640" s="20">
        <f>=F640/12</f>
        <v>31.65</v>
      </c>
      <c r="C640" s="20">
        <f>=J640/3</f>
        <v>253.2</v>
      </c>
      <c r="D640" s="20">
        <f>=K640/3</f>
        <v>281.333333333333</v>
      </c>
      <c r="E640" s="20">
        <f>=L640/3</f>
        <v>295.4</v>
      </c>
      <c r="F640" s="20">
        <f>=H640*0.9</f>
        <v>379.8</v>
      </c>
      <c r="G640" s="21">
        <v>384</v>
      </c>
      <c r="H640" s="39">
        <v>422</v>
      </c>
      <c r="I640" s="40">
        <f>=H640*1.05</f>
        <v>443.1</v>
      </c>
      <c r="J640" s="40">
        <f>=F640*2</f>
        <v>759.6</v>
      </c>
      <c r="K640" s="40">
        <f>=H640*2</f>
        <v>844</v>
      </c>
      <c r="L640" s="40">
        <f>=I640*2</f>
        <v>886.2</v>
      </c>
      <c r="M640" s="41" t="s">
        <v>622</v>
      </c>
      <c r="N640" s="41">
        <v>0.3</v>
      </c>
      <c r="O640" s="41" t="s"/>
      <c r="P640" s="41">
        <v>3</v>
      </c>
      <c r="Q640" s="41">
        <v>3</v>
      </c>
      <c r="R640" s="41" t="s">
        <v>16</v>
      </c>
      <c r="S640" s="41" t="s">
        <v>17</v>
      </c>
      <c r="T640" s="41" t="s">
        <v>67</v>
      </c>
      <c r="U640" s="16" t="s">
        <v>13</v>
      </c>
      <c r="V640" s="16" t="s">
        <v>19</v>
      </c>
      <c r="W640" s="19" t="s"/>
      <c r="X640" s="26" t="s">
        <f>=M640&amp;N640&amp;P640&amp;Q640&amp;T640&amp;V640&amp;S640</f>
        <v>723</v>
      </c>
      <c r="Y640" s="19" t="s"/>
      <c r="Z640" s="19" t="s"/>
      <c r="AA640" s="19" t="s"/>
      <c r="AB640" s="19" t="s"/>
    </row>
    <row r="641" spans="1:28" ht="14.4">
      <c r="A641" s="4">
        <f>=H641/G641-1</f>
        <v>0.0961538461538463</v>
      </c>
      <c r="B641" s="20">
        <f>=F641/12</f>
        <v>8.55</v>
      </c>
      <c r="C641" s="20">
        <f>=J641/3</f>
        <v>68.4</v>
      </c>
      <c r="D641" s="20">
        <f>=K641/3</f>
        <v>76</v>
      </c>
      <c r="E641" s="20">
        <f>=L641/3</f>
        <v>79.8</v>
      </c>
      <c r="F641" s="20">
        <f>=H641*0.9</f>
        <v>102.6</v>
      </c>
      <c r="G641" s="21">
        <v>104</v>
      </c>
      <c r="H641" s="39">
        <v>114</v>
      </c>
      <c r="I641" s="40">
        <f>=H641*1.05</f>
        <v>119.7</v>
      </c>
      <c r="J641" s="40">
        <f>=F641*2</f>
        <v>205.2</v>
      </c>
      <c r="K641" s="40">
        <f>=H641*2</f>
        <v>228</v>
      </c>
      <c r="L641" s="40">
        <f>=I641*2</f>
        <v>239.4</v>
      </c>
      <c r="M641" s="41" t="s">
        <v>622</v>
      </c>
      <c r="N641" s="41">
        <v>0.3</v>
      </c>
      <c r="O641" s="41" t="s"/>
      <c r="P641" s="41" t="s">
        <v>21</v>
      </c>
      <c r="Q641" s="41" t="s">
        <v>21</v>
      </c>
      <c r="R641" s="41" t="s">
        <v>16</v>
      </c>
      <c r="S641" s="41" t="s">
        <v>17</v>
      </c>
      <c r="T641" s="41" t="s">
        <v>67</v>
      </c>
      <c r="U641" s="16" t="s">
        <v>13</v>
      </c>
      <c r="V641" s="16" t="s">
        <v>19</v>
      </c>
      <c r="W641" s="19" t="s"/>
      <c r="X641" s="26" t="s">
        <f>=M641&amp;N641&amp;P641&amp;Q641&amp;T641&amp;V641&amp;S641</f>
        <v>724</v>
      </c>
      <c r="Y641" s="19" t="s"/>
      <c r="Z641" s="19" t="s"/>
      <c r="AA641" s="19" t="s"/>
      <c r="AB641" s="19" t="s"/>
    </row>
    <row r="642" spans="1:28" ht="14.4">
      <c r="A642" s="4">
        <f>=H642/G642-1</f>
        <v>0.104761904761905</v>
      </c>
      <c r="B642" s="20">
        <f>=F642/12</f>
        <v>8.7</v>
      </c>
      <c r="C642" s="20">
        <f>=J642/3</f>
        <v>69.6</v>
      </c>
      <c r="D642" s="20">
        <f>=K642/3</f>
        <v>77.3333333333333</v>
      </c>
      <c r="E642" s="20">
        <f>=L642/3</f>
        <v>81.2</v>
      </c>
      <c r="F642" s="20">
        <f>=H642*0.9</f>
        <v>104.4</v>
      </c>
      <c r="G642" s="21">
        <v>105</v>
      </c>
      <c r="H642" s="39">
        <v>116</v>
      </c>
      <c r="I642" s="40">
        <f>=H642*1.05</f>
        <v>121.8</v>
      </c>
      <c r="J642" s="40">
        <f>=F642*2</f>
        <v>208.8</v>
      </c>
      <c r="K642" s="40">
        <f>=H642*2</f>
        <v>232</v>
      </c>
      <c r="L642" s="40">
        <f>=I642*2</f>
        <v>243.6</v>
      </c>
      <c r="M642" s="41" t="s">
        <v>622</v>
      </c>
      <c r="N642" s="41">
        <v>0.3</v>
      </c>
      <c r="O642" s="41" t="s"/>
      <c r="P642" s="41" t="s">
        <v>21</v>
      </c>
      <c r="Q642" s="41" t="s">
        <v>21</v>
      </c>
      <c r="R642" s="41" t="s">
        <v>16</v>
      </c>
      <c r="S642" s="41" t="s">
        <v>17</v>
      </c>
      <c r="T642" s="41" t="s">
        <v>325</v>
      </c>
      <c r="U642" s="16" t="s">
        <v>13</v>
      </c>
      <c r="V642" s="16" t="s">
        <v>19</v>
      </c>
      <c r="W642" s="19" t="s"/>
      <c r="X642" s="26" t="s">
        <f>=M642&amp;N642&amp;P642&amp;Q642&amp;T642&amp;V642&amp;S642</f>
        <v>725</v>
      </c>
      <c r="Y642" s="19" t="s"/>
      <c r="Z642" s="19" t="s"/>
      <c r="AA642" s="19" t="s"/>
      <c r="AB642" s="19" t="s"/>
    </row>
    <row r="643" spans="1:28" ht="14.4">
      <c r="A643" s="4">
        <f>=H643/G643-1</f>
        <v>0.0996884735202493</v>
      </c>
      <c r="B643" s="20">
        <f>=F643/12</f>
        <v>52.95</v>
      </c>
      <c r="C643" s="20">
        <f>=J643/3</f>
        <v>423.6</v>
      </c>
      <c r="D643" s="20">
        <f>=K643/3</f>
        <v>470.666666666667</v>
      </c>
      <c r="E643" s="20">
        <f>=L643/3</f>
        <v>494.2</v>
      </c>
      <c r="F643" s="20">
        <f>=H643*0.9</f>
        <v>635.4</v>
      </c>
      <c r="G643" s="21">
        <v>642</v>
      </c>
      <c r="H643" s="39">
        <v>706</v>
      </c>
      <c r="I643" s="40">
        <f>=H643*1.05</f>
        <v>741.3</v>
      </c>
      <c r="J643" s="40">
        <f>=F643*2</f>
        <v>1270.8</v>
      </c>
      <c r="K643" s="40">
        <f>=H643*2</f>
        <v>1412</v>
      </c>
      <c r="L643" s="40">
        <f>=I643*2</f>
        <v>1482.6</v>
      </c>
      <c r="M643" s="41" t="s">
        <v>622</v>
      </c>
      <c r="N643" s="41">
        <v>0.32</v>
      </c>
      <c r="O643" s="41" t="s"/>
      <c r="P643" s="41">
        <v>4</v>
      </c>
      <c r="Q643" s="41">
        <v>4</v>
      </c>
      <c r="R643" s="41" t="s">
        <v>16</v>
      </c>
      <c r="S643" s="41" t="s">
        <v>17</v>
      </c>
      <c r="T643" s="41" t="s">
        <v>67</v>
      </c>
      <c r="U643" s="16" t="s">
        <v>13</v>
      </c>
      <c r="V643" s="16" t="s">
        <v>19</v>
      </c>
      <c r="W643" s="19" t="s"/>
      <c r="X643" s="26" t="s">
        <f>=M643&amp;N643&amp;P643&amp;Q643&amp;T643&amp;V643&amp;S643</f>
        <v>726</v>
      </c>
      <c r="Y643" s="19" t="s"/>
      <c r="Z643" s="19" t="s"/>
      <c r="AA643" s="19" t="s"/>
      <c r="AB643" s="19" t="s"/>
    </row>
    <row r="644" spans="1:28" ht="14.4">
      <c r="A644" s="4">
        <f>=H644/G644-1</f>
        <v>0.0977443609022557</v>
      </c>
      <c r="B644" s="20">
        <f>=F644/12</f>
        <v>10.95</v>
      </c>
      <c r="C644" s="20">
        <f>=J644/3</f>
        <v>87.6</v>
      </c>
      <c r="D644" s="20">
        <f>=K644/3</f>
        <v>97.3333333333333</v>
      </c>
      <c r="E644" s="20">
        <f>=L644/3</f>
        <v>102.2</v>
      </c>
      <c r="F644" s="20">
        <f>=H644*0.9</f>
        <v>131.4</v>
      </c>
      <c r="G644" s="21">
        <v>133</v>
      </c>
      <c r="H644" s="39">
        <v>146</v>
      </c>
      <c r="I644" s="40">
        <f>=H644*1.05</f>
        <v>153.3</v>
      </c>
      <c r="J644" s="40">
        <f>=F644*2</f>
        <v>262.8</v>
      </c>
      <c r="K644" s="40">
        <f>=H644*2</f>
        <v>292</v>
      </c>
      <c r="L644" s="40">
        <f>=I644*2</f>
        <v>306.6</v>
      </c>
      <c r="M644" s="41" t="s">
        <v>622</v>
      </c>
      <c r="N644" s="41">
        <v>0.33</v>
      </c>
      <c r="O644" s="41" t="s"/>
      <c r="P644" s="41">
        <v>1</v>
      </c>
      <c r="Q644" s="41">
        <v>1</v>
      </c>
      <c r="R644" s="41" t="s">
        <v>16</v>
      </c>
      <c r="S644" s="41" t="s">
        <v>17</v>
      </c>
      <c r="T644" s="41" t="s">
        <v>67</v>
      </c>
      <c r="U644" s="16" t="s">
        <v>13</v>
      </c>
      <c r="V644" s="16" t="s">
        <v>215</v>
      </c>
      <c r="W644" s="19" t="s"/>
      <c r="X644" s="26" t="s">
        <f>=M644&amp;N644&amp;P644&amp;Q644&amp;T644&amp;V644&amp;S644</f>
        <v>727</v>
      </c>
      <c r="Y644" s="19" t="s"/>
      <c r="Z644" s="19" t="s"/>
      <c r="AA644" s="19" t="s"/>
      <c r="AB644" s="19" t="s"/>
    </row>
    <row r="645" spans="1:28" ht="14.4">
      <c r="A645" s="4">
        <f>=H645/G645-1</f>
        <v>0.1015625</v>
      </c>
      <c r="B645" s="20">
        <f>=F645/12</f>
        <v>10.575</v>
      </c>
      <c r="C645" s="20">
        <f>=J645/3</f>
        <v>84.6</v>
      </c>
      <c r="D645" s="20">
        <f>=K645/3</f>
        <v>94</v>
      </c>
      <c r="E645" s="20">
        <f>=L645/3</f>
        <v>98.7</v>
      </c>
      <c r="F645" s="20">
        <f>=H645*0.9</f>
        <v>126.9</v>
      </c>
      <c r="G645" s="21">
        <v>128</v>
      </c>
      <c r="H645" s="39">
        <v>141</v>
      </c>
      <c r="I645" s="40">
        <f>=H645*1.05</f>
        <v>148.05</v>
      </c>
      <c r="J645" s="40">
        <f>=F645*2</f>
        <v>253.8</v>
      </c>
      <c r="K645" s="40">
        <f>=H645*2</f>
        <v>282</v>
      </c>
      <c r="L645" s="40">
        <f>=I645*2</f>
        <v>296.1</v>
      </c>
      <c r="M645" s="41" t="s">
        <v>622</v>
      </c>
      <c r="N645" s="41">
        <v>0.33</v>
      </c>
      <c r="O645" s="41" t="s"/>
      <c r="P645" s="41">
        <v>1</v>
      </c>
      <c r="Q645" s="41">
        <v>1</v>
      </c>
      <c r="R645" s="41" t="s">
        <v>16</v>
      </c>
      <c r="S645" s="41" t="s">
        <v>17</v>
      </c>
      <c r="T645" s="41" t="s">
        <v>67</v>
      </c>
      <c r="U645" s="16" t="s">
        <v>13</v>
      </c>
      <c r="V645" s="16" t="s">
        <v>19</v>
      </c>
      <c r="W645" s="19" t="s"/>
      <c r="X645" s="26" t="s">
        <f>=M645&amp;N645&amp;P645&amp;Q645&amp;T645&amp;V645&amp;S645</f>
        <v>728</v>
      </c>
      <c r="Y645" s="19" t="s"/>
      <c r="Z645" s="19" t="s"/>
      <c r="AA645" s="19" t="s"/>
      <c r="AB645" s="19" t="s"/>
    </row>
    <row r="646" spans="1:28" ht="14.4">
      <c r="A646" s="4">
        <f>=H646/G646-1</f>
        <v>0.1</v>
      </c>
      <c r="B646" s="20">
        <f>=F646/12</f>
        <v>20.625</v>
      </c>
      <c r="C646" s="20">
        <f>=J646/3</f>
        <v>165</v>
      </c>
      <c r="D646" s="20">
        <f>=K646/3</f>
        <v>183.333333333333</v>
      </c>
      <c r="E646" s="20">
        <f>=L646/3</f>
        <v>192.5</v>
      </c>
      <c r="F646" s="20">
        <f>=H646*0.9</f>
        <v>247.5</v>
      </c>
      <c r="G646" s="21">
        <v>250</v>
      </c>
      <c r="H646" s="39">
        <v>275</v>
      </c>
      <c r="I646" s="40">
        <f>=H646*1.05</f>
        <v>288.75</v>
      </c>
      <c r="J646" s="40">
        <f>=F646*2</f>
        <v>495</v>
      </c>
      <c r="K646" s="40">
        <f>=H646*2</f>
        <v>550</v>
      </c>
      <c r="L646" s="40">
        <f>=I646*2</f>
        <v>577.5</v>
      </c>
      <c r="M646" s="41" t="s">
        <v>622</v>
      </c>
      <c r="N646" s="41">
        <v>0.33</v>
      </c>
      <c r="O646" s="41" t="s"/>
      <c r="P646" s="41">
        <v>2</v>
      </c>
      <c r="Q646" s="41">
        <v>2</v>
      </c>
      <c r="R646" s="41" t="s">
        <v>16</v>
      </c>
      <c r="S646" s="41" t="s">
        <v>17</v>
      </c>
      <c r="T646" s="41" t="s">
        <v>67</v>
      </c>
      <c r="U646" s="16" t="s">
        <v>13</v>
      </c>
      <c r="V646" s="16" t="s">
        <v>19</v>
      </c>
      <c r="W646" s="19" t="s"/>
      <c r="X646" s="26" t="s">
        <f>=M646&amp;N646&amp;P646&amp;Q646&amp;T646&amp;V646&amp;S646</f>
        <v>729</v>
      </c>
      <c r="Y646" s="19" t="s"/>
      <c r="Z646" s="19" t="s"/>
      <c r="AA646" s="19" t="s"/>
      <c r="AB646" s="19" t="s"/>
    </row>
    <row r="647" spans="1:28" ht="14.4">
      <c r="A647" s="4">
        <f>=H647/G647-1</f>
        <v>0.104761904761905</v>
      </c>
      <c r="B647" s="20">
        <f>=F647/12</f>
        <v>8.7</v>
      </c>
      <c r="C647" s="20">
        <f>=J647/3</f>
        <v>69.6</v>
      </c>
      <c r="D647" s="20">
        <f>=K647/3</f>
        <v>77.3333333333333</v>
      </c>
      <c r="E647" s="20">
        <f>=L647/3</f>
        <v>81.2</v>
      </c>
      <c r="F647" s="20">
        <f>=H647*0.9</f>
        <v>104.4</v>
      </c>
      <c r="G647" s="21">
        <v>105</v>
      </c>
      <c r="H647" s="39">
        <v>116</v>
      </c>
      <c r="I647" s="40">
        <f>=H647*1.05</f>
        <v>121.8</v>
      </c>
      <c r="J647" s="40">
        <f>=F647*2</f>
        <v>208.8</v>
      </c>
      <c r="K647" s="40">
        <f>=H647*2</f>
        <v>232</v>
      </c>
      <c r="L647" s="40">
        <f>=I647*2</f>
        <v>243.6</v>
      </c>
      <c r="M647" s="41" t="s">
        <v>622</v>
      </c>
      <c r="N647" s="41">
        <v>0.33</v>
      </c>
      <c r="O647" s="41" t="s"/>
      <c r="P647" s="41" t="s">
        <v>21</v>
      </c>
      <c r="Q647" s="41" t="s">
        <v>21</v>
      </c>
      <c r="R647" s="41" t="s">
        <v>16</v>
      </c>
      <c r="S647" s="41" t="s">
        <v>17</v>
      </c>
      <c r="T647" s="41" t="s">
        <v>67</v>
      </c>
      <c r="U647" s="16" t="s">
        <v>13</v>
      </c>
      <c r="V647" s="16" t="s">
        <v>19</v>
      </c>
      <c r="W647" s="19" t="s"/>
      <c r="X647" s="26" t="s">
        <f>=M647&amp;N647&amp;P647&amp;Q647&amp;T647&amp;V647&amp;S647</f>
        <v>730</v>
      </c>
      <c r="Y647" s="19" t="s"/>
      <c r="Z647" s="19" t="s"/>
      <c r="AA647" s="19" t="s"/>
      <c r="AB647" s="19" t="s"/>
    </row>
    <row r="648" spans="1:28" ht="14.4">
      <c r="A648" s="4">
        <f>=H648/G648-1</f>
        <v>0.10077519379845</v>
      </c>
      <c r="B648" s="20">
        <f>=F648/12</f>
        <v>10.65</v>
      </c>
      <c r="C648" s="20">
        <f>=J648/3</f>
        <v>85.2</v>
      </c>
      <c r="D648" s="20">
        <f>=K648/3</f>
        <v>94.6666666666667</v>
      </c>
      <c r="E648" s="20">
        <f>=L648/3</f>
        <v>99.4</v>
      </c>
      <c r="F648" s="20">
        <f>=H648*0.9</f>
        <v>127.8</v>
      </c>
      <c r="G648" s="21">
        <v>129</v>
      </c>
      <c r="H648" s="39">
        <v>142</v>
      </c>
      <c r="I648" s="40">
        <f>=H648*1.05</f>
        <v>149.1</v>
      </c>
      <c r="J648" s="40">
        <f>=F648*2</f>
        <v>255.6</v>
      </c>
      <c r="K648" s="40">
        <f>=H648*2</f>
        <v>284</v>
      </c>
      <c r="L648" s="40">
        <f>=I648*2</f>
        <v>298.2</v>
      </c>
      <c r="M648" s="41" t="s">
        <v>622</v>
      </c>
      <c r="N648" s="41">
        <v>0.35</v>
      </c>
      <c r="O648" s="41" t="s"/>
      <c r="P648" s="41">
        <v>1</v>
      </c>
      <c r="Q648" s="41">
        <v>1</v>
      </c>
      <c r="R648" s="41" t="s">
        <v>16</v>
      </c>
      <c r="S648" s="41" t="s">
        <v>17</v>
      </c>
      <c r="T648" s="41" t="s">
        <v>76</v>
      </c>
      <c r="U648" s="16" t="s">
        <v>13</v>
      </c>
      <c r="V648" s="16" t="s">
        <v>19</v>
      </c>
      <c r="W648" s="19" t="s"/>
      <c r="X648" s="26" t="s">
        <f>=M648&amp;N648&amp;P648&amp;Q648&amp;T648&amp;V648&amp;S648</f>
        <v>731</v>
      </c>
      <c r="Y648" s="19" t="s"/>
      <c r="Z648" s="19" t="s"/>
      <c r="AA648" s="19" t="s"/>
      <c r="AB648" s="19" t="s"/>
    </row>
    <row r="649" spans="1:28" ht="14.4">
      <c r="A649" s="4">
        <f>=H649/G649-1</f>
        <v>0.1015625</v>
      </c>
      <c r="B649" s="20">
        <f>=F649/12</f>
        <v>10.575</v>
      </c>
      <c r="C649" s="20">
        <f>=J649/3</f>
        <v>84.6</v>
      </c>
      <c r="D649" s="20">
        <f>=K649/3</f>
        <v>94</v>
      </c>
      <c r="E649" s="20">
        <f>=L649/3</f>
        <v>98.7</v>
      </c>
      <c r="F649" s="20">
        <f>=H649*0.9</f>
        <v>126.9</v>
      </c>
      <c r="G649" s="21">
        <v>128</v>
      </c>
      <c r="H649" s="39">
        <v>141</v>
      </c>
      <c r="I649" s="40">
        <f>=H649*1.05</f>
        <v>148.05</v>
      </c>
      <c r="J649" s="40">
        <f>=F649*2</f>
        <v>253.8</v>
      </c>
      <c r="K649" s="40">
        <f>=H649*2</f>
        <v>282</v>
      </c>
      <c r="L649" s="40">
        <f>=I649*2</f>
        <v>296.1</v>
      </c>
      <c r="M649" s="41" t="s">
        <v>622</v>
      </c>
      <c r="N649" s="41">
        <v>0.36</v>
      </c>
      <c r="O649" s="41" t="s"/>
      <c r="P649" s="41">
        <v>1</v>
      </c>
      <c r="Q649" s="41">
        <v>1</v>
      </c>
      <c r="R649" s="41" t="s">
        <v>16</v>
      </c>
      <c r="S649" s="41" t="s">
        <v>17</v>
      </c>
      <c r="T649" s="41" t="s">
        <v>76</v>
      </c>
      <c r="U649" s="16" t="s">
        <v>13</v>
      </c>
      <c r="V649" s="16" t="s">
        <v>19</v>
      </c>
      <c r="W649" s="19" t="s"/>
      <c r="X649" s="26" t="s">
        <f>=M649&amp;N649&amp;P649&amp;Q649&amp;T649&amp;V649&amp;S649</f>
        <v>732</v>
      </c>
      <c r="Y649" s="19" t="s"/>
      <c r="Z649" s="19" t="s"/>
      <c r="AA649" s="19" t="s"/>
      <c r="AB649" s="19" t="s"/>
    </row>
    <row r="650" spans="1:28" ht="14.4">
      <c r="A650" s="4">
        <f>=H650/G650-1</f>
        <v>0.0985915492957748</v>
      </c>
      <c r="B650" s="20">
        <f>=F650/12</f>
        <v>17.55</v>
      </c>
      <c r="C650" s="20">
        <f>=J650/3</f>
        <v>140.4</v>
      </c>
      <c r="D650" s="20">
        <f>=K650/3</f>
        <v>156</v>
      </c>
      <c r="E650" s="20">
        <f>=L650/3</f>
        <v>163.8</v>
      </c>
      <c r="F650" s="20">
        <f>=H650*0.9</f>
        <v>210.6</v>
      </c>
      <c r="G650" s="21">
        <v>213</v>
      </c>
      <c r="H650" s="39">
        <v>234</v>
      </c>
      <c r="I650" s="40">
        <f>=H650*1.05</f>
        <v>245.7</v>
      </c>
      <c r="J650" s="40">
        <f>=F650*2</f>
        <v>421.2</v>
      </c>
      <c r="K650" s="40">
        <f>=H650*2</f>
        <v>468</v>
      </c>
      <c r="L650" s="40">
        <f>=I650*2</f>
        <v>491.4</v>
      </c>
      <c r="M650" s="41" t="s">
        <v>622</v>
      </c>
      <c r="N650" s="41">
        <v>0.36</v>
      </c>
      <c r="O650" s="41" t="s"/>
      <c r="P650" s="41">
        <v>2</v>
      </c>
      <c r="Q650" s="41">
        <v>1</v>
      </c>
      <c r="R650" s="41" t="s">
        <v>16</v>
      </c>
      <c r="S650" s="41" t="s">
        <v>17</v>
      </c>
      <c r="T650" s="41" t="s">
        <v>76</v>
      </c>
      <c r="U650" s="16" t="s">
        <v>13</v>
      </c>
      <c r="V650" s="16" t="s">
        <v>19</v>
      </c>
      <c r="W650" s="19" t="s"/>
      <c r="X650" s="26" t="s">
        <f>=M650&amp;N650&amp;P650&amp;Q650&amp;T650&amp;V650&amp;S650</f>
        <v>733</v>
      </c>
      <c r="Y650" s="19" t="s"/>
      <c r="Z650" s="19" t="s"/>
      <c r="AA650" s="19" t="s"/>
      <c r="AB650" s="19" t="s"/>
    </row>
    <row r="651" spans="1:28" ht="14.4">
      <c r="A651" s="4">
        <f>=H651/G651-1</f>
        <v>0.0987654320987654</v>
      </c>
      <c r="B651" s="20">
        <f>=F651/12</f>
        <v>20.025</v>
      </c>
      <c r="C651" s="20">
        <f>=J651/3</f>
        <v>160.2</v>
      </c>
      <c r="D651" s="20">
        <f>=K651/3</f>
        <v>178</v>
      </c>
      <c r="E651" s="20">
        <f>=L651/3</f>
        <v>186.9</v>
      </c>
      <c r="F651" s="20">
        <f>=H651*0.9</f>
        <v>240.3</v>
      </c>
      <c r="G651" s="21">
        <v>243</v>
      </c>
      <c r="H651" s="39">
        <v>267</v>
      </c>
      <c r="I651" s="40">
        <f>=H651*1.05</f>
        <v>280.35</v>
      </c>
      <c r="J651" s="40">
        <f>=F651*2</f>
        <v>480.6</v>
      </c>
      <c r="K651" s="40">
        <f>=H651*2</f>
        <v>534</v>
      </c>
      <c r="L651" s="40">
        <f>=I651*2</f>
        <v>560.7</v>
      </c>
      <c r="M651" s="41" t="s">
        <v>622</v>
      </c>
      <c r="N651" s="41">
        <v>0.36</v>
      </c>
      <c r="O651" s="41" t="s"/>
      <c r="P651" s="41">
        <v>2</v>
      </c>
      <c r="Q651" s="41">
        <v>2</v>
      </c>
      <c r="R651" s="41" t="s">
        <v>16</v>
      </c>
      <c r="S651" s="41" t="s">
        <v>17</v>
      </c>
      <c r="T651" s="41" t="s">
        <v>76</v>
      </c>
      <c r="U651" s="16" t="s">
        <v>13</v>
      </c>
      <c r="V651" s="16" t="s">
        <v>19</v>
      </c>
      <c r="W651" s="19" t="s"/>
      <c r="X651" s="26" t="s">
        <f>=M651&amp;N651&amp;P651&amp;Q651&amp;T651&amp;V651&amp;S651</f>
        <v>734</v>
      </c>
      <c r="Y651" s="19" t="s"/>
      <c r="Z651" s="19" t="s"/>
      <c r="AA651" s="19" t="s"/>
      <c r="AB651" s="19" t="s"/>
    </row>
    <row r="652" spans="1:28" ht="14.4">
      <c r="A652" s="4">
        <f>=H652/G652-1</f>
        <v>0.0980392156862746</v>
      </c>
      <c r="B652" s="20">
        <f>=F652/12</f>
        <v>8.4</v>
      </c>
      <c r="C652" s="20">
        <f>=J652/3</f>
        <v>67.2</v>
      </c>
      <c r="D652" s="20">
        <f>=K652/3</f>
        <v>74.6666666666667</v>
      </c>
      <c r="E652" s="20">
        <f>=L652/3</f>
        <v>78.4</v>
      </c>
      <c r="F652" s="20">
        <f>=H652*0.9</f>
        <v>100.8</v>
      </c>
      <c r="G652" s="21">
        <v>102</v>
      </c>
      <c r="H652" s="39">
        <v>112</v>
      </c>
      <c r="I652" s="40">
        <f>=H652*1.05</f>
        <v>117.6</v>
      </c>
      <c r="J652" s="40">
        <f>=F652*2</f>
        <v>201.6</v>
      </c>
      <c r="K652" s="40">
        <f>=H652*2</f>
        <v>224</v>
      </c>
      <c r="L652" s="40">
        <f>=I652*2</f>
        <v>235.2</v>
      </c>
      <c r="M652" s="41" t="s">
        <v>622</v>
      </c>
      <c r="N652" s="41">
        <v>0.36</v>
      </c>
      <c r="O652" s="41" t="s"/>
      <c r="P652" s="41" t="s">
        <v>21</v>
      </c>
      <c r="Q652" s="41" t="s">
        <v>21</v>
      </c>
      <c r="R652" s="41" t="s">
        <v>16</v>
      </c>
      <c r="S652" s="41" t="s">
        <v>17</v>
      </c>
      <c r="T652" s="41" t="s">
        <v>76</v>
      </c>
      <c r="U652" s="16" t="s">
        <v>13</v>
      </c>
      <c r="V652" s="16" t="s">
        <v>19</v>
      </c>
      <c r="W652" s="19" t="s"/>
      <c r="X652" s="26" t="s">
        <f>=M652&amp;N652&amp;P652&amp;Q652&amp;T652&amp;V652&amp;S652</f>
        <v>735</v>
      </c>
      <c r="Y652" s="19" t="s"/>
      <c r="Z652" s="19" t="s"/>
      <c r="AA652" s="19" t="s"/>
      <c r="AB652" s="19" t="s"/>
    </row>
    <row r="653" spans="1:28" ht="14.4">
      <c r="A653" s="4">
        <f>=H653/G653-1</f>
        <v>0.1015625</v>
      </c>
      <c r="B653" s="20">
        <f>=F653/12</f>
        <v>10.575</v>
      </c>
      <c r="C653" s="20">
        <f>=J653/3</f>
        <v>84.6</v>
      </c>
      <c r="D653" s="20">
        <f>=K653/3</f>
        <v>94</v>
      </c>
      <c r="E653" s="20">
        <f>=L653/3</f>
        <v>98.7</v>
      </c>
      <c r="F653" s="20">
        <f>=H653*0.9</f>
        <v>126.9</v>
      </c>
      <c r="G653" s="21">
        <v>128</v>
      </c>
      <c r="H653" s="39">
        <v>141</v>
      </c>
      <c r="I653" s="40">
        <f>=H653*1.05</f>
        <v>148.05</v>
      </c>
      <c r="J653" s="40">
        <f>=F653*2</f>
        <v>253.8</v>
      </c>
      <c r="K653" s="40">
        <f>=H653*2</f>
        <v>282</v>
      </c>
      <c r="L653" s="40">
        <f>=I653*2</f>
        <v>296.1</v>
      </c>
      <c r="M653" s="41" t="s">
        <v>622</v>
      </c>
      <c r="N653" s="41">
        <v>0.38</v>
      </c>
      <c r="O653" s="41" t="s"/>
      <c r="P653" s="41">
        <v>1</v>
      </c>
      <c r="Q653" s="41">
        <v>1</v>
      </c>
      <c r="R653" s="41" t="s">
        <v>16</v>
      </c>
      <c r="S653" s="41" t="s">
        <v>17</v>
      </c>
      <c r="T653" s="41" t="s">
        <v>76</v>
      </c>
      <c r="U653" s="16" t="s">
        <v>13</v>
      </c>
      <c r="V653" s="16" t="s">
        <v>19</v>
      </c>
      <c r="W653" s="19" t="s"/>
      <c r="X653" s="26" t="s">
        <f>=M653&amp;N653&amp;P653&amp;Q653&amp;T653&amp;V653&amp;S653</f>
        <v>736</v>
      </c>
      <c r="Y653" s="19" t="s"/>
      <c r="Z653" s="19" t="s"/>
      <c r="AA653" s="19" t="s"/>
      <c r="AB653" s="19" t="s"/>
    </row>
    <row r="654" spans="1:28" ht="14.4">
      <c r="A654" s="4">
        <f>=H654/G654-1</f>
        <v>0.0964912280701755</v>
      </c>
      <c r="B654" s="20">
        <f>=F654/12</f>
        <v>9.375</v>
      </c>
      <c r="C654" s="20">
        <f>=J654/3</f>
        <v>75</v>
      </c>
      <c r="D654" s="20">
        <f>=K654/3</f>
        <v>83.3333333333333</v>
      </c>
      <c r="E654" s="20">
        <f>=L654/3</f>
        <v>87.5</v>
      </c>
      <c r="F654" s="20">
        <f>=H654*0.9</f>
        <v>112.5</v>
      </c>
      <c r="G654" s="21">
        <v>114</v>
      </c>
      <c r="H654" s="39">
        <v>125</v>
      </c>
      <c r="I654" s="40">
        <f>=H654*1.05</f>
        <v>131.25</v>
      </c>
      <c r="J654" s="40">
        <f>=F654*2</f>
        <v>225</v>
      </c>
      <c r="K654" s="40">
        <f>=H654*2</f>
        <v>250</v>
      </c>
      <c r="L654" s="40">
        <f>=I654*2</f>
        <v>262.5</v>
      </c>
      <c r="M654" s="41" t="s">
        <v>622</v>
      </c>
      <c r="N654" s="41">
        <v>0.38</v>
      </c>
      <c r="O654" s="41" t="s"/>
      <c r="P654" s="41" t="s">
        <v>21</v>
      </c>
      <c r="Q654" s="41" t="s">
        <v>21</v>
      </c>
      <c r="R654" s="41" t="s">
        <v>16</v>
      </c>
      <c r="S654" s="41" t="s">
        <v>17</v>
      </c>
      <c r="T654" s="41" t="s">
        <v>76</v>
      </c>
      <c r="U654" s="16" t="s">
        <v>13</v>
      </c>
      <c r="V654" s="16" t="s">
        <v>19</v>
      </c>
      <c r="W654" s="19" t="s"/>
      <c r="X654" s="26" t="s">
        <f>=M654&amp;N654&amp;P654&amp;Q654&amp;T654&amp;V654&amp;S654</f>
        <v>737</v>
      </c>
      <c r="Y654" s="19" t="s"/>
      <c r="Z654" s="19" t="s"/>
      <c r="AA654" s="19" t="s"/>
      <c r="AB654" s="19" t="s"/>
    </row>
    <row r="655" spans="1:28" ht="14.4">
      <c r="A655" s="4">
        <f>=H655/G655-1</f>
        <v>0.1015625</v>
      </c>
      <c r="B655" s="20">
        <f>=F655/12</f>
        <v>10.575</v>
      </c>
      <c r="C655" s="20">
        <f>=J655/3</f>
        <v>84.6</v>
      </c>
      <c r="D655" s="20">
        <f>=K655/3</f>
        <v>94</v>
      </c>
      <c r="E655" s="20">
        <f>=L655/3</f>
        <v>98.7</v>
      </c>
      <c r="F655" s="20">
        <f>=H655*0.9</f>
        <v>126.9</v>
      </c>
      <c r="G655" s="21">
        <v>128</v>
      </c>
      <c r="H655" s="39">
        <v>141</v>
      </c>
      <c r="I655" s="40">
        <f>=H655*1.05</f>
        <v>148.05</v>
      </c>
      <c r="J655" s="40">
        <f>=F655*2</f>
        <v>253.8</v>
      </c>
      <c r="K655" s="40">
        <f>=H655*2</f>
        <v>282</v>
      </c>
      <c r="L655" s="40">
        <f>=I655*2</f>
        <v>296.1</v>
      </c>
      <c r="M655" s="41" t="s">
        <v>622</v>
      </c>
      <c r="N655" s="41">
        <v>0.4</v>
      </c>
      <c r="O655" s="41" t="s"/>
      <c r="P655" s="41">
        <v>1</v>
      </c>
      <c r="Q655" s="41">
        <v>1</v>
      </c>
      <c r="R655" s="41" t="s">
        <v>16</v>
      </c>
      <c r="S655" s="41" t="s">
        <v>17</v>
      </c>
      <c r="T655" s="41" t="s">
        <v>76</v>
      </c>
      <c r="U655" s="16" t="s">
        <v>13</v>
      </c>
      <c r="V655" s="16" t="s">
        <v>19</v>
      </c>
      <c r="W655" s="19" t="s"/>
      <c r="X655" s="26" t="s">
        <f>=M655&amp;N655&amp;P655&amp;Q655&amp;T655&amp;V655&amp;S655</f>
        <v>738</v>
      </c>
      <c r="Y655" s="19" t="s"/>
      <c r="Z655" s="19" t="s"/>
      <c r="AA655" s="19" t="s"/>
      <c r="AB655" s="19" t="s"/>
    </row>
    <row r="656" spans="1:28" ht="14.4">
      <c r="A656" s="4">
        <f>=H656/G656-1</f>
        <v>0.102127659574468</v>
      </c>
      <c r="B656" s="20">
        <f>=F656/12</f>
        <v>19.425</v>
      </c>
      <c r="C656" s="20">
        <f>=J656/3</f>
        <v>155.4</v>
      </c>
      <c r="D656" s="20">
        <f>=K656/3</f>
        <v>172.666666666667</v>
      </c>
      <c r="E656" s="20">
        <f>=L656/3</f>
        <v>181.3</v>
      </c>
      <c r="F656" s="20">
        <f>=H656*0.9</f>
        <v>233.1</v>
      </c>
      <c r="G656" s="21">
        <v>235</v>
      </c>
      <c r="H656" s="39">
        <v>259</v>
      </c>
      <c r="I656" s="40">
        <f>=H656*1.05</f>
        <v>271.95</v>
      </c>
      <c r="J656" s="40">
        <f>=F656*2</f>
        <v>466.2</v>
      </c>
      <c r="K656" s="40">
        <f>=H656*2</f>
        <v>518</v>
      </c>
      <c r="L656" s="40">
        <f>=I656*2</f>
        <v>543.9</v>
      </c>
      <c r="M656" s="41" t="s">
        <v>622</v>
      </c>
      <c r="N656" s="41">
        <v>0.4</v>
      </c>
      <c r="O656" s="41" t="s"/>
      <c r="P656" s="41">
        <v>2</v>
      </c>
      <c r="Q656" s="41">
        <v>2</v>
      </c>
      <c r="R656" s="41" t="s">
        <v>16</v>
      </c>
      <c r="S656" s="41" t="s">
        <v>17</v>
      </c>
      <c r="T656" s="41" t="s">
        <v>76</v>
      </c>
      <c r="U656" s="16" t="s">
        <v>13</v>
      </c>
      <c r="V656" s="16" t="s">
        <v>19</v>
      </c>
      <c r="W656" s="19" t="s"/>
      <c r="X656" s="26" t="s">
        <f>=M656&amp;N656&amp;P656&amp;Q656&amp;T656&amp;V656&amp;S656</f>
        <v>739</v>
      </c>
      <c r="Y656" s="19" t="s"/>
      <c r="Z656" s="19" t="s"/>
      <c r="AA656" s="19" t="s"/>
      <c r="AB656" s="19" t="s"/>
    </row>
    <row r="657" spans="1:28" ht="14.4">
      <c r="A657" s="4">
        <f>=H657/G657-1</f>
        <v>0.0994764397905759</v>
      </c>
      <c r="B657" s="20">
        <f>=F657/12</f>
        <v>31.5</v>
      </c>
      <c r="C657" s="20">
        <f>=J657/3</f>
        <v>252</v>
      </c>
      <c r="D657" s="20">
        <f>=K657/3</f>
        <v>280</v>
      </c>
      <c r="E657" s="20">
        <f>=L657/3</f>
        <v>294</v>
      </c>
      <c r="F657" s="20">
        <f>=H657*0.9</f>
        <v>378</v>
      </c>
      <c r="G657" s="21">
        <v>382</v>
      </c>
      <c r="H657" s="39">
        <v>420</v>
      </c>
      <c r="I657" s="40">
        <f>=H657*1.05</f>
        <v>441</v>
      </c>
      <c r="J657" s="40">
        <f>=F657*2</f>
        <v>756</v>
      </c>
      <c r="K657" s="40">
        <f>=H657*2</f>
        <v>840</v>
      </c>
      <c r="L657" s="40">
        <f>=I657*2</f>
        <v>882</v>
      </c>
      <c r="M657" s="41" t="s">
        <v>622</v>
      </c>
      <c r="N657" s="41">
        <v>0.4</v>
      </c>
      <c r="O657" s="41" t="s"/>
      <c r="P657" s="41">
        <v>3</v>
      </c>
      <c r="Q657" s="41">
        <v>3</v>
      </c>
      <c r="R657" s="41" t="s">
        <v>16</v>
      </c>
      <c r="S657" s="41" t="s">
        <v>17</v>
      </c>
      <c r="T657" s="41" t="s">
        <v>76</v>
      </c>
      <c r="U657" s="16" t="s">
        <v>13</v>
      </c>
      <c r="V657" s="16" t="s">
        <v>19</v>
      </c>
      <c r="W657" s="19" t="s"/>
      <c r="X657" s="26" t="s">
        <f>=M657&amp;N657&amp;P657&amp;Q657&amp;T657&amp;V657&amp;S657</f>
        <v>740</v>
      </c>
      <c r="Y657" s="19" t="s"/>
      <c r="Z657" s="19" t="s"/>
      <c r="AA657" s="19" t="s"/>
      <c r="AB657" s="19" t="s"/>
    </row>
    <row r="658" spans="1:28" ht="14.4">
      <c r="A658" s="4">
        <f>=H658/G658-1</f>
        <v>0.104761904761905</v>
      </c>
      <c r="B658" s="20">
        <f>=F658/12</f>
        <v>8.7</v>
      </c>
      <c r="C658" s="20">
        <f>=J658/3</f>
        <v>69.6</v>
      </c>
      <c r="D658" s="20">
        <f>=K658/3</f>
        <v>77.3333333333333</v>
      </c>
      <c r="E658" s="20">
        <f>=L658/3</f>
        <v>81.2</v>
      </c>
      <c r="F658" s="20">
        <f>=H658*0.9</f>
        <v>104.4</v>
      </c>
      <c r="G658" s="21">
        <v>105</v>
      </c>
      <c r="H658" s="39">
        <v>116</v>
      </c>
      <c r="I658" s="40">
        <f>=H658*1.05</f>
        <v>121.8</v>
      </c>
      <c r="J658" s="40">
        <f>=F658*2</f>
        <v>208.8</v>
      </c>
      <c r="K658" s="40">
        <f>=H658*2</f>
        <v>232</v>
      </c>
      <c r="L658" s="40">
        <f>=I658*2</f>
        <v>243.6</v>
      </c>
      <c r="M658" s="41" t="s">
        <v>622</v>
      </c>
      <c r="N658" s="41">
        <v>0.4</v>
      </c>
      <c r="O658" s="41" t="s"/>
      <c r="P658" s="41" t="s">
        <v>21</v>
      </c>
      <c r="Q658" s="41" t="s">
        <v>21</v>
      </c>
      <c r="R658" s="41" t="s">
        <v>16</v>
      </c>
      <c r="S658" s="41" t="s">
        <v>17</v>
      </c>
      <c r="T658" s="41" t="s">
        <v>76</v>
      </c>
      <c r="U658" s="16" t="s">
        <v>13</v>
      </c>
      <c r="V658" s="16" t="s">
        <v>19</v>
      </c>
      <c r="W658" s="19" t="s"/>
      <c r="X658" s="26" t="s">
        <f>=M658&amp;N658&amp;P658&amp;Q658&amp;T658&amp;V658&amp;S658</f>
        <v>741</v>
      </c>
      <c r="Y658" s="19" t="s"/>
      <c r="Z658" s="19" t="s"/>
      <c r="AA658" s="19" t="s"/>
      <c r="AB658" s="19" t="s"/>
    </row>
    <row r="659" spans="1:28" ht="14.4">
      <c r="A659" s="4">
        <f>=H659/G659-1</f>
        <v>0.0996884735202493</v>
      </c>
      <c r="B659" s="20">
        <f>=F659/12</f>
        <v>52.95</v>
      </c>
      <c r="C659" s="20">
        <f>=J659/3</f>
        <v>423.6</v>
      </c>
      <c r="D659" s="20">
        <f>=K659/3</f>
        <v>470.666666666667</v>
      </c>
      <c r="E659" s="20">
        <f>=L659/3</f>
        <v>494.2</v>
      </c>
      <c r="F659" s="20">
        <f>=H659*0.9</f>
        <v>635.4</v>
      </c>
      <c r="G659" s="21">
        <v>642</v>
      </c>
      <c r="H659" s="39">
        <v>706</v>
      </c>
      <c r="I659" s="40">
        <f>=H659*1.05</f>
        <v>741.3</v>
      </c>
      <c r="J659" s="40">
        <f>=F659*2</f>
        <v>1270.8</v>
      </c>
      <c r="K659" s="40">
        <f>=H659*2</f>
        <v>1412</v>
      </c>
      <c r="L659" s="40">
        <f>=I659*2</f>
        <v>1482.6</v>
      </c>
      <c r="M659" s="41" t="s">
        <v>622</v>
      </c>
      <c r="N659" s="41">
        <v>0.42</v>
      </c>
      <c r="O659" s="41" t="s"/>
      <c r="P659" s="41">
        <v>4</v>
      </c>
      <c r="Q659" s="41">
        <v>4</v>
      </c>
      <c r="R659" s="41" t="s">
        <v>16</v>
      </c>
      <c r="S659" s="41" t="s">
        <v>17</v>
      </c>
      <c r="T659" s="41" t="s">
        <v>76</v>
      </c>
      <c r="U659" s="16" t="s">
        <v>13</v>
      </c>
      <c r="V659" s="16" t="s">
        <v>19</v>
      </c>
      <c r="W659" s="19" t="s"/>
      <c r="X659" s="26" t="s">
        <f>=M659&amp;N659&amp;P659&amp;Q659&amp;T659&amp;V659&amp;S659</f>
        <v>742</v>
      </c>
      <c r="Y659" s="19" t="s"/>
      <c r="Z659" s="19" t="s"/>
      <c r="AA659" s="19" t="s"/>
      <c r="AB659" s="19" t="s"/>
    </row>
    <row r="660" spans="1:28" ht="14.4">
      <c r="A660" s="4">
        <f>=H660/G660-1</f>
        <v>0.0992366412213741</v>
      </c>
      <c r="B660" s="20">
        <f>=F660/12</f>
        <v>10.8</v>
      </c>
      <c r="C660" s="20">
        <f>=J660/3</f>
        <v>86.4</v>
      </c>
      <c r="D660" s="20">
        <f>=K660/3</f>
        <v>96</v>
      </c>
      <c r="E660" s="20">
        <f>=L660/3</f>
        <v>100.8</v>
      </c>
      <c r="F660" s="20">
        <f>=H660*0.9</f>
        <v>129.6</v>
      </c>
      <c r="G660" s="21">
        <v>131</v>
      </c>
      <c r="H660" s="39">
        <v>144</v>
      </c>
      <c r="I660" s="40">
        <f>=H660*1.05</f>
        <v>151.2</v>
      </c>
      <c r="J660" s="40">
        <f>=F660*2</f>
        <v>259.2</v>
      </c>
      <c r="K660" s="40">
        <f>=H660*2</f>
        <v>288</v>
      </c>
      <c r="L660" s="40">
        <f>=I660*2</f>
        <v>302.4</v>
      </c>
      <c r="M660" s="41" t="s">
        <v>622</v>
      </c>
      <c r="N660" s="41">
        <v>0.43</v>
      </c>
      <c r="O660" s="41" t="s"/>
      <c r="P660" s="41">
        <v>1</v>
      </c>
      <c r="Q660" s="41" t="s">
        <v>21</v>
      </c>
      <c r="R660" s="41" t="s">
        <v>16</v>
      </c>
      <c r="S660" s="41" t="s">
        <v>17</v>
      </c>
      <c r="T660" s="41" t="s">
        <v>91</v>
      </c>
      <c r="U660" s="16" t="s">
        <v>13</v>
      </c>
      <c r="V660" s="16" t="s">
        <v>19</v>
      </c>
      <c r="W660" s="19" t="s"/>
      <c r="X660" s="26" t="s">
        <f>=M660&amp;N660&amp;P660&amp;Q660&amp;T660&amp;V660&amp;S660</f>
        <v>743</v>
      </c>
      <c r="Y660" s="19" t="s"/>
      <c r="Z660" s="19" t="s"/>
      <c r="AA660" s="19" t="s"/>
      <c r="AB660" s="19" t="s"/>
    </row>
    <row r="661" spans="1:28" ht="14.4">
      <c r="A661" s="4">
        <f>=H661/G661-1</f>
        <v>0.1</v>
      </c>
      <c r="B661" s="20">
        <f>=F661/12</f>
        <v>12.375</v>
      </c>
      <c r="C661" s="20">
        <f>=J661/3</f>
        <v>99</v>
      </c>
      <c r="D661" s="20">
        <f>=K661/3</f>
        <v>110</v>
      </c>
      <c r="E661" s="20">
        <f>=L661/3</f>
        <v>115.5</v>
      </c>
      <c r="F661" s="20">
        <f>=H661*0.9</f>
        <v>148.5</v>
      </c>
      <c r="G661" s="21">
        <v>150</v>
      </c>
      <c r="H661" s="39">
        <v>165</v>
      </c>
      <c r="I661" s="40">
        <f>=H661*1.05</f>
        <v>173.25</v>
      </c>
      <c r="J661" s="40">
        <f>=F661*2</f>
        <v>297</v>
      </c>
      <c r="K661" s="40">
        <f>=H661*2</f>
        <v>330</v>
      </c>
      <c r="L661" s="40">
        <f>=I661*2</f>
        <v>346.5</v>
      </c>
      <c r="M661" s="41" t="s">
        <v>622</v>
      </c>
      <c r="N661" s="41">
        <v>0.43</v>
      </c>
      <c r="O661" s="41" t="s"/>
      <c r="P661" s="41">
        <v>1</v>
      </c>
      <c r="Q661" s="41">
        <v>1</v>
      </c>
      <c r="R661" s="41" t="s">
        <v>16</v>
      </c>
      <c r="S661" s="41" t="s">
        <v>17</v>
      </c>
      <c r="T661" s="41" t="s">
        <v>91</v>
      </c>
      <c r="U661" s="16" t="s">
        <v>13</v>
      </c>
      <c r="V661" s="16" t="s">
        <v>19</v>
      </c>
      <c r="W661" s="19" t="s"/>
      <c r="X661" s="26" t="s">
        <f>=M661&amp;N661&amp;P661&amp;Q661&amp;T661&amp;V661&amp;S661</f>
        <v>744</v>
      </c>
      <c r="Y661" s="19" t="s"/>
      <c r="Z661" s="19" t="s"/>
      <c r="AA661" s="19" t="s"/>
      <c r="AB661" s="19" t="s"/>
    </row>
    <row r="662" spans="1:28" ht="14.4">
      <c r="A662" s="4">
        <f>=H662/G662-1</f>
        <v>0.0991735537190082</v>
      </c>
      <c r="B662" s="20">
        <f>=F662/12</f>
        <v>19.95</v>
      </c>
      <c r="C662" s="20">
        <f>=J662/3</f>
        <v>159.6</v>
      </c>
      <c r="D662" s="20">
        <f>=K662/3</f>
        <v>177.333333333333</v>
      </c>
      <c r="E662" s="20">
        <f>=L662/3</f>
        <v>186.2</v>
      </c>
      <c r="F662" s="20">
        <f>=H662*0.9</f>
        <v>239.4</v>
      </c>
      <c r="G662" s="21">
        <v>242</v>
      </c>
      <c r="H662" s="39">
        <v>266</v>
      </c>
      <c r="I662" s="40">
        <f>=H662*1.05</f>
        <v>279.3</v>
      </c>
      <c r="J662" s="40">
        <f>=F662*2</f>
        <v>478.8</v>
      </c>
      <c r="K662" s="40">
        <f>=H662*2</f>
        <v>532</v>
      </c>
      <c r="L662" s="40">
        <f>=I662*2</f>
        <v>558.6</v>
      </c>
      <c r="M662" s="41" t="s">
        <v>622</v>
      </c>
      <c r="N662" s="41">
        <v>0.46</v>
      </c>
      <c r="O662" s="41" t="s"/>
      <c r="P662" s="41">
        <v>2</v>
      </c>
      <c r="Q662" s="41">
        <v>2</v>
      </c>
      <c r="R662" s="41" t="s">
        <v>16</v>
      </c>
      <c r="S662" s="41" t="s">
        <v>17</v>
      </c>
      <c r="T662" s="41" t="s">
        <v>91</v>
      </c>
      <c r="U662" s="16" t="s">
        <v>13</v>
      </c>
      <c r="V662" s="16" t="s">
        <v>19</v>
      </c>
      <c r="W662" s="19" t="s"/>
      <c r="X662" s="34" t="s">
        <f>=M662&amp;N662&amp;P662&amp;Q662&amp;T662&amp;V662&amp;S662</f>
        <v>745</v>
      </c>
      <c r="Y662" s="19" t="s"/>
      <c r="Z662" s="19" t="s"/>
      <c r="AA662" s="19" t="s"/>
      <c r="AB662" s="19" t="s"/>
    </row>
    <row r="663" spans="1:28" ht="14.4">
      <c r="A663" s="4">
        <f>=H663/G663-1</f>
        <v>0.10126582278481</v>
      </c>
      <c r="B663" s="20">
        <f>=F663/12</f>
        <v>32.625</v>
      </c>
      <c r="C663" s="20">
        <f>=J663/3</f>
        <v>261</v>
      </c>
      <c r="D663" s="20">
        <f>=K663/3</f>
        <v>290</v>
      </c>
      <c r="E663" s="20">
        <f>=L663/3</f>
        <v>304.5</v>
      </c>
      <c r="F663" s="20">
        <f>=H663*0.9</f>
        <v>391.5</v>
      </c>
      <c r="G663" s="21">
        <v>395</v>
      </c>
      <c r="H663" s="39">
        <v>435</v>
      </c>
      <c r="I663" s="40">
        <f>=H663*1.05</f>
        <v>456.75</v>
      </c>
      <c r="J663" s="40">
        <f>=F663*2</f>
        <v>783</v>
      </c>
      <c r="K663" s="40">
        <f>=H663*2</f>
        <v>870</v>
      </c>
      <c r="L663" s="40">
        <f>=I663*2</f>
        <v>913.5</v>
      </c>
      <c r="M663" s="41" t="s">
        <v>622</v>
      </c>
      <c r="N663" s="41">
        <v>0.46</v>
      </c>
      <c r="O663" s="41" t="s"/>
      <c r="P663" s="41">
        <v>3</v>
      </c>
      <c r="Q663" s="41">
        <v>3</v>
      </c>
      <c r="R663" s="41" t="s">
        <v>16</v>
      </c>
      <c r="S663" s="41" t="s">
        <v>17</v>
      </c>
      <c r="T663" s="41" t="s">
        <v>91</v>
      </c>
      <c r="U663" s="16" t="s">
        <v>13</v>
      </c>
      <c r="V663" s="16" t="s">
        <v>19</v>
      </c>
      <c r="W663" s="19" t="s"/>
      <c r="X663" s="26" t="s">
        <f>=M663&amp;N663&amp;P663&amp;Q663&amp;T663&amp;V663&amp;S663</f>
        <v>746</v>
      </c>
      <c r="Y663" s="19" t="s"/>
      <c r="Z663" s="19" t="s"/>
      <c r="AA663" s="19" t="s"/>
      <c r="AB663" s="19" t="s"/>
    </row>
    <row r="664" spans="1:28" ht="14.4">
      <c r="A664" s="4">
        <f>=H664/G664-1</f>
        <v>0.0993975903614457</v>
      </c>
      <c r="B664" s="20">
        <f>=F664/12</f>
        <v>54.75</v>
      </c>
      <c r="C664" s="20">
        <f>=J664/3</f>
        <v>438</v>
      </c>
      <c r="D664" s="20">
        <f>=K664/3</f>
        <v>486.666666666667</v>
      </c>
      <c r="E664" s="20">
        <f>=L664/3</f>
        <v>511</v>
      </c>
      <c r="F664" s="20">
        <f>=H664*0.9</f>
        <v>657</v>
      </c>
      <c r="G664" s="21">
        <v>664</v>
      </c>
      <c r="H664" s="39">
        <v>730</v>
      </c>
      <c r="I664" s="40">
        <f>=H664*1.05</f>
        <v>766.5</v>
      </c>
      <c r="J664" s="40">
        <f>=F664*2</f>
        <v>1314</v>
      </c>
      <c r="K664" s="40">
        <f>=H664*2</f>
        <v>1460</v>
      </c>
      <c r="L664" s="40">
        <f>=I664*2</f>
        <v>1533</v>
      </c>
      <c r="M664" s="41" t="s">
        <v>622</v>
      </c>
      <c r="N664" s="41">
        <v>0.46</v>
      </c>
      <c r="O664" s="41" t="s"/>
      <c r="P664" s="41">
        <v>4</v>
      </c>
      <c r="Q664" s="41">
        <v>4</v>
      </c>
      <c r="R664" s="41" t="s">
        <v>16</v>
      </c>
      <c r="S664" s="41" t="s">
        <v>17</v>
      </c>
      <c r="T664" s="41" t="s">
        <v>91</v>
      </c>
      <c r="U664" s="16" t="s">
        <v>13</v>
      </c>
      <c r="V664" s="16" t="s">
        <v>19</v>
      </c>
      <c r="W664" s="19" t="s"/>
      <c r="X664" s="26" t="s">
        <f>=M664&amp;N664&amp;P664&amp;Q664&amp;T664&amp;V664&amp;S664</f>
        <v>747</v>
      </c>
      <c r="Y664" s="19" t="s"/>
      <c r="Z664" s="19" t="s"/>
      <c r="AA664" s="19" t="s"/>
      <c r="AB664" s="19" t="s"/>
    </row>
    <row r="665" spans="1:28" ht="14.4">
      <c r="A665" s="4">
        <f>=H665/G665-1</f>
        <v>0.0977011494252873</v>
      </c>
      <c r="B665" s="20">
        <f>=F665/12</f>
        <v>14.325</v>
      </c>
      <c r="C665" s="20">
        <f>=J665/3</f>
        <v>114.6</v>
      </c>
      <c r="D665" s="20">
        <f>=K665/3</f>
        <v>127.333333333333</v>
      </c>
      <c r="E665" s="20">
        <f>=L665/3</f>
        <v>133.7</v>
      </c>
      <c r="F665" s="20">
        <f>=H665*0.9</f>
        <v>171.9</v>
      </c>
      <c r="G665" s="21">
        <v>174</v>
      </c>
      <c r="H665" s="39">
        <v>191</v>
      </c>
      <c r="I665" s="40">
        <f>=H665*1.05</f>
        <v>200.55</v>
      </c>
      <c r="J665" s="40">
        <f>=F665*2</f>
        <v>343.8</v>
      </c>
      <c r="K665" s="40">
        <f>=H665*2</f>
        <v>382</v>
      </c>
      <c r="L665" s="40">
        <f>=I665*2</f>
        <v>401.1</v>
      </c>
      <c r="M665" s="41" t="s">
        <v>622</v>
      </c>
      <c r="N665" s="41">
        <v>0.46</v>
      </c>
      <c r="O665" s="41" t="s"/>
      <c r="P665" s="41">
        <v>1</v>
      </c>
      <c r="Q665" s="41">
        <v>1</v>
      </c>
      <c r="R665" s="41" t="s">
        <v>16</v>
      </c>
      <c r="S665" s="41" t="s">
        <v>17</v>
      </c>
      <c r="T665" s="41" t="s">
        <v>91</v>
      </c>
      <c r="U665" s="16" t="s">
        <v>13</v>
      </c>
      <c r="V665" s="16" t="s">
        <v>19</v>
      </c>
      <c r="W665" s="19" t="s"/>
      <c r="X665" s="26" t="s">
        <f>=M665&amp;N665&amp;P665&amp;Q665&amp;T665&amp;V665&amp;S665</f>
        <v>748</v>
      </c>
      <c r="Y665" s="19" t="s"/>
      <c r="Z665" s="19" t="s"/>
      <c r="AA665" s="19" t="s"/>
      <c r="AB665" s="19" t="s"/>
    </row>
    <row r="666" spans="1:28" ht="14.4">
      <c r="A666" s="4">
        <f>=H666/G666-1</f>
        <v>0.0975609756097562</v>
      </c>
      <c r="B666" s="20">
        <f>=F666/12</f>
        <v>10.125</v>
      </c>
      <c r="C666" s="20">
        <f>=J666/3</f>
        <v>81</v>
      </c>
      <c r="D666" s="20">
        <f>=K666/3</f>
        <v>90</v>
      </c>
      <c r="E666" s="20">
        <f>=L666/3</f>
        <v>94.5</v>
      </c>
      <c r="F666" s="20">
        <f>=H666*0.9</f>
        <v>121.5</v>
      </c>
      <c r="G666" s="21">
        <v>123</v>
      </c>
      <c r="H666" s="39">
        <v>135</v>
      </c>
      <c r="I666" s="40">
        <f>=H666*1.05</f>
        <v>141.75</v>
      </c>
      <c r="J666" s="40">
        <f>=F666*2</f>
        <v>243</v>
      </c>
      <c r="K666" s="40">
        <f>=H666*2</f>
        <v>270</v>
      </c>
      <c r="L666" s="40">
        <f>=I666*2</f>
        <v>283.5</v>
      </c>
      <c r="M666" s="41" t="s">
        <v>622</v>
      </c>
      <c r="N666" s="41">
        <v>0.46</v>
      </c>
      <c r="O666" s="41" t="s"/>
      <c r="P666" s="41" t="s">
        <v>21</v>
      </c>
      <c r="Q666" s="41" t="s">
        <v>21</v>
      </c>
      <c r="R666" s="41" t="s">
        <v>16</v>
      </c>
      <c r="S666" s="41" t="s">
        <v>17</v>
      </c>
      <c r="T666" s="41" t="s">
        <v>102</v>
      </c>
      <c r="U666" s="16" t="s">
        <v>13</v>
      </c>
      <c r="V666" s="16" t="s">
        <v>19</v>
      </c>
      <c r="W666" s="19" t="s"/>
      <c r="X666" s="26" t="s">
        <f>=M666&amp;N666&amp;P666&amp;Q666&amp;T666&amp;V666&amp;S666</f>
        <v>749</v>
      </c>
      <c r="Y666" s="56" t="s"/>
      <c r="Z666" s="56" t="s"/>
      <c r="AA666" s="56" t="s"/>
      <c r="AB666" s="56" t="s"/>
    </row>
    <row r="667" spans="1:28" ht="14.4">
      <c r="A667" s="4">
        <f>=H667/G667-1</f>
        <v>0.0986842105263157</v>
      </c>
      <c r="B667" s="20">
        <f>=F667/12</f>
        <v>12.525</v>
      </c>
      <c r="C667" s="20">
        <f>=J667/3</f>
        <v>100.2</v>
      </c>
      <c r="D667" s="20">
        <f>=K667/3</f>
        <v>111.333333333333</v>
      </c>
      <c r="E667" s="20">
        <f>=L667/3</f>
        <v>116.9</v>
      </c>
      <c r="F667" s="20">
        <f>=H667*0.9</f>
        <v>150.3</v>
      </c>
      <c r="G667" s="21">
        <v>152</v>
      </c>
      <c r="H667" s="39">
        <v>167</v>
      </c>
      <c r="I667" s="40">
        <f>=H667*1.05</f>
        <v>175.35</v>
      </c>
      <c r="J667" s="40">
        <f>=F667*2</f>
        <v>300.6</v>
      </c>
      <c r="K667" s="40">
        <f>=H667*2</f>
        <v>334</v>
      </c>
      <c r="L667" s="40">
        <f>=I667*2</f>
        <v>350.7</v>
      </c>
      <c r="M667" s="41" t="s">
        <v>622</v>
      </c>
      <c r="N667" s="41">
        <v>0.48</v>
      </c>
      <c r="O667" s="41" t="s"/>
      <c r="P667" s="41">
        <v>1</v>
      </c>
      <c r="Q667" s="41">
        <v>1</v>
      </c>
      <c r="R667" s="41" t="s">
        <v>16</v>
      </c>
      <c r="S667" s="41" t="s">
        <v>17</v>
      </c>
      <c r="T667" s="41" t="s">
        <v>102</v>
      </c>
      <c r="U667" s="16" t="s">
        <v>13</v>
      </c>
      <c r="V667" s="16" t="s">
        <v>19</v>
      </c>
      <c r="W667" s="19" t="s"/>
      <c r="X667" s="26" t="s">
        <f>=M667&amp;N667&amp;P667&amp;Q667&amp;T667&amp;V667&amp;S667</f>
        <v>750</v>
      </c>
      <c r="Y667" s="56" t="s"/>
      <c r="Z667" s="56" t="s"/>
      <c r="AA667" s="56" t="s"/>
      <c r="AB667" s="56" t="s"/>
    </row>
    <row r="668" spans="1:28" ht="14.4">
      <c r="A668" s="4">
        <f>=H668/G668-1</f>
        <v>0.10126582278481</v>
      </c>
      <c r="B668" s="20">
        <f>=F668/12</f>
        <v>32.625</v>
      </c>
      <c r="C668" s="20">
        <f>=J668/3</f>
        <v>261</v>
      </c>
      <c r="D668" s="20">
        <f>=K668/3</f>
        <v>290</v>
      </c>
      <c r="E668" s="20">
        <f>=L668/3</f>
        <v>304.5</v>
      </c>
      <c r="F668" s="20">
        <f>=H668*0.9</f>
        <v>391.5</v>
      </c>
      <c r="G668" s="21">
        <v>395</v>
      </c>
      <c r="H668" s="39">
        <v>435</v>
      </c>
      <c r="I668" s="40">
        <f>=H668*1.05</f>
        <v>456.75</v>
      </c>
      <c r="J668" s="40">
        <f>=F668*2</f>
        <v>783</v>
      </c>
      <c r="K668" s="40">
        <f>=H668*2</f>
        <v>870</v>
      </c>
      <c r="L668" s="40">
        <f>=I668*2</f>
        <v>913.5</v>
      </c>
      <c r="M668" s="41" t="s">
        <v>622</v>
      </c>
      <c r="N668" s="41">
        <v>0.49</v>
      </c>
      <c r="O668" s="41" t="s"/>
      <c r="P668" s="41">
        <v>3</v>
      </c>
      <c r="Q668" s="41">
        <v>3</v>
      </c>
      <c r="R668" s="41" t="s">
        <v>16</v>
      </c>
      <c r="S668" s="41" t="s">
        <v>17</v>
      </c>
      <c r="T668" s="41" t="s">
        <v>102</v>
      </c>
      <c r="U668" s="16" t="s">
        <v>13</v>
      </c>
      <c r="V668" s="16" t="s">
        <v>19</v>
      </c>
      <c r="W668" s="56" t="s"/>
      <c r="X668" s="26" t="s">
        <f>=M668&amp;N668&amp;P668&amp;Q668&amp;T668&amp;V668&amp;S668</f>
        <v>751</v>
      </c>
      <c r="Y668" s="19" t="s"/>
      <c r="Z668" s="19" t="s"/>
      <c r="AA668" s="19" t="s"/>
      <c r="AB668" s="19" t="s"/>
    </row>
    <row r="669" spans="1:28" ht="14.4">
      <c r="A669" s="4">
        <f>=H669/G669-1</f>
        <v>0.0974025974025974</v>
      </c>
      <c r="B669" s="20">
        <f>=F669/12</f>
        <v>12.675</v>
      </c>
      <c r="C669" s="20">
        <f>=J669/3</f>
        <v>101.4</v>
      </c>
      <c r="D669" s="20">
        <f>=K669/3</f>
        <v>112.666666666667</v>
      </c>
      <c r="E669" s="20">
        <f>=L669/3</f>
        <v>118.3</v>
      </c>
      <c r="F669" s="20">
        <f>=H669*0.9</f>
        <v>152.1</v>
      </c>
      <c r="G669" s="21">
        <v>154</v>
      </c>
      <c r="H669" s="39">
        <v>169</v>
      </c>
      <c r="I669" s="40">
        <f>=H669*1.05</f>
        <v>177.45</v>
      </c>
      <c r="J669" s="40">
        <f>=F669*2</f>
        <v>304.2</v>
      </c>
      <c r="K669" s="40">
        <f>=H669*2</f>
        <v>338</v>
      </c>
      <c r="L669" s="40">
        <f>=I669*2</f>
        <v>354.9</v>
      </c>
      <c r="M669" s="41" t="s">
        <v>622</v>
      </c>
      <c r="N669" s="41">
        <v>0.5</v>
      </c>
      <c r="O669" s="41" t="s"/>
      <c r="P669" s="41">
        <v>1</v>
      </c>
      <c r="Q669" s="41">
        <v>1</v>
      </c>
      <c r="R669" s="41" t="s">
        <v>16</v>
      </c>
      <c r="S669" s="41" t="s">
        <v>17</v>
      </c>
      <c r="T669" s="41" t="s">
        <v>752</v>
      </c>
      <c r="U669" s="16" t="s">
        <v>13</v>
      </c>
      <c r="V669" s="16" t="s">
        <v>19</v>
      </c>
      <c r="W669" s="56" t="s"/>
      <c r="X669" s="26" t="s">
        <f>=M669&amp;N669&amp;P669&amp;Q669&amp;T669&amp;V669&amp;S669</f>
        <v>753</v>
      </c>
      <c r="Y669" s="19" t="s"/>
      <c r="Z669" s="19" t="s"/>
      <c r="AA669" s="19" t="s"/>
      <c r="AB669" s="19" t="s"/>
    </row>
    <row r="670" spans="1:28" ht="14.4">
      <c r="A670" s="4">
        <f>=H670/G670-1</f>
        <v>0.0974025974025974</v>
      </c>
      <c r="B670" s="20">
        <f>=F670/12</f>
        <v>12.675</v>
      </c>
      <c r="C670" s="20">
        <f>=J670/3</f>
        <v>101.4</v>
      </c>
      <c r="D670" s="20">
        <f>=K670/3</f>
        <v>112.666666666667</v>
      </c>
      <c r="E670" s="20">
        <f>=L670/3</f>
        <v>118.3</v>
      </c>
      <c r="F670" s="20">
        <f>=H670*0.9</f>
        <v>152.1</v>
      </c>
      <c r="G670" s="21">
        <v>154</v>
      </c>
      <c r="H670" s="39">
        <v>169</v>
      </c>
      <c r="I670" s="40">
        <f>=H670*1.05</f>
        <v>177.45</v>
      </c>
      <c r="J670" s="40">
        <f>=F670*2</f>
        <v>304.2</v>
      </c>
      <c r="K670" s="40">
        <f>=H670*2</f>
        <v>338</v>
      </c>
      <c r="L670" s="40">
        <f>=I670*2</f>
        <v>354.9</v>
      </c>
      <c r="M670" s="41" t="s">
        <v>622</v>
      </c>
      <c r="N670" s="41">
        <v>0.5</v>
      </c>
      <c r="O670" s="41" t="s"/>
      <c r="P670" s="41">
        <v>1</v>
      </c>
      <c r="Q670" s="41">
        <v>1</v>
      </c>
      <c r="R670" s="41" t="s">
        <v>16</v>
      </c>
      <c r="S670" s="41" t="s">
        <v>17</v>
      </c>
      <c r="T670" s="41" t="s">
        <v>752</v>
      </c>
      <c r="U670" s="16" t="s">
        <v>13</v>
      </c>
      <c r="V670" s="16" t="s">
        <v>19</v>
      </c>
      <c r="W670" s="19" t="s"/>
      <c r="X670" s="26" t="s">
        <f>=M670&amp;N670&amp;P670&amp;Q670&amp;T670&amp;V670&amp;S670</f>
        <v>753</v>
      </c>
      <c r="Y670" s="19" t="s"/>
      <c r="Z670" s="19" t="s"/>
      <c r="AA670" s="19" t="s"/>
      <c r="AB670" s="19" t="s"/>
    </row>
    <row r="671" spans="1:28" ht="14.4">
      <c r="A671" s="4">
        <f>=H671/G671-1</f>
        <v>0.0994152046783625</v>
      </c>
      <c r="B671" s="20">
        <f>=F671/12</f>
        <v>14.1</v>
      </c>
      <c r="C671" s="20">
        <f>=J671/3</f>
        <v>112.8</v>
      </c>
      <c r="D671" s="20">
        <f>=K671/3</f>
        <v>125.333333333333</v>
      </c>
      <c r="E671" s="20">
        <f>=L671/3</f>
        <v>131.6</v>
      </c>
      <c r="F671" s="20">
        <f>=H671*0.9</f>
        <v>169.2</v>
      </c>
      <c r="G671" s="21">
        <v>171</v>
      </c>
      <c r="H671" s="39">
        <v>188</v>
      </c>
      <c r="I671" s="40">
        <f>=H671*1.05</f>
        <v>197.4</v>
      </c>
      <c r="J671" s="40">
        <f>=F671*2</f>
        <v>338.4</v>
      </c>
      <c r="K671" s="40">
        <f>=H671*2</f>
        <v>376</v>
      </c>
      <c r="L671" s="40">
        <f>=I671*2</f>
        <v>394.8</v>
      </c>
      <c r="M671" s="41" t="s">
        <v>622</v>
      </c>
      <c r="N671" s="41">
        <v>0.5</v>
      </c>
      <c r="O671" s="41" t="s"/>
      <c r="P671" s="41">
        <v>1</v>
      </c>
      <c r="Q671" s="41">
        <v>1</v>
      </c>
      <c r="R671" s="41" t="s">
        <v>16</v>
      </c>
      <c r="S671" s="41" t="s">
        <v>17</v>
      </c>
      <c r="T671" s="41" t="s">
        <v>387</v>
      </c>
      <c r="U671" s="16" t="s">
        <v>13</v>
      </c>
      <c r="V671" s="16" t="s">
        <v>19</v>
      </c>
      <c r="W671" s="19" t="s"/>
      <c r="X671" s="26" t="s">
        <f>=M671&amp;N671&amp;P671&amp;Q671&amp;T671&amp;V671&amp;S671</f>
        <v>754</v>
      </c>
      <c r="Y671" s="19" t="s"/>
      <c r="Z671" s="19" t="s"/>
      <c r="AA671" s="19" t="s"/>
      <c r="AB671" s="19" t="s"/>
    </row>
    <row r="672" spans="1:28" ht="14.4">
      <c r="A672" s="4">
        <f>=H672/G672-1</f>
        <v>0.0975609756097562</v>
      </c>
      <c r="B672" s="20">
        <f>=F672/12</f>
        <v>10.125</v>
      </c>
      <c r="C672" s="20">
        <f>=J672/3</f>
        <v>81</v>
      </c>
      <c r="D672" s="20">
        <f>=K672/3</f>
        <v>90</v>
      </c>
      <c r="E672" s="20">
        <f>=L672/3</f>
        <v>94.5</v>
      </c>
      <c r="F672" s="20">
        <f>=H672*0.9</f>
        <v>121.5</v>
      </c>
      <c r="G672" s="21">
        <v>123</v>
      </c>
      <c r="H672" s="39">
        <v>135</v>
      </c>
      <c r="I672" s="40">
        <f>=H672*1.05</f>
        <v>141.75</v>
      </c>
      <c r="J672" s="40">
        <f>=F672*2</f>
        <v>243</v>
      </c>
      <c r="K672" s="40">
        <f>=H672*2</f>
        <v>270</v>
      </c>
      <c r="L672" s="40">
        <f>=I672*2</f>
        <v>283.5</v>
      </c>
      <c r="M672" s="41" t="s">
        <v>622</v>
      </c>
      <c r="N672" s="41">
        <v>0.5</v>
      </c>
      <c r="O672" s="41" t="s"/>
      <c r="P672" s="41" t="s">
        <v>21</v>
      </c>
      <c r="Q672" s="41" t="s">
        <v>21</v>
      </c>
      <c r="R672" s="41" t="s">
        <v>16</v>
      </c>
      <c r="S672" s="41" t="s">
        <v>17</v>
      </c>
      <c r="T672" s="41" t="s">
        <v>102</v>
      </c>
      <c r="U672" s="16" t="s">
        <v>13</v>
      </c>
      <c r="V672" s="16" t="s">
        <v>19</v>
      </c>
      <c r="W672" s="19" t="s"/>
      <c r="X672" s="26" t="s">
        <f>=M672&amp;N672&amp;P672&amp;Q672&amp;T672&amp;V672&amp;S672</f>
        <v>755</v>
      </c>
      <c r="Y672" s="19" t="s"/>
      <c r="Z672" s="19" t="s"/>
      <c r="AA672" s="19" t="s"/>
      <c r="AB672" s="19" t="s"/>
    </row>
    <row r="673" spans="1:28" ht="14.4">
      <c r="A673" s="4">
        <f>=H673/G673-1</f>
        <v>0</v>
      </c>
      <c r="B673" s="20">
        <f>=F673/12</f>
        <v>22.5</v>
      </c>
      <c r="C673" s="20">
        <f>=J673/3</f>
        <v>180</v>
      </c>
      <c r="D673" s="20">
        <f>=K673/3</f>
        <v>200</v>
      </c>
      <c r="E673" s="20">
        <f>=L673/3</f>
        <v>210</v>
      </c>
      <c r="F673" s="20">
        <f>=H673*0.9</f>
        <v>270</v>
      </c>
      <c r="G673" s="21">
        <v>300</v>
      </c>
      <c r="H673" s="39">
        <v>300</v>
      </c>
      <c r="I673" s="40">
        <f>=H673*1.05</f>
        <v>315</v>
      </c>
      <c r="J673" s="40">
        <f>=F673*2</f>
        <v>540</v>
      </c>
      <c r="K673" s="40">
        <f>=H673*2</f>
        <v>600</v>
      </c>
      <c r="L673" s="40">
        <f>=I673*2</f>
        <v>630</v>
      </c>
      <c r="M673" s="41" t="s">
        <v>622</v>
      </c>
      <c r="N673" s="41">
        <v>0.5</v>
      </c>
      <c r="O673" s="41" t="s"/>
      <c r="P673" s="41">
        <v>1</v>
      </c>
      <c r="Q673" s="41">
        <v>2</v>
      </c>
      <c r="R673" s="41" t="s">
        <v>16</v>
      </c>
      <c r="S673" s="41" t="s">
        <v>17</v>
      </c>
      <c r="T673" s="41" t="s">
        <v>387</v>
      </c>
      <c r="U673" s="16" t="s">
        <v>13</v>
      </c>
      <c r="V673" s="16" t="s">
        <v>19</v>
      </c>
      <c r="W673" s="17" t="s">
        <v>352</v>
      </c>
      <c r="X673" s="26" t="s">
        <f>=M673&amp;N673&amp;P673&amp;Q673&amp;T673&amp;V673&amp;S673</f>
        <v>756</v>
      </c>
      <c r="Y673" s="19" t="s"/>
      <c r="Z673" s="19" t="s"/>
      <c r="AA673" s="19" t="s"/>
      <c r="AB673" s="19" t="s"/>
    </row>
    <row r="674" spans="1:28" ht="14.4">
      <c r="A674" s="4">
        <f>=H674/G674-1</f>
        <v>0</v>
      </c>
      <c r="B674" s="20">
        <f>=F674/12</f>
        <v>26.25</v>
      </c>
      <c r="C674" s="20">
        <f>=J674/3</f>
        <v>210</v>
      </c>
      <c r="D674" s="20">
        <f>=K674/3</f>
        <v>233.333333333333</v>
      </c>
      <c r="E674" s="20">
        <f>=L674/3</f>
        <v>245</v>
      </c>
      <c r="F674" s="20">
        <f>=H674*0.9</f>
        <v>315</v>
      </c>
      <c r="G674" s="21">
        <v>350</v>
      </c>
      <c r="H674" s="39">
        <v>350</v>
      </c>
      <c r="I674" s="40">
        <f>=H674*1.05</f>
        <v>367.5</v>
      </c>
      <c r="J674" s="40">
        <f>=F674*2</f>
        <v>630</v>
      </c>
      <c r="K674" s="40">
        <f>=H674*2</f>
        <v>700</v>
      </c>
      <c r="L674" s="40">
        <f>=I674*2</f>
        <v>735</v>
      </c>
      <c r="M674" s="41" t="s">
        <v>622</v>
      </c>
      <c r="N674" s="41">
        <v>0.5</v>
      </c>
      <c r="O674" s="41" t="s"/>
      <c r="P674" s="41">
        <v>2</v>
      </c>
      <c r="Q674" s="41">
        <v>2</v>
      </c>
      <c r="R674" s="41" t="s">
        <v>16</v>
      </c>
      <c r="S674" s="41" t="s">
        <v>17</v>
      </c>
      <c r="T674" s="41" t="s">
        <v>387</v>
      </c>
      <c r="U674" s="16" t="s">
        <v>13</v>
      </c>
      <c r="V674" s="16" t="s">
        <v>19</v>
      </c>
      <c r="W674" s="17" t="s">
        <v>352</v>
      </c>
      <c r="X674" s="26" t="s">
        <f>=M674&amp;N674&amp;P674&amp;Q674&amp;T674&amp;V674&amp;S674</f>
        <v>757</v>
      </c>
      <c r="Y674" s="19" t="s"/>
      <c r="Z674" s="19" t="s"/>
      <c r="AA674" s="19" t="s"/>
      <c r="AB674" s="19" t="s"/>
    </row>
    <row r="675" spans="1:28" ht="14.4">
      <c r="A675" s="4">
        <f>=H675/G675-1</f>
        <v>0.102325581395349</v>
      </c>
      <c r="B675" s="20">
        <f>=F675/12</f>
        <v>17.775</v>
      </c>
      <c r="C675" s="20">
        <f>=J675/3</f>
        <v>142.2</v>
      </c>
      <c r="D675" s="20">
        <f>=K675/3</f>
        <v>158</v>
      </c>
      <c r="E675" s="20">
        <f>=L675/3</f>
        <v>165.9</v>
      </c>
      <c r="F675" s="20">
        <f>=H675*0.9</f>
        <v>213.3</v>
      </c>
      <c r="G675" s="21">
        <v>215</v>
      </c>
      <c r="H675" s="39">
        <v>237</v>
      </c>
      <c r="I675" s="40">
        <f>=H675*1.05</f>
        <v>248.85</v>
      </c>
      <c r="J675" s="40">
        <f>=F675*2</f>
        <v>426.6</v>
      </c>
      <c r="K675" s="40">
        <f>=H675*2</f>
        <v>474</v>
      </c>
      <c r="L675" s="40">
        <f>=I675*2</f>
        <v>497.7</v>
      </c>
      <c r="M675" s="41" t="s">
        <v>622</v>
      </c>
      <c r="N675" s="41">
        <v>0.5</v>
      </c>
      <c r="O675" s="41" t="s"/>
      <c r="P675" s="41" t="s">
        <v>21</v>
      </c>
      <c r="Q675" s="41">
        <v>2</v>
      </c>
      <c r="R675" s="41" t="s">
        <v>16</v>
      </c>
      <c r="S675" s="41" t="s">
        <v>17</v>
      </c>
      <c r="T675" s="41" t="s">
        <v>752</v>
      </c>
      <c r="U675" s="16" t="s">
        <v>13</v>
      </c>
      <c r="V675" s="16" t="s">
        <v>215</v>
      </c>
      <c r="W675" s="19" t="s"/>
      <c r="X675" s="26" t="s">
        <f>=M675&amp;N675&amp;P675&amp;Q675&amp;T675&amp;V675&amp;S675</f>
        <v>758</v>
      </c>
      <c r="Y675" s="19" t="s"/>
      <c r="Z675" s="19" t="s"/>
      <c r="AA675" s="19" t="s"/>
      <c r="AB675" s="19" t="s"/>
    </row>
    <row r="676" spans="1:28" ht="14.4">
      <c r="A676" s="4">
        <f>=H676/G676-1</f>
        <v>0.0974025974025974</v>
      </c>
      <c r="B676" s="20">
        <f>=F676/12</f>
        <v>12.675</v>
      </c>
      <c r="C676" s="20">
        <f>=J676/3</f>
        <v>101.4</v>
      </c>
      <c r="D676" s="20">
        <f>=K676/3</f>
        <v>112.666666666667</v>
      </c>
      <c r="E676" s="20">
        <f>=L676/3</f>
        <v>118.3</v>
      </c>
      <c r="F676" s="20">
        <f>=H676*0.9</f>
        <v>152.1</v>
      </c>
      <c r="G676" s="21">
        <v>154</v>
      </c>
      <c r="H676" s="39">
        <v>169</v>
      </c>
      <c r="I676" s="40">
        <f>=H676*1.05</f>
        <v>177.45</v>
      </c>
      <c r="J676" s="40">
        <f>=F676*2</f>
        <v>304.2</v>
      </c>
      <c r="K676" s="40">
        <f>=H676*2</f>
        <v>338</v>
      </c>
      <c r="L676" s="40">
        <f>=I676*2</f>
        <v>354.9</v>
      </c>
      <c r="M676" s="41" t="s">
        <v>622</v>
      </c>
      <c r="N676" s="41">
        <v>0.51</v>
      </c>
      <c r="O676" s="41" t="s"/>
      <c r="P676" s="41">
        <v>1</v>
      </c>
      <c r="Q676" s="41">
        <v>1</v>
      </c>
      <c r="R676" s="41" t="s">
        <v>16</v>
      </c>
      <c r="S676" s="41" t="s">
        <v>17</v>
      </c>
      <c r="T676" s="41" t="s">
        <v>377</v>
      </c>
      <c r="U676" s="16" t="s">
        <v>13</v>
      </c>
      <c r="V676" s="16" t="s">
        <v>19</v>
      </c>
      <c r="W676" s="19" t="s"/>
      <c r="X676" s="26" t="s">
        <f>=M676&amp;N676&amp;P676&amp;Q676&amp;T676&amp;V676&amp;S676</f>
        <v>759</v>
      </c>
      <c r="Y676" s="19" t="s"/>
      <c r="Z676" s="19" t="s"/>
      <c r="AA676" s="19" t="s"/>
      <c r="AB676" s="19" t="s"/>
    </row>
    <row r="677" spans="1:28" ht="14.4">
      <c r="A677" s="4">
        <f>=H677/G677-1</f>
        <v>0.100323624595469</v>
      </c>
      <c r="B677" s="20">
        <f>=F677/12</f>
        <v>25.5</v>
      </c>
      <c r="C677" s="20">
        <f>=J677/3</f>
        <v>204</v>
      </c>
      <c r="D677" s="20">
        <f>=K677/3</f>
        <v>226.666666666667</v>
      </c>
      <c r="E677" s="20">
        <f>=L677/3</f>
        <v>238</v>
      </c>
      <c r="F677" s="20">
        <f>=H677*0.9</f>
        <v>306</v>
      </c>
      <c r="G677" s="21">
        <v>309</v>
      </c>
      <c r="H677" s="39">
        <v>340</v>
      </c>
      <c r="I677" s="40">
        <f>=H677*1.05</f>
        <v>357</v>
      </c>
      <c r="J677" s="40">
        <f>=F677*2</f>
        <v>612</v>
      </c>
      <c r="K677" s="40">
        <f>=H677*2</f>
        <v>680</v>
      </c>
      <c r="L677" s="40">
        <f>=I677*2</f>
        <v>714</v>
      </c>
      <c r="M677" s="41" t="s">
        <v>622</v>
      </c>
      <c r="N677" s="41">
        <v>0.51</v>
      </c>
      <c r="O677" s="41" t="s"/>
      <c r="P677" s="41">
        <v>2</v>
      </c>
      <c r="Q677" s="41">
        <v>2</v>
      </c>
      <c r="R677" s="41" t="s">
        <v>16</v>
      </c>
      <c r="S677" s="41" t="s">
        <v>17</v>
      </c>
      <c r="T677" s="41" t="s">
        <v>102</v>
      </c>
      <c r="U677" s="16" t="s">
        <v>13</v>
      </c>
      <c r="V677" s="16" t="s">
        <v>19</v>
      </c>
      <c r="W677" s="19" t="s"/>
      <c r="X677" s="26" t="s">
        <f>=M677&amp;N677&amp;P677&amp;Q677&amp;T677&amp;V677&amp;S677</f>
        <v>760</v>
      </c>
      <c r="Y677" s="19" t="s"/>
      <c r="Z677" s="19" t="s"/>
      <c r="AA677" s="19" t="s"/>
      <c r="AB677" s="19" t="s"/>
    </row>
    <row r="678" spans="1:28" ht="14.4">
      <c r="A678" s="4">
        <f>=H678/G678-1</f>
        <v>0.100250626566416</v>
      </c>
      <c r="B678" s="20">
        <f>=F678/12</f>
        <v>32.925</v>
      </c>
      <c r="C678" s="20">
        <f>=J678/3</f>
        <v>263.4</v>
      </c>
      <c r="D678" s="20">
        <f>=K678/3</f>
        <v>292.666666666667</v>
      </c>
      <c r="E678" s="20">
        <f>=L678/3</f>
        <v>307.3</v>
      </c>
      <c r="F678" s="20">
        <f>=H678*0.9</f>
        <v>395.1</v>
      </c>
      <c r="G678" s="21">
        <v>399</v>
      </c>
      <c r="H678" s="39">
        <v>439</v>
      </c>
      <c r="I678" s="40">
        <f>=H678*1.05</f>
        <v>460.95</v>
      </c>
      <c r="J678" s="40">
        <f>=F678*2</f>
        <v>790.2</v>
      </c>
      <c r="K678" s="40">
        <f>=H678*2</f>
        <v>878</v>
      </c>
      <c r="L678" s="40">
        <f>=I678*2</f>
        <v>921.9</v>
      </c>
      <c r="M678" s="41" t="s">
        <v>622</v>
      </c>
      <c r="N678" s="41">
        <v>0.51</v>
      </c>
      <c r="O678" s="41" t="s"/>
      <c r="P678" s="41">
        <v>3</v>
      </c>
      <c r="Q678" s="41">
        <v>3</v>
      </c>
      <c r="R678" s="41" t="s">
        <v>16</v>
      </c>
      <c r="S678" s="41" t="s">
        <v>17</v>
      </c>
      <c r="T678" s="41" t="s">
        <v>102</v>
      </c>
      <c r="U678" s="16" t="s">
        <v>13</v>
      </c>
      <c r="V678" s="16" t="s">
        <v>19</v>
      </c>
      <c r="W678" s="19" t="s"/>
      <c r="X678" s="26" t="s">
        <f>=M678&amp;N678&amp;P678&amp;Q678&amp;T678&amp;V678&amp;S678</f>
        <v>761</v>
      </c>
      <c r="Y678" s="19" t="s"/>
      <c r="Z678" s="19" t="s"/>
      <c r="AA678" s="19" t="s"/>
      <c r="AB678" s="19" t="s"/>
    </row>
    <row r="679" spans="1:28" ht="14.4">
      <c r="A679" s="4">
        <f>=H679/G679-1</f>
        <v>0.0975609756097562</v>
      </c>
      <c r="B679" s="20">
        <f>=F679/12</f>
        <v>10.125</v>
      </c>
      <c r="C679" s="20">
        <f>=J679/3</f>
        <v>81</v>
      </c>
      <c r="D679" s="20">
        <f>=K679/3</f>
        <v>90</v>
      </c>
      <c r="E679" s="20">
        <f>=L679/3</f>
        <v>94.5</v>
      </c>
      <c r="F679" s="20">
        <f>=H679*0.9</f>
        <v>121.5</v>
      </c>
      <c r="G679" s="21">
        <v>123</v>
      </c>
      <c r="H679" s="39">
        <v>135</v>
      </c>
      <c r="I679" s="40">
        <f>=H679*1.05</f>
        <v>141.75</v>
      </c>
      <c r="J679" s="40">
        <f>=F679*2</f>
        <v>243</v>
      </c>
      <c r="K679" s="40">
        <f>=H679*2</f>
        <v>270</v>
      </c>
      <c r="L679" s="40">
        <f>=I679*2</f>
        <v>283.5</v>
      </c>
      <c r="M679" s="41" t="s">
        <v>622</v>
      </c>
      <c r="N679" s="41">
        <v>0.51</v>
      </c>
      <c r="O679" s="41" t="s"/>
      <c r="P679" s="41" t="s">
        <v>21</v>
      </c>
      <c r="Q679" s="41" t="s">
        <v>21</v>
      </c>
      <c r="R679" s="41" t="s">
        <v>16</v>
      </c>
      <c r="S679" s="41" t="s">
        <v>17</v>
      </c>
      <c r="T679" s="41" t="s">
        <v>377</v>
      </c>
      <c r="U679" s="16" t="s">
        <v>13</v>
      </c>
      <c r="V679" s="16" t="s">
        <v>19</v>
      </c>
      <c r="W679" s="19" t="s"/>
      <c r="X679" s="26" t="s">
        <f>=M679&amp;N679&amp;P679&amp;Q679&amp;T679&amp;V679&amp;S679</f>
        <v>762</v>
      </c>
      <c r="Y679" s="19" t="s"/>
      <c r="Z679" s="19" t="s"/>
      <c r="AA679" s="19" t="s"/>
      <c r="AB679" s="19" t="s"/>
    </row>
    <row r="680" spans="1:28" ht="14.4">
      <c r="A680" s="4">
        <f>=H680/G680-1</f>
        <v>0.0993975903614457</v>
      </c>
      <c r="B680" s="20">
        <f>=F680/12</f>
        <v>54.75</v>
      </c>
      <c r="C680" s="20">
        <f>=J680/3</f>
        <v>438</v>
      </c>
      <c r="D680" s="20">
        <f>=K680/3</f>
        <v>486.666666666667</v>
      </c>
      <c r="E680" s="20">
        <f>=L680/3</f>
        <v>511</v>
      </c>
      <c r="F680" s="20">
        <f>=H680*0.9</f>
        <v>657</v>
      </c>
      <c r="G680" s="21">
        <v>664</v>
      </c>
      <c r="H680" s="39">
        <v>730</v>
      </c>
      <c r="I680" s="40">
        <f>=H680*1.05</f>
        <v>766.5</v>
      </c>
      <c r="J680" s="40">
        <f>=F680*2</f>
        <v>1314</v>
      </c>
      <c r="K680" s="40">
        <f>=H680*2</f>
        <v>1460</v>
      </c>
      <c r="L680" s="40">
        <f>=I680*2</f>
        <v>1533</v>
      </c>
      <c r="M680" s="41" t="s">
        <v>622</v>
      </c>
      <c r="N680" s="41">
        <v>0.52</v>
      </c>
      <c r="O680" s="41" t="s"/>
      <c r="P680" s="41">
        <v>4</v>
      </c>
      <c r="Q680" s="41">
        <v>4</v>
      </c>
      <c r="R680" s="41" t="s">
        <v>16</v>
      </c>
      <c r="S680" s="41" t="s">
        <v>17</v>
      </c>
      <c r="T680" s="41" t="s">
        <v>102</v>
      </c>
      <c r="U680" s="16" t="s">
        <v>13</v>
      </c>
      <c r="V680" s="16" t="s">
        <v>19</v>
      </c>
      <c r="W680" s="19" t="s"/>
      <c r="X680" s="26" t="s">
        <f>=M680&amp;N680&amp;P680&amp;Q680&amp;T680&amp;V680&amp;S680</f>
        <v>763</v>
      </c>
      <c r="Y680" s="19" t="s"/>
      <c r="Z680" s="19" t="s"/>
      <c r="AA680" s="19" t="s"/>
      <c r="AB680" s="19" t="s"/>
    </row>
    <row r="681" spans="1:28" ht="14.4">
      <c r="A681" s="4">
        <f>=H681/G681-1</f>
        <v>0.0986842105263157</v>
      </c>
      <c r="B681" s="20">
        <f>=F681/12</f>
        <v>12.525</v>
      </c>
      <c r="C681" s="20">
        <f>=J681/3</f>
        <v>100.2</v>
      </c>
      <c r="D681" s="20">
        <f>=K681/3</f>
        <v>111.333333333333</v>
      </c>
      <c r="E681" s="20">
        <f>=L681/3</f>
        <v>116.9</v>
      </c>
      <c r="F681" s="20">
        <f>=H681*0.9</f>
        <v>150.3</v>
      </c>
      <c r="G681" s="21">
        <v>152</v>
      </c>
      <c r="H681" s="39">
        <v>167</v>
      </c>
      <c r="I681" s="40">
        <f>=H681*1.05</f>
        <v>175.35</v>
      </c>
      <c r="J681" s="40">
        <f>=F681*2</f>
        <v>300.6</v>
      </c>
      <c r="K681" s="40">
        <f>=H681*2</f>
        <v>334</v>
      </c>
      <c r="L681" s="40">
        <f>=I681*2</f>
        <v>350.7</v>
      </c>
      <c r="M681" s="41" t="s">
        <v>622</v>
      </c>
      <c r="N681" s="41">
        <v>0.53</v>
      </c>
      <c r="O681" s="41" t="s"/>
      <c r="P681" s="41">
        <v>1</v>
      </c>
      <c r="Q681" s="41">
        <v>1</v>
      </c>
      <c r="R681" s="41" t="s">
        <v>16</v>
      </c>
      <c r="S681" s="41" t="s">
        <v>17</v>
      </c>
      <c r="T681" s="41" t="s">
        <v>110</v>
      </c>
      <c r="U681" s="16" t="s">
        <v>13</v>
      </c>
      <c r="V681" s="16" t="s">
        <v>19</v>
      </c>
      <c r="W681" s="19" t="s"/>
      <c r="X681" s="26" t="s">
        <f>=M681&amp;N681&amp;P681&amp;Q681&amp;T681&amp;V681&amp;S681</f>
        <v>764</v>
      </c>
      <c r="Y681" s="19" t="s"/>
      <c r="Z681" s="19" t="s"/>
      <c r="AA681" s="19" t="s"/>
      <c r="AB681" s="19" t="s"/>
    </row>
    <row r="682" spans="1:28" ht="14.4">
      <c r="A682" s="4">
        <f>=H682/G682-1</f>
        <v>0.104</v>
      </c>
      <c r="B682" s="20">
        <f>=F682/12</f>
        <v>10.35</v>
      </c>
      <c r="C682" s="20">
        <f>=J682/3</f>
        <v>82.8</v>
      </c>
      <c r="D682" s="20">
        <f>=K682/3</f>
        <v>92</v>
      </c>
      <c r="E682" s="20">
        <f>=L682/3</f>
        <v>96.6</v>
      </c>
      <c r="F682" s="20">
        <f>=H682*0.9</f>
        <v>124.2</v>
      </c>
      <c r="G682" s="21">
        <v>125</v>
      </c>
      <c r="H682" s="39">
        <v>138</v>
      </c>
      <c r="I682" s="40">
        <f>=H682*1.05</f>
        <v>144.9</v>
      </c>
      <c r="J682" s="40">
        <f>=F682*2</f>
        <v>248.4</v>
      </c>
      <c r="K682" s="40">
        <f>=H682*2</f>
        <v>276</v>
      </c>
      <c r="L682" s="40">
        <f>=I682*2</f>
        <v>289.8</v>
      </c>
      <c r="M682" s="41" t="s">
        <v>622</v>
      </c>
      <c r="N682" s="41">
        <v>0.53</v>
      </c>
      <c r="O682" s="41" t="s"/>
      <c r="P682" s="41" t="s">
        <v>21</v>
      </c>
      <c r="Q682" s="41" t="s">
        <v>21</v>
      </c>
      <c r="R682" s="41" t="s">
        <v>16</v>
      </c>
      <c r="S682" s="41" t="s">
        <v>17</v>
      </c>
      <c r="T682" s="41" t="s">
        <v>110</v>
      </c>
      <c r="U682" s="16" t="s">
        <v>13</v>
      </c>
      <c r="V682" s="16" t="s">
        <v>19</v>
      </c>
      <c r="W682" s="19" t="s"/>
      <c r="X682" s="26" t="s">
        <f>=M682&amp;N682&amp;P682&amp;Q682&amp;T682&amp;V682&amp;S682</f>
        <v>765</v>
      </c>
      <c r="Y682" s="19" t="s"/>
      <c r="Z682" s="19" t="s"/>
      <c r="AA682" s="19" t="s"/>
      <c r="AB682" s="19" t="s"/>
    </row>
    <row r="683" spans="1:28" ht="14.4">
      <c r="A683" s="4">
        <f>=H683/G683-1</f>
        <v>0.1003861003861</v>
      </c>
      <c r="B683" s="20">
        <f>=F683/12</f>
        <v>42.75</v>
      </c>
      <c r="C683" s="20">
        <f>=J683/3</f>
        <v>342</v>
      </c>
      <c r="D683" s="20">
        <f>=K683/3</f>
        <v>380</v>
      </c>
      <c r="E683" s="20">
        <f>=L683/3</f>
        <v>399</v>
      </c>
      <c r="F683" s="20">
        <f>=H683*0.9</f>
        <v>513</v>
      </c>
      <c r="G683" s="21">
        <v>518</v>
      </c>
      <c r="H683" s="39">
        <v>570</v>
      </c>
      <c r="I683" s="40">
        <f>=H683*1.05</f>
        <v>598.5</v>
      </c>
      <c r="J683" s="40">
        <f>=F683*2</f>
        <v>1026</v>
      </c>
      <c r="K683" s="40">
        <f>=H683*2</f>
        <v>1140</v>
      </c>
      <c r="L683" s="40">
        <f>=I683*2</f>
        <v>1197</v>
      </c>
      <c r="M683" s="41" t="s">
        <v>622</v>
      </c>
      <c r="N683" s="41">
        <v>0.56</v>
      </c>
      <c r="O683" s="41" t="s"/>
      <c r="P683" s="41">
        <v>3</v>
      </c>
      <c r="Q683" s="41">
        <v>3</v>
      </c>
      <c r="R683" s="41" t="s">
        <v>16</v>
      </c>
      <c r="S683" s="41" t="s">
        <v>17</v>
      </c>
      <c r="T683" s="41" t="s">
        <v>110</v>
      </c>
      <c r="U683" s="16" t="s">
        <v>13</v>
      </c>
      <c r="V683" s="16" t="s">
        <v>19</v>
      </c>
      <c r="W683" s="19" t="s"/>
      <c r="X683" s="26" t="s">
        <f>=M683&amp;N683&amp;P683&amp;Q683&amp;T683&amp;V683&amp;S683</f>
        <v>766</v>
      </c>
      <c r="Y683" s="19" t="s"/>
      <c r="Z683" s="19" t="s"/>
      <c r="AA683" s="19" t="s"/>
      <c r="AB683" s="19" t="s"/>
    </row>
    <row r="684" spans="1:28" ht="14.4">
      <c r="A684" s="4">
        <f>=H684/G684-1</f>
        <v>0.1003861003861</v>
      </c>
      <c r="B684" s="20">
        <f>=F684/12</f>
        <v>21.375</v>
      </c>
      <c r="C684" s="20">
        <f>=J684/3</f>
        <v>171</v>
      </c>
      <c r="D684" s="20">
        <f>=K684/3</f>
        <v>190</v>
      </c>
      <c r="E684" s="20">
        <f>=L684/3</f>
        <v>199.5</v>
      </c>
      <c r="F684" s="20">
        <f>=H684*0.9</f>
        <v>256.5</v>
      </c>
      <c r="G684" s="21">
        <v>259</v>
      </c>
      <c r="H684" s="39">
        <v>285</v>
      </c>
      <c r="I684" s="40">
        <f>=H684*1.05</f>
        <v>299.25</v>
      </c>
      <c r="J684" s="40">
        <f>=F684*2</f>
        <v>513</v>
      </c>
      <c r="K684" s="40">
        <f>=H684*2</f>
        <v>570</v>
      </c>
      <c r="L684" s="40">
        <f>=I684*2</f>
        <v>598.5</v>
      </c>
      <c r="M684" s="41" t="s">
        <v>622</v>
      </c>
      <c r="N684" s="41">
        <v>0.56</v>
      </c>
      <c r="O684" s="41" t="s"/>
      <c r="P684" s="41">
        <v>2</v>
      </c>
      <c r="Q684" s="41">
        <v>2</v>
      </c>
      <c r="R684" s="41" t="s">
        <v>16</v>
      </c>
      <c r="S684" s="41" t="s">
        <v>17</v>
      </c>
      <c r="T684" s="41" t="s">
        <v>110</v>
      </c>
      <c r="U684" s="16" t="s">
        <v>13</v>
      </c>
      <c r="V684" s="16" t="s">
        <v>19</v>
      </c>
      <c r="W684" s="19" t="s"/>
      <c r="X684" s="26" t="s">
        <f>=M684&amp;N684&amp;P684&amp;Q684&amp;T684&amp;V684&amp;S684</f>
        <v>767</v>
      </c>
      <c r="Y684" s="19" t="s"/>
      <c r="Z684" s="19" t="s"/>
      <c r="AA684" s="19" t="s"/>
      <c r="AB684" s="19" t="s"/>
    </row>
    <row r="685" spans="1:28" ht="14.4">
      <c r="A685" s="4">
        <f>=H685/G685-1</f>
        <v>0.104</v>
      </c>
      <c r="B685" s="20">
        <f>=F685/12</f>
        <v>10.35</v>
      </c>
      <c r="C685" s="20">
        <f>=J685/3</f>
        <v>82.8</v>
      </c>
      <c r="D685" s="20">
        <f>=K685/3</f>
        <v>92</v>
      </c>
      <c r="E685" s="20">
        <f>=L685/3</f>
        <v>96.6</v>
      </c>
      <c r="F685" s="20">
        <f>=H685*0.9</f>
        <v>124.2</v>
      </c>
      <c r="G685" s="21">
        <v>125</v>
      </c>
      <c r="H685" s="39">
        <v>138</v>
      </c>
      <c r="I685" s="40">
        <f>=H685*1.05</f>
        <v>144.9</v>
      </c>
      <c r="J685" s="40">
        <f>=F685*2</f>
        <v>248.4</v>
      </c>
      <c r="K685" s="40">
        <f>=H685*2</f>
        <v>276</v>
      </c>
      <c r="L685" s="40">
        <f>=I685*2</f>
        <v>289.8</v>
      </c>
      <c r="M685" s="41" t="s">
        <v>622</v>
      </c>
      <c r="N685" s="41">
        <v>0.56</v>
      </c>
      <c r="O685" s="41" t="s"/>
      <c r="P685" s="41" t="s">
        <v>21</v>
      </c>
      <c r="Q685" s="41" t="s">
        <v>21</v>
      </c>
      <c r="R685" s="41" t="s">
        <v>16</v>
      </c>
      <c r="S685" s="41" t="s">
        <v>17</v>
      </c>
      <c r="T685" s="41" t="s">
        <v>110</v>
      </c>
      <c r="U685" s="16" t="s">
        <v>13</v>
      </c>
      <c r="V685" s="16" t="s">
        <v>19</v>
      </c>
      <c r="W685" s="19" t="s"/>
      <c r="X685" s="26" t="s">
        <f>=M685&amp;N685&amp;P685&amp;Q685&amp;T685&amp;V685&amp;S685</f>
        <v>768</v>
      </c>
      <c r="Y685" s="19" t="s"/>
      <c r="Z685" s="19" t="s"/>
      <c r="AA685" s="19" t="s"/>
      <c r="AB685" s="19" t="s"/>
    </row>
    <row r="686" spans="1:28" ht="14.4">
      <c r="A686" s="4">
        <f>=H686/G686-1</f>
        <v>0.100737100737101</v>
      </c>
      <c r="B686" s="20">
        <f>=F686/12</f>
        <v>33.6</v>
      </c>
      <c r="C686" s="20">
        <f>=J686/3</f>
        <v>268.8</v>
      </c>
      <c r="D686" s="20">
        <f>=K686/3</f>
        <v>298.666666666667</v>
      </c>
      <c r="E686" s="20">
        <f>=L686/3</f>
        <v>313.6</v>
      </c>
      <c r="F686" s="20">
        <f>=H686*0.9</f>
        <v>403.2</v>
      </c>
      <c r="G686" s="21">
        <v>407</v>
      </c>
      <c r="H686" s="39">
        <v>448</v>
      </c>
      <c r="I686" s="40">
        <f>=H686*1.05</f>
        <v>470.4</v>
      </c>
      <c r="J686" s="40">
        <f>=F686*2</f>
        <v>806.4</v>
      </c>
      <c r="K686" s="40">
        <f>=H686*2</f>
        <v>896</v>
      </c>
      <c r="L686" s="40">
        <f>=I686*2</f>
        <v>940.8</v>
      </c>
      <c r="M686" s="41" t="s">
        <v>622</v>
      </c>
      <c r="N686" s="41">
        <v>0.59</v>
      </c>
      <c r="O686" s="41" t="s"/>
      <c r="P686" s="41">
        <v>3</v>
      </c>
      <c r="Q686" s="41">
        <v>3</v>
      </c>
      <c r="R686" s="41" t="s">
        <v>16</v>
      </c>
      <c r="S686" s="41" t="s">
        <v>17</v>
      </c>
      <c r="T686" s="41" t="s">
        <v>110</v>
      </c>
      <c r="U686" s="16" t="s">
        <v>13</v>
      </c>
      <c r="V686" s="16" t="s">
        <v>19</v>
      </c>
      <c r="W686" s="19" t="s"/>
      <c r="X686" s="26" t="s">
        <f>=M686&amp;N686&amp;P686&amp;Q686&amp;T686&amp;V686&amp;S686</f>
        <v>769</v>
      </c>
      <c r="Y686" s="19" t="s"/>
      <c r="Z686" s="19" t="s"/>
      <c r="AA686" s="19" t="s"/>
      <c r="AB686" s="19" t="s"/>
    </row>
    <row r="687" spans="1:28" ht="14.4">
      <c r="A687" s="4">
        <f>=H687/G687-1</f>
        <v>0.0974025974025974</v>
      </c>
      <c r="B687" s="20">
        <f>=F687/12</f>
        <v>12.675</v>
      </c>
      <c r="C687" s="20">
        <f>=J687/3</f>
        <v>101.4</v>
      </c>
      <c r="D687" s="20">
        <f>=K687/3</f>
        <v>112.666666666667</v>
      </c>
      <c r="E687" s="20">
        <f>=L687/3</f>
        <v>118.3</v>
      </c>
      <c r="F687" s="20">
        <f>=H687*0.9</f>
        <v>152.1</v>
      </c>
      <c r="G687" s="21">
        <v>154</v>
      </c>
      <c r="H687" s="39">
        <v>169</v>
      </c>
      <c r="I687" s="40">
        <f>=H687*1.05</f>
        <v>177.45</v>
      </c>
      <c r="J687" s="40">
        <f>=F687*2</f>
        <v>304.2</v>
      </c>
      <c r="K687" s="40">
        <f>=H687*2</f>
        <v>338</v>
      </c>
      <c r="L687" s="40">
        <f>=I687*2</f>
        <v>354.9</v>
      </c>
      <c r="M687" s="41" t="s">
        <v>622</v>
      </c>
      <c r="N687" s="41">
        <v>0.6</v>
      </c>
      <c r="O687" s="41" t="s"/>
      <c r="P687" s="41">
        <v>1</v>
      </c>
      <c r="Q687" s="41">
        <v>1</v>
      </c>
      <c r="R687" s="41" t="s">
        <v>16</v>
      </c>
      <c r="S687" s="41" t="s">
        <v>17</v>
      </c>
      <c r="T687" s="41" t="s">
        <v>110</v>
      </c>
      <c r="U687" s="16" t="s">
        <v>13</v>
      </c>
      <c r="V687" s="16" t="s">
        <v>19</v>
      </c>
      <c r="W687" s="19" t="s"/>
      <c r="X687" s="26" t="s">
        <f>=M687&amp;N687&amp;P687&amp;Q687&amp;T687&amp;V687&amp;S687</f>
        <v>770</v>
      </c>
      <c r="Y687" s="19" t="s"/>
      <c r="Z687" s="19" t="s"/>
      <c r="AA687" s="19" t="s"/>
      <c r="AB687" s="19" t="s"/>
    </row>
    <row r="688" spans="1:28" ht="14.4">
      <c r="A688" s="4">
        <f>=H688/G688-1</f>
        <v>0.1003861003861</v>
      </c>
      <c r="B688" s="20">
        <f>=F688/12</f>
        <v>21.375</v>
      </c>
      <c r="C688" s="20">
        <f>=J688/3</f>
        <v>171</v>
      </c>
      <c r="D688" s="20">
        <f>=K688/3</f>
        <v>190</v>
      </c>
      <c r="E688" s="20">
        <f>=L688/3</f>
        <v>199.5</v>
      </c>
      <c r="F688" s="20">
        <f>=H688*0.9</f>
        <v>256.5</v>
      </c>
      <c r="G688" s="21">
        <v>259</v>
      </c>
      <c r="H688" s="39">
        <v>285</v>
      </c>
      <c r="I688" s="40">
        <f>=H688*1.05</f>
        <v>299.25</v>
      </c>
      <c r="J688" s="40">
        <f>=F688*2</f>
        <v>513</v>
      </c>
      <c r="K688" s="40">
        <f>=H688*2</f>
        <v>570</v>
      </c>
      <c r="L688" s="40">
        <f>=I688*2</f>
        <v>598.5</v>
      </c>
      <c r="M688" s="41" t="s">
        <v>622</v>
      </c>
      <c r="N688" s="41">
        <v>0.6</v>
      </c>
      <c r="O688" s="41" t="s"/>
      <c r="P688" s="41">
        <v>2</v>
      </c>
      <c r="Q688" s="41">
        <v>2</v>
      </c>
      <c r="R688" s="41" t="s">
        <v>16</v>
      </c>
      <c r="S688" s="41" t="s">
        <v>17</v>
      </c>
      <c r="T688" s="41" t="s">
        <v>110</v>
      </c>
      <c r="U688" s="16" t="s">
        <v>13</v>
      </c>
      <c r="V688" s="16" t="s">
        <v>19</v>
      </c>
      <c r="W688" s="19" t="s"/>
      <c r="X688" s="26" t="s">
        <f>=M688&amp;N688&amp;P688&amp;Q688&amp;T688&amp;V688&amp;S688</f>
        <v>771</v>
      </c>
      <c r="Y688" s="19" t="s"/>
      <c r="Z688" s="19" t="s"/>
      <c r="AA688" s="19" t="s"/>
      <c r="AB688" s="19" t="s"/>
    </row>
    <row r="689" spans="1:28" ht="14.4">
      <c r="A689" s="4">
        <f>=H689/G689-1</f>
        <v>0.0975609756097562</v>
      </c>
      <c r="B689" s="20">
        <f>=F689/12</f>
        <v>10.125</v>
      </c>
      <c r="C689" s="20">
        <f>=J689/3</f>
        <v>81</v>
      </c>
      <c r="D689" s="20">
        <f>=K689/3</f>
        <v>90</v>
      </c>
      <c r="E689" s="20">
        <f>=L689/3</f>
        <v>94.5</v>
      </c>
      <c r="F689" s="20">
        <f>=H689*0.9</f>
        <v>121.5</v>
      </c>
      <c r="G689" s="21">
        <v>123</v>
      </c>
      <c r="H689" s="39">
        <v>135</v>
      </c>
      <c r="I689" s="40">
        <f>=H689*1.05</f>
        <v>141.75</v>
      </c>
      <c r="J689" s="40">
        <f>=F689*2</f>
        <v>243</v>
      </c>
      <c r="K689" s="40">
        <f>=H689*2</f>
        <v>270</v>
      </c>
      <c r="L689" s="40">
        <f>=I689*2</f>
        <v>283.5</v>
      </c>
      <c r="M689" s="41" t="s">
        <v>622</v>
      </c>
      <c r="N689" s="41">
        <v>0.6</v>
      </c>
      <c r="O689" s="41" t="s"/>
      <c r="P689" s="41" t="s">
        <v>21</v>
      </c>
      <c r="Q689" s="41" t="s">
        <v>21</v>
      </c>
      <c r="R689" s="41" t="s">
        <v>16</v>
      </c>
      <c r="S689" s="41" t="s">
        <v>17</v>
      </c>
      <c r="T689" s="41" t="s">
        <v>110</v>
      </c>
      <c r="U689" s="16" t="s">
        <v>13</v>
      </c>
      <c r="V689" s="16" t="s">
        <v>19</v>
      </c>
      <c r="W689" s="19" t="s"/>
      <c r="X689" s="26" t="s">
        <f>=M689&amp;N689&amp;P689&amp;Q689&amp;T689&amp;V689&amp;S689</f>
        <v>772</v>
      </c>
      <c r="Y689" s="19" t="s"/>
      <c r="Z689" s="19" t="s"/>
      <c r="AA689" s="19" t="s"/>
      <c r="AB689" s="19" t="s"/>
    </row>
    <row r="690" spans="1:28" ht="14.4">
      <c r="A690" s="4">
        <f>=H690/G690-1</f>
        <v>0.1</v>
      </c>
      <c r="B690" s="20">
        <f>=F690/12</f>
        <v>12.375</v>
      </c>
      <c r="C690" s="20">
        <f>=J690/3</f>
        <v>99</v>
      </c>
      <c r="D690" s="20">
        <f>=K690/3</f>
        <v>110</v>
      </c>
      <c r="E690" s="20">
        <f>=L690/3</f>
        <v>115.5</v>
      </c>
      <c r="F690" s="20">
        <f>=H690*0.9</f>
        <v>148.5</v>
      </c>
      <c r="G690" s="21">
        <v>150</v>
      </c>
      <c r="H690" s="39">
        <v>165</v>
      </c>
      <c r="I690" s="40">
        <f>=H690*1.05</f>
        <v>173.25</v>
      </c>
      <c r="J690" s="40">
        <f>=F690*2</f>
        <v>297</v>
      </c>
      <c r="K690" s="40">
        <f>=H690*2</f>
        <v>330</v>
      </c>
      <c r="L690" s="40">
        <f>=I690*2</f>
        <v>346.5</v>
      </c>
      <c r="M690" s="41" t="s">
        <v>622</v>
      </c>
      <c r="N690" s="41">
        <v>0.61</v>
      </c>
      <c r="O690" s="41" t="s"/>
      <c r="P690" s="75" t="s">
        <v>21</v>
      </c>
      <c r="Q690" s="75">
        <v>1</v>
      </c>
      <c r="R690" s="41" t="s">
        <v>16</v>
      </c>
      <c r="S690" s="41" t="s">
        <v>17</v>
      </c>
      <c r="T690" s="41" t="s">
        <v>110</v>
      </c>
      <c r="U690" s="16" t="s">
        <v>13</v>
      </c>
      <c r="V690" s="16" t="s">
        <v>19</v>
      </c>
      <c r="W690" s="19" t="s"/>
      <c r="X690" s="26" t="s">
        <f>=M690&amp;N690&amp;P690&amp;Q690&amp;T690&amp;V690&amp;S690</f>
        <v>773</v>
      </c>
      <c r="Y690" s="19" t="s"/>
      <c r="Z690" s="19" t="s"/>
      <c r="AA690" s="19" t="s"/>
      <c r="AB690" s="19" t="s"/>
    </row>
    <row r="691" spans="1:28" ht="14.4">
      <c r="A691" s="4">
        <f>=H691/G691-1</f>
        <v>0.10062893081761</v>
      </c>
      <c r="B691" s="20">
        <f>=F691/12</f>
        <v>26.25</v>
      </c>
      <c r="C691" s="20">
        <f>=J691/3</f>
        <v>210</v>
      </c>
      <c r="D691" s="20">
        <f>=K691/3</f>
        <v>233.333333333333</v>
      </c>
      <c r="E691" s="20">
        <f>=L691/3</f>
        <v>245</v>
      </c>
      <c r="F691" s="20">
        <f>=H691*0.9</f>
        <v>315</v>
      </c>
      <c r="G691" s="21">
        <v>318</v>
      </c>
      <c r="H691" s="39">
        <v>350</v>
      </c>
      <c r="I691" s="40">
        <f>=H691*1.05</f>
        <v>367.5</v>
      </c>
      <c r="J691" s="40">
        <f>=F691*2</f>
        <v>630</v>
      </c>
      <c r="K691" s="40">
        <f>=H691*2</f>
        <v>700</v>
      </c>
      <c r="L691" s="40">
        <f>=I691*2</f>
        <v>735</v>
      </c>
      <c r="M691" s="41" t="s">
        <v>622</v>
      </c>
      <c r="N691" s="41">
        <v>0.61</v>
      </c>
      <c r="O691" s="41" t="s"/>
      <c r="P691" s="41">
        <v>2</v>
      </c>
      <c r="Q691" s="41">
        <v>2</v>
      </c>
      <c r="R691" s="41" t="s">
        <v>16</v>
      </c>
      <c r="S691" s="41" t="s">
        <v>17</v>
      </c>
      <c r="T691" s="41" t="s">
        <v>110</v>
      </c>
      <c r="U691" s="16" t="s">
        <v>13</v>
      </c>
      <c r="V691" s="16" t="s">
        <v>19</v>
      </c>
      <c r="W691" s="19" t="s"/>
      <c r="X691" s="26" t="s">
        <f>=M691&amp;N691&amp;P691&amp;Q691&amp;T691&amp;V691&amp;S691</f>
        <v>774</v>
      </c>
      <c r="Y691" s="19" t="s"/>
      <c r="Z691" s="19" t="s"/>
      <c r="AA691" s="19" t="s"/>
      <c r="AB691" s="19" t="s"/>
    </row>
    <row r="692" spans="1:28" ht="14.4">
      <c r="A692" s="4">
        <f>=H692/G692-1</f>
        <v>0.0974025974025974</v>
      </c>
      <c r="B692" s="20">
        <f>=F692/12</f>
        <v>12.675</v>
      </c>
      <c r="C692" s="20">
        <f>=J692/3</f>
        <v>101.4</v>
      </c>
      <c r="D692" s="20">
        <f>=K692/3</f>
        <v>112.666666666667</v>
      </c>
      <c r="E692" s="20">
        <f>=L692/3</f>
        <v>118.3</v>
      </c>
      <c r="F692" s="20">
        <f>=H692*0.9</f>
        <v>152.1</v>
      </c>
      <c r="G692" s="21">
        <v>154</v>
      </c>
      <c r="H692" s="39">
        <v>169</v>
      </c>
      <c r="I692" s="40">
        <f>=H692*1.05</f>
        <v>177.45</v>
      </c>
      <c r="J692" s="40">
        <f>=F692*2</f>
        <v>304.2</v>
      </c>
      <c r="K692" s="40">
        <f>=H692*2</f>
        <v>338</v>
      </c>
      <c r="L692" s="40">
        <f>=I692*2</f>
        <v>354.9</v>
      </c>
      <c r="M692" s="41" t="s">
        <v>622</v>
      </c>
      <c r="N692" s="41">
        <v>0.61</v>
      </c>
      <c r="O692" s="41" t="s"/>
      <c r="P692" s="41">
        <v>1</v>
      </c>
      <c r="Q692" s="41">
        <v>1</v>
      </c>
      <c r="R692" s="41" t="s">
        <v>16</v>
      </c>
      <c r="S692" s="41" t="s">
        <v>17</v>
      </c>
      <c r="T692" s="41" t="s">
        <v>110</v>
      </c>
      <c r="U692" s="16" t="s">
        <v>13</v>
      </c>
      <c r="V692" s="16" t="s">
        <v>19</v>
      </c>
      <c r="W692" s="19" t="s"/>
      <c r="X692" s="26" t="s">
        <f>=M692&amp;N692&amp;P692&amp;Q692&amp;T692&amp;V692&amp;S692</f>
        <v>775</v>
      </c>
      <c r="Y692" s="19" t="s"/>
      <c r="Z692" s="19" t="s"/>
      <c r="AA692" s="19" t="s"/>
      <c r="AB692" s="19" t="s"/>
    </row>
    <row r="693" spans="1:28" ht="14.4">
      <c r="A693" s="4">
        <f>=H693/G693-1</f>
        <v>0.100737100737101</v>
      </c>
      <c r="B693" s="20">
        <f>=F693/12</f>
        <v>33.6</v>
      </c>
      <c r="C693" s="20">
        <f>=J693/3</f>
        <v>268.8</v>
      </c>
      <c r="D693" s="20">
        <f>=K693/3</f>
        <v>298.666666666667</v>
      </c>
      <c r="E693" s="20">
        <f>=L693/3</f>
        <v>313.6</v>
      </c>
      <c r="F693" s="20">
        <f>=H693*0.9</f>
        <v>403.2</v>
      </c>
      <c r="G693" s="21">
        <v>407</v>
      </c>
      <c r="H693" s="39">
        <v>448</v>
      </c>
      <c r="I693" s="40">
        <f>=H693*1.05</f>
        <v>470.4</v>
      </c>
      <c r="J693" s="40">
        <f>=F693*2</f>
        <v>806.4</v>
      </c>
      <c r="K693" s="40">
        <f>=H693*2</f>
        <v>896</v>
      </c>
      <c r="L693" s="40">
        <f>=I693*2</f>
        <v>940.8</v>
      </c>
      <c r="M693" s="41" t="s">
        <v>622</v>
      </c>
      <c r="N693" s="41">
        <v>0.61</v>
      </c>
      <c r="O693" s="41" t="s"/>
      <c r="P693" s="41">
        <v>3</v>
      </c>
      <c r="Q693" s="41">
        <v>3</v>
      </c>
      <c r="R693" s="41" t="s">
        <v>16</v>
      </c>
      <c r="S693" s="41" t="s">
        <v>17</v>
      </c>
      <c r="T693" s="41" t="s">
        <v>110</v>
      </c>
      <c r="U693" s="16" t="s">
        <v>13</v>
      </c>
      <c r="V693" s="16" t="s">
        <v>19</v>
      </c>
      <c r="W693" s="19" t="s"/>
      <c r="X693" s="26" t="s">
        <f>=M693&amp;N693&amp;P693&amp;Q693&amp;T693&amp;V693&amp;S693</f>
        <v>776</v>
      </c>
      <c r="Y693" s="19" t="s"/>
      <c r="Z693" s="19" t="s"/>
      <c r="AA693" s="19" t="s"/>
      <c r="AB693" s="19" t="s"/>
    </row>
    <row r="694" spans="1:28" ht="14.4">
      <c r="A694" s="4">
        <f>=H694/G694-1</f>
        <v>0.103448275862069</v>
      </c>
      <c r="B694" s="20">
        <f>=F694/12</f>
        <v>12</v>
      </c>
      <c r="C694" s="20">
        <f>=J694/3</f>
        <v>96</v>
      </c>
      <c r="D694" s="20">
        <f>=K694/3</f>
        <v>106.666666666667</v>
      </c>
      <c r="E694" s="20">
        <f>=L694/3</f>
        <v>112</v>
      </c>
      <c r="F694" s="20">
        <f>=H694*0.9</f>
        <v>144</v>
      </c>
      <c r="G694" s="21">
        <v>145</v>
      </c>
      <c r="H694" s="39">
        <v>160</v>
      </c>
      <c r="I694" s="40">
        <f>=H694*1.05</f>
        <v>168</v>
      </c>
      <c r="J694" s="40">
        <f>=F694*2</f>
        <v>288</v>
      </c>
      <c r="K694" s="40">
        <f>=H694*2</f>
        <v>320</v>
      </c>
      <c r="L694" s="40">
        <f>=I694*2</f>
        <v>336</v>
      </c>
      <c r="M694" s="41" t="s">
        <v>622</v>
      </c>
      <c r="N694" s="41">
        <v>0.63</v>
      </c>
      <c r="O694" s="41" t="s"/>
      <c r="P694" s="41">
        <v>1</v>
      </c>
      <c r="Q694" s="41">
        <v>1</v>
      </c>
      <c r="R694" s="41" t="s">
        <v>16</v>
      </c>
      <c r="S694" s="41" t="s">
        <v>17</v>
      </c>
      <c r="T694" s="41" t="s">
        <v>120</v>
      </c>
      <c r="U694" s="16" t="s">
        <v>13</v>
      </c>
      <c r="V694" s="16" t="s">
        <v>19</v>
      </c>
      <c r="W694" s="19" t="s"/>
      <c r="X694" s="26" t="s">
        <f>=M694&amp;N694&amp;P694&amp;Q694&amp;T694&amp;V694&amp;S694</f>
        <v>777</v>
      </c>
      <c r="Y694" s="19" t="s"/>
      <c r="Z694" s="19" t="s"/>
      <c r="AA694" s="19" t="s"/>
      <c r="AB694" s="19" t="s"/>
    </row>
    <row r="695" spans="1:28" ht="14.4">
      <c r="A695" s="4">
        <f>=H695/G695-1</f>
        <v>0.101351351351351</v>
      </c>
      <c r="B695" s="20">
        <f>=F695/12</f>
        <v>12.225</v>
      </c>
      <c r="C695" s="20">
        <f>=J695/3</f>
        <v>97.8</v>
      </c>
      <c r="D695" s="20">
        <f>=K695/3</f>
        <v>108.666666666667</v>
      </c>
      <c r="E695" s="20">
        <f>=L695/3</f>
        <v>114.1</v>
      </c>
      <c r="F695" s="20">
        <f>=H695*0.9</f>
        <v>146.7</v>
      </c>
      <c r="G695" s="21">
        <v>148</v>
      </c>
      <c r="H695" s="39">
        <v>163</v>
      </c>
      <c r="I695" s="40">
        <f>=H695*1.05</f>
        <v>171.15</v>
      </c>
      <c r="J695" s="40">
        <f>=F695*2</f>
        <v>293.4</v>
      </c>
      <c r="K695" s="40">
        <f>=H695*2</f>
        <v>326</v>
      </c>
      <c r="L695" s="40">
        <f>=I695*2</f>
        <v>342.3</v>
      </c>
      <c r="M695" s="41" t="s">
        <v>622</v>
      </c>
      <c r="N695" s="41">
        <v>0.63</v>
      </c>
      <c r="O695" s="41" t="s"/>
      <c r="P695" s="41" t="s">
        <v>21</v>
      </c>
      <c r="Q695" s="41" t="s">
        <v>21</v>
      </c>
      <c r="R695" s="41" t="s">
        <v>16</v>
      </c>
      <c r="S695" s="41" t="s">
        <v>17</v>
      </c>
      <c r="T695" s="41" t="s">
        <v>120</v>
      </c>
      <c r="U695" s="16" t="s">
        <v>13</v>
      </c>
      <c r="V695" s="16" t="s">
        <v>19</v>
      </c>
      <c r="W695" s="19" t="s"/>
      <c r="X695" s="26" t="s">
        <f>=M695&amp;N695&amp;P695&amp;Q695&amp;T695&amp;V695&amp;S695</f>
        <v>778</v>
      </c>
      <c r="Y695" s="19" t="s"/>
      <c r="Z695" s="19" t="s"/>
      <c r="AA695" s="19" t="s"/>
      <c r="AB695" s="19" t="s"/>
    </row>
    <row r="696" spans="1:28" ht="14.4">
      <c r="A696" s="4">
        <f>=H696/G696-1</f>
        <v>0.10126582278481</v>
      </c>
      <c r="B696" s="20">
        <f>=F696/12</f>
        <v>13.05</v>
      </c>
      <c r="C696" s="20">
        <f>=J696/3</f>
        <v>104.4</v>
      </c>
      <c r="D696" s="20">
        <f>=K696/3</f>
        <v>116</v>
      </c>
      <c r="E696" s="20">
        <f>=L696/3</f>
        <v>121.8</v>
      </c>
      <c r="F696" s="20">
        <f>=H696*0.9</f>
        <v>156.6</v>
      </c>
      <c r="G696" s="21">
        <v>158</v>
      </c>
      <c r="H696" s="39">
        <v>174</v>
      </c>
      <c r="I696" s="40">
        <f>=H696*1.05</f>
        <v>182.7</v>
      </c>
      <c r="J696" s="40">
        <f>=F696*2</f>
        <v>313.2</v>
      </c>
      <c r="K696" s="40">
        <f>=H696*2</f>
        <v>348</v>
      </c>
      <c r="L696" s="40">
        <f>=I696*2</f>
        <v>365.4</v>
      </c>
      <c r="M696" s="41" t="s">
        <v>622</v>
      </c>
      <c r="N696" s="41">
        <v>0.66</v>
      </c>
      <c r="O696" s="41" t="s"/>
      <c r="P696" s="41">
        <v>1</v>
      </c>
      <c r="Q696" s="41">
        <v>1</v>
      </c>
      <c r="R696" s="41" t="s">
        <v>16</v>
      </c>
      <c r="S696" s="41" t="s">
        <v>17</v>
      </c>
      <c r="T696" s="41" t="s">
        <v>579</v>
      </c>
      <c r="U696" s="16" t="s">
        <v>13</v>
      </c>
      <c r="V696" s="16" t="s">
        <v>19</v>
      </c>
      <c r="W696" s="19" t="s"/>
      <c r="X696" s="26" t="s">
        <f>=M696&amp;N696&amp;P696&amp;Q696&amp;T696&amp;V696&amp;S696</f>
        <v>779</v>
      </c>
      <c r="Y696" s="19" t="s"/>
      <c r="Z696" s="19" t="s"/>
      <c r="AA696" s="19" t="s"/>
      <c r="AB696" s="19" t="s"/>
    </row>
    <row r="697" spans="1:28" ht="14.4">
      <c r="A697" s="4">
        <f>=H697/G697-1</f>
        <v>0.101503759398496</v>
      </c>
      <c r="B697" s="20">
        <f>=F697/12</f>
        <v>21.975</v>
      </c>
      <c r="C697" s="20">
        <f>=J697/3</f>
        <v>175.8</v>
      </c>
      <c r="D697" s="20">
        <f>=K697/3</f>
        <v>195.333333333333</v>
      </c>
      <c r="E697" s="20">
        <f>=L697/3</f>
        <v>205.1</v>
      </c>
      <c r="F697" s="20">
        <f>=H697*0.9</f>
        <v>263.7</v>
      </c>
      <c r="G697" s="21">
        <v>266</v>
      </c>
      <c r="H697" s="39">
        <v>293</v>
      </c>
      <c r="I697" s="40">
        <f>=H697*1.05</f>
        <v>307.65</v>
      </c>
      <c r="J697" s="40">
        <f>=F697*2</f>
        <v>527.4</v>
      </c>
      <c r="K697" s="40">
        <f>=H697*2</f>
        <v>586</v>
      </c>
      <c r="L697" s="40">
        <f>=I697*2</f>
        <v>615.3</v>
      </c>
      <c r="M697" s="41" t="s">
        <v>622</v>
      </c>
      <c r="N697" s="41">
        <v>0.66</v>
      </c>
      <c r="O697" s="41" t="s"/>
      <c r="P697" s="41">
        <v>2</v>
      </c>
      <c r="Q697" s="41">
        <v>2</v>
      </c>
      <c r="R697" s="41" t="s">
        <v>16</v>
      </c>
      <c r="S697" s="41" t="s">
        <v>17</v>
      </c>
      <c r="T697" s="41" t="s">
        <v>579</v>
      </c>
      <c r="U697" s="16" t="s">
        <v>13</v>
      </c>
      <c r="V697" s="16" t="s">
        <v>19</v>
      </c>
      <c r="W697" s="19" t="s"/>
      <c r="X697" s="26" t="s">
        <f>=M697&amp;N697&amp;P697&amp;Q697&amp;T697&amp;V697&amp;S697</f>
        <v>780</v>
      </c>
      <c r="Y697" s="19" t="s"/>
      <c r="Z697" s="19" t="s"/>
      <c r="AA697" s="19" t="s"/>
      <c r="AB697" s="19" t="s"/>
    </row>
    <row r="698" spans="1:28" ht="14.4">
      <c r="A698" s="4">
        <f>=H698/G698-1</f>
        <v>0.10077519379845</v>
      </c>
      <c r="B698" s="20">
        <f>=F698/12</f>
        <v>10.65</v>
      </c>
      <c r="C698" s="20">
        <f>=J698/3</f>
        <v>85.2</v>
      </c>
      <c r="D698" s="20">
        <f>=K698/3</f>
        <v>94.6666666666667</v>
      </c>
      <c r="E698" s="20">
        <f>=L698/3</f>
        <v>99.4</v>
      </c>
      <c r="F698" s="20">
        <f>=H698*0.9</f>
        <v>127.8</v>
      </c>
      <c r="G698" s="21">
        <v>129</v>
      </c>
      <c r="H698" s="39">
        <v>142</v>
      </c>
      <c r="I698" s="40">
        <f>=H698*1.05</f>
        <v>149.1</v>
      </c>
      <c r="J698" s="40">
        <f>=F698*2</f>
        <v>255.6</v>
      </c>
      <c r="K698" s="40">
        <f>=H698*2</f>
        <v>284</v>
      </c>
      <c r="L698" s="40">
        <f>=I698*2</f>
        <v>298.2</v>
      </c>
      <c r="M698" s="41" t="s">
        <v>622</v>
      </c>
      <c r="N698" s="41">
        <v>0.66</v>
      </c>
      <c r="O698" s="41" t="s"/>
      <c r="P698" s="41" t="s">
        <v>21</v>
      </c>
      <c r="Q698" s="41" t="s">
        <v>21</v>
      </c>
      <c r="R698" s="41" t="s">
        <v>16</v>
      </c>
      <c r="S698" s="41" t="s">
        <v>17</v>
      </c>
      <c r="T698" s="41" t="s">
        <v>579</v>
      </c>
      <c r="U698" s="16" t="s">
        <v>13</v>
      </c>
      <c r="V698" s="16" t="s">
        <v>19</v>
      </c>
      <c r="W698" s="19" t="s"/>
      <c r="X698" s="26" t="s">
        <f>=M698&amp;N698&amp;P698&amp;Q698&amp;T698&amp;V698&amp;S698</f>
        <v>781</v>
      </c>
      <c r="Y698" s="19" t="s"/>
      <c r="Z698" s="19" t="s"/>
      <c r="AA698" s="19" t="s"/>
      <c r="AB698" s="19" t="s"/>
    </row>
    <row r="699" spans="1:28" ht="14.4">
      <c r="A699" s="4">
        <f>=H699/G699-1</f>
        <v>0.1</v>
      </c>
      <c r="B699" s="20">
        <f>=F699/12</f>
        <v>10.725</v>
      </c>
      <c r="C699" s="20">
        <f>=J699/3</f>
        <v>85.8</v>
      </c>
      <c r="D699" s="20">
        <f>=K699/3</f>
        <v>95.3333333333333</v>
      </c>
      <c r="E699" s="20">
        <f>=L699/3</f>
        <v>100.1</v>
      </c>
      <c r="F699" s="20">
        <f>=H699*0.9</f>
        <v>128.7</v>
      </c>
      <c r="G699" s="21">
        <v>130</v>
      </c>
      <c r="H699" s="39">
        <v>143</v>
      </c>
      <c r="I699" s="40">
        <f>=H699*1.05</f>
        <v>150.15</v>
      </c>
      <c r="J699" s="40">
        <f>=F699*2</f>
        <v>257.4</v>
      </c>
      <c r="K699" s="40">
        <f>=H699*2</f>
        <v>286</v>
      </c>
      <c r="L699" s="40">
        <f>=I699*2</f>
        <v>300.3</v>
      </c>
      <c r="M699" s="41" t="s">
        <v>622</v>
      </c>
      <c r="N699" s="41">
        <v>0.67</v>
      </c>
      <c r="O699" s="41" t="s"/>
      <c r="P699" s="41" t="s">
        <v>21</v>
      </c>
      <c r="Q699" s="41" t="s">
        <v>21</v>
      </c>
      <c r="R699" s="41" t="s">
        <v>16</v>
      </c>
      <c r="S699" s="41" t="s">
        <v>17</v>
      </c>
      <c r="T699" s="41" t="s">
        <v>122</v>
      </c>
      <c r="U699" s="16" t="s">
        <v>13</v>
      </c>
      <c r="V699" s="16" t="s">
        <v>19</v>
      </c>
      <c r="W699" s="19" t="s"/>
      <c r="X699" s="26" t="s">
        <f>=M699&amp;N699&amp;P699&amp;Q699&amp;T699&amp;V699&amp;S699</f>
        <v>782</v>
      </c>
      <c r="Y699" s="19" t="s"/>
      <c r="Z699" s="19" t="s"/>
      <c r="AA699" s="19" t="s"/>
      <c r="AB699" s="19" t="s"/>
    </row>
    <row r="700" spans="1:28" ht="14.4">
      <c r="A700" s="4">
        <f>=H700/G700-1</f>
        <v>0.10126582278481</v>
      </c>
      <c r="B700" s="20">
        <f>=F700/12</f>
        <v>13.05</v>
      </c>
      <c r="C700" s="20">
        <f>=J700/3</f>
        <v>104.4</v>
      </c>
      <c r="D700" s="20">
        <f>=K700/3</f>
        <v>116</v>
      </c>
      <c r="E700" s="20">
        <f>=L700/3</f>
        <v>121.8</v>
      </c>
      <c r="F700" s="20">
        <f>=H700*0.9</f>
        <v>156.6</v>
      </c>
      <c r="G700" s="21">
        <v>158</v>
      </c>
      <c r="H700" s="39">
        <v>174</v>
      </c>
      <c r="I700" s="40">
        <f>=H700*1.05</f>
        <v>182.7</v>
      </c>
      <c r="J700" s="40">
        <f>=F700*2</f>
        <v>313.2</v>
      </c>
      <c r="K700" s="40">
        <f>=H700*2</f>
        <v>348</v>
      </c>
      <c r="L700" s="40">
        <f>=I700*2</f>
        <v>365.4</v>
      </c>
      <c r="M700" s="41" t="s">
        <v>622</v>
      </c>
      <c r="N700" s="41">
        <v>0.7</v>
      </c>
      <c r="O700" s="41" t="s"/>
      <c r="P700" s="41">
        <v>1</v>
      </c>
      <c r="Q700" s="41">
        <v>1</v>
      </c>
      <c r="R700" s="41" t="s">
        <v>16</v>
      </c>
      <c r="S700" s="41" t="s">
        <v>17</v>
      </c>
      <c r="T700" s="41" t="s">
        <v>128</v>
      </c>
      <c r="U700" s="16" t="s">
        <v>13</v>
      </c>
      <c r="V700" s="16" t="s">
        <v>19</v>
      </c>
      <c r="W700" s="19" t="s"/>
      <c r="X700" s="26" t="s">
        <f>=M700&amp;N700&amp;P700&amp;Q700&amp;T700&amp;V700&amp;S700</f>
        <v>783</v>
      </c>
      <c r="Y700" s="19" t="s"/>
      <c r="Z700" s="19" t="s"/>
      <c r="AA700" s="19" t="s"/>
      <c r="AB700" s="19" t="s"/>
    </row>
    <row r="701" spans="1:28" ht="14.4">
      <c r="A701" s="4">
        <f>=H701/G701-1</f>
        <v>0</v>
      </c>
      <c r="B701" s="20">
        <f>=F701/12</f>
        <v>12</v>
      </c>
      <c r="C701" s="20">
        <f>=J701/3</f>
        <v>96</v>
      </c>
      <c r="D701" s="20">
        <f>=K701/3</f>
        <v>106.666666666667</v>
      </c>
      <c r="E701" s="20">
        <f>=L701/3</f>
        <v>112</v>
      </c>
      <c r="F701" s="20">
        <f>=H701*0.9</f>
        <v>144</v>
      </c>
      <c r="G701" s="21">
        <v>160</v>
      </c>
      <c r="H701" s="39">
        <v>160</v>
      </c>
      <c r="I701" s="40">
        <f>=H701*1.05</f>
        <v>168</v>
      </c>
      <c r="J701" s="40">
        <f>=F701*2</f>
        <v>288</v>
      </c>
      <c r="K701" s="40">
        <f>=H701*2</f>
        <v>320</v>
      </c>
      <c r="L701" s="40">
        <f>=I701*2</f>
        <v>336</v>
      </c>
      <c r="M701" s="41" t="s">
        <v>622</v>
      </c>
      <c r="N701" s="41">
        <v>0.7</v>
      </c>
      <c r="O701" s="41" t="s"/>
      <c r="P701" s="41" t="s">
        <v>21</v>
      </c>
      <c r="Q701" s="41" t="s">
        <v>21</v>
      </c>
      <c r="R701" s="41" t="s">
        <v>16</v>
      </c>
      <c r="S701" s="41" t="s">
        <v>17</v>
      </c>
      <c r="T701" s="41" t="s">
        <v>784</v>
      </c>
      <c r="U701" s="16" t="s">
        <v>13</v>
      </c>
      <c r="V701" s="16" t="s">
        <v>19</v>
      </c>
      <c r="W701" s="17" t="s">
        <v>352</v>
      </c>
      <c r="X701" s="26" t="s">
        <f>=M701&amp;N701&amp;P701&amp;Q701&amp;T701&amp;V701&amp;S701</f>
        <v>785</v>
      </c>
      <c r="Y701" s="19" t="s"/>
      <c r="Z701" s="19" t="s"/>
      <c r="AA701" s="19" t="s"/>
      <c r="AB701" s="19" t="s"/>
    </row>
    <row r="702" spans="1:28" ht="14.4">
      <c r="A702" s="4">
        <f>=H702/G702-1</f>
        <v>0.0984848484848484</v>
      </c>
      <c r="B702" s="20">
        <f>=F702/12</f>
        <v>10.875</v>
      </c>
      <c r="C702" s="20">
        <f>=J702/3</f>
        <v>87</v>
      </c>
      <c r="D702" s="20">
        <f>=K702/3</f>
        <v>96.6666666666667</v>
      </c>
      <c r="E702" s="20">
        <f>=L702/3</f>
        <v>101.5</v>
      </c>
      <c r="F702" s="20">
        <f>=H702*0.9</f>
        <v>130.5</v>
      </c>
      <c r="G702" s="21">
        <v>132</v>
      </c>
      <c r="H702" s="39">
        <v>145</v>
      </c>
      <c r="I702" s="40">
        <f>=H702*1.05</f>
        <v>152.25</v>
      </c>
      <c r="J702" s="40">
        <f>=F702*2</f>
        <v>261</v>
      </c>
      <c r="K702" s="40">
        <f>=H702*2</f>
        <v>290</v>
      </c>
      <c r="L702" s="40">
        <f>=I702*2</f>
        <v>304.5</v>
      </c>
      <c r="M702" s="41" t="s">
        <v>622</v>
      </c>
      <c r="N702" s="41">
        <v>0.7</v>
      </c>
      <c r="O702" s="41" t="s"/>
      <c r="P702" s="41" t="s">
        <v>21</v>
      </c>
      <c r="Q702" s="41" t="s">
        <v>21</v>
      </c>
      <c r="R702" s="41" t="s">
        <v>16</v>
      </c>
      <c r="S702" s="41" t="s">
        <v>17</v>
      </c>
      <c r="T702" s="41" t="s">
        <v>128</v>
      </c>
      <c r="U702" s="16" t="s">
        <v>13</v>
      </c>
      <c r="V702" s="16" t="s">
        <v>19</v>
      </c>
      <c r="W702" s="19" t="s"/>
      <c r="X702" s="26" t="s">
        <f>=M702&amp;N702&amp;P702&amp;Q702&amp;T702&amp;V702&amp;S702</f>
        <v>786</v>
      </c>
      <c r="Y702" s="19" t="s"/>
      <c r="Z702" s="19" t="s"/>
      <c r="AA702" s="19" t="s"/>
      <c r="AB702" s="19" t="s"/>
    </row>
    <row r="703" spans="1:28" ht="14.4">
      <c r="A703" s="4">
        <f>=H703/G703-1</f>
        <v>0.10126582278481</v>
      </c>
      <c r="B703" s="20">
        <f>=F703/12</f>
        <v>13.05</v>
      </c>
      <c r="C703" s="20">
        <f>=J703/3</f>
        <v>104.4</v>
      </c>
      <c r="D703" s="20">
        <f>=K703/3</f>
        <v>116</v>
      </c>
      <c r="E703" s="20">
        <f>=L703/3</f>
        <v>121.8</v>
      </c>
      <c r="F703" s="20">
        <f>=H703*0.9</f>
        <v>156.6</v>
      </c>
      <c r="G703" s="21">
        <v>158</v>
      </c>
      <c r="H703" s="39">
        <v>174</v>
      </c>
      <c r="I703" s="40">
        <f>=H703*1.05</f>
        <v>182.7</v>
      </c>
      <c r="J703" s="40">
        <f>=F703*2</f>
        <v>313.2</v>
      </c>
      <c r="K703" s="40">
        <f>=H703*2</f>
        <v>348</v>
      </c>
      <c r="L703" s="40">
        <f>=I703*2</f>
        <v>365.4</v>
      </c>
      <c r="M703" s="41" t="s">
        <v>622</v>
      </c>
      <c r="N703" s="41">
        <v>0.71</v>
      </c>
      <c r="O703" s="41" t="s"/>
      <c r="P703" s="41">
        <v>1</v>
      </c>
      <c r="Q703" s="41">
        <v>1</v>
      </c>
      <c r="R703" s="41" t="s">
        <v>16</v>
      </c>
      <c r="S703" s="41" t="s">
        <v>17</v>
      </c>
      <c r="T703" s="41" t="s">
        <v>128</v>
      </c>
      <c r="U703" s="16" t="s">
        <v>13</v>
      </c>
      <c r="V703" s="16" t="s">
        <v>19</v>
      </c>
      <c r="W703" s="19" t="s"/>
      <c r="X703" s="26" t="s">
        <f>=M703&amp;N703&amp;P703&amp;Q703&amp;T703&amp;V703&amp;S703</f>
        <v>787</v>
      </c>
      <c r="Y703" s="19" t="s"/>
      <c r="Z703" s="19" t="s"/>
      <c r="AA703" s="19" t="s"/>
      <c r="AB703" s="19" t="s"/>
    </row>
    <row r="704" spans="1:28" ht="14.4">
      <c r="A704" s="4">
        <f>=H704/G704-1</f>
        <v>0</v>
      </c>
      <c r="B704" s="20">
        <f>=F704/12</f>
        <v>15.225</v>
      </c>
      <c r="C704" s="20">
        <f>=J704/3</f>
        <v>121.8</v>
      </c>
      <c r="D704" s="20">
        <f>=K704/3</f>
        <v>135.333333333333</v>
      </c>
      <c r="E704" s="20">
        <f>=L704/3</f>
        <v>142.1</v>
      </c>
      <c r="F704" s="20">
        <f>=H704*0.9</f>
        <v>182.7</v>
      </c>
      <c r="G704" s="21">
        <v>203</v>
      </c>
      <c r="H704" s="39">
        <v>203</v>
      </c>
      <c r="I704" s="40">
        <f>=H704*1.05</f>
        <v>213.15</v>
      </c>
      <c r="J704" s="40">
        <f>=F704*2</f>
        <v>365.4</v>
      </c>
      <c r="K704" s="40">
        <f>=H704*2</f>
        <v>406</v>
      </c>
      <c r="L704" s="40">
        <f>=I704*2</f>
        <v>426.3</v>
      </c>
      <c r="M704" s="41" t="s">
        <v>622</v>
      </c>
      <c r="N704" s="41">
        <v>0.71</v>
      </c>
      <c r="O704" s="41" t="s"/>
      <c r="P704" s="41" t="s">
        <v>21</v>
      </c>
      <c r="Q704" s="41" t="s">
        <v>21</v>
      </c>
      <c r="R704" s="41" t="s">
        <v>16</v>
      </c>
      <c r="S704" s="41" t="s">
        <v>17</v>
      </c>
      <c r="T704" s="41" t="s">
        <v>784</v>
      </c>
      <c r="U704" s="16" t="s">
        <v>13</v>
      </c>
      <c r="V704" s="16" t="s">
        <v>19</v>
      </c>
      <c r="W704" s="54">
        <v>46126</v>
      </c>
      <c r="X704" s="26" t="s">
        <f>=M704&amp;N704&amp;P704&amp;Q704&amp;T704&amp;V704&amp;S704</f>
        <v>788</v>
      </c>
      <c r="Y704" s="19" t="s"/>
      <c r="Z704" s="19" t="s"/>
      <c r="AA704" s="19" t="s"/>
      <c r="AB704" s="19" t="s"/>
    </row>
    <row r="705" spans="1:28" ht="14.4">
      <c r="A705" s="4">
        <f>=H705/G705-1</f>
        <v>0.0987124463519313</v>
      </c>
      <c r="B705" s="20">
        <f>=F705/12</f>
        <v>19.2</v>
      </c>
      <c r="C705" s="20">
        <f>=J705/3</f>
        <v>153.6</v>
      </c>
      <c r="D705" s="20">
        <f>=K705/3</f>
        <v>170.666666666667</v>
      </c>
      <c r="E705" s="20">
        <f>=L705/3</f>
        <v>179.2</v>
      </c>
      <c r="F705" s="20">
        <f>=H705*0.9</f>
        <v>230.4</v>
      </c>
      <c r="G705" s="21">
        <v>233</v>
      </c>
      <c r="H705" s="39">
        <v>256</v>
      </c>
      <c r="I705" s="40">
        <f>=H705*1.05</f>
        <v>268.8</v>
      </c>
      <c r="J705" s="40">
        <f>=F705*2</f>
        <v>460.8</v>
      </c>
      <c r="K705" s="40">
        <f>=H705*2</f>
        <v>512</v>
      </c>
      <c r="L705" s="40">
        <f>=I705*2</f>
        <v>537.6</v>
      </c>
      <c r="M705" s="41" t="s">
        <v>622</v>
      </c>
      <c r="N705" s="41">
        <v>0.71</v>
      </c>
      <c r="O705" s="41" t="s"/>
      <c r="P705" s="41">
        <v>1</v>
      </c>
      <c r="Q705" s="41">
        <v>1</v>
      </c>
      <c r="R705" s="41" t="s">
        <v>16</v>
      </c>
      <c r="S705" s="41" t="s">
        <v>17</v>
      </c>
      <c r="T705" s="41" t="s">
        <v>784</v>
      </c>
      <c r="U705" s="16" t="s">
        <v>13</v>
      </c>
      <c r="V705" s="16" t="s">
        <v>19</v>
      </c>
      <c r="W705" s="19" t="s"/>
      <c r="X705" s="26" t="s">
        <f>=M705&amp;N705&amp;P705&amp;Q705&amp;T705&amp;V705&amp;S705</f>
        <v>789</v>
      </c>
      <c r="Y705" s="19" t="s"/>
      <c r="Z705" s="19" t="s"/>
      <c r="AA705" s="19" t="s"/>
      <c r="AB705" s="19" t="s"/>
    </row>
    <row r="706" spans="1:28" ht="14.4">
      <c r="A706" s="4">
        <f>=H706/G706-1</f>
        <v>0.0992647058823531</v>
      </c>
      <c r="B706" s="20">
        <f>=F706/12</f>
        <v>22.425</v>
      </c>
      <c r="C706" s="20">
        <f>=J706/3</f>
        <v>179.4</v>
      </c>
      <c r="D706" s="20">
        <f>=K706/3</f>
        <v>199.333333333333</v>
      </c>
      <c r="E706" s="20">
        <f>=L706/3</f>
        <v>209.3</v>
      </c>
      <c r="F706" s="20">
        <f>=H706*0.9</f>
        <v>269.1</v>
      </c>
      <c r="G706" s="21">
        <v>272</v>
      </c>
      <c r="H706" s="39">
        <v>299</v>
      </c>
      <c r="I706" s="40">
        <f>=H706*1.05</f>
        <v>313.95</v>
      </c>
      <c r="J706" s="40">
        <f>=F706*2</f>
        <v>538.2</v>
      </c>
      <c r="K706" s="40">
        <f>=H706*2</f>
        <v>598</v>
      </c>
      <c r="L706" s="40">
        <f>=I706*2</f>
        <v>627.9</v>
      </c>
      <c r="M706" s="41" t="s">
        <v>622</v>
      </c>
      <c r="N706" s="41">
        <v>0.71</v>
      </c>
      <c r="O706" s="41" t="s"/>
      <c r="P706" s="41">
        <v>2</v>
      </c>
      <c r="Q706" s="41">
        <v>2</v>
      </c>
      <c r="R706" s="41" t="s">
        <v>16</v>
      </c>
      <c r="S706" s="41" t="s">
        <v>17</v>
      </c>
      <c r="T706" s="41" t="s">
        <v>128</v>
      </c>
      <c r="U706" s="16" t="s">
        <v>13</v>
      </c>
      <c r="V706" s="16" t="s">
        <v>19</v>
      </c>
      <c r="W706" s="19" t="s"/>
      <c r="X706" s="26" t="s">
        <f>=M706&amp;N706&amp;P706&amp;Q706&amp;T706&amp;V706&amp;S706</f>
        <v>790</v>
      </c>
      <c r="Y706" s="19" t="s"/>
      <c r="Z706" s="19" t="s"/>
      <c r="AA706" s="19" t="s"/>
      <c r="AB706" s="19" t="s"/>
    </row>
    <row r="707" spans="1:28" ht="14.4">
      <c r="A707" s="4">
        <f>=H707/G707-1</f>
        <v>0.10062893081761</v>
      </c>
      <c r="B707" s="20">
        <f>=F707/12</f>
        <v>13.125</v>
      </c>
      <c r="C707" s="20">
        <f>=J707/3</f>
        <v>105</v>
      </c>
      <c r="D707" s="20">
        <f>=K707/3</f>
        <v>116.666666666667</v>
      </c>
      <c r="E707" s="20">
        <f>=L707/3</f>
        <v>122.5</v>
      </c>
      <c r="F707" s="20">
        <f>=H707*0.9</f>
        <v>157.5</v>
      </c>
      <c r="G707" s="21">
        <v>159</v>
      </c>
      <c r="H707" s="39">
        <v>175</v>
      </c>
      <c r="I707" s="40">
        <f>=H707*1.05</f>
        <v>183.75</v>
      </c>
      <c r="J707" s="40">
        <f>=F707*2</f>
        <v>315</v>
      </c>
      <c r="K707" s="40">
        <f>=H707*2</f>
        <v>350</v>
      </c>
      <c r="L707" s="40">
        <f>=I707*2</f>
        <v>367.5</v>
      </c>
      <c r="M707" s="41" t="s">
        <v>622</v>
      </c>
      <c r="N707" s="41">
        <v>0.73</v>
      </c>
      <c r="O707" s="41" t="s"/>
      <c r="P707" s="41">
        <v>1</v>
      </c>
      <c r="Q707" s="41">
        <v>1</v>
      </c>
      <c r="R707" s="41" t="s">
        <v>16</v>
      </c>
      <c r="S707" s="41" t="s">
        <v>17</v>
      </c>
      <c r="T707" s="41" t="s">
        <v>128</v>
      </c>
      <c r="U707" s="16" t="s">
        <v>13</v>
      </c>
      <c r="V707" s="16" t="s">
        <v>19</v>
      </c>
      <c r="W707" s="19" t="s"/>
      <c r="X707" s="26" t="s">
        <f>=M707&amp;N707&amp;P707&amp;Q707&amp;T707&amp;V707&amp;S707</f>
        <v>791</v>
      </c>
      <c r="Y707" s="19" t="s"/>
      <c r="Z707" s="19" t="s"/>
      <c r="AA707" s="19" t="s"/>
      <c r="AB707" s="19" t="s"/>
    </row>
    <row r="708" spans="1:28" ht="14.4">
      <c r="A708" s="4">
        <f>=H708/G708-1</f>
        <v>0.0984848484848484</v>
      </c>
      <c r="B708" s="20">
        <f>=F708/12</f>
        <v>10.875</v>
      </c>
      <c r="C708" s="20">
        <f>=J708/3</f>
        <v>87</v>
      </c>
      <c r="D708" s="20">
        <f>=K708/3</f>
        <v>96.6666666666667</v>
      </c>
      <c r="E708" s="20">
        <f>=L708/3</f>
        <v>101.5</v>
      </c>
      <c r="F708" s="20">
        <f>=H708*0.9</f>
        <v>130.5</v>
      </c>
      <c r="G708" s="21">
        <v>132</v>
      </c>
      <c r="H708" s="39">
        <v>145</v>
      </c>
      <c r="I708" s="40">
        <f>=H708*1.05</f>
        <v>152.25</v>
      </c>
      <c r="J708" s="40">
        <f>=F708*2</f>
        <v>261</v>
      </c>
      <c r="K708" s="40">
        <f>=H708*2</f>
        <v>290</v>
      </c>
      <c r="L708" s="40">
        <f>=I708*2</f>
        <v>304.5</v>
      </c>
      <c r="M708" s="41" t="s">
        <v>622</v>
      </c>
      <c r="N708" s="41">
        <v>0.76</v>
      </c>
      <c r="O708" s="41" t="s"/>
      <c r="P708" s="41" t="s">
        <v>21</v>
      </c>
      <c r="Q708" s="41" t="s">
        <v>21</v>
      </c>
      <c r="R708" s="41" t="s">
        <v>16</v>
      </c>
      <c r="S708" s="41" t="s">
        <v>17</v>
      </c>
      <c r="T708" s="41" t="s">
        <v>128</v>
      </c>
      <c r="U708" s="16" t="s">
        <v>13</v>
      </c>
      <c r="V708" s="16" t="s">
        <v>19</v>
      </c>
      <c r="W708" s="19" t="s"/>
      <c r="X708" s="26" t="s">
        <f>=M708&amp;N708&amp;P708&amp;Q708&amp;T708&amp;V708&amp;S708</f>
        <v>792</v>
      </c>
      <c r="Y708" s="19" t="s"/>
      <c r="Z708" s="19" t="s"/>
      <c r="AA708" s="19" t="s"/>
      <c r="AB708" s="19" t="s"/>
    </row>
    <row r="709" spans="1:28" ht="14.4">
      <c r="A709" s="4">
        <f>=H709/G709-1</f>
        <v>0.0992647058823531</v>
      </c>
      <c r="B709" s="20">
        <f>=F709/12</f>
        <v>22.425</v>
      </c>
      <c r="C709" s="20">
        <f>=J709/3</f>
        <v>179.4</v>
      </c>
      <c r="D709" s="20">
        <f>=K709/3</f>
        <v>199.333333333333</v>
      </c>
      <c r="E709" s="20">
        <f>=L709/3</f>
        <v>209.3</v>
      </c>
      <c r="F709" s="20">
        <f>=H709*0.9</f>
        <v>269.1</v>
      </c>
      <c r="G709" s="21">
        <v>272</v>
      </c>
      <c r="H709" s="39">
        <v>299</v>
      </c>
      <c r="I709" s="40">
        <f>=H709*1.05</f>
        <v>313.95</v>
      </c>
      <c r="J709" s="40">
        <f>=F709*2</f>
        <v>538.2</v>
      </c>
      <c r="K709" s="40">
        <f>=H709*2</f>
        <v>598</v>
      </c>
      <c r="L709" s="40">
        <f>=I709*2</f>
        <v>627.9</v>
      </c>
      <c r="M709" s="41" t="s">
        <v>622</v>
      </c>
      <c r="N709" s="41">
        <v>0.85</v>
      </c>
      <c r="O709" s="41" t="s"/>
      <c r="P709" s="41">
        <v>2</v>
      </c>
      <c r="Q709" s="41">
        <v>2</v>
      </c>
      <c r="R709" s="41" t="s">
        <v>16</v>
      </c>
      <c r="S709" s="41" t="s">
        <v>137</v>
      </c>
      <c r="T709" s="41" t="s">
        <v>128</v>
      </c>
      <c r="U709" s="16" t="s">
        <v>13</v>
      </c>
      <c r="V709" s="16" t="s">
        <v>19</v>
      </c>
      <c r="W709" s="19" t="s"/>
      <c r="X709" s="26" t="s">
        <f>=M709&amp;N709&amp;P709&amp;Q709&amp;T709&amp;V709&amp;S709</f>
        <v>793</v>
      </c>
      <c r="Y709" s="19" t="s"/>
      <c r="Z709" s="19" t="s"/>
      <c r="AA709" s="19" t="s"/>
      <c r="AB709" s="19" t="s"/>
    </row>
    <row r="710" spans="1:28" ht="14.4">
      <c r="A710" s="4">
        <f>=H710/G710-1</f>
        <v>0.0982658959537573</v>
      </c>
      <c r="B710" s="20">
        <f>=F710/12</f>
        <v>14.25</v>
      </c>
      <c r="C710" s="20">
        <f>=J710/3</f>
        <v>114</v>
      </c>
      <c r="D710" s="20">
        <f>=K710/3</f>
        <v>126.666666666667</v>
      </c>
      <c r="E710" s="20">
        <f>=L710/3</f>
        <v>133</v>
      </c>
      <c r="F710" s="20">
        <f>=H710*0.9</f>
        <v>171</v>
      </c>
      <c r="G710" s="21">
        <v>173</v>
      </c>
      <c r="H710" s="39">
        <v>190</v>
      </c>
      <c r="I710" s="40">
        <f>=H710*1.05</f>
        <v>199.5</v>
      </c>
      <c r="J710" s="40">
        <f>=F710*2</f>
        <v>342</v>
      </c>
      <c r="K710" s="40">
        <f>=H710*2</f>
        <v>380</v>
      </c>
      <c r="L710" s="40">
        <f>=I710*2</f>
        <v>399</v>
      </c>
      <c r="M710" s="41" t="s">
        <v>622</v>
      </c>
      <c r="N710" s="41">
        <v>0.9</v>
      </c>
      <c r="O710" s="41" t="s"/>
      <c r="P710" s="41">
        <v>1</v>
      </c>
      <c r="Q710" s="41">
        <v>1</v>
      </c>
      <c r="R710" s="41" t="s">
        <v>16</v>
      </c>
      <c r="S710" s="41" t="s">
        <v>137</v>
      </c>
      <c r="T710" s="41" t="s">
        <v>145</v>
      </c>
      <c r="U710" s="16" t="s">
        <v>13</v>
      </c>
      <c r="V710" s="16" t="s">
        <v>19</v>
      </c>
      <c r="W710" s="19" t="s"/>
      <c r="X710" s="26" t="s">
        <f>=M710&amp;N710&amp;P710&amp;Q710&amp;T710&amp;V710&amp;S710</f>
        <v>794</v>
      </c>
      <c r="Y710" s="19" t="s"/>
      <c r="Z710" s="19" t="s"/>
      <c r="AA710" s="19" t="s"/>
      <c r="AB710" s="19" t="s"/>
    </row>
    <row r="711" spans="1:28" ht="14.4">
      <c r="A711" s="4">
        <f>=H711/G711-1</f>
        <v>0.101941747572816</v>
      </c>
      <c r="B711" s="20">
        <f>=F711/12</f>
        <v>17.025</v>
      </c>
      <c r="C711" s="20">
        <f>=J711/3</f>
        <v>136.2</v>
      </c>
      <c r="D711" s="20">
        <f>=K711/3</f>
        <v>151.333333333333</v>
      </c>
      <c r="E711" s="20">
        <f>=L711/3</f>
        <v>158.9</v>
      </c>
      <c r="F711" s="20">
        <f>=H711*0.9</f>
        <v>204.3</v>
      </c>
      <c r="G711" s="21">
        <v>206</v>
      </c>
      <c r="H711" s="39">
        <v>227</v>
      </c>
      <c r="I711" s="40">
        <f>=H711*1.05</f>
        <v>238.35</v>
      </c>
      <c r="J711" s="40">
        <f>=F711*2</f>
        <v>408.6</v>
      </c>
      <c r="K711" s="40">
        <f>=H711*2</f>
        <v>454</v>
      </c>
      <c r="L711" s="40">
        <f>=I711*2</f>
        <v>476.7</v>
      </c>
      <c r="M711" s="41" t="s">
        <v>622</v>
      </c>
      <c r="N711" s="41">
        <v>0.9</v>
      </c>
      <c r="O711" s="41" t="s"/>
      <c r="P711" s="41">
        <v>1</v>
      </c>
      <c r="Q711" s="41">
        <v>1</v>
      </c>
      <c r="R711" s="41" t="s">
        <v>16</v>
      </c>
      <c r="S711" s="41" t="s">
        <v>137</v>
      </c>
      <c r="T711" s="41" t="s">
        <v>795</v>
      </c>
      <c r="U711" s="16" t="s">
        <v>13</v>
      </c>
      <c r="V711" s="16" t="s">
        <v>19</v>
      </c>
      <c r="W711" s="19" t="s"/>
      <c r="X711" s="26" t="s">
        <f>=M711&amp;N711&amp;P711&amp;Q711&amp;T711&amp;V711&amp;S711</f>
        <v>796</v>
      </c>
      <c r="Y711" s="19" t="s"/>
      <c r="Z711" s="19" t="s"/>
      <c r="AA711" s="19" t="s"/>
      <c r="AB711" s="19" t="s"/>
    </row>
    <row r="712" spans="1:28" ht="14.4">
      <c r="A712" s="4">
        <f>=H712/G712-1</f>
        <v>0.100358422939068</v>
      </c>
      <c r="B712" s="20">
        <f>=F712/12</f>
        <v>23.025</v>
      </c>
      <c r="C712" s="20">
        <f>=J712/3</f>
        <v>184.2</v>
      </c>
      <c r="D712" s="20">
        <f>=K712/3</f>
        <v>204.666666666667</v>
      </c>
      <c r="E712" s="20">
        <f>=L712/3</f>
        <v>214.9</v>
      </c>
      <c r="F712" s="20">
        <f>=H712*0.9</f>
        <v>276.3</v>
      </c>
      <c r="G712" s="21">
        <v>279</v>
      </c>
      <c r="H712" s="39">
        <v>307</v>
      </c>
      <c r="I712" s="40">
        <f>=H712*1.05</f>
        <v>322.35</v>
      </c>
      <c r="J712" s="40">
        <f>=F712*2</f>
        <v>552.6</v>
      </c>
      <c r="K712" s="40">
        <f>=H712*2</f>
        <v>614</v>
      </c>
      <c r="L712" s="40">
        <f>=I712*2</f>
        <v>644.7</v>
      </c>
      <c r="M712" s="41" t="s">
        <v>622</v>
      </c>
      <c r="N712" s="41">
        <v>0.9</v>
      </c>
      <c r="O712" s="41" t="s"/>
      <c r="P712" s="41">
        <v>2</v>
      </c>
      <c r="Q712" s="41">
        <v>2</v>
      </c>
      <c r="R712" s="41" t="s">
        <v>16</v>
      </c>
      <c r="S712" s="41" t="s">
        <v>137</v>
      </c>
      <c r="T712" s="41" t="s">
        <v>128</v>
      </c>
      <c r="U712" s="16" t="s">
        <v>13</v>
      </c>
      <c r="V712" s="16" t="s">
        <v>19</v>
      </c>
      <c r="W712" s="19" t="s"/>
      <c r="X712" s="26" t="s">
        <f>=M712&amp;N712&amp;P712&amp;Q712&amp;T712&amp;V712&amp;S712</f>
        <v>797</v>
      </c>
      <c r="Y712" s="19" t="s"/>
      <c r="Z712" s="19" t="s"/>
      <c r="AA712" s="19" t="s"/>
      <c r="AB712" s="19" t="s"/>
    </row>
    <row r="713" spans="1:28" ht="14.4">
      <c r="A713" s="4">
        <f>=H713/G713-1</f>
        <v>0.0997624703087887</v>
      </c>
      <c r="B713" s="20">
        <f>=F713/12</f>
        <v>34.725</v>
      </c>
      <c r="C713" s="20">
        <f>=J713/3</f>
        <v>277.8</v>
      </c>
      <c r="D713" s="20">
        <f>=K713/3</f>
        <v>308.666666666667</v>
      </c>
      <c r="E713" s="20">
        <f>=L713/3</f>
        <v>324.1</v>
      </c>
      <c r="F713" s="20">
        <f>=H713*0.9</f>
        <v>416.7</v>
      </c>
      <c r="G713" s="21">
        <v>421</v>
      </c>
      <c r="H713" s="39">
        <v>463</v>
      </c>
      <c r="I713" s="40">
        <f>=H713*1.05</f>
        <v>486.15</v>
      </c>
      <c r="J713" s="40">
        <f>=F713*2</f>
        <v>833.4</v>
      </c>
      <c r="K713" s="40">
        <f>=H713*2</f>
        <v>926</v>
      </c>
      <c r="L713" s="40">
        <f>=I713*2</f>
        <v>972.3</v>
      </c>
      <c r="M713" s="41" t="s">
        <v>622</v>
      </c>
      <c r="N713" s="41">
        <v>0.9</v>
      </c>
      <c r="O713" s="41" t="s"/>
      <c r="P713" s="41">
        <v>3</v>
      </c>
      <c r="Q713" s="41">
        <v>3</v>
      </c>
      <c r="R713" s="41" t="s">
        <v>16</v>
      </c>
      <c r="S713" s="41" t="s">
        <v>137</v>
      </c>
      <c r="T713" s="41" t="s">
        <v>128</v>
      </c>
      <c r="U713" s="16" t="s">
        <v>13</v>
      </c>
      <c r="V713" s="16" t="s">
        <v>19</v>
      </c>
      <c r="W713" s="19" t="s"/>
      <c r="X713" s="26" t="s">
        <f>=M713&amp;N713&amp;P713&amp;Q713&amp;T713&amp;V713&amp;S713</f>
        <v>798</v>
      </c>
      <c r="Y713" s="19" t="s"/>
      <c r="Z713" s="19" t="s"/>
      <c r="AA713" s="19" t="s"/>
      <c r="AB713" s="19" t="s"/>
    </row>
    <row r="714" spans="1:28" ht="14.4">
      <c r="A714" s="4">
        <f>=H714/G714-1</f>
        <v>0.0972222222222223</v>
      </c>
      <c r="B714" s="20">
        <f>=F714/12</f>
        <v>11.85</v>
      </c>
      <c r="C714" s="20">
        <f>=J714/3</f>
        <v>94.8</v>
      </c>
      <c r="D714" s="20">
        <f>=K714/3</f>
        <v>105.333333333333</v>
      </c>
      <c r="E714" s="20">
        <f>=L714/3</f>
        <v>110.6</v>
      </c>
      <c r="F714" s="20">
        <f>=H714*0.9</f>
        <v>142.2</v>
      </c>
      <c r="G714" s="21">
        <v>144</v>
      </c>
      <c r="H714" s="39">
        <v>158</v>
      </c>
      <c r="I714" s="40">
        <f>=H714*1.05</f>
        <v>165.9</v>
      </c>
      <c r="J714" s="40">
        <f>=F714*2</f>
        <v>284.4</v>
      </c>
      <c r="K714" s="40">
        <f>=H714*2</f>
        <v>316</v>
      </c>
      <c r="L714" s="40">
        <f>=I714*2</f>
        <v>331.8</v>
      </c>
      <c r="M714" s="41" t="s">
        <v>622</v>
      </c>
      <c r="N714" s="41">
        <v>0.9</v>
      </c>
      <c r="O714" s="41" t="s"/>
      <c r="P714" s="41" t="s">
        <v>21</v>
      </c>
      <c r="Q714" s="41" t="s">
        <v>21</v>
      </c>
      <c r="R714" s="41" t="s">
        <v>16</v>
      </c>
      <c r="S714" s="41" t="s">
        <v>137</v>
      </c>
      <c r="T714" s="41" t="s">
        <v>140</v>
      </c>
      <c r="U714" s="16" t="s">
        <v>13</v>
      </c>
      <c r="V714" s="16" t="s">
        <v>19</v>
      </c>
      <c r="W714" s="19" t="s"/>
      <c r="X714" s="26" t="s">
        <f>=M714&amp;N714&amp;P714&amp;Q714&amp;T714&amp;V714&amp;S714</f>
        <v>799</v>
      </c>
      <c r="Y714" s="19" t="s"/>
      <c r="Z714" s="19" t="s"/>
      <c r="AA714" s="19" t="s"/>
      <c r="AB714" s="19" t="s"/>
    </row>
    <row r="715" spans="1:28" ht="14.4">
      <c r="A715" s="4">
        <f>=H715/G715-1</f>
        <v>0.0978260869565217</v>
      </c>
      <c r="B715" s="20">
        <f>=F715/12</f>
        <v>15.15</v>
      </c>
      <c r="C715" s="20">
        <f>=J715/3</f>
        <v>121.2</v>
      </c>
      <c r="D715" s="20">
        <f>=K715/3</f>
        <v>134.666666666667</v>
      </c>
      <c r="E715" s="20">
        <f>=L715/3</f>
        <v>141.4</v>
      </c>
      <c r="F715" s="20">
        <f>=H715*0.9</f>
        <v>181.8</v>
      </c>
      <c r="G715" s="21">
        <v>184</v>
      </c>
      <c r="H715" s="39">
        <v>202</v>
      </c>
      <c r="I715" s="40">
        <f>=H715*1.05</f>
        <v>212.1</v>
      </c>
      <c r="J715" s="40">
        <f>=F715*2</f>
        <v>363.6</v>
      </c>
      <c r="K715" s="40">
        <f>=H715*2</f>
        <v>404</v>
      </c>
      <c r="L715" s="40">
        <f>=I715*2</f>
        <v>424.2</v>
      </c>
      <c r="M715" s="41" t="s">
        <v>622</v>
      </c>
      <c r="N715" s="41">
        <v>1</v>
      </c>
      <c r="O715" s="41" t="s"/>
      <c r="P715" s="41">
        <v>1</v>
      </c>
      <c r="Q715" s="41">
        <v>1</v>
      </c>
      <c r="R715" s="41" t="s">
        <v>16</v>
      </c>
      <c r="S715" s="41" t="s">
        <v>137</v>
      </c>
      <c r="T715" s="41" t="s">
        <v>147</v>
      </c>
      <c r="U715" s="16" t="s">
        <v>13</v>
      </c>
      <c r="V715" s="16" t="s">
        <v>19</v>
      </c>
      <c r="W715" s="19" t="s"/>
      <c r="X715" s="26" t="s">
        <f>=M715&amp;N715&amp;P715&amp;Q715&amp;T715&amp;V715&amp;S715</f>
        <v>800</v>
      </c>
      <c r="Y715" s="19" t="s"/>
      <c r="Z715" s="19" t="s"/>
      <c r="AA715" s="19" t="s"/>
      <c r="AB715" s="19" t="s"/>
    </row>
    <row r="716" spans="1:28" ht="14.4">
      <c r="A716" s="4">
        <f>=H716/G716-1</f>
        <v>0.102040816326531</v>
      </c>
      <c r="B716" s="20">
        <f>=F716/12</f>
        <v>20.25</v>
      </c>
      <c r="C716" s="20">
        <f>=J716/3</f>
        <v>162</v>
      </c>
      <c r="D716" s="20">
        <f>=K716/3</f>
        <v>180</v>
      </c>
      <c r="E716" s="20">
        <f>=L716/3</f>
        <v>189</v>
      </c>
      <c r="F716" s="20">
        <f>=H716*0.9</f>
        <v>243</v>
      </c>
      <c r="G716" s="21">
        <v>245</v>
      </c>
      <c r="H716" s="39">
        <v>270</v>
      </c>
      <c r="I716" s="40">
        <f>=H716*1.05</f>
        <v>283.5</v>
      </c>
      <c r="J716" s="40">
        <f>=F716*2</f>
        <v>486</v>
      </c>
      <c r="K716" s="40">
        <f>=H716*2</f>
        <v>540</v>
      </c>
      <c r="L716" s="40">
        <f>=I716*2</f>
        <v>567</v>
      </c>
      <c r="M716" s="41" t="s">
        <v>622</v>
      </c>
      <c r="N716" s="41">
        <v>1</v>
      </c>
      <c r="O716" s="41" t="s"/>
      <c r="P716" s="41">
        <v>1</v>
      </c>
      <c r="Q716" s="41">
        <v>1</v>
      </c>
      <c r="R716" s="41" t="s">
        <v>16</v>
      </c>
      <c r="S716" s="41" t="s">
        <v>137</v>
      </c>
      <c r="T716" s="41" t="s">
        <v>801</v>
      </c>
      <c r="U716" s="16" t="s">
        <v>13</v>
      </c>
      <c r="V716" s="16" t="s">
        <v>19</v>
      </c>
      <c r="W716" s="19" t="s"/>
      <c r="X716" s="26" t="s">
        <f>=M716&amp;N716&amp;P716&amp;Q716&amp;T716&amp;V716&amp;S716</f>
        <v>802</v>
      </c>
      <c r="Y716" s="19" t="s"/>
      <c r="Z716" s="19" t="s"/>
      <c r="AA716" s="19" t="s"/>
      <c r="AB716" s="19" t="s"/>
    </row>
    <row r="717" spans="1:28" ht="14.4">
      <c r="A717" s="4">
        <f>=H717/G717-1</f>
        <v>0.101010101010101</v>
      </c>
      <c r="B717" s="20">
        <f>=F717/12</f>
        <v>24.525</v>
      </c>
      <c r="C717" s="20">
        <f>=J717/3</f>
        <v>196.2</v>
      </c>
      <c r="D717" s="20">
        <f>=K717/3</f>
        <v>218</v>
      </c>
      <c r="E717" s="20">
        <f>=L717/3</f>
        <v>228.9</v>
      </c>
      <c r="F717" s="20">
        <f>=H717*0.9</f>
        <v>294.3</v>
      </c>
      <c r="G717" s="21">
        <v>297</v>
      </c>
      <c r="H717" s="39">
        <v>327</v>
      </c>
      <c r="I717" s="40">
        <f>=H717*1.05</f>
        <v>343.35</v>
      </c>
      <c r="J717" s="40">
        <f>=F717*2</f>
        <v>588.6</v>
      </c>
      <c r="K717" s="40">
        <f>=H717*2</f>
        <v>654</v>
      </c>
      <c r="L717" s="40">
        <f>=I717*2</f>
        <v>686.7</v>
      </c>
      <c r="M717" s="41" t="s">
        <v>622</v>
      </c>
      <c r="N717" s="41">
        <v>1</v>
      </c>
      <c r="O717" s="41" t="s"/>
      <c r="P717" s="41">
        <v>2</v>
      </c>
      <c r="Q717" s="41">
        <v>2</v>
      </c>
      <c r="R717" s="41" t="s">
        <v>16</v>
      </c>
      <c r="S717" s="41" t="s">
        <v>137</v>
      </c>
      <c r="T717" s="41" t="s">
        <v>147</v>
      </c>
      <c r="U717" s="16" t="s">
        <v>13</v>
      </c>
      <c r="V717" s="16" t="s">
        <v>19</v>
      </c>
      <c r="W717" s="19" t="s"/>
      <c r="X717" s="26" t="s">
        <f>=M717&amp;N717&amp;P717&amp;Q717&amp;T717&amp;V717&amp;S717</f>
        <v>803</v>
      </c>
      <c r="Y717" s="19" t="s"/>
      <c r="Z717" s="19" t="s"/>
      <c r="AA717" s="19" t="s"/>
      <c r="AB717" s="19" t="s"/>
    </row>
    <row r="718" spans="1:28" ht="14.4">
      <c r="A718" s="4">
        <f>=H718/G718-1</f>
        <v>0.099078341013825</v>
      </c>
      <c r="B718" s="20">
        <f>=F718/12</f>
        <v>35.775</v>
      </c>
      <c r="C718" s="20">
        <f>=J718/3</f>
        <v>286.2</v>
      </c>
      <c r="D718" s="20">
        <f>=K718/3</f>
        <v>318</v>
      </c>
      <c r="E718" s="20">
        <f>=L718/3</f>
        <v>333.9</v>
      </c>
      <c r="F718" s="20">
        <f>=H718*0.9</f>
        <v>429.3</v>
      </c>
      <c r="G718" s="21">
        <v>434</v>
      </c>
      <c r="H718" s="39">
        <v>477</v>
      </c>
      <c r="I718" s="40">
        <f>=H718*1.05</f>
        <v>500.85</v>
      </c>
      <c r="J718" s="40">
        <f>=F718*2</f>
        <v>858.6</v>
      </c>
      <c r="K718" s="40">
        <f>=H718*2</f>
        <v>954</v>
      </c>
      <c r="L718" s="40">
        <f>=I718*2</f>
        <v>1001.7</v>
      </c>
      <c r="M718" s="41" t="s">
        <v>622</v>
      </c>
      <c r="N718" s="41">
        <v>1</v>
      </c>
      <c r="O718" s="41" t="s"/>
      <c r="P718" s="41">
        <v>3</v>
      </c>
      <c r="Q718" s="41">
        <v>3</v>
      </c>
      <c r="R718" s="41" t="s">
        <v>16</v>
      </c>
      <c r="S718" s="41" t="s">
        <v>137</v>
      </c>
      <c r="T718" s="41" t="s">
        <v>128</v>
      </c>
      <c r="U718" s="16" t="s">
        <v>13</v>
      </c>
      <c r="V718" s="16" t="s">
        <v>19</v>
      </c>
      <c r="W718" s="19" t="s"/>
      <c r="X718" s="26" t="s">
        <f>=M718&amp;N718&amp;P718&amp;Q718&amp;T718&amp;V718&amp;S718</f>
        <v>804</v>
      </c>
      <c r="Y718" s="19" t="s"/>
      <c r="Z718" s="19" t="s"/>
      <c r="AA718" s="19" t="s"/>
      <c r="AB718" s="19" t="s"/>
    </row>
    <row r="719" spans="1:28" ht="14.4">
      <c r="A719" s="4">
        <f>=H719/G719-1</f>
        <v>0.0972222222222223</v>
      </c>
      <c r="B719" s="20">
        <f>=F719/12</f>
        <v>11.85</v>
      </c>
      <c r="C719" s="20">
        <f>=J719/3</f>
        <v>94.8</v>
      </c>
      <c r="D719" s="20">
        <f>=K719/3</f>
        <v>105.333333333333</v>
      </c>
      <c r="E719" s="20">
        <f>=L719/3</f>
        <v>110.6</v>
      </c>
      <c r="F719" s="20">
        <f>=H719*0.9</f>
        <v>142.2</v>
      </c>
      <c r="G719" s="21">
        <v>144</v>
      </c>
      <c r="H719" s="39">
        <v>158</v>
      </c>
      <c r="I719" s="40">
        <f>=H719*1.05</f>
        <v>165.9</v>
      </c>
      <c r="J719" s="40">
        <f>=F719*2</f>
        <v>284.4</v>
      </c>
      <c r="K719" s="40">
        <f>=H719*2</f>
        <v>316</v>
      </c>
      <c r="L719" s="40">
        <f>=I719*2</f>
        <v>331.8</v>
      </c>
      <c r="M719" s="41" t="s">
        <v>622</v>
      </c>
      <c r="N719" s="41">
        <v>1</v>
      </c>
      <c r="O719" s="41" t="s"/>
      <c r="P719" s="41" t="s">
        <v>21</v>
      </c>
      <c r="Q719" s="41" t="s">
        <v>21</v>
      </c>
      <c r="R719" s="41" t="s">
        <v>16</v>
      </c>
      <c r="S719" s="41" t="s">
        <v>137</v>
      </c>
      <c r="T719" s="41" t="s">
        <v>147</v>
      </c>
      <c r="U719" s="16" t="s">
        <v>13</v>
      </c>
      <c r="V719" s="16" t="s">
        <v>19</v>
      </c>
      <c r="W719" s="19" t="s"/>
      <c r="X719" s="26" t="s">
        <f>=M719&amp;N719&amp;P719&amp;Q719&amp;T719&amp;V719&amp;S719</f>
        <v>805</v>
      </c>
      <c r="Y719" s="19" t="s"/>
      <c r="Z719" s="19" t="s"/>
      <c r="AA719" s="19" t="s"/>
      <c r="AB719" s="19" t="s"/>
    </row>
    <row r="720" spans="1:28" ht="14.4">
      <c r="A720" s="4">
        <f>=H720/G720-1</f>
        <v>0.1005291005291</v>
      </c>
      <c r="B720" s="20">
        <f>=F720/12</f>
        <v>15.6</v>
      </c>
      <c r="C720" s="20">
        <f>=J720/3</f>
        <v>124.8</v>
      </c>
      <c r="D720" s="20">
        <f>=K720/3</f>
        <v>138.666666666667</v>
      </c>
      <c r="E720" s="20">
        <f>=L720/3</f>
        <v>145.6</v>
      </c>
      <c r="F720" s="20">
        <f>=H720*0.9</f>
        <v>187.2</v>
      </c>
      <c r="G720" s="21">
        <v>189</v>
      </c>
      <c r="H720" s="39">
        <v>208</v>
      </c>
      <c r="I720" s="40">
        <f>=H720*1.05</f>
        <v>218.4</v>
      </c>
      <c r="J720" s="40">
        <f>=F720*2</f>
        <v>374.4</v>
      </c>
      <c r="K720" s="40">
        <f>=H720*2</f>
        <v>416</v>
      </c>
      <c r="L720" s="40">
        <f>=I720*2</f>
        <v>436.8</v>
      </c>
      <c r="M720" s="41" t="s">
        <v>622</v>
      </c>
      <c r="N720" s="41">
        <v>1.1</v>
      </c>
      <c r="O720" s="41" t="s"/>
      <c r="P720" s="41">
        <v>1</v>
      </c>
      <c r="Q720" s="41">
        <v>1</v>
      </c>
      <c r="R720" s="41" t="s">
        <v>16</v>
      </c>
      <c r="S720" s="41" t="s">
        <v>137</v>
      </c>
      <c r="T720" s="41" t="s">
        <v>153</v>
      </c>
      <c r="U720" s="16" t="s">
        <v>13</v>
      </c>
      <c r="V720" s="16" t="s">
        <v>19</v>
      </c>
      <c r="W720" s="19" t="s"/>
      <c r="X720" s="26" t="s">
        <f>=M720&amp;N720&amp;P720&amp;Q720&amp;T720&amp;V720&amp;S720</f>
        <v>806</v>
      </c>
      <c r="Y720" s="19" t="s"/>
      <c r="Z720" s="19" t="s"/>
      <c r="AA720" s="19" t="s"/>
      <c r="AB720" s="19" t="s"/>
    </row>
    <row r="721" spans="1:28" ht="14.4">
      <c r="A721" s="4">
        <f>=H721/G721-1</f>
        <v>0.101694915254237</v>
      </c>
      <c r="B721" s="20">
        <f>=F721/12</f>
        <v>24.375</v>
      </c>
      <c r="C721" s="20">
        <f>=J721/3</f>
        <v>195</v>
      </c>
      <c r="D721" s="20">
        <f>=K721/3</f>
        <v>216.666666666667</v>
      </c>
      <c r="E721" s="20">
        <f>=L721/3</f>
        <v>227.5</v>
      </c>
      <c r="F721" s="20">
        <f>=H721*0.9</f>
        <v>292.5</v>
      </c>
      <c r="G721" s="21">
        <v>295</v>
      </c>
      <c r="H721" s="39">
        <v>325</v>
      </c>
      <c r="I721" s="40">
        <f>=H721*1.05</f>
        <v>341.25</v>
      </c>
      <c r="J721" s="40">
        <f>=F721*2</f>
        <v>585</v>
      </c>
      <c r="K721" s="40">
        <f>=H721*2</f>
        <v>650</v>
      </c>
      <c r="L721" s="40">
        <f>=I721*2</f>
        <v>682.5</v>
      </c>
      <c r="M721" s="41" t="s">
        <v>622</v>
      </c>
      <c r="N721" s="41">
        <v>1.1</v>
      </c>
      <c r="O721" s="41" t="s"/>
      <c r="P721" s="41">
        <v>2</v>
      </c>
      <c r="Q721" s="41">
        <v>2</v>
      </c>
      <c r="R721" s="41" t="s">
        <v>16</v>
      </c>
      <c r="S721" s="41" t="s">
        <v>137</v>
      </c>
      <c r="T721" s="41" t="s">
        <v>147</v>
      </c>
      <c r="U721" s="16" t="s">
        <v>13</v>
      </c>
      <c r="V721" s="16" t="s">
        <v>19</v>
      </c>
      <c r="W721" s="19" t="s"/>
      <c r="X721" s="26" t="s">
        <f>=M721&amp;N721&amp;P721&amp;Q721&amp;T721&amp;V721&amp;S721</f>
        <v>807</v>
      </c>
      <c r="Y721" s="19" t="s"/>
      <c r="Z721" s="19" t="s"/>
      <c r="AA721" s="19" t="s"/>
      <c r="AB721" s="19" t="s"/>
    </row>
    <row r="722" spans="1:28" ht="14.4">
      <c r="A722" s="4">
        <f>=H722/G722-1</f>
        <v>0.099078341013825</v>
      </c>
      <c r="B722" s="20">
        <f>=F722/12</f>
        <v>35.775</v>
      </c>
      <c r="C722" s="20">
        <f>=J722/3</f>
        <v>286.2</v>
      </c>
      <c r="D722" s="20">
        <f>=K722/3</f>
        <v>318</v>
      </c>
      <c r="E722" s="20">
        <f>=L722/3</f>
        <v>333.9</v>
      </c>
      <c r="F722" s="20">
        <f>=H722*0.9</f>
        <v>429.3</v>
      </c>
      <c r="G722" s="21">
        <v>434</v>
      </c>
      <c r="H722" s="39">
        <v>477</v>
      </c>
      <c r="I722" s="40">
        <f>=H722*1.05</f>
        <v>500.85</v>
      </c>
      <c r="J722" s="40">
        <f>=F722*2</f>
        <v>858.6</v>
      </c>
      <c r="K722" s="40">
        <f>=H722*2</f>
        <v>954</v>
      </c>
      <c r="L722" s="40">
        <f>=I722*2</f>
        <v>1001.7</v>
      </c>
      <c r="M722" s="41" t="s">
        <v>622</v>
      </c>
      <c r="N722" s="41">
        <v>1.1</v>
      </c>
      <c r="O722" s="41" t="s"/>
      <c r="P722" s="41">
        <v>3</v>
      </c>
      <c r="Q722" s="41">
        <v>3</v>
      </c>
      <c r="R722" s="41" t="s">
        <v>16</v>
      </c>
      <c r="S722" s="41" t="s">
        <v>137</v>
      </c>
      <c r="T722" s="41" t="s">
        <v>147</v>
      </c>
      <c r="U722" s="16" t="s">
        <v>13</v>
      </c>
      <c r="V722" s="16" t="s">
        <v>19</v>
      </c>
      <c r="W722" s="19" t="s"/>
      <c r="X722" s="26" t="s">
        <f>=M722&amp;N722&amp;P722&amp;Q722&amp;T722&amp;V722&amp;S722</f>
        <v>808</v>
      </c>
      <c r="Y722" s="19" t="s"/>
      <c r="Z722" s="19" t="s"/>
      <c r="AA722" s="19" t="s"/>
      <c r="AB722" s="19" t="s"/>
    </row>
    <row r="723" spans="1:28" ht="14.4">
      <c r="A723" s="4">
        <f>=H723/G723-1</f>
        <v>0.103225806451613</v>
      </c>
      <c r="B723" s="20">
        <f>=F723/12</f>
        <v>12.825</v>
      </c>
      <c r="C723" s="20">
        <f>=J723/3</f>
        <v>102.6</v>
      </c>
      <c r="D723" s="20">
        <f>=K723/3</f>
        <v>114</v>
      </c>
      <c r="E723" s="20">
        <f>=L723/3</f>
        <v>119.7</v>
      </c>
      <c r="F723" s="20">
        <f>=H723*0.9</f>
        <v>153.9</v>
      </c>
      <c r="G723" s="21">
        <v>155</v>
      </c>
      <c r="H723" s="39">
        <v>171</v>
      </c>
      <c r="I723" s="40">
        <f>=H723*1.05</f>
        <v>179.55</v>
      </c>
      <c r="J723" s="40">
        <f>=F723*2</f>
        <v>307.8</v>
      </c>
      <c r="K723" s="40">
        <f>=H723*2</f>
        <v>342</v>
      </c>
      <c r="L723" s="40">
        <f>=I723*2</f>
        <v>359.1</v>
      </c>
      <c r="M723" s="41" t="s">
        <v>622</v>
      </c>
      <c r="N723" s="41">
        <v>1.1</v>
      </c>
      <c r="O723" s="41" t="s"/>
      <c r="P723" s="41" t="s">
        <v>21</v>
      </c>
      <c r="Q723" s="41" t="s">
        <v>21</v>
      </c>
      <c r="R723" s="41" t="s">
        <v>16</v>
      </c>
      <c r="S723" s="41" t="s">
        <v>137</v>
      </c>
      <c r="T723" s="41" t="s">
        <v>153</v>
      </c>
      <c r="U723" s="16" t="s">
        <v>13</v>
      </c>
      <c r="V723" s="16" t="s">
        <v>19</v>
      </c>
      <c r="W723" s="19" t="s"/>
      <c r="X723" s="26" t="s">
        <f>=M723&amp;N723&amp;P723&amp;Q723&amp;T723&amp;V723&amp;S723</f>
        <v>809</v>
      </c>
      <c r="Y723" s="19" t="s"/>
      <c r="Z723" s="19" t="s"/>
      <c r="AA723" s="19" t="s"/>
      <c r="AB723" s="19" t="s"/>
    </row>
    <row r="724" spans="1:28" ht="14.4">
      <c r="A724" s="4">
        <f>=H724/G724-1</f>
        <v>0.1005291005291</v>
      </c>
      <c r="B724" s="20">
        <f>=F724/12</f>
        <v>15.6</v>
      </c>
      <c r="C724" s="20">
        <f>=J724/3</f>
        <v>124.8</v>
      </c>
      <c r="D724" s="20">
        <f>=K724/3</f>
        <v>138.666666666667</v>
      </c>
      <c r="E724" s="20">
        <f>=L724/3</f>
        <v>145.6</v>
      </c>
      <c r="F724" s="20">
        <f>=H724*0.9</f>
        <v>187.2</v>
      </c>
      <c r="G724" s="21">
        <v>189</v>
      </c>
      <c r="H724" s="39">
        <v>208</v>
      </c>
      <c r="I724" s="40">
        <f>=H724*1.05</f>
        <v>218.4</v>
      </c>
      <c r="J724" s="40">
        <f>=F724*2</f>
        <v>374.4</v>
      </c>
      <c r="K724" s="40">
        <f>=H724*2</f>
        <v>416</v>
      </c>
      <c r="L724" s="40">
        <f>=I724*2</f>
        <v>436.8</v>
      </c>
      <c r="M724" s="41" t="s">
        <v>622</v>
      </c>
      <c r="N724" s="41">
        <v>1.2</v>
      </c>
      <c r="O724" s="41" t="s"/>
      <c r="P724" s="41">
        <v>1</v>
      </c>
      <c r="Q724" s="41">
        <v>1</v>
      </c>
      <c r="R724" s="41" t="s">
        <v>16</v>
      </c>
      <c r="S724" s="41" t="s">
        <v>137</v>
      </c>
      <c r="T724" s="41" t="s">
        <v>153</v>
      </c>
      <c r="U724" s="16" t="s">
        <v>13</v>
      </c>
      <c r="V724" s="16" t="s">
        <v>19</v>
      </c>
      <c r="W724" s="19" t="s"/>
      <c r="X724" s="26" t="s">
        <f>=M724&amp;N724&amp;P724&amp;Q724&amp;T724&amp;V724&amp;S724</f>
        <v>810</v>
      </c>
      <c r="Y724" s="19" t="s"/>
      <c r="Z724" s="19" t="s"/>
      <c r="AA724" s="19" t="s"/>
      <c r="AB724" s="19" t="s"/>
    </row>
    <row r="725" spans="1:28" ht="14.4">
      <c r="A725" s="4">
        <f>=H725/G725-1</f>
        <v>0.101010101010101</v>
      </c>
      <c r="B725" s="20">
        <f>=F725/12</f>
        <v>24.525</v>
      </c>
      <c r="C725" s="20">
        <f>=J725/3</f>
        <v>196.2</v>
      </c>
      <c r="D725" s="20">
        <f>=K725/3</f>
        <v>218</v>
      </c>
      <c r="E725" s="20">
        <f>=L725/3</f>
        <v>228.9</v>
      </c>
      <c r="F725" s="20">
        <f>=H725*0.9</f>
        <v>294.3</v>
      </c>
      <c r="G725" s="21">
        <v>297</v>
      </c>
      <c r="H725" s="39">
        <v>327</v>
      </c>
      <c r="I725" s="40">
        <f>=H725*1.05</f>
        <v>343.35</v>
      </c>
      <c r="J725" s="40">
        <f>=F725*2</f>
        <v>588.6</v>
      </c>
      <c r="K725" s="40">
        <f>=H725*2</f>
        <v>654</v>
      </c>
      <c r="L725" s="40">
        <f>=I725*2</f>
        <v>686.7</v>
      </c>
      <c r="M725" s="41" t="s">
        <v>622</v>
      </c>
      <c r="N725" s="41">
        <v>1.2</v>
      </c>
      <c r="O725" s="41" t="s"/>
      <c r="P725" s="41">
        <v>2</v>
      </c>
      <c r="Q725" s="41">
        <v>2</v>
      </c>
      <c r="R725" s="41" t="s">
        <v>16</v>
      </c>
      <c r="S725" s="41" t="s">
        <v>137</v>
      </c>
      <c r="T725" s="41" t="s">
        <v>153</v>
      </c>
      <c r="U725" s="16" t="s">
        <v>13</v>
      </c>
      <c r="V725" s="16" t="s">
        <v>19</v>
      </c>
      <c r="W725" s="19" t="s"/>
      <c r="X725" s="26" t="s">
        <f>=M725&amp;N725&amp;P725&amp;Q725&amp;T725&amp;V725&amp;S725</f>
        <v>811</v>
      </c>
      <c r="Y725" s="19" t="s"/>
      <c r="Z725" s="19" t="s"/>
      <c r="AA725" s="19" t="s"/>
      <c r="AB725" s="19" t="s"/>
    </row>
    <row r="726" spans="1:28" ht="14.4">
      <c r="A726" s="4">
        <f>=H726/G726-1</f>
        <v>0.1</v>
      </c>
      <c r="B726" s="20">
        <f>=F726/12</f>
        <v>37.95</v>
      </c>
      <c r="C726" s="20">
        <f>=J726/3</f>
        <v>303.6</v>
      </c>
      <c r="D726" s="20">
        <f>=K726/3</f>
        <v>337.333333333333</v>
      </c>
      <c r="E726" s="20">
        <f>=L726/3</f>
        <v>354.2</v>
      </c>
      <c r="F726" s="20">
        <f>=H726*0.9</f>
        <v>455.4</v>
      </c>
      <c r="G726" s="21">
        <v>460</v>
      </c>
      <c r="H726" s="39">
        <v>506</v>
      </c>
      <c r="I726" s="40">
        <f>=H726*1.05</f>
        <v>531.3</v>
      </c>
      <c r="J726" s="40">
        <f>=F726*2</f>
        <v>910.8</v>
      </c>
      <c r="K726" s="40">
        <f>=H726*2</f>
        <v>1012</v>
      </c>
      <c r="L726" s="40">
        <f>=I726*2</f>
        <v>1062.6</v>
      </c>
      <c r="M726" s="41" t="s">
        <v>622</v>
      </c>
      <c r="N726" s="41">
        <v>1.2</v>
      </c>
      <c r="O726" s="41" t="s"/>
      <c r="P726" s="41">
        <v>3</v>
      </c>
      <c r="Q726" s="41">
        <v>3</v>
      </c>
      <c r="R726" s="41" t="s">
        <v>16</v>
      </c>
      <c r="S726" s="41" t="s">
        <v>137</v>
      </c>
      <c r="T726" s="41" t="s">
        <v>147</v>
      </c>
      <c r="U726" s="16" t="s">
        <v>13</v>
      </c>
      <c r="V726" s="16" t="s">
        <v>19</v>
      </c>
      <c r="W726" s="19" t="s"/>
      <c r="X726" s="26" t="s">
        <f>=M726&amp;N726&amp;P726&amp;Q726&amp;T726&amp;V726&amp;S726</f>
        <v>812</v>
      </c>
      <c r="Y726" s="19" t="s"/>
      <c r="Z726" s="19" t="s"/>
      <c r="AA726" s="19" t="s"/>
      <c r="AB726" s="19" t="s"/>
    </row>
    <row r="727" spans="1:28" ht="14.4">
      <c r="A727" s="4">
        <f>=H727/G727-1</f>
        <v>0.0994318181818181</v>
      </c>
      <c r="B727" s="20">
        <f>=F727/12</f>
        <v>58.05</v>
      </c>
      <c r="C727" s="20">
        <f>=J727/3</f>
        <v>464.4</v>
      </c>
      <c r="D727" s="20">
        <f>=K727/3</f>
        <v>516</v>
      </c>
      <c r="E727" s="20">
        <f>=L727/3</f>
        <v>541.8</v>
      </c>
      <c r="F727" s="20">
        <f>=H727*0.9</f>
        <v>696.6</v>
      </c>
      <c r="G727" s="21">
        <v>704</v>
      </c>
      <c r="H727" s="39">
        <v>774</v>
      </c>
      <c r="I727" s="40">
        <f>=H727*1.05</f>
        <v>812.7</v>
      </c>
      <c r="J727" s="40">
        <f>=F727*2</f>
        <v>1393.2</v>
      </c>
      <c r="K727" s="40">
        <f>=H727*2</f>
        <v>1548</v>
      </c>
      <c r="L727" s="40">
        <f>=I727*2</f>
        <v>1625.4</v>
      </c>
      <c r="M727" s="41" t="s">
        <v>622</v>
      </c>
      <c r="N727" s="41">
        <v>1.2</v>
      </c>
      <c r="O727" s="41" t="s"/>
      <c r="P727" s="41">
        <v>4</v>
      </c>
      <c r="Q727" s="41">
        <v>4</v>
      </c>
      <c r="R727" s="41" t="s">
        <v>16</v>
      </c>
      <c r="S727" s="41" t="s">
        <v>137</v>
      </c>
      <c r="T727" s="41" t="s">
        <v>147</v>
      </c>
      <c r="U727" s="16" t="s">
        <v>13</v>
      </c>
      <c r="V727" s="16" t="s">
        <v>19</v>
      </c>
      <c r="W727" s="19" t="s"/>
      <c r="X727" s="26" t="s">
        <f>=M727&amp;N727&amp;P727&amp;Q727&amp;T727&amp;V727&amp;S727</f>
        <v>813</v>
      </c>
      <c r="Y727" s="19" t="s"/>
      <c r="Z727" s="19" t="s"/>
      <c r="AA727" s="19" t="s"/>
      <c r="AB727" s="19" t="s"/>
    </row>
    <row r="728" spans="1:28" ht="14.4">
      <c r="A728" s="4">
        <f>=H728/G728-1</f>
        <v>0.103225806451613</v>
      </c>
      <c r="B728" s="20">
        <f>=F728/12</f>
        <v>12.825</v>
      </c>
      <c r="C728" s="20">
        <f>=J728/3</f>
        <v>102.6</v>
      </c>
      <c r="D728" s="20">
        <f>=K728/3</f>
        <v>114</v>
      </c>
      <c r="E728" s="20">
        <f>=L728/3</f>
        <v>119.7</v>
      </c>
      <c r="F728" s="20">
        <f>=H728*0.9</f>
        <v>153.9</v>
      </c>
      <c r="G728" s="21">
        <v>155</v>
      </c>
      <c r="H728" s="39">
        <v>171</v>
      </c>
      <c r="I728" s="40">
        <f>=H728*1.05</f>
        <v>179.55</v>
      </c>
      <c r="J728" s="40">
        <f>=F728*2</f>
        <v>307.8</v>
      </c>
      <c r="K728" s="40">
        <f>=H728*2</f>
        <v>342</v>
      </c>
      <c r="L728" s="40">
        <f>=I728*2</f>
        <v>359.1</v>
      </c>
      <c r="M728" s="41" t="s">
        <v>622</v>
      </c>
      <c r="N728" s="41">
        <v>1.2</v>
      </c>
      <c r="O728" s="41" t="s"/>
      <c r="P728" s="41" t="s">
        <v>21</v>
      </c>
      <c r="Q728" s="41" t="s">
        <v>21</v>
      </c>
      <c r="R728" s="41" t="s">
        <v>16</v>
      </c>
      <c r="S728" s="41" t="s">
        <v>137</v>
      </c>
      <c r="T728" s="41" t="s">
        <v>153</v>
      </c>
      <c r="U728" s="16" t="s">
        <v>13</v>
      </c>
      <c r="V728" s="16" t="s">
        <v>19</v>
      </c>
      <c r="W728" s="19" t="s"/>
      <c r="X728" s="26" t="s">
        <f>=M728&amp;N728&amp;P728&amp;Q728&amp;T728&amp;V728&amp;S728</f>
        <v>814</v>
      </c>
      <c r="Y728" s="19" t="s"/>
      <c r="Z728" s="19" t="s"/>
      <c r="AA728" s="19" t="s"/>
      <c r="AB728" s="19" t="s"/>
    </row>
    <row r="729" spans="1:28" ht="14.4">
      <c r="A729" s="4">
        <f>=H729/G729-1</f>
        <v>0.1</v>
      </c>
      <c r="B729" s="20">
        <f>=F729/12</f>
        <v>23.925</v>
      </c>
      <c r="C729" s="20">
        <f>=J729/3</f>
        <v>191.4</v>
      </c>
      <c r="D729" s="20">
        <f>=K729/3</f>
        <v>212.666666666667</v>
      </c>
      <c r="E729" s="20">
        <f>=L729/3</f>
        <v>223.3</v>
      </c>
      <c r="F729" s="20">
        <f>=H729*0.9</f>
        <v>287.1</v>
      </c>
      <c r="G729" s="21">
        <v>290</v>
      </c>
      <c r="H729" s="39">
        <v>319</v>
      </c>
      <c r="I729" s="40">
        <f>=H729*1.05</f>
        <v>334.95</v>
      </c>
      <c r="J729" s="40">
        <f>=F729*2</f>
        <v>574.2</v>
      </c>
      <c r="K729" s="40">
        <f>=H729*2</f>
        <v>638</v>
      </c>
      <c r="L729" s="40">
        <f>=I729*2</f>
        <v>669.9</v>
      </c>
      <c r="M729" s="41" t="s">
        <v>622</v>
      </c>
      <c r="N729" s="41">
        <v>1.3</v>
      </c>
      <c r="O729" s="41" t="s"/>
      <c r="P729" s="41">
        <v>1</v>
      </c>
      <c r="Q729" s="41">
        <v>2</v>
      </c>
      <c r="R729" s="41" t="s">
        <v>16</v>
      </c>
      <c r="S729" s="41" t="s">
        <v>137</v>
      </c>
      <c r="T729" s="41" t="s">
        <v>163</v>
      </c>
      <c r="U729" s="16" t="s">
        <v>13</v>
      </c>
      <c r="V729" s="16" t="s">
        <v>19</v>
      </c>
      <c r="W729" s="19" t="s"/>
      <c r="X729" s="37" t="s">
        <f>=M729&amp;N729&amp;P729&amp;Q729&amp;T729&amp;V729&amp;S729</f>
        <v>815</v>
      </c>
      <c r="Y729" s="19" t="s"/>
      <c r="Z729" s="19" t="s"/>
      <c r="AA729" s="19" t="s"/>
      <c r="AB729" s="19" t="s"/>
    </row>
    <row r="730" spans="1:28" ht="14.4">
      <c r="A730" s="4">
        <f>=H730/G730-1</f>
        <v>0.0990990990990992</v>
      </c>
      <c r="B730" s="20">
        <f>=F730/12</f>
        <v>18.3</v>
      </c>
      <c r="C730" s="20">
        <f>=J730/3</f>
        <v>146.4</v>
      </c>
      <c r="D730" s="20">
        <f>=K730/3</f>
        <v>162.666666666667</v>
      </c>
      <c r="E730" s="20">
        <f>=L730/3</f>
        <v>170.8</v>
      </c>
      <c r="F730" s="20">
        <f>=H730*0.9</f>
        <v>219.6</v>
      </c>
      <c r="G730" s="21">
        <v>222</v>
      </c>
      <c r="H730" s="39">
        <v>244</v>
      </c>
      <c r="I730" s="40">
        <f>=H730*1.05</f>
        <v>256.2</v>
      </c>
      <c r="J730" s="40">
        <f>=F730*2</f>
        <v>439.2</v>
      </c>
      <c r="K730" s="40">
        <f>=H730*2</f>
        <v>488</v>
      </c>
      <c r="L730" s="40">
        <f>=I730*2</f>
        <v>512.4</v>
      </c>
      <c r="M730" s="41" t="s">
        <v>622</v>
      </c>
      <c r="N730" s="41">
        <v>1.27</v>
      </c>
      <c r="O730" s="41" t="s"/>
      <c r="P730" s="41">
        <v>1</v>
      </c>
      <c r="Q730" s="41">
        <v>1</v>
      </c>
      <c r="R730" s="41" t="s">
        <v>16</v>
      </c>
      <c r="S730" s="41" t="s">
        <v>137</v>
      </c>
      <c r="T730" s="41" t="s">
        <v>153</v>
      </c>
      <c r="U730" s="16" t="s">
        <v>13</v>
      </c>
      <c r="V730" s="16" t="s">
        <v>19</v>
      </c>
      <c r="W730" s="19" t="s"/>
      <c r="X730" s="26" t="s">
        <f>=M730&amp;N730&amp;P730&amp;Q730&amp;T730&amp;V730&amp;S730</f>
        <v>816</v>
      </c>
      <c r="Y730" s="19" t="s"/>
      <c r="Z730" s="19" t="s"/>
      <c r="AA730" s="19" t="s"/>
      <c r="AB730" s="19" t="s"/>
    </row>
    <row r="731" spans="1:28" ht="14.4">
      <c r="A731" s="4">
        <f>=H731/G731-1</f>
        <v>0.100961538461539</v>
      </c>
      <c r="B731" s="20">
        <f>=F731/12</f>
        <v>17.175</v>
      </c>
      <c r="C731" s="20">
        <f>=J731/3</f>
        <v>137.4</v>
      </c>
      <c r="D731" s="20">
        <f>=K731/3</f>
        <v>152.666666666667</v>
      </c>
      <c r="E731" s="20">
        <f>=L731/3</f>
        <v>160.3</v>
      </c>
      <c r="F731" s="20">
        <f>=H731*0.9</f>
        <v>206.1</v>
      </c>
      <c r="G731" s="21">
        <v>208</v>
      </c>
      <c r="H731" s="39">
        <v>229</v>
      </c>
      <c r="I731" s="40">
        <f>=H731*1.05</f>
        <v>240.45</v>
      </c>
      <c r="J731" s="40">
        <f>=F731*2</f>
        <v>412.2</v>
      </c>
      <c r="K731" s="40">
        <f>=H731*2</f>
        <v>458</v>
      </c>
      <c r="L731" s="40">
        <f>=I731*2</f>
        <v>480.9</v>
      </c>
      <c r="M731" s="41" t="s">
        <v>622</v>
      </c>
      <c r="N731" s="41">
        <v>1.3</v>
      </c>
      <c r="O731" s="41" t="s"/>
      <c r="P731" s="41">
        <v>1</v>
      </c>
      <c r="Q731" s="41">
        <v>1</v>
      </c>
      <c r="R731" s="41" t="s">
        <v>16</v>
      </c>
      <c r="S731" s="41" t="s">
        <v>137</v>
      </c>
      <c r="T731" s="41" t="s">
        <v>163</v>
      </c>
      <c r="U731" s="16" t="s">
        <v>13</v>
      </c>
      <c r="V731" s="16" t="s">
        <v>19</v>
      </c>
      <c r="W731" s="19" t="s"/>
      <c r="X731" s="26" t="s">
        <f>=M731&amp;N731&amp;P731&amp;Q731&amp;T731&amp;V731&amp;S731</f>
        <v>817</v>
      </c>
      <c r="Y731" s="19" t="s"/>
      <c r="Z731" s="19" t="s"/>
      <c r="AA731" s="19" t="s"/>
      <c r="AB731" s="19" t="s"/>
    </row>
    <row r="732" spans="1:28" ht="14.4">
      <c r="A732" s="4">
        <f>=H732/G732-1</f>
        <v>0.100961538461539</v>
      </c>
      <c r="B732" s="20">
        <f>=F732/12</f>
        <v>17.175</v>
      </c>
      <c r="C732" s="20">
        <f>=J732/3</f>
        <v>137.4</v>
      </c>
      <c r="D732" s="20">
        <f>=K732/3</f>
        <v>152.666666666667</v>
      </c>
      <c r="E732" s="20">
        <f>=L732/3</f>
        <v>160.3</v>
      </c>
      <c r="F732" s="20">
        <f>=H732*0.9</f>
        <v>206.1</v>
      </c>
      <c r="G732" s="21">
        <v>208</v>
      </c>
      <c r="H732" s="39">
        <v>229</v>
      </c>
      <c r="I732" s="40">
        <f>=H732*1.05</f>
        <v>240.45</v>
      </c>
      <c r="J732" s="40">
        <f>=F732*2</f>
        <v>412.2</v>
      </c>
      <c r="K732" s="40">
        <f>=H732*2</f>
        <v>458</v>
      </c>
      <c r="L732" s="40">
        <f>=I732*2</f>
        <v>480.9</v>
      </c>
      <c r="M732" s="41" t="s">
        <v>622</v>
      </c>
      <c r="N732" s="41">
        <v>1.4</v>
      </c>
      <c r="O732" s="41" t="s"/>
      <c r="P732" s="41">
        <v>1</v>
      </c>
      <c r="Q732" s="41">
        <v>1</v>
      </c>
      <c r="R732" s="41" t="s">
        <v>16</v>
      </c>
      <c r="S732" s="41" t="s">
        <v>137</v>
      </c>
      <c r="T732" s="41" t="s">
        <v>163</v>
      </c>
      <c r="U732" s="16" t="s">
        <v>13</v>
      </c>
      <c r="V732" s="16" t="s">
        <v>19</v>
      </c>
      <c r="W732" s="19" t="s"/>
      <c r="X732" s="26" t="s">
        <f>=M732&amp;N732&amp;P732&amp;Q732&amp;T732&amp;V732&amp;S732</f>
        <v>818</v>
      </c>
      <c r="Y732" s="19" t="s"/>
      <c r="Z732" s="19" t="s"/>
      <c r="AA732" s="19" t="s"/>
      <c r="AB732" s="19" t="s"/>
    </row>
    <row r="733" spans="1:28" ht="14.4">
      <c r="A733" s="4">
        <f>=H733/G733-1</f>
        <v>0.0993788819875776</v>
      </c>
      <c r="B733" s="20">
        <f>=F733/12</f>
        <v>26.55</v>
      </c>
      <c r="C733" s="20">
        <f>=J733/3</f>
        <v>212.4</v>
      </c>
      <c r="D733" s="20">
        <f>=K733/3</f>
        <v>236</v>
      </c>
      <c r="E733" s="20">
        <f>=L733/3</f>
        <v>247.8</v>
      </c>
      <c r="F733" s="20">
        <f>=H733*0.9</f>
        <v>318.6</v>
      </c>
      <c r="G733" s="21">
        <v>322</v>
      </c>
      <c r="H733" s="39">
        <v>354</v>
      </c>
      <c r="I733" s="40">
        <f>=H733*1.05</f>
        <v>371.7</v>
      </c>
      <c r="J733" s="40">
        <f>=F733*2</f>
        <v>637.2</v>
      </c>
      <c r="K733" s="40">
        <f>=H733*2</f>
        <v>708</v>
      </c>
      <c r="L733" s="40">
        <f>=I733*2</f>
        <v>743.4</v>
      </c>
      <c r="M733" s="41" t="s">
        <v>622</v>
      </c>
      <c r="N733" s="41">
        <v>1.4</v>
      </c>
      <c r="O733" s="41" t="s"/>
      <c r="P733" s="41">
        <v>2</v>
      </c>
      <c r="Q733" s="41">
        <v>2</v>
      </c>
      <c r="R733" s="41" t="s">
        <v>16</v>
      </c>
      <c r="S733" s="41" t="s">
        <v>137</v>
      </c>
      <c r="T733" s="41" t="s">
        <v>163</v>
      </c>
      <c r="U733" s="16" t="s">
        <v>13</v>
      </c>
      <c r="V733" s="16" t="s">
        <v>19</v>
      </c>
      <c r="W733" s="19" t="s"/>
      <c r="X733" s="26" t="s">
        <f>=M733&amp;N733&amp;P733&amp;Q733&amp;T733&amp;V733&amp;S733</f>
        <v>819</v>
      </c>
      <c r="Y733" s="19" t="s"/>
      <c r="Z733" s="19" t="s"/>
      <c r="AA733" s="19" t="s"/>
      <c r="AB733" s="19" t="s"/>
    </row>
    <row r="734" spans="1:28" ht="14.4">
      <c r="A734" s="4">
        <f>=H734/G734-1</f>
        <v>0.1</v>
      </c>
      <c r="B734" s="20">
        <f>=F734/12</f>
        <v>24.75</v>
      </c>
      <c r="C734" s="20">
        <f>=J734/3</f>
        <v>198</v>
      </c>
      <c r="D734" s="20">
        <f>=K734/3</f>
        <v>220</v>
      </c>
      <c r="E734" s="20">
        <f>=L734/3</f>
        <v>231</v>
      </c>
      <c r="F734" s="20">
        <f>=H734*0.9</f>
        <v>297</v>
      </c>
      <c r="G734" s="21">
        <v>300</v>
      </c>
      <c r="H734" s="39">
        <v>330</v>
      </c>
      <c r="I734" s="40">
        <f>=H734*1.05</f>
        <v>346.5</v>
      </c>
      <c r="J734" s="40">
        <f>=F734*2</f>
        <v>594</v>
      </c>
      <c r="K734" s="40">
        <f>=H734*2</f>
        <v>660</v>
      </c>
      <c r="L734" s="40">
        <f>=I734*2</f>
        <v>693</v>
      </c>
      <c r="M734" s="41" t="s">
        <v>622</v>
      </c>
      <c r="N734" s="41">
        <v>1.4</v>
      </c>
      <c r="O734" s="41" t="s"/>
      <c r="P734" s="41">
        <v>1.5</v>
      </c>
      <c r="Q734" s="41">
        <v>1.5</v>
      </c>
      <c r="R734" s="41" t="s">
        <v>16</v>
      </c>
      <c r="S734" s="41" t="s">
        <v>137</v>
      </c>
      <c r="T734" s="41" t="s">
        <v>163</v>
      </c>
      <c r="U734" s="16" t="s">
        <v>13</v>
      </c>
      <c r="V734" s="16" t="s">
        <v>19</v>
      </c>
      <c r="W734" s="19" t="s"/>
      <c r="X734" s="26" t="s">
        <f>=M734&amp;N734&amp;P734&amp;Q734&amp;T734&amp;V734&amp;S734</f>
        <v>820</v>
      </c>
      <c r="Y734" s="19" t="s"/>
      <c r="Z734" s="19" t="s"/>
      <c r="AA734" s="19" t="s"/>
      <c r="AB734" s="19" t="s"/>
    </row>
    <row r="735" spans="1:28" ht="14.4">
      <c r="A735" s="4">
        <f>=H735/G735-1</f>
        <v>0.0993657505285413</v>
      </c>
      <c r="B735" s="20">
        <f>=F735/12</f>
        <v>39</v>
      </c>
      <c r="C735" s="20">
        <f>=J735/3</f>
        <v>312</v>
      </c>
      <c r="D735" s="20">
        <f>=K735/3</f>
        <v>346.666666666667</v>
      </c>
      <c r="E735" s="20">
        <f>=L735/3</f>
        <v>364</v>
      </c>
      <c r="F735" s="20">
        <f>=H735*0.9</f>
        <v>468</v>
      </c>
      <c r="G735" s="21">
        <v>473</v>
      </c>
      <c r="H735" s="39">
        <v>520</v>
      </c>
      <c r="I735" s="40">
        <f>=H735*1.05</f>
        <v>546</v>
      </c>
      <c r="J735" s="40">
        <f>=F735*2</f>
        <v>936</v>
      </c>
      <c r="K735" s="40">
        <f>=H735*2</f>
        <v>1040</v>
      </c>
      <c r="L735" s="40">
        <f>=I735*2</f>
        <v>1092</v>
      </c>
      <c r="M735" s="41" t="s">
        <v>622</v>
      </c>
      <c r="N735" s="41">
        <v>1.4</v>
      </c>
      <c r="O735" s="41" t="s"/>
      <c r="P735" s="41">
        <v>3</v>
      </c>
      <c r="Q735" s="41">
        <v>3</v>
      </c>
      <c r="R735" s="41" t="s">
        <v>16</v>
      </c>
      <c r="S735" s="41" t="s">
        <v>137</v>
      </c>
      <c r="T735" s="41" t="s">
        <v>153</v>
      </c>
      <c r="U735" s="16" t="s">
        <v>13</v>
      </c>
      <c r="V735" s="16" t="s">
        <v>19</v>
      </c>
      <c r="W735" s="19" t="s"/>
      <c r="X735" s="26" t="s">
        <f>=M735&amp;N735&amp;P735&amp;Q735&amp;T735&amp;V735&amp;S735</f>
        <v>821</v>
      </c>
      <c r="Y735" s="19" t="s"/>
      <c r="Z735" s="19" t="s"/>
      <c r="AA735" s="19" t="s"/>
      <c r="AB735" s="19" t="s"/>
    </row>
    <row r="736" spans="1:28" ht="14.4">
      <c r="A736" s="4">
        <f>=H736/G736-1</f>
        <v>0.100278551532033</v>
      </c>
      <c r="B736" s="20">
        <f>=F736/12</f>
        <v>59.25</v>
      </c>
      <c r="C736" s="20">
        <f>=J736/3</f>
        <v>474</v>
      </c>
      <c r="D736" s="20">
        <f>=K736/3</f>
        <v>526.666666666667</v>
      </c>
      <c r="E736" s="20">
        <f>=L736/3</f>
        <v>553</v>
      </c>
      <c r="F736" s="20">
        <f>=H736*0.9</f>
        <v>711</v>
      </c>
      <c r="G736" s="21">
        <v>718</v>
      </c>
      <c r="H736" s="39">
        <v>790</v>
      </c>
      <c r="I736" s="40">
        <f>=H736*1.05</f>
        <v>829.5</v>
      </c>
      <c r="J736" s="40">
        <f>=F736*2</f>
        <v>1422</v>
      </c>
      <c r="K736" s="40">
        <f>=H736*2</f>
        <v>1580</v>
      </c>
      <c r="L736" s="40">
        <f>=I736*2</f>
        <v>1659</v>
      </c>
      <c r="M736" s="41" t="s">
        <v>622</v>
      </c>
      <c r="N736" s="41">
        <v>1.4</v>
      </c>
      <c r="O736" s="41" t="s"/>
      <c r="P736" s="41">
        <v>4</v>
      </c>
      <c r="Q736" s="41">
        <v>4</v>
      </c>
      <c r="R736" s="41" t="s">
        <v>16</v>
      </c>
      <c r="S736" s="41" t="s">
        <v>137</v>
      </c>
      <c r="T736" s="41" t="s">
        <v>153</v>
      </c>
      <c r="U736" s="16" t="s">
        <v>13</v>
      </c>
      <c r="V736" s="16" t="s">
        <v>19</v>
      </c>
      <c r="W736" s="19" t="s"/>
      <c r="X736" s="26" t="s">
        <f>=M736&amp;N736&amp;P736&amp;Q736&amp;T736&amp;V736&amp;S736</f>
        <v>822</v>
      </c>
      <c r="Y736" s="19" t="s"/>
      <c r="Z736" s="19" t="s"/>
      <c r="AA736" s="19" t="s"/>
      <c r="AB736" s="19" t="s"/>
    </row>
    <row r="737" spans="1:28" ht="14.4">
      <c r="A737" s="4">
        <f>=H737/G737-1</f>
        <v>0.0988372093023256</v>
      </c>
      <c r="B737" s="20">
        <f>=F737/12</f>
        <v>14.175</v>
      </c>
      <c r="C737" s="20">
        <f>=J737/3</f>
        <v>113.4</v>
      </c>
      <c r="D737" s="20">
        <f>=K737/3</f>
        <v>126</v>
      </c>
      <c r="E737" s="20">
        <f>=L737/3</f>
        <v>132.3</v>
      </c>
      <c r="F737" s="20">
        <f>=H737*0.9</f>
        <v>170.1</v>
      </c>
      <c r="G737" s="21">
        <v>172</v>
      </c>
      <c r="H737" s="39">
        <v>189</v>
      </c>
      <c r="I737" s="40">
        <f>=H737*1.05</f>
        <v>198.45</v>
      </c>
      <c r="J737" s="40">
        <f>=F737*2</f>
        <v>340.2</v>
      </c>
      <c r="K737" s="40">
        <f>=H737*2</f>
        <v>378</v>
      </c>
      <c r="L737" s="40">
        <f>=I737*2</f>
        <v>396.9</v>
      </c>
      <c r="M737" s="41" t="s">
        <v>622</v>
      </c>
      <c r="N737" s="41">
        <v>1.4</v>
      </c>
      <c r="O737" s="41" t="s"/>
      <c r="P737" s="41" t="s">
        <v>21</v>
      </c>
      <c r="Q737" s="41" t="s">
        <v>21</v>
      </c>
      <c r="R737" s="41" t="s">
        <v>16</v>
      </c>
      <c r="S737" s="41" t="s">
        <v>137</v>
      </c>
      <c r="T737" s="41" t="s">
        <v>163</v>
      </c>
      <c r="U737" s="16" t="s">
        <v>13</v>
      </c>
      <c r="V737" s="16" t="s">
        <v>19</v>
      </c>
      <c r="W737" s="19" t="s"/>
      <c r="X737" s="26" t="s">
        <f>=M737&amp;N737&amp;P737&amp;Q737&amp;T737&amp;V737&amp;S737</f>
        <v>823</v>
      </c>
      <c r="Y737" s="19" t="s"/>
      <c r="Z737" s="19" t="s"/>
      <c r="AA737" s="19" t="s"/>
      <c r="AB737" s="19" t="s"/>
    </row>
    <row r="738" spans="1:28" ht="14.4">
      <c r="A738" s="4">
        <f>=H738/G738-1</f>
        <v>0.102325581395349</v>
      </c>
      <c r="B738" s="20">
        <f>=F738/12</f>
        <v>17.775</v>
      </c>
      <c r="C738" s="20">
        <f>=J738/3</f>
        <v>142.2</v>
      </c>
      <c r="D738" s="20">
        <f>=K738/3</f>
        <v>158</v>
      </c>
      <c r="E738" s="20">
        <f>=L738/3</f>
        <v>165.9</v>
      </c>
      <c r="F738" s="20">
        <f>=H738*0.9</f>
        <v>213.3</v>
      </c>
      <c r="G738" s="21">
        <v>215</v>
      </c>
      <c r="H738" s="39">
        <v>237</v>
      </c>
      <c r="I738" s="40">
        <f>=H738*1.05</f>
        <v>248.85</v>
      </c>
      <c r="J738" s="40">
        <f>=F738*2</f>
        <v>426.6</v>
      </c>
      <c r="K738" s="40">
        <f>=H738*2</f>
        <v>474</v>
      </c>
      <c r="L738" s="40">
        <f>=I738*2</f>
        <v>497.7</v>
      </c>
      <c r="M738" s="41" t="s">
        <v>622</v>
      </c>
      <c r="N738" s="41">
        <v>1.5</v>
      </c>
      <c r="O738" s="41" t="s"/>
      <c r="P738" s="41">
        <v>1</v>
      </c>
      <c r="Q738" s="41">
        <v>1</v>
      </c>
      <c r="R738" s="41" t="s">
        <v>16</v>
      </c>
      <c r="S738" s="41" t="s">
        <v>137</v>
      </c>
      <c r="T738" s="41" t="s">
        <v>171</v>
      </c>
      <c r="U738" s="16" t="s">
        <v>13</v>
      </c>
      <c r="V738" s="16" t="s">
        <v>19</v>
      </c>
      <c r="W738" s="19" t="s"/>
      <c r="X738" s="26" t="s">
        <f>=M738&amp;N738&amp;P738&amp;Q738&amp;T738&amp;V738&amp;S738</f>
        <v>824</v>
      </c>
      <c r="Y738" s="19" t="s"/>
      <c r="Z738" s="19" t="s"/>
      <c r="AA738" s="19" t="s"/>
      <c r="AB738" s="19" t="s"/>
    </row>
    <row r="739" spans="1:28" ht="14.4">
      <c r="A739" s="4">
        <f>=H739/G739-1</f>
        <v>0.0992647058823531</v>
      </c>
      <c r="B739" s="20">
        <f>=F739/12</f>
        <v>22.425</v>
      </c>
      <c r="C739" s="20">
        <f>=J739/3</f>
        <v>179.4</v>
      </c>
      <c r="D739" s="20">
        <f>=K739/3</f>
        <v>199.333333333333</v>
      </c>
      <c r="E739" s="20">
        <f>=L739/3</f>
        <v>209.3</v>
      </c>
      <c r="F739" s="20">
        <f>=H739*0.9</f>
        <v>269.1</v>
      </c>
      <c r="G739" s="21">
        <v>272</v>
      </c>
      <c r="H739" s="39">
        <v>299</v>
      </c>
      <c r="I739" s="40">
        <f>=H739*1.05</f>
        <v>313.95</v>
      </c>
      <c r="J739" s="40">
        <f>=F739*2</f>
        <v>538.2</v>
      </c>
      <c r="K739" s="40">
        <f>=H739*2</f>
        <v>598</v>
      </c>
      <c r="L739" s="40">
        <f>=I739*2</f>
        <v>627.9</v>
      </c>
      <c r="M739" s="41" t="s">
        <v>622</v>
      </c>
      <c r="N739" s="41">
        <v>1.5</v>
      </c>
      <c r="O739" s="41" t="s"/>
      <c r="P739" s="41">
        <v>1.5</v>
      </c>
      <c r="Q739" s="41">
        <v>1.5</v>
      </c>
      <c r="R739" s="41" t="s">
        <v>16</v>
      </c>
      <c r="S739" s="41" t="s">
        <v>137</v>
      </c>
      <c r="T739" s="41" t="s">
        <v>171</v>
      </c>
      <c r="U739" s="16" t="s">
        <v>13</v>
      </c>
      <c r="V739" s="16" t="s">
        <v>19</v>
      </c>
      <c r="W739" s="19" t="s"/>
      <c r="X739" s="26" t="s">
        <f>=M739&amp;N739&amp;P739&amp;Q739&amp;T739&amp;V739&amp;S739</f>
        <v>825</v>
      </c>
      <c r="Y739" s="19" t="s"/>
      <c r="Z739" s="19" t="s"/>
      <c r="AA739" s="19" t="s"/>
      <c r="AB739" s="19" t="s"/>
    </row>
    <row r="740" spans="1:28" ht="14.4">
      <c r="A740" s="4">
        <f>=H740/G740-1</f>
        <v>0.100591715976331</v>
      </c>
      <c r="B740" s="20">
        <f>=F740/12</f>
        <v>27.9</v>
      </c>
      <c r="C740" s="20">
        <f>=J740/3</f>
        <v>223.2</v>
      </c>
      <c r="D740" s="20">
        <f>=K740/3</f>
        <v>248</v>
      </c>
      <c r="E740" s="20">
        <f>=L740/3</f>
        <v>260.4</v>
      </c>
      <c r="F740" s="20">
        <f>=H740*0.9</f>
        <v>334.8</v>
      </c>
      <c r="G740" s="21">
        <v>338</v>
      </c>
      <c r="H740" s="39">
        <v>372</v>
      </c>
      <c r="I740" s="40">
        <f>=H740*1.05</f>
        <v>390.6</v>
      </c>
      <c r="J740" s="40">
        <f>=F740*2</f>
        <v>669.6</v>
      </c>
      <c r="K740" s="40">
        <f>=H740*2</f>
        <v>744</v>
      </c>
      <c r="L740" s="40">
        <f>=I740*2</f>
        <v>781.2</v>
      </c>
      <c r="M740" s="41" t="s">
        <v>622</v>
      </c>
      <c r="N740" s="41">
        <v>1.5</v>
      </c>
      <c r="O740" s="41" t="s"/>
      <c r="P740" s="41">
        <v>2</v>
      </c>
      <c r="Q740" s="41">
        <v>2</v>
      </c>
      <c r="R740" s="41" t="s">
        <v>16</v>
      </c>
      <c r="S740" s="41" t="s">
        <v>137</v>
      </c>
      <c r="T740" s="41" t="s">
        <v>163</v>
      </c>
      <c r="U740" s="16" t="s">
        <v>13</v>
      </c>
      <c r="V740" s="16" t="s">
        <v>19</v>
      </c>
      <c r="W740" s="19" t="s"/>
      <c r="X740" s="26" t="s">
        <f>=M740&amp;N740&amp;P740&amp;Q740&amp;T740&amp;V740&amp;S740</f>
        <v>826</v>
      </c>
      <c r="Y740" s="19" t="s"/>
      <c r="Z740" s="19" t="s"/>
      <c r="AA740" s="19" t="s"/>
      <c r="AB740" s="19" t="s"/>
    </row>
    <row r="741" spans="1:28" ht="14.4">
      <c r="A741" s="4">
        <f>=H741/G741-1</f>
        <v>0.100591715976331</v>
      </c>
      <c r="B741" s="20">
        <f>=F741/12</f>
        <v>27.9</v>
      </c>
      <c r="C741" s="20">
        <f>=J741/3</f>
        <v>223.2</v>
      </c>
      <c r="D741" s="20">
        <f>=K741/3</f>
        <v>248</v>
      </c>
      <c r="E741" s="20">
        <f>=L741/3</f>
        <v>260.4</v>
      </c>
      <c r="F741" s="20">
        <f>=H741*0.9</f>
        <v>334.8</v>
      </c>
      <c r="G741" s="21">
        <v>338</v>
      </c>
      <c r="H741" s="39">
        <v>372</v>
      </c>
      <c r="I741" s="40">
        <f>=H741*1.05</f>
        <v>390.6</v>
      </c>
      <c r="J741" s="40">
        <f>=F741*2</f>
        <v>669.6</v>
      </c>
      <c r="K741" s="40">
        <f>=H741*2</f>
        <v>744</v>
      </c>
      <c r="L741" s="40">
        <f>=I741*2</f>
        <v>781.2</v>
      </c>
      <c r="M741" s="41" t="s">
        <v>622</v>
      </c>
      <c r="N741" s="41">
        <v>1.5</v>
      </c>
      <c r="O741" s="41" t="s"/>
      <c r="P741" s="41">
        <v>2</v>
      </c>
      <c r="Q741" s="41">
        <v>2</v>
      </c>
      <c r="R741" s="41" t="s">
        <v>16</v>
      </c>
      <c r="S741" s="41" t="s">
        <v>137</v>
      </c>
      <c r="T741" s="41" t="s">
        <v>163</v>
      </c>
      <c r="U741" s="16" t="s">
        <v>13</v>
      </c>
      <c r="V741" s="16" t="s">
        <v>19</v>
      </c>
      <c r="W741" s="19" t="s"/>
      <c r="X741" s="26" t="s">
        <f>=M741&amp;N741&amp;P741&amp;Q741&amp;T741&amp;V741&amp;S741</f>
        <v>826</v>
      </c>
      <c r="Y741" s="19" t="s"/>
      <c r="Z741" s="19" t="s"/>
      <c r="AA741" s="19" t="s"/>
      <c r="AB741" s="19" t="s"/>
    </row>
    <row r="742" spans="1:28" ht="14.4">
      <c r="A742" s="4">
        <f>=H742/G742-1</f>
        <v>0.100790513833992</v>
      </c>
      <c r="B742" s="20">
        <f>=F742/12</f>
        <v>41.775</v>
      </c>
      <c r="C742" s="20">
        <f>=J742/3</f>
        <v>334.2</v>
      </c>
      <c r="D742" s="20">
        <f>=K742/3</f>
        <v>371.333333333333</v>
      </c>
      <c r="E742" s="20">
        <f>=L742/3</f>
        <v>389.9</v>
      </c>
      <c r="F742" s="20">
        <f>=H742*0.9</f>
        <v>501.3</v>
      </c>
      <c r="G742" s="21">
        <v>506</v>
      </c>
      <c r="H742" s="39">
        <v>557</v>
      </c>
      <c r="I742" s="40">
        <f>=H742*1.05</f>
        <v>584.85</v>
      </c>
      <c r="J742" s="40">
        <f>=F742*2</f>
        <v>1002.6</v>
      </c>
      <c r="K742" s="40">
        <f>=H742*2</f>
        <v>1114</v>
      </c>
      <c r="L742" s="40">
        <f>=I742*2</f>
        <v>1169.7</v>
      </c>
      <c r="M742" s="41" t="s">
        <v>622</v>
      </c>
      <c r="N742" s="41">
        <v>1.5</v>
      </c>
      <c r="O742" s="41" t="s"/>
      <c r="P742" s="41">
        <v>3</v>
      </c>
      <c r="Q742" s="41">
        <v>3</v>
      </c>
      <c r="R742" s="41" t="s">
        <v>16</v>
      </c>
      <c r="S742" s="41" t="s">
        <v>137</v>
      </c>
      <c r="T742" s="41" t="s">
        <v>163</v>
      </c>
      <c r="U742" s="16" t="s">
        <v>13</v>
      </c>
      <c r="V742" s="16" t="s">
        <v>19</v>
      </c>
      <c r="W742" s="19" t="s"/>
      <c r="X742" s="26" t="s">
        <f>=M742&amp;N742&amp;P742&amp;Q742&amp;T742&amp;V742&amp;S742</f>
        <v>827</v>
      </c>
      <c r="Y742" s="19" t="s"/>
      <c r="Z742" s="19" t="s"/>
      <c r="AA742" s="19" t="s"/>
      <c r="AB742" s="19" t="s"/>
    </row>
    <row r="743" spans="1:28" ht="14.4">
      <c r="A743" s="4">
        <f>=H743/G743-1</f>
        <v>0.0978260869565217</v>
      </c>
      <c r="B743" s="20">
        <f>=F743/12</f>
        <v>15.15</v>
      </c>
      <c r="C743" s="20">
        <f>=J743/3</f>
        <v>121.2</v>
      </c>
      <c r="D743" s="20">
        <f>=K743/3</f>
        <v>134.666666666667</v>
      </c>
      <c r="E743" s="20">
        <f>=L743/3</f>
        <v>141.4</v>
      </c>
      <c r="F743" s="20">
        <f>=H743*0.9</f>
        <v>181.8</v>
      </c>
      <c r="G743" s="21">
        <v>184</v>
      </c>
      <c r="H743" s="39">
        <v>202</v>
      </c>
      <c r="I743" s="40">
        <f>=H743*1.05</f>
        <v>212.1</v>
      </c>
      <c r="J743" s="40">
        <f>=F743*2</f>
        <v>363.6</v>
      </c>
      <c r="K743" s="40">
        <f>=H743*2</f>
        <v>404</v>
      </c>
      <c r="L743" s="40">
        <f>=I743*2</f>
        <v>424.2</v>
      </c>
      <c r="M743" s="41" t="s">
        <v>622</v>
      </c>
      <c r="N743" s="41">
        <v>1.5</v>
      </c>
      <c r="O743" s="41" t="s"/>
      <c r="P743" s="41" t="s">
        <v>21</v>
      </c>
      <c r="Q743" s="41" t="s">
        <v>21</v>
      </c>
      <c r="R743" s="41" t="s">
        <v>16</v>
      </c>
      <c r="S743" s="41" t="s">
        <v>137</v>
      </c>
      <c r="T743" s="41" t="s">
        <v>171</v>
      </c>
      <c r="U743" s="16" t="s">
        <v>13</v>
      </c>
      <c r="V743" s="16" t="s">
        <v>19</v>
      </c>
      <c r="W743" s="19" t="s"/>
      <c r="X743" s="26" t="s">
        <f>=M743&amp;N743&amp;P743&amp;Q743&amp;T743&amp;V743&amp;S743</f>
        <v>828</v>
      </c>
      <c r="Y743" s="19" t="s"/>
      <c r="Z743" s="19" t="s"/>
      <c r="AA743" s="19" t="s"/>
      <c r="AB743" s="19" t="s"/>
    </row>
    <row r="744" spans="1:28" ht="14.4">
      <c r="A744" s="4">
        <f>=H744/G744-1</f>
        <v>0.0995475113122173</v>
      </c>
      <c r="B744" s="20">
        <f>=F744/12</f>
        <v>18.225</v>
      </c>
      <c r="C744" s="20">
        <f>=J744/3</f>
        <v>145.8</v>
      </c>
      <c r="D744" s="20">
        <f>=K744/3</f>
        <v>162</v>
      </c>
      <c r="E744" s="20">
        <f>=L744/3</f>
        <v>170.1</v>
      </c>
      <c r="F744" s="20">
        <f>=H744*0.9</f>
        <v>218.7</v>
      </c>
      <c r="G744" s="21">
        <v>221</v>
      </c>
      <c r="H744" s="39">
        <v>243</v>
      </c>
      <c r="I744" s="40">
        <f>=H744*1.05</f>
        <v>255.15</v>
      </c>
      <c r="J744" s="40">
        <f>=F744*2</f>
        <v>437.4</v>
      </c>
      <c r="K744" s="40">
        <f>=H744*2</f>
        <v>486</v>
      </c>
      <c r="L744" s="40">
        <f>=I744*2</f>
        <v>510.3</v>
      </c>
      <c r="M744" s="41" t="s">
        <v>622</v>
      </c>
      <c r="N744" s="41">
        <v>1.6</v>
      </c>
      <c r="O744" s="41" t="s"/>
      <c r="P744" s="41">
        <v>1</v>
      </c>
      <c r="Q744" s="41">
        <v>1</v>
      </c>
      <c r="R744" s="41" t="s">
        <v>16</v>
      </c>
      <c r="S744" s="41" t="s">
        <v>137</v>
      </c>
      <c r="T744" s="41" t="s">
        <v>171</v>
      </c>
      <c r="U744" s="16" t="s">
        <v>13</v>
      </c>
      <c r="V744" s="16" t="s">
        <v>19</v>
      </c>
      <c r="W744" s="19" t="s"/>
      <c r="X744" s="26" t="s">
        <f>=M744&amp;N744&amp;P744&amp;Q744&amp;T744&amp;V744&amp;S744</f>
        <v>829</v>
      </c>
      <c r="Y744" s="19" t="s"/>
      <c r="Z744" s="19" t="s"/>
      <c r="AA744" s="19" t="s"/>
      <c r="AB744" s="19" t="s"/>
    </row>
    <row r="745" spans="1:28" ht="14.4">
      <c r="A745" s="4">
        <f>=H745/G745-1</f>
        <v>0.0991253644314869</v>
      </c>
      <c r="B745" s="20">
        <f>=F745/12</f>
        <v>28.275</v>
      </c>
      <c r="C745" s="20">
        <f>=J745/3</f>
        <v>226.2</v>
      </c>
      <c r="D745" s="20">
        <f>=K745/3</f>
        <v>251.333333333333</v>
      </c>
      <c r="E745" s="20">
        <f>=L745/3</f>
        <v>263.9</v>
      </c>
      <c r="F745" s="20">
        <f>=H745*0.9</f>
        <v>339.3</v>
      </c>
      <c r="G745" s="21">
        <v>343</v>
      </c>
      <c r="H745" s="39">
        <v>377</v>
      </c>
      <c r="I745" s="40">
        <f>=H745*1.05</f>
        <v>395.85</v>
      </c>
      <c r="J745" s="40">
        <f>=F745*2</f>
        <v>678.6</v>
      </c>
      <c r="K745" s="40">
        <f>=H745*2</f>
        <v>754</v>
      </c>
      <c r="L745" s="40">
        <f>=I745*2</f>
        <v>791.7</v>
      </c>
      <c r="M745" s="41" t="s">
        <v>622</v>
      </c>
      <c r="N745" s="41">
        <v>1.6</v>
      </c>
      <c r="O745" s="41" t="s"/>
      <c r="P745" s="41">
        <v>2</v>
      </c>
      <c r="Q745" s="41">
        <v>2</v>
      </c>
      <c r="R745" s="41" t="s">
        <v>16</v>
      </c>
      <c r="S745" s="41" t="s">
        <v>137</v>
      </c>
      <c r="T745" s="41" t="s">
        <v>171</v>
      </c>
      <c r="U745" s="16" t="s">
        <v>13</v>
      </c>
      <c r="V745" s="16" t="s">
        <v>19</v>
      </c>
      <c r="W745" s="19" t="s"/>
      <c r="X745" s="26" t="s">
        <f>=M745&amp;N745&amp;P745&amp;Q745&amp;T745&amp;V745&amp;S745</f>
        <v>830</v>
      </c>
      <c r="Y745" s="19" t="s"/>
      <c r="Z745" s="19" t="s"/>
      <c r="AA745" s="19" t="s"/>
      <c r="AB745" s="19" t="s"/>
    </row>
    <row r="746" spans="1:28" ht="14.4">
      <c r="A746" s="4">
        <f>=H746/G746-1</f>
        <v>0.0998043052837574</v>
      </c>
      <c r="B746" s="20">
        <f>=F746/12</f>
        <v>42.15</v>
      </c>
      <c r="C746" s="20">
        <f>=J746/3</f>
        <v>337.2</v>
      </c>
      <c r="D746" s="20">
        <f>=K746/3</f>
        <v>374.666666666667</v>
      </c>
      <c r="E746" s="20">
        <f>=L746/3</f>
        <v>393.4</v>
      </c>
      <c r="F746" s="20">
        <f>=H746*0.9</f>
        <v>505.8</v>
      </c>
      <c r="G746" s="21">
        <v>511</v>
      </c>
      <c r="H746" s="39">
        <v>562</v>
      </c>
      <c r="I746" s="40">
        <f>=H746*1.05</f>
        <v>590.1</v>
      </c>
      <c r="J746" s="40">
        <f>=F746*2</f>
        <v>1011.6</v>
      </c>
      <c r="K746" s="40">
        <f>=H746*2</f>
        <v>1124</v>
      </c>
      <c r="L746" s="40">
        <f>=I746*2</f>
        <v>1180.2</v>
      </c>
      <c r="M746" s="41" t="s">
        <v>622</v>
      </c>
      <c r="N746" s="41">
        <v>1.6</v>
      </c>
      <c r="O746" s="41" t="s"/>
      <c r="P746" s="41">
        <v>3</v>
      </c>
      <c r="Q746" s="41">
        <v>3</v>
      </c>
      <c r="R746" s="41" t="s">
        <v>16</v>
      </c>
      <c r="S746" s="41" t="s">
        <v>137</v>
      </c>
      <c r="T746" s="41" t="s">
        <v>163</v>
      </c>
      <c r="U746" s="16" t="s">
        <v>13</v>
      </c>
      <c r="V746" s="16" t="s">
        <v>19</v>
      </c>
      <c r="W746" s="19" t="s"/>
      <c r="X746" s="26" t="s">
        <f>=M746&amp;N746&amp;P746&amp;Q746&amp;T746&amp;V746&amp;S746</f>
        <v>831</v>
      </c>
      <c r="Y746" s="19" t="s"/>
      <c r="Z746" s="19" t="s"/>
      <c r="AA746" s="19" t="s"/>
      <c r="AB746" s="19" t="s"/>
    </row>
    <row r="747" spans="1:28" ht="14.4">
      <c r="A747" s="4">
        <f>=H747/G747-1</f>
        <v>0.100653594771242</v>
      </c>
      <c r="B747" s="20">
        <f>=F747/12</f>
        <v>63.15</v>
      </c>
      <c r="C747" s="20">
        <f>=J747/3</f>
        <v>505.2</v>
      </c>
      <c r="D747" s="20">
        <f>=K747/3</f>
        <v>561.333333333334</v>
      </c>
      <c r="E747" s="20">
        <f>=L747/3</f>
        <v>589.4</v>
      </c>
      <c r="F747" s="20">
        <f>=H747*0.9</f>
        <v>757.8</v>
      </c>
      <c r="G747" s="21">
        <v>765</v>
      </c>
      <c r="H747" s="39">
        <v>842</v>
      </c>
      <c r="I747" s="40">
        <f>=H747*1.05</f>
        <v>884.1</v>
      </c>
      <c r="J747" s="40">
        <f>=F747*2</f>
        <v>1515.6</v>
      </c>
      <c r="K747" s="40">
        <f>=H747*2</f>
        <v>1684</v>
      </c>
      <c r="L747" s="40">
        <f>=I747*2</f>
        <v>1768.2</v>
      </c>
      <c r="M747" s="41" t="s">
        <v>622</v>
      </c>
      <c r="N747" s="41">
        <v>1.6</v>
      </c>
      <c r="O747" s="41" t="s"/>
      <c r="P747" s="41">
        <v>4</v>
      </c>
      <c r="Q747" s="41">
        <v>4</v>
      </c>
      <c r="R747" s="41" t="s">
        <v>16</v>
      </c>
      <c r="S747" s="41" t="s">
        <v>137</v>
      </c>
      <c r="T747" s="41" t="s">
        <v>163</v>
      </c>
      <c r="U747" s="16" t="s">
        <v>13</v>
      </c>
      <c r="V747" s="16" t="s">
        <v>19</v>
      </c>
      <c r="W747" s="19" t="s"/>
      <c r="X747" s="26" t="s">
        <f>=M747&amp;N747&amp;P747&amp;Q747&amp;T747&amp;V747&amp;S747</f>
        <v>832</v>
      </c>
      <c r="Y747" s="19" t="s"/>
      <c r="Z747" s="19" t="s"/>
      <c r="AA747" s="19" t="s"/>
      <c r="AB747" s="19" t="s"/>
    </row>
    <row r="748" spans="1:28" ht="14.4">
      <c r="A748" s="4">
        <f>=H748/G748-1</f>
        <v>0.101063829787234</v>
      </c>
      <c r="B748" s="20">
        <f>=F748/12</f>
        <v>15.525</v>
      </c>
      <c r="C748" s="20">
        <f>=J748/3</f>
        <v>124.2</v>
      </c>
      <c r="D748" s="20">
        <f>=K748/3</f>
        <v>138</v>
      </c>
      <c r="E748" s="20">
        <f>=L748/3</f>
        <v>144.9</v>
      </c>
      <c r="F748" s="20">
        <f>=H748*0.9</f>
        <v>186.3</v>
      </c>
      <c r="G748" s="21">
        <v>188</v>
      </c>
      <c r="H748" s="39">
        <v>207</v>
      </c>
      <c r="I748" s="40">
        <f>=H748*1.05</f>
        <v>217.35</v>
      </c>
      <c r="J748" s="40">
        <f>=F748*2</f>
        <v>372.6</v>
      </c>
      <c r="K748" s="40">
        <f>=H748*2</f>
        <v>414</v>
      </c>
      <c r="L748" s="40">
        <f>=I748*2</f>
        <v>434.7</v>
      </c>
      <c r="M748" s="41" t="s">
        <v>622</v>
      </c>
      <c r="N748" s="41">
        <v>1.6</v>
      </c>
      <c r="O748" s="41" t="s"/>
      <c r="P748" s="41" t="s">
        <v>21</v>
      </c>
      <c r="Q748" s="41" t="s">
        <v>21</v>
      </c>
      <c r="R748" s="41" t="s">
        <v>16</v>
      </c>
      <c r="S748" s="41" t="s">
        <v>137</v>
      </c>
      <c r="T748" s="41" t="s">
        <v>171</v>
      </c>
      <c r="U748" s="16" t="s">
        <v>13</v>
      </c>
      <c r="V748" s="16" t="s">
        <v>19</v>
      </c>
      <c r="W748" s="19" t="s"/>
      <c r="X748" s="26" t="s">
        <f>=M748&amp;N748&amp;P748&amp;Q748&amp;T748&amp;V748&amp;S748</f>
        <v>833</v>
      </c>
      <c r="Y748" s="19" t="s"/>
      <c r="Z748" s="19" t="s"/>
      <c r="AA748" s="19" t="s"/>
      <c r="AB748" s="19" t="s"/>
    </row>
    <row r="749" spans="1:28" ht="14.4">
      <c r="A749" s="4">
        <f>=H749/G749-1</f>
        <v>0.100182149362477</v>
      </c>
      <c r="B749" s="20">
        <f>=F749/12</f>
        <v>45.3</v>
      </c>
      <c r="C749" s="20">
        <f>=J749/3</f>
        <v>362.4</v>
      </c>
      <c r="D749" s="20">
        <f>=K749/3</f>
        <v>402.666666666667</v>
      </c>
      <c r="E749" s="20">
        <f>=L749/3</f>
        <v>422.8</v>
      </c>
      <c r="F749" s="20">
        <f>=H749*0.9</f>
        <v>543.6</v>
      </c>
      <c r="G749" s="21">
        <v>549</v>
      </c>
      <c r="H749" s="39">
        <v>604</v>
      </c>
      <c r="I749" s="40">
        <f>=H749*1.05</f>
        <v>634.2</v>
      </c>
      <c r="J749" s="40">
        <f>=F749*2</f>
        <v>1087.2</v>
      </c>
      <c r="K749" s="40">
        <f>=H749*2</f>
        <v>1208</v>
      </c>
      <c r="L749" s="40">
        <f>=I749*2</f>
        <v>1268.4</v>
      </c>
      <c r="M749" s="41" t="s">
        <v>622</v>
      </c>
      <c r="N749" s="41">
        <v>1.8</v>
      </c>
      <c r="O749" s="41" t="s"/>
      <c r="P749" s="41">
        <v>3</v>
      </c>
      <c r="Q749" s="41">
        <v>3</v>
      </c>
      <c r="R749" s="41" t="s">
        <v>16</v>
      </c>
      <c r="S749" s="41" t="s">
        <v>137</v>
      </c>
      <c r="T749" s="41" t="s">
        <v>163</v>
      </c>
      <c r="U749" s="16" t="s">
        <v>13</v>
      </c>
      <c r="V749" s="16" t="s">
        <v>19</v>
      </c>
      <c r="W749" s="19" t="s"/>
      <c r="X749" s="26" t="s">
        <f>=M749&amp;N749&amp;P749&amp;Q749&amp;T749&amp;V749&amp;S749</f>
        <v>834</v>
      </c>
      <c r="Y749" s="19" t="s"/>
      <c r="Z749" s="19" t="s"/>
      <c r="AA749" s="19" t="s"/>
      <c r="AB749" s="19" t="s"/>
    </row>
    <row r="750" spans="1:28" ht="14.4">
      <c r="A750" s="4">
        <f>=H750/G750-1</f>
        <v>0.0984848484848484</v>
      </c>
      <c r="B750" s="20">
        <f>=F750/12</f>
        <v>21.75</v>
      </c>
      <c r="C750" s="20">
        <f>=J750/3</f>
        <v>174</v>
      </c>
      <c r="D750" s="20">
        <f>=K750/3</f>
        <v>193.333333333333</v>
      </c>
      <c r="E750" s="20">
        <f>=L750/3</f>
        <v>203</v>
      </c>
      <c r="F750" s="20">
        <f>=H750*0.9</f>
        <v>261</v>
      </c>
      <c r="G750" s="21">
        <v>264</v>
      </c>
      <c r="H750" s="39">
        <v>290</v>
      </c>
      <c r="I750" s="40">
        <f>=H750*1.05</f>
        <v>304.5</v>
      </c>
      <c r="J750" s="40">
        <f>=F750*2</f>
        <v>522</v>
      </c>
      <c r="K750" s="40">
        <f>=H750*2</f>
        <v>580</v>
      </c>
      <c r="L750" s="40">
        <f>=I750*2</f>
        <v>609</v>
      </c>
      <c r="M750" s="41" t="s">
        <v>622</v>
      </c>
      <c r="N750" s="41">
        <v>1.9</v>
      </c>
      <c r="O750" s="41" t="s"/>
      <c r="P750" s="41">
        <v>1</v>
      </c>
      <c r="Q750" s="41">
        <v>1</v>
      </c>
      <c r="R750" s="41" t="s">
        <v>16</v>
      </c>
      <c r="S750" s="41" t="s">
        <v>137</v>
      </c>
      <c r="T750" s="41" t="s">
        <v>193</v>
      </c>
      <c r="U750" s="16" t="s">
        <v>13</v>
      </c>
      <c r="V750" s="16" t="s">
        <v>19</v>
      </c>
      <c r="W750" s="19" t="s"/>
      <c r="X750" s="26" t="s">
        <f>=M750&amp;N750&amp;P750&amp;Q750&amp;T750&amp;V750&amp;S750</f>
        <v>835</v>
      </c>
      <c r="Y750" s="19" t="s"/>
      <c r="Z750" s="19" t="s"/>
      <c r="AA750" s="19" t="s"/>
      <c r="AB750" s="19" t="s"/>
    </row>
    <row r="751" spans="1:28" ht="14.4">
      <c r="A751" s="4">
        <f>=H751/G751-1</f>
        <v>0.1005291005291</v>
      </c>
      <c r="B751" s="20">
        <f>=F751/12</f>
        <v>31.2</v>
      </c>
      <c r="C751" s="20">
        <f>=J751/3</f>
        <v>249.6</v>
      </c>
      <c r="D751" s="20">
        <f>=K751/3</f>
        <v>277.333333333333</v>
      </c>
      <c r="E751" s="20">
        <f>=L751/3</f>
        <v>291.2</v>
      </c>
      <c r="F751" s="20">
        <f>=H751*0.9</f>
        <v>374.4</v>
      </c>
      <c r="G751" s="21">
        <v>378</v>
      </c>
      <c r="H751" s="39">
        <v>416</v>
      </c>
      <c r="I751" s="40">
        <f>=H751*1.05</f>
        <v>436.8</v>
      </c>
      <c r="J751" s="40">
        <f>=F751*2</f>
        <v>748.8</v>
      </c>
      <c r="K751" s="40">
        <f>=H751*2</f>
        <v>832</v>
      </c>
      <c r="L751" s="40">
        <f>=I751*2</f>
        <v>873.6</v>
      </c>
      <c r="M751" s="41" t="s">
        <v>622</v>
      </c>
      <c r="N751" s="41">
        <v>1.9</v>
      </c>
      <c r="O751" s="41" t="s"/>
      <c r="P751" s="41">
        <v>2</v>
      </c>
      <c r="Q751" s="41">
        <v>2</v>
      </c>
      <c r="R751" s="41" t="s">
        <v>16</v>
      </c>
      <c r="S751" s="41" t="s">
        <v>137</v>
      </c>
      <c r="T751" s="41" t="s">
        <v>193</v>
      </c>
      <c r="U751" s="16" t="s">
        <v>13</v>
      </c>
      <c r="V751" s="16" t="s">
        <v>19</v>
      </c>
      <c r="W751" s="19" t="s"/>
      <c r="X751" s="26" t="s">
        <f>=M751&amp;N751&amp;P751&amp;Q751&amp;T751&amp;V751&amp;S751</f>
        <v>836</v>
      </c>
      <c r="Y751" s="19" t="s"/>
      <c r="Z751" s="19" t="s"/>
      <c r="AA751" s="19" t="s"/>
      <c r="AB751" s="19" t="s"/>
    </row>
    <row r="752" spans="1:28" ht="14.4">
      <c r="A752" s="4">
        <f>=H752/G752-1</f>
        <v>0.100182149362477</v>
      </c>
      <c r="B752" s="20">
        <f>=F752/12</f>
        <v>45.3</v>
      </c>
      <c r="C752" s="20">
        <f>=J752/3</f>
        <v>362.4</v>
      </c>
      <c r="D752" s="20">
        <f>=K752/3</f>
        <v>402.666666666667</v>
      </c>
      <c r="E752" s="20">
        <f>=L752/3</f>
        <v>422.8</v>
      </c>
      <c r="F752" s="20">
        <f>=H752*0.9</f>
        <v>543.6</v>
      </c>
      <c r="G752" s="21">
        <v>549</v>
      </c>
      <c r="H752" s="39">
        <v>604</v>
      </c>
      <c r="I752" s="40">
        <f>=H752*1.05</f>
        <v>634.2</v>
      </c>
      <c r="J752" s="40">
        <f>=F752*2</f>
        <v>1087.2</v>
      </c>
      <c r="K752" s="40">
        <f>=H752*2</f>
        <v>1208</v>
      </c>
      <c r="L752" s="40">
        <f>=I752*2</f>
        <v>1268.4</v>
      </c>
      <c r="M752" s="41" t="s">
        <v>622</v>
      </c>
      <c r="N752" s="41">
        <v>1.9</v>
      </c>
      <c r="O752" s="41" t="s"/>
      <c r="P752" s="41">
        <v>3</v>
      </c>
      <c r="Q752" s="41">
        <v>3</v>
      </c>
      <c r="R752" s="41" t="s">
        <v>16</v>
      </c>
      <c r="S752" s="41" t="s">
        <v>137</v>
      </c>
      <c r="T752" s="41" t="s">
        <v>186</v>
      </c>
      <c r="U752" s="16" t="s">
        <v>13</v>
      </c>
      <c r="V752" s="16" t="s">
        <v>19</v>
      </c>
      <c r="W752" s="19" t="s"/>
      <c r="X752" s="26" t="s">
        <f>=M752&amp;N752&amp;P752&amp;Q752&amp;T752&amp;V752&amp;S752</f>
        <v>837</v>
      </c>
      <c r="Y752" s="19" t="s"/>
      <c r="Z752" s="19" t="s"/>
      <c r="AA752" s="19" t="s"/>
      <c r="AB752" s="19" t="s"/>
    </row>
    <row r="753" spans="1:28" ht="14.4">
      <c r="A753" s="4">
        <f>=H753/G753-1</f>
        <v>0.100456621004566</v>
      </c>
      <c r="B753" s="20">
        <f>=F753/12</f>
        <v>18.075</v>
      </c>
      <c r="C753" s="20">
        <f>=J753/3</f>
        <v>144.6</v>
      </c>
      <c r="D753" s="20">
        <f>=K753/3</f>
        <v>160.666666666667</v>
      </c>
      <c r="E753" s="20">
        <f>=L753/3</f>
        <v>168.7</v>
      </c>
      <c r="F753" s="20">
        <f>=H753*0.9</f>
        <v>216.9</v>
      </c>
      <c r="G753" s="21">
        <v>219</v>
      </c>
      <c r="H753" s="39">
        <v>241</v>
      </c>
      <c r="I753" s="40">
        <f>=H753*1.05</f>
        <v>253.05</v>
      </c>
      <c r="J753" s="40">
        <f>=F753*2</f>
        <v>433.8</v>
      </c>
      <c r="K753" s="40">
        <f>=H753*2</f>
        <v>482</v>
      </c>
      <c r="L753" s="40">
        <f>=I753*2</f>
        <v>506.1</v>
      </c>
      <c r="M753" s="41" t="s">
        <v>622</v>
      </c>
      <c r="N753" s="41">
        <v>1.9</v>
      </c>
      <c r="O753" s="41" t="s"/>
      <c r="P753" s="41" t="s">
        <v>21</v>
      </c>
      <c r="Q753" s="41" t="s">
        <v>21</v>
      </c>
      <c r="R753" s="41" t="s">
        <v>16</v>
      </c>
      <c r="S753" s="41" t="s">
        <v>137</v>
      </c>
      <c r="T753" s="41" t="s">
        <v>193</v>
      </c>
      <c r="U753" s="16" t="s">
        <v>13</v>
      </c>
      <c r="V753" s="16" t="s">
        <v>19</v>
      </c>
      <c r="W753" s="19" t="s"/>
      <c r="X753" s="26" t="s">
        <f>=M753&amp;N753&amp;P753&amp;Q753&amp;T753&amp;V753&amp;S753</f>
        <v>838</v>
      </c>
      <c r="Y753" s="19" t="s"/>
      <c r="Z753" s="19" t="s"/>
      <c r="AA753" s="19" t="s"/>
      <c r="AB753" s="19" t="s"/>
    </row>
    <row r="754" spans="1:28" ht="14.4">
      <c r="A754" s="4">
        <f>=H754/G754-1</f>
        <v>0.0985401459854014</v>
      </c>
      <c r="B754" s="20">
        <f>=F754/12</f>
        <v>22.575</v>
      </c>
      <c r="C754" s="20">
        <f>=J754/3</f>
        <v>180.6</v>
      </c>
      <c r="D754" s="20">
        <f>=K754/3</f>
        <v>200.666666666667</v>
      </c>
      <c r="E754" s="20">
        <f>=L754/3</f>
        <v>210.7</v>
      </c>
      <c r="F754" s="20">
        <f>=H754*0.9</f>
        <v>270.9</v>
      </c>
      <c r="G754" s="21">
        <v>274</v>
      </c>
      <c r="H754" s="39">
        <v>301</v>
      </c>
      <c r="I754" s="40">
        <f>=H754*1.05</f>
        <v>316.05</v>
      </c>
      <c r="J754" s="40">
        <f>=F754*2</f>
        <v>541.8</v>
      </c>
      <c r="K754" s="40">
        <f>=H754*2</f>
        <v>602</v>
      </c>
      <c r="L754" s="40">
        <f>=I754*2</f>
        <v>632.1</v>
      </c>
      <c r="M754" s="41" t="s">
        <v>622</v>
      </c>
      <c r="N754" s="41">
        <v>2</v>
      </c>
      <c r="O754" s="41" t="s"/>
      <c r="P754" s="41">
        <v>1</v>
      </c>
      <c r="Q754" s="41">
        <v>1</v>
      </c>
      <c r="R754" s="41" t="s">
        <v>16</v>
      </c>
      <c r="S754" s="41" t="s">
        <v>137</v>
      </c>
      <c r="T754" s="41" t="s">
        <v>199</v>
      </c>
      <c r="U754" s="16" t="s">
        <v>13</v>
      </c>
      <c r="V754" s="16" t="s">
        <v>19</v>
      </c>
      <c r="W754" s="19" t="s"/>
      <c r="X754" s="26" t="s">
        <f>=M754&amp;N754&amp;P754&amp;Q754&amp;T754&amp;V754&amp;S754</f>
        <v>839</v>
      </c>
      <c r="Y754" s="19" t="s"/>
      <c r="Z754" s="19" t="s"/>
      <c r="AA754" s="19" t="s"/>
      <c r="AB754" s="19" t="s"/>
    </row>
    <row r="755" spans="1:28" ht="14.4">
      <c r="A755" s="4">
        <f>=H755/G755-1</f>
        <v>0.0992167101827677</v>
      </c>
      <c r="B755" s="20">
        <f>=F755/12</f>
        <v>31.575</v>
      </c>
      <c r="C755" s="20">
        <f>=J755/3</f>
        <v>252.6</v>
      </c>
      <c r="D755" s="20">
        <f>=K755/3</f>
        <v>280.666666666667</v>
      </c>
      <c r="E755" s="20">
        <f>=L755/3</f>
        <v>294.7</v>
      </c>
      <c r="F755" s="20">
        <f>=H755*0.9</f>
        <v>378.9</v>
      </c>
      <c r="G755" s="21">
        <v>383</v>
      </c>
      <c r="H755" s="39">
        <v>421</v>
      </c>
      <c r="I755" s="40">
        <f>=H755*1.05</f>
        <v>442.05</v>
      </c>
      <c r="J755" s="40">
        <f>=F755*2</f>
        <v>757.8</v>
      </c>
      <c r="K755" s="40">
        <f>=H755*2</f>
        <v>842</v>
      </c>
      <c r="L755" s="40">
        <f>=I755*2</f>
        <v>884.1</v>
      </c>
      <c r="M755" s="41" t="s">
        <v>622</v>
      </c>
      <c r="N755" s="41">
        <v>2</v>
      </c>
      <c r="O755" s="41" t="s"/>
      <c r="P755" s="41">
        <v>2</v>
      </c>
      <c r="Q755" s="41">
        <v>2</v>
      </c>
      <c r="R755" s="41" t="s">
        <v>16</v>
      </c>
      <c r="S755" s="41" t="s">
        <v>137</v>
      </c>
      <c r="T755" s="41" t="s">
        <v>193</v>
      </c>
      <c r="U755" s="16" t="s">
        <v>13</v>
      </c>
      <c r="V755" s="16" t="s">
        <v>19</v>
      </c>
      <c r="W755" s="19" t="s"/>
      <c r="X755" s="26" t="s">
        <f>=M755&amp;N755&amp;P755&amp;Q755&amp;T755&amp;V755&amp;S755</f>
        <v>840</v>
      </c>
      <c r="Y755" s="19" t="s"/>
      <c r="Z755" s="19" t="s"/>
      <c r="AA755" s="19" t="s"/>
      <c r="AB755" s="19" t="s"/>
    </row>
    <row r="756" spans="1:28" ht="14.4">
      <c r="A756" s="4">
        <f>=H756/G756-1</f>
        <v>0.100511073253833</v>
      </c>
      <c r="B756" s="20">
        <f>=F756/12</f>
        <v>48.45</v>
      </c>
      <c r="C756" s="20">
        <f>=J756/3</f>
        <v>387.6</v>
      </c>
      <c r="D756" s="20">
        <f>=K756/3</f>
        <v>430.666666666667</v>
      </c>
      <c r="E756" s="20">
        <f>=L756/3</f>
        <v>452.2</v>
      </c>
      <c r="F756" s="20">
        <f>=H756*0.9</f>
        <v>581.4</v>
      </c>
      <c r="G756" s="21">
        <v>587</v>
      </c>
      <c r="H756" s="39">
        <v>646</v>
      </c>
      <c r="I756" s="40">
        <f>=H756*1.05</f>
        <v>678.3</v>
      </c>
      <c r="J756" s="40">
        <f>=F756*2</f>
        <v>1162.8</v>
      </c>
      <c r="K756" s="40">
        <f>=H756*2</f>
        <v>1292</v>
      </c>
      <c r="L756" s="40">
        <f>=I756*2</f>
        <v>1356.6</v>
      </c>
      <c r="M756" s="41" t="s">
        <v>622</v>
      </c>
      <c r="N756" s="41">
        <v>2</v>
      </c>
      <c r="O756" s="41" t="s"/>
      <c r="P756" s="41">
        <v>3</v>
      </c>
      <c r="Q756" s="41">
        <v>3</v>
      </c>
      <c r="R756" s="41" t="s">
        <v>16</v>
      </c>
      <c r="S756" s="41" t="s">
        <v>137</v>
      </c>
      <c r="T756" s="41" t="s">
        <v>193</v>
      </c>
      <c r="U756" s="16" t="s">
        <v>13</v>
      </c>
      <c r="V756" s="16" t="s">
        <v>19</v>
      </c>
      <c r="W756" s="19" t="s"/>
      <c r="X756" s="26" t="s">
        <f>=M756&amp;N756&amp;P756&amp;Q756&amp;T756&amp;V756&amp;S756</f>
        <v>841</v>
      </c>
      <c r="Y756" s="19" t="s"/>
      <c r="Z756" s="19" t="s"/>
      <c r="AA756" s="19" t="s"/>
      <c r="AB756" s="19" t="s"/>
    </row>
    <row r="757" spans="1:28" ht="14.4">
      <c r="A757" s="4">
        <f>=H757/G757-1</f>
        <v>0.1003861003861</v>
      </c>
      <c r="B757" s="20">
        <f>=F757/12</f>
        <v>21.375</v>
      </c>
      <c r="C757" s="20">
        <f>=J757/3</f>
        <v>171</v>
      </c>
      <c r="D757" s="20">
        <f>=K757/3</f>
        <v>190</v>
      </c>
      <c r="E757" s="20">
        <f>=L757/3</f>
        <v>199.5</v>
      </c>
      <c r="F757" s="20">
        <f>=H757*0.9</f>
        <v>256.5</v>
      </c>
      <c r="G757" s="21">
        <v>259</v>
      </c>
      <c r="H757" s="39">
        <v>285</v>
      </c>
      <c r="I757" s="40">
        <f>=H757*1.05</f>
        <v>299.25</v>
      </c>
      <c r="J757" s="40">
        <f>=F757*2</f>
        <v>513</v>
      </c>
      <c r="K757" s="40">
        <f>=H757*2</f>
        <v>570</v>
      </c>
      <c r="L757" s="40">
        <f>=I757*2</f>
        <v>598.5</v>
      </c>
      <c r="M757" s="41" t="s">
        <v>622</v>
      </c>
      <c r="N757" s="41">
        <v>2</v>
      </c>
      <c r="O757" s="41" t="s"/>
      <c r="P757" s="41" t="s">
        <v>21</v>
      </c>
      <c r="Q757" s="41" t="s">
        <v>21</v>
      </c>
      <c r="R757" s="41" t="s">
        <v>16</v>
      </c>
      <c r="S757" s="41" t="s">
        <v>137</v>
      </c>
      <c r="T757" s="41" t="s">
        <v>199</v>
      </c>
      <c r="U757" s="16" t="s">
        <v>13</v>
      </c>
      <c r="V757" s="16" t="s">
        <v>19</v>
      </c>
      <c r="W757" s="19" t="s"/>
      <c r="X757" s="26" t="s">
        <f>=M757&amp;N757&amp;P757&amp;Q757&amp;T757&amp;V757&amp;S757</f>
        <v>842</v>
      </c>
      <c r="Y757" s="19" t="s"/>
      <c r="Z757" s="19" t="s"/>
      <c r="AA757" s="19" t="s"/>
      <c r="AB757" s="19" t="s"/>
    </row>
    <row r="758" spans="1:28" ht="14.4">
      <c r="A758" s="4">
        <f>=H758/G758-1</f>
        <v>0.1</v>
      </c>
      <c r="B758" s="20">
        <f>=F758/12</f>
        <v>25.575</v>
      </c>
      <c r="C758" s="20">
        <f>=J758/3</f>
        <v>204.6</v>
      </c>
      <c r="D758" s="20">
        <f>=K758/3</f>
        <v>227.333333333333</v>
      </c>
      <c r="E758" s="20">
        <f>=L758/3</f>
        <v>238.7</v>
      </c>
      <c r="F758" s="20">
        <f>=H758*0.9</f>
        <v>306.9</v>
      </c>
      <c r="G758" s="21">
        <v>310</v>
      </c>
      <c r="H758" s="39">
        <v>341</v>
      </c>
      <c r="I758" s="40">
        <f>=H758*1.05</f>
        <v>358.05</v>
      </c>
      <c r="J758" s="40">
        <f>=F758*2</f>
        <v>613.8</v>
      </c>
      <c r="K758" s="40">
        <f>=H758*2</f>
        <v>682</v>
      </c>
      <c r="L758" s="40">
        <f>=I758*2</f>
        <v>716.1</v>
      </c>
      <c r="M758" s="41" t="s">
        <v>622</v>
      </c>
      <c r="N758" s="41">
        <v>2.2</v>
      </c>
      <c r="O758" s="41" t="s"/>
      <c r="P758" s="41">
        <v>1</v>
      </c>
      <c r="Q758" s="41">
        <v>1</v>
      </c>
      <c r="R758" s="41" t="s">
        <v>16</v>
      </c>
      <c r="S758" s="41" t="s">
        <v>137</v>
      </c>
      <c r="T758" s="41" t="s">
        <v>206</v>
      </c>
      <c r="U758" s="16" t="s">
        <v>13</v>
      </c>
      <c r="V758" s="16" t="s">
        <v>19</v>
      </c>
      <c r="W758" s="19" t="s"/>
      <c r="X758" s="26" t="s">
        <f>=M758&amp;N758&amp;P758&amp;Q758&amp;T758&amp;V758&amp;S758</f>
        <v>843</v>
      </c>
      <c r="Y758" s="19" t="s"/>
      <c r="Z758" s="19" t="s"/>
      <c r="AA758" s="19" t="s"/>
      <c r="AB758" s="19" t="s"/>
    </row>
    <row r="759" spans="1:28" ht="14.4">
      <c r="A759" s="4">
        <f>=H759/G759-1</f>
        <v>0.1</v>
      </c>
      <c r="B759" s="20">
        <f>=F759/12</f>
        <v>23.1</v>
      </c>
      <c r="C759" s="20">
        <f>=J759/3</f>
        <v>184.8</v>
      </c>
      <c r="D759" s="20">
        <f>=K759/3</f>
        <v>205.333333333333</v>
      </c>
      <c r="E759" s="20">
        <f>=L759/3</f>
        <v>215.6</v>
      </c>
      <c r="F759" s="20">
        <f>=H759*0.9</f>
        <v>277.2</v>
      </c>
      <c r="G759" s="21">
        <v>280</v>
      </c>
      <c r="H759" s="39">
        <v>308</v>
      </c>
      <c r="I759" s="40">
        <f>=H759*1.05</f>
        <v>323.4</v>
      </c>
      <c r="J759" s="40">
        <f>=F759*2</f>
        <v>554.4</v>
      </c>
      <c r="K759" s="40">
        <f>=H759*2</f>
        <v>616</v>
      </c>
      <c r="L759" s="40">
        <f>=I759*2</f>
        <v>646.8</v>
      </c>
      <c r="M759" s="41" t="s">
        <v>622</v>
      </c>
      <c r="N759" s="41">
        <v>2.2</v>
      </c>
      <c r="O759" s="41" t="s"/>
      <c r="P759" s="41" t="s">
        <v>21</v>
      </c>
      <c r="Q759" s="41" t="s">
        <v>21</v>
      </c>
      <c r="R759" s="41" t="s">
        <v>16</v>
      </c>
      <c r="S759" s="41" t="s">
        <v>137</v>
      </c>
      <c r="T759" s="41" t="s">
        <v>206</v>
      </c>
      <c r="U759" s="16" t="s">
        <v>13</v>
      </c>
      <c r="V759" s="16" t="s">
        <v>19</v>
      </c>
      <c r="W759" s="19" t="s"/>
      <c r="X759" s="26" t="s">
        <f>=M759&amp;N759&amp;P759&amp;Q759&amp;T759&amp;V759&amp;S759</f>
        <v>844</v>
      </c>
      <c r="Y759" s="19" t="s"/>
      <c r="Z759" s="19" t="s"/>
      <c r="AA759" s="19" t="s"/>
      <c r="AB759" s="19" t="s"/>
    </row>
    <row r="760" spans="1:28" ht="14.4">
      <c r="A760" s="4">
        <f>=H760/G760-1</f>
        <v>0.0988023952095809</v>
      </c>
      <c r="B760" s="20">
        <f>=F760/12</f>
        <v>27.525</v>
      </c>
      <c r="C760" s="20">
        <f>=J760/3</f>
        <v>220.2</v>
      </c>
      <c r="D760" s="20">
        <f>=K760/3</f>
        <v>244.666666666667</v>
      </c>
      <c r="E760" s="20">
        <f>=L760/3</f>
        <v>256.9</v>
      </c>
      <c r="F760" s="20">
        <f>=H760*0.9</f>
        <v>330.3</v>
      </c>
      <c r="G760" s="21">
        <v>334</v>
      </c>
      <c r="H760" s="39">
        <v>367</v>
      </c>
      <c r="I760" s="40">
        <f>=H760*1.05</f>
        <v>385.35</v>
      </c>
      <c r="J760" s="40">
        <f>=F760*2</f>
        <v>660.6</v>
      </c>
      <c r="K760" s="40">
        <f>=H760*2</f>
        <v>734</v>
      </c>
      <c r="L760" s="40">
        <f>=I760*2</f>
        <v>770.7</v>
      </c>
      <c r="M760" s="41" t="s">
        <v>622</v>
      </c>
      <c r="N760" s="41">
        <v>2.3</v>
      </c>
      <c r="O760" s="41" t="s"/>
      <c r="P760" s="41">
        <v>1.5</v>
      </c>
      <c r="Q760" s="41">
        <v>1.5</v>
      </c>
      <c r="R760" s="41" t="s">
        <v>16</v>
      </c>
      <c r="S760" s="41" t="s">
        <v>137</v>
      </c>
      <c r="T760" s="41" t="s">
        <v>206</v>
      </c>
      <c r="U760" s="16" t="s">
        <v>13</v>
      </c>
      <c r="V760" s="16" t="s">
        <v>19</v>
      </c>
      <c r="W760" s="19" t="s"/>
      <c r="X760" s="26" t="s">
        <f>=M760&amp;N760&amp;P760&amp;Q760&amp;T760&amp;V760&amp;S760</f>
        <v>845</v>
      </c>
      <c r="Y760" s="19" t="s"/>
      <c r="Z760" s="19" t="s"/>
      <c r="AA760" s="19" t="s"/>
      <c r="AB760" s="19" t="s"/>
    </row>
    <row r="761" spans="1:29" ht="14.4">
      <c r="A761" s="42">
        <f>=H761/G761-1</f>
        <v>-0.139650872817955</v>
      </c>
      <c r="B761" s="43">
        <f>=F761/12</f>
        <v>25.875</v>
      </c>
      <c r="C761" s="43">
        <f>=J761/3</f>
        <v>207</v>
      </c>
      <c r="D761" s="43">
        <f>=K761/3</f>
        <v>230</v>
      </c>
      <c r="E761" s="43">
        <f>=L761/3</f>
        <v>241.5</v>
      </c>
      <c r="F761" s="43">
        <f>=H761*0.9</f>
        <v>310.5</v>
      </c>
      <c r="G761" s="27">
        <v>401</v>
      </c>
      <c r="H761" s="44">
        <v>345</v>
      </c>
      <c r="I761" s="45">
        <f>=H761*1.05</f>
        <v>362.25</v>
      </c>
      <c r="J761" s="45">
        <f>=F761*2</f>
        <v>621</v>
      </c>
      <c r="K761" s="45">
        <f>=H761*2</f>
        <v>690</v>
      </c>
      <c r="L761" s="45">
        <f>=I761*2</f>
        <v>724.5</v>
      </c>
      <c r="M761" s="46" t="s">
        <v>622</v>
      </c>
      <c r="N761" s="46">
        <v>2.3</v>
      </c>
      <c r="O761" s="46" t="s"/>
      <c r="P761" s="12">
        <v>1</v>
      </c>
      <c r="Q761" s="12">
        <v>1</v>
      </c>
      <c r="R761" s="46" t="s">
        <v>16</v>
      </c>
      <c r="S761" s="46" t="s">
        <v>137</v>
      </c>
      <c r="T761" s="46" t="s">
        <v>206</v>
      </c>
      <c r="U761" s="13" t="s">
        <v>13</v>
      </c>
      <c r="V761" s="13" t="s">
        <v>19</v>
      </c>
      <c r="W761" s="15" t="s"/>
      <c r="X761" s="18" t="s">
        <f>=M761&amp;N761&amp;P761&amp;Q761&amp;T761&amp;V761&amp;S761</f>
        <v>846</v>
      </c>
      <c r="Y761" s="15" t="s"/>
      <c r="Z761" s="15" t="s"/>
      <c r="AA761" s="15" t="s"/>
      <c r="AB761" s="15" t="s"/>
      <c r="AC761" s="48" t="s"/>
    </row>
    <row r="762" spans="1:28" ht="14.4">
      <c r="A762" s="4">
        <f>=H762/G762-1</f>
        <v>0.0997506234413965</v>
      </c>
      <c r="B762" s="20">
        <f>=F762/12</f>
        <v>33.075</v>
      </c>
      <c r="C762" s="20">
        <f>=J762/3</f>
        <v>264.6</v>
      </c>
      <c r="D762" s="20">
        <f>=K762/3</f>
        <v>294</v>
      </c>
      <c r="E762" s="20">
        <f>=L762/3</f>
        <v>308.7</v>
      </c>
      <c r="F762" s="20">
        <f>=H762*0.9</f>
        <v>396.9</v>
      </c>
      <c r="G762" s="21">
        <v>401</v>
      </c>
      <c r="H762" s="39">
        <v>441</v>
      </c>
      <c r="I762" s="40">
        <f>=H762*1.05</f>
        <v>463.05</v>
      </c>
      <c r="J762" s="40">
        <f>=F762*2</f>
        <v>793.8</v>
      </c>
      <c r="K762" s="40">
        <f>=H762*2</f>
        <v>882</v>
      </c>
      <c r="L762" s="40">
        <f>=I762*2</f>
        <v>926.1</v>
      </c>
      <c r="M762" s="41" t="s">
        <v>622</v>
      </c>
      <c r="N762" s="41">
        <v>2.3</v>
      </c>
      <c r="O762" s="41" t="s"/>
      <c r="P762" s="41">
        <v>2</v>
      </c>
      <c r="Q762" s="41">
        <v>2</v>
      </c>
      <c r="R762" s="41" t="s">
        <v>16</v>
      </c>
      <c r="S762" s="41" t="s">
        <v>137</v>
      </c>
      <c r="T762" s="41" t="s">
        <v>206</v>
      </c>
      <c r="U762" s="16" t="s">
        <v>13</v>
      </c>
      <c r="V762" s="16" t="s">
        <v>19</v>
      </c>
      <c r="W762" s="19" t="s"/>
      <c r="X762" s="26" t="s">
        <f>=M762&amp;N762&amp;P762&amp;Q762&amp;T762&amp;V762&amp;S762</f>
        <v>847</v>
      </c>
      <c r="Y762" s="19" t="s"/>
      <c r="Z762" s="19" t="s"/>
      <c r="AA762" s="19" t="s"/>
      <c r="AB762" s="19" t="s"/>
    </row>
    <row r="763" spans="1:29" ht="14.4">
      <c r="A763" s="49">
        <v>46170</v>
      </c>
      <c r="B763" s="43">
        <f>=F763/12</f>
        <v>42.975</v>
      </c>
      <c r="C763" s="43">
        <f>=J763/3</f>
        <v>343.8</v>
      </c>
      <c r="D763" s="43">
        <f>=K763/3</f>
        <v>382</v>
      </c>
      <c r="E763" s="43">
        <f>=L763/3</f>
        <v>401.1</v>
      </c>
      <c r="F763" s="43">
        <f>=H763*0.9</f>
        <v>515.7</v>
      </c>
      <c r="G763" s="27">
        <v>401</v>
      </c>
      <c r="H763" s="44">
        <v>573</v>
      </c>
      <c r="I763" s="45">
        <f>=H763*1.05</f>
        <v>601.65</v>
      </c>
      <c r="J763" s="45">
        <f>=F763*2</f>
        <v>1031.4</v>
      </c>
      <c r="K763" s="45">
        <f>=H763*2</f>
        <v>1146</v>
      </c>
      <c r="L763" s="45">
        <f>=I763*2</f>
        <v>1203.3</v>
      </c>
      <c r="M763" s="46" t="s">
        <v>622</v>
      </c>
      <c r="N763" s="46">
        <v>2.3</v>
      </c>
      <c r="O763" s="46" t="s"/>
      <c r="P763" s="12">
        <v>3</v>
      </c>
      <c r="Q763" s="12">
        <v>3</v>
      </c>
      <c r="R763" s="46" t="s">
        <v>16</v>
      </c>
      <c r="S763" s="46" t="s">
        <v>137</v>
      </c>
      <c r="T763" s="12" t="s">
        <v>199</v>
      </c>
      <c r="U763" s="13" t="s">
        <v>13</v>
      </c>
      <c r="V763" s="13" t="s">
        <v>19</v>
      </c>
      <c r="W763" s="15" t="s"/>
      <c r="X763" s="18" t="s">
        <f>=M763&amp;N763&amp;P763&amp;Q763&amp;T763&amp;V763&amp;S763</f>
        <v>848</v>
      </c>
      <c r="Y763" s="15" t="s"/>
      <c r="Z763" s="15" t="s"/>
      <c r="AA763" s="15" t="s"/>
      <c r="AB763" s="15" t="s"/>
      <c r="AC763" s="48" t="s"/>
    </row>
    <row r="764" spans="1:29" ht="14.4">
      <c r="A764" s="49">
        <v>46170</v>
      </c>
      <c r="B764" s="43">
        <f>=F764/12</f>
        <v>44.25</v>
      </c>
      <c r="C764" s="43">
        <f>=J764/3</f>
        <v>354</v>
      </c>
      <c r="D764" s="43">
        <f>=K764/3</f>
        <v>393.333333333333</v>
      </c>
      <c r="E764" s="43">
        <f>=L764/3</f>
        <v>413</v>
      </c>
      <c r="F764" s="43">
        <f>=H764*0.9</f>
        <v>531</v>
      </c>
      <c r="G764" s="27">
        <v>401</v>
      </c>
      <c r="H764" s="44">
        <v>590</v>
      </c>
      <c r="I764" s="45">
        <f>=H764*1.05</f>
        <v>619.5</v>
      </c>
      <c r="J764" s="45">
        <f>=F764*2</f>
        <v>1062</v>
      </c>
      <c r="K764" s="45">
        <f>=H764*2</f>
        <v>1180</v>
      </c>
      <c r="L764" s="45">
        <f>=I764*2</f>
        <v>1239</v>
      </c>
      <c r="M764" s="46" t="s">
        <v>622</v>
      </c>
      <c r="N764" s="46">
        <v>2.3</v>
      </c>
      <c r="O764" s="46" t="s"/>
      <c r="P764" s="12">
        <v>3</v>
      </c>
      <c r="Q764" s="12">
        <v>3</v>
      </c>
      <c r="R764" s="46" t="s">
        <v>16</v>
      </c>
      <c r="S764" s="46" t="s">
        <v>137</v>
      </c>
      <c r="T764" s="12" t="s">
        <v>206</v>
      </c>
      <c r="U764" s="13" t="s">
        <v>13</v>
      </c>
      <c r="V764" s="13" t="s">
        <v>19</v>
      </c>
      <c r="W764" s="15" t="s"/>
      <c r="X764" s="18" t="s">
        <f>=M764&amp;N764&amp;P764&amp;Q764&amp;T764&amp;V764&amp;S764</f>
        <v>849</v>
      </c>
      <c r="Y764" s="15" t="s"/>
      <c r="Z764" s="15" t="s"/>
      <c r="AA764" s="15" t="s"/>
      <c r="AB764" s="15" t="s"/>
      <c r="AC764" s="48" t="s"/>
    </row>
    <row r="765" spans="1:29" ht="14.4">
      <c r="A765" s="49">
        <v>46170</v>
      </c>
      <c r="B765" s="43">
        <f>=F765/12</f>
        <v>56.25</v>
      </c>
      <c r="C765" s="43">
        <f>=J765/3</f>
        <v>450</v>
      </c>
      <c r="D765" s="43">
        <f>=K765/3</f>
        <v>500</v>
      </c>
      <c r="E765" s="43">
        <f>=L765/3</f>
        <v>525</v>
      </c>
      <c r="F765" s="43">
        <f>=H765*0.9</f>
        <v>675</v>
      </c>
      <c r="G765" s="27">
        <v>401</v>
      </c>
      <c r="H765" s="76">
        <v>750</v>
      </c>
      <c r="I765" s="45">
        <f>=H765*1.05</f>
        <v>787.5</v>
      </c>
      <c r="J765" s="45">
        <f>=F765*2</f>
        <v>1350</v>
      </c>
      <c r="K765" s="45">
        <f>=H765*2</f>
        <v>1500</v>
      </c>
      <c r="L765" s="45">
        <f>=I765*2</f>
        <v>1575</v>
      </c>
      <c r="M765" s="46" t="s">
        <v>622</v>
      </c>
      <c r="N765" s="46">
        <v>2.3</v>
      </c>
      <c r="O765" s="46" t="s"/>
      <c r="P765" s="12">
        <v>4</v>
      </c>
      <c r="Q765" s="12">
        <v>4</v>
      </c>
      <c r="R765" s="46" t="s">
        <v>16</v>
      </c>
      <c r="S765" s="46" t="s">
        <v>137</v>
      </c>
      <c r="T765" s="12" t="s">
        <v>199</v>
      </c>
      <c r="U765" s="13" t="s">
        <v>13</v>
      </c>
      <c r="V765" s="13" t="s">
        <v>19</v>
      </c>
      <c r="W765" s="15" t="s"/>
      <c r="X765" s="18" t="s">
        <f>=M765&amp;N765&amp;P765&amp;Q765&amp;T765&amp;V765&amp;S765</f>
        <v>850</v>
      </c>
      <c r="Y765" s="15" t="s"/>
      <c r="Z765" s="15" t="s"/>
      <c r="AA765" s="15" t="s"/>
      <c r="AB765" s="15" t="s"/>
      <c r="AC765" s="48" t="s"/>
    </row>
    <row r="766" spans="1:28" ht="14.4">
      <c r="A766" s="4">
        <f>=H766/G766-1</f>
        <v>0.0993975903614457</v>
      </c>
      <c r="B766" s="20">
        <f>=F766/12</f>
        <v>27.375</v>
      </c>
      <c r="C766" s="20">
        <f>=J766/3</f>
        <v>219</v>
      </c>
      <c r="D766" s="20">
        <f>=K766/3</f>
        <v>243.333333333333</v>
      </c>
      <c r="E766" s="20">
        <f>=L766/3</f>
        <v>255.5</v>
      </c>
      <c r="F766" s="20">
        <f>=H766*0.9</f>
        <v>328.5</v>
      </c>
      <c r="G766" s="21">
        <v>332</v>
      </c>
      <c r="H766" s="39">
        <v>365</v>
      </c>
      <c r="I766" s="40">
        <f>=H766*1.05</f>
        <v>383.25</v>
      </c>
      <c r="J766" s="40">
        <f>=F766*2</f>
        <v>657</v>
      </c>
      <c r="K766" s="40">
        <f>=H766*2</f>
        <v>730</v>
      </c>
      <c r="L766" s="40">
        <f>=I766*2</f>
        <v>766.5</v>
      </c>
      <c r="M766" s="41" t="s">
        <v>622</v>
      </c>
      <c r="N766" s="41">
        <v>2.4</v>
      </c>
      <c r="O766" s="41" t="s"/>
      <c r="P766" s="41">
        <v>1</v>
      </c>
      <c r="Q766" s="41">
        <v>1</v>
      </c>
      <c r="R766" s="41" t="s">
        <v>16</v>
      </c>
      <c r="S766" s="41" t="s">
        <v>137</v>
      </c>
      <c r="T766" s="41" t="s">
        <v>208</v>
      </c>
      <c r="U766" s="16" t="s">
        <v>13</v>
      </c>
      <c r="V766" s="16" t="s">
        <v>19</v>
      </c>
      <c r="W766" s="19" t="s"/>
      <c r="X766" s="26" t="s">
        <f>=M766&amp;N766&amp;P766&amp;Q766&amp;T766&amp;V766&amp;S766</f>
        <v>851</v>
      </c>
      <c r="Y766" s="19" t="s"/>
      <c r="Z766" s="19" t="s"/>
      <c r="AA766" s="19" t="s"/>
      <c r="AB766" s="19" t="s"/>
    </row>
    <row r="767" spans="1:28" ht="14.4">
      <c r="A767" s="4">
        <f>=H767/G767-1</f>
        <v>0.100917431192661</v>
      </c>
      <c r="B767" s="20">
        <f>=F767/12</f>
        <v>36</v>
      </c>
      <c r="C767" s="20">
        <f>=J767/3</f>
        <v>288</v>
      </c>
      <c r="D767" s="20">
        <f>=K767/3</f>
        <v>320</v>
      </c>
      <c r="E767" s="20">
        <f>=L767/3</f>
        <v>336</v>
      </c>
      <c r="F767" s="20">
        <f>=H767*0.9</f>
        <v>432</v>
      </c>
      <c r="G767" s="21">
        <v>436</v>
      </c>
      <c r="H767" s="39">
        <v>480</v>
      </c>
      <c r="I767" s="40">
        <f>=H767*1.05</f>
        <v>504</v>
      </c>
      <c r="J767" s="40">
        <f>=F767*2</f>
        <v>864</v>
      </c>
      <c r="K767" s="40">
        <f>=H767*2</f>
        <v>960</v>
      </c>
      <c r="L767" s="40">
        <f>=I767*2</f>
        <v>1008</v>
      </c>
      <c r="M767" s="41" t="s">
        <v>622</v>
      </c>
      <c r="N767" s="41">
        <v>2.4</v>
      </c>
      <c r="O767" s="41" t="s"/>
      <c r="P767" s="41">
        <v>2</v>
      </c>
      <c r="Q767" s="41">
        <v>2</v>
      </c>
      <c r="R767" s="41" t="s">
        <v>16</v>
      </c>
      <c r="S767" s="41" t="s">
        <v>137</v>
      </c>
      <c r="T767" s="41" t="s">
        <v>206</v>
      </c>
      <c r="U767" s="16" t="s">
        <v>13</v>
      </c>
      <c r="V767" s="16" t="s">
        <v>19</v>
      </c>
      <c r="W767" s="19" t="s"/>
      <c r="X767" s="26" t="s">
        <f>=M767&amp;N767&amp;P767&amp;Q767&amp;T767&amp;V767&amp;S767</f>
        <v>852</v>
      </c>
      <c r="Y767" s="19" t="s"/>
      <c r="Z767" s="19" t="s"/>
      <c r="AA767" s="19" t="s"/>
      <c r="AB767" s="19" t="s"/>
    </row>
    <row r="768" spans="1:28">
      <c r="A768" s="4">
        <f>=H768/G768-1</f>
        <v>0.100660066006601</v>
      </c>
      <c r="B768" s="20">
        <f>=F768/12</f>
        <v>50.025</v>
      </c>
      <c r="C768" s="20">
        <f>=J768/3</f>
        <v>400.2</v>
      </c>
      <c r="D768" s="20">
        <f>=K768/3</f>
        <v>444.666666666667</v>
      </c>
      <c r="E768" s="20">
        <f>=L768/3</f>
        <v>466.9</v>
      </c>
      <c r="F768" s="20">
        <f>=H768*0.9</f>
        <v>600.3</v>
      </c>
      <c r="G768" s="21">
        <v>606</v>
      </c>
      <c r="H768" s="39">
        <v>667</v>
      </c>
      <c r="I768" s="40">
        <f>=H768*1.05</f>
        <v>700.35</v>
      </c>
      <c r="J768" s="40">
        <f>=F768*2</f>
        <v>1200.6</v>
      </c>
      <c r="K768" s="40">
        <f>=H768*2</f>
        <v>1334</v>
      </c>
      <c r="L768" s="40">
        <f>=I768*2</f>
        <v>1400.7</v>
      </c>
      <c r="M768" s="41" t="s">
        <v>622</v>
      </c>
      <c r="N768" s="41">
        <v>2.4</v>
      </c>
      <c r="O768" s="41" t="s"/>
      <c r="P768" s="41">
        <v>3</v>
      </c>
      <c r="Q768" s="41">
        <v>3</v>
      </c>
      <c r="R768" s="41" t="s">
        <v>16</v>
      </c>
      <c r="S768" s="41" t="s">
        <v>137</v>
      </c>
      <c r="T768" s="41" t="s">
        <v>206</v>
      </c>
      <c r="U768" s="16" t="s">
        <v>13</v>
      </c>
      <c r="V768" s="16" t="s">
        <v>19</v>
      </c>
      <c r="W768" s="19" t="s"/>
      <c r="X768" s="26" t="s">
        <f>=M768&amp;N768&amp;P768&amp;Q768&amp;T768&amp;V768&amp;S768</f>
        <v>853</v>
      </c>
      <c r="Y768" s="19" t="s"/>
      <c r="Z768" s="19" t="s"/>
      <c r="AA768" s="19" t="s"/>
      <c r="AB768" s="19" t="s"/>
    </row>
    <row r="769" spans="1:28" ht="14.4">
      <c r="A769" s="4">
        <f>=H769/G769-1</f>
        <v>0.101010101010101</v>
      </c>
      <c r="B769" s="20">
        <f>=F769/12</f>
        <v>24.525</v>
      </c>
      <c r="C769" s="20">
        <f>=J769/3</f>
        <v>196.2</v>
      </c>
      <c r="D769" s="20">
        <f>=K769/3</f>
        <v>218</v>
      </c>
      <c r="E769" s="20">
        <f>=L769/3</f>
        <v>228.9</v>
      </c>
      <c r="F769" s="20">
        <f>=H769*0.9</f>
        <v>294.3</v>
      </c>
      <c r="G769" s="21">
        <v>297</v>
      </c>
      <c r="H769" s="39">
        <v>327</v>
      </c>
      <c r="I769" s="40">
        <f>=H769*1.05</f>
        <v>343.35</v>
      </c>
      <c r="J769" s="40">
        <f>=F769*2</f>
        <v>588.6</v>
      </c>
      <c r="K769" s="40">
        <f>=H769*2</f>
        <v>654</v>
      </c>
      <c r="L769" s="40">
        <f>=I769*2</f>
        <v>686.7</v>
      </c>
      <c r="M769" s="41" t="s">
        <v>622</v>
      </c>
      <c r="N769" s="41">
        <v>2.4</v>
      </c>
      <c r="O769" s="41" t="s"/>
      <c r="P769" s="41" t="s">
        <v>21</v>
      </c>
      <c r="Q769" s="41" t="s">
        <v>21</v>
      </c>
      <c r="R769" s="41" t="s">
        <v>16</v>
      </c>
      <c r="S769" s="41" t="s">
        <v>137</v>
      </c>
      <c r="T769" s="41" t="s">
        <v>208</v>
      </c>
      <c r="U769" s="16" t="s">
        <v>13</v>
      </c>
      <c r="V769" s="16" t="s">
        <v>19</v>
      </c>
      <c r="W769" s="19" t="s"/>
      <c r="X769" s="26" t="s">
        <f>=M769&amp;N769&amp;P769&amp;Q769&amp;T769&amp;V769&amp;S769</f>
        <v>854</v>
      </c>
      <c r="Y769" s="19" t="s"/>
      <c r="Z769" s="19" t="s"/>
      <c r="AA769" s="19" t="s"/>
      <c r="AB769" s="19" t="s"/>
    </row>
    <row r="770" spans="1:29" ht="14.4">
      <c r="A770" s="49">
        <v>46174</v>
      </c>
      <c r="B770" s="43">
        <f>=F770/12</f>
        <v>27.9</v>
      </c>
      <c r="C770" s="43">
        <f>=J770/3</f>
        <v>223.2</v>
      </c>
      <c r="D770" s="43">
        <f>=K770/3</f>
        <v>248</v>
      </c>
      <c r="E770" s="43">
        <f>=L770/3</f>
        <v>260.4</v>
      </c>
      <c r="F770" s="43">
        <f>=H770*0.9</f>
        <v>334.8</v>
      </c>
      <c r="G770" s="27">
        <v>332</v>
      </c>
      <c r="H770" s="44">
        <v>372</v>
      </c>
      <c r="I770" s="45">
        <f>=H770*1.05</f>
        <v>390.6</v>
      </c>
      <c r="J770" s="45">
        <f>=F770*2</f>
        <v>669.6</v>
      </c>
      <c r="K770" s="45">
        <f>=H770*2</f>
        <v>744</v>
      </c>
      <c r="L770" s="45">
        <f>=I770*2</f>
        <v>781.2</v>
      </c>
      <c r="M770" s="46" t="s">
        <v>622</v>
      </c>
      <c r="N770" s="12">
        <v>2.6</v>
      </c>
      <c r="O770" s="46" t="s"/>
      <c r="P770" s="46">
        <v>1</v>
      </c>
      <c r="Q770" s="46">
        <v>1</v>
      </c>
      <c r="R770" s="46" t="s">
        <v>16</v>
      </c>
      <c r="S770" s="46" t="s">
        <v>137</v>
      </c>
      <c r="T770" s="12" t="s">
        <v>512</v>
      </c>
      <c r="U770" s="13" t="s">
        <v>13</v>
      </c>
      <c r="V770" s="13" t="s">
        <v>19</v>
      </c>
      <c r="W770" s="15" t="s"/>
      <c r="X770" s="18" t="s">
        <f>=M770&amp;N770&amp;P770&amp;Q770&amp;T770&amp;V770&amp;S770</f>
        <v>855</v>
      </c>
      <c r="Y770" s="15" t="s"/>
      <c r="Z770" s="15" t="s"/>
      <c r="AA770" s="15" t="s"/>
      <c r="AB770" s="15" t="s"/>
      <c r="AC770" s="48" t="s"/>
    </row>
    <row r="771" spans="1:29" ht="14.4">
      <c r="A771" s="49">
        <v>46174</v>
      </c>
      <c r="B771" s="43">
        <f>=F771/12</f>
        <v>29.4</v>
      </c>
      <c r="C771" s="43">
        <f>=J771/3</f>
        <v>235.2</v>
      </c>
      <c r="D771" s="43">
        <f>=K771/3</f>
        <v>261.333333333333</v>
      </c>
      <c r="E771" s="43">
        <f>=L771/3</f>
        <v>274.4</v>
      </c>
      <c r="F771" s="43">
        <f>=H771*0.9</f>
        <v>352.8</v>
      </c>
      <c r="G771" s="27">
        <v>332</v>
      </c>
      <c r="H771" s="44">
        <v>392</v>
      </c>
      <c r="I771" s="45">
        <f>=H771*1.05</f>
        <v>411.6</v>
      </c>
      <c r="J771" s="45">
        <f>=F771*2</f>
        <v>705.6</v>
      </c>
      <c r="K771" s="45">
        <f>=H771*2</f>
        <v>784</v>
      </c>
      <c r="L771" s="45">
        <f>=I771*2</f>
        <v>823.2</v>
      </c>
      <c r="M771" s="46" t="s">
        <v>622</v>
      </c>
      <c r="N771" s="12">
        <v>2.8</v>
      </c>
      <c r="O771" s="46" t="s"/>
      <c r="P771" s="46">
        <v>1</v>
      </c>
      <c r="Q771" s="46">
        <v>1</v>
      </c>
      <c r="R771" s="46" t="s">
        <v>16</v>
      </c>
      <c r="S771" s="46" t="s">
        <v>137</v>
      </c>
      <c r="T771" s="12" t="s">
        <v>515</v>
      </c>
      <c r="U771" s="13" t="s">
        <v>13</v>
      </c>
      <c r="V771" s="13" t="s">
        <v>19</v>
      </c>
      <c r="W771" s="15" t="s"/>
      <c r="X771" s="18" t="s">
        <f>=M771&amp;N771&amp;P771&amp;Q771&amp;T771&amp;V771&amp;S771</f>
        <v>856</v>
      </c>
      <c r="Y771" s="15" t="s"/>
      <c r="Z771" s="15" t="s"/>
      <c r="AA771" s="15" t="s"/>
      <c r="AB771" s="15" t="s"/>
      <c r="AC771" s="48" t="s"/>
    </row>
    <row r="772" spans="1:28" ht="14.4">
      <c r="A772" s="4">
        <f>=H772/G772-1</f>
        <v>0.100342075256556</v>
      </c>
      <c r="B772" s="20">
        <f>=F772/12</f>
        <v>72.375</v>
      </c>
      <c r="C772" s="20">
        <f>=J772/3</f>
        <v>579</v>
      </c>
      <c r="D772" s="20">
        <f>=K772/3</f>
        <v>643.333333333334</v>
      </c>
      <c r="E772" s="20">
        <f>=L772/3</f>
        <v>675.5</v>
      </c>
      <c r="F772" s="20">
        <f>=H772*0.9</f>
        <v>868.5</v>
      </c>
      <c r="G772" s="21">
        <v>877</v>
      </c>
      <c r="H772" s="39">
        <v>965</v>
      </c>
      <c r="I772" s="40">
        <f>=H772*1.05</f>
        <v>1013.25</v>
      </c>
      <c r="J772" s="40">
        <f>=F772*2</f>
        <v>1737</v>
      </c>
      <c r="K772" s="40">
        <f>=H772*2</f>
        <v>1930</v>
      </c>
      <c r="L772" s="40">
        <f>=I772*2</f>
        <v>2026.5</v>
      </c>
      <c r="M772" s="41" t="s">
        <v>857</v>
      </c>
      <c r="N772" s="41">
        <v>0.13</v>
      </c>
      <c r="O772" s="77" t="s"/>
      <c r="P772" s="41">
        <v>6</v>
      </c>
      <c r="Q772" s="41">
        <v>6</v>
      </c>
      <c r="R772" s="41" t="s">
        <v>16</v>
      </c>
      <c r="S772" s="41" t="s">
        <v>17</v>
      </c>
      <c r="T772" s="41" t="s">
        <v>27</v>
      </c>
      <c r="U772" s="16" t="s">
        <v>13</v>
      </c>
      <c r="V772" s="16" t="s">
        <v>19</v>
      </c>
      <c r="W772" s="19" t="s"/>
      <c r="X772" s="26" t="s">
        <f>=M772&amp;N772&amp;P772&amp;Q772&amp;T772&amp;V772&amp;S772</f>
        <v>858</v>
      </c>
      <c r="Y772" s="19" t="s"/>
      <c r="Z772" s="19" t="s"/>
      <c r="AA772" s="19" t="s"/>
      <c r="AB772" s="19" t="s"/>
    </row>
    <row r="773" spans="1:28" ht="14.4">
      <c r="A773" s="4">
        <f>=H773/G773-1</f>
        <v>0.098901098901099</v>
      </c>
      <c r="B773" s="20">
        <f>=F773/12</f>
        <v>7.5</v>
      </c>
      <c r="C773" s="20">
        <f>=J773/3</f>
        <v>60</v>
      </c>
      <c r="D773" s="20">
        <f>=K773/3</f>
        <v>66.6666666666667</v>
      </c>
      <c r="E773" s="20">
        <f>=L773/3</f>
        <v>70</v>
      </c>
      <c r="F773" s="20">
        <f>=H773*0.9</f>
        <v>90</v>
      </c>
      <c r="G773" s="21">
        <v>91</v>
      </c>
      <c r="H773" s="39">
        <v>100</v>
      </c>
      <c r="I773" s="40">
        <f>=H773*1.05</f>
        <v>105</v>
      </c>
      <c r="J773" s="40">
        <f>=F773*2</f>
        <v>180</v>
      </c>
      <c r="K773" s="40">
        <f>=H773*2</f>
        <v>200</v>
      </c>
      <c r="L773" s="40">
        <f>=I773*2</f>
        <v>210</v>
      </c>
      <c r="M773" s="41" t="s">
        <v>857</v>
      </c>
      <c r="N773" s="41">
        <v>0.1</v>
      </c>
      <c r="O773" s="41" t="s"/>
      <c r="P773" s="41" t="s">
        <v>21</v>
      </c>
      <c r="Q773" s="41" t="s">
        <v>21</v>
      </c>
      <c r="R773" s="41" t="s">
        <v>16</v>
      </c>
      <c r="S773" s="41" t="s">
        <v>17</v>
      </c>
      <c r="T773" s="41" t="s">
        <v>23</v>
      </c>
      <c r="U773" s="16" t="s">
        <v>13</v>
      </c>
      <c r="V773" s="16" t="s">
        <v>19</v>
      </c>
      <c r="W773" s="19" t="s"/>
      <c r="X773" s="26" t="s">
        <f>=M773&amp;N773&amp;P773&amp;Q773&amp;T773&amp;V773&amp;S773</f>
        <v>859</v>
      </c>
      <c r="Y773" s="19" t="s"/>
      <c r="Z773" s="19" t="s"/>
      <c r="AA773" s="19" t="s"/>
      <c r="AB773" s="19" t="s"/>
    </row>
    <row r="774" spans="1:28" ht="14.4">
      <c r="A774" s="4">
        <f>=H774/G774-1</f>
        <v>0.0991735537190082</v>
      </c>
      <c r="B774" s="20">
        <f>=F774/12</f>
        <v>9.975</v>
      </c>
      <c r="C774" s="20">
        <f>=J774/3</f>
        <v>79.8</v>
      </c>
      <c r="D774" s="20">
        <f>=K774/3</f>
        <v>88.6666666666667</v>
      </c>
      <c r="E774" s="20">
        <f>=L774/3</f>
        <v>93.1</v>
      </c>
      <c r="F774" s="20">
        <f>=H774*0.9</f>
        <v>119.7</v>
      </c>
      <c r="G774" s="21">
        <v>121</v>
      </c>
      <c r="H774" s="39">
        <v>133</v>
      </c>
      <c r="I774" s="40">
        <f>=H774*1.05</f>
        <v>139.65</v>
      </c>
      <c r="J774" s="40">
        <f>=F774*2</f>
        <v>239.4</v>
      </c>
      <c r="K774" s="40">
        <f>=H774*2</f>
        <v>266</v>
      </c>
      <c r="L774" s="40">
        <f>=I774*2</f>
        <v>279.3</v>
      </c>
      <c r="M774" s="41" t="s">
        <v>857</v>
      </c>
      <c r="N774" s="41">
        <v>0.1</v>
      </c>
      <c r="O774" s="41" t="s"/>
      <c r="P774" s="41">
        <v>1</v>
      </c>
      <c r="Q774" s="41" t="s">
        <v>21</v>
      </c>
      <c r="R774" s="41" t="s">
        <v>16</v>
      </c>
      <c r="S774" s="41" t="s">
        <v>17</v>
      </c>
      <c r="T774" s="41" t="s">
        <v>23</v>
      </c>
      <c r="U774" s="16" t="s">
        <v>13</v>
      </c>
      <c r="V774" s="16" t="s">
        <v>19</v>
      </c>
      <c r="W774" s="19" t="s"/>
      <c r="X774" s="26" t="s">
        <f>=M774&amp;N774&amp;P774&amp;Q774&amp;T774&amp;V774&amp;S774</f>
        <v>860</v>
      </c>
      <c r="Y774" s="19" t="s"/>
      <c r="Z774" s="19" t="s"/>
      <c r="AA774" s="19" t="s"/>
      <c r="AB774" s="19" t="s"/>
    </row>
    <row r="775" spans="1:28" ht="14.4">
      <c r="A775" s="4">
        <f>=H775/G775-1</f>
        <v>0.0979020979020979</v>
      </c>
      <c r="B775" s="20">
        <f>=F775/12</f>
        <v>11.775</v>
      </c>
      <c r="C775" s="20">
        <f>=J775/3</f>
        <v>94.2</v>
      </c>
      <c r="D775" s="20">
        <f>=K775/3</f>
        <v>104.666666666667</v>
      </c>
      <c r="E775" s="20">
        <f>=L775/3</f>
        <v>109.9</v>
      </c>
      <c r="F775" s="20">
        <f>=H775*0.9</f>
        <v>141.3</v>
      </c>
      <c r="G775" s="21">
        <v>143</v>
      </c>
      <c r="H775" s="39">
        <v>157</v>
      </c>
      <c r="I775" s="40">
        <f>=H775*1.05</f>
        <v>164.85</v>
      </c>
      <c r="J775" s="40">
        <f>=F775*2</f>
        <v>282.6</v>
      </c>
      <c r="K775" s="40">
        <f>=H775*2</f>
        <v>314</v>
      </c>
      <c r="L775" s="40">
        <f>=I775*2</f>
        <v>329.7</v>
      </c>
      <c r="M775" s="41" t="s">
        <v>857</v>
      </c>
      <c r="N775" s="41">
        <v>0.1</v>
      </c>
      <c r="O775" s="41" t="s"/>
      <c r="P775" s="41">
        <v>1</v>
      </c>
      <c r="Q775" s="41">
        <v>1</v>
      </c>
      <c r="R775" s="41" t="s">
        <v>16</v>
      </c>
      <c r="S775" s="41" t="s">
        <v>17</v>
      </c>
      <c r="T775" s="41" t="s">
        <v>23</v>
      </c>
      <c r="U775" s="16" t="s">
        <v>13</v>
      </c>
      <c r="V775" s="16" t="s">
        <v>19</v>
      </c>
      <c r="W775" s="19" t="s"/>
      <c r="X775" s="26" t="s">
        <f>=M775&amp;N775&amp;P775&amp;Q775&amp;T775&amp;V775&amp;S775</f>
        <v>861</v>
      </c>
      <c r="Y775" s="19" t="s"/>
      <c r="Z775" s="19" t="s"/>
      <c r="AA775" s="19" t="s"/>
      <c r="AB775" s="19" t="s"/>
    </row>
    <row r="776" spans="1:28" ht="14.4">
      <c r="A776" s="4">
        <f>=H776/G776-1</f>
        <v>0.1</v>
      </c>
      <c r="B776" s="20">
        <f>=F776/12</f>
        <v>11.55</v>
      </c>
      <c r="C776" s="20">
        <f>=J776/3</f>
        <v>92.4</v>
      </c>
      <c r="D776" s="20">
        <f>=K776/3</f>
        <v>102.666666666667</v>
      </c>
      <c r="E776" s="20">
        <f>=L776/3</f>
        <v>107.8</v>
      </c>
      <c r="F776" s="20">
        <f>=H776*0.9</f>
        <v>138.6</v>
      </c>
      <c r="G776" s="21">
        <v>140</v>
      </c>
      <c r="H776" s="39">
        <v>154</v>
      </c>
      <c r="I776" s="40">
        <f>=H776*1.05</f>
        <v>161.7</v>
      </c>
      <c r="J776" s="40">
        <f>=F776*2</f>
        <v>277.2</v>
      </c>
      <c r="K776" s="40">
        <f>=H776*2</f>
        <v>308</v>
      </c>
      <c r="L776" s="40">
        <f>=I776*2</f>
        <v>323.4</v>
      </c>
      <c r="M776" s="41" t="s">
        <v>857</v>
      </c>
      <c r="N776" s="41">
        <v>0.15</v>
      </c>
      <c r="O776" s="41" t="s"/>
      <c r="P776" s="41" t="s">
        <v>21</v>
      </c>
      <c r="Q776" s="41">
        <v>1</v>
      </c>
      <c r="R776" s="41" t="s">
        <v>16</v>
      </c>
      <c r="S776" s="41" t="s">
        <v>17</v>
      </c>
      <c r="T776" s="41" t="s">
        <v>39</v>
      </c>
      <c r="U776" s="16" t="s">
        <v>13</v>
      </c>
      <c r="V776" s="16" t="s">
        <v>19</v>
      </c>
      <c r="W776" s="19" t="s"/>
      <c r="X776" s="26" t="s">
        <f>=M776&amp;N776&amp;P776&amp;Q776&amp;T776&amp;V776&amp;S776</f>
        <v>862</v>
      </c>
      <c r="Y776" s="19" t="s"/>
      <c r="Z776" s="19" t="s"/>
      <c r="AA776" s="19" t="s"/>
      <c r="AB776" s="19" t="s"/>
    </row>
    <row r="777" spans="1:28" ht="14.4">
      <c r="A777" s="4">
        <f>=H777/G777-1</f>
        <v>0.103703703703704</v>
      </c>
      <c r="B777" s="20">
        <f>=F777/12</f>
        <v>11.175</v>
      </c>
      <c r="C777" s="20">
        <f>=J777/3</f>
        <v>89.4</v>
      </c>
      <c r="D777" s="20">
        <f>=K777/3</f>
        <v>99.3333333333333</v>
      </c>
      <c r="E777" s="20">
        <f>=L777/3</f>
        <v>104.3</v>
      </c>
      <c r="F777" s="20">
        <f>=H777*0.9</f>
        <v>134.1</v>
      </c>
      <c r="G777" s="21">
        <v>135</v>
      </c>
      <c r="H777" s="39">
        <v>149</v>
      </c>
      <c r="I777" s="40">
        <f>=H777*1.05</f>
        <v>156.45</v>
      </c>
      <c r="J777" s="40">
        <f>=F777*2</f>
        <v>268.2</v>
      </c>
      <c r="K777" s="40">
        <f>=H777*2</f>
        <v>298</v>
      </c>
      <c r="L777" s="40">
        <f>=I777*2</f>
        <v>312.9</v>
      </c>
      <c r="M777" s="41" t="s">
        <v>857</v>
      </c>
      <c r="N777" s="41">
        <v>0.2</v>
      </c>
      <c r="O777" s="41" t="s"/>
      <c r="P777" s="41">
        <v>1</v>
      </c>
      <c r="Q777" s="41">
        <v>1</v>
      </c>
      <c r="R777" s="41" t="s">
        <v>16</v>
      </c>
      <c r="S777" s="41" t="s">
        <v>17</v>
      </c>
      <c r="T777" s="41" t="s">
        <v>52</v>
      </c>
      <c r="U777" s="16" t="s">
        <v>13</v>
      </c>
      <c r="V777" s="16" t="s">
        <v>19</v>
      </c>
      <c r="W777" s="19" t="s"/>
      <c r="X777" s="26" t="s">
        <f>=M777&amp;N777&amp;P777&amp;Q777&amp;T777&amp;V777&amp;S777</f>
        <v>863</v>
      </c>
      <c r="Y777" s="19" t="s"/>
      <c r="Z777" s="19" t="s"/>
      <c r="AA777" s="19" t="s"/>
      <c r="AB777" s="19" t="s"/>
    </row>
    <row r="778" spans="1:29" ht="14.4">
      <c r="A778" s="49">
        <v>46177</v>
      </c>
      <c r="B778" s="43">
        <f>=F778/12</f>
        <v>22.95</v>
      </c>
      <c r="C778" s="43">
        <f>=J778/3</f>
        <v>183.6</v>
      </c>
      <c r="D778" s="43">
        <f>=K778/3</f>
        <v>204</v>
      </c>
      <c r="E778" s="43">
        <f>=L778/3</f>
        <v>214.2</v>
      </c>
      <c r="F778" s="43">
        <f>=H778*0.9</f>
        <v>275.4</v>
      </c>
      <c r="G778" s="27">
        <v>135</v>
      </c>
      <c r="H778" s="44">
        <v>306</v>
      </c>
      <c r="I778" s="45">
        <f>=H778*1.05</f>
        <v>321.3</v>
      </c>
      <c r="J778" s="45">
        <f>=F778*2</f>
        <v>550.8</v>
      </c>
      <c r="K778" s="45">
        <f>=H778*2</f>
        <v>612</v>
      </c>
      <c r="L778" s="45">
        <f>=I778*2</f>
        <v>642.6</v>
      </c>
      <c r="M778" s="46" t="s">
        <v>857</v>
      </c>
      <c r="N778" s="12">
        <v>0.46</v>
      </c>
      <c r="O778" s="46" t="s"/>
      <c r="P778" s="12">
        <v>2</v>
      </c>
      <c r="Q778" s="12">
        <v>2</v>
      </c>
      <c r="R778" s="46" t="s">
        <v>16</v>
      </c>
      <c r="S778" s="46" t="s">
        <v>17</v>
      </c>
      <c r="T778" s="12" t="s">
        <v>864</v>
      </c>
      <c r="U778" s="13" t="s">
        <v>13</v>
      </c>
      <c r="V778" s="13" t="s">
        <v>19</v>
      </c>
      <c r="W778" s="15" t="s"/>
      <c r="X778" s="18" t="s">
        <f>=M778&amp;N778&amp;P778&amp;Q778&amp;T778&amp;V778&amp;S778</f>
        <v>865</v>
      </c>
      <c r="Y778" s="15" t="s"/>
      <c r="Z778" s="15" t="s"/>
      <c r="AA778" s="15" t="s"/>
      <c r="AB778" s="15" t="s"/>
      <c r="AC778" s="48" t="s"/>
    </row>
    <row r="779" spans="1:29" ht="14.4">
      <c r="A779" s="49">
        <v>46177</v>
      </c>
      <c r="B779" s="43">
        <f>=F779/12</f>
        <v>13.875</v>
      </c>
      <c r="C779" s="43">
        <f>=J779/3</f>
        <v>111</v>
      </c>
      <c r="D779" s="43">
        <f>=K779/3</f>
        <v>123.333333333333</v>
      </c>
      <c r="E779" s="43">
        <f>=L779/3</f>
        <v>129.5</v>
      </c>
      <c r="F779" s="43">
        <f>=H779*0.9</f>
        <v>166.5</v>
      </c>
      <c r="G779" s="27">
        <v>135</v>
      </c>
      <c r="H779" s="44">
        <v>185</v>
      </c>
      <c r="I779" s="45">
        <f>=H779*1.05</f>
        <v>194.25</v>
      </c>
      <c r="J779" s="45">
        <f>=F779*2</f>
        <v>333</v>
      </c>
      <c r="K779" s="45">
        <f>=H779*2</f>
        <v>370</v>
      </c>
      <c r="L779" s="45">
        <f>=I779*2</f>
        <v>388.5</v>
      </c>
      <c r="M779" s="46" t="s">
        <v>857</v>
      </c>
      <c r="N779" s="12">
        <v>0.51</v>
      </c>
      <c r="O779" s="46" t="s"/>
      <c r="P779" s="46">
        <v>1</v>
      </c>
      <c r="Q779" s="46">
        <v>1</v>
      </c>
      <c r="R779" s="46" t="s">
        <v>16</v>
      </c>
      <c r="S779" s="46" t="s">
        <v>17</v>
      </c>
      <c r="T779" s="12" t="s">
        <v>866</v>
      </c>
      <c r="U779" s="13" t="s">
        <v>13</v>
      </c>
      <c r="V779" s="13" t="s">
        <v>19</v>
      </c>
      <c r="W779" s="15" t="s"/>
      <c r="X779" s="18" t="s">
        <f>=M779&amp;N779&amp;P779&amp;Q779&amp;T779&amp;V779&amp;S779</f>
        <v>867</v>
      </c>
      <c r="Y779" s="15" t="s"/>
      <c r="Z779" s="15" t="s"/>
      <c r="AA779" s="15" t="s"/>
      <c r="AB779" s="15" t="s"/>
      <c r="AC779" s="48" t="s"/>
    </row>
    <row r="780" spans="1:28" ht="14.4">
      <c r="A780" s="4">
        <f>=H780/G780-1</f>
        <v>0</v>
      </c>
      <c r="B780" s="20">
        <f>=F780/12</f>
        <v>15.15</v>
      </c>
      <c r="C780" s="20">
        <f>=J780/3</f>
        <v>121.2</v>
      </c>
      <c r="D780" s="20">
        <f>=K780/3</f>
        <v>134.666666666667</v>
      </c>
      <c r="E780" s="20">
        <f>=L780/3</f>
        <v>141.4</v>
      </c>
      <c r="F780" s="20">
        <f>=H780*0.9</f>
        <v>181.8</v>
      </c>
      <c r="G780" s="21">
        <v>202</v>
      </c>
      <c r="H780" s="39">
        <v>202</v>
      </c>
      <c r="I780" s="40">
        <f>=H780*1.05</f>
        <v>212.1</v>
      </c>
      <c r="J780" s="40">
        <f>=F780*2</f>
        <v>363.6</v>
      </c>
      <c r="K780" s="40">
        <f>=H780*2</f>
        <v>404</v>
      </c>
      <c r="L780" s="40">
        <f>=I780*2</f>
        <v>424.2</v>
      </c>
      <c r="M780" s="41" t="s">
        <v>857</v>
      </c>
      <c r="N780" s="41">
        <v>0.7</v>
      </c>
      <c r="O780" s="41" t="s"/>
      <c r="P780" s="41" t="s">
        <v>21</v>
      </c>
      <c r="Q780" s="41" t="s">
        <v>21</v>
      </c>
      <c r="R780" s="41" t="s">
        <v>16</v>
      </c>
      <c r="S780" s="41" t="s">
        <v>137</v>
      </c>
      <c r="T780" s="41" t="s">
        <v>784</v>
      </c>
      <c r="U780" s="16" t="s">
        <v>13</v>
      </c>
      <c r="V780" s="16" t="s">
        <v>19</v>
      </c>
      <c r="W780" s="17" t="s">
        <v>352</v>
      </c>
      <c r="X780" s="26" t="s">
        <f>=M780&amp;N780&amp;P780&amp;Q780&amp;T780&amp;V780&amp;S780</f>
        <v>868</v>
      </c>
      <c r="Y780" s="19" t="s"/>
      <c r="Z780" s="19" t="s"/>
      <c r="AA780" s="19" t="s"/>
      <c r="AB780" s="19" t="s"/>
    </row>
    <row r="781" spans="1:28" ht="14.4">
      <c r="A781" s="4">
        <f>=H781/G781-1</f>
        <v>0.100558659217877</v>
      </c>
      <c r="B781" s="20">
        <f>=F781/12</f>
        <v>14.775</v>
      </c>
      <c r="C781" s="20">
        <f>=J781/3</f>
        <v>118.2</v>
      </c>
      <c r="D781" s="20">
        <f>=K781/3</f>
        <v>131.333333333333</v>
      </c>
      <c r="E781" s="20">
        <f>=L781/3</f>
        <v>137.9</v>
      </c>
      <c r="F781" s="20">
        <f>=H781*0.9</f>
        <v>177.3</v>
      </c>
      <c r="G781" s="21">
        <v>179</v>
      </c>
      <c r="H781" s="39">
        <v>197</v>
      </c>
      <c r="I781" s="40">
        <f>=H781*1.05</f>
        <v>206.85</v>
      </c>
      <c r="J781" s="40">
        <f>=F781*2</f>
        <v>354.6</v>
      </c>
      <c r="K781" s="40">
        <f>=H781*2</f>
        <v>394</v>
      </c>
      <c r="L781" s="40">
        <f>=I781*2</f>
        <v>413.7</v>
      </c>
      <c r="M781" s="41" t="s">
        <v>857</v>
      </c>
      <c r="N781" s="41">
        <v>1</v>
      </c>
      <c r="O781" s="41" t="s"/>
      <c r="P781" s="41">
        <v>1</v>
      </c>
      <c r="Q781" s="41">
        <v>1</v>
      </c>
      <c r="R781" s="41" t="s">
        <v>16</v>
      </c>
      <c r="S781" s="41" t="s">
        <v>137</v>
      </c>
      <c r="T781" s="41" t="s">
        <v>147</v>
      </c>
      <c r="U781" s="16" t="s">
        <v>13</v>
      </c>
      <c r="V781" s="16" t="s">
        <v>19</v>
      </c>
      <c r="W781" s="19" t="s"/>
      <c r="X781" s="26" t="s">
        <f>=M781&amp;N781&amp;P781&amp;Q781&amp;T781&amp;V781&amp;S781</f>
        <v>869</v>
      </c>
      <c r="Y781" s="19" t="s"/>
      <c r="Z781" s="19" t="s"/>
      <c r="AA781" s="19" t="s"/>
      <c r="AB781" s="19" t="s"/>
    </row>
    <row r="782" spans="1:28" ht="14.4">
      <c r="A782" s="4">
        <f>=H782/G782-1</f>
        <v>0.10025706940874</v>
      </c>
      <c r="B782" s="20">
        <f>=F782/12</f>
        <v>32.1</v>
      </c>
      <c r="C782" s="20">
        <f>=J782/3</f>
        <v>256.8</v>
      </c>
      <c r="D782" s="20">
        <f>=K782/3</f>
        <v>285.333333333333</v>
      </c>
      <c r="E782" s="20">
        <f>=L782/3</f>
        <v>299.6</v>
      </c>
      <c r="F782" s="20">
        <f>=H782*0.9</f>
        <v>385.2</v>
      </c>
      <c r="G782" s="21">
        <v>389</v>
      </c>
      <c r="H782" s="39">
        <v>428</v>
      </c>
      <c r="I782" s="40">
        <f>=H782*1.05</f>
        <v>449.4</v>
      </c>
      <c r="J782" s="40">
        <f>=F782*2</f>
        <v>770.4</v>
      </c>
      <c r="K782" s="40">
        <f>=H782*2</f>
        <v>856</v>
      </c>
      <c r="L782" s="40">
        <f>=I782*2</f>
        <v>898.8</v>
      </c>
      <c r="M782" s="41" t="s">
        <v>857</v>
      </c>
      <c r="N782" s="41">
        <v>1</v>
      </c>
      <c r="O782" s="41" t="s"/>
      <c r="P782" s="41">
        <v>3</v>
      </c>
      <c r="Q782" s="41">
        <v>3</v>
      </c>
      <c r="R782" s="41" t="s">
        <v>16</v>
      </c>
      <c r="S782" s="41" t="s">
        <v>137</v>
      </c>
      <c r="T782" s="41" t="s">
        <v>128</v>
      </c>
      <c r="U782" s="16" t="s">
        <v>13</v>
      </c>
      <c r="V782" s="16" t="s">
        <v>19</v>
      </c>
      <c r="W782" s="19" t="s"/>
      <c r="X782" s="26" t="s">
        <f>=M782&amp;N782&amp;P782&amp;Q782&amp;T782&amp;V782&amp;S782</f>
        <v>870</v>
      </c>
      <c r="Y782" s="19" t="s"/>
      <c r="Z782" s="19" t="s"/>
      <c r="AA782" s="19" t="s"/>
      <c r="AB782" s="19" t="s"/>
    </row>
    <row r="783" spans="1:28" ht="14.4">
      <c r="A783" s="4">
        <f>=H783/G783-1</f>
        <v>0.0977443609022557</v>
      </c>
      <c r="B783" s="20">
        <f>=F783/12</f>
        <v>10.95</v>
      </c>
      <c r="C783" s="20">
        <f>=J783/3</f>
        <v>87.6</v>
      </c>
      <c r="D783" s="20">
        <f>=K783/3</f>
        <v>97.3333333333333</v>
      </c>
      <c r="E783" s="20">
        <f>=L783/3</f>
        <v>102.2</v>
      </c>
      <c r="F783" s="20">
        <f>=H783*0.9</f>
        <v>131.4</v>
      </c>
      <c r="G783" s="21">
        <v>133</v>
      </c>
      <c r="H783" s="39">
        <v>146</v>
      </c>
      <c r="I783" s="40">
        <f>=H783*1.05</f>
        <v>153.3</v>
      </c>
      <c r="J783" s="40">
        <f>=F783*2</f>
        <v>262.8</v>
      </c>
      <c r="K783" s="40">
        <f>=H783*2</f>
        <v>292</v>
      </c>
      <c r="L783" s="40">
        <f>=I783*2</f>
        <v>306.6</v>
      </c>
      <c r="M783" s="41" t="s">
        <v>857</v>
      </c>
      <c r="N783" s="41">
        <v>1</v>
      </c>
      <c r="O783" s="41" t="s"/>
      <c r="P783" s="41" t="s">
        <v>21</v>
      </c>
      <c r="Q783" s="41" t="s">
        <v>21</v>
      </c>
      <c r="R783" s="41" t="s">
        <v>16</v>
      </c>
      <c r="S783" s="41" t="s">
        <v>137</v>
      </c>
      <c r="T783" s="41" t="s">
        <v>147</v>
      </c>
      <c r="U783" s="16" t="s">
        <v>13</v>
      </c>
      <c r="V783" s="16" t="s">
        <v>19</v>
      </c>
      <c r="W783" s="19" t="s"/>
      <c r="X783" s="26" t="s">
        <f>=M783&amp;N783&amp;P783&amp;Q783&amp;T783&amp;V783&amp;S783</f>
        <v>871</v>
      </c>
      <c r="Y783" s="19" t="s"/>
      <c r="Z783" s="19" t="s"/>
      <c r="AA783" s="19" t="s"/>
      <c r="AB783" s="19" t="s"/>
    </row>
    <row r="784" spans="1:28" ht="14.4">
      <c r="A784" s="4">
        <f>=H784/G784-1</f>
        <v>0.0981308411214954</v>
      </c>
      <c r="B784" s="20">
        <f>=F784/12</f>
        <v>17.625</v>
      </c>
      <c r="C784" s="20">
        <f>=J784/3</f>
        <v>141</v>
      </c>
      <c r="D784" s="20">
        <f>=K784/3</f>
        <v>156.666666666667</v>
      </c>
      <c r="E784" s="20">
        <f>=L784/3</f>
        <v>164.5</v>
      </c>
      <c r="F784" s="20">
        <f>=H784*0.9</f>
        <v>211.5</v>
      </c>
      <c r="G784" s="21">
        <v>214</v>
      </c>
      <c r="H784" s="39">
        <v>235</v>
      </c>
      <c r="I784" s="40">
        <f>=H784*1.05</f>
        <v>246.75</v>
      </c>
      <c r="J784" s="40">
        <f>=F784*2</f>
        <v>423</v>
      </c>
      <c r="K784" s="40">
        <f>=H784*2</f>
        <v>470</v>
      </c>
      <c r="L784" s="40">
        <f>=I784*2</f>
        <v>493.5</v>
      </c>
      <c r="M784" s="41" t="s">
        <v>857</v>
      </c>
      <c r="N784" s="41">
        <v>1.5</v>
      </c>
      <c r="O784" s="41" t="s"/>
      <c r="P784" s="41">
        <v>1</v>
      </c>
      <c r="Q784" s="41">
        <v>1</v>
      </c>
      <c r="R784" s="41" t="s">
        <v>16</v>
      </c>
      <c r="S784" s="41" t="s">
        <v>137</v>
      </c>
      <c r="T784" s="41" t="s">
        <v>171</v>
      </c>
      <c r="U784" s="16" t="s">
        <v>13</v>
      </c>
      <c r="V784" s="16" t="s">
        <v>19</v>
      </c>
      <c r="W784" s="19" t="s"/>
      <c r="X784" s="26" t="s">
        <f>=M784&amp;N784&amp;P784&amp;Q784&amp;T784&amp;V784&amp;S784</f>
        <v>872</v>
      </c>
      <c r="Y784" s="19" t="s"/>
      <c r="Z784" s="19" t="s"/>
      <c r="AA784" s="19" t="s"/>
      <c r="AB784" s="19" t="s"/>
    </row>
    <row r="785" spans="1:28" ht="14.4">
      <c r="A785" s="4">
        <f>=H785/G785-1</f>
        <v>0.101176470588235</v>
      </c>
      <c r="B785" s="20">
        <f>=F785/12</f>
        <v>35.1</v>
      </c>
      <c r="C785" s="20">
        <f>=J785/3</f>
        <v>280.8</v>
      </c>
      <c r="D785" s="20">
        <f>=K785/3</f>
        <v>312</v>
      </c>
      <c r="E785" s="20">
        <f>=L785/3</f>
        <v>327.6</v>
      </c>
      <c r="F785" s="20">
        <f>=H785*0.9</f>
        <v>421.2</v>
      </c>
      <c r="G785" s="21">
        <v>425</v>
      </c>
      <c r="H785" s="39">
        <v>468</v>
      </c>
      <c r="I785" s="40">
        <f>=H785*1.05</f>
        <v>491.4</v>
      </c>
      <c r="J785" s="40">
        <f>=F785*2</f>
        <v>842.4</v>
      </c>
      <c r="K785" s="40">
        <f>=H785*2</f>
        <v>936</v>
      </c>
      <c r="L785" s="40">
        <f>=I785*2</f>
        <v>982.8</v>
      </c>
      <c r="M785" s="41" t="s">
        <v>857</v>
      </c>
      <c r="N785" s="41">
        <v>1.5</v>
      </c>
      <c r="O785" s="41" t="s"/>
      <c r="P785" s="41">
        <v>3</v>
      </c>
      <c r="Q785" s="41">
        <v>3</v>
      </c>
      <c r="R785" s="41" t="s">
        <v>16</v>
      </c>
      <c r="S785" s="41" t="s">
        <v>137</v>
      </c>
      <c r="T785" s="41" t="s">
        <v>163</v>
      </c>
      <c r="U785" s="16" t="s">
        <v>13</v>
      </c>
      <c r="V785" s="16" t="s">
        <v>19</v>
      </c>
      <c r="W785" s="19" t="s"/>
      <c r="X785" s="26" t="s">
        <f>=M785&amp;N785&amp;P785&amp;Q785&amp;T785&amp;V785&amp;S785</f>
        <v>873</v>
      </c>
      <c r="Y785" s="19" t="s"/>
      <c r="Z785" s="19" t="s"/>
      <c r="AA785" s="19" t="s"/>
      <c r="AB785" s="19" t="s"/>
    </row>
    <row r="786" spans="1:28" ht="14.4">
      <c r="A786" s="4">
        <f>=H786/G786-1</f>
        <v>0.101190476190476</v>
      </c>
      <c r="B786" s="20">
        <f>=F786/12</f>
        <v>13.875</v>
      </c>
      <c r="C786" s="20">
        <f>=J786/3</f>
        <v>111</v>
      </c>
      <c r="D786" s="20">
        <f>=K786/3</f>
        <v>123.333333333333</v>
      </c>
      <c r="E786" s="20">
        <f>=L786/3</f>
        <v>129.5</v>
      </c>
      <c r="F786" s="20">
        <f>=H786*0.9</f>
        <v>166.5</v>
      </c>
      <c r="G786" s="21">
        <v>168</v>
      </c>
      <c r="H786" s="39">
        <v>185</v>
      </c>
      <c r="I786" s="40">
        <f>=H786*1.05</f>
        <v>194.25</v>
      </c>
      <c r="J786" s="40">
        <f>=F786*2</f>
        <v>333</v>
      </c>
      <c r="K786" s="40">
        <f>=H786*2</f>
        <v>370</v>
      </c>
      <c r="L786" s="40">
        <f>=I786*2</f>
        <v>388.5</v>
      </c>
      <c r="M786" s="41" t="s">
        <v>857</v>
      </c>
      <c r="N786" s="41">
        <v>1.5</v>
      </c>
      <c r="O786" s="41" t="s"/>
      <c r="P786" s="41" t="s">
        <v>21</v>
      </c>
      <c r="Q786" s="41" t="s">
        <v>21</v>
      </c>
      <c r="R786" s="41" t="s">
        <v>16</v>
      </c>
      <c r="S786" s="41" t="s">
        <v>137</v>
      </c>
      <c r="T786" s="41" t="s">
        <v>171</v>
      </c>
      <c r="U786" s="16" t="s">
        <v>13</v>
      </c>
      <c r="V786" s="16" t="s">
        <v>19</v>
      </c>
      <c r="W786" s="19" t="s"/>
      <c r="X786" s="26" t="s">
        <f>=M786&amp;N786&amp;P786&amp;Q786&amp;T786&amp;V786&amp;S786</f>
        <v>874</v>
      </c>
      <c r="Y786" s="19" t="s"/>
      <c r="Z786" s="19" t="s"/>
      <c r="AA786" s="19" t="s"/>
      <c r="AB786" s="19" t="s"/>
    </row>
    <row r="787" spans="1:28" ht="14.4">
      <c r="A787" s="4">
        <f>=H787/G787-1</f>
        <v>0.101190476190476</v>
      </c>
      <c r="B787" s="20">
        <f>=F787/12</f>
        <v>13.875</v>
      </c>
      <c r="C787" s="20">
        <f>=J787/3</f>
        <v>111</v>
      </c>
      <c r="D787" s="20">
        <f>=K787/3</f>
        <v>123.333333333333</v>
      </c>
      <c r="E787" s="20">
        <f>=L787/3</f>
        <v>129.5</v>
      </c>
      <c r="F787" s="20">
        <f>=H787*0.9</f>
        <v>166.5</v>
      </c>
      <c r="G787" s="21">
        <v>168</v>
      </c>
      <c r="H787" s="39">
        <v>185</v>
      </c>
      <c r="I787" s="40">
        <f>=H787*1.05</f>
        <v>194.25</v>
      </c>
      <c r="J787" s="40">
        <f>=F787*2</f>
        <v>333</v>
      </c>
      <c r="K787" s="40">
        <f>=H787*2</f>
        <v>370</v>
      </c>
      <c r="L787" s="40">
        <f>=I787*2</f>
        <v>388.5</v>
      </c>
      <c r="M787" s="41" t="s">
        <v>857</v>
      </c>
      <c r="N787" s="41">
        <v>1.5</v>
      </c>
      <c r="O787" s="41" t="s"/>
      <c r="P787" s="41" t="s">
        <v>21</v>
      </c>
      <c r="Q787" s="41" t="s">
        <v>21</v>
      </c>
      <c r="R787" s="41" t="s">
        <v>16</v>
      </c>
      <c r="S787" s="41" t="s">
        <v>137</v>
      </c>
      <c r="T787" s="41" t="s">
        <v>171</v>
      </c>
      <c r="U787" s="16" t="s">
        <v>13</v>
      </c>
      <c r="V787" s="16" t="s">
        <v>19</v>
      </c>
      <c r="W787" s="19" t="s"/>
      <c r="X787" s="26" t="s">
        <f>=M787&amp;N787&amp;P787&amp;Q787&amp;T787&amp;V787&amp;S787</f>
        <v>874</v>
      </c>
      <c r="Y787" s="19" t="s"/>
      <c r="Z787" s="19" t="s"/>
      <c r="AA787" s="19" t="s"/>
      <c r="AB787" s="19" t="s"/>
    </row>
    <row r="788" spans="1:28" ht="14.4">
      <c r="A788" s="4">
        <f>=H788/G788-1</f>
        <v>0.101851851851852</v>
      </c>
      <c r="B788" s="20">
        <f>=F788/12</f>
        <v>17.85</v>
      </c>
      <c r="C788" s="20">
        <f>=J788/3</f>
        <v>142.8</v>
      </c>
      <c r="D788" s="20">
        <f>=K788/3</f>
        <v>158.666666666667</v>
      </c>
      <c r="E788" s="20">
        <f>=L788/3</f>
        <v>166.6</v>
      </c>
      <c r="F788" s="20">
        <f>=H788*0.9</f>
        <v>214.2</v>
      </c>
      <c r="G788" s="21">
        <v>216</v>
      </c>
      <c r="H788" s="39">
        <v>238</v>
      </c>
      <c r="I788" s="40">
        <f>=H788*1.05</f>
        <v>249.9</v>
      </c>
      <c r="J788" s="40">
        <f>=F788*2</f>
        <v>428.4</v>
      </c>
      <c r="K788" s="40">
        <f>=H788*2</f>
        <v>476</v>
      </c>
      <c r="L788" s="40">
        <f>=I788*2</f>
        <v>499.8</v>
      </c>
      <c r="M788" s="41" t="s">
        <v>857</v>
      </c>
      <c r="N788" s="41">
        <v>1.9</v>
      </c>
      <c r="O788" s="41" t="s"/>
      <c r="P788" s="41" t="s">
        <v>21</v>
      </c>
      <c r="Q788" s="41" t="s">
        <v>21</v>
      </c>
      <c r="R788" s="41" t="s">
        <v>16</v>
      </c>
      <c r="S788" s="41" t="s">
        <v>137</v>
      </c>
      <c r="T788" s="41" t="s">
        <v>193</v>
      </c>
      <c r="U788" s="16" t="s">
        <v>13</v>
      </c>
      <c r="V788" s="16" t="s">
        <v>19</v>
      </c>
      <c r="W788" s="19" t="s"/>
      <c r="X788" s="26" t="s">
        <f>=M788&amp;N788&amp;P788&amp;Q788&amp;T788&amp;V788&amp;S788</f>
        <v>875</v>
      </c>
      <c r="Y788" s="19" t="s"/>
      <c r="Z788" s="19" t="s"/>
      <c r="AA788" s="19" t="s"/>
      <c r="AB788" s="19" t="s"/>
    </row>
    <row r="789" spans="1:28" ht="14.4">
      <c r="A789" s="4">
        <f>=H789/G789-1</f>
        <v>0.0991501416430596</v>
      </c>
      <c r="B789" s="20">
        <f>=F789/12</f>
        <v>29.1</v>
      </c>
      <c r="C789" s="20">
        <f>=J789/3</f>
        <v>232.8</v>
      </c>
      <c r="D789" s="20">
        <f>=K789/3</f>
        <v>258.666666666667</v>
      </c>
      <c r="E789" s="20">
        <f>=L789/3</f>
        <v>271.6</v>
      </c>
      <c r="F789" s="20">
        <f>=H789*0.9</f>
        <v>349.2</v>
      </c>
      <c r="G789" s="21">
        <v>353</v>
      </c>
      <c r="H789" s="39">
        <v>388</v>
      </c>
      <c r="I789" s="40">
        <f>=H789*1.05</f>
        <v>407.4</v>
      </c>
      <c r="J789" s="40">
        <f>=F789*2</f>
        <v>698.4</v>
      </c>
      <c r="K789" s="40">
        <f>=H789*2</f>
        <v>776</v>
      </c>
      <c r="L789" s="40">
        <f>=I789*2</f>
        <v>814.8</v>
      </c>
      <c r="M789" s="41" t="s">
        <v>876</v>
      </c>
      <c r="N789" s="41">
        <v>0.08</v>
      </c>
      <c r="O789" s="41" t="s"/>
      <c r="P789" s="41">
        <v>3</v>
      </c>
      <c r="Q789" s="41">
        <v>3</v>
      </c>
      <c r="R789" s="41" t="s">
        <v>16</v>
      </c>
      <c r="S789" s="41" t="s">
        <v>17</v>
      </c>
      <c r="T789" s="41" t="s">
        <v>18</v>
      </c>
      <c r="U789" s="16" t="s">
        <v>13</v>
      </c>
      <c r="V789" s="16" t="s">
        <v>19</v>
      </c>
      <c r="W789" s="19" t="s"/>
      <c r="X789" s="26" t="s">
        <f>=M789&amp;N789&amp;P789&amp;Q789&amp;T789&amp;V789&amp;S789</f>
        <v>877</v>
      </c>
      <c r="Y789" s="19" t="s"/>
      <c r="Z789" s="19" t="s"/>
      <c r="AA789" s="19" t="s"/>
      <c r="AB789" s="19" t="s"/>
    </row>
    <row r="790" spans="1:28" ht="14.4">
      <c r="A790" s="4">
        <f>=H790/G790-1</f>
        <v>0.098360655737705</v>
      </c>
      <c r="B790" s="20">
        <f>=F790/12</f>
        <v>10.05</v>
      </c>
      <c r="C790" s="20">
        <f>=J790/3</f>
        <v>80.4</v>
      </c>
      <c r="D790" s="20">
        <f>=K790/3</f>
        <v>89.3333333333333</v>
      </c>
      <c r="E790" s="20">
        <f>=L790/3</f>
        <v>93.8</v>
      </c>
      <c r="F790" s="20">
        <f>=H790*0.9</f>
        <v>120.6</v>
      </c>
      <c r="G790" s="21">
        <v>122</v>
      </c>
      <c r="H790" s="39">
        <v>134</v>
      </c>
      <c r="I790" s="40">
        <f>=H790*1.05</f>
        <v>140.7</v>
      </c>
      <c r="J790" s="40">
        <f>=F790*2</f>
        <v>241.2</v>
      </c>
      <c r="K790" s="40">
        <f>=H790*2</f>
        <v>268</v>
      </c>
      <c r="L790" s="40">
        <f>=I790*2</f>
        <v>281.4</v>
      </c>
      <c r="M790" s="41" t="s">
        <v>876</v>
      </c>
      <c r="N790" s="41">
        <v>0.1</v>
      </c>
      <c r="O790" s="41" t="s"/>
      <c r="P790" s="41">
        <v>1</v>
      </c>
      <c r="Q790" s="41">
        <v>1</v>
      </c>
      <c r="R790" s="41" t="s">
        <v>16</v>
      </c>
      <c r="S790" s="41" t="s">
        <v>17</v>
      </c>
      <c r="T790" s="41" t="s">
        <v>23</v>
      </c>
      <c r="U790" s="16" t="s">
        <v>13</v>
      </c>
      <c r="V790" s="16" t="s">
        <v>19</v>
      </c>
      <c r="W790" s="19" t="s"/>
      <c r="X790" s="26" t="s">
        <f>=M790&amp;N790&amp;P790&amp;Q790&amp;T790&amp;V790&amp;S790</f>
        <v>878</v>
      </c>
      <c r="Y790" s="19" t="s"/>
      <c r="Z790" s="19" t="s"/>
      <c r="AA790" s="19" t="s"/>
      <c r="AB790" s="19" t="s"/>
    </row>
    <row r="791" spans="1:28" ht="14.4">
      <c r="A791" s="4">
        <f>=H791/G791-1</f>
        <v>0.101382488479263</v>
      </c>
      <c r="B791" s="20">
        <f>=F791/12</f>
        <v>17.925</v>
      </c>
      <c r="C791" s="20">
        <f>=J791/3</f>
        <v>143.4</v>
      </c>
      <c r="D791" s="20">
        <f>=K791/3</f>
        <v>159.333333333333</v>
      </c>
      <c r="E791" s="20">
        <f>=L791/3</f>
        <v>167.3</v>
      </c>
      <c r="F791" s="20">
        <f>=H791*0.9</f>
        <v>215.1</v>
      </c>
      <c r="G791" s="21">
        <v>217</v>
      </c>
      <c r="H791" s="39">
        <v>239</v>
      </c>
      <c r="I791" s="40">
        <f>=H791*1.05</f>
        <v>250.95</v>
      </c>
      <c r="J791" s="40">
        <f>=F791*2</f>
        <v>430.2</v>
      </c>
      <c r="K791" s="40">
        <f>=H791*2</f>
        <v>478</v>
      </c>
      <c r="L791" s="40">
        <f>=I791*2</f>
        <v>501.9</v>
      </c>
      <c r="M791" s="41" t="s">
        <v>876</v>
      </c>
      <c r="N791" s="41">
        <v>0.1</v>
      </c>
      <c r="O791" s="41" t="s"/>
      <c r="P791" s="41">
        <v>1</v>
      </c>
      <c r="Q791" s="41">
        <v>2</v>
      </c>
      <c r="R791" s="41" t="s">
        <v>16</v>
      </c>
      <c r="S791" s="41" t="s">
        <v>17</v>
      </c>
      <c r="T791" s="41" t="s">
        <v>23</v>
      </c>
      <c r="U791" s="16" t="s">
        <v>13</v>
      </c>
      <c r="V791" s="16" t="s">
        <v>19</v>
      </c>
      <c r="W791" s="19" t="s"/>
      <c r="X791" s="26" t="s">
        <f>=M791&amp;N791&amp;P791&amp;Q791&amp;T791&amp;V791&amp;S791</f>
        <v>879</v>
      </c>
      <c r="Y791" s="19" t="s"/>
      <c r="Z791" s="19" t="s"/>
      <c r="AA791" s="19" t="s"/>
      <c r="AB791" s="19" t="s"/>
    </row>
    <row r="792" spans="1:28" ht="14.4">
      <c r="A792" s="4">
        <f>=H792/G792-1</f>
        <v>0.099078341013825</v>
      </c>
      <c r="B792" s="20">
        <f>=F792/12</f>
        <v>35.775</v>
      </c>
      <c r="C792" s="20">
        <f>=J792/3</f>
        <v>286.2</v>
      </c>
      <c r="D792" s="20">
        <f>=K792/3</f>
        <v>318</v>
      </c>
      <c r="E792" s="20">
        <f>=L792/3</f>
        <v>333.9</v>
      </c>
      <c r="F792" s="20">
        <f>=H792*0.9</f>
        <v>429.3</v>
      </c>
      <c r="G792" s="21">
        <v>434</v>
      </c>
      <c r="H792" s="39">
        <v>477</v>
      </c>
      <c r="I792" s="40">
        <f>=H792*1.05</f>
        <v>500.85</v>
      </c>
      <c r="J792" s="40">
        <f>=F792*2</f>
        <v>858.6</v>
      </c>
      <c r="K792" s="40">
        <f>=H792*2</f>
        <v>954</v>
      </c>
      <c r="L792" s="40">
        <f>=I792*2</f>
        <v>1001.7</v>
      </c>
      <c r="M792" s="41" t="s">
        <v>876</v>
      </c>
      <c r="N792" s="41">
        <v>0.1</v>
      </c>
      <c r="O792" s="41" t="s"/>
      <c r="P792" s="41">
        <v>3</v>
      </c>
      <c r="Q792" s="41">
        <v>3</v>
      </c>
      <c r="R792" s="41" t="s">
        <v>16</v>
      </c>
      <c r="S792" s="41" t="s">
        <v>17</v>
      </c>
      <c r="T792" s="41" t="s">
        <v>23</v>
      </c>
      <c r="U792" s="16" t="s">
        <v>13</v>
      </c>
      <c r="V792" s="16" t="s">
        <v>19</v>
      </c>
      <c r="W792" s="19" t="s"/>
      <c r="X792" s="26" t="s">
        <f>=M792&amp;N792&amp;P792&amp;Q792&amp;T792&amp;V792&amp;S792</f>
        <v>880</v>
      </c>
      <c r="Y792" s="19" t="s"/>
      <c r="Z792" s="19" t="s"/>
      <c r="AA792" s="19" t="s"/>
      <c r="AB792" s="19" t="s"/>
    </row>
    <row r="793" spans="1:28" ht="14.4">
      <c r="A793" s="4">
        <f>=H793/G793-1</f>
        <v>0.098901098901099</v>
      </c>
      <c r="B793" s="20">
        <f>=F793/12</f>
        <v>7.5</v>
      </c>
      <c r="C793" s="20">
        <f>=J793/3</f>
        <v>60</v>
      </c>
      <c r="D793" s="20">
        <f>=K793/3</f>
        <v>66.6666666666667</v>
      </c>
      <c r="E793" s="20">
        <f>=L793/3</f>
        <v>70</v>
      </c>
      <c r="F793" s="20">
        <f>=H793*0.9</f>
        <v>90</v>
      </c>
      <c r="G793" s="21">
        <v>91</v>
      </c>
      <c r="H793" s="39">
        <v>100</v>
      </c>
      <c r="I793" s="40">
        <f>=H793*1.05</f>
        <v>105</v>
      </c>
      <c r="J793" s="40">
        <f>=F793*2</f>
        <v>180</v>
      </c>
      <c r="K793" s="40">
        <f>=H793*2</f>
        <v>200</v>
      </c>
      <c r="L793" s="40">
        <f>=I793*2</f>
        <v>210</v>
      </c>
      <c r="M793" s="41" t="s">
        <v>876</v>
      </c>
      <c r="N793" s="41">
        <v>0.1</v>
      </c>
      <c r="O793" s="41" t="s"/>
      <c r="P793" s="41" t="s">
        <v>21</v>
      </c>
      <c r="Q793" s="41" t="s">
        <v>21</v>
      </c>
      <c r="R793" s="41" t="s">
        <v>16</v>
      </c>
      <c r="S793" s="41" t="s">
        <v>17</v>
      </c>
      <c r="T793" s="41" t="s">
        <v>23</v>
      </c>
      <c r="U793" s="16" t="s">
        <v>13</v>
      </c>
      <c r="V793" s="16" t="s">
        <v>19</v>
      </c>
      <c r="W793" s="19" t="s"/>
      <c r="X793" s="26" t="s">
        <f>=M793&amp;N793&amp;P793&amp;Q793&amp;T793&amp;V793&amp;S793</f>
        <v>881</v>
      </c>
      <c r="Y793" s="19" t="s"/>
      <c r="Z793" s="19" t="s"/>
      <c r="AA793" s="19" t="s"/>
      <c r="AB793" s="19" t="s"/>
    </row>
    <row r="794" spans="1:28" ht="14.4">
      <c r="A794" s="4">
        <f>=H794/G794-1</f>
        <v>0.0792682926829269</v>
      </c>
      <c r="B794" s="20">
        <f>=F794/12</f>
        <v>13.275</v>
      </c>
      <c r="C794" s="20">
        <f>=J794/3</f>
        <v>106.2</v>
      </c>
      <c r="D794" s="20">
        <f>=K794/3</f>
        <v>118</v>
      </c>
      <c r="E794" s="20">
        <f>=L794/3</f>
        <v>123.9</v>
      </c>
      <c r="F794" s="20">
        <f>=H794*0.9</f>
        <v>159.3</v>
      </c>
      <c r="G794" s="21">
        <v>164</v>
      </c>
      <c r="H794" s="39">
        <v>177</v>
      </c>
      <c r="I794" s="40">
        <f>=H794*1.05</f>
        <v>185.85</v>
      </c>
      <c r="J794" s="40">
        <f>=F794*2</f>
        <v>318.6</v>
      </c>
      <c r="K794" s="40">
        <f>=H794*2</f>
        <v>354</v>
      </c>
      <c r="L794" s="40">
        <f>=I794*2</f>
        <v>371.7</v>
      </c>
      <c r="M794" s="41" t="s">
        <v>876</v>
      </c>
      <c r="N794" s="41">
        <v>0.13</v>
      </c>
      <c r="O794" s="41" t="s"/>
      <c r="P794" s="41">
        <v>1</v>
      </c>
      <c r="Q794" s="41">
        <v>1</v>
      </c>
      <c r="R794" s="41" t="s">
        <v>16</v>
      </c>
      <c r="S794" s="41" t="s">
        <v>17</v>
      </c>
      <c r="T794" s="41" t="s">
        <v>23</v>
      </c>
      <c r="U794" s="16" t="s">
        <v>13</v>
      </c>
      <c r="V794" s="16" t="s">
        <v>19</v>
      </c>
      <c r="W794" s="19" t="s"/>
      <c r="X794" s="26" t="s">
        <f>=M794&amp;N794&amp;P794&amp;Q794&amp;T794&amp;V794&amp;S794</f>
        <v>882</v>
      </c>
      <c r="Y794" s="19" t="s"/>
      <c r="Z794" s="19" t="s"/>
      <c r="AA794" s="19" t="s"/>
      <c r="AB794" s="19" t="s"/>
    </row>
    <row r="795" spans="1:28" ht="14.4">
      <c r="A795" s="4">
        <f>=H795/G795-1</f>
        <v>0.102803738317757</v>
      </c>
      <c r="B795" s="20">
        <f>=F795/12</f>
        <v>8.85</v>
      </c>
      <c r="C795" s="20">
        <f>=J795/3</f>
        <v>70.8</v>
      </c>
      <c r="D795" s="20">
        <f>=K795/3</f>
        <v>78.6666666666667</v>
      </c>
      <c r="E795" s="20">
        <f>=L795/3</f>
        <v>82.6</v>
      </c>
      <c r="F795" s="20">
        <f>=H795*0.9</f>
        <v>106.2</v>
      </c>
      <c r="G795" s="21">
        <v>107</v>
      </c>
      <c r="H795" s="39">
        <v>118</v>
      </c>
      <c r="I795" s="40">
        <f>=H795*1.05</f>
        <v>123.9</v>
      </c>
      <c r="J795" s="40">
        <f>=F795*2</f>
        <v>212.4</v>
      </c>
      <c r="K795" s="40">
        <f>=H795*2</f>
        <v>236</v>
      </c>
      <c r="L795" s="40">
        <f>=I795*2</f>
        <v>247.8</v>
      </c>
      <c r="M795" s="41" t="s">
        <v>876</v>
      </c>
      <c r="N795" s="41">
        <v>0.13</v>
      </c>
      <c r="O795" s="41" t="s"/>
      <c r="P795" s="41" t="s">
        <v>21</v>
      </c>
      <c r="Q795" s="41" t="s">
        <v>21</v>
      </c>
      <c r="R795" s="41" t="s">
        <v>16</v>
      </c>
      <c r="S795" s="41" t="s">
        <v>17</v>
      </c>
      <c r="T795" s="41" t="s">
        <v>23</v>
      </c>
      <c r="U795" s="16" t="s">
        <v>13</v>
      </c>
      <c r="V795" s="16" t="s">
        <v>19</v>
      </c>
      <c r="W795" s="19" t="s"/>
      <c r="X795" s="26" t="s">
        <f>=M795&amp;N795&amp;P795&amp;Q795&amp;T795&amp;V795&amp;S795</f>
        <v>883</v>
      </c>
      <c r="Y795" s="19" t="s"/>
      <c r="Z795" s="19" t="s"/>
      <c r="AA795" s="19" t="s"/>
      <c r="AB795" s="19" t="s"/>
    </row>
    <row r="796" spans="1:28" ht="14.4">
      <c r="A796" s="4">
        <f>=H796/G796-1</f>
        <v>0.098901098901099</v>
      </c>
      <c r="B796" s="20">
        <f>=F796/12</f>
        <v>7.5</v>
      </c>
      <c r="C796" s="20">
        <f>=J796/3</f>
        <v>60</v>
      </c>
      <c r="D796" s="20">
        <f>=K796/3</f>
        <v>66.6666666666667</v>
      </c>
      <c r="E796" s="20">
        <f>=L796/3</f>
        <v>70</v>
      </c>
      <c r="F796" s="20">
        <f>=H796*0.9</f>
        <v>90</v>
      </c>
      <c r="G796" s="21">
        <v>91</v>
      </c>
      <c r="H796" s="39">
        <v>100</v>
      </c>
      <c r="I796" s="40">
        <f>=H796*1.05</f>
        <v>105</v>
      </c>
      <c r="J796" s="40">
        <f>=F796*2</f>
        <v>180</v>
      </c>
      <c r="K796" s="40">
        <f>=H796*2</f>
        <v>200</v>
      </c>
      <c r="L796" s="40">
        <f>=I796*2</f>
        <v>210</v>
      </c>
      <c r="M796" s="41" t="s">
        <v>876</v>
      </c>
      <c r="N796" s="41">
        <v>0.15</v>
      </c>
      <c r="O796" s="41" t="s"/>
      <c r="P796" s="41" t="s">
        <v>21</v>
      </c>
      <c r="Q796" s="41" t="s">
        <v>21</v>
      </c>
      <c r="R796" s="41" t="s">
        <v>16</v>
      </c>
      <c r="S796" s="41" t="s">
        <v>17</v>
      </c>
      <c r="T796" s="41" t="s">
        <v>39</v>
      </c>
      <c r="U796" s="16" t="s">
        <v>13</v>
      </c>
      <c r="V796" s="16" t="s">
        <v>19</v>
      </c>
      <c r="W796" s="19" t="s"/>
      <c r="X796" s="26" t="s">
        <f>=M796&amp;N796&amp;P796&amp;Q796&amp;T796&amp;V796&amp;S796</f>
        <v>884</v>
      </c>
      <c r="Y796" s="19" t="s"/>
      <c r="Z796" s="19" t="s"/>
      <c r="AA796" s="19" t="s"/>
      <c r="AB796" s="19" t="s"/>
    </row>
    <row r="797" spans="1:29" ht="13.5" customHeight="true">
      <c r="A797" s="78">
        <f>=H797/G797-1</f>
        <v>3.61538461538462</v>
      </c>
      <c r="B797" s="79">
        <f>=F797/12</f>
        <v>31.5</v>
      </c>
      <c r="C797" s="79">
        <f>=J797/3</f>
        <v>252</v>
      </c>
      <c r="D797" s="79">
        <f>=K797/3</f>
        <v>280</v>
      </c>
      <c r="E797" s="79">
        <f>=L797/3</f>
        <v>294</v>
      </c>
      <c r="F797" s="79">
        <f>=H797*0.9</f>
        <v>378</v>
      </c>
      <c r="G797" s="80">
        <v>91</v>
      </c>
      <c r="H797" s="81">
        <v>420</v>
      </c>
      <c r="I797" s="82">
        <f>=H797*1.05</f>
        <v>441</v>
      </c>
      <c r="J797" s="82">
        <f>=F797*2</f>
        <v>756</v>
      </c>
      <c r="K797" s="82">
        <f>=H797*2</f>
        <v>840</v>
      </c>
      <c r="L797" s="82">
        <f>=I797*2</f>
        <v>882</v>
      </c>
      <c r="M797" s="83" t="s">
        <v>876</v>
      </c>
      <c r="N797" s="83">
        <v>0.15</v>
      </c>
      <c r="O797" s="84" t="s"/>
      <c r="P797" s="83">
        <v>3</v>
      </c>
      <c r="Q797" s="83">
        <v>3</v>
      </c>
      <c r="R797" s="83" t="s">
        <v>16</v>
      </c>
      <c r="S797" s="83" t="s">
        <v>17</v>
      </c>
      <c r="T797" s="83" t="s">
        <v>43</v>
      </c>
      <c r="U797" s="85" t="s">
        <v>13</v>
      </c>
      <c r="V797" s="85" t="s">
        <v>19</v>
      </c>
      <c r="W797" s="86" t="s"/>
      <c r="X797" s="18" t="s">
        <f>=M797&amp;N797&amp;P797&amp;Q797&amp;T797&amp;V797&amp;S797</f>
        <v>885</v>
      </c>
      <c r="Y797" s="86" t="s"/>
      <c r="Z797" s="86" t="s"/>
      <c r="AA797" s="86" t="s"/>
      <c r="AB797" s="86" t="s"/>
      <c r="AC797" s="87" t="s"/>
    </row>
    <row r="798" spans="1:28" ht="14.4">
      <c r="A798" s="4">
        <f>=H798/G798-1</f>
        <v>0.0973451327433628</v>
      </c>
      <c r="B798" s="20">
        <f>=F798/12</f>
        <v>9.3</v>
      </c>
      <c r="C798" s="20">
        <f>=J798/3</f>
        <v>74.4</v>
      </c>
      <c r="D798" s="20">
        <f>=K798/3</f>
        <v>82.6666666666667</v>
      </c>
      <c r="E798" s="20">
        <f>=L798/3</f>
        <v>86.8</v>
      </c>
      <c r="F798" s="20">
        <f>=H798*0.9</f>
        <v>111.6</v>
      </c>
      <c r="G798" s="21">
        <v>113</v>
      </c>
      <c r="H798" s="39">
        <v>124</v>
      </c>
      <c r="I798" s="40">
        <f>=H798*1.05</f>
        <v>130.2</v>
      </c>
      <c r="J798" s="40">
        <f>=F798*2</f>
        <v>223.2</v>
      </c>
      <c r="K798" s="40">
        <f>=H798*2</f>
        <v>248</v>
      </c>
      <c r="L798" s="40">
        <f>=I798*2</f>
        <v>260.4</v>
      </c>
      <c r="M798" s="41" t="s">
        <v>876</v>
      </c>
      <c r="N798" s="41">
        <v>0.2</v>
      </c>
      <c r="O798" s="41" t="s"/>
      <c r="P798" s="41">
        <v>1</v>
      </c>
      <c r="Q798" s="41">
        <v>1</v>
      </c>
      <c r="R798" s="41" t="s">
        <v>16</v>
      </c>
      <c r="S798" s="41" t="s">
        <v>17</v>
      </c>
      <c r="T798" s="41" t="s">
        <v>46</v>
      </c>
      <c r="U798" s="16" t="s">
        <v>13</v>
      </c>
      <c r="V798" s="16" t="s">
        <v>19</v>
      </c>
      <c r="W798" s="19" t="s"/>
      <c r="X798" s="26" t="s">
        <f>=M798&amp;N798&amp;P798&amp;Q798&amp;T798&amp;V798&amp;S798</f>
        <v>886</v>
      </c>
      <c r="Y798" s="19" t="s"/>
      <c r="Z798" s="19" t="s"/>
      <c r="AA798" s="19" t="s"/>
      <c r="AB798" s="19" t="s"/>
    </row>
    <row r="799" spans="1:28" ht="14.4">
      <c r="A799" s="4">
        <f>=H799/G799-1</f>
        <v>0.100238663484487</v>
      </c>
      <c r="B799" s="20">
        <f>=F799/12</f>
        <v>34.575</v>
      </c>
      <c r="C799" s="20">
        <f>=J799/3</f>
        <v>276.6</v>
      </c>
      <c r="D799" s="20">
        <f>=K799/3</f>
        <v>307.333333333333</v>
      </c>
      <c r="E799" s="20">
        <f>=L799/3</f>
        <v>322.7</v>
      </c>
      <c r="F799" s="20">
        <f>=H799*0.9</f>
        <v>414.9</v>
      </c>
      <c r="G799" s="21">
        <v>419</v>
      </c>
      <c r="H799" s="39">
        <v>461</v>
      </c>
      <c r="I799" s="40">
        <f>=H799*1.05</f>
        <v>484.05</v>
      </c>
      <c r="J799" s="40">
        <f>=F799*2</f>
        <v>829.8</v>
      </c>
      <c r="K799" s="40">
        <f>=H799*2</f>
        <v>922</v>
      </c>
      <c r="L799" s="40">
        <f>=I799*2</f>
        <v>968.1</v>
      </c>
      <c r="M799" s="41" t="s">
        <v>876</v>
      </c>
      <c r="N799" s="41">
        <v>0.2</v>
      </c>
      <c r="O799" s="41" t="s"/>
      <c r="P799" s="41">
        <v>3</v>
      </c>
      <c r="Q799" s="41">
        <v>3</v>
      </c>
      <c r="R799" s="41" t="s">
        <v>16</v>
      </c>
      <c r="S799" s="41" t="s">
        <v>17</v>
      </c>
      <c r="T799" s="41" t="s">
        <v>52</v>
      </c>
      <c r="U799" s="16" t="s">
        <v>13</v>
      </c>
      <c r="V799" s="16" t="s">
        <v>19</v>
      </c>
      <c r="W799" s="19" t="s"/>
      <c r="X799" s="26" t="s">
        <f>=M799&amp;N799&amp;P799&amp;Q799&amp;T799&amp;V799&amp;S799</f>
        <v>887</v>
      </c>
      <c r="Y799" s="19" t="s"/>
      <c r="Z799" s="19" t="s"/>
      <c r="AA799" s="19" t="s"/>
      <c r="AB799" s="19" t="s"/>
    </row>
    <row r="800" spans="1:28" ht="14.4">
      <c r="A800" s="4">
        <f>=H800/G800-1</f>
        <v>0.101351351351351</v>
      </c>
      <c r="B800" s="20">
        <f>=F800/12</f>
        <v>24.45</v>
      </c>
      <c r="C800" s="20">
        <f>=J800/3</f>
        <v>195.6</v>
      </c>
      <c r="D800" s="20">
        <f>=K800/3</f>
        <v>217.333333333333</v>
      </c>
      <c r="E800" s="20">
        <f>=L800/3</f>
        <v>228.2</v>
      </c>
      <c r="F800" s="20">
        <f>=H800*0.9</f>
        <v>293.4</v>
      </c>
      <c r="G800" s="21">
        <v>296</v>
      </c>
      <c r="H800" s="39">
        <v>326</v>
      </c>
      <c r="I800" s="40">
        <f>=H800*1.05</f>
        <v>342.3</v>
      </c>
      <c r="J800" s="40">
        <f>=F800*2</f>
        <v>586.8</v>
      </c>
      <c r="K800" s="40">
        <f>=H800*2</f>
        <v>652</v>
      </c>
      <c r="L800" s="40">
        <f>=I800*2</f>
        <v>684.6</v>
      </c>
      <c r="M800" s="41" t="s">
        <v>876</v>
      </c>
      <c r="N800" s="41">
        <v>0.2</v>
      </c>
      <c r="O800" s="41" t="s"/>
      <c r="P800" s="41">
        <v>3</v>
      </c>
      <c r="Q800" s="41">
        <v>3</v>
      </c>
      <c r="R800" s="41" t="s">
        <v>16</v>
      </c>
      <c r="S800" s="41" t="s">
        <v>17</v>
      </c>
      <c r="T800" s="41" t="s">
        <v>46</v>
      </c>
      <c r="U800" s="16" t="s">
        <v>13</v>
      </c>
      <c r="V800" s="16" t="s">
        <v>19</v>
      </c>
      <c r="W800" s="19" t="s"/>
      <c r="X800" s="26" t="s">
        <f>=M800&amp;N800&amp;P800&amp;Q800&amp;T800&amp;V800&amp;S800</f>
        <v>888</v>
      </c>
      <c r="Y800" s="19" t="s"/>
      <c r="Z800" s="19" t="s"/>
      <c r="AA800" s="19" t="s"/>
      <c r="AB800" s="19" t="s"/>
    </row>
    <row r="801" spans="1:28" ht="14.4">
      <c r="A801" s="4">
        <f>=H801/G801-1</f>
        <v>0.0978260869565217</v>
      </c>
      <c r="B801" s="20">
        <f>=F801/12</f>
        <v>7.575</v>
      </c>
      <c r="C801" s="20">
        <f>=J801/3</f>
        <v>60.6</v>
      </c>
      <c r="D801" s="20">
        <f>=K801/3</f>
        <v>67.3333333333333</v>
      </c>
      <c r="E801" s="20">
        <f>=L801/3</f>
        <v>70.7</v>
      </c>
      <c r="F801" s="20">
        <f>=H801*0.9</f>
        <v>90.9</v>
      </c>
      <c r="G801" s="21">
        <v>92</v>
      </c>
      <c r="H801" s="39">
        <v>101</v>
      </c>
      <c r="I801" s="40">
        <f>=H801*1.05</f>
        <v>106.05</v>
      </c>
      <c r="J801" s="40">
        <f>=F801*2</f>
        <v>181.8</v>
      </c>
      <c r="K801" s="40">
        <f>=H801*2</f>
        <v>202</v>
      </c>
      <c r="L801" s="40">
        <f>=I801*2</f>
        <v>212.1</v>
      </c>
      <c r="M801" s="41" t="s">
        <v>876</v>
      </c>
      <c r="N801" s="41">
        <v>0.2</v>
      </c>
      <c r="O801" s="41" t="s"/>
      <c r="P801" s="41" t="s">
        <v>21</v>
      </c>
      <c r="Q801" s="41" t="s">
        <v>21</v>
      </c>
      <c r="R801" s="41" t="s">
        <v>16</v>
      </c>
      <c r="S801" s="41" t="s">
        <v>17</v>
      </c>
      <c r="T801" s="41" t="s">
        <v>46</v>
      </c>
      <c r="U801" s="16" t="s">
        <v>13</v>
      </c>
      <c r="V801" s="16" t="s">
        <v>19</v>
      </c>
      <c r="W801" s="19" t="s"/>
      <c r="X801" s="26" t="s">
        <f>=M801&amp;N801&amp;P801&amp;Q801&amp;T801&amp;V801&amp;S801</f>
        <v>889</v>
      </c>
      <c r="Y801" s="19" t="s"/>
      <c r="Z801" s="19" t="s"/>
      <c r="AA801" s="19" t="s"/>
      <c r="AB801" s="19" t="s"/>
    </row>
    <row r="802" spans="1:28" ht="14.4">
      <c r="A802" s="4">
        <f>=H802/G802-1</f>
        <v>0.0972222222222223</v>
      </c>
      <c r="B802" s="20">
        <f>=F802/12</f>
        <v>11.85</v>
      </c>
      <c r="C802" s="20">
        <f>=J802/3</f>
        <v>94.8</v>
      </c>
      <c r="D802" s="20">
        <f>=K802/3</f>
        <v>105.333333333333</v>
      </c>
      <c r="E802" s="20">
        <f>=L802/3</f>
        <v>110.6</v>
      </c>
      <c r="F802" s="20">
        <f>=H802*0.9</f>
        <v>142.2</v>
      </c>
      <c r="G802" s="21">
        <v>144</v>
      </c>
      <c r="H802" s="39">
        <v>158</v>
      </c>
      <c r="I802" s="40">
        <f>=H802*1.05</f>
        <v>165.9</v>
      </c>
      <c r="J802" s="40">
        <f>=F802*2</f>
        <v>284.4</v>
      </c>
      <c r="K802" s="40">
        <f>=H802*2</f>
        <v>316</v>
      </c>
      <c r="L802" s="40">
        <f>=I802*2</f>
        <v>331.8</v>
      </c>
      <c r="M802" s="41" t="s">
        <v>876</v>
      </c>
      <c r="N802" s="41">
        <v>0.23</v>
      </c>
      <c r="O802" s="41" t="s"/>
      <c r="P802" s="41">
        <v>1</v>
      </c>
      <c r="Q802" s="41">
        <v>1</v>
      </c>
      <c r="R802" s="41" t="s">
        <v>16</v>
      </c>
      <c r="S802" s="41" t="s">
        <v>17</v>
      </c>
      <c r="T802" s="41" t="s">
        <v>76</v>
      </c>
      <c r="U802" s="16" t="s">
        <v>13</v>
      </c>
      <c r="V802" s="16" t="s">
        <v>19</v>
      </c>
      <c r="W802" s="19" t="s"/>
      <c r="X802" s="26" t="s">
        <f>=M802&amp;N802&amp;P802&amp;Q802&amp;T802&amp;V802&amp;S802</f>
        <v>890</v>
      </c>
      <c r="Y802" s="19" t="s"/>
      <c r="Z802" s="19" t="s"/>
      <c r="AA802" s="19" t="s"/>
      <c r="AB802" s="19" t="s"/>
    </row>
    <row r="803" spans="1:28" ht="14.4">
      <c r="A803" s="4">
        <f>=H803/G803-1</f>
        <v>0.103448275862069</v>
      </c>
      <c r="B803" s="20">
        <f>=F803/12</f>
        <v>12</v>
      </c>
      <c r="C803" s="20">
        <f>=J803/3</f>
        <v>96</v>
      </c>
      <c r="D803" s="20">
        <f>=K803/3</f>
        <v>106.666666666667</v>
      </c>
      <c r="E803" s="20">
        <f>=L803/3</f>
        <v>112</v>
      </c>
      <c r="F803" s="20">
        <f>=H803*0.9</f>
        <v>144</v>
      </c>
      <c r="G803" s="21">
        <v>145</v>
      </c>
      <c r="H803" s="39">
        <v>160</v>
      </c>
      <c r="I803" s="40">
        <f>=H803*1.05</f>
        <v>168</v>
      </c>
      <c r="J803" s="40">
        <f>=F803*2</f>
        <v>288</v>
      </c>
      <c r="K803" s="40">
        <f>=H803*2</f>
        <v>320</v>
      </c>
      <c r="L803" s="40">
        <f>=I803*2</f>
        <v>336</v>
      </c>
      <c r="M803" s="41" t="s">
        <v>876</v>
      </c>
      <c r="N803" s="41">
        <v>0.23</v>
      </c>
      <c r="O803" s="41" t="s"/>
      <c r="P803" s="41">
        <v>1</v>
      </c>
      <c r="Q803" s="41">
        <v>1</v>
      </c>
      <c r="R803" s="41" t="s">
        <v>16</v>
      </c>
      <c r="S803" s="41" t="s">
        <v>17</v>
      </c>
      <c r="T803" s="41" t="s">
        <v>52</v>
      </c>
      <c r="U803" s="16" t="s">
        <v>13</v>
      </c>
      <c r="V803" s="16" t="s">
        <v>19</v>
      </c>
      <c r="W803" s="19" t="s"/>
      <c r="X803" s="26" t="s">
        <f>=M803&amp;N803&amp;P803&amp;Q803&amp;T803&amp;V803&amp;S803</f>
        <v>891</v>
      </c>
      <c r="Y803" s="19" t="s"/>
      <c r="Z803" s="19" t="s"/>
      <c r="AA803" s="19" t="s"/>
      <c r="AB803" s="19" t="s"/>
    </row>
    <row r="804" spans="1:28" ht="14.4">
      <c r="A804" s="4">
        <f>=H804/G804-1</f>
        <v>0.1</v>
      </c>
      <c r="B804" s="20">
        <f>=F804/12</f>
        <v>23.925</v>
      </c>
      <c r="C804" s="20">
        <f>=J804/3</f>
        <v>191.4</v>
      </c>
      <c r="D804" s="20">
        <f>=K804/3</f>
        <v>212.666666666667</v>
      </c>
      <c r="E804" s="20">
        <f>=L804/3</f>
        <v>223.3</v>
      </c>
      <c r="F804" s="20">
        <f>=H804*0.9</f>
        <v>287.1</v>
      </c>
      <c r="G804" s="21">
        <v>290</v>
      </c>
      <c r="H804" s="39">
        <v>319</v>
      </c>
      <c r="I804" s="40">
        <f>=H804*1.05</f>
        <v>334.95</v>
      </c>
      <c r="J804" s="40">
        <f>=F804*2</f>
        <v>574.2</v>
      </c>
      <c r="K804" s="40">
        <f>=H804*2</f>
        <v>638</v>
      </c>
      <c r="L804" s="40">
        <f>=I804*2</f>
        <v>669.9</v>
      </c>
      <c r="M804" s="41" t="s">
        <v>876</v>
      </c>
      <c r="N804" s="41">
        <v>0.23</v>
      </c>
      <c r="O804" s="41" t="s"/>
      <c r="P804" s="41">
        <v>2</v>
      </c>
      <c r="Q804" s="41">
        <v>2</v>
      </c>
      <c r="R804" s="41" t="s">
        <v>16</v>
      </c>
      <c r="S804" s="41" t="s">
        <v>17</v>
      </c>
      <c r="T804" s="41" t="s">
        <v>52</v>
      </c>
      <c r="U804" s="16" t="s">
        <v>13</v>
      </c>
      <c r="V804" s="16" t="s">
        <v>19</v>
      </c>
      <c r="W804" s="19" t="s"/>
      <c r="X804" s="26" t="s">
        <f>=M804&amp;N804&amp;P804&amp;Q804&amp;T804&amp;V804&amp;S804</f>
        <v>892</v>
      </c>
      <c r="Y804" s="19" t="s"/>
      <c r="Z804" s="19" t="s"/>
      <c r="AA804" s="19" t="s"/>
      <c r="AB804" s="19" t="s"/>
    </row>
    <row r="805" spans="1:28" ht="14.4">
      <c r="A805" s="4">
        <f>=H805/G805-1</f>
        <v>0.100702576112412</v>
      </c>
      <c r="B805" s="20">
        <f>=F805/12</f>
        <v>35.25</v>
      </c>
      <c r="C805" s="20">
        <f>=J805/3</f>
        <v>282</v>
      </c>
      <c r="D805" s="20">
        <f>=K805/3</f>
        <v>313.333333333333</v>
      </c>
      <c r="E805" s="20">
        <f>=L805/3</f>
        <v>329</v>
      </c>
      <c r="F805" s="20">
        <f>=H805*0.9</f>
        <v>423</v>
      </c>
      <c r="G805" s="21">
        <v>427</v>
      </c>
      <c r="H805" s="39">
        <v>470</v>
      </c>
      <c r="I805" s="40">
        <f>=H805*1.05</f>
        <v>493.5</v>
      </c>
      <c r="J805" s="40">
        <f>=F805*2</f>
        <v>846</v>
      </c>
      <c r="K805" s="40">
        <f>=H805*2</f>
        <v>940</v>
      </c>
      <c r="L805" s="40">
        <f>=I805*2</f>
        <v>987</v>
      </c>
      <c r="M805" s="41" t="s">
        <v>876</v>
      </c>
      <c r="N805" s="41">
        <v>0.23</v>
      </c>
      <c r="O805" s="41" t="s"/>
      <c r="P805" s="41">
        <v>3</v>
      </c>
      <c r="Q805" s="41">
        <v>3</v>
      </c>
      <c r="R805" s="41" t="s">
        <v>16</v>
      </c>
      <c r="S805" s="41" t="s">
        <v>17</v>
      </c>
      <c r="T805" s="41" t="s">
        <v>52</v>
      </c>
      <c r="U805" s="16" t="s">
        <v>13</v>
      </c>
      <c r="V805" s="16" t="s">
        <v>19</v>
      </c>
      <c r="W805" s="19" t="s"/>
      <c r="X805" s="26" t="s">
        <f>=M805&amp;N805&amp;P805&amp;Q805&amp;T805&amp;V805&amp;S805</f>
        <v>893</v>
      </c>
      <c r="Y805" s="19" t="s"/>
      <c r="Z805" s="19" t="s"/>
      <c r="AA805" s="19" t="s"/>
      <c r="AB805" s="19" t="s"/>
    </row>
    <row r="806" spans="1:28" ht="14.4">
      <c r="A806" s="4">
        <f>=H806/G806-1</f>
        <v>0.100719424460432</v>
      </c>
      <c r="B806" s="20">
        <f>=F806/12</f>
        <v>22.95</v>
      </c>
      <c r="C806" s="20">
        <f>=J806/3</f>
        <v>183.6</v>
      </c>
      <c r="D806" s="20">
        <f>=K806/3</f>
        <v>204</v>
      </c>
      <c r="E806" s="20">
        <f>=L806/3</f>
        <v>214.2</v>
      </c>
      <c r="F806" s="20">
        <f>=H806*0.9</f>
        <v>275.4</v>
      </c>
      <c r="G806" s="21">
        <v>278</v>
      </c>
      <c r="H806" s="39">
        <v>306</v>
      </c>
      <c r="I806" s="40">
        <f>=H806*1.05</f>
        <v>321.3</v>
      </c>
      <c r="J806" s="40">
        <f>=F806*2</f>
        <v>550.8</v>
      </c>
      <c r="K806" s="40">
        <f>=H806*2</f>
        <v>612</v>
      </c>
      <c r="L806" s="40">
        <f>=I806*2</f>
        <v>642.6</v>
      </c>
      <c r="M806" s="41" t="s">
        <v>876</v>
      </c>
      <c r="N806" s="41">
        <v>0.25</v>
      </c>
      <c r="O806" s="41" t="s"/>
      <c r="P806" s="41">
        <v>2</v>
      </c>
      <c r="Q806" s="41">
        <v>2</v>
      </c>
      <c r="R806" s="41" t="s">
        <v>16</v>
      </c>
      <c r="S806" s="41" t="s">
        <v>17</v>
      </c>
      <c r="T806" s="41" t="s">
        <v>52</v>
      </c>
      <c r="U806" s="16" t="s">
        <v>13</v>
      </c>
      <c r="V806" s="16" t="s">
        <v>19</v>
      </c>
      <c r="W806" s="19" t="s"/>
      <c r="X806" s="26" t="s">
        <f>=M806&amp;N806&amp;P806&amp;Q806&amp;T806&amp;V806&amp;S806</f>
        <v>894</v>
      </c>
      <c r="Y806" s="19" t="s"/>
      <c r="Z806" s="19" t="s"/>
      <c r="AA806" s="19" t="s"/>
      <c r="AB806" s="19" t="s"/>
    </row>
    <row r="807" spans="1:28" ht="14.4">
      <c r="A807" s="4">
        <f>=H807/G807-1</f>
        <v>0.100719424460432</v>
      </c>
      <c r="B807" s="20">
        <f>=F807/12</f>
        <v>22.95</v>
      </c>
      <c r="C807" s="20">
        <f>=J807/3</f>
        <v>183.6</v>
      </c>
      <c r="D807" s="20">
        <f>=K807/3</f>
        <v>204</v>
      </c>
      <c r="E807" s="20">
        <f>=L807/3</f>
        <v>214.2</v>
      </c>
      <c r="F807" s="20">
        <f>=H807*0.9</f>
        <v>275.4</v>
      </c>
      <c r="G807" s="21">
        <v>278</v>
      </c>
      <c r="H807" s="39">
        <v>306</v>
      </c>
      <c r="I807" s="40">
        <f>=H807*1.05</f>
        <v>321.3</v>
      </c>
      <c r="J807" s="40">
        <f>=F807*2</f>
        <v>550.8</v>
      </c>
      <c r="K807" s="40">
        <f>=H807*2</f>
        <v>612</v>
      </c>
      <c r="L807" s="40">
        <f>=I807*2</f>
        <v>642.6</v>
      </c>
      <c r="M807" s="41" t="s">
        <v>876</v>
      </c>
      <c r="N807" s="41">
        <v>0.26</v>
      </c>
      <c r="O807" s="41" t="s"/>
      <c r="P807" s="41">
        <v>2</v>
      </c>
      <c r="Q807" s="41">
        <v>2</v>
      </c>
      <c r="R807" s="41" t="s">
        <v>16</v>
      </c>
      <c r="S807" s="41" t="s">
        <v>17</v>
      </c>
      <c r="T807" s="41" t="s">
        <v>52</v>
      </c>
      <c r="U807" s="16" t="s">
        <v>13</v>
      </c>
      <c r="V807" s="16" t="s">
        <v>19</v>
      </c>
      <c r="W807" s="19" t="s"/>
      <c r="X807" s="26" t="s">
        <f>=M807&amp;N807&amp;P807&amp;Q807&amp;T807&amp;V807&amp;S807</f>
        <v>895</v>
      </c>
      <c r="Y807" s="19" t="s"/>
      <c r="Z807" s="19" t="s"/>
      <c r="AA807" s="19" t="s"/>
      <c r="AB807" s="19" t="s"/>
    </row>
    <row r="808" spans="1:28" ht="14.4">
      <c r="A808" s="4">
        <f>=H808/G808-1</f>
        <v>0.0974025974025974</v>
      </c>
      <c r="B808" s="20">
        <f>=F808/12</f>
        <v>12.675</v>
      </c>
      <c r="C808" s="20">
        <f>=J808/3</f>
        <v>101.4</v>
      </c>
      <c r="D808" s="20">
        <f>=K808/3</f>
        <v>112.666666666667</v>
      </c>
      <c r="E808" s="20">
        <f>=L808/3</f>
        <v>118.3</v>
      </c>
      <c r="F808" s="20">
        <f>=H808*0.9</f>
        <v>152.1</v>
      </c>
      <c r="G808" s="21">
        <v>154</v>
      </c>
      <c r="H808" s="39">
        <v>169</v>
      </c>
      <c r="I808" s="40">
        <f>=H808*1.05</f>
        <v>177.45</v>
      </c>
      <c r="J808" s="40">
        <f>=F808*2</f>
        <v>304.2</v>
      </c>
      <c r="K808" s="40">
        <f>=H808*2</f>
        <v>338</v>
      </c>
      <c r="L808" s="40">
        <f>=I808*2</f>
        <v>354.9</v>
      </c>
      <c r="M808" s="41" t="s">
        <v>876</v>
      </c>
      <c r="N808" s="41">
        <v>0.3</v>
      </c>
      <c r="O808" s="41" t="s"/>
      <c r="P808" s="41">
        <v>1</v>
      </c>
      <c r="Q808" s="41">
        <v>1</v>
      </c>
      <c r="R808" s="41" t="s">
        <v>16</v>
      </c>
      <c r="S808" s="41" t="s">
        <v>17</v>
      </c>
      <c r="T808" s="41" t="s">
        <v>896</v>
      </c>
      <c r="U808" s="16" t="s">
        <v>13</v>
      </c>
      <c r="V808" s="16" t="s">
        <v>19</v>
      </c>
      <c r="W808" s="19" t="s"/>
      <c r="X808" s="26" t="s">
        <f>=M808&amp;N808&amp;P808&amp;Q808&amp;T808&amp;V808&amp;S808</f>
        <v>897</v>
      </c>
      <c r="Y808" s="19" t="s"/>
      <c r="Z808" s="19" t="s"/>
      <c r="AA808" s="19" t="s"/>
      <c r="AB808" s="19" t="s"/>
    </row>
    <row r="809" spans="1:28" ht="14.4">
      <c r="A809" s="4">
        <f>=H809/G809-1</f>
        <v>0.0992555831265509</v>
      </c>
      <c r="B809" s="20">
        <f>=F809/12</f>
        <v>33.225</v>
      </c>
      <c r="C809" s="20">
        <f>=J809/3</f>
        <v>265.8</v>
      </c>
      <c r="D809" s="20">
        <f>=K809/3</f>
        <v>295.333333333333</v>
      </c>
      <c r="E809" s="20">
        <f>=L809/3</f>
        <v>310.1</v>
      </c>
      <c r="F809" s="20">
        <f>=H809*0.9</f>
        <v>398.7</v>
      </c>
      <c r="G809" s="21">
        <v>403</v>
      </c>
      <c r="H809" s="39">
        <v>443</v>
      </c>
      <c r="I809" s="40">
        <f>=H809*1.05</f>
        <v>465.15</v>
      </c>
      <c r="J809" s="40">
        <f>=F809*2</f>
        <v>797.4</v>
      </c>
      <c r="K809" s="40">
        <f>=H809*2</f>
        <v>886</v>
      </c>
      <c r="L809" s="40">
        <f>=I809*2</f>
        <v>930.3</v>
      </c>
      <c r="M809" s="41" t="s">
        <v>876</v>
      </c>
      <c r="N809" s="41">
        <v>0.3</v>
      </c>
      <c r="O809" s="41" t="s"/>
      <c r="P809" s="41">
        <v>3</v>
      </c>
      <c r="Q809" s="41">
        <v>3</v>
      </c>
      <c r="R809" s="41" t="s">
        <v>16</v>
      </c>
      <c r="S809" s="41" t="s">
        <v>17</v>
      </c>
      <c r="T809" s="41" t="s">
        <v>67</v>
      </c>
      <c r="U809" s="16" t="s">
        <v>13</v>
      </c>
      <c r="V809" s="16" t="s">
        <v>19</v>
      </c>
      <c r="W809" s="19" t="s"/>
      <c r="X809" s="26" t="s">
        <f>=M809&amp;N809&amp;P809&amp;Q809&amp;T809&amp;V809&amp;S809</f>
        <v>898</v>
      </c>
      <c r="Y809" s="19" t="s"/>
      <c r="Z809" s="19" t="s"/>
      <c r="AA809" s="19" t="s"/>
      <c r="AB809" s="19" t="s"/>
    </row>
    <row r="810" spans="1:28" ht="14.4">
      <c r="A810" s="4">
        <f>=H810/G810-1</f>
        <v>0.0974025974025974</v>
      </c>
      <c r="B810" s="20">
        <f>=F810/12</f>
        <v>12.675</v>
      </c>
      <c r="C810" s="20">
        <f>=J810/3</f>
        <v>101.4</v>
      </c>
      <c r="D810" s="20">
        <f>=K810/3</f>
        <v>112.666666666667</v>
      </c>
      <c r="E810" s="20">
        <f>=L810/3</f>
        <v>118.3</v>
      </c>
      <c r="F810" s="20">
        <f>=H810*0.9</f>
        <v>152.1</v>
      </c>
      <c r="G810" s="21">
        <v>154</v>
      </c>
      <c r="H810" s="39">
        <v>169</v>
      </c>
      <c r="I810" s="40">
        <f>=H810*1.05</f>
        <v>177.45</v>
      </c>
      <c r="J810" s="40">
        <f>=F810*2</f>
        <v>304.2</v>
      </c>
      <c r="K810" s="40">
        <f>=H810*2</f>
        <v>338</v>
      </c>
      <c r="L810" s="40">
        <f>=I810*2</f>
        <v>354.9</v>
      </c>
      <c r="M810" s="41" t="s">
        <v>876</v>
      </c>
      <c r="N810" s="41">
        <v>0.33</v>
      </c>
      <c r="O810" s="41" t="s"/>
      <c r="P810" s="41">
        <v>1</v>
      </c>
      <c r="Q810" s="41">
        <v>1</v>
      </c>
      <c r="R810" s="41" t="s">
        <v>16</v>
      </c>
      <c r="S810" s="41" t="s">
        <v>17</v>
      </c>
      <c r="T810" s="41" t="s">
        <v>67</v>
      </c>
      <c r="U810" s="16" t="s">
        <v>13</v>
      </c>
      <c r="V810" s="16" t="s">
        <v>19</v>
      </c>
      <c r="W810" s="19" t="s"/>
      <c r="X810" s="26" t="s">
        <f>=M810&amp;N810&amp;P810&amp;Q810&amp;T810&amp;V810&amp;S810</f>
        <v>899</v>
      </c>
      <c r="Y810" s="19" t="s"/>
      <c r="Z810" s="19" t="s"/>
      <c r="AA810" s="19" t="s"/>
      <c r="AB810" s="19" t="s"/>
    </row>
    <row r="811" spans="1:28" ht="14.4">
      <c r="A811" s="4">
        <f>=H811/G811-1</f>
        <v>0.0992366412213741</v>
      </c>
      <c r="B811" s="20">
        <f>=F811/12</f>
        <v>21.6</v>
      </c>
      <c r="C811" s="20">
        <f>=J811/3</f>
        <v>172.8</v>
      </c>
      <c r="D811" s="20">
        <f>=K811/3</f>
        <v>192</v>
      </c>
      <c r="E811" s="20">
        <f>=L811/3</f>
        <v>201.6</v>
      </c>
      <c r="F811" s="20">
        <f>=H811*0.9</f>
        <v>259.2</v>
      </c>
      <c r="G811" s="21">
        <v>262</v>
      </c>
      <c r="H811" s="39">
        <v>288</v>
      </c>
      <c r="I811" s="40">
        <f>=H811*1.05</f>
        <v>302.4</v>
      </c>
      <c r="J811" s="40">
        <f>=F811*2</f>
        <v>518.4</v>
      </c>
      <c r="K811" s="40">
        <f>=H811*2</f>
        <v>576</v>
      </c>
      <c r="L811" s="40">
        <f>=I811*2</f>
        <v>604.8</v>
      </c>
      <c r="M811" s="41" t="s">
        <v>876</v>
      </c>
      <c r="N811" s="41">
        <v>0.33</v>
      </c>
      <c r="O811" s="41" t="s"/>
      <c r="P811" s="41">
        <v>2</v>
      </c>
      <c r="Q811" s="41">
        <v>2</v>
      </c>
      <c r="R811" s="41" t="s">
        <v>16</v>
      </c>
      <c r="S811" s="41" t="s">
        <v>17</v>
      </c>
      <c r="T811" s="41" t="s">
        <v>67</v>
      </c>
      <c r="U811" s="16" t="s">
        <v>13</v>
      </c>
      <c r="V811" s="16" t="s">
        <v>19</v>
      </c>
      <c r="W811" s="19" t="s"/>
      <c r="X811" s="26" t="s">
        <f>=M811&amp;N811&amp;P811&amp;Q811&amp;T811&amp;V811&amp;S811</f>
        <v>900</v>
      </c>
      <c r="Y811" s="19" t="s"/>
      <c r="Z811" s="19" t="s"/>
      <c r="AA811" s="19" t="s"/>
      <c r="AB811" s="19" t="s"/>
    </row>
    <row r="812" spans="1:28" ht="14.4">
      <c r="A812" s="4">
        <f>=H812/G812-1</f>
        <v>0.098360655737705</v>
      </c>
      <c r="B812" s="20">
        <f>=F812/12</f>
        <v>10.05</v>
      </c>
      <c r="C812" s="20">
        <f>=J812/3</f>
        <v>80.4</v>
      </c>
      <c r="D812" s="20">
        <f>=K812/3</f>
        <v>89.3333333333333</v>
      </c>
      <c r="E812" s="20">
        <f>=L812/3</f>
        <v>93.8</v>
      </c>
      <c r="F812" s="20">
        <f>=H812*0.9</f>
        <v>120.6</v>
      </c>
      <c r="G812" s="21">
        <v>122</v>
      </c>
      <c r="H812" s="39">
        <v>134</v>
      </c>
      <c r="I812" s="40">
        <f>=H812*1.05</f>
        <v>140.7</v>
      </c>
      <c r="J812" s="40">
        <f>=F812*2</f>
        <v>241.2</v>
      </c>
      <c r="K812" s="40">
        <f>=H812*2</f>
        <v>268</v>
      </c>
      <c r="L812" s="40">
        <f>=I812*2</f>
        <v>281.4</v>
      </c>
      <c r="M812" s="41" t="s">
        <v>876</v>
      </c>
      <c r="N812" s="41">
        <v>0.33</v>
      </c>
      <c r="O812" s="41" t="s"/>
      <c r="P812" s="41" t="s">
        <v>21</v>
      </c>
      <c r="Q812" s="41" t="s">
        <v>21</v>
      </c>
      <c r="R812" s="41" t="s">
        <v>16</v>
      </c>
      <c r="S812" s="41" t="s">
        <v>17</v>
      </c>
      <c r="T812" s="41" t="s">
        <v>67</v>
      </c>
      <c r="U812" s="16" t="s">
        <v>13</v>
      </c>
      <c r="V812" s="16" t="s">
        <v>19</v>
      </c>
      <c r="W812" s="19" t="s"/>
      <c r="X812" s="26" t="s">
        <f>=M812&amp;N812&amp;P812&amp;Q812&amp;T812&amp;V812&amp;S812</f>
        <v>901</v>
      </c>
      <c r="Y812" s="19" t="s"/>
      <c r="Z812" s="19" t="s"/>
      <c r="AA812" s="19" t="s"/>
      <c r="AB812" s="19" t="s"/>
    </row>
    <row r="813" spans="1:28" ht="14.4">
      <c r="A813" s="4">
        <f>=H813/G813-1</f>
        <v>0.103225806451613</v>
      </c>
      <c r="B813" s="20">
        <f>=F813/12</f>
        <v>12.825</v>
      </c>
      <c r="C813" s="20">
        <f>=J813/3</f>
        <v>102.6</v>
      </c>
      <c r="D813" s="20">
        <f>=K813/3</f>
        <v>114</v>
      </c>
      <c r="E813" s="20">
        <f>=L813/3</f>
        <v>119.7</v>
      </c>
      <c r="F813" s="20">
        <f>=H813*0.9</f>
        <v>153.9</v>
      </c>
      <c r="G813" s="21">
        <v>155</v>
      </c>
      <c r="H813" s="39">
        <v>171</v>
      </c>
      <c r="I813" s="40">
        <f>=H813*1.05</f>
        <v>179.55</v>
      </c>
      <c r="J813" s="40">
        <f>=F813*2</f>
        <v>307.8</v>
      </c>
      <c r="K813" s="40">
        <f>=H813*2</f>
        <v>342</v>
      </c>
      <c r="L813" s="40">
        <f>=I813*2</f>
        <v>359.1</v>
      </c>
      <c r="M813" s="41" t="s">
        <v>876</v>
      </c>
      <c r="N813" s="88">
        <v>0.36</v>
      </c>
      <c r="O813" s="41" t="s"/>
      <c r="P813" s="41">
        <v>1</v>
      </c>
      <c r="Q813" s="88">
        <v>1</v>
      </c>
      <c r="R813" s="41" t="s">
        <v>16</v>
      </c>
      <c r="S813" s="41" t="s">
        <v>17</v>
      </c>
      <c r="T813" s="88" t="s">
        <v>76</v>
      </c>
      <c r="U813" s="16" t="s">
        <v>13</v>
      </c>
      <c r="V813" s="16" t="s">
        <v>19</v>
      </c>
      <c r="W813" s="19" t="s"/>
      <c r="X813" s="26" t="s">
        <f>=M813&amp;N813&amp;P813&amp;Q813&amp;T813&amp;V813&amp;S813</f>
        <v>902</v>
      </c>
      <c r="Y813" s="19" t="s"/>
      <c r="Z813" s="19" t="s"/>
      <c r="AA813" s="19" t="s"/>
      <c r="AB813" s="19" t="s"/>
    </row>
    <row r="814" spans="1:28" ht="14.4">
      <c r="A814" s="4">
        <f>=H814/G814-1</f>
        <v>0.101123595505618</v>
      </c>
      <c r="B814" s="20">
        <f>=F814/12</f>
        <v>22.05</v>
      </c>
      <c r="C814" s="20">
        <f>=J814/3</f>
        <v>176.4</v>
      </c>
      <c r="D814" s="20">
        <f>=K814/3</f>
        <v>196</v>
      </c>
      <c r="E814" s="20">
        <f>=L814/3</f>
        <v>205.8</v>
      </c>
      <c r="F814" s="20">
        <f>=H814*0.9</f>
        <v>264.6</v>
      </c>
      <c r="G814" s="21">
        <v>267</v>
      </c>
      <c r="H814" s="39">
        <v>294</v>
      </c>
      <c r="I814" s="40">
        <f>=H814*1.05</f>
        <v>308.7</v>
      </c>
      <c r="J814" s="40">
        <f>=F814*2</f>
        <v>529.2</v>
      </c>
      <c r="K814" s="40">
        <f>=H814*2</f>
        <v>588</v>
      </c>
      <c r="L814" s="40">
        <f>=I814*2</f>
        <v>617.4</v>
      </c>
      <c r="M814" s="41" t="s">
        <v>876</v>
      </c>
      <c r="N814" s="41">
        <v>0.36</v>
      </c>
      <c r="O814" s="41" t="s"/>
      <c r="P814" s="41">
        <v>2</v>
      </c>
      <c r="Q814" s="41">
        <v>2</v>
      </c>
      <c r="R814" s="41" t="s">
        <v>16</v>
      </c>
      <c r="S814" s="41" t="s">
        <v>17</v>
      </c>
      <c r="T814" s="41" t="s">
        <v>76</v>
      </c>
      <c r="U814" s="16" t="s">
        <v>13</v>
      </c>
      <c r="V814" s="16" t="s">
        <v>19</v>
      </c>
      <c r="W814" s="19" t="s"/>
      <c r="X814" s="26" t="s">
        <f>=M814&amp;N814&amp;P814&amp;Q814&amp;T814&amp;V814&amp;S814</f>
        <v>903</v>
      </c>
      <c r="Y814" s="19" t="s"/>
      <c r="Z814" s="19" t="s"/>
      <c r="AA814" s="19" t="s"/>
      <c r="AB814" s="19" t="s"/>
    </row>
    <row r="815" spans="1:28" ht="14.4">
      <c r="A815" s="4">
        <f>=H815/G815-1</f>
        <v>0.0993788819875776</v>
      </c>
      <c r="B815" s="20">
        <f>=F815/12</f>
        <v>13.275</v>
      </c>
      <c r="C815" s="20">
        <f>=J815/3</f>
        <v>106.2</v>
      </c>
      <c r="D815" s="20">
        <f>=K815/3</f>
        <v>118</v>
      </c>
      <c r="E815" s="20">
        <f>=L815/3</f>
        <v>123.9</v>
      </c>
      <c r="F815" s="20">
        <f>=H815*0.9</f>
        <v>159.3</v>
      </c>
      <c r="G815" s="21">
        <v>161</v>
      </c>
      <c r="H815" s="39">
        <v>177</v>
      </c>
      <c r="I815" s="40">
        <f>=H815*1.05</f>
        <v>185.85</v>
      </c>
      <c r="J815" s="40">
        <f>=F815*2</f>
        <v>318.6</v>
      </c>
      <c r="K815" s="40">
        <f>=H815*2</f>
        <v>354</v>
      </c>
      <c r="L815" s="40">
        <f>=I815*2</f>
        <v>371.7</v>
      </c>
      <c r="M815" s="41" t="s">
        <v>876</v>
      </c>
      <c r="N815" s="41">
        <v>0.38</v>
      </c>
      <c r="O815" s="41" t="s"/>
      <c r="P815" s="41">
        <v>1</v>
      </c>
      <c r="Q815" s="41">
        <v>1</v>
      </c>
      <c r="R815" s="41" t="s">
        <v>16</v>
      </c>
      <c r="S815" s="41" t="s">
        <v>17</v>
      </c>
      <c r="T815" s="41" t="s">
        <v>76</v>
      </c>
      <c r="U815" s="16" t="s">
        <v>13</v>
      </c>
      <c r="V815" s="16" t="s">
        <v>19</v>
      </c>
      <c r="W815" s="19" t="s"/>
      <c r="X815" s="26" t="s">
        <f>=M815&amp;N815&amp;P815&amp;Q815&amp;T815&amp;V815&amp;S815</f>
        <v>904</v>
      </c>
      <c r="Y815" s="19" t="s"/>
      <c r="Z815" s="19" t="s"/>
      <c r="AA815" s="19" t="s"/>
      <c r="AB815" s="19" t="s"/>
    </row>
    <row r="816" spans="1:28" ht="14.4">
      <c r="A816" s="4">
        <f>=H816/G816-1</f>
        <v>0.101123595505618</v>
      </c>
      <c r="B816" s="20">
        <f>=F816/12</f>
        <v>22.05</v>
      </c>
      <c r="C816" s="20">
        <f>=J816/3</f>
        <v>176.4</v>
      </c>
      <c r="D816" s="20">
        <f>=K816/3</f>
        <v>196</v>
      </c>
      <c r="E816" s="20">
        <f>=L816/3</f>
        <v>205.8</v>
      </c>
      <c r="F816" s="20">
        <f>=H816*0.9</f>
        <v>264.6</v>
      </c>
      <c r="G816" s="21">
        <v>267</v>
      </c>
      <c r="H816" s="39">
        <v>294</v>
      </c>
      <c r="I816" s="40">
        <f>=H816*1.05</f>
        <v>308.7</v>
      </c>
      <c r="J816" s="40">
        <f>=F816*2</f>
        <v>529.2</v>
      </c>
      <c r="K816" s="40">
        <f>=H816*2</f>
        <v>588</v>
      </c>
      <c r="L816" s="40">
        <f>=I816*2</f>
        <v>617.4</v>
      </c>
      <c r="M816" s="41" t="s">
        <v>876</v>
      </c>
      <c r="N816" s="41">
        <v>0.4</v>
      </c>
      <c r="O816" s="41" t="s"/>
      <c r="P816" s="41">
        <v>2</v>
      </c>
      <c r="Q816" s="41">
        <v>2</v>
      </c>
      <c r="R816" s="41" t="s">
        <v>16</v>
      </c>
      <c r="S816" s="41" t="s">
        <v>17</v>
      </c>
      <c r="T816" s="41" t="s">
        <v>76</v>
      </c>
      <c r="U816" s="16" t="s">
        <v>13</v>
      </c>
      <c r="V816" s="16" t="s">
        <v>19</v>
      </c>
      <c r="W816" s="19" t="s"/>
      <c r="X816" s="26" t="s">
        <f>=M816&amp;N816&amp;P816&amp;Q816&amp;T816&amp;V816&amp;S816</f>
        <v>905</v>
      </c>
      <c r="Y816" s="19" t="s"/>
      <c r="Z816" s="19" t="s"/>
      <c r="AA816" s="19" t="s"/>
      <c r="AB816" s="19" t="s"/>
    </row>
    <row r="817" spans="1:28" ht="14.4">
      <c r="A817" s="4">
        <f>=H817/G817-1</f>
        <v>0.101234567901235</v>
      </c>
      <c r="B817" s="20">
        <f>=F817/12</f>
        <v>33.45</v>
      </c>
      <c r="C817" s="20">
        <f>=J817/3</f>
        <v>267.6</v>
      </c>
      <c r="D817" s="20">
        <f>=K817/3</f>
        <v>297.333333333333</v>
      </c>
      <c r="E817" s="20">
        <f>=L817/3</f>
        <v>312.2</v>
      </c>
      <c r="F817" s="20">
        <f>=H817*0.9</f>
        <v>401.4</v>
      </c>
      <c r="G817" s="21">
        <v>405</v>
      </c>
      <c r="H817" s="39">
        <v>446</v>
      </c>
      <c r="I817" s="40">
        <f>=H817*1.05</f>
        <v>468.3</v>
      </c>
      <c r="J817" s="40">
        <f>=F817*2</f>
        <v>802.8</v>
      </c>
      <c r="K817" s="40">
        <f>=H817*2</f>
        <v>892</v>
      </c>
      <c r="L817" s="40">
        <f>=I817*2</f>
        <v>936.6</v>
      </c>
      <c r="M817" s="41" t="s">
        <v>876</v>
      </c>
      <c r="N817" s="41">
        <v>0.4</v>
      </c>
      <c r="O817" s="41" t="s"/>
      <c r="P817" s="41">
        <v>3</v>
      </c>
      <c r="Q817" s="41">
        <v>3</v>
      </c>
      <c r="R817" s="41" t="s">
        <v>16</v>
      </c>
      <c r="S817" s="41" t="s">
        <v>17</v>
      </c>
      <c r="T817" s="41" t="s">
        <v>76</v>
      </c>
      <c r="U817" s="16" t="s">
        <v>13</v>
      </c>
      <c r="V817" s="16" t="s">
        <v>19</v>
      </c>
      <c r="W817" s="19" t="s"/>
      <c r="X817" s="26" t="s">
        <f>=M817&amp;N817&amp;P817&amp;Q817&amp;T817&amp;V817&amp;S817</f>
        <v>906</v>
      </c>
      <c r="Y817" s="19" t="s"/>
      <c r="Z817" s="19" t="s"/>
      <c r="AA817" s="19" t="s"/>
      <c r="AB817" s="19" t="s"/>
    </row>
    <row r="818" spans="1:28" ht="14.4">
      <c r="A818" s="4">
        <f>=H818/G818-1</f>
        <v>0</v>
      </c>
      <c r="B818" s="20">
        <f>=F818/12</f>
        <v>12.675</v>
      </c>
      <c r="C818" s="20">
        <f>=J818/3</f>
        <v>101.4</v>
      </c>
      <c r="D818" s="20">
        <f>=K818/3</f>
        <v>112.666666666667</v>
      </c>
      <c r="E818" s="20">
        <f>=L818/3</f>
        <v>118.3</v>
      </c>
      <c r="F818" s="20">
        <f>=H818*0.9</f>
        <v>152.1</v>
      </c>
      <c r="G818" s="21">
        <v>169</v>
      </c>
      <c r="H818" s="39">
        <v>169</v>
      </c>
      <c r="I818" s="40">
        <f>=H818*1.05</f>
        <v>177.45</v>
      </c>
      <c r="J818" s="40">
        <f>=F818*2</f>
        <v>304.2</v>
      </c>
      <c r="K818" s="40">
        <f>=H818*2</f>
        <v>338</v>
      </c>
      <c r="L818" s="40">
        <f>=I818*2</f>
        <v>354.9</v>
      </c>
      <c r="M818" s="41" t="s">
        <v>876</v>
      </c>
      <c r="N818" s="41">
        <v>0.41</v>
      </c>
      <c r="O818" s="41" t="s"/>
      <c r="P818" s="41">
        <v>1</v>
      </c>
      <c r="Q818" s="41">
        <v>1</v>
      </c>
      <c r="R818" s="41" t="s">
        <v>16</v>
      </c>
      <c r="S818" s="41" t="s">
        <v>17</v>
      </c>
      <c r="T818" s="41" t="s">
        <v>76</v>
      </c>
      <c r="U818" s="16" t="s">
        <v>13</v>
      </c>
      <c r="V818" s="16" t="s">
        <v>19</v>
      </c>
      <c r="W818" s="17" t="s">
        <v>352</v>
      </c>
      <c r="X818" s="26" t="s">
        <f>=M818&amp;N818&amp;P818&amp;Q818&amp;T818&amp;V818&amp;S818</f>
        <v>907</v>
      </c>
      <c r="Y818" s="19" t="s"/>
      <c r="Z818" s="19" t="s"/>
      <c r="AA818" s="19" t="s"/>
      <c r="AB818" s="19" t="s"/>
    </row>
    <row r="819" spans="1:28" ht="14.4">
      <c r="A819" s="4">
        <f>=H819/G819-1</f>
        <v>0.0996441281138789</v>
      </c>
      <c r="B819" s="20">
        <f>=F819/12</f>
        <v>23.175</v>
      </c>
      <c r="C819" s="20">
        <f>=J819/3</f>
        <v>185.4</v>
      </c>
      <c r="D819" s="20">
        <f>=K819/3</f>
        <v>206</v>
      </c>
      <c r="E819" s="20">
        <f>=L819/3</f>
        <v>216.3</v>
      </c>
      <c r="F819" s="20">
        <f>=H819*0.9</f>
        <v>278.1</v>
      </c>
      <c r="G819" s="21">
        <v>281</v>
      </c>
      <c r="H819" s="39">
        <v>309</v>
      </c>
      <c r="I819" s="40">
        <f>=H819*1.05</f>
        <v>324.45</v>
      </c>
      <c r="J819" s="40">
        <f>=F819*2</f>
        <v>556.2</v>
      </c>
      <c r="K819" s="40">
        <f>=H819*2</f>
        <v>618</v>
      </c>
      <c r="L819" s="40">
        <f>=I819*2</f>
        <v>648.9</v>
      </c>
      <c r="M819" s="41" t="s">
        <v>876</v>
      </c>
      <c r="N819" s="41">
        <v>0.41</v>
      </c>
      <c r="O819" s="41" t="s"/>
      <c r="P819" s="41">
        <v>2</v>
      </c>
      <c r="Q819" s="41">
        <v>2</v>
      </c>
      <c r="R819" s="41" t="s">
        <v>16</v>
      </c>
      <c r="S819" s="41" t="s">
        <v>17</v>
      </c>
      <c r="T819" s="41" t="s">
        <v>76</v>
      </c>
      <c r="U819" s="16" t="s">
        <v>13</v>
      </c>
      <c r="V819" s="16" t="s">
        <v>19</v>
      </c>
      <c r="W819" s="19" t="s"/>
      <c r="X819" s="26" t="s">
        <f>=M819&amp;N819&amp;P819&amp;Q819&amp;T819&amp;V819&amp;S819</f>
        <v>908</v>
      </c>
      <c r="Y819" s="19" t="s"/>
      <c r="Z819" s="19" t="s"/>
      <c r="AA819" s="19" t="s"/>
      <c r="AB819" s="19" t="s"/>
    </row>
    <row r="820" spans="1:28" ht="14.4">
      <c r="A820" s="4">
        <f>=H820/G820-1</f>
        <v>0</v>
      </c>
      <c r="B820" s="20">
        <f>=F820/12</f>
        <v>10.95</v>
      </c>
      <c r="C820" s="20">
        <f>=J820/3</f>
        <v>87.6</v>
      </c>
      <c r="D820" s="20">
        <f>=K820/3</f>
        <v>97.3333333333333</v>
      </c>
      <c r="E820" s="20">
        <f>=L820/3</f>
        <v>102.2</v>
      </c>
      <c r="F820" s="20">
        <f>=H820*0.9</f>
        <v>131.4</v>
      </c>
      <c r="G820" s="21">
        <v>146</v>
      </c>
      <c r="H820" s="39">
        <v>146</v>
      </c>
      <c r="I820" s="40">
        <f>=H820*1.05</f>
        <v>153.3</v>
      </c>
      <c r="J820" s="40">
        <f>=F820*2</f>
        <v>262.8</v>
      </c>
      <c r="K820" s="40">
        <f>=H820*2</f>
        <v>292</v>
      </c>
      <c r="L820" s="40">
        <f>=I820*2</f>
        <v>306.6</v>
      </c>
      <c r="M820" s="41" t="s">
        <v>876</v>
      </c>
      <c r="N820" s="41">
        <v>0.46</v>
      </c>
      <c r="O820" s="41" t="s"/>
      <c r="P820" s="41" t="s">
        <v>21</v>
      </c>
      <c r="Q820" s="41" t="s">
        <v>21</v>
      </c>
      <c r="R820" s="41" t="s">
        <v>16</v>
      </c>
      <c r="S820" s="41" t="s">
        <v>17</v>
      </c>
      <c r="T820" s="41" t="s">
        <v>91</v>
      </c>
      <c r="U820" s="16" t="s">
        <v>13</v>
      </c>
      <c r="V820" s="16" t="s">
        <v>19</v>
      </c>
      <c r="W820" s="17" t="s">
        <v>352</v>
      </c>
      <c r="X820" s="26" t="s">
        <f>=M820&amp;N820&amp;P820&amp;Q820&amp;T820&amp;V820&amp;S820</f>
        <v>909</v>
      </c>
      <c r="Y820" s="19" t="s"/>
      <c r="Z820" s="19" t="s"/>
      <c r="AA820" s="19" t="s"/>
      <c r="AB820" s="19" t="s"/>
    </row>
    <row r="821" spans="1:28" ht="14.4">
      <c r="A821" s="4">
        <f>=H821/G821-1</f>
        <v>0.1</v>
      </c>
      <c r="B821" s="20">
        <f>=F821/12</f>
        <v>14.025</v>
      </c>
      <c r="C821" s="20">
        <f>=J821/3</f>
        <v>112.2</v>
      </c>
      <c r="D821" s="20">
        <f>=K821/3</f>
        <v>124.666666666667</v>
      </c>
      <c r="E821" s="20">
        <f>=L821/3</f>
        <v>130.9</v>
      </c>
      <c r="F821" s="20">
        <f>=H821*0.9</f>
        <v>168.3</v>
      </c>
      <c r="G821" s="21">
        <v>170</v>
      </c>
      <c r="H821" s="39">
        <v>187</v>
      </c>
      <c r="I821" s="40">
        <f>=H821*1.05</f>
        <v>196.35</v>
      </c>
      <c r="J821" s="40">
        <f>=F821*2</f>
        <v>336.6</v>
      </c>
      <c r="K821" s="40">
        <f>=H821*2</f>
        <v>374</v>
      </c>
      <c r="L821" s="40">
        <f>=I821*2</f>
        <v>392.7</v>
      </c>
      <c r="M821" s="41" t="s">
        <v>876</v>
      </c>
      <c r="N821" s="41">
        <v>0.46</v>
      </c>
      <c r="O821" s="41" t="s"/>
      <c r="P821" s="41">
        <v>1</v>
      </c>
      <c r="Q821" s="41">
        <v>1</v>
      </c>
      <c r="R821" s="41" t="s">
        <v>16</v>
      </c>
      <c r="S821" s="41" t="s">
        <v>17</v>
      </c>
      <c r="T821" s="41" t="s">
        <v>91</v>
      </c>
      <c r="U821" s="16" t="s">
        <v>13</v>
      </c>
      <c r="V821" s="16" t="s">
        <v>19</v>
      </c>
      <c r="W821" s="19" t="s"/>
      <c r="X821" s="26" t="s">
        <f>=M821&amp;N821&amp;P821&amp;Q821&amp;T821&amp;V821&amp;S821</f>
        <v>910</v>
      </c>
      <c r="Y821" s="19" t="s"/>
      <c r="Z821" s="19" t="s"/>
      <c r="AA821" s="19" t="s"/>
      <c r="AB821" s="19" t="s"/>
    </row>
    <row r="822" spans="1:28" ht="14.4">
      <c r="A822" s="4">
        <f>=H822/G822-1</f>
        <v>0.0985915492957748</v>
      </c>
      <c r="B822" s="20">
        <f>=F822/12</f>
        <v>23.4</v>
      </c>
      <c r="C822" s="20">
        <f>=J822/3</f>
        <v>187.2</v>
      </c>
      <c r="D822" s="20">
        <f>=K822/3</f>
        <v>208</v>
      </c>
      <c r="E822" s="20">
        <f>=L822/3</f>
        <v>218.4</v>
      </c>
      <c r="F822" s="20">
        <f>=H822*0.9</f>
        <v>280.8</v>
      </c>
      <c r="G822" s="21">
        <v>284</v>
      </c>
      <c r="H822" s="39">
        <v>312</v>
      </c>
      <c r="I822" s="40">
        <f>=H822*1.05</f>
        <v>327.6</v>
      </c>
      <c r="J822" s="40">
        <f>=F822*2</f>
        <v>561.6</v>
      </c>
      <c r="K822" s="40">
        <f>=H822*2</f>
        <v>624</v>
      </c>
      <c r="L822" s="40">
        <f>=I822*2</f>
        <v>655.2</v>
      </c>
      <c r="M822" s="41" t="s">
        <v>876</v>
      </c>
      <c r="N822" s="41">
        <v>0.46</v>
      </c>
      <c r="O822" s="41" t="s"/>
      <c r="P822" s="41">
        <v>2</v>
      </c>
      <c r="Q822" s="41">
        <v>2</v>
      </c>
      <c r="R822" s="41" t="s">
        <v>16</v>
      </c>
      <c r="S822" s="41" t="s">
        <v>17</v>
      </c>
      <c r="T822" s="41" t="s">
        <v>91</v>
      </c>
      <c r="U822" s="16" t="s">
        <v>13</v>
      </c>
      <c r="V822" s="16" t="s">
        <v>19</v>
      </c>
      <c r="W822" s="19" t="s"/>
      <c r="X822" s="26" t="s">
        <f>=M822&amp;N822&amp;P822&amp;Q822&amp;T822&amp;V822&amp;S822</f>
        <v>911</v>
      </c>
      <c r="Y822" s="19" t="s"/>
      <c r="Z822" s="19" t="s"/>
      <c r="AA822" s="19" t="s"/>
      <c r="AB822" s="19" t="s"/>
    </row>
    <row r="823" spans="1:29" ht="14.4">
      <c r="A823" s="49">
        <v>46178</v>
      </c>
      <c r="B823" s="43">
        <f>=F823/12</f>
        <v>32.1</v>
      </c>
      <c r="C823" s="43">
        <f>=J823/3</f>
        <v>256.8</v>
      </c>
      <c r="D823" s="43">
        <f>=K823/3</f>
        <v>285.333333333333</v>
      </c>
      <c r="E823" s="43">
        <f>=L823/3</f>
        <v>299.6</v>
      </c>
      <c r="F823" s="43">
        <f>=H823*0.9</f>
        <v>385.2</v>
      </c>
      <c r="G823" s="27">
        <v>165</v>
      </c>
      <c r="H823" s="44">
        <v>428</v>
      </c>
      <c r="I823" s="45">
        <f>=H823*1.05</f>
        <v>449.4</v>
      </c>
      <c r="J823" s="45">
        <f>=F823*2</f>
        <v>770.4</v>
      </c>
      <c r="K823" s="45">
        <f>=H823*2</f>
        <v>856</v>
      </c>
      <c r="L823" s="45">
        <f>=I823*2</f>
        <v>898.8</v>
      </c>
      <c r="M823" s="46" t="s">
        <v>876</v>
      </c>
      <c r="N823" s="12">
        <v>0.51</v>
      </c>
      <c r="O823" s="46" t="s"/>
      <c r="P823" s="12">
        <v>3</v>
      </c>
      <c r="Q823" s="12">
        <v>3</v>
      </c>
      <c r="R823" s="46" t="s">
        <v>16</v>
      </c>
      <c r="S823" s="46" t="s">
        <v>17</v>
      </c>
      <c r="T823" s="12" t="s">
        <v>377</v>
      </c>
      <c r="U823" s="13" t="s">
        <v>13</v>
      </c>
      <c r="V823" s="13" t="s">
        <v>19</v>
      </c>
      <c r="W823" s="15" t="s"/>
      <c r="X823" s="18" t="s">
        <f>=M823&amp;N823&amp;P823&amp;Q823&amp;T823&amp;V823&amp;S823</f>
        <v>912</v>
      </c>
      <c r="Y823" s="15" t="s"/>
      <c r="Z823" s="15" t="s"/>
      <c r="AA823" s="15" t="s"/>
      <c r="AB823" s="15" t="s"/>
      <c r="AC823" s="48" t="s"/>
    </row>
    <row r="824" spans="1:28" ht="14.4">
      <c r="A824" s="4">
        <f>=H824/G824-1</f>
        <v>0.103030303030303</v>
      </c>
      <c r="B824" s="20">
        <f>=F824/12</f>
        <v>13.65</v>
      </c>
      <c r="C824" s="20">
        <f>=J824/3</f>
        <v>109.2</v>
      </c>
      <c r="D824" s="20">
        <f>=K824/3</f>
        <v>121.333333333333</v>
      </c>
      <c r="E824" s="20">
        <f>=L824/3</f>
        <v>127.4</v>
      </c>
      <c r="F824" s="20">
        <f>=H824*0.9</f>
        <v>163.8</v>
      </c>
      <c r="G824" s="21">
        <v>165</v>
      </c>
      <c r="H824" s="39">
        <v>182</v>
      </c>
      <c r="I824" s="40">
        <f>=H824*1.05</f>
        <v>191.1</v>
      </c>
      <c r="J824" s="40">
        <f>=F824*2</f>
        <v>327.6</v>
      </c>
      <c r="K824" s="40">
        <f>=H824*2</f>
        <v>364</v>
      </c>
      <c r="L824" s="40">
        <f>=I824*2</f>
        <v>382.2</v>
      </c>
      <c r="M824" s="41" t="s">
        <v>876</v>
      </c>
      <c r="N824" s="41">
        <v>0.53</v>
      </c>
      <c r="O824" s="41" t="s"/>
      <c r="P824" s="41">
        <v>1</v>
      </c>
      <c r="Q824" s="41">
        <v>1</v>
      </c>
      <c r="R824" s="41" t="s">
        <v>16</v>
      </c>
      <c r="S824" s="41" t="s">
        <v>17</v>
      </c>
      <c r="T824" s="41" t="s">
        <v>110</v>
      </c>
      <c r="U824" s="16" t="s">
        <v>13</v>
      </c>
      <c r="V824" s="16" t="s">
        <v>19</v>
      </c>
      <c r="W824" s="19" t="s"/>
      <c r="X824" s="26" t="s">
        <f>=M824&amp;N824&amp;P824&amp;Q824&amp;T824&amp;V824&amp;S824</f>
        <v>913</v>
      </c>
      <c r="Y824" s="19" t="s"/>
      <c r="Z824" s="19" t="s"/>
      <c r="AA824" s="19" t="s"/>
      <c r="AB824" s="19" t="s"/>
    </row>
    <row r="825" spans="1:28" ht="14.4">
      <c r="A825" s="4">
        <f>=H825/G825-1</f>
        <v>0.933333333333334</v>
      </c>
      <c r="B825" s="20">
        <f>=F825/12</f>
        <v>23.925</v>
      </c>
      <c r="C825" s="20">
        <f>=J825/3</f>
        <v>191.4</v>
      </c>
      <c r="D825" s="20">
        <f>=K825/3</f>
        <v>212.666666666667</v>
      </c>
      <c r="E825" s="20">
        <f>=L825/3</f>
        <v>223.3</v>
      </c>
      <c r="F825" s="20">
        <f>=H825*0.9</f>
        <v>287.1</v>
      </c>
      <c r="G825" s="21">
        <v>165</v>
      </c>
      <c r="H825" s="39">
        <v>319</v>
      </c>
      <c r="I825" s="40">
        <f>=H825*1.05</f>
        <v>334.95</v>
      </c>
      <c r="J825" s="40">
        <f>=F825*2</f>
        <v>574.2</v>
      </c>
      <c r="K825" s="40">
        <f>=H825*2</f>
        <v>638</v>
      </c>
      <c r="L825" s="40">
        <f>=I825*2</f>
        <v>669.9</v>
      </c>
      <c r="M825" s="41" t="s">
        <v>876</v>
      </c>
      <c r="N825" s="41">
        <v>0.56</v>
      </c>
      <c r="O825" s="41" t="s"/>
      <c r="P825" s="41">
        <v>2</v>
      </c>
      <c r="Q825" s="41">
        <v>2</v>
      </c>
      <c r="R825" s="41" t="s">
        <v>16</v>
      </c>
      <c r="S825" s="41" t="s">
        <v>17</v>
      </c>
      <c r="T825" s="41" t="s">
        <v>110</v>
      </c>
      <c r="U825" s="16" t="s">
        <v>13</v>
      </c>
      <c r="V825" s="16" t="s">
        <v>19</v>
      </c>
      <c r="W825" s="19" t="s"/>
      <c r="X825" s="26" t="s">
        <f>=M825&amp;N825&amp;P825&amp;Q825&amp;T825&amp;V825&amp;S825</f>
        <v>914</v>
      </c>
      <c r="Y825" s="19" t="s"/>
      <c r="Z825" s="19" t="s"/>
      <c r="AA825" s="19" t="s"/>
      <c r="AB825" s="19" t="s"/>
    </row>
    <row r="826" spans="1:28" ht="14.4">
      <c r="A826" s="4">
        <f>=H826/G826-1</f>
        <v>0.100946372239748</v>
      </c>
      <c r="B826" s="20">
        <f>=F826/12</f>
        <v>26.175</v>
      </c>
      <c r="C826" s="20">
        <f>=J826/3</f>
        <v>209.4</v>
      </c>
      <c r="D826" s="20">
        <f>=K826/3</f>
        <v>232.666666666667</v>
      </c>
      <c r="E826" s="20">
        <f>=L826/3</f>
        <v>244.3</v>
      </c>
      <c r="F826" s="20">
        <f>=H826*0.9</f>
        <v>314.1</v>
      </c>
      <c r="G826" s="21">
        <v>317</v>
      </c>
      <c r="H826" s="39">
        <v>349</v>
      </c>
      <c r="I826" s="40">
        <f>=H826*1.05</f>
        <v>366.45</v>
      </c>
      <c r="J826" s="40">
        <f>=F826*2</f>
        <v>628.2</v>
      </c>
      <c r="K826" s="40">
        <f>=H826*2</f>
        <v>698</v>
      </c>
      <c r="L826" s="40">
        <f>=I826*2</f>
        <v>732.9</v>
      </c>
      <c r="M826" s="41" t="s">
        <v>876</v>
      </c>
      <c r="N826" s="41">
        <v>0.61</v>
      </c>
      <c r="O826" s="41" t="s"/>
      <c r="P826" s="41">
        <v>1.5</v>
      </c>
      <c r="Q826" s="41">
        <v>1.5</v>
      </c>
      <c r="R826" s="41" t="s">
        <v>16</v>
      </c>
      <c r="S826" s="41" t="s">
        <v>17</v>
      </c>
      <c r="T826" s="41" t="s">
        <v>110</v>
      </c>
      <c r="U826" s="16" t="s">
        <v>13</v>
      </c>
      <c r="V826" s="16" t="s">
        <v>19</v>
      </c>
      <c r="W826" s="19" t="s"/>
      <c r="X826" s="26" t="s">
        <f>=M826&amp;N826&amp;P826&amp;Q826&amp;T826&amp;V826&amp;S826</f>
        <v>915</v>
      </c>
      <c r="Y826" s="19" t="s"/>
      <c r="Z826" s="19" t="s"/>
      <c r="AA826" s="19" t="s"/>
      <c r="AB826" s="19" t="s"/>
    </row>
    <row r="827" spans="1:28" ht="14.4">
      <c r="A827" s="4">
        <f>=H827/G827-1</f>
        <v>0.100946372239748</v>
      </c>
      <c r="B827" s="20">
        <f>=F827/12</f>
        <v>26.175</v>
      </c>
      <c r="C827" s="20">
        <f>=J827/3</f>
        <v>209.4</v>
      </c>
      <c r="D827" s="20">
        <f>=K827/3</f>
        <v>232.666666666667</v>
      </c>
      <c r="E827" s="20">
        <f>=L827/3</f>
        <v>244.3</v>
      </c>
      <c r="F827" s="20">
        <f>=H827*0.9</f>
        <v>314.1</v>
      </c>
      <c r="G827" s="21">
        <v>317</v>
      </c>
      <c r="H827" s="39">
        <v>349</v>
      </c>
      <c r="I827" s="40">
        <f>=H827*1.05</f>
        <v>366.45</v>
      </c>
      <c r="J827" s="40">
        <f>=F827*2</f>
        <v>628.2</v>
      </c>
      <c r="K827" s="40">
        <f>=H827*2</f>
        <v>698</v>
      </c>
      <c r="L827" s="40">
        <f>=I827*2</f>
        <v>732.9</v>
      </c>
      <c r="M827" s="41" t="s">
        <v>876</v>
      </c>
      <c r="N827" s="41">
        <v>0.61</v>
      </c>
      <c r="O827" s="41" t="s"/>
      <c r="P827" s="41">
        <v>2</v>
      </c>
      <c r="Q827" s="41">
        <v>2</v>
      </c>
      <c r="R827" s="41" t="s">
        <v>16</v>
      </c>
      <c r="S827" s="41" t="s">
        <v>17</v>
      </c>
      <c r="T827" s="41" t="s">
        <v>110</v>
      </c>
      <c r="U827" s="16" t="s">
        <v>13</v>
      </c>
      <c r="V827" s="16" t="s">
        <v>19</v>
      </c>
      <c r="W827" s="19" t="s"/>
      <c r="X827" s="26" t="s">
        <f>=M827&amp;N827&amp;P827&amp;Q827&amp;T827&amp;V827&amp;S827</f>
        <v>916</v>
      </c>
      <c r="Y827" s="19" t="s"/>
      <c r="Z827" s="19" t="s"/>
      <c r="AA827" s="19" t="s"/>
      <c r="AB827" s="19" t="s"/>
    </row>
    <row r="828" spans="1:28" ht="14.4">
      <c r="A828" s="4">
        <f>=H828/G828-1</f>
        <v>0.100686498855835</v>
      </c>
      <c r="B828" s="20">
        <f>=F828/12</f>
        <v>36.075</v>
      </c>
      <c r="C828" s="20">
        <f>=J828/3</f>
        <v>288.6</v>
      </c>
      <c r="D828" s="20">
        <f>=K828/3</f>
        <v>320.666666666667</v>
      </c>
      <c r="E828" s="20">
        <f>=L828/3</f>
        <v>336.7</v>
      </c>
      <c r="F828" s="20">
        <f>=H828*0.9</f>
        <v>432.9</v>
      </c>
      <c r="G828" s="21">
        <v>437</v>
      </c>
      <c r="H828" s="39">
        <v>481</v>
      </c>
      <c r="I828" s="40">
        <f>=H828*1.05</f>
        <v>505.05</v>
      </c>
      <c r="J828" s="40">
        <f>=F828*2</f>
        <v>865.8</v>
      </c>
      <c r="K828" s="40">
        <f>=H828*2</f>
        <v>962</v>
      </c>
      <c r="L828" s="40">
        <f>=I828*2</f>
        <v>1010.1</v>
      </c>
      <c r="M828" s="41" t="s">
        <v>876</v>
      </c>
      <c r="N828" s="41">
        <v>0.61</v>
      </c>
      <c r="O828" s="41" t="s"/>
      <c r="P828" s="41">
        <v>3</v>
      </c>
      <c r="Q828" s="41">
        <v>3</v>
      </c>
      <c r="R828" s="41" t="s">
        <v>16</v>
      </c>
      <c r="S828" s="41" t="s">
        <v>17</v>
      </c>
      <c r="T828" s="41" t="s">
        <v>110</v>
      </c>
      <c r="U828" s="16" t="s">
        <v>13</v>
      </c>
      <c r="V828" s="16" t="s">
        <v>19</v>
      </c>
      <c r="W828" s="19" t="s"/>
      <c r="X828" s="26" t="s">
        <f>=M828&amp;N828&amp;P828&amp;Q828&amp;T828&amp;V828&amp;S828</f>
        <v>917</v>
      </c>
      <c r="Y828" s="19" t="s"/>
      <c r="Z828" s="19" t="s"/>
      <c r="AA828" s="19" t="s"/>
      <c r="AB828" s="19" t="s"/>
    </row>
    <row r="829" spans="1:28" ht="14.4">
      <c r="A829" s="4">
        <f>=H829/G829-1</f>
        <v>0.098360655737705</v>
      </c>
      <c r="B829" s="20">
        <f>=F829/12</f>
        <v>15.075</v>
      </c>
      <c r="C829" s="20">
        <f>=J829/3</f>
        <v>120.6</v>
      </c>
      <c r="D829" s="20">
        <f>=K829/3</f>
        <v>134</v>
      </c>
      <c r="E829" s="20">
        <f>=L829/3</f>
        <v>140.7</v>
      </c>
      <c r="F829" s="20">
        <f>=H829*0.9</f>
        <v>180.9</v>
      </c>
      <c r="G829" s="21">
        <v>183</v>
      </c>
      <c r="H829" s="39">
        <v>201</v>
      </c>
      <c r="I829" s="40">
        <f>=H829*1.05</f>
        <v>211.05</v>
      </c>
      <c r="J829" s="40">
        <f>=F829*2</f>
        <v>361.8</v>
      </c>
      <c r="K829" s="40">
        <f>=H829*2</f>
        <v>402</v>
      </c>
      <c r="L829" s="40">
        <f>=I829*2</f>
        <v>422.1</v>
      </c>
      <c r="M829" s="41" t="s">
        <v>876</v>
      </c>
      <c r="N829" s="41">
        <v>0.63</v>
      </c>
      <c r="O829" s="41" t="s"/>
      <c r="P829" s="41">
        <v>1</v>
      </c>
      <c r="Q829" s="41">
        <v>1</v>
      </c>
      <c r="R829" s="41" t="s">
        <v>16</v>
      </c>
      <c r="S829" s="41" t="s">
        <v>17</v>
      </c>
      <c r="T829" s="41" t="s">
        <v>126</v>
      </c>
      <c r="U829" s="16" t="s">
        <v>13</v>
      </c>
      <c r="V829" s="16" t="s">
        <v>19</v>
      </c>
      <c r="W829" s="19" t="s"/>
      <c r="X829" s="26" t="s">
        <f>=M829&amp;N829&amp;P829&amp;Q829&amp;T829&amp;V829&amp;S829</f>
        <v>918</v>
      </c>
      <c r="Y829" s="19" t="s"/>
      <c r="Z829" s="19" t="s"/>
      <c r="AA829" s="19" t="s"/>
      <c r="AB829" s="19" t="s"/>
    </row>
    <row r="830" spans="1:28" ht="14.4">
      <c r="A830" s="4">
        <f>=H830/G830-1</f>
        <v>0.100591715976331</v>
      </c>
      <c r="B830" s="20">
        <f>=F830/12</f>
        <v>13.95</v>
      </c>
      <c r="C830" s="20">
        <f>=J830/3</f>
        <v>111.6</v>
      </c>
      <c r="D830" s="20">
        <f>=K830/3</f>
        <v>124</v>
      </c>
      <c r="E830" s="20">
        <f>=L830/3</f>
        <v>130.2</v>
      </c>
      <c r="F830" s="20">
        <f>=H830*0.9</f>
        <v>167.4</v>
      </c>
      <c r="G830" s="21">
        <v>169</v>
      </c>
      <c r="H830" s="39">
        <v>186</v>
      </c>
      <c r="I830" s="40">
        <f>=H830*1.05</f>
        <v>195.3</v>
      </c>
      <c r="J830" s="40">
        <f>=F830*2</f>
        <v>334.8</v>
      </c>
      <c r="K830" s="40">
        <f>=H830*2</f>
        <v>372</v>
      </c>
      <c r="L830" s="40">
        <f>=I830*2</f>
        <v>390.6</v>
      </c>
      <c r="M830" s="41" t="s">
        <v>876</v>
      </c>
      <c r="N830" s="41">
        <v>0.66</v>
      </c>
      <c r="O830" s="41" t="s"/>
      <c r="P830" s="41" t="s">
        <v>21</v>
      </c>
      <c r="Q830" s="41" t="s">
        <v>21</v>
      </c>
      <c r="R830" s="41" t="s">
        <v>16</v>
      </c>
      <c r="S830" s="41" t="s">
        <v>17</v>
      </c>
      <c r="T830" s="41" t="s">
        <v>579</v>
      </c>
      <c r="U830" s="16" t="s">
        <v>13</v>
      </c>
      <c r="V830" s="16" t="s">
        <v>19</v>
      </c>
      <c r="W830" s="19" t="s"/>
      <c r="X830" s="26" t="s">
        <f>=M830&amp;N830&amp;P830&amp;Q830&amp;T830&amp;V830&amp;S830</f>
        <v>919</v>
      </c>
      <c r="Y830" s="19" t="s"/>
      <c r="Z830" s="19" t="s"/>
      <c r="AA830" s="19" t="s"/>
      <c r="AB830" s="19" t="s"/>
    </row>
    <row r="831" spans="1:28" ht="14.4">
      <c r="A831" s="4">
        <f>=H831/G831-1</f>
        <v>0.1</v>
      </c>
      <c r="B831" s="20">
        <f>=F831/12</f>
        <v>23.925</v>
      </c>
      <c r="C831" s="20">
        <f>=J831/3</f>
        <v>191.4</v>
      </c>
      <c r="D831" s="20">
        <f>=K831/3</f>
        <v>212.666666666667</v>
      </c>
      <c r="E831" s="20">
        <f>=L831/3</f>
        <v>223.3</v>
      </c>
      <c r="F831" s="20">
        <f>=H831*0.9</f>
        <v>287.1</v>
      </c>
      <c r="G831" s="21">
        <v>290</v>
      </c>
      <c r="H831" s="39">
        <v>319</v>
      </c>
      <c r="I831" s="40">
        <f>=H831*1.05</f>
        <v>334.95</v>
      </c>
      <c r="J831" s="40">
        <f>=F831*2</f>
        <v>574.2</v>
      </c>
      <c r="K831" s="40">
        <f>=H831*2</f>
        <v>638</v>
      </c>
      <c r="L831" s="40">
        <f>=I831*2</f>
        <v>669.9</v>
      </c>
      <c r="M831" s="41" t="s">
        <v>876</v>
      </c>
      <c r="N831" s="41">
        <v>0.66</v>
      </c>
      <c r="O831" s="41" t="s"/>
      <c r="P831" s="41">
        <v>2</v>
      </c>
      <c r="Q831" s="41">
        <v>2</v>
      </c>
      <c r="R831" s="41" t="s">
        <v>16</v>
      </c>
      <c r="S831" s="41" t="s">
        <v>17</v>
      </c>
      <c r="T831" s="41" t="s">
        <v>579</v>
      </c>
      <c r="U831" s="16" t="s">
        <v>13</v>
      </c>
      <c r="V831" s="16" t="s">
        <v>19</v>
      </c>
      <c r="W831" s="19" t="s"/>
      <c r="X831" s="26" t="s">
        <f>=M831&amp;N831&amp;P831&amp;Q831&amp;T831&amp;V831&amp;S831</f>
        <v>920</v>
      </c>
      <c r="Y831" s="19" t="s"/>
      <c r="Z831" s="19" t="s"/>
      <c r="AA831" s="19" t="s"/>
      <c r="AB831" s="19" t="s"/>
    </row>
    <row r="832" spans="1:28" ht="14.4">
      <c r="A832" s="4">
        <f>=H832/G832-1</f>
        <v>0.101351351351351</v>
      </c>
      <c r="B832" s="20">
        <f>=F832/12</f>
        <v>24.45</v>
      </c>
      <c r="C832" s="20">
        <f>=J832/3</f>
        <v>195.6</v>
      </c>
      <c r="D832" s="20">
        <f>=K832/3</f>
        <v>217.333333333333</v>
      </c>
      <c r="E832" s="20">
        <f>=L832/3</f>
        <v>228.2</v>
      </c>
      <c r="F832" s="20">
        <f>=H832*0.9</f>
        <v>293.4</v>
      </c>
      <c r="G832" s="21">
        <v>296</v>
      </c>
      <c r="H832" s="39">
        <v>326</v>
      </c>
      <c r="I832" s="40">
        <f>=H832*1.05</f>
        <v>342.3</v>
      </c>
      <c r="J832" s="40">
        <f>=F832*2</f>
        <v>586.8</v>
      </c>
      <c r="K832" s="40">
        <f>=H832*2</f>
        <v>652</v>
      </c>
      <c r="L832" s="40">
        <f>=I832*2</f>
        <v>684.6</v>
      </c>
      <c r="M832" s="41" t="s">
        <v>876</v>
      </c>
      <c r="N832" s="41">
        <v>0.71</v>
      </c>
      <c r="O832" s="41" t="s"/>
      <c r="P832" s="41">
        <v>2</v>
      </c>
      <c r="Q832" s="41">
        <v>2</v>
      </c>
      <c r="R832" s="41" t="s">
        <v>16</v>
      </c>
      <c r="S832" s="41" t="s">
        <v>17</v>
      </c>
      <c r="T832" s="41" t="s">
        <v>128</v>
      </c>
      <c r="U832" s="16" t="s">
        <v>13</v>
      </c>
      <c r="V832" s="16" t="s">
        <v>19</v>
      </c>
      <c r="W832" s="19" t="s"/>
      <c r="X832" s="26" t="s">
        <f>=M832&amp;N832&amp;P832&amp;Q832&amp;T832&amp;V832&amp;S832</f>
        <v>921</v>
      </c>
      <c r="Y832" s="19" t="s"/>
      <c r="Z832" s="19" t="s"/>
      <c r="AA832" s="19" t="s"/>
      <c r="AB832" s="19" t="s"/>
    </row>
    <row r="833" spans="1:28" ht="14.4">
      <c r="A833" s="4">
        <f>=H833/G833-1</f>
        <v>0.101382488479263</v>
      </c>
      <c r="B833" s="20">
        <f>=F833/12</f>
        <v>17.925</v>
      </c>
      <c r="C833" s="20">
        <f>=J833/3</f>
        <v>143.4</v>
      </c>
      <c r="D833" s="20">
        <f>=K833/3</f>
        <v>159.333333333333</v>
      </c>
      <c r="E833" s="20">
        <f>=L833/3</f>
        <v>167.3</v>
      </c>
      <c r="F833" s="20">
        <f>=H833*0.9</f>
        <v>215.1</v>
      </c>
      <c r="G833" s="21">
        <v>217</v>
      </c>
      <c r="H833" s="39">
        <v>239</v>
      </c>
      <c r="I833" s="40">
        <f>=H833*1.05</f>
        <v>250.95</v>
      </c>
      <c r="J833" s="40">
        <f>=F833*2</f>
        <v>430.2</v>
      </c>
      <c r="K833" s="40">
        <f>=H833*2</f>
        <v>478</v>
      </c>
      <c r="L833" s="40">
        <f>=I833*2</f>
        <v>501.9</v>
      </c>
      <c r="M833" s="41" t="s">
        <v>876</v>
      </c>
      <c r="N833" s="41">
        <v>0.73</v>
      </c>
      <c r="O833" s="41" t="s"/>
      <c r="P833" s="41">
        <v>1</v>
      </c>
      <c r="Q833" s="41">
        <v>1</v>
      </c>
      <c r="R833" s="41" t="s">
        <v>16</v>
      </c>
      <c r="S833" s="41" t="s">
        <v>17</v>
      </c>
      <c r="T833" s="41" t="s">
        <v>128</v>
      </c>
      <c r="U833" s="16" t="s">
        <v>13</v>
      </c>
      <c r="V833" s="16" t="s">
        <v>19</v>
      </c>
      <c r="W833" s="19" t="s"/>
      <c r="X833" s="26" t="s">
        <f>=M833&amp;N833&amp;P833&amp;Q833&amp;T833&amp;V833&amp;S833</f>
        <v>922</v>
      </c>
      <c r="Y833" s="19" t="s"/>
      <c r="Z833" s="19" t="s"/>
      <c r="AA833" s="19" t="s"/>
      <c r="AB833" s="19" t="s"/>
    </row>
    <row r="834" spans="1:28" ht="14.4">
      <c r="A834" s="4">
        <f>=H834/G834-1</f>
        <v>0.0994764397905759</v>
      </c>
      <c r="B834" s="20">
        <f>=F834/12</f>
        <v>15.75</v>
      </c>
      <c r="C834" s="20">
        <f>=J834/3</f>
        <v>126</v>
      </c>
      <c r="D834" s="20">
        <f>=K834/3</f>
        <v>140</v>
      </c>
      <c r="E834" s="20">
        <f>=L834/3</f>
        <v>147</v>
      </c>
      <c r="F834" s="20">
        <f>=H834*0.9</f>
        <v>189</v>
      </c>
      <c r="G834" s="21">
        <v>191</v>
      </c>
      <c r="H834" s="39">
        <v>210</v>
      </c>
      <c r="I834" s="40">
        <f>=H834*1.05</f>
        <v>220.5</v>
      </c>
      <c r="J834" s="40">
        <f>=F834*2</f>
        <v>378</v>
      </c>
      <c r="K834" s="40">
        <f>=H834*2</f>
        <v>420</v>
      </c>
      <c r="L834" s="40">
        <f>=I834*2</f>
        <v>441</v>
      </c>
      <c r="M834" s="41" t="s">
        <v>876</v>
      </c>
      <c r="N834" s="41">
        <v>0.8</v>
      </c>
      <c r="O834" s="41" t="s"/>
      <c r="P834" s="41">
        <v>1</v>
      </c>
      <c r="Q834" s="41">
        <v>1</v>
      </c>
      <c r="R834" s="41" t="s">
        <v>16</v>
      </c>
      <c r="S834" s="41" t="s">
        <v>137</v>
      </c>
      <c r="T834" s="41" t="s">
        <v>128</v>
      </c>
      <c r="U834" s="16" t="s">
        <v>13</v>
      </c>
      <c r="V834" s="16" t="s">
        <v>19</v>
      </c>
      <c r="W834" s="19" t="s"/>
      <c r="X834" s="26" t="s">
        <f>=M834&amp;N834&amp;P834&amp;Q834&amp;T834&amp;V834&amp;S834</f>
        <v>923</v>
      </c>
      <c r="Y834" s="19" t="s"/>
      <c r="Z834" s="19" t="s"/>
      <c r="AA834" s="19" t="s"/>
      <c r="AB834" s="19" t="s"/>
    </row>
    <row r="835" spans="1:28" ht="14.4">
      <c r="A835" s="4">
        <f>=H835/G835-1</f>
        <v>0.0991735537190082</v>
      </c>
      <c r="B835" s="20">
        <f>=F835/12</f>
        <v>19.95</v>
      </c>
      <c r="C835" s="20">
        <f>=J835/3</f>
        <v>159.6</v>
      </c>
      <c r="D835" s="20">
        <f>=K835/3</f>
        <v>177.333333333333</v>
      </c>
      <c r="E835" s="20">
        <f>=L835/3</f>
        <v>186.2</v>
      </c>
      <c r="F835" s="20">
        <f>=H835*0.9</f>
        <v>239.4</v>
      </c>
      <c r="G835" s="21">
        <v>242</v>
      </c>
      <c r="H835" s="39">
        <v>266</v>
      </c>
      <c r="I835" s="40">
        <f>=H835*1.05</f>
        <v>279.3</v>
      </c>
      <c r="J835" s="40">
        <f>=F835*2</f>
        <v>478.8</v>
      </c>
      <c r="K835" s="40">
        <f>=H835*2</f>
        <v>532</v>
      </c>
      <c r="L835" s="40">
        <f>=I835*2</f>
        <v>558.6</v>
      </c>
      <c r="M835" s="41" t="s">
        <v>876</v>
      </c>
      <c r="N835" s="41">
        <v>0.9</v>
      </c>
      <c r="O835" s="41" t="s"/>
      <c r="P835" s="41">
        <v>1</v>
      </c>
      <c r="Q835" s="41">
        <v>1</v>
      </c>
      <c r="R835" s="41" t="s">
        <v>16</v>
      </c>
      <c r="S835" s="41" t="s">
        <v>137</v>
      </c>
      <c r="T835" s="41" t="s">
        <v>147</v>
      </c>
      <c r="U835" s="16" t="s">
        <v>13</v>
      </c>
      <c r="V835" s="16" t="s">
        <v>19</v>
      </c>
      <c r="W835" s="19" t="s"/>
      <c r="X835" s="26" t="s">
        <f>=M835&amp;N835&amp;P835&amp;Q835&amp;T835&amp;V835&amp;S835</f>
        <v>924</v>
      </c>
      <c r="Y835" s="19" t="s"/>
      <c r="Z835" s="19" t="s"/>
      <c r="AA835" s="19" t="s"/>
      <c r="AB835" s="19" t="s"/>
    </row>
    <row r="836" spans="1:28" ht="14.4">
      <c r="A836" s="4">
        <f>=H836/G836-1</f>
        <v>0.100961538461539</v>
      </c>
      <c r="B836" s="20">
        <f>=F836/12</f>
        <v>17.175</v>
      </c>
      <c r="C836" s="20">
        <f>=J836/3</f>
        <v>137.4</v>
      </c>
      <c r="D836" s="20">
        <f>=K836/3</f>
        <v>152.666666666667</v>
      </c>
      <c r="E836" s="20">
        <f>=L836/3</f>
        <v>160.3</v>
      </c>
      <c r="F836" s="20">
        <f>=H836*0.9</f>
        <v>206.1</v>
      </c>
      <c r="G836" s="21">
        <v>208</v>
      </c>
      <c r="H836" s="39">
        <v>229</v>
      </c>
      <c r="I836" s="40">
        <f>=H836*1.05</f>
        <v>240.45</v>
      </c>
      <c r="J836" s="40">
        <f>=F836*2</f>
        <v>412.2</v>
      </c>
      <c r="K836" s="40">
        <f>=H836*2</f>
        <v>458</v>
      </c>
      <c r="L836" s="40">
        <f>=I836*2</f>
        <v>480.9</v>
      </c>
      <c r="M836" s="41" t="s">
        <v>876</v>
      </c>
      <c r="N836" s="41">
        <v>0.9</v>
      </c>
      <c r="O836" s="41" t="s"/>
      <c r="P836" s="41">
        <v>1</v>
      </c>
      <c r="Q836" s="41">
        <v>1</v>
      </c>
      <c r="R836" s="41" t="s">
        <v>16</v>
      </c>
      <c r="S836" s="41" t="s">
        <v>137</v>
      </c>
      <c r="T836" s="41" t="s">
        <v>145</v>
      </c>
      <c r="U836" s="16" t="s">
        <v>13</v>
      </c>
      <c r="V836" s="16" t="s">
        <v>19</v>
      </c>
      <c r="W836" s="19" t="s"/>
      <c r="X836" s="26" t="s">
        <f>=M836&amp;N836&amp;P836&amp;Q836&amp;T836&amp;V836&amp;S836</f>
        <v>925</v>
      </c>
      <c r="Y836" s="19" t="s"/>
      <c r="Z836" s="19" t="s"/>
      <c r="AA836" s="19" t="s"/>
      <c r="AB836" s="19" t="s"/>
    </row>
    <row r="837" spans="1:28" ht="14.4">
      <c r="A837" s="4">
        <f>=H837/G837-1</f>
        <v>0.0992063492063493</v>
      </c>
      <c r="B837" s="20">
        <f>=F837/12</f>
        <v>20.775</v>
      </c>
      <c r="C837" s="20">
        <f>=J837/3</f>
        <v>166.2</v>
      </c>
      <c r="D837" s="20">
        <f>=K837/3</f>
        <v>184.666666666667</v>
      </c>
      <c r="E837" s="20">
        <f>=L837/3</f>
        <v>193.9</v>
      </c>
      <c r="F837" s="20">
        <f>=H837*0.9</f>
        <v>249.3</v>
      </c>
      <c r="G837" s="21">
        <v>252</v>
      </c>
      <c r="H837" s="39">
        <v>277</v>
      </c>
      <c r="I837" s="40">
        <f>=H837*1.05</f>
        <v>290.85</v>
      </c>
      <c r="J837" s="40">
        <f>=F837*2</f>
        <v>498.6</v>
      </c>
      <c r="K837" s="40">
        <f>=H837*2</f>
        <v>554</v>
      </c>
      <c r="L837" s="40">
        <f>=I837*2</f>
        <v>581.7</v>
      </c>
      <c r="M837" s="41" t="s">
        <v>876</v>
      </c>
      <c r="N837" s="41">
        <v>0.9</v>
      </c>
      <c r="O837" s="41" t="s"/>
      <c r="P837" s="41">
        <v>1.5</v>
      </c>
      <c r="Q837" s="41">
        <v>1.5</v>
      </c>
      <c r="R837" s="41" t="s">
        <v>16</v>
      </c>
      <c r="S837" s="41" t="s">
        <v>137</v>
      </c>
      <c r="T837" s="41" t="s">
        <v>145</v>
      </c>
      <c r="U837" s="16" t="s">
        <v>13</v>
      </c>
      <c r="V837" s="16" t="s">
        <v>19</v>
      </c>
      <c r="W837" s="19" t="s"/>
      <c r="X837" s="26" t="s">
        <f>=M837&amp;N837&amp;P837&amp;Q837&amp;T837&amp;V837&amp;S837</f>
        <v>926</v>
      </c>
      <c r="Y837" s="19" t="s"/>
      <c r="Z837" s="19" t="s"/>
      <c r="AA837" s="19" t="s"/>
      <c r="AB837" s="19" t="s"/>
    </row>
    <row r="838" spans="1:28" ht="14.4">
      <c r="A838" s="4">
        <f>=H838/G838-1</f>
        <v>0.101351351351351</v>
      </c>
      <c r="B838" s="20">
        <f>=F838/12</f>
        <v>24.45</v>
      </c>
      <c r="C838" s="20">
        <f>=J838/3</f>
        <v>195.6</v>
      </c>
      <c r="D838" s="20">
        <f>=K838/3</f>
        <v>217.333333333333</v>
      </c>
      <c r="E838" s="20">
        <f>=L838/3</f>
        <v>228.2</v>
      </c>
      <c r="F838" s="20">
        <f>=H838*0.9</f>
        <v>293.4</v>
      </c>
      <c r="G838" s="21">
        <v>296</v>
      </c>
      <c r="H838" s="39">
        <v>326</v>
      </c>
      <c r="I838" s="40">
        <f>=H838*1.05</f>
        <v>342.3</v>
      </c>
      <c r="J838" s="40">
        <f>=F838*2</f>
        <v>586.8</v>
      </c>
      <c r="K838" s="40">
        <f>=H838*2</f>
        <v>652</v>
      </c>
      <c r="L838" s="40">
        <f>=I838*2</f>
        <v>684.6</v>
      </c>
      <c r="M838" s="41" t="s">
        <v>876</v>
      </c>
      <c r="N838" s="41">
        <v>0.9</v>
      </c>
      <c r="O838" s="41" t="s"/>
      <c r="P838" s="41">
        <v>2</v>
      </c>
      <c r="Q838" s="41">
        <v>2</v>
      </c>
      <c r="R838" s="41" t="s">
        <v>16</v>
      </c>
      <c r="S838" s="41" t="s">
        <v>137</v>
      </c>
      <c r="T838" s="41" t="s">
        <v>128</v>
      </c>
      <c r="U838" s="16" t="s">
        <v>13</v>
      </c>
      <c r="V838" s="16" t="s">
        <v>19</v>
      </c>
      <c r="W838" s="19" t="s"/>
      <c r="X838" s="26" t="s">
        <f>=M838&amp;N838&amp;P838&amp;Q838&amp;T838&amp;V838&amp;S838</f>
        <v>927</v>
      </c>
      <c r="Y838" s="19" t="s"/>
      <c r="Z838" s="19" t="s"/>
      <c r="AA838" s="19" t="s"/>
      <c r="AB838" s="19" t="s"/>
    </row>
    <row r="839" spans="1:28" ht="14.4">
      <c r="A839" s="4">
        <f>=H839/G839-1</f>
        <v>0.102857142857143</v>
      </c>
      <c r="B839" s="20">
        <f>=F839/12</f>
        <v>14.475</v>
      </c>
      <c r="C839" s="20">
        <f>=J839/3</f>
        <v>115.8</v>
      </c>
      <c r="D839" s="20">
        <f>=K839/3</f>
        <v>128.666666666667</v>
      </c>
      <c r="E839" s="20">
        <f>=L839/3</f>
        <v>135.1</v>
      </c>
      <c r="F839" s="20">
        <f>=H839*0.9</f>
        <v>173.7</v>
      </c>
      <c r="G839" s="21">
        <v>175</v>
      </c>
      <c r="H839" s="39">
        <v>193</v>
      </c>
      <c r="I839" s="40">
        <f>=H839*1.05</f>
        <v>202.65</v>
      </c>
      <c r="J839" s="40">
        <f>=F839*2</f>
        <v>347.4</v>
      </c>
      <c r="K839" s="40">
        <f>=H839*2</f>
        <v>386</v>
      </c>
      <c r="L839" s="40">
        <f>=I839*2</f>
        <v>405.3</v>
      </c>
      <c r="M839" s="41" t="s">
        <v>876</v>
      </c>
      <c r="N839" s="41">
        <v>0.9</v>
      </c>
      <c r="O839" s="41" t="s"/>
      <c r="P839" s="41" t="s">
        <v>21</v>
      </c>
      <c r="Q839" s="41" t="s">
        <v>21</v>
      </c>
      <c r="R839" s="41" t="s">
        <v>16</v>
      </c>
      <c r="S839" s="41" t="s">
        <v>137</v>
      </c>
      <c r="T839" s="41" t="s">
        <v>145</v>
      </c>
      <c r="U839" s="16" t="s">
        <v>13</v>
      </c>
      <c r="V839" s="16" t="s">
        <v>19</v>
      </c>
      <c r="W839" s="19" t="s"/>
      <c r="X839" s="26" t="s">
        <f>=M839&amp;N839&amp;P839&amp;Q839&amp;T839&amp;V839&amp;S839</f>
        <v>928</v>
      </c>
      <c r="Y839" s="19" t="s"/>
      <c r="Z839" s="19" t="s"/>
      <c r="AA839" s="19" t="s"/>
      <c r="AB839" s="19" t="s"/>
    </row>
    <row r="840" spans="1:28" ht="14.4">
      <c r="A840" s="4">
        <f>=H840/G840-1</f>
        <v>0.100961538461539</v>
      </c>
      <c r="B840" s="20">
        <f>=F840/12</f>
        <v>17.175</v>
      </c>
      <c r="C840" s="20">
        <f>=J840/3</f>
        <v>137.4</v>
      </c>
      <c r="D840" s="20">
        <f>=K840/3</f>
        <v>152.666666666667</v>
      </c>
      <c r="E840" s="20">
        <f>=L840/3</f>
        <v>160.3</v>
      </c>
      <c r="F840" s="20">
        <f>=H840*0.9</f>
        <v>206.1</v>
      </c>
      <c r="G840" s="21">
        <v>208</v>
      </c>
      <c r="H840" s="39">
        <v>229</v>
      </c>
      <c r="I840" s="40">
        <f>=H840*1.05</f>
        <v>240.45</v>
      </c>
      <c r="J840" s="40">
        <f>=F840*2</f>
        <v>412.2</v>
      </c>
      <c r="K840" s="40">
        <f>=H840*2</f>
        <v>458</v>
      </c>
      <c r="L840" s="40">
        <f>=I840*2</f>
        <v>480.9</v>
      </c>
      <c r="M840" s="41" t="s">
        <v>876</v>
      </c>
      <c r="N840" s="41">
        <v>1</v>
      </c>
      <c r="O840" s="41" t="s"/>
      <c r="P840" s="41">
        <v>1</v>
      </c>
      <c r="Q840" s="41">
        <v>1</v>
      </c>
      <c r="R840" s="41" t="s">
        <v>16</v>
      </c>
      <c r="S840" s="41" t="s">
        <v>137</v>
      </c>
      <c r="T840" s="41" t="s">
        <v>147</v>
      </c>
      <c r="U840" s="16" t="s">
        <v>13</v>
      </c>
      <c r="V840" s="16" t="s">
        <v>19</v>
      </c>
      <c r="W840" s="19" t="s"/>
      <c r="X840" s="26" t="s">
        <f>=M840&amp;N840&amp;P840&amp;Q840&amp;T840&amp;V840&amp;S840</f>
        <v>929</v>
      </c>
      <c r="Y840" s="19" t="s"/>
      <c r="Z840" s="19" t="s"/>
      <c r="AA840" s="19" t="s"/>
      <c r="AB840" s="19" t="s"/>
    </row>
    <row r="841" spans="1:28" ht="14.4">
      <c r="A841" s="4">
        <f>=H841/G841-1</f>
        <v>0.0997732426303855</v>
      </c>
      <c r="B841" s="20">
        <f>=F841/12</f>
        <v>36.375</v>
      </c>
      <c r="C841" s="20">
        <f>=J841/3</f>
        <v>291</v>
      </c>
      <c r="D841" s="20">
        <f>=K841/3</f>
        <v>323.333333333333</v>
      </c>
      <c r="E841" s="20">
        <f>=L841/3</f>
        <v>339.5</v>
      </c>
      <c r="F841" s="20">
        <f>=H841*0.9</f>
        <v>436.5</v>
      </c>
      <c r="G841" s="21">
        <v>441</v>
      </c>
      <c r="H841" s="39">
        <v>485</v>
      </c>
      <c r="I841" s="40">
        <f>=H841*1.05</f>
        <v>509.25</v>
      </c>
      <c r="J841" s="40">
        <f>=F841*2</f>
        <v>873</v>
      </c>
      <c r="K841" s="40">
        <f>=H841*2</f>
        <v>970</v>
      </c>
      <c r="L841" s="40">
        <f>=I841*2</f>
        <v>1018.5</v>
      </c>
      <c r="M841" s="41" t="s">
        <v>876</v>
      </c>
      <c r="N841" s="41">
        <v>1</v>
      </c>
      <c r="O841" s="41" t="s"/>
      <c r="P841" s="41">
        <v>2.5</v>
      </c>
      <c r="Q841" s="41">
        <v>2.5</v>
      </c>
      <c r="R841" s="41" t="s">
        <v>16</v>
      </c>
      <c r="S841" s="41" t="s">
        <v>137</v>
      </c>
      <c r="T841" s="41" t="s">
        <v>145</v>
      </c>
      <c r="U841" s="16" t="s">
        <v>13</v>
      </c>
      <c r="V841" s="16" t="s">
        <v>19</v>
      </c>
      <c r="W841" s="19" t="s"/>
      <c r="X841" s="26" t="s">
        <f>=M841&amp;N841&amp;P841&amp;Q841&amp;T841&amp;V841&amp;S841</f>
        <v>930</v>
      </c>
      <c r="Y841" s="19" t="s"/>
      <c r="Z841" s="19" t="s"/>
      <c r="AA841" s="19" t="s"/>
      <c r="AB841" s="19" t="s"/>
    </row>
    <row r="842" spans="1:28" ht="14.4">
      <c r="A842" s="4">
        <f>=H842/G842-1</f>
        <v>0.100446428571429</v>
      </c>
      <c r="B842" s="20">
        <f>=F842/12</f>
        <v>36.975</v>
      </c>
      <c r="C842" s="20">
        <f>=J842/3</f>
        <v>295.8</v>
      </c>
      <c r="D842" s="20">
        <f>=K842/3</f>
        <v>328.666666666667</v>
      </c>
      <c r="E842" s="20">
        <f>=L842/3</f>
        <v>345.1</v>
      </c>
      <c r="F842" s="20">
        <f>=H842*0.9</f>
        <v>443.7</v>
      </c>
      <c r="G842" s="21">
        <v>448</v>
      </c>
      <c r="H842" s="39">
        <v>493</v>
      </c>
      <c r="I842" s="40">
        <f>=H842*1.05</f>
        <v>517.65</v>
      </c>
      <c r="J842" s="40">
        <f>=F842*2</f>
        <v>887.4</v>
      </c>
      <c r="K842" s="40">
        <f>=H842*2</f>
        <v>986</v>
      </c>
      <c r="L842" s="40">
        <f>=I842*2</f>
        <v>1035.3</v>
      </c>
      <c r="M842" s="41" t="s">
        <v>876</v>
      </c>
      <c r="N842" s="41">
        <v>1</v>
      </c>
      <c r="O842" s="41" t="s"/>
      <c r="P842" s="41">
        <v>3</v>
      </c>
      <c r="Q842" s="41">
        <v>3</v>
      </c>
      <c r="R842" s="41" t="s">
        <v>16</v>
      </c>
      <c r="S842" s="41" t="s">
        <v>137</v>
      </c>
      <c r="T842" s="41" t="s">
        <v>147</v>
      </c>
      <c r="U842" s="16" t="s">
        <v>13</v>
      </c>
      <c r="V842" s="16" t="s">
        <v>19</v>
      </c>
      <c r="W842" s="19" t="s"/>
      <c r="X842" s="26" t="s">
        <f>=M842&amp;N842&amp;P842&amp;Q842&amp;T842&amp;V842&amp;S842</f>
        <v>931</v>
      </c>
      <c r="Y842" s="19" t="s"/>
      <c r="Z842" s="19" t="s"/>
      <c r="AA842" s="19" t="s"/>
      <c r="AB842" s="19" t="s"/>
    </row>
    <row r="843" spans="1:28" ht="14.4">
      <c r="A843" s="4">
        <f>=H843/G843-1</f>
        <v>0.0994475138121547</v>
      </c>
      <c r="B843" s="20">
        <f>=F843/12</f>
        <v>14.925</v>
      </c>
      <c r="C843" s="20">
        <f>=J843/3</f>
        <v>119.4</v>
      </c>
      <c r="D843" s="20">
        <f>=K843/3</f>
        <v>132.666666666667</v>
      </c>
      <c r="E843" s="20">
        <f>=L843/3</f>
        <v>139.3</v>
      </c>
      <c r="F843" s="20">
        <f>=H843*0.9</f>
        <v>179.1</v>
      </c>
      <c r="G843" s="21">
        <v>181</v>
      </c>
      <c r="H843" s="39">
        <v>199</v>
      </c>
      <c r="I843" s="40">
        <f>=H843*1.05</f>
        <v>208.95</v>
      </c>
      <c r="J843" s="40">
        <f>=F843*2</f>
        <v>358.2</v>
      </c>
      <c r="K843" s="40">
        <f>=H843*2</f>
        <v>398</v>
      </c>
      <c r="L843" s="40">
        <f>=I843*2</f>
        <v>417.9</v>
      </c>
      <c r="M843" s="41" t="s">
        <v>876</v>
      </c>
      <c r="N843" s="41">
        <v>1</v>
      </c>
      <c r="O843" s="41" t="s"/>
      <c r="P843" s="41" t="s">
        <v>21</v>
      </c>
      <c r="Q843" s="41" t="s">
        <v>21</v>
      </c>
      <c r="R843" s="41" t="s">
        <v>16</v>
      </c>
      <c r="S843" s="41" t="s">
        <v>137</v>
      </c>
      <c r="T843" s="41" t="s">
        <v>147</v>
      </c>
      <c r="U843" s="16" t="s">
        <v>13</v>
      </c>
      <c r="V843" s="16" t="s">
        <v>19</v>
      </c>
      <c r="W843" s="19" t="s"/>
      <c r="X843" s="26" t="s">
        <f>=M843&amp;N843&amp;P843&amp;Q843&amp;T843&amp;V843&amp;S843</f>
        <v>932</v>
      </c>
      <c r="Y843" s="19" t="s"/>
      <c r="Z843" s="19" t="s"/>
      <c r="AA843" s="19" t="s"/>
      <c r="AB843" s="19" t="s"/>
    </row>
    <row r="844" spans="1:28" ht="14.4">
      <c r="A844" s="4">
        <f>=H844/G844-1</f>
        <v>0.101321585903084</v>
      </c>
      <c r="B844" s="20">
        <f>=F844/12</f>
        <v>18.75</v>
      </c>
      <c r="C844" s="20">
        <f>=J844/3</f>
        <v>150</v>
      </c>
      <c r="D844" s="20">
        <f>=K844/3</f>
        <v>166.666666666667</v>
      </c>
      <c r="E844" s="20">
        <f>=L844/3</f>
        <v>175</v>
      </c>
      <c r="F844" s="20">
        <f>=H844*0.9</f>
        <v>225</v>
      </c>
      <c r="G844" s="21">
        <v>227</v>
      </c>
      <c r="H844" s="39">
        <v>250</v>
      </c>
      <c r="I844" s="40">
        <f>=H844*1.05</f>
        <v>262.5</v>
      </c>
      <c r="J844" s="40">
        <f>=F844*2</f>
        <v>450</v>
      </c>
      <c r="K844" s="40">
        <f>=H844*2</f>
        <v>500</v>
      </c>
      <c r="L844" s="40">
        <f>=I844*2</f>
        <v>525</v>
      </c>
      <c r="M844" s="41" t="s">
        <v>876</v>
      </c>
      <c r="N844" s="41">
        <v>1.1</v>
      </c>
      <c r="O844" s="41" t="s"/>
      <c r="P844" s="41">
        <v>1</v>
      </c>
      <c r="Q844" s="41">
        <v>1</v>
      </c>
      <c r="R844" s="41" t="s">
        <v>16</v>
      </c>
      <c r="S844" s="41" t="s">
        <v>137</v>
      </c>
      <c r="T844" s="41" t="s">
        <v>153</v>
      </c>
      <c r="U844" s="16" t="s">
        <v>13</v>
      </c>
      <c r="V844" s="16" t="s">
        <v>19</v>
      </c>
      <c r="W844" s="19" t="s"/>
      <c r="X844" s="26" t="s">
        <f>=M844&amp;N844&amp;P844&amp;Q844&amp;T844&amp;V844&amp;S844</f>
        <v>933</v>
      </c>
      <c r="Y844" s="19" t="s"/>
      <c r="Z844" s="19" t="s"/>
      <c r="AA844" s="19" t="s"/>
      <c r="AB844" s="19" t="s"/>
    </row>
    <row r="845" spans="1:28" ht="14.4">
      <c r="A845" s="4">
        <f>=H845/G845-1</f>
        <v>0.100371747211896</v>
      </c>
      <c r="B845" s="20">
        <f>=F845/12</f>
        <v>22.2</v>
      </c>
      <c r="C845" s="20">
        <f>=J845/3</f>
        <v>177.6</v>
      </c>
      <c r="D845" s="20">
        <f>=K845/3</f>
        <v>197.333333333333</v>
      </c>
      <c r="E845" s="20">
        <f>=L845/3</f>
        <v>207.2</v>
      </c>
      <c r="F845" s="20">
        <f>=H845*0.9</f>
        <v>266.4</v>
      </c>
      <c r="G845" s="21">
        <v>269</v>
      </c>
      <c r="H845" s="39">
        <v>296</v>
      </c>
      <c r="I845" s="40">
        <f>=H845*1.05</f>
        <v>310.8</v>
      </c>
      <c r="J845" s="40">
        <f>=F845*2</f>
        <v>532.8</v>
      </c>
      <c r="K845" s="40">
        <f>=H845*2</f>
        <v>592</v>
      </c>
      <c r="L845" s="40">
        <f>=I845*2</f>
        <v>621.6</v>
      </c>
      <c r="M845" s="41" t="s">
        <v>876</v>
      </c>
      <c r="N845" s="41">
        <v>1.1</v>
      </c>
      <c r="O845" s="41" t="s"/>
      <c r="P845" s="41">
        <v>1.5</v>
      </c>
      <c r="Q845" s="41">
        <v>1.5</v>
      </c>
      <c r="R845" s="41" t="s">
        <v>16</v>
      </c>
      <c r="S845" s="41" t="s">
        <v>137</v>
      </c>
      <c r="T845" s="41" t="s">
        <v>147</v>
      </c>
      <c r="U845" s="16" t="s">
        <v>13</v>
      </c>
      <c r="V845" s="16" t="s">
        <v>19</v>
      </c>
      <c r="W845" s="19" t="s"/>
      <c r="X845" s="26" t="s">
        <f>=M845&amp;N845&amp;P845&amp;Q845&amp;T845&amp;V845&amp;S845</f>
        <v>934</v>
      </c>
      <c r="Y845" s="19" t="s"/>
      <c r="Z845" s="19" t="s"/>
      <c r="AA845" s="19" t="s"/>
      <c r="AB845" s="19" t="s"/>
    </row>
    <row r="846" spans="1:28" ht="14.4">
      <c r="A846" s="4">
        <f>=H846/G846-1</f>
        <v>0.100934579439252</v>
      </c>
      <c r="B846" s="20">
        <f>=F846/12</f>
        <v>44.175</v>
      </c>
      <c r="C846" s="20">
        <f>=J846/3</f>
        <v>353.4</v>
      </c>
      <c r="D846" s="20">
        <f>=K846/3</f>
        <v>392.666666666667</v>
      </c>
      <c r="E846" s="20">
        <f>=L846/3</f>
        <v>412.3</v>
      </c>
      <c r="F846" s="20">
        <f>=H846*0.9</f>
        <v>530.1</v>
      </c>
      <c r="G846" s="21">
        <v>535</v>
      </c>
      <c r="H846" s="39">
        <v>589</v>
      </c>
      <c r="I846" s="40">
        <f>=H846*1.05</f>
        <v>618.45</v>
      </c>
      <c r="J846" s="40">
        <f>=F846*2</f>
        <v>1060.2</v>
      </c>
      <c r="K846" s="40">
        <f>=H846*2</f>
        <v>1178</v>
      </c>
      <c r="L846" s="40">
        <f>=I846*2</f>
        <v>1236.9</v>
      </c>
      <c r="M846" s="41" t="s">
        <v>876</v>
      </c>
      <c r="N846" s="41">
        <v>1.1</v>
      </c>
      <c r="O846" s="41" t="s"/>
      <c r="P846" s="41">
        <v>3</v>
      </c>
      <c r="Q846" s="41">
        <v>3</v>
      </c>
      <c r="R846" s="41" t="s">
        <v>16</v>
      </c>
      <c r="S846" s="41" t="s">
        <v>137</v>
      </c>
      <c r="T846" s="41" t="s">
        <v>147</v>
      </c>
      <c r="U846" s="16" t="s">
        <v>13</v>
      </c>
      <c r="V846" s="16" t="s">
        <v>19</v>
      </c>
      <c r="W846" s="19" t="s"/>
      <c r="X846" s="26" t="s">
        <f>=M846&amp;N846&amp;P846&amp;Q846&amp;T846&amp;V846&amp;S846</f>
        <v>935</v>
      </c>
      <c r="Y846" s="19" t="s"/>
      <c r="Z846" s="19" t="s"/>
      <c r="AA846" s="19" t="s"/>
      <c r="AB846" s="19" t="s"/>
    </row>
    <row r="847" spans="1:28" ht="14.4">
      <c r="A847" s="4">
        <f>=H847/G847-1</f>
        <v>0.0982142857142858</v>
      </c>
      <c r="B847" s="20">
        <f>=F847/12</f>
        <v>18.45</v>
      </c>
      <c r="C847" s="20">
        <f>=J847/3</f>
        <v>147.6</v>
      </c>
      <c r="D847" s="20">
        <f>=K847/3</f>
        <v>164</v>
      </c>
      <c r="E847" s="20">
        <f>=L847/3</f>
        <v>172.2</v>
      </c>
      <c r="F847" s="20">
        <f>=H847*0.9</f>
        <v>221.4</v>
      </c>
      <c r="G847" s="21">
        <v>224</v>
      </c>
      <c r="H847" s="39">
        <v>246</v>
      </c>
      <c r="I847" s="40">
        <f>=H847*1.05</f>
        <v>258.3</v>
      </c>
      <c r="J847" s="40">
        <f>=F847*2</f>
        <v>442.8</v>
      </c>
      <c r="K847" s="40">
        <f>=H847*2</f>
        <v>492</v>
      </c>
      <c r="L847" s="40">
        <f>=I847*2</f>
        <v>516.6</v>
      </c>
      <c r="M847" s="41" t="s">
        <v>876</v>
      </c>
      <c r="N847" s="41">
        <v>1.2</v>
      </c>
      <c r="O847" s="41" t="s"/>
      <c r="P847" s="41">
        <v>1</v>
      </c>
      <c r="Q847" s="41">
        <v>1</v>
      </c>
      <c r="R847" s="41" t="s">
        <v>16</v>
      </c>
      <c r="S847" s="41" t="s">
        <v>137</v>
      </c>
      <c r="T847" s="41" t="s">
        <v>153</v>
      </c>
      <c r="U847" s="16" t="s">
        <v>13</v>
      </c>
      <c r="V847" s="16" t="s">
        <v>19</v>
      </c>
      <c r="W847" s="19" t="s"/>
      <c r="X847" s="26" t="s">
        <f>=M847&amp;N847&amp;P847&amp;Q847&amp;T847&amp;V847&amp;S847</f>
        <v>936</v>
      </c>
      <c r="Y847" s="19" t="s"/>
      <c r="Z847" s="19" t="s"/>
      <c r="AA847" s="19" t="s"/>
      <c r="AB847" s="19" t="s"/>
    </row>
    <row r="848" spans="1:28" ht="14.4">
      <c r="A848" s="4">
        <f>=H848/G848-1</f>
        <v>0.0993975903614457</v>
      </c>
      <c r="B848" s="20">
        <f>=F848/12</f>
        <v>27.375</v>
      </c>
      <c r="C848" s="20">
        <f>=J848/3</f>
        <v>219</v>
      </c>
      <c r="D848" s="20">
        <f>=K848/3</f>
        <v>243.333333333333</v>
      </c>
      <c r="E848" s="20">
        <f>=L848/3</f>
        <v>255.5</v>
      </c>
      <c r="F848" s="20">
        <f>=H848*0.9</f>
        <v>328.5</v>
      </c>
      <c r="G848" s="21">
        <v>332</v>
      </c>
      <c r="H848" s="39">
        <v>365</v>
      </c>
      <c r="I848" s="40">
        <f>=H848*1.05</f>
        <v>383.25</v>
      </c>
      <c r="J848" s="40">
        <f>=F848*2</f>
        <v>657</v>
      </c>
      <c r="K848" s="40">
        <f>=H848*2</f>
        <v>730</v>
      </c>
      <c r="L848" s="40">
        <f>=I848*2</f>
        <v>766.5</v>
      </c>
      <c r="M848" s="41" t="s">
        <v>876</v>
      </c>
      <c r="N848" s="41">
        <v>1.2</v>
      </c>
      <c r="O848" s="41" t="s"/>
      <c r="P848" s="41">
        <v>2</v>
      </c>
      <c r="Q848" s="41">
        <v>2</v>
      </c>
      <c r="R848" s="41" t="s">
        <v>16</v>
      </c>
      <c r="S848" s="41" t="s">
        <v>137</v>
      </c>
      <c r="T848" s="41" t="s">
        <v>153</v>
      </c>
      <c r="U848" s="16" t="s">
        <v>13</v>
      </c>
      <c r="V848" s="16" t="s">
        <v>19</v>
      </c>
      <c r="W848" s="19" t="s"/>
      <c r="X848" s="26" t="s">
        <f>=M848&amp;N848&amp;P848&amp;Q848&amp;T848&amp;V848&amp;S848</f>
        <v>937</v>
      </c>
      <c r="Y848" s="19" t="s"/>
      <c r="Z848" s="19" t="s"/>
      <c r="AA848" s="19" t="s"/>
      <c r="AB848" s="19" t="s"/>
    </row>
    <row r="849" spans="1:28" ht="14.4">
      <c r="A849" s="4">
        <f>=H849/G849-1</f>
        <v>0.100616016427105</v>
      </c>
      <c r="B849" s="20">
        <f>=F849/12</f>
        <v>40.2</v>
      </c>
      <c r="C849" s="20">
        <f>=J849/3</f>
        <v>321.6</v>
      </c>
      <c r="D849" s="20">
        <f>=K849/3</f>
        <v>357.333333333333</v>
      </c>
      <c r="E849" s="20">
        <f>=L849/3</f>
        <v>375.2</v>
      </c>
      <c r="F849" s="20">
        <f>=H849*0.9</f>
        <v>482.4</v>
      </c>
      <c r="G849" s="21">
        <v>487</v>
      </c>
      <c r="H849" s="39">
        <v>536</v>
      </c>
      <c r="I849" s="40">
        <f>=H849*1.05</f>
        <v>562.8</v>
      </c>
      <c r="J849" s="40">
        <f>=F849*2</f>
        <v>964.8</v>
      </c>
      <c r="K849" s="40">
        <f>=H849*2</f>
        <v>1072</v>
      </c>
      <c r="L849" s="40">
        <f>=I849*2</f>
        <v>1125.6</v>
      </c>
      <c r="M849" s="41" t="s">
        <v>876</v>
      </c>
      <c r="N849" s="41">
        <v>1.2</v>
      </c>
      <c r="O849" s="41" t="s"/>
      <c r="P849" s="41">
        <v>3</v>
      </c>
      <c r="Q849" s="41">
        <v>3</v>
      </c>
      <c r="R849" s="41" t="s">
        <v>16</v>
      </c>
      <c r="S849" s="41" t="s">
        <v>137</v>
      </c>
      <c r="T849" s="41" t="s">
        <v>147</v>
      </c>
      <c r="U849" s="16" t="s">
        <v>13</v>
      </c>
      <c r="V849" s="16" t="s">
        <v>19</v>
      </c>
      <c r="W849" s="19" t="s"/>
      <c r="X849" s="26" t="s">
        <f>=M849&amp;N849&amp;P849&amp;Q849&amp;T849&amp;V849&amp;S849</f>
        <v>938</v>
      </c>
      <c r="Y849" s="19" t="s"/>
      <c r="Z849" s="19" t="s"/>
      <c r="AA849" s="19" t="s"/>
      <c r="AB849" s="19" t="s"/>
    </row>
    <row r="850" spans="1:28" ht="14.4">
      <c r="A850" s="4">
        <f>=H850/G850-1</f>
        <v>0.100806451612903</v>
      </c>
      <c r="B850" s="20">
        <f>=F850/12</f>
        <v>20.475</v>
      </c>
      <c r="C850" s="20">
        <f>=J850/3</f>
        <v>163.8</v>
      </c>
      <c r="D850" s="20">
        <f>=K850/3</f>
        <v>182</v>
      </c>
      <c r="E850" s="20">
        <f>=L850/3</f>
        <v>191.1</v>
      </c>
      <c r="F850" s="20">
        <f>=H850*0.9</f>
        <v>245.7</v>
      </c>
      <c r="G850" s="21">
        <v>248</v>
      </c>
      <c r="H850" s="39">
        <v>273</v>
      </c>
      <c r="I850" s="40">
        <f>=H850*1.05</f>
        <v>286.65</v>
      </c>
      <c r="J850" s="40">
        <f>=F850*2</f>
        <v>491.4</v>
      </c>
      <c r="K850" s="40">
        <f>=H850*2</f>
        <v>546</v>
      </c>
      <c r="L850" s="40">
        <f>=I850*2</f>
        <v>573.3</v>
      </c>
      <c r="M850" s="41" t="s">
        <v>876</v>
      </c>
      <c r="N850" s="41">
        <v>1.3</v>
      </c>
      <c r="O850" s="41" t="s"/>
      <c r="P850" s="41">
        <v>1</v>
      </c>
      <c r="Q850" s="41">
        <v>1</v>
      </c>
      <c r="R850" s="41" t="s">
        <v>16</v>
      </c>
      <c r="S850" s="41" t="s">
        <v>137</v>
      </c>
      <c r="T850" s="41" t="s">
        <v>163</v>
      </c>
      <c r="U850" s="16" t="s">
        <v>13</v>
      </c>
      <c r="V850" s="16" t="s">
        <v>19</v>
      </c>
      <c r="W850" s="19" t="s"/>
      <c r="X850" s="26" t="s">
        <f>=M850&amp;N850&amp;P850&amp;Q850&amp;T850&amp;V850&amp;S850</f>
        <v>939</v>
      </c>
      <c r="Y850" s="19" t="s"/>
      <c r="Z850" s="19" t="s"/>
      <c r="AA850" s="19" t="s"/>
      <c r="AB850" s="19" t="s"/>
    </row>
    <row r="851" spans="1:28" ht="14.4">
      <c r="A851" s="4">
        <f>=H851/G851-1</f>
        <v>0.100294985250738</v>
      </c>
      <c r="B851" s="20">
        <f>=F851/12</f>
        <v>27.975</v>
      </c>
      <c r="C851" s="20">
        <f>=J851/3</f>
        <v>223.8</v>
      </c>
      <c r="D851" s="20">
        <f>=K851/3</f>
        <v>248.666666666667</v>
      </c>
      <c r="E851" s="20">
        <f>=L851/3</f>
        <v>261.1</v>
      </c>
      <c r="F851" s="20">
        <f>=H851*0.9</f>
        <v>335.7</v>
      </c>
      <c r="G851" s="21">
        <v>339</v>
      </c>
      <c r="H851" s="39">
        <v>373</v>
      </c>
      <c r="I851" s="40">
        <f>=H851*1.05</f>
        <v>391.65</v>
      </c>
      <c r="J851" s="40">
        <f>=F851*2</f>
        <v>671.4</v>
      </c>
      <c r="K851" s="40">
        <f>=H851*2</f>
        <v>746</v>
      </c>
      <c r="L851" s="40">
        <f>=I851*2</f>
        <v>783.3</v>
      </c>
      <c r="M851" s="41" t="s">
        <v>876</v>
      </c>
      <c r="N851" s="41">
        <v>1.3</v>
      </c>
      <c r="O851" s="41" t="s"/>
      <c r="P851" s="41">
        <v>2</v>
      </c>
      <c r="Q851" s="41">
        <v>2</v>
      </c>
      <c r="R851" s="41" t="s">
        <v>16</v>
      </c>
      <c r="S851" s="41" t="s">
        <v>137</v>
      </c>
      <c r="T851" s="41" t="s">
        <v>153</v>
      </c>
      <c r="U851" s="16" t="s">
        <v>13</v>
      </c>
      <c r="V851" s="16" t="s">
        <v>19</v>
      </c>
      <c r="W851" s="19" t="s"/>
      <c r="X851" s="34" t="s">
        <f>=M851&amp;N851&amp;P851&amp;Q851&amp;T851&amp;V851&amp;S851</f>
        <v>940</v>
      </c>
      <c r="Y851" s="19" t="s"/>
      <c r="Z851" s="19" t="s"/>
      <c r="AA851" s="19" t="s"/>
      <c r="AB851" s="19" t="s"/>
    </row>
    <row r="852" spans="1:28" ht="14.4">
      <c r="A852" s="4">
        <f>=H852/G852-1</f>
        <v>0.100806451612903</v>
      </c>
      <c r="B852" s="20">
        <f>=F852/12</f>
        <v>40.95</v>
      </c>
      <c r="C852" s="20">
        <f>=J852/3</f>
        <v>327.6</v>
      </c>
      <c r="D852" s="20">
        <f>=K852/3</f>
        <v>364</v>
      </c>
      <c r="E852" s="20">
        <f>=L852/3</f>
        <v>382.2</v>
      </c>
      <c r="F852" s="20">
        <f>=H852*0.9</f>
        <v>491.4</v>
      </c>
      <c r="G852" s="21">
        <v>496</v>
      </c>
      <c r="H852" s="39">
        <v>546</v>
      </c>
      <c r="I852" s="40">
        <f>=H852*1.05</f>
        <v>573.3</v>
      </c>
      <c r="J852" s="40">
        <f>=F852*2</f>
        <v>982.8</v>
      </c>
      <c r="K852" s="40">
        <f>=H852*2</f>
        <v>1092</v>
      </c>
      <c r="L852" s="40">
        <f>=I852*2</f>
        <v>1146.6</v>
      </c>
      <c r="M852" s="41" t="s">
        <v>876</v>
      </c>
      <c r="N852" s="41">
        <v>1.3</v>
      </c>
      <c r="O852" s="41" t="s"/>
      <c r="P852" s="41">
        <v>3</v>
      </c>
      <c r="Q852" s="41">
        <v>3</v>
      </c>
      <c r="R852" s="41" t="s">
        <v>16</v>
      </c>
      <c r="S852" s="41" t="s">
        <v>137</v>
      </c>
      <c r="T852" s="41" t="s">
        <v>153</v>
      </c>
      <c r="U852" s="16" t="s">
        <v>13</v>
      </c>
      <c r="V852" s="16" t="s">
        <v>19</v>
      </c>
      <c r="W852" s="19" t="s"/>
      <c r="X852" s="26" t="s">
        <f>=M852&amp;N852&amp;P852&amp;Q852&amp;T852&amp;V852&amp;S852</f>
        <v>941</v>
      </c>
      <c r="Y852" s="19" t="s"/>
      <c r="Z852" s="19" t="s"/>
      <c r="AA852" s="19" t="s"/>
      <c r="AB852" s="19" t="s"/>
    </row>
    <row r="853" spans="1:28" ht="14.4">
      <c r="A853" s="4" t="e">
        <f>=H853/G853-1</f>
        <v>#DIV/0!</v>
      </c>
      <c r="B853" s="20">
        <f>=F853/12</f>
        <v>18.675</v>
      </c>
      <c r="C853" s="20">
        <f>=J853/3</f>
        <v>149.4</v>
      </c>
      <c r="D853" s="20">
        <f>=K853/3</f>
        <v>166</v>
      </c>
      <c r="E853" s="20">
        <f>=L853/3</f>
        <v>174.3</v>
      </c>
      <c r="F853" s="20">
        <f>=H853*0.9</f>
        <v>224.1</v>
      </c>
      <c r="G853" s="21" t="s"/>
      <c r="H853" s="39">
        <v>249</v>
      </c>
      <c r="I853" s="40">
        <f>=H853*1.05</f>
        <v>261.45</v>
      </c>
      <c r="J853" s="40">
        <f>=F853*2</f>
        <v>448.2</v>
      </c>
      <c r="K853" s="40">
        <f>=H853*2</f>
        <v>498</v>
      </c>
      <c r="L853" s="40">
        <f>=I853*2</f>
        <v>522.9</v>
      </c>
      <c r="M853" s="41" t="s">
        <v>876</v>
      </c>
      <c r="N853" s="41">
        <v>1.4</v>
      </c>
      <c r="O853" s="41" t="s"/>
      <c r="P853" s="41" t="s">
        <v>21</v>
      </c>
      <c r="Q853" s="41" t="s">
        <v>21</v>
      </c>
      <c r="R853" s="41" t="s">
        <v>16</v>
      </c>
      <c r="S853" s="41" t="s">
        <v>137</v>
      </c>
      <c r="T853" s="41" t="s">
        <v>163</v>
      </c>
      <c r="U853" s="16" t="s">
        <v>13</v>
      </c>
      <c r="V853" s="16" t="s">
        <v>19</v>
      </c>
      <c r="W853" s="19" t="s"/>
      <c r="X853" s="26" t="s">
        <f>=M853&amp;N853&amp;P853&amp;Q853&amp;T853&amp;V853&amp;S853</f>
        <v>942</v>
      </c>
      <c r="Y853" s="19" t="s"/>
      <c r="Z853" s="19" t="s"/>
      <c r="AA853" s="19" t="s"/>
      <c r="AB853" s="19" t="s"/>
    </row>
    <row r="854" spans="1:28" ht="14.4">
      <c r="A854" s="4">
        <f>=H854/G854-1</f>
        <v>0.0993589743589745</v>
      </c>
      <c r="B854" s="20">
        <f>=F854/12</f>
        <v>25.725</v>
      </c>
      <c r="C854" s="20">
        <f>=J854/3</f>
        <v>205.8</v>
      </c>
      <c r="D854" s="20">
        <f>=K854/3</f>
        <v>228.666666666667</v>
      </c>
      <c r="E854" s="20">
        <f>=L854/3</f>
        <v>240.1</v>
      </c>
      <c r="F854" s="20">
        <f>=H854*0.9</f>
        <v>308.7</v>
      </c>
      <c r="G854" s="21">
        <v>312</v>
      </c>
      <c r="H854" s="39">
        <v>343</v>
      </c>
      <c r="I854" s="40">
        <f>=H854*1.05</f>
        <v>360.15</v>
      </c>
      <c r="J854" s="40">
        <f>=F854*2</f>
        <v>617.4</v>
      </c>
      <c r="K854" s="40">
        <f>=H854*2</f>
        <v>686</v>
      </c>
      <c r="L854" s="40">
        <f>=I854*2</f>
        <v>720.3</v>
      </c>
      <c r="M854" s="41" t="s">
        <v>876</v>
      </c>
      <c r="N854" s="41">
        <v>1.4</v>
      </c>
      <c r="O854" s="41" t="s"/>
      <c r="P854" s="41">
        <v>1.5</v>
      </c>
      <c r="Q854" s="41">
        <v>1.5</v>
      </c>
      <c r="R854" s="41" t="s">
        <v>16</v>
      </c>
      <c r="S854" s="41" t="s">
        <v>137</v>
      </c>
      <c r="T854" s="41" t="s">
        <v>163</v>
      </c>
      <c r="U854" s="16" t="s">
        <v>13</v>
      </c>
      <c r="V854" s="16" t="s">
        <v>19</v>
      </c>
      <c r="W854" s="19" t="s"/>
      <c r="X854" s="26" t="s">
        <f>=M854&amp;N854&amp;P854&amp;Q854&amp;T854&amp;V854&amp;S854</f>
        <v>943</v>
      </c>
      <c r="Y854" s="19" t="s"/>
      <c r="Z854" s="19" t="s"/>
      <c r="AA854" s="19" t="s"/>
      <c r="AB854" s="19" t="s"/>
    </row>
    <row r="855" spans="1:28" ht="14.4">
      <c r="A855" s="4">
        <f>=H855/G855-1</f>
        <v>0.0997229916897506</v>
      </c>
      <c r="B855" s="20">
        <f>=F855/12</f>
        <v>29.775</v>
      </c>
      <c r="C855" s="20">
        <f>=J855/3</f>
        <v>238.2</v>
      </c>
      <c r="D855" s="20">
        <f>=K855/3</f>
        <v>264.666666666667</v>
      </c>
      <c r="E855" s="20">
        <f>=L855/3</f>
        <v>277.9</v>
      </c>
      <c r="F855" s="20">
        <f>=H855*0.9</f>
        <v>357.3</v>
      </c>
      <c r="G855" s="21">
        <v>361</v>
      </c>
      <c r="H855" s="39">
        <v>397</v>
      </c>
      <c r="I855" s="40">
        <f>=H855*1.05</f>
        <v>416.85</v>
      </c>
      <c r="J855" s="40">
        <f>=F855*2</f>
        <v>714.6</v>
      </c>
      <c r="K855" s="40">
        <f>=H855*2</f>
        <v>794</v>
      </c>
      <c r="L855" s="40">
        <f>=I855*2</f>
        <v>833.7</v>
      </c>
      <c r="M855" s="41" t="s">
        <v>876</v>
      </c>
      <c r="N855" s="41">
        <v>1.4</v>
      </c>
      <c r="O855" s="41" t="s"/>
      <c r="P855" s="41">
        <v>2</v>
      </c>
      <c r="Q855" s="41">
        <v>2</v>
      </c>
      <c r="R855" s="41" t="s">
        <v>16</v>
      </c>
      <c r="S855" s="41" t="s">
        <v>137</v>
      </c>
      <c r="T855" s="41" t="s">
        <v>163</v>
      </c>
      <c r="U855" s="16" t="s">
        <v>13</v>
      </c>
      <c r="V855" s="16" t="s">
        <v>19</v>
      </c>
      <c r="W855" s="19" t="s"/>
      <c r="X855" s="26" t="s">
        <f>=M855&amp;N855&amp;P855&amp;Q855&amp;T855&amp;V855&amp;S855</f>
        <v>944</v>
      </c>
      <c r="Y855" s="19" t="s"/>
      <c r="Z855" s="19" t="s"/>
      <c r="AA855" s="19" t="s"/>
      <c r="AB855" s="19" t="s"/>
    </row>
    <row r="856" spans="1:28" ht="14.4">
      <c r="A856" s="4">
        <f>=H856/G856-1</f>
        <v>0.1</v>
      </c>
      <c r="B856" s="20">
        <f>=F856/12</f>
        <v>43.725</v>
      </c>
      <c r="C856" s="20">
        <f>=J856/3</f>
        <v>349.8</v>
      </c>
      <c r="D856" s="20">
        <f>=K856/3</f>
        <v>388.666666666667</v>
      </c>
      <c r="E856" s="20">
        <f>=L856/3</f>
        <v>408.1</v>
      </c>
      <c r="F856" s="20">
        <f>=H856*0.9</f>
        <v>524.7</v>
      </c>
      <c r="G856" s="21">
        <v>530</v>
      </c>
      <c r="H856" s="39">
        <v>583</v>
      </c>
      <c r="I856" s="40">
        <f>=H856*1.05</f>
        <v>612.15</v>
      </c>
      <c r="J856" s="40">
        <f>=F856*2</f>
        <v>1049.4</v>
      </c>
      <c r="K856" s="40">
        <f>=H856*2</f>
        <v>1166</v>
      </c>
      <c r="L856" s="40">
        <f>=I856*2</f>
        <v>1224.3</v>
      </c>
      <c r="M856" s="41" t="s">
        <v>876</v>
      </c>
      <c r="N856" s="41">
        <v>1.4</v>
      </c>
      <c r="O856" s="41" t="s"/>
      <c r="P856" s="41">
        <v>3</v>
      </c>
      <c r="Q856" s="41">
        <v>3</v>
      </c>
      <c r="R856" s="41" t="s">
        <v>16</v>
      </c>
      <c r="S856" s="41" t="s">
        <v>137</v>
      </c>
      <c r="T856" s="41" t="s">
        <v>163</v>
      </c>
      <c r="U856" s="16" t="s">
        <v>13</v>
      </c>
      <c r="V856" s="16" t="s">
        <v>19</v>
      </c>
      <c r="W856" s="19" t="s"/>
      <c r="X856" s="26" t="s">
        <f>=M856&amp;N856&amp;P856&amp;Q856&amp;T856&amp;V856&amp;S856</f>
        <v>945</v>
      </c>
      <c r="Y856" s="19" t="s"/>
      <c r="Z856" s="19" t="s"/>
      <c r="AA856" s="19" t="s"/>
      <c r="AB856" s="19" t="s"/>
    </row>
    <row r="857" spans="1:28" ht="14.4">
      <c r="A857" s="4">
        <f>=H857/G857-1</f>
        <v>0.1</v>
      </c>
      <c r="B857" s="20">
        <f>=F857/12</f>
        <v>26.4</v>
      </c>
      <c r="C857" s="20">
        <f>=J857/3</f>
        <v>211.2</v>
      </c>
      <c r="D857" s="20">
        <f>=K857/3</f>
        <v>234.666666666667</v>
      </c>
      <c r="E857" s="20">
        <f>=L857/3</f>
        <v>246.4</v>
      </c>
      <c r="F857" s="20">
        <f>=H857*0.9</f>
        <v>316.8</v>
      </c>
      <c r="G857" s="21">
        <v>320</v>
      </c>
      <c r="H857" s="39">
        <v>352</v>
      </c>
      <c r="I857" s="40">
        <f>=H857*1.05</f>
        <v>369.6</v>
      </c>
      <c r="J857" s="40">
        <f>=F857*2</f>
        <v>633.6</v>
      </c>
      <c r="K857" s="40">
        <f>=H857*2</f>
        <v>704</v>
      </c>
      <c r="L857" s="40">
        <f>=I857*2</f>
        <v>739.2</v>
      </c>
      <c r="M857" s="41" t="s">
        <v>876</v>
      </c>
      <c r="N857" s="41">
        <v>1.45</v>
      </c>
      <c r="O857" s="41" t="s"/>
      <c r="P857" s="41">
        <v>1.5</v>
      </c>
      <c r="Q857" s="41">
        <v>1.5</v>
      </c>
      <c r="R857" s="41" t="s">
        <v>16</v>
      </c>
      <c r="S857" s="41" t="s">
        <v>137</v>
      </c>
      <c r="T857" s="41" t="s">
        <v>163</v>
      </c>
      <c r="U857" s="16" t="s">
        <v>13</v>
      </c>
      <c r="V857" s="16" t="s">
        <v>19</v>
      </c>
      <c r="W857" s="19" t="s"/>
      <c r="X857" s="26" t="s">
        <f>=M857&amp;N857&amp;P857&amp;Q857&amp;T857&amp;V857&amp;S857</f>
        <v>946</v>
      </c>
      <c r="Y857" s="19" t="s"/>
      <c r="Z857" s="19" t="s"/>
      <c r="AA857" s="19" t="s"/>
      <c r="AB857" s="19" t="s"/>
    </row>
    <row r="858" spans="1:28" ht="14.4">
      <c r="A858" s="4">
        <f>=H858/G858-1</f>
        <v>0.0786516853932584</v>
      </c>
      <c r="B858" s="20">
        <f>=F858/12</f>
        <v>21.6</v>
      </c>
      <c r="C858" s="20">
        <f>=J858/3</f>
        <v>172.8</v>
      </c>
      <c r="D858" s="20">
        <f>=K858/3</f>
        <v>192</v>
      </c>
      <c r="E858" s="20">
        <f>=L858/3</f>
        <v>201.6</v>
      </c>
      <c r="F858" s="20">
        <f>=H858*0.9</f>
        <v>259.2</v>
      </c>
      <c r="G858" s="21">
        <v>267</v>
      </c>
      <c r="H858" s="39">
        <v>288</v>
      </c>
      <c r="I858" s="40">
        <f>=H858*1.05</f>
        <v>302.4</v>
      </c>
      <c r="J858" s="40">
        <f>=F858*2</f>
        <v>518.4</v>
      </c>
      <c r="K858" s="40">
        <f>=H858*2</f>
        <v>576</v>
      </c>
      <c r="L858" s="40">
        <f>=I858*2</f>
        <v>604.8</v>
      </c>
      <c r="M858" s="41" t="s">
        <v>876</v>
      </c>
      <c r="N858" s="41">
        <v>1.5</v>
      </c>
      <c r="O858" s="41" t="s"/>
      <c r="P858" s="41">
        <v>1</v>
      </c>
      <c r="Q858" s="41">
        <v>1</v>
      </c>
      <c r="R858" s="41" t="s">
        <v>16</v>
      </c>
      <c r="S858" s="41" t="s">
        <v>137</v>
      </c>
      <c r="T858" s="41" t="s">
        <v>171</v>
      </c>
      <c r="U858" s="16" t="s">
        <v>13</v>
      </c>
      <c r="V858" s="16" t="s">
        <v>19</v>
      </c>
      <c r="W858" s="19" t="s"/>
      <c r="X858" s="26" t="s">
        <f>=M858&amp;N858&amp;P858&amp;Q858&amp;T858&amp;V858&amp;S858</f>
        <v>947</v>
      </c>
      <c r="Y858" s="19" t="s"/>
      <c r="Z858" s="19" t="s"/>
      <c r="AA858" s="19" t="s"/>
      <c r="AB858" s="19" t="s"/>
    </row>
    <row r="859" spans="1:28" ht="14.4">
      <c r="A859" s="4">
        <f>=H859/G859-1</f>
        <v>0.100890207715133</v>
      </c>
      <c r="B859" s="20">
        <f>=F859/12</f>
        <v>27.825</v>
      </c>
      <c r="C859" s="20">
        <f>=J859/3</f>
        <v>222.6</v>
      </c>
      <c r="D859" s="20">
        <f>=K859/3</f>
        <v>247.333333333333</v>
      </c>
      <c r="E859" s="20">
        <f>=L859/3</f>
        <v>259.7</v>
      </c>
      <c r="F859" s="20">
        <f>=H859*0.9</f>
        <v>333.9</v>
      </c>
      <c r="G859" s="21">
        <v>337</v>
      </c>
      <c r="H859" s="39">
        <v>371</v>
      </c>
      <c r="I859" s="40">
        <f>=H859*1.05</f>
        <v>389.55</v>
      </c>
      <c r="J859" s="40">
        <f>=F859*2</f>
        <v>667.8</v>
      </c>
      <c r="K859" s="40">
        <f>=H859*2</f>
        <v>742</v>
      </c>
      <c r="L859" s="40">
        <f>=I859*2</f>
        <v>779.1</v>
      </c>
      <c r="M859" s="41" t="s">
        <v>876</v>
      </c>
      <c r="N859" s="41">
        <v>1.5</v>
      </c>
      <c r="O859" s="41" t="s"/>
      <c r="P859" s="41">
        <v>1.5</v>
      </c>
      <c r="Q859" s="41">
        <v>1.5</v>
      </c>
      <c r="R859" s="41" t="s">
        <v>16</v>
      </c>
      <c r="S859" s="41" t="s">
        <v>137</v>
      </c>
      <c r="T859" s="41" t="s">
        <v>163</v>
      </c>
      <c r="U859" s="16" t="s">
        <v>13</v>
      </c>
      <c r="V859" s="16" t="s">
        <v>19</v>
      </c>
      <c r="W859" s="19" t="s"/>
      <c r="X859" s="26" t="s">
        <f>=M859&amp;N859&amp;P859&amp;Q859&amp;T859&amp;V859&amp;S859</f>
        <v>948</v>
      </c>
      <c r="Y859" s="19" t="s"/>
      <c r="Z859" s="19" t="s"/>
      <c r="AA859" s="19" t="s"/>
      <c r="AB859" s="19" t="s"/>
    </row>
    <row r="860" spans="1:28" ht="14.4">
      <c r="A860" s="4">
        <f>=H860/G860-1</f>
        <v>0.100271002710027</v>
      </c>
      <c r="B860" s="20">
        <f>=F860/12</f>
        <v>30.45</v>
      </c>
      <c r="C860" s="20">
        <f>=J860/3</f>
        <v>243.6</v>
      </c>
      <c r="D860" s="20">
        <f>=K860/3</f>
        <v>270.666666666667</v>
      </c>
      <c r="E860" s="20">
        <f>=L860/3</f>
        <v>284.2</v>
      </c>
      <c r="F860" s="20">
        <f>=H860*0.9</f>
        <v>365.4</v>
      </c>
      <c r="G860" s="21">
        <v>369</v>
      </c>
      <c r="H860" s="39">
        <v>406</v>
      </c>
      <c r="I860" s="40">
        <f>=H860*1.05</f>
        <v>426.3</v>
      </c>
      <c r="J860" s="40">
        <f>=F860*2</f>
        <v>730.8</v>
      </c>
      <c r="K860" s="40">
        <f>=H860*2</f>
        <v>812</v>
      </c>
      <c r="L860" s="40">
        <f>=I860*2</f>
        <v>852.6</v>
      </c>
      <c r="M860" s="41" t="s">
        <v>876</v>
      </c>
      <c r="N860" s="41">
        <v>1.5</v>
      </c>
      <c r="O860" s="41" t="s"/>
      <c r="P860" s="41">
        <v>2</v>
      </c>
      <c r="Q860" s="41">
        <v>2</v>
      </c>
      <c r="R860" s="41" t="s">
        <v>16</v>
      </c>
      <c r="S860" s="41" t="s">
        <v>137</v>
      </c>
      <c r="T860" s="41" t="s">
        <v>163</v>
      </c>
      <c r="U860" s="16" t="s">
        <v>13</v>
      </c>
      <c r="V860" s="16" t="s">
        <v>19</v>
      </c>
      <c r="W860" s="19" t="s"/>
      <c r="X860" s="26" t="s">
        <f>=M860&amp;N860&amp;P860&amp;Q860&amp;T860&amp;V860&amp;S860</f>
        <v>949</v>
      </c>
      <c r="Y860" s="19" t="s"/>
      <c r="Z860" s="19" t="s"/>
      <c r="AA860" s="19" t="s"/>
      <c r="AB860" s="19" t="s"/>
    </row>
    <row r="861" spans="1:28" ht="14.4">
      <c r="A861" s="4">
        <f>=H861/G861-1</f>
        <v>0.101960784313726</v>
      </c>
      <c r="B861" s="20">
        <f>=F861/12</f>
        <v>21.075</v>
      </c>
      <c r="C861" s="20">
        <f>=J861/3</f>
        <v>168.6</v>
      </c>
      <c r="D861" s="20">
        <f>=K861/3</f>
        <v>187.333333333333</v>
      </c>
      <c r="E861" s="20">
        <f>=L861/3</f>
        <v>196.7</v>
      </c>
      <c r="F861" s="20">
        <f>=H861*0.9</f>
        <v>252.9</v>
      </c>
      <c r="G861" s="21">
        <v>255</v>
      </c>
      <c r="H861" s="39">
        <v>281</v>
      </c>
      <c r="I861" s="40">
        <f>=H861*1.05</f>
        <v>295.05</v>
      </c>
      <c r="J861" s="40">
        <f>=F861*2</f>
        <v>505.8</v>
      </c>
      <c r="K861" s="40">
        <f>=H861*2</f>
        <v>562</v>
      </c>
      <c r="L861" s="40">
        <f>=I861*2</f>
        <v>590.1</v>
      </c>
      <c r="M861" s="41" t="s">
        <v>876</v>
      </c>
      <c r="N861" s="41">
        <v>1.5</v>
      </c>
      <c r="O861" s="41" t="s"/>
      <c r="P861" s="41" t="s">
        <v>21</v>
      </c>
      <c r="Q861" s="41" t="s">
        <v>21</v>
      </c>
      <c r="R861" s="41" t="s">
        <v>16</v>
      </c>
      <c r="S861" s="41" t="s">
        <v>137</v>
      </c>
      <c r="T861" s="41" t="s">
        <v>171</v>
      </c>
      <c r="U861" s="16" t="s">
        <v>13</v>
      </c>
      <c r="V861" s="16" t="s">
        <v>19</v>
      </c>
      <c r="W861" s="19" t="s"/>
      <c r="X861" s="26" t="s">
        <f>=M861&amp;N861&amp;P861&amp;Q861&amp;T861&amp;V861&amp;S861</f>
        <v>950</v>
      </c>
      <c r="Y861" s="19" t="s"/>
      <c r="Z861" s="19" t="s"/>
      <c r="AA861" s="19" t="s"/>
      <c r="AB861" s="19" t="s"/>
    </row>
    <row r="862" spans="1:28" ht="14.4">
      <c r="A862" s="4">
        <f>=H862/G862-1</f>
        <v>0.0996309963099631</v>
      </c>
      <c r="B862" s="20">
        <f>=F862/12</f>
        <v>22.35</v>
      </c>
      <c r="C862" s="20">
        <f>=J862/3</f>
        <v>178.8</v>
      </c>
      <c r="D862" s="20">
        <f>=K862/3</f>
        <v>198.666666666667</v>
      </c>
      <c r="E862" s="20">
        <f>=L862/3</f>
        <v>208.6</v>
      </c>
      <c r="F862" s="20">
        <f>=H862*0.9</f>
        <v>268.2</v>
      </c>
      <c r="G862" s="21">
        <v>271</v>
      </c>
      <c r="H862" s="39">
        <v>298</v>
      </c>
      <c r="I862" s="40">
        <f>=H862*1.05</f>
        <v>312.9</v>
      </c>
      <c r="J862" s="40">
        <f>=F862*2</f>
        <v>536.4</v>
      </c>
      <c r="K862" s="40">
        <f>=H862*2</f>
        <v>596</v>
      </c>
      <c r="L862" s="40">
        <f>=I862*2</f>
        <v>625.8</v>
      </c>
      <c r="M862" s="41" t="s">
        <v>876</v>
      </c>
      <c r="N862" s="41">
        <v>1.6</v>
      </c>
      <c r="O862" s="41" t="s"/>
      <c r="P862" s="41">
        <v>1</v>
      </c>
      <c r="Q862" s="41">
        <v>1</v>
      </c>
      <c r="R862" s="41" t="s">
        <v>16</v>
      </c>
      <c r="S862" s="41" t="s">
        <v>137</v>
      </c>
      <c r="T862" s="41" t="s">
        <v>171</v>
      </c>
      <c r="U862" s="16" t="s">
        <v>13</v>
      </c>
      <c r="V862" s="16" t="s">
        <v>19</v>
      </c>
      <c r="W862" s="19" t="s"/>
      <c r="X862" s="26" t="s">
        <f>=M862&amp;N862&amp;P862&amp;Q862&amp;T862&amp;V862&amp;S862</f>
        <v>951</v>
      </c>
      <c r="Y862" s="19" t="s"/>
      <c r="Z862" s="19" t="s"/>
      <c r="AA862" s="19" t="s"/>
      <c r="AB862" s="19" t="s"/>
    </row>
    <row r="863" spans="1:28" ht="14.4">
      <c r="A863" s="4">
        <f>=H863/G863-1</f>
        <v>0.101639344262295</v>
      </c>
      <c r="B863" s="20">
        <f>=F863/12</f>
        <v>25.2</v>
      </c>
      <c r="C863" s="20">
        <f>=J863/3</f>
        <v>201.6</v>
      </c>
      <c r="D863" s="20">
        <f>=K863/3</f>
        <v>224</v>
      </c>
      <c r="E863" s="20">
        <f>=L863/3</f>
        <v>235.2</v>
      </c>
      <c r="F863" s="20">
        <f>=H863*0.9</f>
        <v>302.4</v>
      </c>
      <c r="G863" s="21">
        <v>305</v>
      </c>
      <c r="H863" s="39">
        <v>336</v>
      </c>
      <c r="I863" s="40">
        <f>=H863*1.05</f>
        <v>352.8</v>
      </c>
      <c r="J863" s="40">
        <f>=F863*2</f>
        <v>604.8</v>
      </c>
      <c r="K863" s="40">
        <f>=H863*2</f>
        <v>672</v>
      </c>
      <c r="L863" s="40">
        <f>=I863*2</f>
        <v>705.6</v>
      </c>
      <c r="M863" s="41" t="s">
        <v>876</v>
      </c>
      <c r="N863" s="41">
        <v>1.9</v>
      </c>
      <c r="O863" s="41" t="s"/>
      <c r="P863" s="41">
        <v>1</v>
      </c>
      <c r="Q863" s="41">
        <v>1</v>
      </c>
      <c r="R863" s="41" t="s">
        <v>16</v>
      </c>
      <c r="S863" s="41" t="s">
        <v>137</v>
      </c>
      <c r="T863" s="41" t="s">
        <v>193</v>
      </c>
      <c r="U863" s="16" t="s">
        <v>13</v>
      </c>
      <c r="V863" s="16" t="s">
        <v>19</v>
      </c>
      <c r="W863" s="19" t="s"/>
      <c r="X863" s="26" t="s">
        <f>=M863&amp;N863&amp;P863&amp;Q863&amp;T863&amp;V863&amp;S863</f>
        <v>952</v>
      </c>
      <c r="Y863" s="19" t="s"/>
      <c r="Z863" s="19" t="s"/>
      <c r="AA863" s="19" t="s"/>
      <c r="AB863" s="19" t="s"/>
    </row>
    <row r="864" spans="1:28" ht="14.4">
      <c r="A864" s="4">
        <f>=H864/G864-1</f>
        <v>0</v>
      </c>
      <c r="B864" s="20">
        <f>=F864/12</f>
        <v>30.75</v>
      </c>
      <c r="C864" s="20">
        <f>=J864/3</f>
        <v>246</v>
      </c>
      <c r="D864" s="20">
        <f>=K864/3</f>
        <v>273.333333333333</v>
      </c>
      <c r="E864" s="20">
        <f>=L864/3</f>
        <v>287</v>
      </c>
      <c r="F864" s="20">
        <f>=H864*0.9</f>
        <v>369</v>
      </c>
      <c r="G864" s="21">
        <v>410</v>
      </c>
      <c r="H864" s="39">
        <v>410</v>
      </c>
      <c r="I864" s="40">
        <f>=H864*1.05</f>
        <v>430.5</v>
      </c>
      <c r="J864" s="40">
        <f>=F864*2</f>
        <v>738</v>
      </c>
      <c r="K864" s="40">
        <f>=H864*2</f>
        <v>820</v>
      </c>
      <c r="L864" s="40">
        <f>=I864*2</f>
        <v>861</v>
      </c>
      <c r="M864" s="41" t="s">
        <v>876</v>
      </c>
      <c r="N864" s="41">
        <v>1.9</v>
      </c>
      <c r="O864" s="41" t="s"/>
      <c r="P864" s="41">
        <v>1.5</v>
      </c>
      <c r="Q864" s="41">
        <v>1.5</v>
      </c>
      <c r="R864" s="41" t="s">
        <v>16</v>
      </c>
      <c r="S864" s="41" t="s">
        <v>137</v>
      </c>
      <c r="T864" s="41" t="s">
        <v>193</v>
      </c>
      <c r="U864" s="16" t="s">
        <v>13</v>
      </c>
      <c r="V864" s="16" t="s">
        <v>19</v>
      </c>
      <c r="W864" s="54">
        <v>46126</v>
      </c>
      <c r="X864" s="26" t="s">
        <f>=M864&amp;N864&amp;P864&amp;Q864&amp;T864&amp;V864&amp;S864</f>
        <v>953</v>
      </c>
      <c r="Y864" s="19" t="s"/>
      <c r="Z864" s="19" t="s"/>
      <c r="AA864" s="19" t="s"/>
      <c r="AB864" s="19" t="s"/>
    </row>
    <row r="865" spans="1:28" ht="14.4">
      <c r="A865" s="4">
        <f>=H865/G865-1</f>
        <v>0.100446428571429</v>
      </c>
      <c r="B865" s="20">
        <f>=F865/12</f>
        <v>36.975</v>
      </c>
      <c r="C865" s="20">
        <f>=J865/3</f>
        <v>295.8</v>
      </c>
      <c r="D865" s="20">
        <f>=K865/3</f>
        <v>328.666666666667</v>
      </c>
      <c r="E865" s="20">
        <f>=L865/3</f>
        <v>345.1</v>
      </c>
      <c r="F865" s="20">
        <f>=H865*0.9</f>
        <v>443.7</v>
      </c>
      <c r="G865" s="21">
        <v>448</v>
      </c>
      <c r="H865" s="39">
        <v>493</v>
      </c>
      <c r="I865" s="40">
        <f>=H865*1.05</f>
        <v>517.65</v>
      </c>
      <c r="J865" s="40">
        <f>=F865*2</f>
        <v>887.4</v>
      </c>
      <c r="K865" s="40">
        <f>=H865*2</f>
        <v>986</v>
      </c>
      <c r="L865" s="40">
        <f>=I865*2</f>
        <v>1035.3</v>
      </c>
      <c r="M865" s="41" t="s">
        <v>876</v>
      </c>
      <c r="N865" s="41">
        <v>1.9</v>
      </c>
      <c r="O865" s="41" t="s"/>
      <c r="P865" s="41">
        <v>2</v>
      </c>
      <c r="Q865" s="41">
        <v>2</v>
      </c>
      <c r="R865" s="41" t="s">
        <v>16</v>
      </c>
      <c r="S865" s="41" t="s">
        <v>137</v>
      </c>
      <c r="T865" s="41" t="s">
        <v>193</v>
      </c>
      <c r="U865" s="16" t="s">
        <v>13</v>
      </c>
      <c r="V865" s="16" t="s">
        <v>19</v>
      </c>
      <c r="W865" s="19" t="s"/>
      <c r="X865" s="26" t="s">
        <f>=M865&amp;N865&amp;P865&amp;Q865&amp;T865&amp;V865&amp;S865</f>
        <v>954</v>
      </c>
      <c r="Y865" s="19" t="s"/>
      <c r="Z865" s="19" t="s"/>
      <c r="AA865" s="19" t="s"/>
      <c r="AB865" s="19" t="s"/>
    </row>
    <row r="866" spans="1:28" ht="14.4">
      <c r="A866" s="4">
        <f>=H866/G866-1</f>
        <v>0.1</v>
      </c>
      <c r="B866" s="20">
        <f>=F866/12</f>
        <v>23.925</v>
      </c>
      <c r="C866" s="20">
        <f>=J866/3</f>
        <v>191.4</v>
      </c>
      <c r="D866" s="20">
        <f>=K866/3</f>
        <v>212.666666666667</v>
      </c>
      <c r="E866" s="20">
        <f>=L866/3</f>
        <v>223.3</v>
      </c>
      <c r="F866" s="20">
        <f>=H866*0.9</f>
        <v>287.1</v>
      </c>
      <c r="G866" s="21">
        <v>290</v>
      </c>
      <c r="H866" s="39">
        <v>319</v>
      </c>
      <c r="I866" s="40">
        <f>=H866*1.05</f>
        <v>334.95</v>
      </c>
      <c r="J866" s="40">
        <f>=F866*2</f>
        <v>574.2</v>
      </c>
      <c r="K866" s="40">
        <f>=H866*2</f>
        <v>638</v>
      </c>
      <c r="L866" s="40">
        <f>=I866*2</f>
        <v>669.9</v>
      </c>
      <c r="M866" s="41" t="s">
        <v>876</v>
      </c>
      <c r="N866" s="41">
        <v>1.9</v>
      </c>
      <c r="O866" s="41" t="s"/>
      <c r="P866" s="41" t="s">
        <v>21</v>
      </c>
      <c r="Q866" s="41" t="s">
        <v>21</v>
      </c>
      <c r="R866" s="41" t="s">
        <v>16</v>
      </c>
      <c r="S866" s="41" t="s">
        <v>137</v>
      </c>
      <c r="T866" s="41" t="s">
        <v>193</v>
      </c>
      <c r="U866" s="16" t="s">
        <v>13</v>
      </c>
      <c r="V866" s="16" t="s">
        <v>19</v>
      </c>
      <c r="W866" s="19" t="s"/>
      <c r="X866" s="26" t="s">
        <f>=M866&amp;N866&amp;P866&amp;Q866&amp;T866&amp;V866&amp;S866</f>
        <v>955</v>
      </c>
      <c r="Y866" s="19" t="s"/>
      <c r="Z866" s="19" t="s"/>
      <c r="AA866" s="19" t="s"/>
      <c r="AB866" s="19" t="s"/>
    </row>
    <row r="867" spans="1:28" ht="14.4">
      <c r="A867" s="4">
        <f>=H867/G867-1</f>
        <v>0.0997229916897506</v>
      </c>
      <c r="B867" s="20">
        <f>=F867/12</f>
        <v>29.775</v>
      </c>
      <c r="C867" s="20">
        <f>=J867/3</f>
        <v>238.2</v>
      </c>
      <c r="D867" s="20">
        <f>=K867/3</f>
        <v>264.666666666667</v>
      </c>
      <c r="E867" s="20">
        <f>=L867/3</f>
        <v>277.9</v>
      </c>
      <c r="F867" s="20">
        <f>=H867*0.9</f>
        <v>357.3</v>
      </c>
      <c r="G867" s="21">
        <v>361</v>
      </c>
      <c r="H867" s="39">
        <v>397</v>
      </c>
      <c r="I867" s="40">
        <f>=H867*1.05</f>
        <v>416.85</v>
      </c>
      <c r="J867" s="40">
        <f>=F867*2</f>
        <v>714.6</v>
      </c>
      <c r="K867" s="40">
        <f>=H867*2</f>
        <v>794</v>
      </c>
      <c r="L867" s="40">
        <f>=I867*2</f>
        <v>833.7</v>
      </c>
      <c r="M867" s="41" t="s">
        <v>876</v>
      </c>
      <c r="N867" s="41">
        <v>2.3</v>
      </c>
      <c r="O867" s="41" t="s"/>
      <c r="P867" s="41">
        <v>1</v>
      </c>
      <c r="Q867" s="41">
        <v>1</v>
      </c>
      <c r="R867" s="41" t="s">
        <v>16</v>
      </c>
      <c r="S867" s="41" t="s">
        <v>137</v>
      </c>
      <c r="T867" s="41" t="s">
        <v>206</v>
      </c>
      <c r="U867" s="16" t="s">
        <v>13</v>
      </c>
      <c r="V867" s="16" t="s">
        <v>19</v>
      </c>
      <c r="W867" s="19" t="s"/>
      <c r="X867" s="26" t="s">
        <f>=M867&amp;N867&amp;P867&amp;Q867&amp;T867&amp;V867&amp;S867</f>
        <v>956</v>
      </c>
      <c r="Y867" s="19" t="s"/>
      <c r="Z867" s="19" t="s"/>
      <c r="AA867" s="19" t="s"/>
      <c r="AB867" s="19" t="s"/>
    </row>
    <row r="868" spans="1:28" ht="14.4">
      <c r="A868" s="4">
        <f>=H868/G868-1</f>
        <v>0.099078341013825</v>
      </c>
      <c r="B868" s="20">
        <f>=F868/12</f>
        <v>35.775</v>
      </c>
      <c r="C868" s="20">
        <f>=J868/3</f>
        <v>286.2</v>
      </c>
      <c r="D868" s="20">
        <f>=K868/3</f>
        <v>318</v>
      </c>
      <c r="E868" s="20">
        <f>=L868/3</f>
        <v>333.9</v>
      </c>
      <c r="F868" s="20">
        <f>=H868*0.9</f>
        <v>429.3</v>
      </c>
      <c r="G868" s="21">
        <v>434</v>
      </c>
      <c r="H868" s="39">
        <v>477</v>
      </c>
      <c r="I868" s="40">
        <f>=H868*1.05</f>
        <v>500.85</v>
      </c>
      <c r="J868" s="40">
        <f>=F868*2</f>
        <v>858.6</v>
      </c>
      <c r="K868" s="40">
        <f>=H868*2</f>
        <v>954</v>
      </c>
      <c r="L868" s="40">
        <f>=I868*2</f>
        <v>1001.7</v>
      </c>
      <c r="M868" s="41" t="s">
        <v>957</v>
      </c>
      <c r="N868" s="41">
        <v>0.15</v>
      </c>
      <c r="O868" s="41" t="s"/>
      <c r="P868" s="41">
        <v>3</v>
      </c>
      <c r="Q868" s="41">
        <v>3</v>
      </c>
      <c r="R868" s="41" t="s">
        <v>16</v>
      </c>
      <c r="S868" s="41" t="s">
        <v>17</v>
      </c>
      <c r="T868" s="41" t="s">
        <v>958</v>
      </c>
      <c r="U868" s="16" t="s">
        <v>13</v>
      </c>
      <c r="V868" s="16" t="s">
        <v>19</v>
      </c>
      <c r="W868" s="19" t="s"/>
      <c r="X868" s="26" t="s">
        <f>=M868&amp;N868&amp;P868&amp;Q868&amp;T868&amp;V868&amp;S868</f>
        <v>959</v>
      </c>
      <c r="Y868" s="19" t="s"/>
      <c r="Z868" s="19" t="s"/>
      <c r="AA868" s="19" t="s"/>
      <c r="AB868" s="19" t="s"/>
    </row>
    <row r="869" spans="1:28" ht="14.4">
      <c r="A869" s="4">
        <f>=H869/G869-1</f>
        <v>0.1</v>
      </c>
      <c r="B869" s="20">
        <f>=F869/12</f>
        <v>35.475</v>
      </c>
      <c r="C869" s="20">
        <f>=J869/3</f>
        <v>283.8</v>
      </c>
      <c r="D869" s="20">
        <f>=K869/3</f>
        <v>315.333333333333</v>
      </c>
      <c r="E869" s="20">
        <f>=L869/3</f>
        <v>331.1</v>
      </c>
      <c r="F869" s="20">
        <f>=H869*0.9</f>
        <v>425.7</v>
      </c>
      <c r="G869" s="21">
        <v>430</v>
      </c>
      <c r="H869" s="39">
        <v>473</v>
      </c>
      <c r="I869" s="40">
        <f>=H869*1.05</f>
        <v>496.65</v>
      </c>
      <c r="J869" s="40">
        <f>=F869*2</f>
        <v>851.4</v>
      </c>
      <c r="K869" s="40">
        <f>=H869*2</f>
        <v>946</v>
      </c>
      <c r="L869" s="40">
        <f>=I869*2</f>
        <v>993.3</v>
      </c>
      <c r="M869" s="41" t="s">
        <v>957</v>
      </c>
      <c r="N869" s="41">
        <v>0.15</v>
      </c>
      <c r="O869" s="41" t="s"/>
      <c r="P869" s="41">
        <v>3</v>
      </c>
      <c r="Q869" s="41">
        <v>3</v>
      </c>
      <c r="R869" s="41" t="s">
        <v>16</v>
      </c>
      <c r="S869" s="41" t="s">
        <v>17</v>
      </c>
      <c r="T869" s="41" t="s">
        <v>958</v>
      </c>
      <c r="U869" s="16" t="s">
        <v>13</v>
      </c>
      <c r="V869" s="16" t="s">
        <v>215</v>
      </c>
      <c r="W869" s="19" t="s"/>
      <c r="X869" s="26" t="s">
        <f>=M869&amp;N869&amp;P869&amp;Q869&amp;T869&amp;V869&amp;S869</f>
        <v>960</v>
      </c>
      <c r="Y869" s="19" t="s"/>
      <c r="Z869" s="19" t="s"/>
      <c r="AA869" s="19" t="s"/>
      <c r="AB869" s="19" t="s"/>
    </row>
    <row r="870" spans="1:28" ht="14.4">
      <c r="A870" s="4">
        <f>=H870/G870-1</f>
        <v>0.0952380952380954</v>
      </c>
      <c r="B870" s="20">
        <f>=F870/12</f>
        <v>6.9</v>
      </c>
      <c r="C870" s="20">
        <f>=J870/3</f>
        <v>55.2</v>
      </c>
      <c r="D870" s="20">
        <f>=K870/3</f>
        <v>61.3333333333333</v>
      </c>
      <c r="E870" s="20">
        <f>=L870/3</f>
        <v>64.4</v>
      </c>
      <c r="F870" s="20">
        <f>=H870*0.9</f>
        <v>82.8</v>
      </c>
      <c r="G870" s="21">
        <v>84</v>
      </c>
      <c r="H870" s="39">
        <v>92</v>
      </c>
      <c r="I870" s="40">
        <f>=H870*1.05</f>
        <v>96.6</v>
      </c>
      <c r="J870" s="40">
        <f>=F870*2</f>
        <v>165.6</v>
      </c>
      <c r="K870" s="40">
        <f>=H870*2</f>
        <v>184</v>
      </c>
      <c r="L870" s="40">
        <f>=I870*2</f>
        <v>193.2</v>
      </c>
      <c r="M870" s="41" t="s">
        <v>957</v>
      </c>
      <c r="N870" s="41">
        <v>0.08</v>
      </c>
      <c r="O870" s="41" t="s"/>
      <c r="P870" s="41" t="s">
        <v>21</v>
      </c>
      <c r="Q870" s="41" t="s">
        <v>21</v>
      </c>
      <c r="R870" s="41" t="s">
        <v>16</v>
      </c>
      <c r="S870" s="41" t="s">
        <v>17</v>
      </c>
      <c r="T870" s="41" t="s">
        <v>18</v>
      </c>
      <c r="U870" s="16" t="s">
        <v>13</v>
      </c>
      <c r="V870" s="16" t="s">
        <v>19</v>
      </c>
      <c r="W870" s="19" t="s"/>
      <c r="X870" s="26" t="s">
        <f>=M870&amp;N870&amp;P870&amp;Q870&amp;T870&amp;V870&amp;S870</f>
        <v>961</v>
      </c>
      <c r="Y870" s="19" t="s"/>
      <c r="Z870" s="19" t="s"/>
      <c r="AA870" s="19" t="s"/>
      <c r="AB870" s="19" t="s"/>
    </row>
    <row r="871" spans="1:28" ht="14.4">
      <c r="A871" s="4">
        <f>=H871/G871-1</f>
        <v>0.0982142857142858</v>
      </c>
      <c r="B871" s="20">
        <f>=F871/12</f>
        <v>9.225</v>
      </c>
      <c r="C871" s="20">
        <f>=J871/3</f>
        <v>73.8</v>
      </c>
      <c r="D871" s="20">
        <f>=K871/3</f>
        <v>82</v>
      </c>
      <c r="E871" s="20">
        <f>=L871/3</f>
        <v>86.1</v>
      </c>
      <c r="F871" s="20">
        <f>=H871*0.9</f>
        <v>110.7</v>
      </c>
      <c r="G871" s="21">
        <v>112</v>
      </c>
      <c r="H871" s="39">
        <v>123</v>
      </c>
      <c r="I871" s="40">
        <f>=H871*1.05</f>
        <v>129.15</v>
      </c>
      <c r="J871" s="40">
        <f>=F871*2</f>
        <v>221.4</v>
      </c>
      <c r="K871" s="40">
        <f>=H871*2</f>
        <v>246</v>
      </c>
      <c r="L871" s="40">
        <f>=I871*2</f>
        <v>258.3</v>
      </c>
      <c r="M871" s="41" t="s">
        <v>957</v>
      </c>
      <c r="N871" s="41">
        <v>0.1</v>
      </c>
      <c r="O871" s="41" t="s"/>
      <c r="P871" s="41">
        <v>1</v>
      </c>
      <c r="Q871" s="41">
        <v>1</v>
      </c>
      <c r="R871" s="41" t="s">
        <v>16</v>
      </c>
      <c r="S871" s="41" t="s">
        <v>17</v>
      </c>
      <c r="T871" s="41" t="s">
        <v>23</v>
      </c>
      <c r="U871" s="16" t="s">
        <v>13</v>
      </c>
      <c r="V871" s="16" t="s">
        <v>19</v>
      </c>
      <c r="W871" s="19" t="s"/>
      <c r="X871" s="26" t="s">
        <f>=M871&amp;N871&amp;P871&amp;Q871&amp;T871&amp;V871&amp;S871</f>
        <v>962</v>
      </c>
      <c r="Y871" s="19" t="s"/>
      <c r="Z871" s="19" t="s"/>
      <c r="AA871" s="19" t="s"/>
      <c r="AB871" s="19" t="s"/>
    </row>
    <row r="872" spans="1:28" ht="14.4">
      <c r="A872" s="4">
        <f>=H872/G872-1</f>
        <v>0.0952380952380954</v>
      </c>
      <c r="B872" s="20">
        <f>=F872/12</f>
        <v>6.9</v>
      </c>
      <c r="C872" s="20">
        <f>=J872/3</f>
        <v>55.2</v>
      </c>
      <c r="D872" s="20">
        <f>=K872/3</f>
        <v>61.3333333333333</v>
      </c>
      <c r="E872" s="20">
        <f>=L872/3</f>
        <v>64.4</v>
      </c>
      <c r="F872" s="20">
        <f>=H872*0.9</f>
        <v>82.8</v>
      </c>
      <c r="G872" s="21">
        <v>84</v>
      </c>
      <c r="H872" s="39">
        <v>92</v>
      </c>
      <c r="I872" s="40">
        <f>=H872*1.05</f>
        <v>96.6</v>
      </c>
      <c r="J872" s="40">
        <f>=F872*2</f>
        <v>165.6</v>
      </c>
      <c r="K872" s="40">
        <f>=H872*2</f>
        <v>184</v>
      </c>
      <c r="L872" s="40">
        <f>=I872*2</f>
        <v>193.2</v>
      </c>
      <c r="M872" s="41" t="s">
        <v>957</v>
      </c>
      <c r="N872" s="41">
        <v>0.1</v>
      </c>
      <c r="O872" s="41" t="s"/>
      <c r="P872" s="41" t="s">
        <v>21</v>
      </c>
      <c r="Q872" s="41" t="s">
        <v>21</v>
      </c>
      <c r="R872" s="41" t="s">
        <v>16</v>
      </c>
      <c r="S872" s="41" t="s">
        <v>17</v>
      </c>
      <c r="T872" s="41" t="s">
        <v>23</v>
      </c>
      <c r="U872" s="16" t="s">
        <v>13</v>
      </c>
      <c r="V872" s="16" t="s">
        <v>19</v>
      </c>
      <c r="W872" s="19" t="s"/>
      <c r="X872" s="26" t="s">
        <f>=M872&amp;N872&amp;P872&amp;Q872&amp;T872&amp;V872&amp;S872</f>
        <v>963</v>
      </c>
      <c r="Y872" s="19" t="s"/>
      <c r="Z872" s="19" t="s"/>
      <c r="AA872" s="19" t="s"/>
      <c r="AB872" s="19" t="s"/>
    </row>
    <row r="873" spans="1:28" ht="14.4">
      <c r="A873" s="4">
        <f>=H873/G873-1</f>
        <v>0.100515463917526</v>
      </c>
      <c r="B873" s="20">
        <f>=F873/12</f>
        <v>32.025</v>
      </c>
      <c r="C873" s="20">
        <f>=J873/3</f>
        <v>256.2</v>
      </c>
      <c r="D873" s="20">
        <f>=K873/3</f>
        <v>284.666666666667</v>
      </c>
      <c r="E873" s="20">
        <f>=L873/3</f>
        <v>298.9</v>
      </c>
      <c r="F873" s="20">
        <f>=H873*0.9</f>
        <v>384.3</v>
      </c>
      <c r="G873" s="21">
        <v>388</v>
      </c>
      <c r="H873" s="39">
        <v>427</v>
      </c>
      <c r="I873" s="40">
        <f>=H873*1.05</f>
        <v>448.35</v>
      </c>
      <c r="J873" s="40">
        <f>=F873*2</f>
        <v>768.6</v>
      </c>
      <c r="K873" s="40">
        <f>=H873*2</f>
        <v>854</v>
      </c>
      <c r="L873" s="40">
        <f>=I873*2</f>
        <v>896.7</v>
      </c>
      <c r="M873" s="41" t="s">
        <v>957</v>
      </c>
      <c r="N873" s="41">
        <v>0.13</v>
      </c>
      <c r="O873" s="41" t="s"/>
      <c r="P873" s="41">
        <v>3</v>
      </c>
      <c r="Q873" s="41">
        <v>3</v>
      </c>
      <c r="R873" s="41" t="s">
        <v>16</v>
      </c>
      <c r="S873" s="41" t="s">
        <v>17</v>
      </c>
      <c r="T873" s="41" t="s">
        <v>43</v>
      </c>
      <c r="U873" s="16" t="s">
        <v>13</v>
      </c>
      <c r="V873" s="16" t="s">
        <v>19</v>
      </c>
      <c r="W873" s="19" t="s"/>
      <c r="X873" s="26" t="s">
        <f>=M873&amp;N873&amp;P873&amp;Q873&amp;T873&amp;V873&amp;S873</f>
        <v>964</v>
      </c>
      <c r="Y873" s="19" t="s"/>
      <c r="Z873" s="19" t="s"/>
      <c r="AA873" s="19" t="s"/>
      <c r="AB873" s="19" t="s"/>
    </row>
    <row r="874" spans="1:29" s="272" customFormat="true" ht="13.5" customHeight="true">
      <c r="A874" s="4">
        <f>=H874/G874-1</f>
        <v>0</v>
      </c>
      <c r="B874" s="89">
        <f>=F874/12</f>
        <v>20.925</v>
      </c>
      <c r="C874" s="89">
        <f>=J874/3</f>
        <v>167.4</v>
      </c>
      <c r="D874" s="89">
        <f>=K874/3</f>
        <v>186</v>
      </c>
      <c r="E874" s="89">
        <f>=L874/3</f>
        <v>195.3</v>
      </c>
      <c r="F874" s="89">
        <f>=H874*0.9</f>
        <v>251.1</v>
      </c>
      <c r="G874" s="68">
        <v>279</v>
      </c>
      <c r="H874" s="90">
        <v>279</v>
      </c>
      <c r="I874" s="91">
        <f>=H874*1.05</f>
        <v>292.95</v>
      </c>
      <c r="J874" s="91">
        <f>=F874*2</f>
        <v>502.2</v>
      </c>
      <c r="K874" s="91">
        <f>=H874*2</f>
        <v>558</v>
      </c>
      <c r="L874" s="91">
        <f>=I874*2</f>
        <v>585.9</v>
      </c>
      <c r="M874" s="92" t="s">
        <v>957</v>
      </c>
      <c r="N874" s="92">
        <v>0.13</v>
      </c>
      <c r="O874" s="92" t="s"/>
      <c r="P874" s="92">
        <v>2</v>
      </c>
      <c r="Q874" s="92">
        <v>2</v>
      </c>
      <c r="R874" s="92" t="s">
        <v>16</v>
      </c>
      <c r="S874" s="92" t="s">
        <v>17</v>
      </c>
      <c r="T874" s="92" t="s">
        <v>43</v>
      </c>
      <c r="U874" s="69" t="s">
        <v>13</v>
      </c>
      <c r="V874" s="69" t="s">
        <v>19</v>
      </c>
      <c r="W874" s="93">
        <v>46154</v>
      </c>
      <c r="X874" s="26" t="s">
        <f>=M874&amp;N874&amp;P874&amp;Q874&amp;T874&amp;V874&amp;S874</f>
        <v>965</v>
      </c>
      <c r="Y874" s="70" t="s"/>
      <c r="Z874" s="70" t="s"/>
      <c r="AA874" s="70" t="s"/>
      <c r="AB874" s="70" t="s"/>
      <c r="AC874" s="71" t="s"/>
    </row>
    <row r="875" spans="1:28" ht="14.4">
      <c r="A875" s="4">
        <f>=H875/G875-1</f>
        <v>0.0981595092024541</v>
      </c>
      <c r="B875" s="20">
        <f>=F875/12</f>
        <v>13.425</v>
      </c>
      <c r="C875" s="20">
        <f>=J875/3</f>
        <v>107.4</v>
      </c>
      <c r="D875" s="20">
        <f>=K875/3</f>
        <v>119.333333333333</v>
      </c>
      <c r="E875" s="20">
        <f>=L875/3</f>
        <v>125.3</v>
      </c>
      <c r="F875" s="20">
        <f>=H875*0.9</f>
        <v>161.1</v>
      </c>
      <c r="G875" s="21">
        <v>163</v>
      </c>
      <c r="H875" s="39">
        <v>179</v>
      </c>
      <c r="I875" s="40">
        <f>=H875*1.05</f>
        <v>187.95</v>
      </c>
      <c r="J875" s="40">
        <f>=F875*2</f>
        <v>322.2</v>
      </c>
      <c r="K875" s="40">
        <f>=H875*2</f>
        <v>358</v>
      </c>
      <c r="L875" s="40">
        <f>=I875*2</f>
        <v>375.9</v>
      </c>
      <c r="M875" s="41" t="s">
        <v>957</v>
      </c>
      <c r="N875" s="41">
        <v>0.13</v>
      </c>
      <c r="O875" s="41" t="s"/>
      <c r="P875" s="41">
        <v>1</v>
      </c>
      <c r="Q875" s="41">
        <v>1</v>
      </c>
      <c r="R875" s="41" t="s">
        <v>16</v>
      </c>
      <c r="S875" s="41" t="s">
        <v>17</v>
      </c>
      <c r="T875" s="41" t="s">
        <v>23</v>
      </c>
      <c r="U875" s="16" t="s">
        <v>13</v>
      </c>
      <c r="V875" s="16" t="s">
        <v>19</v>
      </c>
      <c r="W875" s="19" t="s"/>
      <c r="X875" s="26" t="s">
        <f>=M875&amp;N875&amp;P875&amp;Q875&amp;T875&amp;V875&amp;S875</f>
        <v>966</v>
      </c>
      <c r="Y875" s="19" t="s"/>
      <c r="Z875" s="19" t="s"/>
      <c r="AA875" s="19" t="s"/>
      <c r="AB875" s="19" t="s"/>
    </row>
    <row r="876" spans="1:28" ht="14.4">
      <c r="A876" s="4">
        <f>=H876/G876-1</f>
        <v>0.104651162790698</v>
      </c>
      <c r="B876" s="20">
        <f>=F876/12</f>
        <v>7.125</v>
      </c>
      <c r="C876" s="20">
        <f>=J876/3</f>
        <v>57</v>
      </c>
      <c r="D876" s="20">
        <f>=K876/3</f>
        <v>63.3333333333333</v>
      </c>
      <c r="E876" s="20">
        <f>=L876/3</f>
        <v>66.5</v>
      </c>
      <c r="F876" s="20">
        <f>=H876*0.9</f>
        <v>85.5</v>
      </c>
      <c r="G876" s="21">
        <v>86</v>
      </c>
      <c r="H876" s="39">
        <v>95</v>
      </c>
      <c r="I876" s="40">
        <f>=H876*1.05</f>
        <v>99.75</v>
      </c>
      <c r="J876" s="40">
        <f>=F876*2</f>
        <v>171</v>
      </c>
      <c r="K876" s="40">
        <f>=H876*2</f>
        <v>190</v>
      </c>
      <c r="L876" s="40">
        <f>=I876*2</f>
        <v>199.5</v>
      </c>
      <c r="M876" s="41" t="s">
        <v>957</v>
      </c>
      <c r="N876" s="41">
        <v>0.13</v>
      </c>
      <c r="O876" s="41" t="s"/>
      <c r="P876" s="41" t="s">
        <v>21</v>
      </c>
      <c r="Q876" s="41" t="s">
        <v>21</v>
      </c>
      <c r="R876" s="41" t="s">
        <v>16</v>
      </c>
      <c r="S876" s="41" t="s">
        <v>17</v>
      </c>
      <c r="T876" s="41" t="s">
        <v>23</v>
      </c>
      <c r="U876" s="16" t="s">
        <v>13</v>
      </c>
      <c r="V876" s="16" t="s">
        <v>19</v>
      </c>
      <c r="W876" s="19" t="s"/>
      <c r="X876" s="26" t="s">
        <f>=M876&amp;N876&amp;P876&amp;Q876&amp;T876&amp;V876&amp;S876</f>
        <v>967</v>
      </c>
      <c r="Y876" s="19" t="s"/>
      <c r="Z876" s="19" t="s"/>
      <c r="AA876" s="19" t="s"/>
      <c r="AB876" s="19" t="s"/>
    </row>
    <row r="877" spans="1:28" ht="14.4">
      <c r="A877" s="4">
        <f>=H877/G877-1</f>
        <v>0.101769911504425</v>
      </c>
      <c r="B877" s="20">
        <f>=F877/12</f>
        <v>18.675</v>
      </c>
      <c r="C877" s="20">
        <f>=J877/3</f>
        <v>149.4</v>
      </c>
      <c r="D877" s="20">
        <f>=K877/3</f>
        <v>166</v>
      </c>
      <c r="E877" s="20">
        <f>=L877/3</f>
        <v>174.3</v>
      </c>
      <c r="F877" s="20">
        <f>=H877*0.9</f>
        <v>224.1</v>
      </c>
      <c r="G877" s="21">
        <v>226</v>
      </c>
      <c r="H877" s="39">
        <v>249</v>
      </c>
      <c r="I877" s="40">
        <f>=H877*1.05</f>
        <v>261.45</v>
      </c>
      <c r="J877" s="40">
        <f>=F877*2</f>
        <v>448.2</v>
      </c>
      <c r="K877" s="40">
        <f>=H877*2</f>
        <v>498</v>
      </c>
      <c r="L877" s="40">
        <f>=I877*2</f>
        <v>522.9</v>
      </c>
      <c r="M877" s="41" t="s">
        <v>957</v>
      </c>
      <c r="N877" s="41">
        <v>0.15</v>
      </c>
      <c r="O877" s="41" t="s"/>
      <c r="P877" s="41">
        <v>2</v>
      </c>
      <c r="Q877" s="41">
        <v>2</v>
      </c>
      <c r="R877" s="41" t="s">
        <v>16</v>
      </c>
      <c r="S877" s="41" t="s">
        <v>17</v>
      </c>
      <c r="T877" s="41" t="s">
        <v>39</v>
      </c>
      <c r="U877" s="16" t="s">
        <v>13</v>
      </c>
      <c r="V877" s="16" t="s">
        <v>19</v>
      </c>
      <c r="W877" s="19" t="s"/>
      <c r="X877" s="26" t="s">
        <f>=M877&amp;N877&amp;P877&amp;Q877&amp;T877&amp;V877&amp;S877</f>
        <v>968</v>
      </c>
      <c r="Y877" s="19" t="s"/>
      <c r="Z877" s="19" t="s"/>
      <c r="AA877" s="19" t="s"/>
      <c r="AB877" s="19" t="s"/>
    </row>
    <row r="878" spans="1:28" ht="14.4">
      <c r="A878" s="4">
        <f>=H878/G878-1</f>
        <v>0.103030303030303</v>
      </c>
      <c r="B878" s="20">
        <f>=F878/12</f>
        <v>13.65</v>
      </c>
      <c r="C878" s="20">
        <f>=J878/3</f>
        <v>109.2</v>
      </c>
      <c r="D878" s="20">
        <f>=K878/3</f>
        <v>121.333333333333</v>
      </c>
      <c r="E878" s="20">
        <f>=L878/3</f>
        <v>127.4</v>
      </c>
      <c r="F878" s="20">
        <f>=H878*0.9</f>
        <v>163.8</v>
      </c>
      <c r="G878" s="21">
        <v>165</v>
      </c>
      <c r="H878" s="39">
        <v>182</v>
      </c>
      <c r="I878" s="40">
        <f>=H878*1.05</f>
        <v>191.1</v>
      </c>
      <c r="J878" s="40">
        <f>=F878*2</f>
        <v>327.6</v>
      </c>
      <c r="K878" s="40">
        <f>=H878*2</f>
        <v>364</v>
      </c>
      <c r="L878" s="40">
        <f>=I878*2</f>
        <v>382.2</v>
      </c>
      <c r="M878" s="41" t="s">
        <v>957</v>
      </c>
      <c r="N878" s="41">
        <v>0.15</v>
      </c>
      <c r="O878" s="41" t="s"/>
      <c r="P878" s="41">
        <v>1</v>
      </c>
      <c r="Q878" s="41">
        <v>1</v>
      </c>
      <c r="R878" s="41" t="s">
        <v>16</v>
      </c>
      <c r="S878" s="41" t="s">
        <v>17</v>
      </c>
      <c r="T878" s="41" t="s">
        <v>39</v>
      </c>
      <c r="U878" s="16" t="s">
        <v>13</v>
      </c>
      <c r="V878" s="16" t="s">
        <v>19</v>
      </c>
      <c r="W878" s="19" t="s"/>
      <c r="X878" s="26" t="s">
        <f>=M878&amp;N878&amp;P878&amp;Q878&amp;T878&amp;V878&amp;S878</f>
        <v>969</v>
      </c>
      <c r="Y878" s="19" t="s"/>
      <c r="Z878" s="19" t="s"/>
      <c r="AA878" s="19" t="s"/>
      <c r="AB878" s="19" t="s"/>
    </row>
    <row r="879" spans="1:28" ht="14.4">
      <c r="A879" s="4">
        <f>=H879/G879-1</f>
        <v>0.104651162790698</v>
      </c>
      <c r="B879" s="20">
        <f>=F879/12</f>
        <v>7.125</v>
      </c>
      <c r="C879" s="20">
        <f>=J879/3</f>
        <v>57</v>
      </c>
      <c r="D879" s="20">
        <f>=K879/3</f>
        <v>63.3333333333333</v>
      </c>
      <c r="E879" s="20">
        <f>=L879/3</f>
        <v>66.5</v>
      </c>
      <c r="F879" s="20">
        <f>=H879*0.9</f>
        <v>85.5</v>
      </c>
      <c r="G879" s="21">
        <v>86</v>
      </c>
      <c r="H879" s="39">
        <v>95</v>
      </c>
      <c r="I879" s="40">
        <f>=H879*1.05</f>
        <v>99.75</v>
      </c>
      <c r="J879" s="40">
        <f>=F879*2</f>
        <v>171</v>
      </c>
      <c r="K879" s="40">
        <f>=H879*2</f>
        <v>190</v>
      </c>
      <c r="L879" s="40">
        <f>=I879*2</f>
        <v>199.5</v>
      </c>
      <c r="M879" s="41" t="s">
        <v>957</v>
      </c>
      <c r="N879" s="41">
        <v>0.15</v>
      </c>
      <c r="O879" s="41" t="s"/>
      <c r="P879" s="41" t="s">
        <v>21</v>
      </c>
      <c r="Q879" s="41" t="s">
        <v>21</v>
      </c>
      <c r="R879" s="41" t="s">
        <v>16</v>
      </c>
      <c r="S879" s="41" t="s">
        <v>17</v>
      </c>
      <c r="T879" s="41" t="s">
        <v>39</v>
      </c>
      <c r="U879" s="16" t="s">
        <v>13</v>
      </c>
      <c r="V879" s="16" t="s">
        <v>19</v>
      </c>
      <c r="W879" s="19" t="s"/>
      <c r="X879" s="26" t="s">
        <f>=M879&amp;N879&amp;P879&amp;Q879&amp;T879&amp;V879&amp;S879</f>
        <v>970</v>
      </c>
      <c r="Y879" s="19" t="s"/>
      <c r="Z879" s="19" t="s"/>
      <c r="AA879" s="19" t="s"/>
      <c r="AB879" s="19" t="s"/>
    </row>
    <row r="880" spans="1:28" ht="14.4">
      <c r="A880" s="4">
        <f>=H880/G880-1</f>
        <v>0.10062893081761</v>
      </c>
      <c r="B880" s="20">
        <f>=F880/12</f>
        <v>13.125</v>
      </c>
      <c r="C880" s="20">
        <f>=J880/3</f>
        <v>105</v>
      </c>
      <c r="D880" s="20">
        <f>=K880/3</f>
        <v>116.666666666667</v>
      </c>
      <c r="E880" s="20">
        <f>=L880/3</f>
        <v>122.5</v>
      </c>
      <c r="F880" s="20">
        <f>=H880*0.9</f>
        <v>157.5</v>
      </c>
      <c r="G880" s="21">
        <v>159</v>
      </c>
      <c r="H880" s="39">
        <v>175</v>
      </c>
      <c r="I880" s="40">
        <f>=H880*1.05</f>
        <v>183.75</v>
      </c>
      <c r="J880" s="40">
        <f>=F880*2</f>
        <v>315</v>
      </c>
      <c r="K880" s="40">
        <f>=H880*2</f>
        <v>350</v>
      </c>
      <c r="L880" s="40">
        <f>=I880*2</f>
        <v>367.5</v>
      </c>
      <c r="M880" s="41" t="s">
        <v>957</v>
      </c>
      <c r="N880" s="41">
        <v>0.21</v>
      </c>
      <c r="O880" s="41" t="s"/>
      <c r="P880" s="41">
        <v>1</v>
      </c>
      <c r="Q880" s="41">
        <v>1</v>
      </c>
      <c r="R880" s="41" t="s">
        <v>16</v>
      </c>
      <c r="S880" s="41" t="s">
        <v>17</v>
      </c>
      <c r="T880" s="41" t="s">
        <v>52</v>
      </c>
      <c r="U880" s="16" t="s">
        <v>13</v>
      </c>
      <c r="V880" s="16" t="s">
        <v>19</v>
      </c>
      <c r="W880" s="19" t="s"/>
      <c r="X880" s="26" t="s">
        <f>=M880&amp;N880&amp;P880&amp;Q880&amp;T880&amp;V880&amp;S880</f>
        <v>971</v>
      </c>
      <c r="Y880" s="19" t="s"/>
      <c r="Z880" s="19" t="s"/>
      <c r="AA880" s="19" t="s"/>
      <c r="AB880" s="19" t="s"/>
    </row>
    <row r="881" spans="1:28" ht="14.4">
      <c r="A881" s="4">
        <f>=H881/G881-1</f>
        <v>0.0982142857142858</v>
      </c>
      <c r="B881" s="20">
        <f>=F881/12</f>
        <v>9.225</v>
      </c>
      <c r="C881" s="20">
        <f>=J881/3</f>
        <v>73.8</v>
      </c>
      <c r="D881" s="20">
        <f>=K881/3</f>
        <v>82</v>
      </c>
      <c r="E881" s="20">
        <f>=L881/3</f>
        <v>86.1</v>
      </c>
      <c r="F881" s="20">
        <f>=H881*0.9</f>
        <v>110.7</v>
      </c>
      <c r="G881" s="21">
        <v>112</v>
      </c>
      <c r="H881" s="39">
        <v>123</v>
      </c>
      <c r="I881" s="40">
        <f>=H881*1.05</f>
        <v>129.15</v>
      </c>
      <c r="J881" s="40">
        <f>=F881*2</f>
        <v>221.4</v>
      </c>
      <c r="K881" s="40">
        <f>=H881*2</f>
        <v>246</v>
      </c>
      <c r="L881" s="40">
        <f>=I881*2</f>
        <v>258.3</v>
      </c>
      <c r="M881" s="41" t="s">
        <v>957</v>
      </c>
      <c r="N881" s="41">
        <v>0.2</v>
      </c>
      <c r="O881" s="41" t="s"/>
      <c r="P881" s="41">
        <v>1</v>
      </c>
      <c r="Q881" s="41">
        <v>1</v>
      </c>
      <c r="R881" s="41" t="s">
        <v>16</v>
      </c>
      <c r="S881" s="41" t="s">
        <v>17</v>
      </c>
      <c r="T881" s="41" t="s">
        <v>46</v>
      </c>
      <c r="U881" s="16" t="s">
        <v>13</v>
      </c>
      <c r="V881" s="16" t="s">
        <v>19</v>
      </c>
      <c r="W881" s="19" t="s"/>
      <c r="X881" s="26" t="s">
        <f>=M881&amp;N881&amp;P881&amp;Q881&amp;T881&amp;V881&amp;S881</f>
        <v>972</v>
      </c>
      <c r="Y881" s="19" t="s"/>
      <c r="Z881" s="19" t="s"/>
      <c r="AA881" s="19" t="s"/>
      <c r="AB881" s="19" t="s"/>
    </row>
    <row r="882" spans="1:28" ht="14.4">
      <c r="A882" s="4">
        <f>=H882/G882-1</f>
        <v>0</v>
      </c>
      <c r="B882" s="20">
        <f>=F882/12</f>
        <v>21.75</v>
      </c>
      <c r="C882" s="20">
        <f>=J882/3</f>
        <v>174</v>
      </c>
      <c r="D882" s="20">
        <f>=K882/3</f>
        <v>193.333333333333</v>
      </c>
      <c r="E882" s="20">
        <f>=L882/3</f>
        <v>203</v>
      </c>
      <c r="F882" s="20">
        <f>=H882*0.9</f>
        <v>261</v>
      </c>
      <c r="G882" s="21">
        <v>290</v>
      </c>
      <c r="H882" s="39">
        <v>290</v>
      </c>
      <c r="I882" s="40">
        <f>=H882*1.05</f>
        <v>304.5</v>
      </c>
      <c r="J882" s="40">
        <f>=F882*2</f>
        <v>522</v>
      </c>
      <c r="K882" s="40">
        <f>=H882*2</f>
        <v>580</v>
      </c>
      <c r="L882" s="40">
        <f>=I882*2</f>
        <v>609</v>
      </c>
      <c r="M882" s="41" t="s">
        <v>957</v>
      </c>
      <c r="N882" s="41">
        <v>0.2</v>
      </c>
      <c r="O882" s="41" t="s"/>
      <c r="P882" s="41">
        <v>2</v>
      </c>
      <c r="Q882" s="41">
        <v>2</v>
      </c>
      <c r="R882" s="41" t="s">
        <v>16</v>
      </c>
      <c r="S882" s="41" t="s">
        <v>17</v>
      </c>
      <c r="T882" s="41" t="s">
        <v>48</v>
      </c>
      <c r="U882" s="16" t="s">
        <v>13</v>
      </c>
      <c r="V882" s="16" t="s">
        <v>19</v>
      </c>
      <c r="W882" s="54">
        <v>46135</v>
      </c>
      <c r="X882" s="26" t="s">
        <f>=M882&amp;N882&amp;P882&amp;Q882&amp;T882&amp;V882&amp;S882</f>
        <v>973</v>
      </c>
      <c r="Y882" s="19" t="s"/>
      <c r="Z882" s="19" t="s"/>
      <c r="AA882" s="19" t="s"/>
      <c r="AB882" s="19" t="s"/>
    </row>
    <row r="883" spans="1:28" ht="14.4">
      <c r="A883" s="4">
        <f>=H883/G883-1</f>
        <v>0.100436681222707</v>
      </c>
      <c r="B883" s="20">
        <f>=F883/12</f>
        <v>18.9</v>
      </c>
      <c r="C883" s="20">
        <f>=J883/3</f>
        <v>151.2</v>
      </c>
      <c r="D883" s="20">
        <f>=K883/3</f>
        <v>168</v>
      </c>
      <c r="E883" s="20">
        <f>=L883/3</f>
        <v>176.4</v>
      </c>
      <c r="F883" s="20">
        <f>=H883*0.9</f>
        <v>226.8</v>
      </c>
      <c r="G883" s="21">
        <v>229</v>
      </c>
      <c r="H883" s="39">
        <v>252</v>
      </c>
      <c r="I883" s="40">
        <f>=H883*1.05</f>
        <v>264.6</v>
      </c>
      <c r="J883" s="40">
        <f>=F883*2</f>
        <v>453.6</v>
      </c>
      <c r="K883" s="40">
        <f>=H883*2</f>
        <v>504</v>
      </c>
      <c r="L883" s="40">
        <f>=I883*2</f>
        <v>529.2</v>
      </c>
      <c r="M883" s="41" t="s">
        <v>957</v>
      </c>
      <c r="N883" s="41">
        <v>0.2</v>
      </c>
      <c r="O883" s="41" t="s"/>
      <c r="P883" s="41">
        <v>2</v>
      </c>
      <c r="Q883" s="41">
        <v>2</v>
      </c>
      <c r="R883" s="41" t="s">
        <v>16</v>
      </c>
      <c r="S883" s="41" t="s">
        <v>17</v>
      </c>
      <c r="T883" s="41" t="s">
        <v>46</v>
      </c>
      <c r="U883" s="16" t="s">
        <v>13</v>
      </c>
      <c r="V883" s="16" t="s">
        <v>19</v>
      </c>
      <c r="W883" s="19" t="s"/>
      <c r="X883" s="26" t="s">
        <f>=M883&amp;N883&amp;P883&amp;Q883&amp;T883&amp;V883&amp;S883</f>
        <v>974</v>
      </c>
      <c r="Y883" s="19" t="s"/>
      <c r="Z883" s="19" t="s"/>
      <c r="AA883" s="19" t="s"/>
      <c r="AB883" s="19" t="s"/>
    </row>
    <row r="884" spans="1:28" ht="14.4">
      <c r="A884" s="4">
        <f>=H884/G884-1</f>
        <v>0.103448275862069</v>
      </c>
      <c r="B884" s="20">
        <f>=F884/12</f>
        <v>7.2</v>
      </c>
      <c r="C884" s="20">
        <f>=J884/3</f>
        <v>57.6</v>
      </c>
      <c r="D884" s="20">
        <f>=K884/3</f>
        <v>64</v>
      </c>
      <c r="E884" s="20">
        <f>=L884/3</f>
        <v>67.2</v>
      </c>
      <c r="F884" s="20">
        <f>=H884*0.9</f>
        <v>86.4</v>
      </c>
      <c r="G884" s="21">
        <v>87</v>
      </c>
      <c r="H884" s="39">
        <v>96</v>
      </c>
      <c r="I884" s="40">
        <f>=H884*1.05</f>
        <v>100.8</v>
      </c>
      <c r="J884" s="40">
        <f>=F884*2</f>
        <v>172.8</v>
      </c>
      <c r="K884" s="40">
        <f>=H884*2</f>
        <v>192</v>
      </c>
      <c r="L884" s="40">
        <f>=I884*2</f>
        <v>201.6</v>
      </c>
      <c r="M884" s="41" t="s">
        <v>957</v>
      </c>
      <c r="N884" s="41">
        <v>0.2</v>
      </c>
      <c r="O884" s="41" t="s"/>
      <c r="P884" s="41" t="s">
        <v>21</v>
      </c>
      <c r="Q884" s="41" t="s">
        <v>21</v>
      </c>
      <c r="R884" s="41" t="s">
        <v>16</v>
      </c>
      <c r="S884" s="41" t="s">
        <v>17</v>
      </c>
      <c r="T884" s="41" t="s">
        <v>46</v>
      </c>
      <c r="U884" s="16" t="s">
        <v>13</v>
      </c>
      <c r="V884" s="16" t="s">
        <v>19</v>
      </c>
      <c r="W884" s="19" t="s"/>
      <c r="X884" s="26" t="s">
        <f>=M884&amp;N884&amp;P884&amp;Q884&amp;T884&amp;V884&amp;S884</f>
        <v>975</v>
      </c>
      <c r="Y884" s="19" t="s"/>
      <c r="Z884" s="19" t="s"/>
      <c r="AA884" s="19" t="s"/>
      <c r="AB884" s="19" t="s"/>
    </row>
    <row r="885" spans="1:28" ht="14.4">
      <c r="A885" s="4">
        <f>=H885/G885-1</f>
        <v>0.101167315175097</v>
      </c>
      <c r="B885" s="20">
        <f>=F885/12</f>
        <v>21.225</v>
      </c>
      <c r="C885" s="20">
        <f>=J885/3</f>
        <v>169.8</v>
      </c>
      <c r="D885" s="20">
        <f>=K885/3</f>
        <v>188.666666666667</v>
      </c>
      <c r="E885" s="20">
        <f>=L885/3</f>
        <v>198.1</v>
      </c>
      <c r="F885" s="20">
        <f>=H885*0.9</f>
        <v>254.7</v>
      </c>
      <c r="G885" s="21">
        <v>257</v>
      </c>
      <c r="H885" s="94">
        <v>283</v>
      </c>
      <c r="I885" s="95">
        <f>=H885*1.05</f>
        <v>297.15</v>
      </c>
      <c r="J885" s="95">
        <f>=F885*2</f>
        <v>509.4</v>
      </c>
      <c r="K885" s="95">
        <f>=H885*2</f>
        <v>566</v>
      </c>
      <c r="L885" s="95">
        <f>=I885*2</f>
        <v>594.3</v>
      </c>
      <c r="M885" s="96" t="s">
        <v>957</v>
      </c>
      <c r="N885" s="96">
        <v>0.22</v>
      </c>
      <c r="O885" s="96" t="s"/>
      <c r="P885" s="96">
        <v>2</v>
      </c>
      <c r="Q885" s="96">
        <v>2</v>
      </c>
      <c r="R885" s="96" t="s">
        <v>16</v>
      </c>
      <c r="S885" s="96" t="s">
        <v>17</v>
      </c>
      <c r="T885" s="96" t="s">
        <v>52</v>
      </c>
      <c r="U885" s="97" t="s">
        <v>13</v>
      </c>
      <c r="V885" s="97" t="s">
        <v>19</v>
      </c>
      <c r="W885" s="19" t="s"/>
      <c r="X885" s="26" t="s">
        <f>=M885&amp;N885&amp;P885&amp;Q885&amp;T885&amp;V885&amp;S885</f>
        <v>976</v>
      </c>
      <c r="Y885" s="19" t="s"/>
      <c r="Z885" s="19" t="s"/>
      <c r="AA885" s="19" t="s"/>
      <c r="AB885" s="19" t="s"/>
    </row>
    <row r="886" spans="1:29" ht="14.4">
      <c r="A886" s="42">
        <f>=H886/G886-1</f>
        <v>0.116625310173697</v>
      </c>
      <c r="B886" s="43">
        <f>=F886/12</f>
        <v>33.75</v>
      </c>
      <c r="C886" s="43">
        <f>=J886/3</f>
        <v>270</v>
      </c>
      <c r="D886" s="43">
        <f>=K886/3</f>
        <v>300</v>
      </c>
      <c r="E886" s="43">
        <f>=L886/3</f>
        <v>315</v>
      </c>
      <c r="F886" s="43">
        <f>=H886*0.9</f>
        <v>405</v>
      </c>
      <c r="G886" s="27">
        <v>403</v>
      </c>
      <c r="H886" s="44">
        <v>450</v>
      </c>
      <c r="I886" s="45">
        <f>=H886*1.05</f>
        <v>472.5</v>
      </c>
      <c r="J886" s="45">
        <f>=F886*2</f>
        <v>810</v>
      </c>
      <c r="K886" s="45">
        <f>=H886*2</f>
        <v>900</v>
      </c>
      <c r="L886" s="45">
        <f>=I886*2</f>
        <v>945</v>
      </c>
      <c r="M886" s="46" t="s">
        <v>957</v>
      </c>
      <c r="N886" s="46">
        <v>0.2</v>
      </c>
      <c r="O886" s="46" t="s"/>
      <c r="P886" s="46">
        <v>3</v>
      </c>
      <c r="Q886" s="46">
        <v>3</v>
      </c>
      <c r="R886" s="46" t="s">
        <v>16</v>
      </c>
      <c r="S886" s="46" t="s">
        <v>17</v>
      </c>
      <c r="T886" s="12" t="s">
        <v>48</v>
      </c>
      <c r="U886" s="13" t="s">
        <v>13</v>
      </c>
      <c r="V886" s="13" t="s">
        <v>19</v>
      </c>
      <c r="W886" s="15" t="s"/>
      <c r="X886" s="18" t="s">
        <f>=M886&amp;N886&amp;P886&amp;Q886&amp;T886&amp;V886&amp;S886</f>
        <v>977</v>
      </c>
      <c r="Y886" s="15" t="s"/>
      <c r="Z886" s="15" t="s"/>
      <c r="AA886" s="15" t="s"/>
      <c r="AB886" s="15" t="s"/>
      <c r="AC886" s="48" t="s"/>
    </row>
    <row r="887" spans="1:28" ht="14.4">
      <c r="A887" s="4">
        <f>=H887/G887-1</f>
        <v>0.0992555831265509</v>
      </c>
      <c r="B887" s="20">
        <f>=F887/12</f>
        <v>33.225</v>
      </c>
      <c r="C887" s="20">
        <f>=J887/3</f>
        <v>265.8</v>
      </c>
      <c r="D887" s="20">
        <f>=K887/3</f>
        <v>295.333333333333</v>
      </c>
      <c r="E887" s="20">
        <f>=L887/3</f>
        <v>310.1</v>
      </c>
      <c r="F887" s="20">
        <f>=H887*0.9</f>
        <v>398.7</v>
      </c>
      <c r="G887" s="21">
        <v>403</v>
      </c>
      <c r="H887" s="98">
        <v>443</v>
      </c>
      <c r="I887" s="99">
        <f>=H887*1.05</f>
        <v>465.15</v>
      </c>
      <c r="J887" s="99">
        <f>=F887*2</f>
        <v>797.4</v>
      </c>
      <c r="K887" s="99">
        <f>=H887*2</f>
        <v>886</v>
      </c>
      <c r="L887" s="99">
        <f>=I887*2</f>
        <v>930.3</v>
      </c>
      <c r="M887" s="100" t="s">
        <v>957</v>
      </c>
      <c r="N887" s="100">
        <v>0.23</v>
      </c>
      <c r="O887" s="100" t="s"/>
      <c r="P887" s="100">
        <v>3</v>
      </c>
      <c r="Q887" s="100">
        <v>3</v>
      </c>
      <c r="R887" s="100" t="s">
        <v>16</v>
      </c>
      <c r="S887" s="100" t="s">
        <v>17</v>
      </c>
      <c r="T887" s="100" t="s">
        <v>52</v>
      </c>
      <c r="U887" s="25" t="s">
        <v>13</v>
      </c>
      <c r="V887" s="25" t="s">
        <v>19</v>
      </c>
      <c r="W887" s="19" t="s"/>
      <c r="X887" s="26" t="s">
        <f>=M887&amp;N887&amp;P887&amp;Q887&amp;T887&amp;V887&amp;S887</f>
        <v>978</v>
      </c>
      <c r="Y887" s="19" t="s"/>
      <c r="Z887" s="19" t="s"/>
      <c r="AA887" s="19" t="s"/>
      <c r="AB887" s="19" t="s"/>
    </row>
    <row r="888" spans="1:28" ht="14.4">
      <c r="A888" s="4">
        <f>=H888/G888-1</f>
        <v>0</v>
      </c>
      <c r="B888" s="20">
        <f>=F888/12</f>
        <v>21.825</v>
      </c>
      <c r="C888" s="20">
        <f>=J888/3</f>
        <v>174.6</v>
      </c>
      <c r="D888" s="20">
        <f>=K888/3</f>
        <v>194</v>
      </c>
      <c r="E888" s="20">
        <f>=L888/3</f>
        <v>203.7</v>
      </c>
      <c r="F888" s="20">
        <f>=H888*0.9</f>
        <v>261.9</v>
      </c>
      <c r="G888" s="21">
        <v>291</v>
      </c>
      <c r="H888" s="39">
        <v>291</v>
      </c>
      <c r="I888" s="40">
        <f>=H888*1.05</f>
        <v>305.55</v>
      </c>
      <c r="J888" s="40">
        <f>=F888*2</f>
        <v>523.8</v>
      </c>
      <c r="K888" s="40">
        <f>=H888*2</f>
        <v>582</v>
      </c>
      <c r="L888" s="40">
        <f>=I888*2</f>
        <v>611.1</v>
      </c>
      <c r="M888" s="41" t="s">
        <v>957</v>
      </c>
      <c r="N888" s="41">
        <v>0.26</v>
      </c>
      <c r="O888" s="41" t="s"/>
      <c r="P888" s="41">
        <v>2</v>
      </c>
      <c r="Q888" s="41">
        <v>2</v>
      </c>
      <c r="R888" s="41" t="s">
        <v>16</v>
      </c>
      <c r="S888" s="41" t="s">
        <v>17</v>
      </c>
      <c r="T888" s="41" t="s">
        <v>52</v>
      </c>
      <c r="U888" s="16" t="s">
        <v>13</v>
      </c>
      <c r="V888" s="16" t="s">
        <v>19</v>
      </c>
      <c r="W888" s="54">
        <v>46135</v>
      </c>
      <c r="X888" s="26" t="s">
        <f>=M888&amp;N888&amp;P888&amp;Q888&amp;T888&amp;V888&amp;S888</f>
        <v>979</v>
      </c>
      <c r="Y888" s="19" t="s"/>
      <c r="Z888" s="19" t="s"/>
      <c r="AA888" s="19" t="s"/>
      <c r="AB888" s="19" t="s"/>
    </row>
    <row r="889" spans="1:28" ht="14.4">
      <c r="A889" s="4">
        <f>=H889/G889-1</f>
        <v>0.098814229249012</v>
      </c>
      <c r="B889" s="20">
        <f>=F889/12</f>
        <v>20.85</v>
      </c>
      <c r="C889" s="20">
        <f>=J889/3</f>
        <v>166.8</v>
      </c>
      <c r="D889" s="20">
        <f>=K889/3</f>
        <v>185.333333333333</v>
      </c>
      <c r="E889" s="20">
        <f>=L889/3</f>
        <v>194.6</v>
      </c>
      <c r="F889" s="20">
        <f>=H889*0.9</f>
        <v>250.2</v>
      </c>
      <c r="G889" s="21">
        <v>253</v>
      </c>
      <c r="H889" s="39">
        <v>278</v>
      </c>
      <c r="I889" s="40">
        <f>=H889*1.05</f>
        <v>291.9</v>
      </c>
      <c r="J889" s="40">
        <f>=F889*2</f>
        <v>500.4</v>
      </c>
      <c r="K889" s="40">
        <f>=H889*2</f>
        <v>556</v>
      </c>
      <c r="L889" s="40">
        <f>=I889*2</f>
        <v>583.8</v>
      </c>
      <c r="M889" s="41" t="s">
        <v>957</v>
      </c>
      <c r="N889" s="41">
        <v>0.3</v>
      </c>
      <c r="O889" s="41" t="s"/>
      <c r="P889" s="41">
        <v>2</v>
      </c>
      <c r="Q889" s="41">
        <v>2</v>
      </c>
      <c r="R889" s="41" t="s">
        <v>16</v>
      </c>
      <c r="S889" s="41" t="s">
        <v>17</v>
      </c>
      <c r="T889" s="41" t="s">
        <v>67</v>
      </c>
      <c r="U889" s="16" t="s">
        <v>13</v>
      </c>
      <c r="V889" s="16" t="s">
        <v>19</v>
      </c>
      <c r="W889" s="19" t="s"/>
      <c r="X889" s="26" t="s">
        <f>=M889&amp;N889&amp;P889&amp;Q889&amp;T889&amp;V889&amp;S889</f>
        <v>980</v>
      </c>
      <c r="Y889" s="19" t="s"/>
      <c r="Z889" s="19" t="s"/>
      <c r="AA889" s="19" t="s"/>
      <c r="AB889" s="19" t="s"/>
    </row>
    <row r="890" spans="1:28" ht="14.4">
      <c r="A890" s="4">
        <f>=H890/G890-1</f>
        <v>0.0982142857142858</v>
      </c>
      <c r="B890" s="20">
        <f>=F890/12</f>
        <v>9.225</v>
      </c>
      <c r="C890" s="20">
        <f>=J890/3</f>
        <v>73.8</v>
      </c>
      <c r="D890" s="20">
        <f>=K890/3</f>
        <v>82</v>
      </c>
      <c r="E890" s="20">
        <f>=L890/3</f>
        <v>86.1</v>
      </c>
      <c r="F890" s="20">
        <f>=H890*0.9</f>
        <v>110.7</v>
      </c>
      <c r="G890" s="21">
        <v>112</v>
      </c>
      <c r="H890" s="39">
        <v>123</v>
      </c>
      <c r="I890" s="40">
        <f>=H890*1.05</f>
        <v>129.15</v>
      </c>
      <c r="J890" s="40">
        <f>=F890*2</f>
        <v>221.4</v>
      </c>
      <c r="K890" s="40">
        <f>=H890*2</f>
        <v>246</v>
      </c>
      <c r="L890" s="40">
        <f>=I890*2</f>
        <v>258.3</v>
      </c>
      <c r="M890" s="41" t="s">
        <v>957</v>
      </c>
      <c r="N890" s="41">
        <v>0.3</v>
      </c>
      <c r="O890" s="41" t="s"/>
      <c r="P890" s="41">
        <v>1</v>
      </c>
      <c r="Q890" s="41">
        <v>1</v>
      </c>
      <c r="R890" s="41" t="s">
        <v>16</v>
      </c>
      <c r="S890" s="41" t="s">
        <v>17</v>
      </c>
      <c r="T890" s="41" t="s">
        <v>67</v>
      </c>
      <c r="U890" s="16" t="s">
        <v>13</v>
      </c>
      <c r="V890" s="16" t="s">
        <v>19</v>
      </c>
      <c r="W890" s="19" t="s"/>
      <c r="X890" s="26" t="s">
        <f>=M890&amp;N890&amp;P890&amp;Q890&amp;T890&amp;V890&amp;S890</f>
        <v>981</v>
      </c>
      <c r="Y890" s="19" t="s"/>
      <c r="Z890" s="19" t="s"/>
      <c r="AA890" s="19" t="s"/>
      <c r="AB890" s="19" t="s"/>
    </row>
    <row r="891" spans="1:28" ht="14.4">
      <c r="A891" s="4">
        <f>=H891/G891-1</f>
        <v>0.1</v>
      </c>
      <c r="B891" s="20">
        <f>=F891/12</f>
        <v>14.85</v>
      </c>
      <c r="C891" s="20">
        <f>=J891/3</f>
        <v>118.8</v>
      </c>
      <c r="D891" s="20">
        <f>=K891/3</f>
        <v>132</v>
      </c>
      <c r="E891" s="20">
        <f>=L891/3</f>
        <v>138.6</v>
      </c>
      <c r="F891" s="20">
        <f>=H891*0.9</f>
        <v>178.2</v>
      </c>
      <c r="G891" s="21">
        <v>180</v>
      </c>
      <c r="H891" s="39">
        <v>198</v>
      </c>
      <c r="I891" s="40">
        <f>=H891*1.05</f>
        <v>207.9</v>
      </c>
      <c r="J891" s="40">
        <f>=F891*2</f>
        <v>356.4</v>
      </c>
      <c r="K891" s="40">
        <f>=H891*2</f>
        <v>396</v>
      </c>
      <c r="L891" s="40">
        <f>=I891*2</f>
        <v>415.8</v>
      </c>
      <c r="M891" s="41" t="s">
        <v>957</v>
      </c>
      <c r="N891" s="41">
        <v>0.3</v>
      </c>
      <c r="O891" s="41" t="s"/>
      <c r="P891" s="41">
        <v>1</v>
      </c>
      <c r="Q891" s="41">
        <v>1</v>
      </c>
      <c r="R891" s="41" t="s">
        <v>16</v>
      </c>
      <c r="S891" s="41" t="s">
        <v>17</v>
      </c>
      <c r="T891" s="41" t="s">
        <v>320</v>
      </c>
      <c r="U891" s="16" t="s">
        <v>13</v>
      </c>
      <c r="V891" s="16" t="s">
        <v>19</v>
      </c>
      <c r="W891" s="19" t="s"/>
      <c r="X891" s="26" t="s">
        <f>=M891&amp;N891&amp;P891&amp;Q891&amp;T891&amp;V891&amp;S891</f>
        <v>982</v>
      </c>
      <c r="Y891" s="19" t="s"/>
      <c r="Z891" s="19" t="s"/>
      <c r="AA891" s="19" t="s"/>
      <c r="AB891" s="19" t="s"/>
    </row>
    <row r="892" spans="1:28" ht="14.4">
      <c r="A892" s="4">
        <f>=H892/G892-1</f>
        <v>0.10236220472441</v>
      </c>
      <c r="B892" s="20">
        <f>=F892/12</f>
        <v>10.5</v>
      </c>
      <c r="C892" s="20">
        <f>=J892/3</f>
        <v>84</v>
      </c>
      <c r="D892" s="20">
        <f>=K892/3</f>
        <v>93.3333333333333</v>
      </c>
      <c r="E892" s="20">
        <f>=L892/3</f>
        <v>98</v>
      </c>
      <c r="F892" s="20">
        <f>=H892*0.9</f>
        <v>126</v>
      </c>
      <c r="G892" s="21">
        <v>127</v>
      </c>
      <c r="H892" s="39">
        <v>140</v>
      </c>
      <c r="I892" s="40">
        <f>=H892*1.05</f>
        <v>147</v>
      </c>
      <c r="J892" s="40">
        <f>=F892*2</f>
        <v>252</v>
      </c>
      <c r="K892" s="40">
        <f>=H892*2</f>
        <v>280</v>
      </c>
      <c r="L892" s="40">
        <f>=I892*2</f>
        <v>294</v>
      </c>
      <c r="M892" s="41" t="s">
        <v>957</v>
      </c>
      <c r="N892" s="41">
        <v>0.3</v>
      </c>
      <c r="O892" s="41" t="s"/>
      <c r="P892" s="41" t="s">
        <v>21</v>
      </c>
      <c r="Q892" s="41" t="s">
        <v>21</v>
      </c>
      <c r="R892" s="41" t="s">
        <v>16</v>
      </c>
      <c r="S892" s="41" t="s">
        <v>17</v>
      </c>
      <c r="T892" s="41" t="s">
        <v>67</v>
      </c>
      <c r="U892" s="16" t="s">
        <v>13</v>
      </c>
      <c r="V892" s="16" t="s">
        <v>19</v>
      </c>
      <c r="W892" s="19" t="s"/>
      <c r="X892" s="26" t="s">
        <f>=M892&amp;N892&amp;P892&amp;Q892&amp;T892&amp;V892&amp;S892</f>
        <v>983</v>
      </c>
      <c r="Y892" s="19" t="s"/>
      <c r="Z892" s="19" t="s"/>
      <c r="AA892" s="19" t="s"/>
      <c r="AB892" s="19" t="s"/>
    </row>
    <row r="893" spans="1:28" ht="14.4">
      <c r="A893" s="4">
        <f>=H893/G893-1</f>
        <v>0.1</v>
      </c>
      <c r="B893" s="20">
        <f>=F893/12</f>
        <v>14.025</v>
      </c>
      <c r="C893" s="20">
        <f>=J893/3</f>
        <v>112.2</v>
      </c>
      <c r="D893" s="20">
        <f>=K893/3</f>
        <v>124.666666666667</v>
      </c>
      <c r="E893" s="20">
        <f>=L893/3</f>
        <v>130.9</v>
      </c>
      <c r="F893" s="20">
        <f>=H893*0.9</f>
        <v>168.3</v>
      </c>
      <c r="G893" s="21">
        <v>170</v>
      </c>
      <c r="H893" s="39">
        <v>187</v>
      </c>
      <c r="I893" s="40">
        <f>=H893*1.05</f>
        <v>196.35</v>
      </c>
      <c r="J893" s="40">
        <f>=F893*2</f>
        <v>336.6</v>
      </c>
      <c r="K893" s="40">
        <f>=H893*2</f>
        <v>374</v>
      </c>
      <c r="L893" s="40">
        <f>=I893*2</f>
        <v>392.7</v>
      </c>
      <c r="M893" s="41" t="s">
        <v>957</v>
      </c>
      <c r="N893" s="41">
        <v>0.3</v>
      </c>
      <c r="O893" s="41" t="s"/>
      <c r="P893" s="41">
        <v>1</v>
      </c>
      <c r="Q893" s="41">
        <v>1</v>
      </c>
      <c r="R893" s="41" t="s">
        <v>16</v>
      </c>
      <c r="S893" s="41" t="s">
        <v>17</v>
      </c>
      <c r="T893" s="41" t="s">
        <v>67</v>
      </c>
      <c r="U893" s="16" t="s">
        <v>13</v>
      </c>
      <c r="V893" s="16" t="s">
        <v>19</v>
      </c>
      <c r="W893" s="19" t="s"/>
      <c r="X893" s="26" t="s">
        <f>=M893&amp;N893&amp;P893&amp;Q893&amp;T893&amp;V893&amp;S893</f>
        <v>981</v>
      </c>
      <c r="Y893" s="19" t="s"/>
      <c r="Z893" s="19" t="s"/>
      <c r="AA893" s="19" t="s"/>
      <c r="AB893" s="19" t="s"/>
    </row>
    <row r="894" spans="1:28" ht="14.4">
      <c r="A894" s="4">
        <f>=H894/G894-1</f>
        <v>0.1</v>
      </c>
      <c r="B894" s="20">
        <f>=F894/12</f>
        <v>10.725</v>
      </c>
      <c r="C894" s="20">
        <f>=J894/3</f>
        <v>85.8</v>
      </c>
      <c r="D894" s="20">
        <f>=K894/3</f>
        <v>95.3333333333333</v>
      </c>
      <c r="E894" s="20">
        <f>=L894/3</f>
        <v>100.1</v>
      </c>
      <c r="F894" s="20">
        <f>=H894*0.9</f>
        <v>128.7</v>
      </c>
      <c r="G894" s="21">
        <v>130</v>
      </c>
      <c r="H894" s="39">
        <v>143</v>
      </c>
      <c r="I894" s="40">
        <f>=H894*1.05</f>
        <v>150.15</v>
      </c>
      <c r="J894" s="40">
        <f>=F894*2</f>
        <v>257.4</v>
      </c>
      <c r="K894" s="40">
        <f>=H894*2</f>
        <v>286</v>
      </c>
      <c r="L894" s="40">
        <f>=I894*2</f>
        <v>300.3</v>
      </c>
      <c r="M894" s="41" t="s">
        <v>957</v>
      </c>
      <c r="N894" s="41">
        <v>0.33</v>
      </c>
      <c r="O894" s="41" t="s"/>
      <c r="P894" s="41">
        <v>1</v>
      </c>
      <c r="Q894" s="41">
        <v>1</v>
      </c>
      <c r="R894" s="41" t="s">
        <v>16</v>
      </c>
      <c r="S894" s="41" t="s">
        <v>17</v>
      </c>
      <c r="T894" s="41" t="s">
        <v>67</v>
      </c>
      <c r="U894" s="16" t="s">
        <v>13</v>
      </c>
      <c r="V894" s="16" t="s">
        <v>19</v>
      </c>
      <c r="W894" s="19" t="s"/>
      <c r="X894" s="26" t="s">
        <f>=M894&amp;N894&amp;P894&amp;Q894&amp;T894&amp;V894&amp;S894</f>
        <v>984</v>
      </c>
      <c r="Y894" s="19" t="s"/>
      <c r="Z894" s="19" t="s"/>
      <c r="AA894" s="19" t="s"/>
      <c r="AB894" s="19" t="s"/>
    </row>
    <row r="895" spans="1:28" ht="14.4">
      <c r="A895" s="4">
        <f>=H895/G895-1</f>
        <v>0.1</v>
      </c>
      <c r="B895" s="20">
        <f>=F895/12</f>
        <v>10.725</v>
      </c>
      <c r="C895" s="20">
        <f>=J895/3</f>
        <v>85.8</v>
      </c>
      <c r="D895" s="20">
        <f>=K895/3</f>
        <v>95.3333333333333</v>
      </c>
      <c r="E895" s="20">
        <f>=L895/3</f>
        <v>100.1</v>
      </c>
      <c r="F895" s="20">
        <f>=H895*0.9</f>
        <v>128.7</v>
      </c>
      <c r="G895" s="21">
        <v>130</v>
      </c>
      <c r="H895" s="39">
        <v>143</v>
      </c>
      <c r="I895" s="40">
        <f>=H895*1.05</f>
        <v>150.15</v>
      </c>
      <c r="J895" s="40">
        <f>=F895*2</f>
        <v>257.4</v>
      </c>
      <c r="K895" s="40">
        <f>=H895*2</f>
        <v>286</v>
      </c>
      <c r="L895" s="40">
        <f>=I895*2</f>
        <v>300.3</v>
      </c>
      <c r="M895" s="41" t="s">
        <v>957</v>
      </c>
      <c r="N895" s="41">
        <v>0.35</v>
      </c>
      <c r="O895" s="41" t="s"/>
      <c r="P895" s="41">
        <v>1</v>
      </c>
      <c r="Q895" s="41">
        <v>1</v>
      </c>
      <c r="R895" s="41" t="s">
        <v>16</v>
      </c>
      <c r="S895" s="41" t="s">
        <v>17</v>
      </c>
      <c r="T895" s="41" t="s">
        <v>67</v>
      </c>
      <c r="U895" s="16" t="s">
        <v>13</v>
      </c>
      <c r="V895" s="16" t="s">
        <v>19</v>
      </c>
      <c r="W895" s="19" t="s"/>
      <c r="X895" s="26" t="s">
        <f>=M895&amp;N895&amp;P895&amp;Q895&amp;T895&amp;V895&amp;S895</f>
        <v>985</v>
      </c>
      <c r="Y895" s="19" t="s"/>
      <c r="Z895" s="19" t="s"/>
      <c r="AA895" s="19" t="s"/>
      <c r="AB895" s="19" t="s"/>
    </row>
    <row r="896" spans="1:28" ht="14.4">
      <c r="A896" s="4">
        <f>=H896/G896-1</f>
        <v>0.1</v>
      </c>
      <c r="B896" s="20">
        <f>=F896/12</f>
        <v>10.725</v>
      </c>
      <c r="C896" s="20">
        <f>=J896/3</f>
        <v>85.8</v>
      </c>
      <c r="D896" s="20">
        <f>=K896/3</f>
        <v>95.3333333333333</v>
      </c>
      <c r="E896" s="20">
        <f>=L896/3</f>
        <v>100.1</v>
      </c>
      <c r="F896" s="20">
        <f>=H896*0.9</f>
        <v>128.7</v>
      </c>
      <c r="G896" s="21">
        <v>130</v>
      </c>
      <c r="H896" s="39">
        <v>143</v>
      </c>
      <c r="I896" s="40">
        <f>=H896*1.05</f>
        <v>150.15</v>
      </c>
      <c r="J896" s="40">
        <f>=F896*2</f>
        <v>257.4</v>
      </c>
      <c r="K896" s="40">
        <f>=H896*2</f>
        <v>286</v>
      </c>
      <c r="L896" s="40">
        <f>=I896*2</f>
        <v>300.3</v>
      </c>
      <c r="M896" s="41" t="s">
        <v>957</v>
      </c>
      <c r="N896" s="41">
        <v>0.35</v>
      </c>
      <c r="O896" s="41" t="s"/>
      <c r="P896" s="41">
        <v>1</v>
      </c>
      <c r="Q896" s="41">
        <v>1</v>
      </c>
      <c r="R896" s="41" t="s">
        <v>16</v>
      </c>
      <c r="S896" s="41" t="s">
        <v>17</v>
      </c>
      <c r="T896" s="41" t="s">
        <v>76</v>
      </c>
      <c r="U896" s="16" t="s">
        <v>13</v>
      </c>
      <c r="V896" s="16" t="s">
        <v>19</v>
      </c>
      <c r="W896" s="19" t="s"/>
      <c r="X896" s="26" t="s">
        <f>=M896&amp;N896&amp;P896&amp;Q896&amp;T896&amp;V896&amp;S896</f>
        <v>986</v>
      </c>
      <c r="Y896" s="19" t="s"/>
      <c r="Z896" s="19" t="s"/>
      <c r="AA896" s="19" t="s"/>
      <c r="AB896" s="19" t="s"/>
    </row>
    <row r="897" spans="1:28" ht="14.4">
      <c r="A897" s="4">
        <f>=H897/G897-1</f>
        <v>0.1</v>
      </c>
      <c r="B897" s="20">
        <f>=F897/12</f>
        <v>11.55</v>
      </c>
      <c r="C897" s="20">
        <f>=J897/3</f>
        <v>92.4</v>
      </c>
      <c r="D897" s="20">
        <f>=K897/3</f>
        <v>102.666666666667</v>
      </c>
      <c r="E897" s="20">
        <f>=L897/3</f>
        <v>107.8</v>
      </c>
      <c r="F897" s="20">
        <f>=H897*0.9</f>
        <v>138.6</v>
      </c>
      <c r="G897" s="21">
        <v>140</v>
      </c>
      <c r="H897" s="39">
        <v>154</v>
      </c>
      <c r="I897" s="40">
        <f>=H897*1.05</f>
        <v>161.7</v>
      </c>
      <c r="J897" s="40">
        <f>=F897*2</f>
        <v>277.2</v>
      </c>
      <c r="K897" s="40">
        <f>=H897*2</f>
        <v>308</v>
      </c>
      <c r="L897" s="40">
        <f>=I897*2</f>
        <v>323.4</v>
      </c>
      <c r="M897" s="41" t="s">
        <v>957</v>
      </c>
      <c r="N897" s="88">
        <v>0.36</v>
      </c>
      <c r="O897" s="41" t="s"/>
      <c r="P897" s="41">
        <v>1</v>
      </c>
      <c r="Q897" s="88">
        <v>1</v>
      </c>
      <c r="R897" s="41" t="s">
        <v>16</v>
      </c>
      <c r="S897" s="41" t="s">
        <v>17</v>
      </c>
      <c r="T897" s="88" t="s">
        <v>76</v>
      </c>
      <c r="U897" s="16" t="s">
        <v>13</v>
      </c>
      <c r="V897" s="16" t="s">
        <v>19</v>
      </c>
      <c r="W897" s="19" t="s"/>
      <c r="X897" s="26" t="s">
        <f>=M897&amp;N897&amp;P897&amp;Q897&amp;T897&amp;V897&amp;S897</f>
        <v>987</v>
      </c>
      <c r="Y897" s="19" t="s"/>
      <c r="Z897" s="19" t="s"/>
      <c r="AA897" s="19" t="s"/>
      <c r="AB897" s="19" t="s"/>
    </row>
    <row r="898" spans="1:28" ht="14.4">
      <c r="A898" s="4">
        <f>=H898/G898-1</f>
        <v>0.101626016260163</v>
      </c>
      <c r="B898" s="20">
        <f>=F898/12</f>
        <v>20.325</v>
      </c>
      <c r="C898" s="20">
        <f>=J898/3</f>
        <v>162.6</v>
      </c>
      <c r="D898" s="20">
        <f>=K898/3</f>
        <v>180.666666666667</v>
      </c>
      <c r="E898" s="20">
        <f>=L898/3</f>
        <v>189.7</v>
      </c>
      <c r="F898" s="20">
        <f>=H898*0.9</f>
        <v>243.9</v>
      </c>
      <c r="G898" s="21">
        <v>246</v>
      </c>
      <c r="H898" s="39">
        <v>271</v>
      </c>
      <c r="I898" s="40">
        <f>=H898*1.05</f>
        <v>284.55</v>
      </c>
      <c r="J898" s="40">
        <f>=F898*2</f>
        <v>487.8</v>
      </c>
      <c r="K898" s="40">
        <f>=H898*2</f>
        <v>542</v>
      </c>
      <c r="L898" s="40">
        <f>=I898*2</f>
        <v>569.1</v>
      </c>
      <c r="M898" s="41" t="s">
        <v>957</v>
      </c>
      <c r="N898" s="41">
        <v>0.36</v>
      </c>
      <c r="O898" s="41" t="s"/>
      <c r="P898" s="41">
        <v>2</v>
      </c>
      <c r="Q898" s="41">
        <v>2</v>
      </c>
      <c r="R898" s="41" t="s">
        <v>16</v>
      </c>
      <c r="S898" s="41" t="s">
        <v>17</v>
      </c>
      <c r="T898" s="41" t="s">
        <v>76</v>
      </c>
      <c r="U898" s="16" t="s">
        <v>13</v>
      </c>
      <c r="V898" s="16" t="s">
        <v>19</v>
      </c>
      <c r="W898" s="19" t="s"/>
      <c r="X898" s="26" t="s">
        <f>=M898&amp;N898&amp;P898&amp;Q898&amp;T898&amp;V898&amp;S898</f>
        <v>988</v>
      </c>
      <c r="Y898" s="19" t="s"/>
      <c r="Z898" s="19" t="s"/>
      <c r="AA898" s="19" t="s"/>
      <c r="AB898" s="19" t="s"/>
    </row>
    <row r="899" spans="1:28" ht="14.4">
      <c r="A899" s="4">
        <f>=H899/G899-1</f>
        <v>0.1</v>
      </c>
      <c r="B899" s="20">
        <f>=F899/12</f>
        <v>47.85</v>
      </c>
      <c r="C899" s="20">
        <f>=J899/3</f>
        <v>382.8</v>
      </c>
      <c r="D899" s="20">
        <f>=K899/3</f>
        <v>425.333333333333</v>
      </c>
      <c r="E899" s="20">
        <f>=L899/3</f>
        <v>446.6</v>
      </c>
      <c r="F899" s="20">
        <f>=H899*0.9</f>
        <v>574.2</v>
      </c>
      <c r="G899" s="21">
        <v>580</v>
      </c>
      <c r="H899" s="39">
        <v>638</v>
      </c>
      <c r="I899" s="40">
        <f>=H899*1.05</f>
        <v>669.9</v>
      </c>
      <c r="J899" s="40">
        <f>=F899*2</f>
        <v>1148.4</v>
      </c>
      <c r="K899" s="40">
        <f>=H899*2</f>
        <v>1276</v>
      </c>
      <c r="L899" s="40">
        <f>=I899*2</f>
        <v>1339.8</v>
      </c>
      <c r="M899" s="41" t="s">
        <v>957</v>
      </c>
      <c r="N899" s="41">
        <v>0.4</v>
      </c>
      <c r="O899" s="41" t="s"/>
      <c r="P899" s="41">
        <v>4</v>
      </c>
      <c r="Q899" s="41">
        <v>4</v>
      </c>
      <c r="R899" s="41" t="s">
        <v>16</v>
      </c>
      <c r="S899" s="41" t="s">
        <v>17</v>
      </c>
      <c r="T899" s="41" t="s">
        <v>76</v>
      </c>
      <c r="U899" s="16" t="s">
        <v>13</v>
      </c>
      <c r="V899" s="16" t="s">
        <v>19</v>
      </c>
      <c r="W899" s="19" t="s"/>
      <c r="X899" s="26" t="s">
        <f>=M899&amp;N899&amp;P899&amp;Q899&amp;T899&amp;V899&amp;S899</f>
        <v>989</v>
      </c>
      <c r="Y899" s="19" t="s"/>
      <c r="Z899" s="19" t="s"/>
      <c r="AA899" s="19" t="s"/>
      <c r="AB899" s="19" t="s"/>
    </row>
    <row r="900" spans="1:28" ht="14.4">
      <c r="A900" s="4">
        <f>=H900/G900-1</f>
        <v>0.0980392156862746</v>
      </c>
      <c r="B900" s="20">
        <f>=F900/12</f>
        <v>12.6</v>
      </c>
      <c r="C900" s="20">
        <f>=J900/3</f>
        <v>100.8</v>
      </c>
      <c r="D900" s="20">
        <f>=K900/3</f>
        <v>112</v>
      </c>
      <c r="E900" s="20">
        <f>=L900/3</f>
        <v>117.6</v>
      </c>
      <c r="F900" s="20">
        <f>=H900*0.9</f>
        <v>151.2</v>
      </c>
      <c r="G900" s="21">
        <v>153</v>
      </c>
      <c r="H900" s="39">
        <v>168</v>
      </c>
      <c r="I900" s="40">
        <f>=H900*1.05</f>
        <v>176.4</v>
      </c>
      <c r="J900" s="40">
        <f>=F900*2</f>
        <v>302.4</v>
      </c>
      <c r="K900" s="40">
        <f>=H900*2</f>
        <v>336</v>
      </c>
      <c r="L900" s="40">
        <f>=I900*2</f>
        <v>352.8</v>
      </c>
      <c r="M900" s="41" t="s">
        <v>957</v>
      </c>
      <c r="N900" s="41">
        <v>0.43</v>
      </c>
      <c r="O900" s="41" t="s"/>
      <c r="P900" s="41">
        <v>1</v>
      </c>
      <c r="Q900" s="41">
        <v>1</v>
      </c>
      <c r="R900" s="41" t="s">
        <v>16</v>
      </c>
      <c r="S900" s="41" t="s">
        <v>17</v>
      </c>
      <c r="T900" s="41" t="s">
        <v>93</v>
      </c>
      <c r="U900" s="16" t="s">
        <v>13</v>
      </c>
      <c r="V900" s="16" t="s">
        <v>19</v>
      </c>
      <c r="W900" s="19" t="s"/>
      <c r="X900" s="26" t="s">
        <f>=M900&amp;N900&amp;P900&amp;Q900&amp;T900&amp;V900&amp;S900</f>
        <v>990</v>
      </c>
      <c r="Y900" s="19" t="s"/>
      <c r="Z900" s="19" t="s"/>
      <c r="AA900" s="19" t="s"/>
      <c r="AB900" s="19" t="s"/>
    </row>
    <row r="901" spans="1:28" ht="14.4">
      <c r="A901" s="4">
        <f>=H901/G901-1</f>
        <v>0.101796407185629</v>
      </c>
      <c r="B901" s="20">
        <f>=F901/12</f>
        <v>13.8</v>
      </c>
      <c r="C901" s="20">
        <f>=J901/3</f>
        <v>110.4</v>
      </c>
      <c r="D901" s="20">
        <f>=K901/3</f>
        <v>122.666666666667</v>
      </c>
      <c r="E901" s="20">
        <f>=L901/3</f>
        <v>128.8</v>
      </c>
      <c r="F901" s="20">
        <f>=H901*0.9</f>
        <v>165.6</v>
      </c>
      <c r="G901" s="21">
        <v>167</v>
      </c>
      <c r="H901" s="39">
        <v>184</v>
      </c>
      <c r="I901" s="40">
        <f>=H901*1.05</f>
        <v>193.2</v>
      </c>
      <c r="J901" s="40">
        <f>=F901*2</f>
        <v>331.2</v>
      </c>
      <c r="K901" s="40">
        <f>=H901*2</f>
        <v>368</v>
      </c>
      <c r="L901" s="40">
        <f>=I901*2</f>
        <v>386.4</v>
      </c>
      <c r="M901" s="41" t="s">
        <v>957</v>
      </c>
      <c r="N901" s="41">
        <v>0.46</v>
      </c>
      <c r="O901" s="41" t="s"/>
      <c r="P901" s="41">
        <v>1</v>
      </c>
      <c r="Q901" s="41">
        <v>1</v>
      </c>
      <c r="R901" s="41" t="s">
        <v>16</v>
      </c>
      <c r="S901" s="41" t="s">
        <v>17</v>
      </c>
      <c r="T901" s="41" t="s">
        <v>93</v>
      </c>
      <c r="U901" s="16" t="s">
        <v>13</v>
      </c>
      <c r="V901" s="16" t="s">
        <v>19</v>
      </c>
      <c r="W901" s="19" t="s"/>
      <c r="X901" s="26" t="s">
        <f>=M901&amp;N901&amp;P901&amp;Q901&amp;T901&amp;V901&amp;S901</f>
        <v>991</v>
      </c>
      <c r="Y901" s="19" t="s"/>
      <c r="Z901" s="19" t="s"/>
      <c r="AA901" s="19" t="s"/>
      <c r="AB901" s="19" t="s"/>
    </row>
    <row r="902" spans="1:28" ht="14.4">
      <c r="A902" s="4">
        <f>=H902/G902-1</f>
        <v>0.0992366412213741</v>
      </c>
      <c r="B902" s="20">
        <f>=F902/12</f>
        <v>21.6</v>
      </c>
      <c r="C902" s="20">
        <f>=J902/3</f>
        <v>172.8</v>
      </c>
      <c r="D902" s="20">
        <f>=K902/3</f>
        <v>192</v>
      </c>
      <c r="E902" s="20">
        <f>=L902/3</f>
        <v>201.6</v>
      </c>
      <c r="F902" s="20">
        <f>=H902*0.9</f>
        <v>259.2</v>
      </c>
      <c r="G902" s="21">
        <v>262</v>
      </c>
      <c r="H902" s="39">
        <v>288</v>
      </c>
      <c r="I902" s="40">
        <f>=H902*1.05</f>
        <v>302.4</v>
      </c>
      <c r="J902" s="40">
        <f>=F902*2</f>
        <v>518.4</v>
      </c>
      <c r="K902" s="40">
        <f>=H902*2</f>
        <v>576</v>
      </c>
      <c r="L902" s="40">
        <f>=I902*2</f>
        <v>604.8</v>
      </c>
      <c r="M902" s="41" t="s">
        <v>957</v>
      </c>
      <c r="N902" s="41">
        <v>0.46</v>
      </c>
      <c r="O902" s="41" t="s"/>
      <c r="P902" s="41">
        <v>2</v>
      </c>
      <c r="Q902" s="41">
        <v>2</v>
      </c>
      <c r="R902" s="41" t="s">
        <v>16</v>
      </c>
      <c r="S902" s="41" t="s">
        <v>17</v>
      </c>
      <c r="T902" s="41" t="s">
        <v>93</v>
      </c>
      <c r="U902" s="16" t="s">
        <v>13</v>
      </c>
      <c r="V902" s="16" t="s">
        <v>19</v>
      </c>
      <c r="W902" s="19" t="s"/>
      <c r="X902" s="26" t="s">
        <f>=M902&amp;N902&amp;P902&amp;Q902&amp;T902&amp;V902&amp;S902</f>
        <v>992</v>
      </c>
      <c r="Y902" s="19" t="s"/>
      <c r="Z902" s="19" t="s"/>
      <c r="AA902" s="19" t="s"/>
      <c r="AB902" s="19" t="s"/>
    </row>
    <row r="903" spans="1:28" ht="14.4">
      <c r="A903" s="4">
        <f>=H903/G903-1</f>
        <v>0.10236220472441</v>
      </c>
      <c r="B903" s="20">
        <f>=F903/12</f>
        <v>10.5</v>
      </c>
      <c r="C903" s="20">
        <f>=J903/3</f>
        <v>84</v>
      </c>
      <c r="D903" s="20">
        <f>=K903/3</f>
        <v>93.3333333333333</v>
      </c>
      <c r="E903" s="20">
        <f>=L903/3</f>
        <v>98</v>
      </c>
      <c r="F903" s="20">
        <f>=H903*0.9</f>
        <v>126</v>
      </c>
      <c r="G903" s="21">
        <v>127</v>
      </c>
      <c r="H903" s="39">
        <v>140</v>
      </c>
      <c r="I903" s="40">
        <f>=H903*1.05</f>
        <v>147</v>
      </c>
      <c r="J903" s="40">
        <f>=F903*2</f>
        <v>252</v>
      </c>
      <c r="K903" s="40">
        <f>=H903*2</f>
        <v>280</v>
      </c>
      <c r="L903" s="40">
        <f>=I903*2</f>
        <v>294</v>
      </c>
      <c r="M903" s="41" t="s">
        <v>957</v>
      </c>
      <c r="N903" s="41">
        <v>0.46</v>
      </c>
      <c r="O903" s="41" t="s"/>
      <c r="P903" s="41" t="s">
        <v>21</v>
      </c>
      <c r="Q903" s="41" t="s">
        <v>21</v>
      </c>
      <c r="R903" s="41" t="s">
        <v>16</v>
      </c>
      <c r="S903" s="41" t="s">
        <v>17</v>
      </c>
      <c r="T903" s="41" t="s">
        <v>93</v>
      </c>
      <c r="U903" s="16" t="s">
        <v>13</v>
      </c>
      <c r="V903" s="16" t="s">
        <v>19</v>
      </c>
      <c r="W903" s="19" t="s"/>
      <c r="X903" s="26" t="s">
        <f>=M903&amp;N903&amp;P903&amp;Q903&amp;T903&amp;V903&amp;S903</f>
        <v>993</v>
      </c>
      <c r="Y903" s="19" t="s"/>
      <c r="Z903" s="19" t="s"/>
      <c r="AA903" s="19" t="s"/>
      <c r="AB903" s="19" t="s"/>
    </row>
    <row r="904" spans="1:28" ht="14.4">
      <c r="A904" s="4">
        <f>=H904/G904-1</f>
        <v>0.0994152046783625</v>
      </c>
      <c r="B904" s="20">
        <f>=F904/12</f>
        <v>14.1</v>
      </c>
      <c r="C904" s="20">
        <f>=J904/3</f>
        <v>112.8</v>
      </c>
      <c r="D904" s="20">
        <f>=K904/3</f>
        <v>125.333333333333</v>
      </c>
      <c r="E904" s="20">
        <f>=L904/3</f>
        <v>131.6</v>
      </c>
      <c r="F904" s="20">
        <f>=H904*0.9</f>
        <v>169.2</v>
      </c>
      <c r="G904" s="21">
        <v>171</v>
      </c>
      <c r="H904" s="39">
        <v>188</v>
      </c>
      <c r="I904" s="40">
        <f>=H904*1.05</f>
        <v>197.4</v>
      </c>
      <c r="J904" s="40">
        <f>=F904*2</f>
        <v>338.4</v>
      </c>
      <c r="K904" s="40">
        <f>=H904*2</f>
        <v>376</v>
      </c>
      <c r="L904" s="40">
        <f>=I904*2</f>
        <v>394.8</v>
      </c>
      <c r="M904" s="41" t="s">
        <v>957</v>
      </c>
      <c r="N904" s="41">
        <v>0.53</v>
      </c>
      <c r="O904" s="41" t="s"/>
      <c r="P904" s="41">
        <v>1</v>
      </c>
      <c r="Q904" s="41">
        <v>1</v>
      </c>
      <c r="R904" s="41" t="s">
        <v>16</v>
      </c>
      <c r="S904" s="41" t="s">
        <v>17</v>
      </c>
      <c r="T904" s="41" t="s">
        <v>110</v>
      </c>
      <c r="U904" s="16" t="s">
        <v>13</v>
      </c>
      <c r="V904" s="16" t="s">
        <v>19</v>
      </c>
      <c r="W904" s="19" t="s"/>
      <c r="X904" s="26" t="s">
        <f>=M904&amp;N904&amp;P904&amp;Q904&amp;T904&amp;V904&amp;S904</f>
        <v>994</v>
      </c>
      <c r="Y904" s="19" t="s"/>
      <c r="Z904" s="19" t="s"/>
      <c r="AA904" s="19" t="s"/>
      <c r="AB904" s="19" t="s"/>
    </row>
    <row r="905" spans="1:28" ht="14.4">
      <c r="A905" s="4">
        <f>=H905/G905-1</f>
        <v>0.10236220472441</v>
      </c>
      <c r="B905" s="20">
        <f>=F905/12</f>
        <v>10.5</v>
      </c>
      <c r="C905" s="20">
        <f>=J905/3</f>
        <v>84</v>
      </c>
      <c r="D905" s="20">
        <f>=K905/3</f>
        <v>93.3333333333333</v>
      </c>
      <c r="E905" s="20">
        <f>=L905/3</f>
        <v>98</v>
      </c>
      <c r="F905" s="20">
        <f>=H905*0.9</f>
        <v>126</v>
      </c>
      <c r="G905" s="21">
        <v>127</v>
      </c>
      <c r="H905" s="39">
        <v>140</v>
      </c>
      <c r="I905" s="40">
        <f>=H905*1.05</f>
        <v>147</v>
      </c>
      <c r="J905" s="40">
        <f>=F905*2</f>
        <v>252</v>
      </c>
      <c r="K905" s="40">
        <f>=H905*2</f>
        <v>280</v>
      </c>
      <c r="L905" s="40">
        <f>=I905*2</f>
        <v>294</v>
      </c>
      <c r="M905" s="41" t="s">
        <v>957</v>
      </c>
      <c r="N905" s="41">
        <v>0.56</v>
      </c>
      <c r="O905" s="41" t="s"/>
      <c r="P905" s="41" t="s">
        <v>21</v>
      </c>
      <c r="Q905" s="41" t="s">
        <v>21</v>
      </c>
      <c r="R905" s="41" t="s">
        <v>16</v>
      </c>
      <c r="S905" s="41" t="s">
        <v>17</v>
      </c>
      <c r="T905" s="41" t="s">
        <v>110</v>
      </c>
      <c r="U905" s="16" t="s">
        <v>13</v>
      </c>
      <c r="V905" s="16" t="s">
        <v>19</v>
      </c>
      <c r="W905" s="19" t="s"/>
      <c r="X905" s="26" t="s">
        <f>=M905&amp;N905&amp;P905&amp;Q905&amp;T905&amp;V905&amp;S905</f>
        <v>995</v>
      </c>
      <c r="Y905" s="19" t="s"/>
      <c r="Z905" s="19" t="s"/>
      <c r="AA905" s="19" t="s"/>
      <c r="AB905" s="19" t="s"/>
    </row>
    <row r="906" spans="1:28" ht="14.4">
      <c r="A906" s="4">
        <f>=H906/G906-1</f>
        <v>0.1</v>
      </c>
      <c r="B906" s="20">
        <f>=F906/12</f>
        <v>15.675</v>
      </c>
      <c r="C906" s="20">
        <f>=J906/3</f>
        <v>125.4</v>
      </c>
      <c r="D906" s="20">
        <f>=K906/3</f>
        <v>139.333333333333</v>
      </c>
      <c r="E906" s="20">
        <f>=L906/3</f>
        <v>146.3</v>
      </c>
      <c r="F906" s="20">
        <f>=H906*0.9</f>
        <v>188.1</v>
      </c>
      <c r="G906" s="21">
        <v>190</v>
      </c>
      <c r="H906" s="39">
        <v>209</v>
      </c>
      <c r="I906" s="40">
        <f>=H906*1.05</f>
        <v>219.45</v>
      </c>
      <c r="J906" s="40">
        <f>=F906*2</f>
        <v>376.2</v>
      </c>
      <c r="K906" s="40">
        <f>=H906*2</f>
        <v>418</v>
      </c>
      <c r="L906" s="40">
        <f>=I906*2</f>
        <v>438.9</v>
      </c>
      <c r="M906" s="41" t="s">
        <v>957</v>
      </c>
      <c r="N906" s="41">
        <v>0.61</v>
      </c>
      <c r="O906" s="41" t="s"/>
      <c r="P906" s="41">
        <v>1</v>
      </c>
      <c r="Q906" s="41">
        <v>1</v>
      </c>
      <c r="R906" s="41" t="s">
        <v>16</v>
      </c>
      <c r="S906" s="41" t="s">
        <v>17</v>
      </c>
      <c r="T906" s="41" t="s">
        <v>110</v>
      </c>
      <c r="U906" s="16" t="s">
        <v>13</v>
      </c>
      <c r="V906" s="16" t="s">
        <v>19</v>
      </c>
      <c r="W906" s="19" t="s"/>
      <c r="X906" s="26" t="s">
        <f>=M906&amp;N906&amp;P906&amp;Q906&amp;T906&amp;V906&amp;S906</f>
        <v>996</v>
      </c>
      <c r="Y906" s="19" t="s"/>
      <c r="Z906" s="19" t="s"/>
      <c r="AA906" s="19" t="s"/>
      <c r="AB906" s="19" t="s"/>
    </row>
    <row r="907" spans="1:28" ht="14.4">
      <c r="A907" s="4">
        <f>=H907/G907-1</f>
        <v>0.10062893081761</v>
      </c>
      <c r="B907" s="20">
        <f>=F907/12</f>
        <v>26.25</v>
      </c>
      <c r="C907" s="20">
        <f>=J907/3</f>
        <v>210</v>
      </c>
      <c r="D907" s="20">
        <f>=K907/3</f>
        <v>233.333333333333</v>
      </c>
      <c r="E907" s="20">
        <f>=L907/3</f>
        <v>245</v>
      </c>
      <c r="F907" s="20">
        <f>=H907*0.9</f>
        <v>315</v>
      </c>
      <c r="G907" s="21">
        <v>318</v>
      </c>
      <c r="H907" s="39">
        <v>350</v>
      </c>
      <c r="I907" s="40">
        <f>=H907*1.05</f>
        <v>367.5</v>
      </c>
      <c r="J907" s="40">
        <f>=F907*2</f>
        <v>630</v>
      </c>
      <c r="K907" s="40">
        <f>=H907*2</f>
        <v>700</v>
      </c>
      <c r="L907" s="40">
        <f>=I907*2</f>
        <v>735</v>
      </c>
      <c r="M907" s="41" t="s">
        <v>957</v>
      </c>
      <c r="N907" s="41">
        <v>0.61</v>
      </c>
      <c r="O907" s="41" t="s"/>
      <c r="P907" s="41">
        <v>2</v>
      </c>
      <c r="Q907" s="41">
        <v>2</v>
      </c>
      <c r="R907" s="41" t="s">
        <v>16</v>
      </c>
      <c r="S907" s="41" t="s">
        <v>17</v>
      </c>
      <c r="T907" s="41" t="s">
        <v>110</v>
      </c>
      <c r="U907" s="16" t="s">
        <v>13</v>
      </c>
      <c r="V907" s="16" t="s">
        <v>19</v>
      </c>
      <c r="W907" s="19" t="s"/>
      <c r="X907" s="26" t="s">
        <f>=M907&amp;N907&amp;P907&amp;Q907&amp;T907&amp;V907&amp;S907</f>
        <v>997</v>
      </c>
      <c r="Y907" s="19" t="s"/>
      <c r="Z907" s="19" t="s"/>
      <c r="AA907" s="19" t="s"/>
      <c r="AB907" s="19" t="s"/>
    </row>
    <row r="908" spans="1:28" ht="14.4">
      <c r="A908" s="4">
        <f>=H908/G908-1</f>
        <v>0.101449275362319</v>
      </c>
      <c r="B908" s="20">
        <f>=F908/12</f>
        <v>11.4</v>
      </c>
      <c r="C908" s="20">
        <f>=J908/3</f>
        <v>91.2</v>
      </c>
      <c r="D908" s="20">
        <f>=K908/3</f>
        <v>101.333333333333</v>
      </c>
      <c r="E908" s="20">
        <f>=L908/3</f>
        <v>106.4</v>
      </c>
      <c r="F908" s="20">
        <f>=H908*0.9</f>
        <v>136.8</v>
      </c>
      <c r="G908" s="21">
        <v>138</v>
      </c>
      <c r="H908" s="39">
        <v>152</v>
      </c>
      <c r="I908" s="40">
        <f>=H908*1.05</f>
        <v>159.6</v>
      </c>
      <c r="J908" s="40">
        <f>=F908*2</f>
        <v>273.6</v>
      </c>
      <c r="K908" s="40">
        <f>=H908*2</f>
        <v>304</v>
      </c>
      <c r="L908" s="40">
        <f>=I908*2</f>
        <v>319.2</v>
      </c>
      <c r="M908" s="41" t="s">
        <v>957</v>
      </c>
      <c r="N908" s="41">
        <v>0.61</v>
      </c>
      <c r="O908" s="41" t="s"/>
      <c r="P908" s="41" t="s">
        <v>21</v>
      </c>
      <c r="Q908" s="41" t="s">
        <v>21</v>
      </c>
      <c r="R908" s="41" t="s">
        <v>16</v>
      </c>
      <c r="S908" s="41" t="s">
        <v>17</v>
      </c>
      <c r="T908" s="41" t="s">
        <v>110</v>
      </c>
      <c r="U908" s="16" t="s">
        <v>13</v>
      </c>
      <c r="V908" s="16" t="s">
        <v>19</v>
      </c>
      <c r="W908" s="19" t="s"/>
      <c r="X908" s="26" t="s">
        <f>=M908&amp;N908&amp;P908&amp;Q908&amp;T908&amp;V908&amp;S908</f>
        <v>998</v>
      </c>
      <c r="Y908" s="19" t="s"/>
      <c r="Z908" s="19" t="s"/>
      <c r="AA908" s="19" t="s"/>
      <c r="AB908" s="19" t="s"/>
    </row>
    <row r="909" spans="1:28" ht="14.4">
      <c r="A909" s="4">
        <f>=H909/G909-1</f>
        <v>0.103448275862069</v>
      </c>
      <c r="B909" s="20">
        <f>=F909/12</f>
        <v>12</v>
      </c>
      <c r="C909" s="20">
        <f>=J909/3</f>
        <v>96</v>
      </c>
      <c r="D909" s="20">
        <f>=K909/3</f>
        <v>106.666666666667</v>
      </c>
      <c r="E909" s="20">
        <f>=L909/3</f>
        <v>112</v>
      </c>
      <c r="F909" s="20">
        <f>=H909*0.9</f>
        <v>144</v>
      </c>
      <c r="G909" s="21">
        <v>145</v>
      </c>
      <c r="H909" s="39">
        <v>160</v>
      </c>
      <c r="I909" s="40">
        <f>=H909*1.05</f>
        <v>168</v>
      </c>
      <c r="J909" s="40">
        <f>=F909*2</f>
        <v>288</v>
      </c>
      <c r="K909" s="40">
        <f>=H909*2</f>
        <v>320</v>
      </c>
      <c r="L909" s="40">
        <f>=I909*2</f>
        <v>336</v>
      </c>
      <c r="M909" s="41" t="s">
        <v>957</v>
      </c>
      <c r="N909" s="41">
        <v>0.66</v>
      </c>
      <c r="O909" s="41" t="s"/>
      <c r="P909" s="41" t="s">
        <v>21</v>
      </c>
      <c r="Q909" s="41" t="s">
        <v>21</v>
      </c>
      <c r="R909" s="41" t="s">
        <v>16</v>
      </c>
      <c r="S909" s="41" t="s">
        <v>17</v>
      </c>
      <c r="T909" s="41" t="s">
        <v>579</v>
      </c>
      <c r="U909" s="16" t="s">
        <v>13</v>
      </c>
      <c r="V909" s="16" t="s">
        <v>19</v>
      </c>
      <c r="W909" s="19" t="s"/>
      <c r="X909" s="26" t="s">
        <f>=M909&amp;N909&amp;P909&amp;Q909&amp;T909&amp;V909&amp;S909</f>
        <v>999</v>
      </c>
      <c r="Y909" s="19" t="s"/>
      <c r="Z909" s="19" t="s"/>
      <c r="AA909" s="19" t="s"/>
      <c r="AB909" s="19" t="s"/>
    </row>
    <row r="910" spans="1:28" ht="14.4">
      <c r="A910" s="4">
        <f>=H910/G910-1</f>
        <v>0.100313479623825</v>
      </c>
      <c r="B910" s="20">
        <f>=F910/12</f>
        <v>26.325</v>
      </c>
      <c r="C910" s="20">
        <f>=J910/3</f>
        <v>210.6</v>
      </c>
      <c r="D910" s="20">
        <f>=K910/3</f>
        <v>234</v>
      </c>
      <c r="E910" s="20">
        <f>=L910/3</f>
        <v>245.7</v>
      </c>
      <c r="F910" s="20">
        <f>=H910*0.9</f>
        <v>315.9</v>
      </c>
      <c r="G910" s="21">
        <v>319</v>
      </c>
      <c r="H910" s="39">
        <v>351</v>
      </c>
      <c r="I910" s="40">
        <f>=H910*1.05</f>
        <v>368.55</v>
      </c>
      <c r="J910" s="40">
        <f>=F910*2</f>
        <v>631.8</v>
      </c>
      <c r="K910" s="40">
        <f>=H910*2</f>
        <v>702</v>
      </c>
      <c r="L910" s="40">
        <f>=I910*2</f>
        <v>737.1</v>
      </c>
      <c r="M910" s="41" t="s">
        <v>957</v>
      </c>
      <c r="N910" s="41">
        <v>0.66</v>
      </c>
      <c r="O910" s="41" t="s"/>
      <c r="P910" s="41">
        <v>2</v>
      </c>
      <c r="Q910" s="41">
        <v>2</v>
      </c>
      <c r="R910" s="41" t="s">
        <v>16</v>
      </c>
      <c r="S910" s="41" t="s">
        <v>17</v>
      </c>
      <c r="T910" s="41" t="s">
        <v>579</v>
      </c>
      <c r="U910" s="16" t="s">
        <v>13</v>
      </c>
      <c r="V910" s="16" t="s">
        <v>19</v>
      </c>
      <c r="W910" s="19" t="s"/>
      <c r="X910" s="34" t="s">
        <f>=M910&amp;N910&amp;P910&amp;Q910&amp;T910&amp;V910&amp;S910</f>
        <v>1000</v>
      </c>
      <c r="Y910" s="19" t="s"/>
      <c r="Z910" s="19" t="s"/>
      <c r="AA910" s="19" t="s"/>
      <c r="AB910" s="19" t="s"/>
    </row>
    <row r="911" spans="1:28" ht="14.4">
      <c r="A911" s="4">
        <f>=H911/G911-1</f>
        <v>0.101694915254237</v>
      </c>
      <c r="B911" s="20">
        <f>=F911/12</f>
        <v>19.5</v>
      </c>
      <c r="C911" s="20">
        <f>=J911/3</f>
        <v>156</v>
      </c>
      <c r="D911" s="20">
        <f>=K911/3</f>
        <v>173.333333333333</v>
      </c>
      <c r="E911" s="20">
        <f>=L911/3</f>
        <v>182</v>
      </c>
      <c r="F911" s="20">
        <f>=H911*0.9</f>
        <v>234</v>
      </c>
      <c r="G911" s="21">
        <v>236</v>
      </c>
      <c r="H911" s="39">
        <v>260</v>
      </c>
      <c r="I911" s="40">
        <f>=H911*1.05</f>
        <v>273</v>
      </c>
      <c r="J911" s="40">
        <f>=F911*2</f>
        <v>468</v>
      </c>
      <c r="K911" s="40">
        <f>=H911*2</f>
        <v>520</v>
      </c>
      <c r="L911" s="40">
        <f>=I911*2</f>
        <v>546</v>
      </c>
      <c r="M911" s="41" t="s">
        <v>957</v>
      </c>
      <c r="N911" s="41">
        <v>0.7</v>
      </c>
      <c r="O911" s="41" t="s"/>
      <c r="P911" s="41">
        <v>1.5</v>
      </c>
      <c r="Q911" s="41">
        <v>1.5</v>
      </c>
      <c r="R911" s="41" t="s">
        <v>16</v>
      </c>
      <c r="S911" s="41" t="s">
        <v>17</v>
      </c>
      <c r="T911" s="41" t="s">
        <v>1001</v>
      </c>
      <c r="U911" s="16" t="s">
        <v>13</v>
      </c>
      <c r="V911" s="16" t="s">
        <v>19</v>
      </c>
      <c r="W911" s="19" t="s"/>
      <c r="X911" s="26" t="s">
        <f>=M911&amp;N911&amp;P911&amp;Q911&amp;T911&amp;V911&amp;S911</f>
        <v>1002</v>
      </c>
      <c r="Y911" s="19" t="s"/>
      <c r="Z911" s="19" t="s"/>
      <c r="AA911" s="19" t="s"/>
      <c r="AB911" s="19" t="s"/>
    </row>
    <row r="912" spans="1:28" ht="14.4">
      <c r="A912" s="4">
        <f>=H912/G912-1</f>
        <v>0.101449275362319</v>
      </c>
      <c r="B912" s="20">
        <f>=F912/12</f>
        <v>28.5</v>
      </c>
      <c r="C912" s="20">
        <f>=J912/3</f>
        <v>228</v>
      </c>
      <c r="D912" s="20">
        <f>=K912/3</f>
        <v>253.333333333333</v>
      </c>
      <c r="E912" s="20">
        <f>=L912/3</f>
        <v>266</v>
      </c>
      <c r="F912" s="20">
        <f>=H912*0.9</f>
        <v>342</v>
      </c>
      <c r="G912" s="21">
        <v>345</v>
      </c>
      <c r="H912" s="39">
        <v>380</v>
      </c>
      <c r="I912" s="40">
        <f>=H912*1.05</f>
        <v>399</v>
      </c>
      <c r="J912" s="40">
        <f>=F912*2</f>
        <v>684</v>
      </c>
      <c r="K912" s="40">
        <f>=H912*2</f>
        <v>760</v>
      </c>
      <c r="L912" s="40">
        <f>=I912*2</f>
        <v>798</v>
      </c>
      <c r="M912" s="41" t="s">
        <v>957</v>
      </c>
      <c r="N912" s="41">
        <v>0.71</v>
      </c>
      <c r="O912" s="41" t="s"/>
      <c r="P912" s="41">
        <v>2</v>
      </c>
      <c r="Q912" s="41">
        <v>2</v>
      </c>
      <c r="R912" s="41" t="s">
        <v>16</v>
      </c>
      <c r="S912" s="41" t="s">
        <v>17</v>
      </c>
      <c r="T912" s="41" t="s">
        <v>128</v>
      </c>
      <c r="U912" s="16" t="s">
        <v>13</v>
      </c>
      <c r="V912" s="16" t="s">
        <v>19</v>
      </c>
      <c r="W912" s="19" t="s"/>
      <c r="X912" s="26" t="s">
        <f>=M912&amp;N912&amp;P912&amp;Q912&amp;T912&amp;V912&amp;S912</f>
        <v>1003</v>
      </c>
      <c r="Y912" s="19" t="s"/>
      <c r="Z912" s="19" t="s"/>
      <c r="AA912" s="19" t="s"/>
      <c r="AB912" s="19" t="s"/>
    </row>
    <row r="913" spans="1:28" ht="14.4">
      <c r="A913" s="4">
        <f>=H913/G913-1</f>
        <v>0.1</v>
      </c>
      <c r="B913" s="20">
        <f>=F913/12</f>
        <v>16.5</v>
      </c>
      <c r="C913" s="20">
        <f>=J913/3</f>
        <v>132</v>
      </c>
      <c r="D913" s="20">
        <f>=K913/3</f>
        <v>146.666666666667</v>
      </c>
      <c r="E913" s="20">
        <f>=L913/3</f>
        <v>154</v>
      </c>
      <c r="F913" s="20">
        <f>=H913*0.9</f>
        <v>198</v>
      </c>
      <c r="G913" s="21">
        <v>200</v>
      </c>
      <c r="H913" s="39">
        <v>220</v>
      </c>
      <c r="I913" s="40">
        <f>=H913*1.05</f>
        <v>231</v>
      </c>
      <c r="J913" s="40">
        <f>=F913*2</f>
        <v>396</v>
      </c>
      <c r="K913" s="40">
        <f>=H913*2</f>
        <v>440</v>
      </c>
      <c r="L913" s="40">
        <f>=I913*2</f>
        <v>462</v>
      </c>
      <c r="M913" s="41" t="s">
        <v>957</v>
      </c>
      <c r="N913" s="41">
        <v>0.71</v>
      </c>
      <c r="O913" s="41" t="s"/>
      <c r="P913" s="41">
        <v>1</v>
      </c>
      <c r="Q913" s="41">
        <v>1</v>
      </c>
      <c r="R913" s="41" t="s">
        <v>16</v>
      </c>
      <c r="S913" s="41" t="s">
        <v>17</v>
      </c>
      <c r="T913" s="41" t="s">
        <v>128</v>
      </c>
      <c r="U913" s="16" t="s">
        <v>13</v>
      </c>
      <c r="V913" s="16" t="s">
        <v>19</v>
      </c>
      <c r="W913" s="19" t="s"/>
      <c r="X913" s="26" t="s">
        <f>=M913&amp;N913&amp;P913&amp;Q913&amp;T913&amp;V913&amp;S913</f>
        <v>1004</v>
      </c>
      <c r="Y913" s="19" t="s"/>
      <c r="Z913" s="19" t="s"/>
      <c r="AA913" s="19" t="s"/>
      <c r="AB913" s="19" t="s"/>
    </row>
    <row r="914" spans="1:28" ht="14.4">
      <c r="A914" s="4">
        <f>=H914/G914-1</f>
        <v>0.103448275862069</v>
      </c>
      <c r="B914" s="20">
        <f>=F914/12</f>
        <v>12</v>
      </c>
      <c r="C914" s="20">
        <f>=J914/3</f>
        <v>96</v>
      </c>
      <c r="D914" s="20">
        <f>=K914/3</f>
        <v>106.666666666667</v>
      </c>
      <c r="E914" s="20">
        <f>=L914/3</f>
        <v>112</v>
      </c>
      <c r="F914" s="20">
        <f>=H914*0.9</f>
        <v>144</v>
      </c>
      <c r="G914" s="21">
        <v>145</v>
      </c>
      <c r="H914" s="39">
        <v>160</v>
      </c>
      <c r="I914" s="40">
        <f>=H914*1.05</f>
        <v>168</v>
      </c>
      <c r="J914" s="40">
        <f>=F914*2</f>
        <v>288</v>
      </c>
      <c r="K914" s="40">
        <f>=H914*2</f>
        <v>320</v>
      </c>
      <c r="L914" s="40">
        <f>=I914*2</f>
        <v>336</v>
      </c>
      <c r="M914" s="41" t="s">
        <v>957</v>
      </c>
      <c r="N914" s="41">
        <v>0.71</v>
      </c>
      <c r="O914" s="41" t="s"/>
      <c r="P914" s="41" t="s">
        <v>21</v>
      </c>
      <c r="Q914" s="41" t="s">
        <v>21</v>
      </c>
      <c r="R914" s="41" t="s">
        <v>16</v>
      </c>
      <c r="S914" s="41" t="s">
        <v>17</v>
      </c>
      <c r="T914" s="41" t="s">
        <v>128</v>
      </c>
      <c r="U914" s="16" t="s">
        <v>13</v>
      </c>
      <c r="V914" s="16" t="s">
        <v>19</v>
      </c>
      <c r="W914" s="19" t="s"/>
      <c r="X914" s="26" t="s">
        <f>=M914&amp;N914&amp;P914&amp;Q914&amp;T914&amp;V914&amp;S914</f>
        <v>1005</v>
      </c>
      <c r="Y914" s="19" t="s"/>
      <c r="Z914" s="19" t="s"/>
      <c r="AA914" s="19" t="s"/>
      <c r="AB914" s="19" t="s"/>
    </row>
    <row r="915" spans="1:28" ht="14.4">
      <c r="A915" s="4">
        <f>=H915/G915-1</f>
        <v>0.102409638554217</v>
      </c>
      <c r="B915" s="20">
        <f>=F915/12</f>
        <v>13.725</v>
      </c>
      <c r="C915" s="20">
        <f>=J915/3</f>
        <v>109.8</v>
      </c>
      <c r="D915" s="20">
        <f>=K915/3</f>
        <v>122</v>
      </c>
      <c r="E915" s="20">
        <f>=L915/3</f>
        <v>128.1</v>
      </c>
      <c r="F915" s="20">
        <f>=H915*0.9</f>
        <v>164.7</v>
      </c>
      <c r="G915" s="21">
        <v>166</v>
      </c>
      <c r="H915" s="39">
        <v>183</v>
      </c>
      <c r="I915" s="40">
        <f>=H915*1.05</f>
        <v>192.15</v>
      </c>
      <c r="J915" s="40">
        <f>=F915*2</f>
        <v>329.4</v>
      </c>
      <c r="K915" s="40">
        <f>=H915*2</f>
        <v>366</v>
      </c>
      <c r="L915" s="40">
        <f>=I915*2</f>
        <v>384.3</v>
      </c>
      <c r="M915" s="41" t="s">
        <v>957</v>
      </c>
      <c r="N915" s="41">
        <v>0.73</v>
      </c>
      <c r="O915" s="41" t="s"/>
      <c r="P915" s="41">
        <v>1</v>
      </c>
      <c r="Q915" s="41">
        <v>1</v>
      </c>
      <c r="R915" s="41" t="s">
        <v>16</v>
      </c>
      <c r="S915" s="41" t="s">
        <v>17</v>
      </c>
      <c r="T915" s="41" t="s">
        <v>128</v>
      </c>
      <c r="U915" s="16" t="s">
        <v>13</v>
      </c>
      <c r="V915" s="16" t="s">
        <v>19</v>
      </c>
      <c r="W915" s="19" t="s"/>
      <c r="X915" s="26" t="s">
        <f>=M915&amp;N915&amp;P915&amp;Q915&amp;T915&amp;V915&amp;S915</f>
        <v>1006</v>
      </c>
      <c r="Y915" s="19" t="s"/>
      <c r="Z915" s="19" t="s"/>
      <c r="AA915" s="19" t="s"/>
      <c r="AB915" s="19" t="s"/>
    </row>
    <row r="916" spans="1:28" ht="14.4">
      <c r="A916" s="4">
        <f>=H916/G916-1</f>
        <v>0.103448275862069</v>
      </c>
      <c r="B916" s="20">
        <f>=F916/12</f>
        <v>12</v>
      </c>
      <c r="C916" s="20">
        <f>=J916/3</f>
        <v>96</v>
      </c>
      <c r="D916" s="20">
        <f>=K916/3</f>
        <v>106.666666666667</v>
      </c>
      <c r="E916" s="20">
        <f>=L916/3</f>
        <v>112</v>
      </c>
      <c r="F916" s="20">
        <f>=H916*0.9</f>
        <v>144</v>
      </c>
      <c r="G916" s="21">
        <v>145</v>
      </c>
      <c r="H916" s="39">
        <v>160</v>
      </c>
      <c r="I916" s="40">
        <f>=H916*1.05</f>
        <v>168</v>
      </c>
      <c r="J916" s="40">
        <f>=F916*2</f>
        <v>288</v>
      </c>
      <c r="K916" s="40">
        <f>=H916*2</f>
        <v>320</v>
      </c>
      <c r="L916" s="40">
        <f>=I916*2</f>
        <v>336</v>
      </c>
      <c r="M916" s="41" t="s">
        <v>957</v>
      </c>
      <c r="N916" s="41">
        <v>0.73</v>
      </c>
      <c r="O916" s="41" t="s"/>
      <c r="P916" s="41" t="s">
        <v>21</v>
      </c>
      <c r="Q916" s="41" t="s">
        <v>21</v>
      </c>
      <c r="R916" s="41" t="s">
        <v>16</v>
      </c>
      <c r="S916" s="41" t="s">
        <v>17</v>
      </c>
      <c r="T916" s="41" t="s">
        <v>128</v>
      </c>
      <c r="U916" s="16" t="s">
        <v>13</v>
      </c>
      <c r="V916" s="16" t="s">
        <v>19</v>
      </c>
      <c r="W916" s="19" t="s"/>
      <c r="X916" s="26" t="s">
        <f>=M916&amp;N916&amp;P916&amp;Q916&amp;T916&amp;V916&amp;S916</f>
        <v>1007</v>
      </c>
      <c r="Y916" s="19" t="s"/>
      <c r="Z916" s="19" t="s"/>
      <c r="AA916" s="19" t="s"/>
      <c r="AB916" s="19" t="s"/>
    </row>
    <row r="917" spans="1:28" ht="14.4">
      <c r="A917" s="4">
        <f>=H917/G917-1</f>
        <v>0.0992907801418439</v>
      </c>
      <c r="B917" s="20">
        <f>=F917/12</f>
        <v>11.625</v>
      </c>
      <c r="C917" s="20">
        <f>=J917/3</f>
        <v>93</v>
      </c>
      <c r="D917" s="20">
        <f>=K917/3</f>
        <v>103.333333333333</v>
      </c>
      <c r="E917" s="20">
        <f>=L917/3</f>
        <v>108.5</v>
      </c>
      <c r="F917" s="20">
        <f>=H917*0.9</f>
        <v>139.5</v>
      </c>
      <c r="G917" s="21">
        <v>141</v>
      </c>
      <c r="H917" s="39">
        <v>155</v>
      </c>
      <c r="I917" s="40">
        <f>=H917*1.05</f>
        <v>162.75</v>
      </c>
      <c r="J917" s="40">
        <f>=F917*2</f>
        <v>279</v>
      </c>
      <c r="K917" s="40">
        <f>=H917*2</f>
        <v>310</v>
      </c>
      <c r="L917" s="40">
        <f>=I917*2</f>
        <v>325.5</v>
      </c>
      <c r="M917" s="41" t="s">
        <v>957</v>
      </c>
      <c r="N917" s="41">
        <v>0.76</v>
      </c>
      <c r="O917" s="41" t="s"/>
      <c r="P917" s="41" t="s">
        <v>21</v>
      </c>
      <c r="Q917" s="41" t="s">
        <v>21</v>
      </c>
      <c r="R917" s="41" t="s">
        <v>16</v>
      </c>
      <c r="S917" s="41" t="s">
        <v>17</v>
      </c>
      <c r="T917" s="41" t="s">
        <v>128</v>
      </c>
      <c r="U917" s="16" t="s">
        <v>13</v>
      </c>
      <c r="V917" s="16" t="s">
        <v>19</v>
      </c>
      <c r="W917" s="19" t="s"/>
      <c r="X917" s="26" t="s">
        <f>=M917&amp;N917&amp;P917&amp;Q917&amp;T917&amp;V917&amp;S917</f>
        <v>1008</v>
      </c>
      <c r="Y917" s="19" t="s"/>
      <c r="Z917" s="19" t="s"/>
      <c r="AA917" s="19" t="s"/>
      <c r="AB917" s="19" t="s"/>
    </row>
    <row r="918" spans="1:28" ht="14.4">
      <c r="A918" s="4">
        <f>=H918/G918-1</f>
        <v>0.100806451612903</v>
      </c>
      <c r="B918" s="20">
        <f>=F918/12</f>
        <v>20.475</v>
      </c>
      <c r="C918" s="20">
        <f>=J918/3</f>
        <v>163.8</v>
      </c>
      <c r="D918" s="20">
        <f>=K918/3</f>
        <v>182</v>
      </c>
      <c r="E918" s="20">
        <f>=L918/3</f>
        <v>191.1</v>
      </c>
      <c r="F918" s="20">
        <f>=H918*0.9</f>
        <v>245.7</v>
      </c>
      <c r="G918" s="21">
        <v>248</v>
      </c>
      <c r="H918" s="39">
        <v>273</v>
      </c>
      <c r="I918" s="40">
        <f>=H918*1.05</f>
        <v>286.65</v>
      </c>
      <c r="J918" s="40">
        <f>=F918*2</f>
        <v>491.4</v>
      </c>
      <c r="K918" s="40">
        <f>=H918*2</f>
        <v>546</v>
      </c>
      <c r="L918" s="40">
        <f>=I918*2</f>
        <v>573.3</v>
      </c>
      <c r="M918" s="41" t="s">
        <v>957</v>
      </c>
      <c r="N918" s="41">
        <v>0.8</v>
      </c>
      <c r="O918" s="41" t="s"/>
      <c r="P918" s="41">
        <v>1.5</v>
      </c>
      <c r="Q918" s="41">
        <v>1.5</v>
      </c>
      <c r="R918" s="41" t="s">
        <v>16</v>
      </c>
      <c r="S918" s="41" t="s">
        <v>137</v>
      </c>
      <c r="T918" s="41" t="s">
        <v>128</v>
      </c>
      <c r="U918" s="16" t="s">
        <v>13</v>
      </c>
      <c r="V918" s="16" t="s">
        <v>19</v>
      </c>
      <c r="W918" s="19" t="s"/>
      <c r="X918" s="26" t="s">
        <f>=M918&amp;N918&amp;P918&amp;Q918&amp;T918&amp;V918&amp;S918</f>
        <v>1009</v>
      </c>
      <c r="Y918" s="19" t="s"/>
      <c r="Z918" s="19" t="s"/>
      <c r="AA918" s="19" t="s"/>
      <c r="AB918" s="19" t="s"/>
    </row>
    <row r="919" spans="1:28" ht="14.4">
      <c r="A919" s="4">
        <f>=H919/G919-1</f>
        <v>0.100890207715133</v>
      </c>
      <c r="B919" s="20">
        <f>=F919/12</f>
        <v>27.825</v>
      </c>
      <c r="C919" s="20">
        <f>=J919/3</f>
        <v>222.6</v>
      </c>
      <c r="D919" s="20">
        <f>=K919/3</f>
        <v>247.333333333333</v>
      </c>
      <c r="E919" s="20">
        <f>=L919/3</f>
        <v>259.7</v>
      </c>
      <c r="F919" s="20">
        <f>=H919*0.9</f>
        <v>333.9</v>
      </c>
      <c r="G919" s="21">
        <v>337</v>
      </c>
      <c r="H919" s="39">
        <v>371</v>
      </c>
      <c r="I919" s="40">
        <f>=H919*1.05</f>
        <v>389.55</v>
      </c>
      <c r="J919" s="40">
        <f>=F919*2</f>
        <v>667.8</v>
      </c>
      <c r="K919" s="40">
        <f>=H919*2</f>
        <v>742</v>
      </c>
      <c r="L919" s="40">
        <f>=I919*2</f>
        <v>779.1</v>
      </c>
      <c r="M919" s="41" t="s">
        <v>957</v>
      </c>
      <c r="N919" s="41">
        <v>0.8</v>
      </c>
      <c r="O919" s="41" t="s"/>
      <c r="P919" s="41">
        <v>2</v>
      </c>
      <c r="Q919" s="41">
        <v>2</v>
      </c>
      <c r="R919" s="41" t="s">
        <v>16</v>
      </c>
      <c r="S919" s="41" t="s">
        <v>137</v>
      </c>
      <c r="T919" s="41" t="s">
        <v>128</v>
      </c>
      <c r="U919" s="16" t="s">
        <v>13</v>
      </c>
      <c r="V919" s="16" t="s">
        <v>19</v>
      </c>
      <c r="W919" s="5" t="s"/>
      <c r="X919" s="26" t="s">
        <f>=M919&amp;N919&amp;P919&amp;Q919&amp;T919&amp;V919&amp;S919</f>
        <v>1010</v>
      </c>
      <c r="Y919" s="19" t="s"/>
      <c r="Z919" s="19" t="s"/>
      <c r="AA919" s="19" t="s"/>
      <c r="AB919" s="19" t="s"/>
    </row>
    <row r="920" spans="1:28" ht="14.4">
      <c r="A920" s="4">
        <f>=H920/G920-1</f>
        <v>0.0989583333333333</v>
      </c>
      <c r="B920" s="20">
        <f>=F920/12</f>
        <v>15.825</v>
      </c>
      <c r="C920" s="20">
        <f>=J920/3</f>
        <v>126.6</v>
      </c>
      <c r="D920" s="20">
        <f>=K920/3</f>
        <v>140.666666666667</v>
      </c>
      <c r="E920" s="20">
        <f>=L920/3</f>
        <v>147.7</v>
      </c>
      <c r="F920" s="20">
        <f>=H920*0.9</f>
        <v>189.9</v>
      </c>
      <c r="G920" s="21">
        <v>192</v>
      </c>
      <c r="H920" s="39">
        <v>211</v>
      </c>
      <c r="I920" s="40">
        <f>=H920*1.05</f>
        <v>221.55</v>
      </c>
      <c r="J920" s="40">
        <f>=F920*2</f>
        <v>379.8</v>
      </c>
      <c r="K920" s="40">
        <f>=H920*2</f>
        <v>422</v>
      </c>
      <c r="L920" s="40">
        <f>=I920*2</f>
        <v>443.1</v>
      </c>
      <c r="M920" s="41" t="s">
        <v>957</v>
      </c>
      <c r="N920" s="41">
        <v>0.9</v>
      </c>
      <c r="O920" s="41" t="s"/>
      <c r="P920" s="41">
        <v>1</v>
      </c>
      <c r="Q920" s="41">
        <v>1</v>
      </c>
      <c r="R920" s="41" t="s">
        <v>16</v>
      </c>
      <c r="S920" s="41" t="s">
        <v>137</v>
      </c>
      <c r="T920" s="41" t="s">
        <v>145</v>
      </c>
      <c r="U920" s="16" t="s">
        <v>13</v>
      </c>
      <c r="V920" s="16" t="s">
        <v>19</v>
      </c>
      <c r="W920" s="5" t="s"/>
      <c r="X920" s="26" t="s">
        <f>=M920&amp;N920&amp;P920&amp;Q920&amp;T920&amp;V920&amp;S920</f>
        <v>1011</v>
      </c>
      <c r="Y920" s="19" t="s"/>
      <c r="Z920" s="19" t="s"/>
      <c r="AA920" s="19" t="s"/>
      <c r="AB920" s="19" t="s"/>
    </row>
    <row r="921" spans="1:28" ht="14.4">
      <c r="A921" s="4">
        <f>=H921/G921-1</f>
        <v>0.0991253644314869</v>
      </c>
      <c r="B921" s="20">
        <f>=F921/12</f>
        <v>28.275</v>
      </c>
      <c r="C921" s="20">
        <f>=J921/3</f>
        <v>226.2</v>
      </c>
      <c r="D921" s="20">
        <f>=K921/3</f>
        <v>251.333333333333</v>
      </c>
      <c r="E921" s="20">
        <f>=L921/3</f>
        <v>263.9</v>
      </c>
      <c r="F921" s="20">
        <f>=H921*0.9</f>
        <v>339.3</v>
      </c>
      <c r="G921" s="21">
        <v>343</v>
      </c>
      <c r="H921" s="39">
        <v>377</v>
      </c>
      <c r="I921" s="40">
        <f>=H921*1.05</f>
        <v>395.85</v>
      </c>
      <c r="J921" s="40">
        <f>=F921*2</f>
        <v>678.6</v>
      </c>
      <c r="K921" s="40">
        <f>=H921*2</f>
        <v>754</v>
      </c>
      <c r="L921" s="40">
        <f>=I921*2</f>
        <v>791.7</v>
      </c>
      <c r="M921" s="41" t="s">
        <v>957</v>
      </c>
      <c r="N921" s="41">
        <v>0.9</v>
      </c>
      <c r="O921" s="41" t="s"/>
      <c r="P921" s="41">
        <v>2</v>
      </c>
      <c r="Q921" s="41">
        <v>2</v>
      </c>
      <c r="R921" s="41" t="s">
        <v>16</v>
      </c>
      <c r="S921" s="41" t="s">
        <v>137</v>
      </c>
      <c r="T921" s="41" t="s">
        <v>1012</v>
      </c>
      <c r="U921" s="16" t="s">
        <v>13</v>
      </c>
      <c r="V921" s="16" t="s">
        <v>19</v>
      </c>
      <c r="W921" s="19" t="s"/>
      <c r="X921" s="26" t="s">
        <f>=M921&amp;N921&amp;P921&amp;Q921&amp;T921&amp;V921&amp;S921</f>
        <v>1013</v>
      </c>
      <c r="Y921" s="19" t="s"/>
      <c r="Z921" s="19" t="s"/>
      <c r="AA921" s="19" t="s"/>
      <c r="AB921" s="19" t="s"/>
    </row>
    <row r="922" spans="1:28" ht="14.4">
      <c r="A922" s="4">
        <f>=H922/G922-1</f>
        <v>0.100806451612903</v>
      </c>
      <c r="B922" s="20">
        <f>=F922/12</f>
        <v>20.475</v>
      </c>
      <c r="C922" s="20">
        <f>=J922/3</f>
        <v>163.8</v>
      </c>
      <c r="D922" s="20">
        <f>=K922/3</f>
        <v>182</v>
      </c>
      <c r="E922" s="20">
        <f>=L922/3</f>
        <v>191.1</v>
      </c>
      <c r="F922" s="20">
        <f>=H922*0.9</f>
        <v>245.7</v>
      </c>
      <c r="G922" s="21">
        <v>248</v>
      </c>
      <c r="H922" s="39">
        <v>273</v>
      </c>
      <c r="I922" s="40">
        <f>=H922*1.05</f>
        <v>286.65</v>
      </c>
      <c r="J922" s="40">
        <f>=F922*2</f>
        <v>491.4</v>
      </c>
      <c r="K922" s="40">
        <f>=H922*2</f>
        <v>546</v>
      </c>
      <c r="L922" s="40">
        <f>=I922*2</f>
        <v>573.3</v>
      </c>
      <c r="M922" s="41" t="s">
        <v>957</v>
      </c>
      <c r="N922" s="41">
        <v>0.9</v>
      </c>
      <c r="O922" s="41" t="s"/>
      <c r="P922" s="41">
        <v>1.5</v>
      </c>
      <c r="Q922" s="41">
        <v>1.5</v>
      </c>
      <c r="R922" s="41" t="s">
        <v>16</v>
      </c>
      <c r="S922" s="41" t="s">
        <v>137</v>
      </c>
      <c r="T922" s="41" t="s">
        <v>1012</v>
      </c>
      <c r="U922" s="16" t="s">
        <v>13</v>
      </c>
      <c r="V922" s="16" t="s">
        <v>19</v>
      </c>
      <c r="W922" s="19" t="s"/>
      <c r="X922" s="26" t="s">
        <f>=M922&amp;N922&amp;P922&amp;Q922&amp;T922&amp;V922&amp;S922</f>
        <v>1014</v>
      </c>
      <c r="Y922" s="19" t="s"/>
      <c r="Z922" s="19" t="s"/>
      <c r="AA922" s="19" t="s"/>
      <c r="AB922" s="19" t="s"/>
    </row>
    <row r="923" spans="1:28" ht="14.4">
      <c r="A923" s="4">
        <f>=H923/G923-1</f>
        <v>0.0987654320987654</v>
      </c>
      <c r="B923" s="20">
        <f>=F923/12</f>
        <v>13.35</v>
      </c>
      <c r="C923" s="20">
        <f>=J923/3</f>
        <v>106.8</v>
      </c>
      <c r="D923" s="20">
        <f>=K923/3</f>
        <v>118.666666666667</v>
      </c>
      <c r="E923" s="20">
        <f>=L923/3</f>
        <v>124.6</v>
      </c>
      <c r="F923" s="20">
        <f>=H923*0.9</f>
        <v>160.2</v>
      </c>
      <c r="G923" s="21">
        <v>162</v>
      </c>
      <c r="H923" s="39">
        <v>178</v>
      </c>
      <c r="I923" s="40">
        <f>=H923*1.05</f>
        <v>186.9</v>
      </c>
      <c r="J923" s="40">
        <f>=F923*2</f>
        <v>320.4</v>
      </c>
      <c r="K923" s="40">
        <f>=H923*2</f>
        <v>356</v>
      </c>
      <c r="L923" s="40">
        <f>=I923*2</f>
        <v>373.8</v>
      </c>
      <c r="M923" s="41" t="s">
        <v>957</v>
      </c>
      <c r="N923" s="41">
        <v>0.9</v>
      </c>
      <c r="O923" s="41" t="s"/>
      <c r="P923" s="41" t="s">
        <v>21</v>
      </c>
      <c r="Q923" s="41" t="s">
        <v>21</v>
      </c>
      <c r="R923" s="41" t="s">
        <v>16</v>
      </c>
      <c r="S923" s="41" t="s">
        <v>137</v>
      </c>
      <c r="T923" s="41" t="s">
        <v>145</v>
      </c>
      <c r="U923" s="16" t="s">
        <v>13</v>
      </c>
      <c r="V923" s="16" t="s">
        <v>19</v>
      </c>
      <c r="W923" s="19" t="s"/>
      <c r="X923" s="26" t="s">
        <f>=M923&amp;N923&amp;P923&amp;Q923&amp;T923&amp;V923&amp;S923</f>
        <v>1015</v>
      </c>
      <c r="Y923" s="19" t="s"/>
      <c r="Z923" s="19" t="s"/>
      <c r="AA923" s="19" t="s"/>
      <c r="AB923" s="19" t="s"/>
    </row>
    <row r="924" spans="1:28" ht="14.4">
      <c r="A924" s="4">
        <f>=H924/G924-1</f>
        <v>0.0977011494252873</v>
      </c>
      <c r="B924" s="20">
        <f>=F924/12</f>
        <v>14.325</v>
      </c>
      <c r="C924" s="20">
        <f>=J924/3</f>
        <v>114.6</v>
      </c>
      <c r="D924" s="20">
        <f>=K924/3</f>
        <v>127.333333333333</v>
      </c>
      <c r="E924" s="20">
        <f>=L924/3</f>
        <v>133.7</v>
      </c>
      <c r="F924" s="20">
        <f>=H924*0.9</f>
        <v>171.9</v>
      </c>
      <c r="G924" s="21">
        <v>174</v>
      </c>
      <c r="H924" s="39">
        <v>191</v>
      </c>
      <c r="I924" s="40">
        <f>=H924*1.05</f>
        <v>200.55</v>
      </c>
      <c r="J924" s="40">
        <f>=F924*2</f>
        <v>343.8</v>
      </c>
      <c r="K924" s="40">
        <f>=H924*2</f>
        <v>382</v>
      </c>
      <c r="L924" s="40">
        <f>=I924*2</f>
        <v>401.1</v>
      </c>
      <c r="M924" s="41" t="s">
        <v>957</v>
      </c>
      <c r="N924" s="41">
        <v>1</v>
      </c>
      <c r="O924" s="41" t="s"/>
      <c r="P924" s="41">
        <v>1</v>
      </c>
      <c r="Q924" s="41">
        <v>1</v>
      </c>
      <c r="R924" s="41" t="s">
        <v>16</v>
      </c>
      <c r="S924" s="41" t="s">
        <v>137</v>
      </c>
      <c r="T924" s="41" t="s">
        <v>147</v>
      </c>
      <c r="U924" s="16" t="s">
        <v>13</v>
      </c>
      <c r="V924" s="16" t="s">
        <v>19</v>
      </c>
      <c r="W924" s="19" t="s"/>
      <c r="X924" s="26" t="s">
        <f>=M924&amp;N924&amp;P924&amp;Q924&amp;T924&amp;V924&amp;S924</f>
        <v>1016</v>
      </c>
      <c r="Y924" s="19" t="s"/>
      <c r="Z924" s="19" t="s"/>
      <c r="AA924" s="19" t="s"/>
      <c r="AB924" s="19" t="s"/>
    </row>
    <row r="925" spans="1:28" ht="14.4">
      <c r="A925" s="4">
        <f>=H925/G925-1</f>
        <v>0.0992366412213741</v>
      </c>
      <c r="B925" s="20">
        <f>=F925/12</f>
        <v>21.6</v>
      </c>
      <c r="C925" s="20">
        <f>=J925/3</f>
        <v>172.8</v>
      </c>
      <c r="D925" s="20">
        <f>=K925/3</f>
        <v>192</v>
      </c>
      <c r="E925" s="20">
        <f>=L925/3</f>
        <v>201.6</v>
      </c>
      <c r="F925" s="20">
        <f>=H925*0.9</f>
        <v>259.2</v>
      </c>
      <c r="G925" s="21">
        <v>262</v>
      </c>
      <c r="H925" s="39">
        <v>288</v>
      </c>
      <c r="I925" s="40">
        <f>=H925*1.05</f>
        <v>302.4</v>
      </c>
      <c r="J925" s="40">
        <f>=F925*2</f>
        <v>518.4</v>
      </c>
      <c r="K925" s="40">
        <f>=H925*2</f>
        <v>576</v>
      </c>
      <c r="L925" s="40">
        <f>=I925*2</f>
        <v>604.8</v>
      </c>
      <c r="M925" s="41" t="s">
        <v>957</v>
      </c>
      <c r="N925" s="41">
        <v>1</v>
      </c>
      <c r="O925" s="41" t="s"/>
      <c r="P925" s="41">
        <v>1.5</v>
      </c>
      <c r="Q925" s="41">
        <v>1.5</v>
      </c>
      <c r="R925" s="41" t="s">
        <v>16</v>
      </c>
      <c r="S925" s="41" t="s">
        <v>137</v>
      </c>
      <c r="T925" s="41" t="s">
        <v>147</v>
      </c>
      <c r="U925" s="16" t="s">
        <v>13</v>
      </c>
      <c r="V925" s="16" t="s">
        <v>19</v>
      </c>
      <c r="W925" s="19" t="s"/>
      <c r="X925" s="26" t="s">
        <f>=M925&amp;N925&amp;P925&amp;Q925&amp;T925&amp;V925&amp;S925</f>
        <v>1017</v>
      </c>
      <c r="Y925" s="19" t="s"/>
      <c r="Z925" s="19" t="s"/>
      <c r="AA925" s="19" t="s"/>
      <c r="AB925" s="19" t="s"/>
    </row>
    <row r="926" spans="1:28" ht="14.4">
      <c r="A926" s="4">
        <f>=H926/G926-1</f>
        <v>0.100917431192661</v>
      </c>
      <c r="B926" s="20">
        <f>=F926/12</f>
        <v>18</v>
      </c>
      <c r="C926" s="20">
        <f>=J926/3</f>
        <v>144</v>
      </c>
      <c r="D926" s="20">
        <f>=K926/3</f>
        <v>160</v>
      </c>
      <c r="E926" s="20">
        <f>=L926/3</f>
        <v>168</v>
      </c>
      <c r="F926" s="20">
        <f>=H926*0.9</f>
        <v>216</v>
      </c>
      <c r="G926" s="21">
        <v>218</v>
      </c>
      <c r="H926" s="39">
        <v>240</v>
      </c>
      <c r="I926" s="40">
        <f>=H926*1.05</f>
        <v>252</v>
      </c>
      <c r="J926" s="40">
        <f>=F926*2</f>
        <v>432</v>
      </c>
      <c r="K926" s="40">
        <f>=H926*2</f>
        <v>480</v>
      </c>
      <c r="L926" s="40">
        <f>=I926*2</f>
        <v>504</v>
      </c>
      <c r="M926" s="41" t="s">
        <v>957</v>
      </c>
      <c r="N926" s="41">
        <v>1.1</v>
      </c>
      <c r="O926" s="41" t="s"/>
      <c r="P926" s="41">
        <v>1</v>
      </c>
      <c r="Q926" s="41">
        <v>1</v>
      </c>
      <c r="R926" s="41" t="s">
        <v>16</v>
      </c>
      <c r="S926" s="41" t="s">
        <v>137</v>
      </c>
      <c r="T926" s="41" t="s">
        <v>153</v>
      </c>
      <c r="U926" s="16" t="s">
        <v>13</v>
      </c>
      <c r="V926" s="16" t="s">
        <v>19</v>
      </c>
      <c r="W926" s="19" t="s"/>
      <c r="X926" s="26" t="s">
        <f>=M926&amp;N926&amp;P926&amp;Q926&amp;T926&amp;V926&amp;S926</f>
        <v>1018</v>
      </c>
      <c r="Y926" s="19" t="s"/>
      <c r="Z926" s="19" t="s"/>
      <c r="AA926" s="19" t="s"/>
      <c r="AB926" s="19" t="s"/>
    </row>
    <row r="927" spans="1:28" ht="14.4">
      <c r="A927" s="4">
        <f>=H927/G927-1</f>
        <v>0.101167315175097</v>
      </c>
      <c r="B927" s="20">
        <f>=F927/12</f>
        <v>21.225</v>
      </c>
      <c r="C927" s="20">
        <f>=J927/3</f>
        <v>169.8</v>
      </c>
      <c r="D927" s="20">
        <f>=K927/3</f>
        <v>188.666666666667</v>
      </c>
      <c r="E927" s="20">
        <f>=L927/3</f>
        <v>198.1</v>
      </c>
      <c r="F927" s="20">
        <f>=H927*0.9</f>
        <v>254.7</v>
      </c>
      <c r="G927" s="21">
        <v>257</v>
      </c>
      <c r="H927" s="39">
        <v>283</v>
      </c>
      <c r="I927" s="40">
        <f>=H927*1.05</f>
        <v>297.15</v>
      </c>
      <c r="J927" s="40">
        <f>=F927*2</f>
        <v>509.4</v>
      </c>
      <c r="K927" s="40">
        <f>=H927*2</f>
        <v>566</v>
      </c>
      <c r="L927" s="40">
        <f>=I927*2</f>
        <v>594.3</v>
      </c>
      <c r="M927" s="41" t="s">
        <v>957</v>
      </c>
      <c r="N927" s="41">
        <v>1.1</v>
      </c>
      <c r="O927" s="41" t="s"/>
      <c r="P927" s="41">
        <v>1.5</v>
      </c>
      <c r="Q927" s="41">
        <v>1.5</v>
      </c>
      <c r="R927" s="41" t="s">
        <v>16</v>
      </c>
      <c r="S927" s="41" t="s">
        <v>137</v>
      </c>
      <c r="T927" s="41" t="s">
        <v>147</v>
      </c>
      <c r="U927" s="16" t="s">
        <v>13</v>
      </c>
      <c r="V927" s="16" t="s">
        <v>19</v>
      </c>
      <c r="W927" s="19" t="s"/>
      <c r="X927" s="26" t="s">
        <f>=M927&amp;N927&amp;P927&amp;Q927&amp;T927&amp;V927&amp;S927</f>
        <v>1019</v>
      </c>
      <c r="Y927" s="19" t="s"/>
      <c r="Z927" s="19" t="s"/>
      <c r="AA927" s="19" t="s"/>
      <c r="AB927" s="19" t="s"/>
    </row>
    <row r="928" spans="1:28" ht="14.4">
      <c r="A928" s="4">
        <f>=H928/G928-1</f>
        <v>0.101167315175097</v>
      </c>
      <c r="B928" s="20">
        <f>=F928/12</f>
        <v>21.225</v>
      </c>
      <c r="C928" s="20">
        <f>=J928/3</f>
        <v>169.8</v>
      </c>
      <c r="D928" s="20">
        <f>=K928/3</f>
        <v>188.666666666667</v>
      </c>
      <c r="E928" s="20">
        <f>=L928/3</f>
        <v>198.1</v>
      </c>
      <c r="F928" s="20">
        <f>=H928*0.9</f>
        <v>254.7</v>
      </c>
      <c r="G928" s="21">
        <v>257</v>
      </c>
      <c r="H928" s="39">
        <v>283</v>
      </c>
      <c r="I928" s="40">
        <f>=H928*1.05</f>
        <v>297.15</v>
      </c>
      <c r="J928" s="40">
        <f>=F928*2</f>
        <v>509.4</v>
      </c>
      <c r="K928" s="40">
        <f>=H928*2</f>
        <v>566</v>
      </c>
      <c r="L928" s="40">
        <f>=I928*2</f>
        <v>594.3</v>
      </c>
      <c r="M928" s="41" t="s">
        <v>957</v>
      </c>
      <c r="N928" s="41">
        <v>1.1</v>
      </c>
      <c r="O928" s="41" t="s"/>
      <c r="P928" s="41">
        <v>1.5</v>
      </c>
      <c r="Q928" s="41">
        <v>1.5</v>
      </c>
      <c r="R928" s="41" t="s">
        <v>16</v>
      </c>
      <c r="S928" s="41" t="s">
        <v>137</v>
      </c>
      <c r="T928" s="41" t="s">
        <v>153</v>
      </c>
      <c r="U928" s="16" t="s">
        <v>13</v>
      </c>
      <c r="V928" s="16" t="s">
        <v>19</v>
      </c>
      <c r="W928" s="19" t="s"/>
      <c r="X928" s="26" t="s">
        <f>=M928&amp;N928&amp;P928&amp;Q928&amp;T928&amp;V928&amp;S928</f>
        <v>1020</v>
      </c>
      <c r="Y928" s="19" t="s"/>
      <c r="Z928" s="19" t="s"/>
      <c r="AA928" s="19" t="s"/>
      <c r="AB928" s="19" t="s"/>
    </row>
    <row r="929" spans="1:28" ht="14.4">
      <c r="A929" s="4">
        <f>=H929/G929-1</f>
        <v>0.0994152046783625</v>
      </c>
      <c r="B929" s="20">
        <f>=F929/12</f>
        <v>14.1</v>
      </c>
      <c r="C929" s="20">
        <f>=J929/3</f>
        <v>112.8</v>
      </c>
      <c r="D929" s="20">
        <f>=K929/3</f>
        <v>125.333333333333</v>
      </c>
      <c r="E929" s="20">
        <f>=L929/3</f>
        <v>131.6</v>
      </c>
      <c r="F929" s="20">
        <f>=H929*0.9</f>
        <v>169.2</v>
      </c>
      <c r="G929" s="21">
        <v>171</v>
      </c>
      <c r="H929" s="39">
        <v>188</v>
      </c>
      <c r="I929" s="40">
        <f>=H929*1.05</f>
        <v>197.4</v>
      </c>
      <c r="J929" s="40">
        <f>=F929*2</f>
        <v>338.4</v>
      </c>
      <c r="K929" s="40">
        <f>=H929*2</f>
        <v>376</v>
      </c>
      <c r="L929" s="40">
        <f>=I929*2</f>
        <v>394.8</v>
      </c>
      <c r="M929" s="41" t="s">
        <v>957</v>
      </c>
      <c r="N929" s="41">
        <v>1.1</v>
      </c>
      <c r="O929" s="41" t="s"/>
      <c r="P929" s="41" t="s">
        <v>21</v>
      </c>
      <c r="Q929" s="41" t="s">
        <v>21</v>
      </c>
      <c r="R929" s="41" t="s">
        <v>16</v>
      </c>
      <c r="S929" s="41" t="s">
        <v>137</v>
      </c>
      <c r="T929" s="41" t="s">
        <v>153</v>
      </c>
      <c r="U929" s="16" t="s">
        <v>13</v>
      </c>
      <c r="V929" s="16" t="s">
        <v>19</v>
      </c>
      <c r="W929" s="19" t="s"/>
      <c r="X929" s="26" t="s">
        <f>=M929&amp;N929&amp;P929&amp;Q929&amp;T929&amp;V929&amp;S929</f>
        <v>1021</v>
      </c>
      <c r="Y929" s="19" t="s"/>
      <c r="Z929" s="19" t="s"/>
      <c r="AA929" s="19" t="s"/>
      <c r="AB929" s="19" t="s"/>
    </row>
    <row r="930" spans="1:28" ht="14.4">
      <c r="A930" s="4">
        <f>=H930/G930-1</f>
        <v>0.101010101010101</v>
      </c>
      <c r="B930" s="20">
        <f>=F930/12</f>
        <v>16.35</v>
      </c>
      <c r="C930" s="20">
        <f>=J930/3</f>
        <v>130.8</v>
      </c>
      <c r="D930" s="20">
        <f>=K930/3</f>
        <v>145.333333333333</v>
      </c>
      <c r="E930" s="20">
        <f>=L930/3</f>
        <v>152.6</v>
      </c>
      <c r="F930" s="20">
        <f>=H930*0.9</f>
        <v>196.2</v>
      </c>
      <c r="G930" s="21">
        <v>198</v>
      </c>
      <c r="H930" s="39">
        <v>218</v>
      </c>
      <c r="I930" s="40">
        <f>=H930*1.05</f>
        <v>228.9</v>
      </c>
      <c r="J930" s="40">
        <f>=F930*2</f>
        <v>392.4</v>
      </c>
      <c r="K930" s="40">
        <f>=H930*2</f>
        <v>436</v>
      </c>
      <c r="L930" s="40">
        <f>=I930*2</f>
        <v>457.8</v>
      </c>
      <c r="M930" s="41" t="s">
        <v>957</v>
      </c>
      <c r="N930" s="41">
        <v>1.2</v>
      </c>
      <c r="O930" s="41" t="s"/>
      <c r="P930" s="41" t="s">
        <v>21</v>
      </c>
      <c r="Q930" s="41" t="s">
        <v>21</v>
      </c>
      <c r="R930" s="41" t="s">
        <v>16</v>
      </c>
      <c r="S930" s="41" t="s">
        <v>137</v>
      </c>
      <c r="T930" s="41" t="s">
        <v>153</v>
      </c>
      <c r="U930" s="16" t="s">
        <v>13</v>
      </c>
      <c r="V930" s="16" t="s">
        <v>19</v>
      </c>
      <c r="W930" s="19" t="s"/>
      <c r="X930" s="26" t="s">
        <f>=M930&amp;N930&amp;P930&amp;Q930&amp;T930&amp;V930&amp;S930</f>
        <v>1022</v>
      </c>
      <c r="Y930" s="19" t="s"/>
      <c r="Z930" s="19" t="s"/>
      <c r="AA930" s="19" t="s"/>
      <c r="AB930" s="19" t="s"/>
    </row>
    <row r="931" spans="1:28" ht="14.4">
      <c r="A931" s="4">
        <f>=H931/G931-1</f>
        <v>0.099056603773585</v>
      </c>
      <c r="B931" s="20">
        <f>=F931/12</f>
        <v>17.475</v>
      </c>
      <c r="C931" s="20">
        <f>=J931/3</f>
        <v>139.8</v>
      </c>
      <c r="D931" s="20">
        <f>=K931/3</f>
        <v>155.333333333333</v>
      </c>
      <c r="E931" s="20">
        <f>=L931/3</f>
        <v>163.1</v>
      </c>
      <c r="F931" s="20">
        <f>=H931*0.9</f>
        <v>209.7</v>
      </c>
      <c r="G931" s="21">
        <v>212</v>
      </c>
      <c r="H931" s="39">
        <v>233</v>
      </c>
      <c r="I931" s="40">
        <f>=H931*1.05</f>
        <v>244.65</v>
      </c>
      <c r="J931" s="40">
        <f>=F931*2</f>
        <v>419.4</v>
      </c>
      <c r="K931" s="40">
        <f>=H931*2</f>
        <v>466</v>
      </c>
      <c r="L931" s="40">
        <f>=I931*2</f>
        <v>489.3</v>
      </c>
      <c r="M931" s="41" t="s">
        <v>957</v>
      </c>
      <c r="N931" s="41">
        <v>1.2</v>
      </c>
      <c r="O931" s="41" t="s"/>
      <c r="P931" s="41">
        <v>1</v>
      </c>
      <c r="Q931" s="41">
        <v>1</v>
      </c>
      <c r="R931" s="41" t="s">
        <v>16</v>
      </c>
      <c r="S931" s="41" t="s">
        <v>137</v>
      </c>
      <c r="T931" s="41" t="s">
        <v>153</v>
      </c>
      <c r="U931" s="16" t="s">
        <v>13</v>
      </c>
      <c r="V931" s="16" t="s">
        <v>19</v>
      </c>
      <c r="W931" s="19" t="s"/>
      <c r="X931" s="26" t="s">
        <f>=M931&amp;N931&amp;P931&amp;Q931&amp;T931&amp;V931&amp;S931</f>
        <v>1023</v>
      </c>
      <c r="Y931" s="19" t="s"/>
      <c r="Z931" s="19" t="s"/>
      <c r="AA931" s="19" t="s"/>
      <c r="AB931" s="19" t="s"/>
    </row>
    <row r="932" spans="1:28" ht="14.4">
      <c r="A932" s="4">
        <f>=H932/G932-1</f>
        <v>0.0982905982905984</v>
      </c>
      <c r="B932" s="20">
        <f>=F932/12</f>
        <v>19.275</v>
      </c>
      <c r="C932" s="20">
        <f>=J932/3</f>
        <v>154.2</v>
      </c>
      <c r="D932" s="20">
        <f>=K932/3</f>
        <v>171.333333333333</v>
      </c>
      <c r="E932" s="20">
        <f>=L932/3</f>
        <v>179.9</v>
      </c>
      <c r="F932" s="20">
        <f>=H932*0.9</f>
        <v>231.3</v>
      </c>
      <c r="G932" s="21">
        <v>234</v>
      </c>
      <c r="H932" s="39">
        <v>257</v>
      </c>
      <c r="I932" s="40">
        <f>=H932*1.05</f>
        <v>269.85</v>
      </c>
      <c r="J932" s="40">
        <f>=F932*2</f>
        <v>462.6</v>
      </c>
      <c r="K932" s="40">
        <f>=H932*2</f>
        <v>514</v>
      </c>
      <c r="L932" s="40">
        <f>=I932*2</f>
        <v>539.7</v>
      </c>
      <c r="M932" s="41" t="s">
        <v>957</v>
      </c>
      <c r="N932" s="41">
        <v>1.3</v>
      </c>
      <c r="O932" s="41" t="s"/>
      <c r="P932" s="41">
        <v>1</v>
      </c>
      <c r="Q932" s="41">
        <v>1</v>
      </c>
      <c r="R932" s="41" t="s">
        <v>16</v>
      </c>
      <c r="S932" s="41" t="s">
        <v>137</v>
      </c>
      <c r="T932" s="41" t="s">
        <v>163</v>
      </c>
      <c r="U932" s="16" t="s">
        <v>13</v>
      </c>
      <c r="V932" s="16" t="s">
        <v>19</v>
      </c>
      <c r="W932" s="19" t="s"/>
      <c r="X932" s="26" t="s">
        <f>=M932&amp;N932&amp;P932&amp;Q932&amp;T932&amp;V932&amp;S932</f>
        <v>1024</v>
      </c>
      <c r="Y932" s="19" t="s"/>
      <c r="Z932" s="19" t="s"/>
      <c r="AA932" s="19" t="s"/>
      <c r="AB932" s="19" t="s"/>
    </row>
    <row r="933" spans="1:28" ht="14.4">
      <c r="A933" s="4">
        <f>=H933/G933-1</f>
        <v>0.0995260663507109</v>
      </c>
      <c r="B933" s="20">
        <f>=F933/12</f>
        <v>17.4</v>
      </c>
      <c r="C933" s="20">
        <f>=J933/3</f>
        <v>139.2</v>
      </c>
      <c r="D933" s="20">
        <f>=K933/3</f>
        <v>154.666666666667</v>
      </c>
      <c r="E933" s="20">
        <f>=L933/3</f>
        <v>162.4</v>
      </c>
      <c r="F933" s="20">
        <f>=H933*0.9</f>
        <v>208.8</v>
      </c>
      <c r="G933" s="21">
        <v>211</v>
      </c>
      <c r="H933" s="39">
        <v>232</v>
      </c>
      <c r="I933" s="40">
        <f>=H933*1.05</f>
        <v>243.6</v>
      </c>
      <c r="J933" s="40">
        <f>=F933*2</f>
        <v>417.6</v>
      </c>
      <c r="K933" s="40">
        <f>=H933*2</f>
        <v>464</v>
      </c>
      <c r="L933" s="40">
        <f>=I933*2</f>
        <v>487.2</v>
      </c>
      <c r="M933" s="41" t="s">
        <v>957</v>
      </c>
      <c r="N933" s="41">
        <v>1.4</v>
      </c>
      <c r="O933" s="41" t="s"/>
      <c r="P933" s="41" t="s">
        <v>21</v>
      </c>
      <c r="Q933" s="41" t="s">
        <v>21</v>
      </c>
      <c r="R933" s="41" t="s">
        <v>16</v>
      </c>
      <c r="S933" s="41" t="s">
        <v>137</v>
      </c>
      <c r="T933" s="41" t="s">
        <v>163</v>
      </c>
      <c r="U933" s="16" t="s">
        <v>13</v>
      </c>
      <c r="V933" s="16" t="s">
        <v>19</v>
      </c>
      <c r="W933" s="19" t="s"/>
      <c r="X933" s="26" t="s">
        <f>=M933&amp;N933&amp;P933&amp;Q933&amp;T933&amp;V933&amp;S933</f>
        <v>1025</v>
      </c>
      <c r="Y933" s="19" t="s"/>
      <c r="Z933" s="19" t="s"/>
      <c r="AA933" s="19" t="s"/>
      <c r="AB933" s="19" t="s"/>
    </row>
    <row r="934" spans="1:28" ht="14.4">
      <c r="A934" s="4">
        <f>=H934/G934-1</f>
        <v>0.10126582278481</v>
      </c>
      <c r="B934" s="20">
        <f>=F934/12</f>
        <v>19.575</v>
      </c>
      <c r="C934" s="20">
        <f>=J934/3</f>
        <v>156.6</v>
      </c>
      <c r="D934" s="20">
        <f>=K934/3</f>
        <v>174</v>
      </c>
      <c r="E934" s="20">
        <f>=L934/3</f>
        <v>182.7</v>
      </c>
      <c r="F934" s="20">
        <f>=H934*0.9</f>
        <v>234.9</v>
      </c>
      <c r="G934" s="21">
        <v>237</v>
      </c>
      <c r="H934" s="39">
        <v>261</v>
      </c>
      <c r="I934" s="40">
        <f>=H934*1.05</f>
        <v>274.05</v>
      </c>
      <c r="J934" s="40">
        <f>=F934*2</f>
        <v>469.8</v>
      </c>
      <c r="K934" s="40">
        <f>=H934*2</f>
        <v>522</v>
      </c>
      <c r="L934" s="40">
        <f>=I934*2</f>
        <v>548.1</v>
      </c>
      <c r="M934" s="41" t="s">
        <v>957</v>
      </c>
      <c r="N934" s="41">
        <v>1.4</v>
      </c>
      <c r="O934" s="41" t="s"/>
      <c r="P934" s="41">
        <v>1</v>
      </c>
      <c r="Q934" s="41">
        <v>1</v>
      </c>
      <c r="R934" s="41" t="s">
        <v>16</v>
      </c>
      <c r="S934" s="41" t="s">
        <v>137</v>
      </c>
      <c r="T934" s="41" t="s">
        <v>163</v>
      </c>
      <c r="U934" s="16" t="s">
        <v>13</v>
      </c>
      <c r="V934" s="16" t="s">
        <v>19</v>
      </c>
      <c r="W934" s="19" t="s"/>
      <c r="X934" s="26" t="s">
        <f>=M934&amp;N934&amp;P934&amp;Q934&amp;T934&amp;V934&amp;S934</f>
        <v>1026</v>
      </c>
      <c r="Y934" s="19" t="s"/>
      <c r="Z934" s="19" t="s"/>
      <c r="AA934" s="19" t="s"/>
      <c r="AB934" s="19" t="s"/>
    </row>
    <row r="935" spans="1:28" ht="14.4">
      <c r="A935" s="4">
        <f>=H935/G935-1</f>
        <v>0.101449275362319</v>
      </c>
      <c r="B935" s="20">
        <f>=F935/12</f>
        <v>22.8</v>
      </c>
      <c r="C935" s="20">
        <f>=J935/3</f>
        <v>182.4</v>
      </c>
      <c r="D935" s="20">
        <f>=K935/3</f>
        <v>202.666666666667</v>
      </c>
      <c r="E935" s="20">
        <f>=L935/3</f>
        <v>212.8</v>
      </c>
      <c r="F935" s="20">
        <f>=H935*0.9</f>
        <v>273.6</v>
      </c>
      <c r="G935" s="21">
        <v>276</v>
      </c>
      <c r="H935" s="39">
        <v>304</v>
      </c>
      <c r="I935" s="40">
        <f>=H935*1.05</f>
        <v>319.2</v>
      </c>
      <c r="J935" s="40">
        <f>=F935*2</f>
        <v>547.2</v>
      </c>
      <c r="K935" s="40">
        <f>=H935*2</f>
        <v>608</v>
      </c>
      <c r="L935" s="40">
        <f>=I935*2</f>
        <v>638.4</v>
      </c>
      <c r="M935" s="41" t="s">
        <v>957</v>
      </c>
      <c r="N935" s="41">
        <v>1.4</v>
      </c>
      <c r="O935" s="41" t="s"/>
      <c r="P935" s="41">
        <v>1.5</v>
      </c>
      <c r="Q935" s="41">
        <v>1.5</v>
      </c>
      <c r="R935" s="41" t="s">
        <v>16</v>
      </c>
      <c r="S935" s="41" t="s">
        <v>137</v>
      </c>
      <c r="T935" s="41" t="s">
        <v>163</v>
      </c>
      <c r="U935" s="16" t="s">
        <v>13</v>
      </c>
      <c r="V935" s="16" t="s">
        <v>19</v>
      </c>
      <c r="W935" s="19" t="s"/>
      <c r="X935" s="26" t="s">
        <f>=M935&amp;N935&amp;P935&amp;Q935&amp;T935&amp;V935&amp;S935</f>
        <v>1027</v>
      </c>
      <c r="Y935" s="19" t="s"/>
      <c r="Z935" s="19" t="s"/>
      <c r="AA935" s="19" t="s"/>
      <c r="AB935" s="19" t="s"/>
    </row>
    <row r="936" spans="1:28" ht="14.4">
      <c r="A936" s="4">
        <f>=H936/G936-1</f>
        <v>0.101626016260163</v>
      </c>
      <c r="B936" s="20">
        <f>=F936/12</f>
        <v>20.325</v>
      </c>
      <c r="C936" s="20">
        <f>=J936/3</f>
        <v>162.6</v>
      </c>
      <c r="D936" s="20">
        <f>=K936/3</f>
        <v>180.666666666667</v>
      </c>
      <c r="E936" s="20">
        <f>=L936/3</f>
        <v>189.7</v>
      </c>
      <c r="F936" s="20">
        <f>=H936*0.9</f>
        <v>243.9</v>
      </c>
      <c r="G936" s="21">
        <v>246</v>
      </c>
      <c r="H936" s="39">
        <v>271</v>
      </c>
      <c r="I936" s="40">
        <f>=H936*1.05</f>
        <v>284.55</v>
      </c>
      <c r="J936" s="40">
        <f>=F936*2</f>
        <v>487.8</v>
      </c>
      <c r="K936" s="40">
        <f>=H936*2</f>
        <v>542</v>
      </c>
      <c r="L936" s="40">
        <f>=I936*2</f>
        <v>569.1</v>
      </c>
      <c r="M936" s="41" t="s">
        <v>957</v>
      </c>
      <c r="N936" s="41">
        <v>1.5</v>
      </c>
      <c r="O936" s="41" t="s"/>
      <c r="P936" s="41">
        <v>1</v>
      </c>
      <c r="Q936" s="41">
        <v>1</v>
      </c>
      <c r="R936" s="41" t="s">
        <v>16</v>
      </c>
      <c r="S936" s="41" t="s">
        <v>137</v>
      </c>
      <c r="T936" s="41" t="s">
        <v>171</v>
      </c>
      <c r="U936" s="16" t="s">
        <v>13</v>
      </c>
      <c r="V936" s="16" t="s">
        <v>19</v>
      </c>
      <c r="W936" s="19" t="s"/>
      <c r="X936" s="26" t="s">
        <f>=M936&amp;N936&amp;P936&amp;Q936&amp;T936&amp;V936&amp;S936</f>
        <v>1028</v>
      </c>
      <c r="Y936" s="19" t="s"/>
      <c r="Z936" s="19" t="s"/>
      <c r="AA936" s="19" t="s"/>
      <c r="AB936" s="19" t="s"/>
    </row>
    <row r="937" spans="1:28" ht="14.4">
      <c r="A937" s="4">
        <f>=H937/G937-1</f>
        <v>0.1</v>
      </c>
      <c r="B937" s="20">
        <f>=F937/12</f>
        <v>32.175</v>
      </c>
      <c r="C937" s="20">
        <f>=J937/3</f>
        <v>257.4</v>
      </c>
      <c r="D937" s="20">
        <f>=K937/3</f>
        <v>286</v>
      </c>
      <c r="E937" s="20">
        <f>=L937/3</f>
        <v>300.3</v>
      </c>
      <c r="F937" s="20">
        <f>=H937*0.9</f>
        <v>386.1</v>
      </c>
      <c r="G937" s="21">
        <v>390</v>
      </c>
      <c r="H937" s="39">
        <v>429</v>
      </c>
      <c r="I937" s="40">
        <f>=H937*1.05</f>
        <v>450.45</v>
      </c>
      <c r="J937" s="40">
        <f>=F937*2</f>
        <v>772.2</v>
      </c>
      <c r="K937" s="40">
        <f>=H937*2</f>
        <v>858</v>
      </c>
      <c r="L937" s="40">
        <f>=I937*2</f>
        <v>900.9</v>
      </c>
      <c r="M937" s="41" t="s">
        <v>957</v>
      </c>
      <c r="N937" s="41">
        <v>1.5</v>
      </c>
      <c r="O937" s="41" t="s"/>
      <c r="P937" s="41">
        <v>2</v>
      </c>
      <c r="Q937" s="41">
        <v>2</v>
      </c>
      <c r="R937" s="41" t="s">
        <v>16</v>
      </c>
      <c r="S937" s="41" t="s">
        <v>137</v>
      </c>
      <c r="T937" s="41" t="s">
        <v>163</v>
      </c>
      <c r="U937" s="16" t="s">
        <v>13</v>
      </c>
      <c r="V937" s="16" t="s">
        <v>19</v>
      </c>
      <c r="W937" s="19" t="s"/>
      <c r="X937" s="26" t="s">
        <f>=M937&amp;N937&amp;P937&amp;Q937&amp;T937&amp;V937&amp;S937</f>
        <v>1029</v>
      </c>
      <c r="Y937" s="19" t="s"/>
      <c r="Z937" s="19" t="s"/>
      <c r="AA937" s="19" t="s"/>
      <c r="AB937" s="19" t="s"/>
    </row>
    <row r="938" spans="1:28" ht="14.4">
      <c r="A938" s="4">
        <f>=H938/G938-1</f>
        <v>0.1</v>
      </c>
      <c r="B938" s="20">
        <f>=F938/12</f>
        <v>33</v>
      </c>
      <c r="C938" s="20">
        <f>=J938/3</f>
        <v>264</v>
      </c>
      <c r="D938" s="20">
        <f>=K938/3</f>
        <v>293.333333333333</v>
      </c>
      <c r="E938" s="20">
        <f>=L938/3</f>
        <v>308</v>
      </c>
      <c r="F938" s="20">
        <f>=H938*0.9</f>
        <v>396</v>
      </c>
      <c r="G938" s="21">
        <v>400</v>
      </c>
      <c r="H938" s="39">
        <v>440</v>
      </c>
      <c r="I938" s="40">
        <f>=H938*1.05</f>
        <v>462</v>
      </c>
      <c r="J938" s="40">
        <f>=F938*2</f>
        <v>792</v>
      </c>
      <c r="K938" s="40">
        <f>=H938*2</f>
        <v>880</v>
      </c>
      <c r="L938" s="40">
        <f>=I938*2</f>
        <v>924</v>
      </c>
      <c r="M938" s="41" t="s">
        <v>957</v>
      </c>
      <c r="N938" s="41">
        <v>1.5</v>
      </c>
      <c r="O938" s="41" t="s"/>
      <c r="P938" s="41">
        <v>2</v>
      </c>
      <c r="Q938" s="41">
        <v>2</v>
      </c>
      <c r="R938" s="41" t="s">
        <v>16</v>
      </c>
      <c r="S938" s="41" t="s">
        <v>137</v>
      </c>
      <c r="T938" s="41" t="s">
        <v>171</v>
      </c>
      <c r="U938" s="16" t="s">
        <v>13</v>
      </c>
      <c r="V938" s="16" t="s">
        <v>19</v>
      </c>
      <c r="W938" s="19" t="s"/>
      <c r="X938" s="26" t="s">
        <f>=M938&amp;N938&amp;P938&amp;Q938&amp;T938&amp;V938&amp;S938</f>
        <v>1030</v>
      </c>
      <c r="Y938" s="19" t="s"/>
      <c r="Z938" s="19" t="s"/>
      <c r="AA938" s="19" t="s"/>
      <c r="AB938" s="19" t="s"/>
    </row>
    <row r="939" spans="1:28" ht="14.4">
      <c r="A939" s="4">
        <f>=H939/G939-1</f>
        <v>0.0993377483443709</v>
      </c>
      <c r="B939" s="20">
        <f>=F939/12</f>
        <v>24.9</v>
      </c>
      <c r="C939" s="20">
        <f>=J939/3</f>
        <v>199.2</v>
      </c>
      <c r="D939" s="20">
        <f>=K939/3</f>
        <v>221.333333333333</v>
      </c>
      <c r="E939" s="20">
        <f>=L939/3</f>
        <v>232.4</v>
      </c>
      <c r="F939" s="20">
        <f>=H939*0.9</f>
        <v>298.8</v>
      </c>
      <c r="G939" s="21">
        <v>302</v>
      </c>
      <c r="H939" s="39">
        <v>332</v>
      </c>
      <c r="I939" s="40">
        <f>=H939*1.05</f>
        <v>348.6</v>
      </c>
      <c r="J939" s="40">
        <f>=F939*2</f>
        <v>597.6</v>
      </c>
      <c r="K939" s="40">
        <f>=H939*2</f>
        <v>664</v>
      </c>
      <c r="L939" s="40">
        <f>=I939*2</f>
        <v>697.2</v>
      </c>
      <c r="M939" s="41" t="s">
        <v>957</v>
      </c>
      <c r="N939" s="41">
        <v>1.5</v>
      </c>
      <c r="O939" s="41" t="s"/>
      <c r="P939" s="41">
        <v>1.5</v>
      </c>
      <c r="Q939" s="41">
        <v>1.5</v>
      </c>
      <c r="R939" s="41" t="s">
        <v>16</v>
      </c>
      <c r="S939" s="41" t="s">
        <v>137</v>
      </c>
      <c r="T939" s="41" t="s">
        <v>171</v>
      </c>
      <c r="U939" s="16" t="s">
        <v>13</v>
      </c>
      <c r="V939" s="16" t="s">
        <v>19</v>
      </c>
      <c r="W939" s="19" t="s"/>
      <c r="X939" s="26" t="s">
        <f>=M939&amp;N939&amp;P939&amp;Q939&amp;T939&amp;V939&amp;S939</f>
        <v>1031</v>
      </c>
      <c r="Y939" s="19" t="s"/>
      <c r="Z939" s="19" t="s"/>
      <c r="AA939" s="19" t="s"/>
      <c r="AB939" s="19" t="s"/>
    </row>
    <row r="940" spans="1:28" ht="14.4">
      <c r="A940" s="4">
        <f>=H940/G940-1</f>
        <v>0.0995024875621891</v>
      </c>
      <c r="B940" s="20">
        <f>=F940/12</f>
        <v>16.575</v>
      </c>
      <c r="C940" s="20">
        <f>=J940/3</f>
        <v>132.6</v>
      </c>
      <c r="D940" s="20">
        <f>=K940/3</f>
        <v>147.333333333333</v>
      </c>
      <c r="E940" s="20">
        <f>=L940/3</f>
        <v>154.7</v>
      </c>
      <c r="F940" s="20">
        <f>=H940*0.9</f>
        <v>198.9</v>
      </c>
      <c r="G940" s="21">
        <v>201</v>
      </c>
      <c r="H940" s="39">
        <v>221</v>
      </c>
      <c r="I940" s="40">
        <f>=H940*1.05</f>
        <v>232.05</v>
      </c>
      <c r="J940" s="40">
        <f>=F940*2</f>
        <v>397.8</v>
      </c>
      <c r="K940" s="40">
        <f>=H940*2</f>
        <v>442</v>
      </c>
      <c r="L940" s="40">
        <f>=I940*2</f>
        <v>464.1</v>
      </c>
      <c r="M940" s="41" t="s">
        <v>957</v>
      </c>
      <c r="N940" s="41">
        <v>1.5</v>
      </c>
      <c r="O940" s="41" t="s"/>
      <c r="P940" s="41" t="s">
        <v>21</v>
      </c>
      <c r="Q940" s="41" t="s">
        <v>21</v>
      </c>
      <c r="R940" s="41" t="s">
        <v>16</v>
      </c>
      <c r="S940" s="41" t="s">
        <v>137</v>
      </c>
      <c r="T940" s="41" t="s">
        <v>171</v>
      </c>
      <c r="U940" s="16" t="s">
        <v>13</v>
      </c>
      <c r="V940" s="16" t="s">
        <v>19</v>
      </c>
      <c r="W940" s="19" t="s"/>
      <c r="X940" s="26" t="s">
        <f>=M940&amp;N940&amp;P940&amp;Q940&amp;T940&amp;V940&amp;S940</f>
        <v>1032</v>
      </c>
      <c r="Y940" s="19" t="s"/>
      <c r="Z940" s="19" t="s"/>
      <c r="AA940" s="19" t="s"/>
      <c r="AB940" s="19" t="s"/>
    </row>
    <row r="941" spans="1:28" ht="14.4">
      <c r="A941" s="4">
        <f>=H941/G941-1</f>
        <v>0.101123595505618</v>
      </c>
      <c r="B941" s="20">
        <f>=F941/12</f>
        <v>29.4</v>
      </c>
      <c r="C941" s="20">
        <f>=J941/3</f>
        <v>235.2</v>
      </c>
      <c r="D941" s="20">
        <f>=K941/3</f>
        <v>261.333333333333</v>
      </c>
      <c r="E941" s="20">
        <f>=L941/3</f>
        <v>274.4</v>
      </c>
      <c r="F941" s="20">
        <f>=H941*0.9</f>
        <v>352.8</v>
      </c>
      <c r="G941" s="21">
        <v>356</v>
      </c>
      <c r="H941" s="39">
        <v>392</v>
      </c>
      <c r="I941" s="40">
        <f>=H941*1.05</f>
        <v>411.6</v>
      </c>
      <c r="J941" s="40">
        <f>=F941*2</f>
        <v>705.6</v>
      </c>
      <c r="K941" s="40">
        <f>=H941*2</f>
        <v>784</v>
      </c>
      <c r="L941" s="40">
        <f>=I941*2</f>
        <v>823.2</v>
      </c>
      <c r="M941" s="41" t="s">
        <v>957</v>
      </c>
      <c r="N941" s="41">
        <v>1.6</v>
      </c>
      <c r="O941" s="41" t="s"/>
      <c r="P941" s="41">
        <v>2</v>
      </c>
      <c r="Q941" s="41">
        <v>2</v>
      </c>
      <c r="R941" s="41" t="s">
        <v>16</v>
      </c>
      <c r="S941" s="41" t="s">
        <v>137</v>
      </c>
      <c r="T941" s="41" t="s">
        <v>171</v>
      </c>
      <c r="U941" s="16" t="s">
        <v>13</v>
      </c>
      <c r="V941" s="16" t="s">
        <v>19</v>
      </c>
      <c r="W941" s="19" t="s"/>
      <c r="X941" s="26" t="s">
        <f>=M941&amp;N941&amp;P941&amp;Q941&amp;T941&amp;V941&amp;S941</f>
        <v>1033</v>
      </c>
      <c r="Y941" s="19" t="s"/>
      <c r="Z941" s="19" t="s"/>
      <c r="AA941" s="19" t="s"/>
      <c r="AB941" s="19" t="s"/>
    </row>
    <row r="942" spans="1:28" ht="14.4">
      <c r="A942" s="4">
        <f>=H942/G942-1</f>
        <v>0.0993589743589745</v>
      </c>
      <c r="B942" s="20">
        <f>=F942/12</f>
        <v>25.725</v>
      </c>
      <c r="C942" s="20">
        <f>=J942/3</f>
        <v>205.8</v>
      </c>
      <c r="D942" s="20">
        <f>=K942/3</f>
        <v>228.666666666667</v>
      </c>
      <c r="E942" s="20">
        <f>=L942/3</f>
        <v>240.1</v>
      </c>
      <c r="F942" s="20">
        <f>=H942*0.9</f>
        <v>308.7</v>
      </c>
      <c r="G942" s="21">
        <v>312</v>
      </c>
      <c r="H942" s="39">
        <v>343</v>
      </c>
      <c r="I942" s="40">
        <f>=H942*1.05</f>
        <v>360.15</v>
      </c>
      <c r="J942" s="40">
        <f>=F942*2</f>
        <v>617.4</v>
      </c>
      <c r="K942" s="40">
        <f>=H942*2</f>
        <v>686</v>
      </c>
      <c r="L942" s="40">
        <f>=I942*2</f>
        <v>720.3</v>
      </c>
      <c r="M942" s="41" t="s">
        <v>957</v>
      </c>
      <c r="N942" s="41">
        <v>2.3</v>
      </c>
      <c r="O942" s="41" t="s"/>
      <c r="P942" s="41" t="s">
        <v>21</v>
      </c>
      <c r="Q942" s="41" t="s">
        <v>21</v>
      </c>
      <c r="R942" s="41" t="s">
        <v>16</v>
      </c>
      <c r="S942" s="41" t="s">
        <v>137</v>
      </c>
      <c r="T942" s="41" t="s">
        <v>206</v>
      </c>
      <c r="U942" s="16" t="s">
        <v>13</v>
      </c>
      <c r="V942" s="16" t="s">
        <v>19</v>
      </c>
      <c r="W942" s="19" t="s"/>
      <c r="X942" s="26" t="s">
        <f>=M942&amp;N942&amp;P942&amp;Q942&amp;T942&amp;V942&amp;S942</f>
        <v>1034</v>
      </c>
      <c r="Y942" s="19" t="s"/>
      <c r="Z942" s="19" t="s"/>
      <c r="AA942" s="19" t="s"/>
      <c r="AB942" s="19" t="s"/>
    </row>
    <row r="943" spans="1:28" ht="14.4">
      <c r="A943" s="42">
        <f>=H943/G943-1</f>
        <v>0.0991735537190082</v>
      </c>
      <c r="B943" s="43">
        <f>=F943/12</f>
        <v>9.975</v>
      </c>
      <c r="C943" s="43">
        <f>=J943/3</f>
        <v>79.8</v>
      </c>
      <c r="D943" s="43">
        <f>=K943/3</f>
        <v>88.6666666666667</v>
      </c>
      <c r="E943" s="43">
        <f>=L943/3</f>
        <v>93.1</v>
      </c>
      <c r="F943" s="43">
        <f>=H943*0.9</f>
        <v>119.7</v>
      </c>
      <c r="G943" s="27">
        <v>121</v>
      </c>
      <c r="H943" s="44">
        <v>133</v>
      </c>
      <c r="I943" s="45">
        <f>=H943*1.05</f>
        <v>139.65</v>
      </c>
      <c r="J943" s="45">
        <f>=F943*2</f>
        <v>239.4</v>
      </c>
      <c r="K943" s="45">
        <f>=H943*2</f>
        <v>266</v>
      </c>
      <c r="L943" s="45">
        <f>=I943*2</f>
        <v>279.3</v>
      </c>
      <c r="M943" s="46" t="s">
        <v>1035</v>
      </c>
      <c r="N943" s="46">
        <v>0.1</v>
      </c>
      <c r="O943" s="46" t="s"/>
      <c r="P943" s="46">
        <v>1</v>
      </c>
      <c r="Q943" s="46">
        <v>1</v>
      </c>
      <c r="R943" s="46" t="s">
        <v>16</v>
      </c>
      <c r="S943" s="46" t="s">
        <v>17</v>
      </c>
      <c r="T943" s="12" t="s">
        <v>23</v>
      </c>
      <c r="U943" s="13" t="s">
        <v>13</v>
      </c>
      <c r="V943" s="13" t="s">
        <v>19</v>
      </c>
      <c r="W943" s="15" t="s"/>
      <c r="X943" s="18" t="s">
        <f>=M943&amp;N943&amp;P943&amp;Q943&amp;T943&amp;V943&amp;S943</f>
        <v>1036</v>
      </c>
      <c r="Y943" s="15" t="s"/>
      <c r="Z943" s="15" t="s"/>
      <c r="AA943" s="15" t="s"/>
      <c r="AB943" s="15" t="s"/>
    </row>
    <row r="944" spans="1:28" ht="14.4">
      <c r="A944" s="4">
        <f>=H944/G944-1</f>
        <v>0.100671140939597</v>
      </c>
      <c r="B944" s="20">
        <f>=F944/12</f>
        <v>12.3</v>
      </c>
      <c r="C944" s="20">
        <f>=J944/3</f>
        <v>98.4</v>
      </c>
      <c r="D944" s="20">
        <f>=K944/3</f>
        <v>109.333333333333</v>
      </c>
      <c r="E944" s="20">
        <f>=L944/3</f>
        <v>114.8</v>
      </c>
      <c r="F944" s="20">
        <f>=H944*0.9</f>
        <v>147.6</v>
      </c>
      <c r="G944" s="21">
        <v>149</v>
      </c>
      <c r="H944" s="39">
        <v>164</v>
      </c>
      <c r="I944" s="40">
        <f>=H944*1.05</f>
        <v>172.2</v>
      </c>
      <c r="J944" s="40">
        <f>=F944*2</f>
        <v>295.2</v>
      </c>
      <c r="K944" s="40">
        <f>=H944*2</f>
        <v>328</v>
      </c>
      <c r="L944" s="40">
        <f>=I944*2</f>
        <v>344.4</v>
      </c>
      <c r="M944" s="41" t="s">
        <v>1035</v>
      </c>
      <c r="N944" s="41">
        <v>0.1</v>
      </c>
      <c r="O944" s="41" t="s"/>
      <c r="P944" s="41">
        <v>1</v>
      </c>
      <c r="Q944" s="41">
        <v>1</v>
      </c>
      <c r="R944" s="41" t="s">
        <v>16</v>
      </c>
      <c r="S944" s="41" t="s">
        <v>17</v>
      </c>
      <c r="T944" s="41" t="s">
        <v>27</v>
      </c>
      <c r="U944" s="16" t="s">
        <v>13</v>
      </c>
      <c r="V944" s="16" t="s">
        <v>19</v>
      </c>
      <c r="W944" s="19" t="s"/>
      <c r="X944" s="26" t="s">
        <f>=M944&amp;N944&amp;P944&amp;Q944&amp;T944&amp;V944&amp;S944</f>
        <v>1037</v>
      </c>
      <c r="Y944" s="19" t="s"/>
      <c r="Z944" s="19" t="s"/>
      <c r="AA944" s="19" t="s"/>
      <c r="AB944" s="19" t="s"/>
    </row>
    <row r="945" spans="1:28" ht="14.4">
      <c r="A945" s="4">
        <f>=H945/G945-1</f>
        <v>0</v>
      </c>
      <c r="B945" s="20">
        <f>=F945/12</f>
        <v>22.05</v>
      </c>
      <c r="C945" s="20">
        <f>=J945/3</f>
        <v>176.4</v>
      </c>
      <c r="D945" s="20">
        <f>=K945/3</f>
        <v>196</v>
      </c>
      <c r="E945" s="20">
        <f>=L945/3</f>
        <v>205.8</v>
      </c>
      <c r="F945" s="20">
        <f>=H945*0.9</f>
        <v>264.6</v>
      </c>
      <c r="G945" s="21">
        <v>294</v>
      </c>
      <c r="H945" s="39">
        <v>294</v>
      </c>
      <c r="I945" s="40">
        <f>=H945*1.05</f>
        <v>308.7</v>
      </c>
      <c r="J945" s="40">
        <f>=F945*2</f>
        <v>529.2</v>
      </c>
      <c r="K945" s="40">
        <f>=H945*2</f>
        <v>588</v>
      </c>
      <c r="L945" s="40">
        <f>=I945*2</f>
        <v>617.4</v>
      </c>
      <c r="M945" s="41" t="s">
        <v>1035</v>
      </c>
      <c r="N945" s="41">
        <v>0.1</v>
      </c>
      <c r="O945" s="41" t="s"/>
      <c r="P945" s="41">
        <v>2</v>
      </c>
      <c r="Q945" s="41">
        <v>2</v>
      </c>
      <c r="R945" s="41" t="s">
        <v>16</v>
      </c>
      <c r="S945" s="41" t="s">
        <v>17</v>
      </c>
      <c r="T945" s="41" t="s">
        <v>27</v>
      </c>
      <c r="U945" s="16" t="s">
        <v>13</v>
      </c>
      <c r="V945" s="16" t="s">
        <v>19</v>
      </c>
      <c r="W945" s="17" t="s">
        <v>352</v>
      </c>
      <c r="X945" s="26" t="s">
        <f>=M945&amp;N945&amp;P945&amp;Q945&amp;T945&amp;V945&amp;S945</f>
        <v>1038</v>
      </c>
      <c r="Y945" s="19" t="s"/>
      <c r="Z945" s="19" t="s"/>
      <c r="AA945" s="19" t="s"/>
      <c r="AB945" s="19" t="s"/>
    </row>
    <row r="946" spans="1:28" ht="14.4">
      <c r="A946" s="4">
        <f>=H946/G946-1</f>
        <v>0.099056603773585</v>
      </c>
      <c r="B946" s="20">
        <f>=F946/12</f>
        <v>34.95</v>
      </c>
      <c r="C946" s="20">
        <f>=J946/3</f>
        <v>279.6</v>
      </c>
      <c r="D946" s="20">
        <f>=K946/3</f>
        <v>310.666666666667</v>
      </c>
      <c r="E946" s="20">
        <f>=L946/3</f>
        <v>326.2</v>
      </c>
      <c r="F946" s="20">
        <f>=H946*0.9</f>
        <v>419.4</v>
      </c>
      <c r="G946" s="21">
        <v>424</v>
      </c>
      <c r="H946" s="39">
        <v>466</v>
      </c>
      <c r="I946" s="40">
        <f>=H946*1.05</f>
        <v>489.3</v>
      </c>
      <c r="J946" s="40">
        <f>=F946*2</f>
        <v>838.8</v>
      </c>
      <c r="K946" s="40">
        <f>=H946*2</f>
        <v>932</v>
      </c>
      <c r="L946" s="40">
        <f>=I946*2</f>
        <v>978.6</v>
      </c>
      <c r="M946" s="41" t="s">
        <v>1035</v>
      </c>
      <c r="N946" s="41">
        <v>0.1</v>
      </c>
      <c r="O946" s="41" t="s"/>
      <c r="P946" s="41">
        <v>3</v>
      </c>
      <c r="Q946" s="41">
        <v>3</v>
      </c>
      <c r="R946" s="41" t="s">
        <v>16</v>
      </c>
      <c r="S946" s="41" t="s">
        <v>17</v>
      </c>
      <c r="T946" s="41" t="s">
        <v>27</v>
      </c>
      <c r="U946" s="16" t="s">
        <v>13</v>
      </c>
      <c r="V946" s="16" t="s">
        <v>19</v>
      </c>
      <c r="W946" s="19" t="s"/>
      <c r="X946" s="26" t="s">
        <f>=M946&amp;N946&amp;P946&amp;Q946&amp;T946&amp;V946&amp;S946</f>
        <v>1039</v>
      </c>
      <c r="Y946" s="56" t="s"/>
      <c r="Z946" s="56" t="s"/>
      <c r="AA946" s="56" t="s"/>
      <c r="AB946" s="56" t="s"/>
    </row>
    <row r="947" spans="1:28" ht="14.4">
      <c r="A947" s="4">
        <f>=H947/G947-1</f>
        <v>0.100751879699248</v>
      </c>
      <c r="B947" s="20">
        <f>=F947/12</f>
        <v>54.9</v>
      </c>
      <c r="C947" s="20">
        <f>=J947/3</f>
        <v>439.2</v>
      </c>
      <c r="D947" s="20">
        <f>=K947/3</f>
        <v>488</v>
      </c>
      <c r="E947" s="20">
        <f>=L947/3</f>
        <v>512.4</v>
      </c>
      <c r="F947" s="20">
        <f>=H947*0.9</f>
        <v>658.8</v>
      </c>
      <c r="G947" s="21">
        <v>665</v>
      </c>
      <c r="H947" s="39">
        <v>732</v>
      </c>
      <c r="I947" s="40">
        <f>=H947*1.05</f>
        <v>768.6</v>
      </c>
      <c r="J947" s="40">
        <f>=F947*2</f>
        <v>1317.6</v>
      </c>
      <c r="K947" s="40">
        <f>=H947*2</f>
        <v>1464</v>
      </c>
      <c r="L947" s="40">
        <f>=I947*2</f>
        <v>1537.2</v>
      </c>
      <c r="M947" s="41" t="s">
        <v>1035</v>
      </c>
      <c r="N947" s="41">
        <v>0.1</v>
      </c>
      <c r="O947" s="41" t="s"/>
      <c r="P947" s="41">
        <v>4</v>
      </c>
      <c r="Q947" s="41">
        <v>4</v>
      </c>
      <c r="R947" s="41" t="s">
        <v>16</v>
      </c>
      <c r="S947" s="41" t="s">
        <v>17</v>
      </c>
      <c r="T947" s="41" t="s">
        <v>27</v>
      </c>
      <c r="U947" s="16" t="s">
        <v>13</v>
      </c>
      <c r="V947" s="16" t="s">
        <v>19</v>
      </c>
      <c r="W947" s="19" t="s"/>
      <c r="X947" s="26" t="s">
        <f>=M947&amp;N947&amp;P947&amp;Q947&amp;T947&amp;V947&amp;S947</f>
        <v>1040</v>
      </c>
      <c r="Y947" s="19" t="s"/>
      <c r="Z947" s="19" t="s"/>
      <c r="AA947" s="19" t="s"/>
      <c r="AB947" s="19" t="s"/>
    </row>
    <row r="948" spans="1:29" s="273" customFormat="true" ht="14.4">
      <c r="A948" s="101">
        <f>=H948/G948-1</f>
        <v>0.101123595505618</v>
      </c>
      <c r="B948" s="102">
        <f>=F948/12</f>
        <v>14.7</v>
      </c>
      <c r="C948" s="102">
        <f>=J948/3</f>
        <v>117.6</v>
      </c>
      <c r="D948" s="102">
        <f>=K948/3</f>
        <v>130.666666666667</v>
      </c>
      <c r="E948" s="102">
        <f>=L948/3</f>
        <v>137.2</v>
      </c>
      <c r="F948" s="102">
        <f>=H948*0.9</f>
        <v>176.4</v>
      </c>
      <c r="G948" s="103">
        <v>178</v>
      </c>
      <c r="H948" s="104">
        <v>196</v>
      </c>
      <c r="I948" s="105">
        <f>=H948*1.05</f>
        <v>205.8</v>
      </c>
      <c r="J948" s="105">
        <f>=F948*2</f>
        <v>352.8</v>
      </c>
      <c r="K948" s="105">
        <f>=H948*2</f>
        <v>392</v>
      </c>
      <c r="L948" s="105">
        <f>=I948*2</f>
        <v>411.6</v>
      </c>
      <c r="M948" s="106" t="s">
        <v>1035</v>
      </c>
      <c r="N948" s="106">
        <v>0.127</v>
      </c>
      <c r="O948" s="106" t="s"/>
      <c r="P948" s="106">
        <v>2</v>
      </c>
      <c r="Q948" s="106">
        <v>2</v>
      </c>
      <c r="R948" s="106" t="s">
        <v>16</v>
      </c>
      <c r="S948" s="106" t="s">
        <v>17</v>
      </c>
      <c r="T948" s="106" t="s">
        <v>27</v>
      </c>
      <c r="U948" s="107" t="s">
        <v>13</v>
      </c>
      <c r="V948" s="107" t="s">
        <v>19</v>
      </c>
      <c r="W948" s="108" t="s"/>
      <c r="X948" s="26" t="s">
        <f>=M948&amp;N948&amp;P948&amp;Q948&amp;T948&amp;V948&amp;S948</f>
        <v>1041</v>
      </c>
      <c r="Y948" s="109" t="s"/>
      <c r="Z948" s="109" t="s"/>
      <c r="AA948" s="109" t="s"/>
      <c r="AB948" s="109" t="s"/>
      <c r="AC948" s="110" t="s"/>
    </row>
    <row r="949" spans="1:29" s="273" customFormat="true" ht="14.4">
      <c r="A949" s="111">
        <v>46182</v>
      </c>
      <c r="B949" s="112">
        <f>=F949/12</f>
        <v>8.025</v>
      </c>
      <c r="C949" s="112">
        <f>=J949/3</f>
        <v>64.2</v>
      </c>
      <c r="D949" s="112">
        <f>=K949/3</f>
        <v>71.3333333333333</v>
      </c>
      <c r="E949" s="112">
        <f>=L949/3</f>
        <v>74.9</v>
      </c>
      <c r="F949" s="112">
        <f>=H949*0.9</f>
        <v>96.3</v>
      </c>
      <c r="G949" s="27">
        <v>121</v>
      </c>
      <c r="H949" s="44">
        <v>107</v>
      </c>
      <c r="I949" s="113">
        <f>=H949*1.05</f>
        <v>112.35</v>
      </c>
      <c r="J949" s="113">
        <f>=F949*2</f>
        <v>192.6</v>
      </c>
      <c r="K949" s="113">
        <f>=H949*2</f>
        <v>214</v>
      </c>
      <c r="L949" s="113">
        <f>=I949*2</f>
        <v>224.7</v>
      </c>
      <c r="M949" s="114" t="s">
        <v>1035</v>
      </c>
      <c r="N949" s="114">
        <v>0.13</v>
      </c>
      <c r="O949" s="115" t="s"/>
      <c r="P949" s="114" t="s">
        <v>21</v>
      </c>
      <c r="Q949" s="114" t="s">
        <v>21</v>
      </c>
      <c r="R949" s="115" t="s">
        <v>16</v>
      </c>
      <c r="S949" s="115" t="s">
        <v>17</v>
      </c>
      <c r="T949" s="115" t="s">
        <v>23</v>
      </c>
      <c r="U949" s="116" t="s">
        <v>13</v>
      </c>
      <c r="V949" s="116" t="s">
        <v>19</v>
      </c>
      <c r="W949" s="117" t="s"/>
      <c r="X949" s="18" t="s">
        <f>=M949&amp;N949&amp;P949&amp;Q949&amp;T949&amp;V949&amp;S949</f>
        <v>1042</v>
      </c>
      <c r="Y949" s="117" t="s"/>
      <c r="Z949" s="117" t="s"/>
      <c r="AA949" s="117" t="s"/>
      <c r="AB949" s="117" t="s"/>
      <c r="AC949" s="118" t="s"/>
    </row>
    <row r="950" spans="1:29" s="273" customFormat="true" ht="14.4">
      <c r="A950" s="111">
        <v>46182</v>
      </c>
      <c r="B950" s="112">
        <f>=F950/12</f>
        <v>13.5</v>
      </c>
      <c r="C950" s="112">
        <f>=J950/3</f>
        <v>108</v>
      </c>
      <c r="D950" s="112">
        <f>=K950/3</f>
        <v>120</v>
      </c>
      <c r="E950" s="112">
        <f>=L950/3</f>
        <v>126</v>
      </c>
      <c r="F950" s="112">
        <f>=H950*0.9</f>
        <v>162</v>
      </c>
      <c r="G950" s="27">
        <v>121</v>
      </c>
      <c r="H950" s="44">
        <v>180</v>
      </c>
      <c r="I950" s="113">
        <f>=H950*1.05</f>
        <v>189</v>
      </c>
      <c r="J950" s="113">
        <f>=F950*2</f>
        <v>324</v>
      </c>
      <c r="K950" s="113">
        <f>=H950*2</f>
        <v>360</v>
      </c>
      <c r="L950" s="113">
        <f>=I950*2</f>
        <v>378</v>
      </c>
      <c r="M950" s="114" t="s">
        <v>1035</v>
      </c>
      <c r="N950" s="114">
        <v>0.13</v>
      </c>
      <c r="O950" s="115" t="s"/>
      <c r="P950" s="115">
        <v>1</v>
      </c>
      <c r="Q950" s="115">
        <v>1</v>
      </c>
      <c r="R950" s="115" t="s">
        <v>16</v>
      </c>
      <c r="S950" s="115" t="s">
        <v>17</v>
      </c>
      <c r="T950" s="115" t="s">
        <v>23</v>
      </c>
      <c r="U950" s="116" t="s">
        <v>13</v>
      </c>
      <c r="V950" s="116" t="s">
        <v>19</v>
      </c>
      <c r="W950" s="117" t="s"/>
      <c r="X950" s="18" t="s">
        <f>=M950&amp;N950&amp;P950&amp;Q950&amp;T950&amp;V950&amp;S950</f>
        <v>1043</v>
      </c>
      <c r="Y950" s="117" t="s"/>
      <c r="Z950" s="117" t="s"/>
      <c r="AA950" s="117" t="s"/>
      <c r="AB950" s="117" t="s"/>
      <c r="AC950" s="118" t="s"/>
    </row>
    <row r="951" spans="1:28" ht="14.4">
      <c r="A951" s="4">
        <f>=H951/G951-1</f>
        <v>0.100990099009901</v>
      </c>
      <c r="B951" s="20">
        <f>=F951/12</f>
        <v>41.7</v>
      </c>
      <c r="C951" s="20">
        <f>=J951/3</f>
        <v>333.6</v>
      </c>
      <c r="D951" s="20">
        <f>=K951/3</f>
        <v>370.666666666667</v>
      </c>
      <c r="E951" s="20">
        <f>=L951/3</f>
        <v>389.2</v>
      </c>
      <c r="F951" s="20">
        <f>=H951*0.9</f>
        <v>500.4</v>
      </c>
      <c r="G951" s="21">
        <v>505</v>
      </c>
      <c r="H951" s="39">
        <v>556</v>
      </c>
      <c r="I951" s="40">
        <f>=H951*1.05</f>
        <v>583.8</v>
      </c>
      <c r="J951" s="40">
        <f>=F951*2</f>
        <v>1000.8</v>
      </c>
      <c r="K951" s="40">
        <f>=H951*2</f>
        <v>1112</v>
      </c>
      <c r="L951" s="40">
        <f>=I951*2</f>
        <v>1167.6</v>
      </c>
      <c r="M951" s="41" t="s">
        <v>1035</v>
      </c>
      <c r="N951" s="41">
        <v>0.15</v>
      </c>
      <c r="O951" s="41" t="s"/>
      <c r="P951" s="41">
        <v>4</v>
      </c>
      <c r="Q951" s="41">
        <v>4</v>
      </c>
      <c r="R951" s="41" t="s">
        <v>16</v>
      </c>
      <c r="S951" s="41" t="s">
        <v>17</v>
      </c>
      <c r="T951" s="41" t="s">
        <v>43</v>
      </c>
      <c r="U951" s="16" t="s">
        <v>13</v>
      </c>
      <c r="V951" s="16" t="s">
        <v>19</v>
      </c>
      <c r="W951" s="5" t="s"/>
      <c r="X951" s="26" t="s">
        <f>=M951&amp;N951&amp;P951&amp;Q951&amp;T951&amp;V951&amp;S951</f>
        <v>1044</v>
      </c>
      <c r="Y951" s="19" t="s"/>
      <c r="Z951" s="19" t="s"/>
      <c r="AA951" s="19" t="s"/>
      <c r="AB951" s="19" t="s"/>
    </row>
    <row r="952" spans="1:28" ht="14.4">
      <c r="A952" s="4">
        <f>=H952/G952-1</f>
        <v>0</v>
      </c>
      <c r="B952" s="20">
        <f>=F952/12</f>
        <v>56.25</v>
      </c>
      <c r="C952" s="20">
        <f>=J952/3</f>
        <v>450</v>
      </c>
      <c r="D952" s="20">
        <f>=K952/3</f>
        <v>500</v>
      </c>
      <c r="E952" s="20">
        <f>=L952/3</f>
        <v>525</v>
      </c>
      <c r="F952" s="20">
        <f>=H952*0.9</f>
        <v>675</v>
      </c>
      <c r="G952" s="21">
        <v>750</v>
      </c>
      <c r="H952" s="39">
        <v>750</v>
      </c>
      <c r="I952" s="40">
        <f>=H952*1.05</f>
        <v>787.5</v>
      </c>
      <c r="J952" s="40">
        <f>=F952*2</f>
        <v>1350</v>
      </c>
      <c r="K952" s="40">
        <f>=H952*2</f>
        <v>1500</v>
      </c>
      <c r="L952" s="40">
        <f>=I952*2</f>
        <v>1575</v>
      </c>
      <c r="M952" s="41" t="s">
        <v>1035</v>
      </c>
      <c r="N952" s="41">
        <v>0.15</v>
      </c>
      <c r="O952" s="41" t="s"/>
      <c r="P952" s="41">
        <v>5</v>
      </c>
      <c r="Q952" s="41">
        <v>5</v>
      </c>
      <c r="R952" s="41" t="s">
        <v>16</v>
      </c>
      <c r="S952" s="41" t="s">
        <v>17</v>
      </c>
      <c r="T952" s="41" t="s">
        <v>43</v>
      </c>
      <c r="U952" s="16" t="s">
        <v>13</v>
      </c>
      <c r="V952" s="16" t="s">
        <v>19</v>
      </c>
      <c r="W952" s="17" t="s">
        <v>352</v>
      </c>
      <c r="X952" s="26" t="s">
        <f>=M952&amp;N952&amp;P952&amp;Q952&amp;T952&amp;V952&amp;S952</f>
        <v>1045</v>
      </c>
      <c r="Y952" s="19" t="s"/>
      <c r="Z952" s="19" t="s"/>
      <c r="AA952" s="19" t="s"/>
      <c r="AB952" s="19" t="s"/>
    </row>
    <row r="953" spans="1:28" ht="14.4">
      <c r="A953" s="4">
        <f>=H953/G953-1</f>
        <v>0.0986842105263157</v>
      </c>
      <c r="B953" s="20">
        <f>=F953/12</f>
        <v>12.525</v>
      </c>
      <c r="C953" s="20">
        <f>=J953/3</f>
        <v>100.2</v>
      </c>
      <c r="D953" s="20">
        <f>=K953/3</f>
        <v>111.333333333333</v>
      </c>
      <c r="E953" s="20">
        <f>=L953/3</f>
        <v>116.9</v>
      </c>
      <c r="F953" s="20">
        <f>=H953*0.9</f>
        <v>150.3</v>
      </c>
      <c r="G953" s="21">
        <v>152</v>
      </c>
      <c r="H953" s="39">
        <v>167</v>
      </c>
      <c r="I953" s="40">
        <f>=H953*1.05</f>
        <v>175.35</v>
      </c>
      <c r="J953" s="40">
        <f>=F953*2</f>
        <v>300.6</v>
      </c>
      <c r="K953" s="40">
        <f>=H953*2</f>
        <v>334</v>
      </c>
      <c r="L953" s="40">
        <f>=I953*2</f>
        <v>350.7</v>
      </c>
      <c r="M953" s="41" t="s">
        <v>1035</v>
      </c>
      <c r="N953" s="41">
        <v>0.18</v>
      </c>
      <c r="O953" s="41" t="s"/>
      <c r="P953" s="41">
        <v>1</v>
      </c>
      <c r="Q953" s="41">
        <v>1</v>
      </c>
      <c r="R953" s="41" t="s">
        <v>16</v>
      </c>
      <c r="S953" s="41" t="s">
        <v>17</v>
      </c>
      <c r="T953" s="41" t="s">
        <v>46</v>
      </c>
      <c r="U953" s="16" t="s">
        <v>13</v>
      </c>
      <c r="V953" s="16" t="s">
        <v>19</v>
      </c>
      <c r="W953" s="19" t="s"/>
      <c r="X953" s="26" t="s">
        <f>=M953&amp;N953&amp;P953&amp;Q953&amp;T953&amp;V953&amp;S953</f>
        <v>1046</v>
      </c>
      <c r="Y953" s="19" t="s"/>
      <c r="Z953" s="19" t="s"/>
      <c r="AA953" s="19" t="s"/>
      <c r="AB953" s="19" t="s"/>
    </row>
    <row r="954" spans="1:28" ht="14.4">
      <c r="A954" s="4">
        <f>=H954/G954-1</f>
        <v>0.102040816326531</v>
      </c>
      <c r="B954" s="20">
        <f>=F954/12</f>
        <v>12.15</v>
      </c>
      <c r="C954" s="20">
        <f>=J954/3</f>
        <v>97.2</v>
      </c>
      <c r="D954" s="20">
        <f>=K954/3</f>
        <v>108</v>
      </c>
      <c r="E954" s="20">
        <f>=L954/3</f>
        <v>113.4</v>
      </c>
      <c r="F954" s="20">
        <f>=H954*0.9</f>
        <v>145.8</v>
      </c>
      <c r="G954" s="21">
        <v>147</v>
      </c>
      <c r="H954" s="39">
        <v>162</v>
      </c>
      <c r="I954" s="40">
        <f>=H954*1.05</f>
        <v>170.1</v>
      </c>
      <c r="J954" s="40">
        <f>=F954*2</f>
        <v>291.6</v>
      </c>
      <c r="K954" s="40">
        <f>=H954*2</f>
        <v>324</v>
      </c>
      <c r="L954" s="40">
        <f>=I954*2</f>
        <v>340.2</v>
      </c>
      <c r="M954" s="41" t="s">
        <v>1035</v>
      </c>
      <c r="N954" s="41">
        <v>0.2</v>
      </c>
      <c r="O954" s="41" t="s"/>
      <c r="P954" s="41">
        <v>1</v>
      </c>
      <c r="Q954" s="41">
        <v>1</v>
      </c>
      <c r="R954" s="41" t="s">
        <v>16</v>
      </c>
      <c r="S954" s="41" t="s">
        <v>17</v>
      </c>
      <c r="T954" s="41" t="s">
        <v>52</v>
      </c>
      <c r="U954" s="16" t="s">
        <v>13</v>
      </c>
      <c r="V954" s="16" t="s">
        <v>19</v>
      </c>
      <c r="W954" s="19" t="s"/>
      <c r="X954" s="26" t="s">
        <f>=M954&amp;N954&amp;P954&amp;Q954&amp;T954&amp;V954&amp;S954</f>
        <v>1047</v>
      </c>
      <c r="Y954" s="19" t="s"/>
      <c r="Z954" s="19" t="s"/>
      <c r="AA954" s="19" t="s"/>
      <c r="AB954" s="19" t="s"/>
    </row>
    <row r="955" spans="1:28" ht="14.4">
      <c r="A955" s="4">
        <f>=H955/G955-1</f>
        <v>0.097938144329897</v>
      </c>
      <c r="B955" s="20">
        <f>=F955/12</f>
        <v>15.975</v>
      </c>
      <c r="C955" s="20">
        <f>=J955/3</f>
        <v>127.8</v>
      </c>
      <c r="D955" s="20">
        <f>=K955/3</f>
        <v>142</v>
      </c>
      <c r="E955" s="20">
        <f>=L955/3</f>
        <v>149.1</v>
      </c>
      <c r="F955" s="20">
        <f>=H955*0.9</f>
        <v>191.7</v>
      </c>
      <c r="G955" s="21">
        <v>194</v>
      </c>
      <c r="H955" s="119">
        <v>213</v>
      </c>
      <c r="I955" s="120">
        <f>=H955*1.05</f>
        <v>223.65</v>
      </c>
      <c r="J955" s="120">
        <f>=F955*2</f>
        <v>383.4</v>
      </c>
      <c r="K955" s="120">
        <f>=H955*2</f>
        <v>426</v>
      </c>
      <c r="L955" s="120">
        <f>=I955*2</f>
        <v>447.3</v>
      </c>
      <c r="M955" s="121" t="s">
        <v>1035</v>
      </c>
      <c r="N955" s="121">
        <v>0.2</v>
      </c>
      <c r="O955" s="41" t="s"/>
      <c r="P955" s="121">
        <v>1</v>
      </c>
      <c r="Q955" s="121">
        <v>2</v>
      </c>
      <c r="R955" s="121" t="s">
        <v>16</v>
      </c>
      <c r="S955" s="121" t="s">
        <v>17</v>
      </c>
      <c r="T955" s="121" t="s">
        <v>52</v>
      </c>
      <c r="U955" s="16" t="s">
        <v>13</v>
      </c>
      <c r="V955" s="16" t="s">
        <v>19</v>
      </c>
      <c r="W955" s="19" t="s"/>
      <c r="X955" s="26" t="s">
        <f>=M955&amp;N955&amp;P955&amp;Q955&amp;T955&amp;V955&amp;S955</f>
        <v>1048</v>
      </c>
      <c r="Y955" s="19" t="s"/>
      <c r="Z955" s="19" t="s"/>
      <c r="AA955" s="19" t="s"/>
      <c r="AB955" s="19" t="s"/>
    </row>
    <row r="956" spans="1:28" ht="14.4">
      <c r="A956" s="4">
        <f>=H956/G956-1</f>
        <v>0.1003861003861</v>
      </c>
      <c r="B956" s="20">
        <f>=F956/12</f>
        <v>21.375</v>
      </c>
      <c r="C956" s="20">
        <f>=J956/3</f>
        <v>171</v>
      </c>
      <c r="D956" s="20">
        <f>=K956/3</f>
        <v>190</v>
      </c>
      <c r="E956" s="20">
        <f>=L956/3</f>
        <v>199.5</v>
      </c>
      <c r="F956" s="20">
        <f>=H956*0.9</f>
        <v>256.5</v>
      </c>
      <c r="G956" s="21">
        <v>259</v>
      </c>
      <c r="H956" s="39">
        <v>285</v>
      </c>
      <c r="I956" s="40">
        <f>=H956*1.05</f>
        <v>299.25</v>
      </c>
      <c r="J956" s="40">
        <f>=F956*2</f>
        <v>513</v>
      </c>
      <c r="K956" s="40">
        <f>=H956*2</f>
        <v>570</v>
      </c>
      <c r="L956" s="40">
        <f>=I956*2</f>
        <v>598.5</v>
      </c>
      <c r="M956" s="41" t="s">
        <v>1035</v>
      </c>
      <c r="N956" s="41">
        <v>0.2</v>
      </c>
      <c r="O956" s="41" t="s"/>
      <c r="P956" s="41">
        <v>2</v>
      </c>
      <c r="Q956" s="41">
        <v>2</v>
      </c>
      <c r="R956" s="41" t="s">
        <v>16</v>
      </c>
      <c r="S956" s="41" t="s">
        <v>17</v>
      </c>
      <c r="T956" s="41" t="s">
        <v>52</v>
      </c>
      <c r="U956" s="16" t="s">
        <v>13</v>
      </c>
      <c r="V956" s="16" t="s">
        <v>19</v>
      </c>
      <c r="W956" s="19" t="s"/>
      <c r="X956" s="26" t="s">
        <f>=M956&amp;N956&amp;P956&amp;Q956&amp;T956&amp;V956&amp;S956</f>
        <v>1049</v>
      </c>
      <c r="Y956" s="19" t="s"/>
      <c r="Z956" s="19" t="s"/>
      <c r="AA956" s="19" t="s"/>
      <c r="AB956" s="19" t="s"/>
    </row>
    <row r="957" spans="1:28" ht="14.4">
      <c r="A957" s="4">
        <f>=H957/G957-1</f>
        <v>0.0977443609022557</v>
      </c>
      <c r="B957" s="20">
        <f>=F957/12</f>
        <v>10.95</v>
      </c>
      <c r="C957" s="20">
        <f>=J957/3</f>
        <v>87.6</v>
      </c>
      <c r="D957" s="20">
        <f>=K957/3</f>
        <v>97.3333333333333</v>
      </c>
      <c r="E957" s="20">
        <f>=L957/3</f>
        <v>102.2</v>
      </c>
      <c r="F957" s="20">
        <f>=H957*0.9</f>
        <v>131.4</v>
      </c>
      <c r="G957" s="21">
        <v>133</v>
      </c>
      <c r="H957" s="39">
        <v>146</v>
      </c>
      <c r="I957" s="40">
        <f>=H957*1.05</f>
        <v>153.3</v>
      </c>
      <c r="J957" s="40">
        <f>=F957*2</f>
        <v>262.8</v>
      </c>
      <c r="K957" s="40">
        <f>=H957*2</f>
        <v>292</v>
      </c>
      <c r="L957" s="40">
        <f>=I957*2</f>
        <v>306.6</v>
      </c>
      <c r="M957" s="41" t="s">
        <v>1035</v>
      </c>
      <c r="N957" s="41">
        <v>0.23</v>
      </c>
      <c r="O957" s="41" t="s"/>
      <c r="P957" s="41">
        <v>1</v>
      </c>
      <c r="Q957" s="41">
        <v>1</v>
      </c>
      <c r="R957" s="41" t="s">
        <v>16</v>
      </c>
      <c r="S957" s="41" t="s">
        <v>17</v>
      </c>
      <c r="T957" s="41" t="s">
        <v>52</v>
      </c>
      <c r="U957" s="16" t="s">
        <v>13</v>
      </c>
      <c r="V957" s="16" t="s">
        <v>19</v>
      </c>
      <c r="W957" s="19" t="s"/>
      <c r="X957" s="26" t="s">
        <f>=M957&amp;N957&amp;P957&amp;Q957&amp;T957&amp;V957&amp;S957</f>
        <v>1050</v>
      </c>
      <c r="Y957" s="19" t="s"/>
      <c r="Z957" s="19" t="s"/>
      <c r="AA957" s="19" t="s"/>
      <c r="AB957" s="19" t="s"/>
    </row>
    <row r="958" spans="1:28" ht="14.4">
      <c r="A958" s="4">
        <f>=H958/G958-1</f>
        <v>0.0992366412213741</v>
      </c>
      <c r="B958" s="20">
        <f>=F958/12</f>
        <v>21.6</v>
      </c>
      <c r="C958" s="20">
        <f>=J958/3</f>
        <v>172.8</v>
      </c>
      <c r="D958" s="20">
        <f>=K958/3</f>
        <v>192</v>
      </c>
      <c r="E958" s="20">
        <f>=L958/3</f>
        <v>201.6</v>
      </c>
      <c r="F958" s="20">
        <f>=H958*0.9</f>
        <v>259.2</v>
      </c>
      <c r="G958" s="21">
        <v>262</v>
      </c>
      <c r="H958" s="39">
        <v>288</v>
      </c>
      <c r="I958" s="40">
        <f>=H958*1.05</f>
        <v>302.4</v>
      </c>
      <c r="J958" s="40">
        <f>=F958*2</f>
        <v>518.4</v>
      </c>
      <c r="K958" s="40">
        <f>=H958*2</f>
        <v>576</v>
      </c>
      <c r="L958" s="40">
        <f>=I958*2</f>
        <v>604.8</v>
      </c>
      <c r="M958" s="41" t="s">
        <v>1035</v>
      </c>
      <c r="N958" s="41">
        <v>0.23</v>
      </c>
      <c r="O958" s="41" t="s"/>
      <c r="P958" s="41">
        <v>2</v>
      </c>
      <c r="Q958" s="41">
        <v>2</v>
      </c>
      <c r="R958" s="41" t="s">
        <v>16</v>
      </c>
      <c r="S958" s="41" t="s">
        <v>17</v>
      </c>
      <c r="T958" s="41" t="s">
        <v>52</v>
      </c>
      <c r="U958" s="16" t="s">
        <v>13</v>
      </c>
      <c r="V958" s="16" t="s">
        <v>19</v>
      </c>
      <c r="W958" s="19" t="s"/>
      <c r="X958" s="26" t="s">
        <f>=M958&amp;N958&amp;P958&amp;Q958&amp;T958&amp;V958&amp;S958</f>
        <v>1051</v>
      </c>
      <c r="Y958" s="19" t="s"/>
      <c r="Z958" s="19" t="s"/>
      <c r="AA958" s="19" t="s"/>
      <c r="AB958" s="19" t="s"/>
    </row>
    <row r="959" spans="1:28" ht="14.4">
      <c r="A959" s="4">
        <f>=H959/G959-1</f>
        <v>0.1</v>
      </c>
      <c r="B959" s="20">
        <f>=F959/12</f>
        <v>33</v>
      </c>
      <c r="C959" s="20">
        <f>=J959/3</f>
        <v>264</v>
      </c>
      <c r="D959" s="20">
        <f>=K959/3</f>
        <v>293.333333333333</v>
      </c>
      <c r="E959" s="20">
        <f>=L959/3</f>
        <v>308</v>
      </c>
      <c r="F959" s="20">
        <f>=H959*0.9</f>
        <v>396</v>
      </c>
      <c r="G959" s="21">
        <v>400</v>
      </c>
      <c r="H959" s="39">
        <v>440</v>
      </c>
      <c r="I959" s="40">
        <f>=H959*1.05</f>
        <v>462</v>
      </c>
      <c r="J959" s="40">
        <f>=F959*2</f>
        <v>792</v>
      </c>
      <c r="K959" s="40">
        <f>=H959*2</f>
        <v>880</v>
      </c>
      <c r="L959" s="40">
        <f>=I959*2</f>
        <v>924</v>
      </c>
      <c r="M959" s="41" t="s">
        <v>1035</v>
      </c>
      <c r="N959" s="41">
        <v>0.23</v>
      </c>
      <c r="O959" s="41" t="s"/>
      <c r="P959" s="41">
        <v>3</v>
      </c>
      <c r="Q959" s="41">
        <v>3</v>
      </c>
      <c r="R959" s="41" t="s">
        <v>16</v>
      </c>
      <c r="S959" s="41" t="s">
        <v>17</v>
      </c>
      <c r="T959" s="41" t="s">
        <v>52</v>
      </c>
      <c r="U959" s="16" t="s">
        <v>13</v>
      </c>
      <c r="V959" s="16" t="s">
        <v>19</v>
      </c>
      <c r="W959" s="19" t="s"/>
      <c r="X959" s="26" t="s">
        <f>=M959&amp;N959&amp;P959&amp;Q959&amp;T959&amp;V959&amp;S959</f>
        <v>1052</v>
      </c>
      <c r="Y959" s="19" t="s"/>
      <c r="Z959" s="19" t="s"/>
      <c r="AA959" s="19" t="s"/>
      <c r="AB959" s="19" t="s"/>
    </row>
    <row r="960" spans="1:28" ht="14.4">
      <c r="A960" s="4">
        <f>=H960/G960-1</f>
        <v>0.0812500000000001</v>
      </c>
      <c r="B960" s="20">
        <f>=F960/12</f>
        <v>12.975</v>
      </c>
      <c r="C960" s="20">
        <f>=J960/3</f>
        <v>103.8</v>
      </c>
      <c r="D960" s="20">
        <f>=K960/3</f>
        <v>115.333333333333</v>
      </c>
      <c r="E960" s="20">
        <f>=L960/3</f>
        <v>121.1</v>
      </c>
      <c r="F960" s="20">
        <f>=H960*0.9</f>
        <v>155.7</v>
      </c>
      <c r="G960" s="21">
        <v>160</v>
      </c>
      <c r="H960" s="39">
        <v>173</v>
      </c>
      <c r="I960" s="40">
        <f>=H960*1.05</f>
        <v>181.65</v>
      </c>
      <c r="J960" s="40">
        <f>=F960*2</f>
        <v>311.4</v>
      </c>
      <c r="K960" s="40">
        <f>=H960*2</f>
        <v>346</v>
      </c>
      <c r="L960" s="40">
        <f>=I960*2</f>
        <v>363.3</v>
      </c>
      <c r="M960" s="41" t="s">
        <v>1035</v>
      </c>
      <c r="N960" s="41">
        <v>0.25</v>
      </c>
      <c r="O960" s="41" t="s"/>
      <c r="P960" s="41">
        <v>1</v>
      </c>
      <c r="Q960" s="41">
        <v>1</v>
      </c>
      <c r="R960" s="41" t="s">
        <v>16</v>
      </c>
      <c r="S960" s="41" t="s">
        <v>17</v>
      </c>
      <c r="T960" s="41" t="s">
        <v>52</v>
      </c>
      <c r="U960" s="16" t="s">
        <v>13</v>
      </c>
      <c r="V960" s="16" t="s">
        <v>19</v>
      </c>
      <c r="W960" s="19" t="s"/>
      <c r="X960" s="26" t="s">
        <f>=M960&amp;N960&amp;P960&amp;Q960&amp;T960&amp;V960&amp;S960</f>
        <v>1053</v>
      </c>
      <c r="Y960" s="56" t="s"/>
      <c r="Z960" s="56" t="s"/>
      <c r="AA960" s="56" t="s"/>
      <c r="AB960" s="56" t="s"/>
    </row>
    <row r="961" spans="1:28" ht="14.4">
      <c r="A961" s="4">
        <f>=H961/G961-1</f>
        <v>0.101960784313726</v>
      </c>
      <c r="B961" s="20">
        <f>=F961/12</f>
        <v>21.075</v>
      </c>
      <c r="C961" s="20">
        <f>=J961/3</f>
        <v>168.6</v>
      </c>
      <c r="D961" s="20">
        <f>=K961/3</f>
        <v>187.333333333333</v>
      </c>
      <c r="E961" s="20">
        <f>=L961/3</f>
        <v>196.7</v>
      </c>
      <c r="F961" s="20">
        <f>=H961*0.9</f>
        <v>252.9</v>
      </c>
      <c r="G961" s="21">
        <v>255</v>
      </c>
      <c r="H961" s="39">
        <v>281</v>
      </c>
      <c r="I961" s="40">
        <f>=H961*1.05</f>
        <v>295.05</v>
      </c>
      <c r="J961" s="40">
        <f>=F961*2</f>
        <v>505.8</v>
      </c>
      <c r="K961" s="40">
        <f>=H961*2</f>
        <v>562</v>
      </c>
      <c r="L961" s="40">
        <f>=I961*2</f>
        <v>590.1</v>
      </c>
      <c r="M961" s="41" t="s">
        <v>1035</v>
      </c>
      <c r="N961" s="41">
        <v>0.25</v>
      </c>
      <c r="O961" s="41" t="s"/>
      <c r="P961" s="41">
        <v>2</v>
      </c>
      <c r="Q961" s="41">
        <v>2</v>
      </c>
      <c r="R961" s="41" t="s">
        <v>16</v>
      </c>
      <c r="S961" s="41" t="s">
        <v>17</v>
      </c>
      <c r="T961" s="41" t="s">
        <v>52</v>
      </c>
      <c r="U961" s="16" t="s">
        <v>13</v>
      </c>
      <c r="V961" s="16" t="s">
        <v>19</v>
      </c>
      <c r="W961" s="19" t="s"/>
      <c r="X961" s="26" t="s">
        <f>=M961&amp;N961&amp;P961&amp;Q961&amp;T961&amp;V961&amp;S961</f>
        <v>1054</v>
      </c>
      <c r="Y961" s="19" t="s"/>
      <c r="Z961" s="19" t="s"/>
      <c r="AA961" s="19" t="s"/>
      <c r="AB961" s="19" t="s"/>
    </row>
    <row r="962" spans="1:28" ht="14.4">
      <c r="A962" s="4">
        <f>=H962/G962-1</f>
        <v>0</v>
      </c>
      <c r="B962" s="20">
        <f>=F962/12</f>
        <v>14.25</v>
      </c>
      <c r="C962" s="20">
        <f>=J962/3</f>
        <v>114</v>
      </c>
      <c r="D962" s="20">
        <f>=K962/3</f>
        <v>126.666666666667</v>
      </c>
      <c r="E962" s="20">
        <f>=L962/3</f>
        <v>133</v>
      </c>
      <c r="F962" s="20">
        <f>=H962*0.9</f>
        <v>171</v>
      </c>
      <c r="G962" s="21">
        <v>190</v>
      </c>
      <c r="H962" s="39">
        <v>190</v>
      </c>
      <c r="I962" s="40">
        <f>=H962*1.05</f>
        <v>199.5</v>
      </c>
      <c r="J962" s="40">
        <f>=F962*2</f>
        <v>342</v>
      </c>
      <c r="K962" s="40">
        <f>=H962*2</f>
        <v>380</v>
      </c>
      <c r="L962" s="40">
        <f>=I962*2</f>
        <v>399</v>
      </c>
      <c r="M962" s="41" t="s">
        <v>1035</v>
      </c>
      <c r="N962" s="41">
        <v>0.3</v>
      </c>
      <c r="O962" s="41" t="s"/>
      <c r="P962" s="41">
        <v>1</v>
      </c>
      <c r="Q962" s="41">
        <v>1</v>
      </c>
      <c r="R962" s="41" t="s">
        <v>16</v>
      </c>
      <c r="S962" s="41" t="s">
        <v>17</v>
      </c>
      <c r="T962" s="41" t="s">
        <v>544</v>
      </c>
      <c r="U962" s="16" t="s">
        <v>13</v>
      </c>
      <c r="V962" s="16" t="s">
        <v>19</v>
      </c>
      <c r="W962" s="54">
        <v>46132</v>
      </c>
      <c r="X962" s="26" t="s">
        <f>=M962&amp;N962&amp;P962&amp;Q962&amp;T962&amp;V962&amp;S962</f>
        <v>1055</v>
      </c>
      <c r="Y962" s="19" t="s"/>
      <c r="Z962" s="19" t="s"/>
      <c r="AA962" s="19" t="s"/>
      <c r="AB962" s="19" t="s"/>
    </row>
    <row r="963" spans="1:28" ht="14.4">
      <c r="A963" s="4">
        <f>=H963/G963-1</f>
        <v>0.100250626566416</v>
      </c>
      <c r="B963" s="20">
        <f>=F963/12</f>
        <v>32.925</v>
      </c>
      <c r="C963" s="20">
        <f>=J963/3</f>
        <v>263.4</v>
      </c>
      <c r="D963" s="20">
        <f>=K963/3</f>
        <v>292.666666666667</v>
      </c>
      <c r="E963" s="20">
        <f>=L963/3</f>
        <v>307.3</v>
      </c>
      <c r="F963" s="20">
        <f>=H963*0.9</f>
        <v>395.1</v>
      </c>
      <c r="G963" s="21">
        <v>399</v>
      </c>
      <c r="H963" s="39">
        <v>439</v>
      </c>
      <c r="I963" s="40">
        <f>=H963*1.05</f>
        <v>460.95</v>
      </c>
      <c r="J963" s="40">
        <f>=F963*2</f>
        <v>790.2</v>
      </c>
      <c r="K963" s="40">
        <f>=H963*2</f>
        <v>878</v>
      </c>
      <c r="L963" s="40">
        <f>=I963*2</f>
        <v>921.9</v>
      </c>
      <c r="M963" s="41" t="s">
        <v>1035</v>
      </c>
      <c r="N963" s="41">
        <v>0.3</v>
      </c>
      <c r="O963" s="41" t="s"/>
      <c r="P963" s="41">
        <v>3</v>
      </c>
      <c r="Q963" s="41">
        <v>3</v>
      </c>
      <c r="R963" s="41" t="s">
        <v>16</v>
      </c>
      <c r="S963" s="41" t="s">
        <v>17</v>
      </c>
      <c r="T963" s="41" t="s">
        <v>67</v>
      </c>
      <c r="U963" s="16" t="s">
        <v>13</v>
      </c>
      <c r="V963" s="16" t="s">
        <v>19</v>
      </c>
      <c r="W963" s="56" t="s"/>
      <c r="X963" s="26" t="s">
        <f>=M963&amp;N963&amp;P963&amp;Q963&amp;T963&amp;V963&amp;S963</f>
        <v>1056</v>
      </c>
      <c r="Y963" s="19" t="s"/>
      <c r="Z963" s="19" t="s"/>
      <c r="AA963" s="19" t="s"/>
      <c r="AB963" s="19" t="s"/>
    </row>
    <row r="964" spans="1:28" ht="14.4">
      <c r="A964" s="4">
        <f>=H964/G964-1</f>
        <v>0.1</v>
      </c>
      <c r="B964" s="20">
        <f>=F964/12</f>
        <v>11.55</v>
      </c>
      <c r="C964" s="20">
        <f>=J964/3</f>
        <v>92.4</v>
      </c>
      <c r="D964" s="20">
        <f>=K964/3</f>
        <v>102.666666666667</v>
      </c>
      <c r="E964" s="20">
        <f>=L964/3</f>
        <v>107.8</v>
      </c>
      <c r="F964" s="20">
        <f>=H964*0.9</f>
        <v>138.6</v>
      </c>
      <c r="G964" s="21">
        <v>140</v>
      </c>
      <c r="H964" s="39">
        <v>154</v>
      </c>
      <c r="I964" s="40">
        <f>=H964*1.05</f>
        <v>161.7</v>
      </c>
      <c r="J964" s="40">
        <f>=F964*2</f>
        <v>277.2</v>
      </c>
      <c r="K964" s="40">
        <f>=H964*2</f>
        <v>308</v>
      </c>
      <c r="L964" s="40">
        <f>=I964*2</f>
        <v>323.4</v>
      </c>
      <c r="M964" s="41" t="s">
        <v>1035</v>
      </c>
      <c r="N964" s="41">
        <v>0.36</v>
      </c>
      <c r="O964" s="41" t="s"/>
      <c r="P964" s="41">
        <v>1</v>
      </c>
      <c r="Q964" s="41">
        <v>1</v>
      </c>
      <c r="R964" s="41" t="s">
        <v>16</v>
      </c>
      <c r="S964" s="41" t="s">
        <v>17</v>
      </c>
      <c r="T964" s="41" t="s">
        <v>76</v>
      </c>
      <c r="U964" s="16" t="s">
        <v>13</v>
      </c>
      <c r="V964" s="16" t="s">
        <v>19</v>
      </c>
      <c r="W964" s="19" t="s"/>
      <c r="X964" s="26" t="s">
        <f>=M964&amp;N964&amp;P964&amp;Q964&amp;T964&amp;V964&amp;S964</f>
        <v>1057</v>
      </c>
      <c r="Y964" s="19" t="s"/>
      <c r="Z964" s="19" t="s"/>
      <c r="AA964" s="19" t="s"/>
      <c r="AB964" s="19" t="s"/>
    </row>
    <row r="965" spans="1:28" ht="14.4">
      <c r="A965" s="4">
        <f>=H965/G965-1</f>
        <v>0.0989583333333333</v>
      </c>
      <c r="B965" s="20">
        <f>=F965/12</f>
        <v>15.825</v>
      </c>
      <c r="C965" s="20">
        <f>=J965/3</f>
        <v>126.6</v>
      </c>
      <c r="D965" s="20">
        <f>=K965/3</f>
        <v>140.666666666667</v>
      </c>
      <c r="E965" s="20">
        <f>=L965/3</f>
        <v>147.7</v>
      </c>
      <c r="F965" s="20">
        <f>=H965*0.9</f>
        <v>189.9</v>
      </c>
      <c r="G965" s="21">
        <v>192</v>
      </c>
      <c r="H965" s="39">
        <v>211</v>
      </c>
      <c r="I965" s="40">
        <f>=H965*1.05</f>
        <v>221.55</v>
      </c>
      <c r="J965" s="40">
        <f>=F965*2</f>
        <v>379.8</v>
      </c>
      <c r="K965" s="40">
        <f>=H965*2</f>
        <v>422</v>
      </c>
      <c r="L965" s="40">
        <f>=I965*2</f>
        <v>443.1</v>
      </c>
      <c r="M965" s="41" t="s">
        <v>1035</v>
      </c>
      <c r="N965" s="41">
        <v>0.4</v>
      </c>
      <c r="O965" s="41" t="s"/>
      <c r="P965" s="41">
        <v>1</v>
      </c>
      <c r="Q965" s="41">
        <v>1</v>
      </c>
      <c r="R965" s="41" t="s">
        <v>16</v>
      </c>
      <c r="S965" s="41" t="s">
        <v>17</v>
      </c>
      <c r="T965" s="41" t="s">
        <v>76</v>
      </c>
      <c r="U965" s="16" t="s">
        <v>13</v>
      </c>
      <c r="V965" s="16" t="s">
        <v>19</v>
      </c>
      <c r="W965" s="19" t="s"/>
      <c r="X965" s="26" t="s">
        <f>=M965&amp;N965&amp;P965&amp;Q965&amp;T965&amp;V965&amp;S965</f>
        <v>1058</v>
      </c>
      <c r="Y965" s="19" t="s"/>
      <c r="Z965" s="19" t="s"/>
      <c r="AA965" s="19" t="s"/>
      <c r="AB965" s="19" t="s"/>
    </row>
    <row r="966" spans="1:28" ht="14.4">
      <c r="A966" s="4">
        <f>=H966/G966-1</f>
        <v>0.0991379310344827</v>
      </c>
      <c r="B966" s="20">
        <f>=F966/12</f>
        <v>19.125</v>
      </c>
      <c r="C966" s="20">
        <f>=J966/3</f>
        <v>153</v>
      </c>
      <c r="D966" s="20">
        <f>=K966/3</f>
        <v>170</v>
      </c>
      <c r="E966" s="20">
        <f>=L966/3</f>
        <v>178.5</v>
      </c>
      <c r="F966" s="20">
        <f>=H966*0.9</f>
        <v>229.5</v>
      </c>
      <c r="G966" s="21">
        <v>232</v>
      </c>
      <c r="H966" s="39">
        <v>255</v>
      </c>
      <c r="I966" s="40">
        <f>=H966*1.05</f>
        <v>267.75</v>
      </c>
      <c r="J966" s="40">
        <f>=F966*2</f>
        <v>459</v>
      </c>
      <c r="K966" s="40">
        <f>=H966*2</f>
        <v>510</v>
      </c>
      <c r="L966" s="40">
        <f>=I966*2</f>
        <v>535.5</v>
      </c>
      <c r="M966" s="41" t="s">
        <v>1035</v>
      </c>
      <c r="N966" s="41">
        <v>0.73</v>
      </c>
      <c r="O966" s="41" t="s"/>
      <c r="P966" s="41">
        <v>1</v>
      </c>
      <c r="Q966" s="41">
        <v>1</v>
      </c>
      <c r="R966" s="41" t="s">
        <v>16</v>
      </c>
      <c r="S966" s="41" t="s">
        <v>137</v>
      </c>
      <c r="T966" s="41" t="s">
        <v>128</v>
      </c>
      <c r="U966" s="16" t="s">
        <v>13</v>
      </c>
      <c r="V966" s="16" t="s">
        <v>19</v>
      </c>
      <c r="W966" s="19" t="s"/>
      <c r="X966" s="26" t="s">
        <f>=M966&amp;N966&amp;P966&amp;Q966&amp;T966&amp;V966&amp;S966</f>
        <v>1059</v>
      </c>
      <c r="Y966" s="19" t="s"/>
      <c r="Z966" s="19" t="s"/>
      <c r="AA966" s="19" t="s"/>
      <c r="AB966" s="19" t="s"/>
    </row>
    <row r="967" spans="1:28" ht="14.4">
      <c r="A967" s="4">
        <f>=H967/G967-1</f>
        <v>0.098360655737705</v>
      </c>
      <c r="B967" s="20">
        <f>=F967/12</f>
        <v>20.1</v>
      </c>
      <c r="C967" s="20">
        <f>=J967/3</f>
        <v>160.8</v>
      </c>
      <c r="D967" s="20">
        <f>=K967/3</f>
        <v>178.666666666667</v>
      </c>
      <c r="E967" s="20">
        <f>=L967/3</f>
        <v>187.6</v>
      </c>
      <c r="F967" s="20">
        <f>=H967*0.9</f>
        <v>241.2</v>
      </c>
      <c r="G967" s="21">
        <v>244</v>
      </c>
      <c r="H967" s="39">
        <v>268</v>
      </c>
      <c r="I967" s="40">
        <f>=H967*1.05</f>
        <v>281.4</v>
      </c>
      <c r="J967" s="40">
        <f>=F967*2</f>
        <v>482.4</v>
      </c>
      <c r="K967" s="40">
        <f>=H967*2</f>
        <v>536</v>
      </c>
      <c r="L967" s="40">
        <f>=I967*2</f>
        <v>562.8</v>
      </c>
      <c r="M967" s="41" t="s">
        <v>1035</v>
      </c>
      <c r="N967" s="41">
        <v>0.73</v>
      </c>
      <c r="O967" s="41" t="s"/>
      <c r="P967" s="41">
        <v>1</v>
      </c>
      <c r="Q967" s="41">
        <v>1</v>
      </c>
      <c r="R967" s="41" t="s">
        <v>16</v>
      </c>
      <c r="S967" s="41" t="s">
        <v>17</v>
      </c>
      <c r="T967" s="41" t="s">
        <v>128</v>
      </c>
      <c r="U967" s="16" t="s">
        <v>13</v>
      </c>
      <c r="V967" s="16" t="s">
        <v>19</v>
      </c>
      <c r="W967" s="19" t="s"/>
      <c r="X967" s="26" t="s">
        <f>=M967&amp;N967&amp;P967&amp;Q967&amp;T967&amp;V967&amp;S967</f>
        <v>1060</v>
      </c>
      <c r="Y967" s="19" t="s"/>
      <c r="Z967" s="19" t="s"/>
      <c r="AA967" s="19" t="s"/>
      <c r="AB967" s="19" t="s"/>
    </row>
    <row r="968" spans="1:28" ht="14.4">
      <c r="A968" s="4">
        <f>=H968/G968-1</f>
        <v>0.0991379310344827</v>
      </c>
      <c r="B968" s="20">
        <f>=F968/12</f>
        <v>19.125</v>
      </c>
      <c r="C968" s="20">
        <f>=J968/3</f>
        <v>153</v>
      </c>
      <c r="D968" s="20">
        <f>=K968/3</f>
        <v>170</v>
      </c>
      <c r="E968" s="20">
        <f>=L968/3</f>
        <v>178.5</v>
      </c>
      <c r="F968" s="20">
        <f>=H968*0.9</f>
        <v>229.5</v>
      </c>
      <c r="G968" s="21">
        <v>232</v>
      </c>
      <c r="H968" s="39">
        <v>255</v>
      </c>
      <c r="I968" s="40">
        <f>=H968*1.05</f>
        <v>267.75</v>
      </c>
      <c r="J968" s="40">
        <f>=F968*2</f>
        <v>459</v>
      </c>
      <c r="K968" s="40">
        <f>=H968*2</f>
        <v>510</v>
      </c>
      <c r="L968" s="40">
        <f>=I968*2</f>
        <v>535.5</v>
      </c>
      <c r="M968" s="41" t="s">
        <v>1035</v>
      </c>
      <c r="N968" s="41">
        <v>0.9</v>
      </c>
      <c r="O968" s="41" t="s"/>
      <c r="P968" s="41">
        <v>1</v>
      </c>
      <c r="Q968" s="41">
        <v>1</v>
      </c>
      <c r="R968" s="41" t="s">
        <v>16</v>
      </c>
      <c r="S968" s="41" t="s">
        <v>137</v>
      </c>
      <c r="T968" s="41" t="s">
        <v>147</v>
      </c>
      <c r="U968" s="16" t="s">
        <v>13</v>
      </c>
      <c r="V968" s="16" t="s">
        <v>19</v>
      </c>
      <c r="W968" s="19" t="s"/>
      <c r="X968" s="26" t="s">
        <f>=M968&amp;N968&amp;P968&amp;Q968&amp;T968&amp;V968&amp;S968</f>
        <v>1061</v>
      </c>
      <c r="Y968" s="19" t="s"/>
      <c r="Z968" s="19" t="s"/>
      <c r="AA968" s="19" t="s"/>
      <c r="AB968" s="19" t="s"/>
    </row>
    <row r="969" spans="1:28" ht="14.4">
      <c r="A969" s="4">
        <f>=H969/G969-1</f>
        <v>0.100418410041841</v>
      </c>
      <c r="B969" s="20">
        <f>=F969/12</f>
        <v>19.725</v>
      </c>
      <c r="C969" s="20">
        <f>=J969/3</f>
        <v>157.8</v>
      </c>
      <c r="D969" s="20">
        <f>=K969/3</f>
        <v>175.333333333333</v>
      </c>
      <c r="E969" s="20">
        <f>=L969/3</f>
        <v>184.1</v>
      </c>
      <c r="F969" s="20">
        <f>=H969*0.9</f>
        <v>236.7</v>
      </c>
      <c r="G969" s="21">
        <v>239</v>
      </c>
      <c r="H969" s="39">
        <v>263</v>
      </c>
      <c r="I969" s="40">
        <f>=H969*1.05</f>
        <v>276.15</v>
      </c>
      <c r="J969" s="40">
        <f>=F969*2</f>
        <v>473.4</v>
      </c>
      <c r="K969" s="40">
        <f>=H969*2</f>
        <v>526</v>
      </c>
      <c r="L969" s="40">
        <f>=I969*2</f>
        <v>552.3</v>
      </c>
      <c r="M969" s="41" t="s">
        <v>1035</v>
      </c>
      <c r="N969" s="41">
        <v>1</v>
      </c>
      <c r="O969" s="41" t="s"/>
      <c r="P969" s="41">
        <v>1</v>
      </c>
      <c r="Q969" s="41">
        <v>1</v>
      </c>
      <c r="R969" s="41" t="s">
        <v>16</v>
      </c>
      <c r="S969" s="41" t="s">
        <v>137</v>
      </c>
      <c r="T969" s="41" t="s">
        <v>147</v>
      </c>
      <c r="U969" s="16" t="s">
        <v>13</v>
      </c>
      <c r="V969" s="16" t="s">
        <v>19</v>
      </c>
      <c r="W969" s="19" t="s"/>
      <c r="X969" s="26" t="s">
        <f>=M969&amp;N969&amp;P969&amp;Q969&amp;T969&amp;V969&amp;S969</f>
        <v>1062</v>
      </c>
      <c r="Y969" s="19" t="s"/>
      <c r="Z969" s="19" t="s"/>
      <c r="AA969" s="19" t="s"/>
      <c r="AB969" s="19" t="s"/>
    </row>
    <row r="970" spans="1:28" ht="14.4">
      <c r="A970" s="4">
        <f>=H970/G970-1</f>
        <v>0.100334448160535</v>
      </c>
      <c r="B970" s="20">
        <f>=F970/12</f>
        <v>24.675</v>
      </c>
      <c r="C970" s="20">
        <f>=J970/3</f>
        <v>197.4</v>
      </c>
      <c r="D970" s="20">
        <f>=K970/3</f>
        <v>219.333333333333</v>
      </c>
      <c r="E970" s="20">
        <f>=L970/3</f>
        <v>230.3</v>
      </c>
      <c r="F970" s="20">
        <f>=H970*0.9</f>
        <v>296.1</v>
      </c>
      <c r="G970" s="21">
        <v>299</v>
      </c>
      <c r="H970" s="39">
        <v>329</v>
      </c>
      <c r="I970" s="40">
        <f>=H970*1.05</f>
        <v>345.45</v>
      </c>
      <c r="J970" s="40">
        <f>=F970*2</f>
        <v>592.2</v>
      </c>
      <c r="K970" s="40">
        <f>=H970*2</f>
        <v>658</v>
      </c>
      <c r="L970" s="40">
        <f>=I970*2</f>
        <v>690.9</v>
      </c>
      <c r="M970" s="41" t="s">
        <v>1035</v>
      </c>
      <c r="N970" s="41">
        <v>1.2</v>
      </c>
      <c r="O970" s="41" t="s"/>
      <c r="P970" s="41">
        <v>1</v>
      </c>
      <c r="Q970" s="41">
        <v>1</v>
      </c>
      <c r="R970" s="41" t="s">
        <v>16</v>
      </c>
      <c r="S970" s="41" t="s">
        <v>137</v>
      </c>
      <c r="T970" s="41" t="s">
        <v>153</v>
      </c>
      <c r="U970" s="16" t="s">
        <v>13</v>
      </c>
      <c r="V970" s="16" t="s">
        <v>19</v>
      </c>
      <c r="W970" s="19" t="s"/>
      <c r="X970" s="26" t="s">
        <f>=M970&amp;N970&amp;P970&amp;Q970&amp;T970&amp;V970&amp;S970</f>
        <v>1063</v>
      </c>
      <c r="Y970" s="19" t="s"/>
      <c r="Z970" s="19" t="s"/>
      <c r="AA970" s="19" t="s"/>
      <c r="AB970" s="19" t="s"/>
    </row>
    <row r="971" spans="1:28" ht="14.4">
      <c r="A971" s="4">
        <f>=H971/G971-1</f>
        <v>0.0996168582375479</v>
      </c>
      <c r="B971" s="20">
        <f>=F971/12</f>
        <v>21.525</v>
      </c>
      <c r="C971" s="20">
        <f>=J971/3</f>
        <v>172.2</v>
      </c>
      <c r="D971" s="20">
        <f>=K971/3</f>
        <v>191.333333333333</v>
      </c>
      <c r="E971" s="20">
        <f>=L971/3</f>
        <v>200.9</v>
      </c>
      <c r="F971" s="20">
        <f>=H971*0.9</f>
        <v>258.3</v>
      </c>
      <c r="G971" s="21">
        <v>261</v>
      </c>
      <c r="H971" s="39">
        <v>287</v>
      </c>
      <c r="I971" s="40">
        <f>=H971*1.05</f>
        <v>301.35</v>
      </c>
      <c r="J971" s="40">
        <f>=F971*2</f>
        <v>516.6</v>
      </c>
      <c r="K971" s="40">
        <f>=H971*2</f>
        <v>574</v>
      </c>
      <c r="L971" s="40">
        <f>=I971*2</f>
        <v>602.7</v>
      </c>
      <c r="M971" s="41" t="s">
        <v>1035</v>
      </c>
      <c r="N971" s="41">
        <v>1.4</v>
      </c>
      <c r="O971" s="41" t="s"/>
      <c r="P971" s="41" t="s">
        <v>21</v>
      </c>
      <c r="Q971" s="41" t="s">
        <v>21</v>
      </c>
      <c r="R971" s="41" t="s">
        <v>16</v>
      </c>
      <c r="S971" s="41" t="s">
        <v>137</v>
      </c>
      <c r="T971" s="41" t="s">
        <v>163</v>
      </c>
      <c r="U971" s="16" t="s">
        <v>13</v>
      </c>
      <c r="V971" s="16" t="s">
        <v>19</v>
      </c>
      <c r="W971" s="19" t="s"/>
      <c r="X971" s="26" t="s">
        <f>=M971&amp;N971&amp;P971&amp;Q971&amp;T971&amp;V971&amp;S971</f>
        <v>1064</v>
      </c>
      <c r="Y971" s="19" t="s"/>
      <c r="Z971" s="19" t="s"/>
      <c r="AA971" s="19" t="s"/>
      <c r="AB971" s="19" t="s"/>
    </row>
    <row r="972" spans="1:28" ht="14.4">
      <c r="A972" s="4">
        <f>=H972/G972-1</f>
        <v>0.0996884735202493</v>
      </c>
      <c r="B972" s="20">
        <f>=F972/12</f>
        <v>26.475</v>
      </c>
      <c r="C972" s="20">
        <f>=J972/3</f>
        <v>211.8</v>
      </c>
      <c r="D972" s="20">
        <f>=K972/3</f>
        <v>235.333333333333</v>
      </c>
      <c r="E972" s="20">
        <f>=L972/3</f>
        <v>247.1</v>
      </c>
      <c r="F972" s="20">
        <f>=H972*0.9</f>
        <v>317.7</v>
      </c>
      <c r="G972" s="21">
        <v>321</v>
      </c>
      <c r="H972" s="39">
        <v>353</v>
      </c>
      <c r="I972" s="40">
        <f>=H972*1.05</f>
        <v>370.65</v>
      </c>
      <c r="J972" s="40">
        <f>=F972*2</f>
        <v>635.4</v>
      </c>
      <c r="K972" s="40">
        <f>=H972*2</f>
        <v>706</v>
      </c>
      <c r="L972" s="40">
        <f>=I972*2</f>
        <v>741.3</v>
      </c>
      <c r="M972" s="41" t="s">
        <v>1035</v>
      </c>
      <c r="N972" s="41">
        <v>1.5</v>
      </c>
      <c r="O972" s="41" t="s"/>
      <c r="P972" s="41">
        <v>1</v>
      </c>
      <c r="Q972" s="41">
        <v>1</v>
      </c>
      <c r="R972" s="41" t="s">
        <v>16</v>
      </c>
      <c r="S972" s="41" t="s">
        <v>137</v>
      </c>
      <c r="T972" s="41" t="s">
        <v>171</v>
      </c>
      <c r="U972" s="16" t="s">
        <v>13</v>
      </c>
      <c r="V972" s="16" t="s">
        <v>19</v>
      </c>
      <c r="W972" s="19" t="s"/>
      <c r="X972" s="26" t="s">
        <f>=M972&amp;N972&amp;P972&amp;Q972&amp;T972&amp;V972&amp;S972</f>
        <v>1065</v>
      </c>
      <c r="Y972" s="19" t="s"/>
      <c r="Z972" s="19" t="s"/>
      <c r="AA972" s="19" t="s"/>
      <c r="AB972" s="19" t="s"/>
    </row>
    <row r="973" spans="1:28" ht="14.4">
      <c r="A973" s="4">
        <f>=H973/G973-1</f>
        <v>0.100196463654224</v>
      </c>
      <c r="B973" s="20">
        <f>=F973/12</f>
        <v>42</v>
      </c>
      <c r="C973" s="20">
        <f>=J973/3</f>
        <v>336</v>
      </c>
      <c r="D973" s="20">
        <f>=K973/3</f>
        <v>373.333333333333</v>
      </c>
      <c r="E973" s="20">
        <f>=L973/3</f>
        <v>392</v>
      </c>
      <c r="F973" s="20">
        <f>=H973*0.9</f>
        <v>504</v>
      </c>
      <c r="G973" s="21">
        <v>509</v>
      </c>
      <c r="H973" s="39">
        <v>560</v>
      </c>
      <c r="I973" s="40">
        <f>=H973*1.05</f>
        <v>588</v>
      </c>
      <c r="J973" s="40">
        <f>=F973*2</f>
        <v>1008</v>
      </c>
      <c r="K973" s="40">
        <f>=H973*2</f>
        <v>1120</v>
      </c>
      <c r="L973" s="40">
        <f>=I973*2</f>
        <v>1176</v>
      </c>
      <c r="M973" s="41" t="s">
        <v>1035</v>
      </c>
      <c r="N973" s="41">
        <v>1.6</v>
      </c>
      <c r="O973" s="41" t="s"/>
      <c r="P973" s="41">
        <v>2</v>
      </c>
      <c r="Q973" s="41">
        <v>2</v>
      </c>
      <c r="R973" s="41" t="s">
        <v>16</v>
      </c>
      <c r="S973" s="41" t="s">
        <v>137</v>
      </c>
      <c r="T973" s="41" t="s">
        <v>171</v>
      </c>
      <c r="U973" s="16" t="s">
        <v>13</v>
      </c>
      <c r="V973" s="16" t="s">
        <v>19</v>
      </c>
      <c r="W973" s="19" t="s"/>
      <c r="X973" s="26" t="s">
        <f>=M973&amp;N973&amp;P973&amp;Q973&amp;T973&amp;V973&amp;S973</f>
        <v>1066</v>
      </c>
      <c r="Y973" s="19" t="s"/>
      <c r="Z973" s="19" t="s"/>
      <c r="AA973" s="19" t="s"/>
      <c r="AB973" s="19" t="s"/>
    </row>
    <row r="974" spans="1:28" ht="14.4">
      <c r="A974" s="4">
        <f>=H974/G974-1</f>
        <v>0.100286532951289</v>
      </c>
      <c r="B974" s="20">
        <f>=F974/12</f>
        <v>57.6</v>
      </c>
      <c r="C974" s="20">
        <f>=J974/3</f>
        <v>460.8</v>
      </c>
      <c r="D974" s="20">
        <f>=K974/3</f>
        <v>512</v>
      </c>
      <c r="E974" s="20">
        <f>=L974/3</f>
        <v>537.6</v>
      </c>
      <c r="F974" s="20">
        <f>=H974*0.9</f>
        <v>691.2</v>
      </c>
      <c r="G974" s="21">
        <v>698</v>
      </c>
      <c r="H974" s="39">
        <v>768</v>
      </c>
      <c r="I974" s="40">
        <f>=H974*1.05</f>
        <v>806.4</v>
      </c>
      <c r="J974" s="40">
        <f>=F974*2</f>
        <v>1382.4</v>
      </c>
      <c r="K974" s="40">
        <f>=H974*2</f>
        <v>1536</v>
      </c>
      <c r="L974" s="40">
        <f>=I974*2</f>
        <v>1612.8</v>
      </c>
      <c r="M974" s="41" t="s">
        <v>1035</v>
      </c>
      <c r="N974" s="41">
        <v>1.6</v>
      </c>
      <c r="O974" s="41" t="s"/>
      <c r="P974" s="41">
        <v>3</v>
      </c>
      <c r="Q974" s="41">
        <v>3</v>
      </c>
      <c r="R974" s="41" t="s">
        <v>16</v>
      </c>
      <c r="S974" s="41" t="s">
        <v>137</v>
      </c>
      <c r="T974" s="41" t="s">
        <v>171</v>
      </c>
      <c r="U974" s="16" t="s">
        <v>13</v>
      </c>
      <c r="V974" s="16" t="s">
        <v>19</v>
      </c>
      <c r="W974" s="19" t="s"/>
      <c r="X974" s="26" t="s">
        <f>=M974&amp;N974&amp;P974&amp;Q974&amp;T974&amp;V974&amp;S974</f>
        <v>1067</v>
      </c>
      <c r="Y974" s="19" t="s"/>
      <c r="Z974" s="19" t="s"/>
      <c r="AA974" s="19" t="s"/>
      <c r="AB974" s="19" t="s"/>
    </row>
    <row r="975" spans="1:29" s="273" customFormat="true" ht="14.4">
      <c r="A975" s="49">
        <v>46182</v>
      </c>
      <c r="B975" s="43">
        <f>=F975/12</f>
        <v>7.875</v>
      </c>
      <c r="C975" s="43">
        <f>=J975/3</f>
        <v>63</v>
      </c>
      <c r="D975" s="43">
        <f>=K975/3</f>
        <v>70</v>
      </c>
      <c r="E975" s="43">
        <f>=L975/3</f>
        <v>73.5</v>
      </c>
      <c r="F975" s="43">
        <f>=H975*0.9</f>
        <v>94.5</v>
      </c>
      <c r="G975" s="27">
        <v>121</v>
      </c>
      <c r="H975" s="44">
        <v>105</v>
      </c>
      <c r="I975" s="45">
        <f>=H975*1.05</f>
        <v>110.25</v>
      </c>
      <c r="J975" s="45">
        <f>=F975*2</f>
        <v>189</v>
      </c>
      <c r="K975" s="45">
        <f>=H975*2</f>
        <v>210</v>
      </c>
      <c r="L975" s="45">
        <f>=I975*2</f>
        <v>220.5</v>
      </c>
      <c r="M975" s="12" t="s">
        <v>1068</v>
      </c>
      <c r="N975" s="12">
        <v>0.13</v>
      </c>
      <c r="O975" s="46" t="s"/>
      <c r="P975" s="12" t="s">
        <v>21</v>
      </c>
      <c r="Q975" s="12" t="s">
        <v>21</v>
      </c>
      <c r="R975" s="46" t="s">
        <v>16</v>
      </c>
      <c r="S975" s="46" t="s">
        <v>17</v>
      </c>
      <c r="T975" s="46" t="s">
        <v>23</v>
      </c>
      <c r="U975" s="13" t="s">
        <v>13</v>
      </c>
      <c r="V975" s="13" t="s">
        <v>19</v>
      </c>
      <c r="W975" s="15" t="s"/>
      <c r="X975" s="18" t="s">
        <f>=M975&amp;N975&amp;P975&amp;Q975&amp;T975&amp;V975&amp;S975</f>
        <v>1069</v>
      </c>
      <c r="Y975" s="15" t="s"/>
      <c r="Z975" s="15" t="s"/>
      <c r="AA975" s="15" t="s"/>
      <c r="AB975" s="15" t="s"/>
      <c r="AC975" s="48" t="s"/>
    </row>
    <row r="976" spans="1:28" ht="14.4">
      <c r="A976" s="51">
        <v>46182</v>
      </c>
      <c r="B976" s="20">
        <f>=F976/12</f>
        <v>13.05</v>
      </c>
      <c r="C976" s="20">
        <f>=J976/3</f>
        <v>104.4</v>
      </c>
      <c r="D976" s="20">
        <f>=K976/3</f>
        <v>116</v>
      </c>
      <c r="E976" s="20">
        <f>=L976/3</f>
        <v>121.8</v>
      </c>
      <c r="F976" s="20">
        <f>=H976*0.9</f>
        <v>156.6</v>
      </c>
      <c r="G976" s="21">
        <v>121</v>
      </c>
      <c r="H976" s="39">
        <v>174</v>
      </c>
      <c r="I976" s="40">
        <f>=H976*1.05</f>
        <v>182.7</v>
      </c>
      <c r="J976" s="40">
        <f>=F976*2</f>
        <v>313.2</v>
      </c>
      <c r="K976" s="40">
        <f>=H976*2</f>
        <v>348</v>
      </c>
      <c r="L976" s="40">
        <f>=I976*2</f>
        <v>365.4</v>
      </c>
      <c r="M976" s="41" t="s">
        <v>1068</v>
      </c>
      <c r="N976" s="75">
        <v>0.13</v>
      </c>
      <c r="O976" s="41" t="s"/>
      <c r="P976" s="41">
        <v>1</v>
      </c>
      <c r="Q976" s="41">
        <v>1</v>
      </c>
      <c r="R976" s="41" t="s">
        <v>16</v>
      </c>
      <c r="S976" s="41" t="s">
        <v>17</v>
      </c>
      <c r="T976" s="41" t="s">
        <v>23</v>
      </c>
      <c r="U976" s="16" t="s">
        <v>13</v>
      </c>
      <c r="V976" s="16" t="s">
        <v>19</v>
      </c>
      <c r="W976" s="19" t="s"/>
      <c r="X976" s="26" t="s">
        <f>=M976&amp;N976&amp;P976&amp;Q976&amp;T976&amp;V976&amp;S976</f>
        <v>1070</v>
      </c>
      <c r="Y976" s="19" t="s"/>
      <c r="Z976" s="19" t="s"/>
      <c r="AA976" s="19" t="s"/>
      <c r="AB976" s="19" t="s"/>
    </row>
    <row r="977" spans="1:28" ht="14.4">
      <c r="A977" s="4">
        <f>=H977/G977-1</f>
        <v>0.0952380952380954</v>
      </c>
      <c r="B977" s="20">
        <f>=F977/12</f>
        <v>6.9</v>
      </c>
      <c r="C977" s="20">
        <f>=J977/3</f>
        <v>55.2</v>
      </c>
      <c r="D977" s="20">
        <f>=K977/3</f>
        <v>61.3333333333333</v>
      </c>
      <c r="E977" s="20">
        <f>=L977/3</f>
        <v>64.4</v>
      </c>
      <c r="F977" s="20">
        <f>=H977*0.9</f>
        <v>82.8</v>
      </c>
      <c r="G977" s="21">
        <v>84</v>
      </c>
      <c r="H977" s="39">
        <v>92</v>
      </c>
      <c r="I977" s="40">
        <f>=H977*1.05</f>
        <v>96.6</v>
      </c>
      <c r="J977" s="40">
        <f>=F977*2</f>
        <v>165.6</v>
      </c>
      <c r="K977" s="40">
        <f>=H977*2</f>
        <v>184</v>
      </c>
      <c r="L977" s="40">
        <f>=I977*2</f>
        <v>193.2</v>
      </c>
      <c r="M977" s="41" t="s">
        <v>1068</v>
      </c>
      <c r="N977" s="41">
        <v>0.102</v>
      </c>
      <c r="O977" s="41" t="s"/>
      <c r="P977" s="41" t="s">
        <v>21</v>
      </c>
      <c r="Q977" s="41" t="s">
        <v>21</v>
      </c>
      <c r="R977" s="41" t="s">
        <v>16</v>
      </c>
      <c r="S977" s="41" t="s">
        <v>17</v>
      </c>
      <c r="T977" s="41" t="s">
        <v>23</v>
      </c>
      <c r="U977" s="16" t="s">
        <v>13</v>
      </c>
      <c r="V977" s="16" t="s">
        <v>19</v>
      </c>
      <c r="W977" s="19" t="s"/>
      <c r="X977" s="26" t="s">
        <f>=M977&amp;N977&amp;P977&amp;Q977&amp;T977&amp;V977&amp;S977</f>
        <v>1071</v>
      </c>
      <c r="Y977" s="19" t="s"/>
      <c r="Z977" s="19" t="s"/>
      <c r="AA977" s="19" t="s"/>
      <c r="AB977" s="19" t="s"/>
    </row>
    <row r="978" spans="1:28" ht="14.4">
      <c r="A978" s="4">
        <f>=H978/G978-1</f>
        <v>0.101321585903084</v>
      </c>
      <c r="B978" s="20">
        <f>=F978/12</f>
        <v>18.75</v>
      </c>
      <c r="C978" s="20">
        <f>=J978/3</f>
        <v>150</v>
      </c>
      <c r="D978" s="20">
        <f>=K978/3</f>
        <v>166.666666666667</v>
      </c>
      <c r="E978" s="20">
        <f>=L978/3</f>
        <v>175</v>
      </c>
      <c r="F978" s="20">
        <f>=H978*0.9</f>
        <v>225</v>
      </c>
      <c r="G978" s="21">
        <v>227</v>
      </c>
      <c r="H978" s="39">
        <v>250</v>
      </c>
      <c r="I978" s="40">
        <f>=H978*1.05</f>
        <v>262.5</v>
      </c>
      <c r="J978" s="40">
        <f>=F978*2</f>
        <v>450</v>
      </c>
      <c r="K978" s="40">
        <f>=H978*2</f>
        <v>500</v>
      </c>
      <c r="L978" s="40">
        <f>=I978*2</f>
        <v>525</v>
      </c>
      <c r="M978" s="41" t="s">
        <v>1068</v>
      </c>
      <c r="N978" s="41">
        <v>1.7</v>
      </c>
      <c r="O978" s="41" t="s"/>
      <c r="P978" s="41" t="s">
        <v>21</v>
      </c>
      <c r="Q978" s="41" t="s">
        <v>21</v>
      </c>
      <c r="R978" s="41" t="s">
        <v>16</v>
      </c>
      <c r="S978" s="41" t="s">
        <v>17</v>
      </c>
      <c r="T978" s="41" t="s">
        <v>186</v>
      </c>
      <c r="U978" s="16" t="s">
        <v>13</v>
      </c>
      <c r="V978" s="16" t="s">
        <v>19</v>
      </c>
      <c r="W978" s="19" t="s"/>
      <c r="X978" s="26" t="s">
        <f>=M978&amp;N978&amp;P978&amp;Q978&amp;T978&amp;V978&amp;S978</f>
        <v>1072</v>
      </c>
      <c r="Y978" s="19" t="s"/>
      <c r="Z978" s="19" t="s"/>
      <c r="AA978" s="19" t="s"/>
      <c r="AB978" s="19" t="s"/>
    </row>
    <row r="979" spans="1:28" ht="14.4">
      <c r="A979" s="4">
        <f>=H979/G979-1</f>
        <v>0.102040816326531</v>
      </c>
      <c r="B979" s="20">
        <f>=F979/12</f>
        <v>12.15</v>
      </c>
      <c r="C979" s="20">
        <f>=J979/3</f>
        <v>97.2</v>
      </c>
      <c r="D979" s="20">
        <f>=K979/3</f>
        <v>108</v>
      </c>
      <c r="E979" s="20">
        <f>=L979/3</f>
        <v>113.4</v>
      </c>
      <c r="F979" s="20">
        <f>=H979*0.9</f>
        <v>145.8</v>
      </c>
      <c r="G979" s="21">
        <v>147</v>
      </c>
      <c r="H979" s="39">
        <v>162</v>
      </c>
      <c r="I979" s="40">
        <f>=H979*1.05</f>
        <v>170.1</v>
      </c>
      <c r="J979" s="40">
        <f>=F979*2</f>
        <v>291.6</v>
      </c>
      <c r="K979" s="40">
        <f>=H979*2</f>
        <v>324</v>
      </c>
      <c r="L979" s="40">
        <f>=I979*2</f>
        <v>340.2</v>
      </c>
      <c r="M979" s="41" t="s">
        <v>1073</v>
      </c>
      <c r="N979" s="41">
        <v>0.076</v>
      </c>
      <c r="O979" s="41" t="s"/>
      <c r="P979" s="41">
        <v>1</v>
      </c>
      <c r="Q979" s="41">
        <v>1</v>
      </c>
      <c r="R979" s="41" t="s">
        <v>16</v>
      </c>
      <c r="S979" s="41" t="s">
        <v>17</v>
      </c>
      <c r="T979" s="41" t="s">
        <v>18</v>
      </c>
      <c r="U979" s="16" t="s">
        <v>13</v>
      </c>
      <c r="V979" s="16" t="s">
        <v>215</v>
      </c>
      <c r="W979" s="19" t="s"/>
      <c r="X979" s="26" t="s">
        <f>=M979&amp;N979&amp;P979&amp;Q979&amp;T979&amp;V979&amp;S979</f>
        <v>1074</v>
      </c>
      <c r="Y979" s="19" t="s"/>
      <c r="Z979" s="19" t="s"/>
      <c r="AA979" s="19" t="s"/>
      <c r="AB979" s="19" t="s"/>
    </row>
    <row r="980" spans="1:28" ht="14.4">
      <c r="A980" s="4">
        <f>=H980/G980-1</f>
        <v>0.102439024390244</v>
      </c>
      <c r="B980" s="20">
        <f>=F980/12</f>
        <v>16.95</v>
      </c>
      <c r="C980" s="20">
        <f>=J980/3</f>
        <v>135.6</v>
      </c>
      <c r="D980" s="20">
        <f>=K980/3</f>
        <v>150.666666666667</v>
      </c>
      <c r="E980" s="20">
        <f>=L980/3</f>
        <v>158.2</v>
      </c>
      <c r="F980" s="20">
        <f>=H980*0.9</f>
        <v>203.4</v>
      </c>
      <c r="G980" s="21">
        <v>205</v>
      </c>
      <c r="H980" s="39">
        <v>226</v>
      </c>
      <c r="I980" s="40">
        <f>=H980*1.05</f>
        <v>237.3</v>
      </c>
      <c r="J980" s="40">
        <f>=F980*2</f>
        <v>406.8</v>
      </c>
      <c r="K980" s="40">
        <f>=H980*2</f>
        <v>452</v>
      </c>
      <c r="L980" s="40">
        <f>=I980*2</f>
        <v>474.6</v>
      </c>
      <c r="M980" s="41" t="s">
        <v>1073</v>
      </c>
      <c r="N980" s="41">
        <v>0.076</v>
      </c>
      <c r="O980" s="41" t="s"/>
      <c r="P980" s="41">
        <v>1</v>
      </c>
      <c r="Q980" s="41">
        <v>2</v>
      </c>
      <c r="R980" s="41" t="s">
        <v>16</v>
      </c>
      <c r="S980" s="41" t="s">
        <v>17</v>
      </c>
      <c r="T980" s="41" t="s">
        <v>18</v>
      </c>
      <c r="U980" s="16" t="s">
        <v>13</v>
      </c>
      <c r="V980" s="16" t="s">
        <v>215</v>
      </c>
      <c r="W980" s="19" t="s"/>
      <c r="X980" s="26" t="s">
        <f>=M980&amp;N980&amp;P980&amp;Q980&amp;T980&amp;V980&amp;S980</f>
        <v>1075</v>
      </c>
      <c r="Y980" s="19" t="s"/>
      <c r="Z980" s="19" t="s"/>
      <c r="AA980" s="19" t="s"/>
      <c r="AB980" s="19" t="s"/>
    </row>
    <row r="981" spans="1:28" ht="14.4">
      <c r="A981" s="4">
        <f>=H981/G981-1</f>
        <v>0.104761904761905</v>
      </c>
      <c r="B981" s="20">
        <f>=F981/12</f>
        <v>8.7</v>
      </c>
      <c r="C981" s="20">
        <f>=J981/3</f>
        <v>69.6</v>
      </c>
      <c r="D981" s="20">
        <f>=K981/3</f>
        <v>77.3333333333333</v>
      </c>
      <c r="E981" s="20">
        <f>=L981/3</f>
        <v>81.2</v>
      </c>
      <c r="F981" s="20">
        <f>=H981*0.9</f>
        <v>104.4</v>
      </c>
      <c r="G981" s="21">
        <v>105</v>
      </c>
      <c r="H981" s="39">
        <v>116</v>
      </c>
      <c r="I981" s="40">
        <f>=H981*1.05</f>
        <v>121.8</v>
      </c>
      <c r="J981" s="40">
        <f>=F981*2</f>
        <v>208.8</v>
      </c>
      <c r="K981" s="40">
        <f>=H981*2</f>
        <v>232</v>
      </c>
      <c r="L981" s="40">
        <f>=I981*2</f>
        <v>243.6</v>
      </c>
      <c r="M981" s="41" t="s">
        <v>1073</v>
      </c>
      <c r="N981" s="41">
        <v>0.076</v>
      </c>
      <c r="O981" s="41" t="s"/>
      <c r="P981" s="41" t="s">
        <v>21</v>
      </c>
      <c r="Q981" s="41" t="s">
        <v>21</v>
      </c>
      <c r="R981" s="41" t="s">
        <v>16</v>
      </c>
      <c r="S981" s="41" t="s">
        <v>17</v>
      </c>
      <c r="T981" s="41" t="s">
        <v>18</v>
      </c>
      <c r="U981" s="16" t="s">
        <v>13</v>
      </c>
      <c r="V981" s="16" t="s">
        <v>215</v>
      </c>
      <c r="W981" s="19" t="s"/>
      <c r="X981" s="37" t="s">
        <f>=M981&amp;N981&amp;P981&amp;Q981&amp;T981&amp;V981&amp;S981</f>
        <v>1076</v>
      </c>
      <c r="Y981" s="19" t="s"/>
      <c r="Z981" s="19" t="s"/>
      <c r="AA981" s="19" t="s"/>
      <c r="AB981" s="19" t="s"/>
    </row>
    <row r="982" spans="1:28" ht="14.4">
      <c r="A982" s="4">
        <f>=H982/G982-1</f>
        <v>0.102150537634409</v>
      </c>
      <c r="B982" s="20">
        <f>=F982/12</f>
        <v>15.375</v>
      </c>
      <c r="C982" s="20">
        <f>=J982/3</f>
        <v>123</v>
      </c>
      <c r="D982" s="20">
        <f>=K982/3</f>
        <v>136.666666666667</v>
      </c>
      <c r="E982" s="20">
        <f>=L982/3</f>
        <v>143.5</v>
      </c>
      <c r="F982" s="20">
        <f>=H982*0.9</f>
        <v>184.5</v>
      </c>
      <c r="G982" s="21">
        <v>186</v>
      </c>
      <c r="H982" s="39">
        <v>205</v>
      </c>
      <c r="I982" s="40">
        <f>=H982*1.05</f>
        <v>215.25</v>
      </c>
      <c r="J982" s="40">
        <f>=F982*2</f>
        <v>369</v>
      </c>
      <c r="K982" s="40">
        <f>=H982*2</f>
        <v>410</v>
      </c>
      <c r="L982" s="40">
        <f>=I982*2</f>
        <v>430.5</v>
      </c>
      <c r="M982" s="41" t="s">
        <v>1073</v>
      </c>
      <c r="N982" s="41">
        <v>0.102</v>
      </c>
      <c r="O982" s="41" t="s"/>
      <c r="P982" s="41">
        <v>1</v>
      </c>
      <c r="Q982" s="41">
        <v>1</v>
      </c>
      <c r="R982" s="41" t="s">
        <v>16</v>
      </c>
      <c r="S982" s="41" t="s">
        <v>17</v>
      </c>
      <c r="T982" s="41" t="s">
        <v>529</v>
      </c>
      <c r="U982" s="16" t="s">
        <v>13</v>
      </c>
      <c r="V982" s="16" t="s">
        <v>215</v>
      </c>
      <c r="W982" s="19" t="s"/>
      <c r="X982" s="26" t="s">
        <f>=M982&amp;N982&amp;P982&amp;Q982&amp;T982&amp;V982&amp;S982</f>
        <v>1077</v>
      </c>
      <c r="Y982" s="19" t="s"/>
      <c r="Z982" s="19" t="s"/>
      <c r="AA982" s="19" t="s"/>
      <c r="AB982" s="19" t="s"/>
    </row>
    <row r="983" spans="1:28" ht="14.4">
      <c r="A983" s="4">
        <f>=H983/G983-1</f>
        <v>0.102040816326531</v>
      </c>
      <c r="B983" s="20">
        <f>=F983/12</f>
        <v>12.15</v>
      </c>
      <c r="C983" s="20">
        <f>=J983/3</f>
        <v>97.2</v>
      </c>
      <c r="D983" s="20">
        <f>=K983/3</f>
        <v>108</v>
      </c>
      <c r="E983" s="20">
        <f>=L983/3</f>
        <v>113.4</v>
      </c>
      <c r="F983" s="20">
        <f>=H983*0.9</f>
        <v>145.8</v>
      </c>
      <c r="G983" s="21">
        <v>147</v>
      </c>
      <c r="H983" s="39">
        <v>162</v>
      </c>
      <c r="I983" s="40">
        <f>=H983*1.05</f>
        <v>170.1</v>
      </c>
      <c r="J983" s="40">
        <f>=F983*2</f>
        <v>291.6</v>
      </c>
      <c r="K983" s="40">
        <f>=H983*2</f>
        <v>324</v>
      </c>
      <c r="L983" s="40">
        <f>=I983*2</f>
        <v>340.2</v>
      </c>
      <c r="M983" s="41" t="s">
        <v>1073</v>
      </c>
      <c r="N983" s="41">
        <v>0.127</v>
      </c>
      <c r="O983" s="41" t="s"/>
      <c r="P983" s="41" t="s">
        <v>21</v>
      </c>
      <c r="Q983" s="41">
        <v>1</v>
      </c>
      <c r="R983" s="41" t="s">
        <v>16</v>
      </c>
      <c r="S983" s="41" t="s">
        <v>17</v>
      </c>
      <c r="T983" s="41" t="s">
        <v>1078</v>
      </c>
      <c r="U983" s="16" t="s">
        <v>13</v>
      </c>
      <c r="V983" s="16" t="s">
        <v>215</v>
      </c>
      <c r="W983" s="19" t="s"/>
      <c r="X983" s="26" t="s">
        <f>=M983&amp;N983&amp;P983&amp;Q983&amp;T983&amp;V983&amp;S983</f>
        <v>1079</v>
      </c>
      <c r="Y983" s="19" t="s"/>
      <c r="Z983" s="19" t="s"/>
      <c r="AA983" s="19" t="s"/>
      <c r="AB983" s="19" t="s"/>
    </row>
    <row r="984" spans="1:28" ht="14.4">
      <c r="A984" s="4">
        <f>=H984/G984-1</f>
        <v>0.102040816326531</v>
      </c>
      <c r="B984" s="20">
        <f>=F984/12</f>
        <v>12.15</v>
      </c>
      <c r="C984" s="20">
        <f>=J984/3</f>
        <v>97.2</v>
      </c>
      <c r="D984" s="20">
        <f>=K984/3</f>
        <v>108</v>
      </c>
      <c r="E984" s="20">
        <f>=L984/3</f>
        <v>113.4</v>
      </c>
      <c r="F984" s="20">
        <f>=H984*0.9</f>
        <v>145.8</v>
      </c>
      <c r="G984" s="21">
        <v>147</v>
      </c>
      <c r="H984" s="39">
        <v>162</v>
      </c>
      <c r="I984" s="40">
        <f>=H984*1.05</f>
        <v>170.1</v>
      </c>
      <c r="J984" s="40">
        <f>=F984*2</f>
        <v>291.6</v>
      </c>
      <c r="K984" s="40">
        <f>=H984*2</f>
        <v>324</v>
      </c>
      <c r="L984" s="40">
        <f>=I984*2</f>
        <v>340.2</v>
      </c>
      <c r="M984" s="41" t="s">
        <v>1073</v>
      </c>
      <c r="N984" s="41">
        <v>0.127</v>
      </c>
      <c r="O984" s="41" t="s"/>
      <c r="P984" s="41" t="s">
        <v>21</v>
      </c>
      <c r="Q984" s="41">
        <v>1</v>
      </c>
      <c r="R984" s="41" t="s">
        <v>16</v>
      </c>
      <c r="S984" s="41" t="s">
        <v>17</v>
      </c>
      <c r="T984" s="41" t="s">
        <v>1080</v>
      </c>
      <c r="U984" s="16" t="s">
        <v>13</v>
      </c>
      <c r="V984" s="16" t="s">
        <v>215</v>
      </c>
      <c r="W984" s="19" t="s"/>
      <c r="X984" s="26" t="s">
        <f>=M984&amp;N984&amp;P984&amp;Q984&amp;T984&amp;V984&amp;S984</f>
        <v>1081</v>
      </c>
      <c r="Y984" s="19" t="s"/>
      <c r="Z984" s="19" t="s"/>
      <c r="AA984" s="19" t="s"/>
      <c r="AB984" s="19" t="s"/>
    </row>
    <row r="985" spans="1:28" ht="14.4">
      <c r="A985" s="4">
        <f>=H985/G985-1</f>
        <v>0.101382488479263</v>
      </c>
      <c r="B985" s="20">
        <f>=F985/12</f>
        <v>17.925</v>
      </c>
      <c r="C985" s="20">
        <f>=J985/3</f>
        <v>143.4</v>
      </c>
      <c r="D985" s="20">
        <f>=K985/3</f>
        <v>159.333333333333</v>
      </c>
      <c r="E985" s="20">
        <f>=L985/3</f>
        <v>167.3</v>
      </c>
      <c r="F985" s="20">
        <f>=H985*0.9</f>
        <v>215.1</v>
      </c>
      <c r="G985" s="21">
        <v>217</v>
      </c>
      <c r="H985" s="39">
        <v>239</v>
      </c>
      <c r="I985" s="40">
        <f>=H985*1.05</f>
        <v>250.95</v>
      </c>
      <c r="J985" s="40">
        <f>=F985*2</f>
        <v>430.2</v>
      </c>
      <c r="K985" s="40">
        <f>=H985*2</f>
        <v>478</v>
      </c>
      <c r="L985" s="40">
        <f>=I985*2</f>
        <v>501.9</v>
      </c>
      <c r="M985" s="41" t="s">
        <v>1073</v>
      </c>
      <c r="N985" s="41">
        <v>0.178</v>
      </c>
      <c r="O985" s="41" t="s"/>
      <c r="P985" s="41">
        <v>1</v>
      </c>
      <c r="Q985" s="41">
        <v>1</v>
      </c>
      <c r="R985" s="41" t="s">
        <v>16</v>
      </c>
      <c r="S985" s="41" t="s">
        <v>17</v>
      </c>
      <c r="T985" s="41" t="s">
        <v>1082</v>
      </c>
      <c r="U985" s="16" t="s">
        <v>13</v>
      </c>
      <c r="V985" s="16" t="s">
        <v>1083</v>
      </c>
      <c r="W985" s="19" t="s"/>
      <c r="X985" s="26" t="s">
        <f>=M985&amp;N985&amp;P985&amp;Q985&amp;T985&amp;V985&amp;S985</f>
        <v>1084</v>
      </c>
      <c r="Y985" s="19" t="s"/>
      <c r="Z985" s="19" t="s"/>
      <c r="AA985" s="19" t="s"/>
      <c r="AB985" s="19" t="s"/>
    </row>
    <row r="986" spans="1:28" ht="14.4">
      <c r="A986" s="4">
        <f>=H986/G986-1</f>
        <v>0.0990099009900991</v>
      </c>
      <c r="B986" s="20">
        <f>=F986/12</f>
        <v>16.65</v>
      </c>
      <c r="C986" s="20">
        <f>=J986/3</f>
        <v>133.2</v>
      </c>
      <c r="D986" s="20">
        <f>=K986/3</f>
        <v>148</v>
      </c>
      <c r="E986" s="20">
        <f>=L986/3</f>
        <v>155.4</v>
      </c>
      <c r="F986" s="20">
        <f>=H986*0.9</f>
        <v>199.8</v>
      </c>
      <c r="G986" s="21">
        <v>202</v>
      </c>
      <c r="H986" s="39">
        <v>222</v>
      </c>
      <c r="I986" s="40">
        <f>=H986*1.05</f>
        <v>233.1</v>
      </c>
      <c r="J986" s="40">
        <f>=F986*2</f>
        <v>399.6</v>
      </c>
      <c r="K986" s="40">
        <f>=H986*2</f>
        <v>444</v>
      </c>
      <c r="L986" s="40">
        <f>=I986*2</f>
        <v>466.2</v>
      </c>
      <c r="M986" s="41" t="s">
        <v>1073</v>
      </c>
      <c r="N986" s="41">
        <v>0.305</v>
      </c>
      <c r="O986" s="41" t="s"/>
      <c r="P986" s="41" t="s">
        <v>21</v>
      </c>
      <c r="Q986" s="41" t="s">
        <v>21</v>
      </c>
      <c r="R986" s="41" t="s">
        <v>16</v>
      </c>
      <c r="S986" s="41" t="s">
        <v>17</v>
      </c>
      <c r="T986" s="41" t="s">
        <v>1085</v>
      </c>
      <c r="U986" s="16" t="s">
        <v>13</v>
      </c>
      <c r="V986" s="16" t="s">
        <v>215</v>
      </c>
      <c r="W986" s="19" t="s"/>
      <c r="X986" s="26" t="s">
        <f>=M986&amp;N986&amp;P986&amp;Q986&amp;T986&amp;V986&amp;S986</f>
        <v>1086</v>
      </c>
      <c r="Y986" s="19" t="s"/>
      <c r="Z986" s="19" t="s"/>
      <c r="AA986" s="19" t="s"/>
      <c r="AB986" s="19" t="s"/>
    </row>
    <row r="987" spans="1:28" ht="14.4">
      <c r="A987" s="4">
        <f>=H987/G987-1</f>
        <v>0.1</v>
      </c>
      <c r="B987" s="20">
        <f>=F987/12</f>
        <v>22.275</v>
      </c>
      <c r="C987" s="20">
        <f>=J987/3</f>
        <v>178.2</v>
      </c>
      <c r="D987" s="20">
        <f>=K987/3</f>
        <v>198</v>
      </c>
      <c r="E987" s="20">
        <f>=L987/3</f>
        <v>207.9</v>
      </c>
      <c r="F987" s="20">
        <f>=H987*0.9</f>
        <v>267.3</v>
      </c>
      <c r="G987" s="21">
        <v>270</v>
      </c>
      <c r="H987" s="39">
        <v>297</v>
      </c>
      <c r="I987" s="40">
        <f>=H987*1.05</f>
        <v>311.85</v>
      </c>
      <c r="J987" s="40">
        <f>=F987*2</f>
        <v>534.6</v>
      </c>
      <c r="K987" s="40">
        <f>=H987*2</f>
        <v>594</v>
      </c>
      <c r="L987" s="40">
        <f>=I987*2</f>
        <v>623.7</v>
      </c>
      <c r="M987" s="41" t="s">
        <v>1073</v>
      </c>
      <c r="N987" s="41">
        <v>0.305</v>
      </c>
      <c r="O987" s="41" t="s"/>
      <c r="P987" s="41">
        <v>1</v>
      </c>
      <c r="Q987" s="41">
        <v>1</v>
      </c>
      <c r="R987" s="41" t="s">
        <v>16</v>
      </c>
      <c r="S987" s="41" t="s">
        <v>17</v>
      </c>
      <c r="T987" s="41" t="s">
        <v>1085</v>
      </c>
      <c r="U987" s="16" t="s">
        <v>13</v>
      </c>
      <c r="V987" s="16" t="s">
        <v>215</v>
      </c>
      <c r="W987" s="19" t="s"/>
      <c r="X987" s="26" t="s">
        <f>=M987&amp;N987&amp;P987&amp;Q987&amp;T987&amp;V987&amp;S987</f>
        <v>1087</v>
      </c>
      <c r="Y987" s="19" t="s"/>
      <c r="Z987" s="19" t="s"/>
      <c r="AA987" s="19" t="s"/>
      <c r="AB987" s="19" t="s"/>
    </row>
    <row r="988" spans="1:28" ht="14.4">
      <c r="A988" s="4">
        <f>=H988/G988-1</f>
        <v>0.1</v>
      </c>
      <c r="B988" s="20">
        <f>=F988/12</f>
        <v>18.975</v>
      </c>
      <c r="C988" s="20">
        <f>=J988/3</f>
        <v>151.8</v>
      </c>
      <c r="D988" s="20">
        <f>=K988/3</f>
        <v>168.666666666667</v>
      </c>
      <c r="E988" s="20">
        <f>=L988/3</f>
        <v>177.1</v>
      </c>
      <c r="F988" s="20">
        <f>=H988*0.9</f>
        <v>227.7</v>
      </c>
      <c r="G988" s="21">
        <v>230</v>
      </c>
      <c r="H988" s="39">
        <v>253</v>
      </c>
      <c r="I988" s="40">
        <f>=H988*1.05</f>
        <v>265.65</v>
      </c>
      <c r="J988" s="40">
        <f>=F988*2</f>
        <v>455.4</v>
      </c>
      <c r="K988" s="40">
        <f>=H988*2</f>
        <v>506</v>
      </c>
      <c r="L988" s="40">
        <f>=I988*2</f>
        <v>531.3</v>
      </c>
      <c r="M988" s="41" t="s">
        <v>1073</v>
      </c>
      <c r="N988" s="41">
        <v>0.381</v>
      </c>
      <c r="O988" s="41" t="s"/>
      <c r="P988" s="41">
        <v>1</v>
      </c>
      <c r="Q988" s="41">
        <v>1</v>
      </c>
      <c r="R988" s="41" t="s">
        <v>16</v>
      </c>
      <c r="S988" s="41" t="s">
        <v>17</v>
      </c>
      <c r="T988" s="41" t="s">
        <v>1085</v>
      </c>
      <c r="U988" s="16" t="s">
        <v>13</v>
      </c>
      <c r="V988" s="16" t="s">
        <v>1083</v>
      </c>
      <c r="W988" s="19" t="s"/>
      <c r="X988" s="26" t="s">
        <f>=M988&amp;N988&amp;P988&amp;Q988&amp;T988&amp;V988&amp;S988</f>
        <v>1088</v>
      </c>
      <c r="Y988" s="19" t="s"/>
      <c r="Z988" s="19" t="s"/>
      <c r="AA988" s="19" t="s"/>
      <c r="AB988" s="19" t="s"/>
    </row>
    <row r="989" spans="1:28" ht="14.4">
      <c r="A989" s="4">
        <f>=H989/G989-1</f>
        <v>0.100737100737101</v>
      </c>
      <c r="B989" s="20">
        <f>=F989/12</f>
        <v>33.6</v>
      </c>
      <c r="C989" s="20">
        <f>=J989/3</f>
        <v>268.8</v>
      </c>
      <c r="D989" s="20">
        <f>=K989/3</f>
        <v>298.666666666667</v>
      </c>
      <c r="E989" s="20">
        <f>=L989/3</f>
        <v>313.6</v>
      </c>
      <c r="F989" s="20">
        <f>=H989*0.9</f>
        <v>403.2</v>
      </c>
      <c r="G989" s="21">
        <v>407</v>
      </c>
      <c r="H989" s="39">
        <v>448</v>
      </c>
      <c r="I989" s="40">
        <f>=H989*1.05</f>
        <v>470.4</v>
      </c>
      <c r="J989" s="40">
        <f>=F989*2</f>
        <v>806.4</v>
      </c>
      <c r="K989" s="40">
        <f>=H989*2</f>
        <v>896</v>
      </c>
      <c r="L989" s="40">
        <f>=I989*2</f>
        <v>940.8</v>
      </c>
      <c r="M989" s="41" t="s">
        <v>1073</v>
      </c>
      <c r="N989" s="41">
        <v>0.9</v>
      </c>
      <c r="O989" s="41" t="s"/>
      <c r="P989" s="41" t="s">
        <v>21</v>
      </c>
      <c r="Q989" s="41" t="s">
        <v>21</v>
      </c>
      <c r="R989" s="41" t="s">
        <v>16</v>
      </c>
      <c r="S989" s="41" t="s">
        <v>17</v>
      </c>
      <c r="T989" s="41" t="s">
        <v>1089</v>
      </c>
      <c r="U989" s="16" t="s">
        <v>13</v>
      </c>
      <c r="V989" s="16" t="s">
        <v>215</v>
      </c>
      <c r="W989" s="19" t="s"/>
      <c r="X989" s="26" t="s">
        <f>=M989&amp;N989&amp;P989&amp;Q989&amp;T989&amp;V989&amp;S989</f>
        <v>1090</v>
      </c>
      <c r="Y989" s="19" t="s"/>
      <c r="Z989" s="19" t="s"/>
      <c r="AA989" s="19" t="s"/>
      <c r="AB989" s="19" t="s"/>
    </row>
    <row r="990" spans="1:28" ht="14.4">
      <c r="A990" s="4">
        <f>=H990/G990-1</f>
        <v>0.101851851851852</v>
      </c>
      <c r="B990" s="20">
        <f>=F990/12</f>
        <v>8.925</v>
      </c>
      <c r="C990" s="20">
        <f>=J990/3</f>
        <v>71.4</v>
      </c>
      <c r="D990" s="20">
        <f>=K990/3</f>
        <v>79.3333333333333</v>
      </c>
      <c r="E990" s="20">
        <f>=L990/3</f>
        <v>83.3</v>
      </c>
      <c r="F990" s="20">
        <f>=H990*0.9</f>
        <v>107.1</v>
      </c>
      <c r="G990" s="21">
        <v>108</v>
      </c>
      <c r="H990" s="39">
        <v>119</v>
      </c>
      <c r="I990" s="40">
        <f>=H990*1.05</f>
        <v>124.95</v>
      </c>
      <c r="J990" s="40">
        <f>=F990*2</f>
        <v>214.2</v>
      </c>
      <c r="K990" s="40">
        <f>=H990*2</f>
        <v>238</v>
      </c>
      <c r="L990" s="40">
        <f>=I990*2</f>
        <v>249.9</v>
      </c>
      <c r="M990" s="41" t="s">
        <v>1091</v>
      </c>
      <c r="N990" s="41">
        <v>0.05</v>
      </c>
      <c r="O990" s="41" t="s"/>
      <c r="P990" s="41" t="s">
        <v>21</v>
      </c>
      <c r="Q990" s="41" t="s">
        <v>21</v>
      </c>
      <c r="R990" s="41" t="s">
        <v>16</v>
      </c>
      <c r="S990" s="41" t="s">
        <v>17</v>
      </c>
      <c r="T990" s="41" t="s">
        <v>1092</v>
      </c>
      <c r="U990" s="16" t="s">
        <v>13</v>
      </c>
      <c r="V990" s="16" t="s">
        <v>215</v>
      </c>
      <c r="W990" s="19" t="s"/>
      <c r="X990" s="26" t="s">
        <f>=M990&amp;N990&amp;P990&amp;Q990&amp;T990&amp;V990&amp;S990</f>
        <v>1093</v>
      </c>
      <c r="Y990" s="19" t="s"/>
      <c r="Z990" s="19" t="s"/>
      <c r="AA990" s="19" t="s"/>
      <c r="AB990" s="19" t="s"/>
    </row>
    <row r="991" spans="1:28" ht="14.4">
      <c r="A991" s="4">
        <f>=H991/G991-1</f>
        <v>0.103448275862069</v>
      </c>
      <c r="B991" s="20">
        <f>=F991/12</f>
        <v>9.6</v>
      </c>
      <c r="C991" s="20">
        <f>=J991/3</f>
        <v>76.8</v>
      </c>
      <c r="D991" s="20">
        <f>=K991/3</f>
        <v>85.3333333333333</v>
      </c>
      <c r="E991" s="20">
        <f>=L991/3</f>
        <v>89.6</v>
      </c>
      <c r="F991" s="20">
        <f>=H991*0.9</f>
        <v>115.2</v>
      </c>
      <c r="G991" s="21">
        <v>116</v>
      </c>
      <c r="H991" s="39">
        <v>128</v>
      </c>
      <c r="I991" s="40">
        <f>=H991*1.05</f>
        <v>134.4</v>
      </c>
      <c r="J991" s="40">
        <f>=F991*2</f>
        <v>230.4</v>
      </c>
      <c r="K991" s="40">
        <f>=H991*2</f>
        <v>256</v>
      </c>
      <c r="L991" s="40">
        <f>=I991*2</f>
        <v>268.8</v>
      </c>
      <c r="M991" s="41" t="s">
        <v>1091</v>
      </c>
      <c r="N991" s="41">
        <v>0.05</v>
      </c>
      <c r="O991" s="41" t="s"/>
      <c r="P991" s="41" t="s">
        <v>21</v>
      </c>
      <c r="Q991" s="41">
        <v>1</v>
      </c>
      <c r="R991" s="41" t="s">
        <v>16</v>
      </c>
      <c r="S991" s="41" t="s">
        <v>17</v>
      </c>
      <c r="T991" s="41" t="s">
        <v>1092</v>
      </c>
      <c r="U991" s="16" t="s">
        <v>13</v>
      </c>
      <c r="V991" s="16" t="s">
        <v>215</v>
      </c>
      <c r="W991" s="19" t="s"/>
      <c r="X991" s="26" t="s">
        <f>=M991&amp;N991&amp;P991&amp;Q991&amp;T991&amp;V991&amp;S991</f>
        <v>1094</v>
      </c>
      <c r="Y991" s="19" t="s"/>
      <c r="Z991" s="19" t="s"/>
      <c r="AA991" s="19" t="s"/>
      <c r="AB991" s="19" t="s"/>
    </row>
    <row r="992" spans="1:28" ht="14.4">
      <c r="A992" s="4">
        <f>=H992/G992-1</f>
        <v>0.0970873786407767</v>
      </c>
      <c r="B992" s="20">
        <f>=F992/12</f>
        <v>8.475</v>
      </c>
      <c r="C992" s="20">
        <f>=J992/3</f>
        <v>67.8</v>
      </c>
      <c r="D992" s="20">
        <f>=K992/3</f>
        <v>75.3333333333333</v>
      </c>
      <c r="E992" s="20">
        <f>=L992/3</f>
        <v>79.1</v>
      </c>
      <c r="F992" s="20">
        <f>=H992*0.9</f>
        <v>101.7</v>
      </c>
      <c r="G992" s="21">
        <v>103</v>
      </c>
      <c r="H992" s="39">
        <v>113</v>
      </c>
      <c r="I992" s="40">
        <f>=H992*1.05</f>
        <v>118.65</v>
      </c>
      <c r="J992" s="40">
        <f>=F992*2</f>
        <v>203.4</v>
      </c>
      <c r="K992" s="40">
        <f>=H992*2</f>
        <v>226</v>
      </c>
      <c r="L992" s="40">
        <f>=I992*2</f>
        <v>237.3</v>
      </c>
      <c r="M992" s="41" t="s">
        <v>1091</v>
      </c>
      <c r="N992" s="41">
        <v>0.053</v>
      </c>
      <c r="O992" s="41" t="s"/>
      <c r="P992" s="41" t="s">
        <v>21</v>
      </c>
      <c r="Q992" s="41" t="s">
        <v>21</v>
      </c>
      <c r="R992" s="41" t="s">
        <v>16</v>
      </c>
      <c r="S992" s="41" t="s">
        <v>17</v>
      </c>
      <c r="T992" s="41" t="s">
        <v>1095</v>
      </c>
      <c r="U992" s="16" t="s">
        <v>13</v>
      </c>
      <c r="V992" s="16" t="s">
        <v>215</v>
      </c>
      <c r="W992" s="19" t="s"/>
      <c r="X992" s="26" t="s">
        <f>=M992&amp;N992&amp;P992&amp;Q992&amp;T992&amp;V992&amp;S992</f>
        <v>1096</v>
      </c>
      <c r="Y992" s="19" t="s"/>
      <c r="Z992" s="19" t="s"/>
      <c r="AA992" s="19" t="s"/>
      <c r="AB992" s="19" t="s"/>
    </row>
    <row r="993" spans="1:28" ht="14.4">
      <c r="A993" s="4">
        <f>=H993/G993-1</f>
        <v>0.0961538461538463</v>
      </c>
      <c r="B993" s="20">
        <f>=F993/12</f>
        <v>8.55</v>
      </c>
      <c r="C993" s="20">
        <f>=J993/3</f>
        <v>68.4</v>
      </c>
      <c r="D993" s="20">
        <f>=K993/3</f>
        <v>76</v>
      </c>
      <c r="E993" s="20">
        <f>=L993/3</f>
        <v>79.8</v>
      </c>
      <c r="F993" s="20">
        <f>=H993*0.9</f>
        <v>102.6</v>
      </c>
      <c r="G993" s="21">
        <v>104</v>
      </c>
      <c r="H993" s="39">
        <v>114</v>
      </c>
      <c r="I993" s="40">
        <f>=H993*1.05</f>
        <v>119.7</v>
      </c>
      <c r="J993" s="40">
        <f>=F993*2</f>
        <v>205.2</v>
      </c>
      <c r="K993" s="40">
        <f>=H993*2</f>
        <v>228</v>
      </c>
      <c r="L993" s="40">
        <f>=I993*2</f>
        <v>239.4</v>
      </c>
      <c r="M993" s="41" t="s">
        <v>1091</v>
      </c>
      <c r="N993" s="41">
        <v>0.064</v>
      </c>
      <c r="O993" s="41" t="s"/>
      <c r="P993" s="41" t="s">
        <v>21</v>
      </c>
      <c r="Q993" s="41" t="s">
        <v>21</v>
      </c>
      <c r="R993" s="41" t="s">
        <v>16</v>
      </c>
      <c r="S993" s="41" t="s">
        <v>17</v>
      </c>
      <c r="T993" s="41" t="s">
        <v>18</v>
      </c>
      <c r="U993" s="16" t="s">
        <v>13</v>
      </c>
      <c r="V993" s="16" t="s">
        <v>215</v>
      </c>
      <c r="W993" s="19" t="s"/>
      <c r="X993" s="26" t="s">
        <f>=M993&amp;N993&amp;P993&amp;Q993&amp;T993&amp;V993&amp;S993</f>
        <v>1097</v>
      </c>
      <c r="Y993" s="19" t="s"/>
      <c r="Z993" s="19" t="s"/>
      <c r="AA993" s="19" t="s"/>
      <c r="AB993" s="19" t="s"/>
    </row>
    <row r="994" spans="1:28" ht="14.4">
      <c r="A994" s="4">
        <f>=H994/G994-1</f>
        <v>0.0961538461538463</v>
      </c>
      <c r="B994" s="20">
        <f>=F994/12</f>
        <v>8.55</v>
      </c>
      <c r="C994" s="20">
        <f>=J994/3</f>
        <v>68.4</v>
      </c>
      <c r="D994" s="20">
        <f>=K994/3</f>
        <v>76</v>
      </c>
      <c r="E994" s="20">
        <f>=L994/3</f>
        <v>79.8</v>
      </c>
      <c r="F994" s="20">
        <f>=H994*0.9</f>
        <v>102.6</v>
      </c>
      <c r="G994" s="21">
        <v>104</v>
      </c>
      <c r="H994" s="39">
        <v>114</v>
      </c>
      <c r="I994" s="40">
        <f>=H994*1.05</f>
        <v>119.7</v>
      </c>
      <c r="J994" s="40">
        <f>=F994*2</f>
        <v>205.2</v>
      </c>
      <c r="K994" s="40">
        <f>=H994*2</f>
        <v>228</v>
      </c>
      <c r="L994" s="40">
        <f>=I994*2</f>
        <v>239.4</v>
      </c>
      <c r="M994" s="41" t="s">
        <v>1091</v>
      </c>
      <c r="N994" s="41">
        <v>0.064</v>
      </c>
      <c r="O994" s="41" t="s"/>
      <c r="P994" s="41" t="s">
        <v>21</v>
      </c>
      <c r="Q994" s="41" t="s">
        <v>21</v>
      </c>
      <c r="R994" s="41" t="s">
        <v>16</v>
      </c>
      <c r="S994" s="41" t="s">
        <v>17</v>
      </c>
      <c r="T994" s="41" t="s">
        <v>1098</v>
      </c>
      <c r="U994" s="16" t="s">
        <v>13</v>
      </c>
      <c r="V994" s="16" t="s">
        <v>215</v>
      </c>
      <c r="W994" s="19" t="s"/>
      <c r="X994" s="26" t="s">
        <f>=M994&amp;N994&amp;P994&amp;Q994&amp;T994&amp;V994&amp;S994</f>
        <v>1099</v>
      </c>
      <c r="Y994" s="19" t="s"/>
      <c r="Z994" s="19" t="s"/>
      <c r="AA994" s="19" t="s"/>
      <c r="AB994" s="19" t="s"/>
    </row>
    <row r="995" spans="1:28" ht="14.4">
      <c r="A995" s="4">
        <f>=H995/G995-1</f>
        <v>0.0974025974025974</v>
      </c>
      <c r="B995" s="20">
        <f>=F995/12</f>
        <v>12.675</v>
      </c>
      <c r="C995" s="20">
        <f>=J995/3</f>
        <v>101.4</v>
      </c>
      <c r="D995" s="20">
        <f>=K995/3</f>
        <v>112.666666666667</v>
      </c>
      <c r="E995" s="20">
        <f>=L995/3</f>
        <v>118.3</v>
      </c>
      <c r="F995" s="20">
        <f>=H995*0.9</f>
        <v>152.1</v>
      </c>
      <c r="G995" s="21">
        <v>154</v>
      </c>
      <c r="H995" s="39">
        <v>169</v>
      </c>
      <c r="I995" s="40">
        <f>=H995*1.05</f>
        <v>177.45</v>
      </c>
      <c r="J995" s="40">
        <f>=F995*2</f>
        <v>304.2</v>
      </c>
      <c r="K995" s="40">
        <f>=H995*2</f>
        <v>338</v>
      </c>
      <c r="L995" s="40">
        <f>=I995*2</f>
        <v>354.9</v>
      </c>
      <c r="M995" s="41" t="s">
        <v>1091</v>
      </c>
      <c r="N995" s="41">
        <v>0.064</v>
      </c>
      <c r="O995" s="41" t="s"/>
      <c r="P995" s="41" t="s">
        <v>21</v>
      </c>
      <c r="Q995" s="41">
        <v>1</v>
      </c>
      <c r="R995" s="41" t="s">
        <v>16</v>
      </c>
      <c r="S995" s="41" t="s">
        <v>17</v>
      </c>
      <c r="T995" s="41" t="s">
        <v>1098</v>
      </c>
      <c r="U995" s="16" t="s">
        <v>13</v>
      </c>
      <c r="V995" s="16" t="s">
        <v>215</v>
      </c>
      <c r="W995" s="19" t="s"/>
      <c r="X995" s="26" t="s">
        <f>=M995&amp;N995&amp;P995&amp;Q995&amp;T995&amp;V995&amp;S995</f>
        <v>1100</v>
      </c>
      <c r="Y995" s="19" t="s"/>
      <c r="Z995" s="19" t="s"/>
      <c r="AA995" s="19" t="s"/>
      <c r="AB995" s="19" t="s"/>
    </row>
    <row r="996" spans="1:28" ht="14.4">
      <c r="A996" s="4">
        <f>=H996/G996-1</f>
        <v>0.104</v>
      </c>
      <c r="B996" s="20">
        <f>=F996/12</f>
        <v>10.35</v>
      </c>
      <c r="C996" s="20">
        <f>=J996/3</f>
        <v>82.8</v>
      </c>
      <c r="D996" s="20">
        <f>=K996/3</f>
        <v>92</v>
      </c>
      <c r="E996" s="20">
        <f>=L996/3</f>
        <v>96.6</v>
      </c>
      <c r="F996" s="20">
        <f>=H996*0.9</f>
        <v>124.2</v>
      </c>
      <c r="G996" s="21">
        <v>125</v>
      </c>
      <c r="H996" s="39">
        <v>138</v>
      </c>
      <c r="I996" s="40">
        <f>=H996*1.05</f>
        <v>144.9</v>
      </c>
      <c r="J996" s="40">
        <f>=F996*2</f>
        <v>248.4</v>
      </c>
      <c r="K996" s="40">
        <f>=H996*2</f>
        <v>276</v>
      </c>
      <c r="L996" s="40">
        <f>=I996*2</f>
        <v>289.8</v>
      </c>
      <c r="M996" s="122" t="s">
        <v>1091</v>
      </c>
      <c r="N996" s="122">
        <v>0.076</v>
      </c>
      <c r="O996" s="122" t="s"/>
      <c r="P996" s="122">
        <v>1</v>
      </c>
      <c r="Q996" s="122">
        <v>1</v>
      </c>
      <c r="R996" s="122" t="s">
        <v>16</v>
      </c>
      <c r="S996" s="122" t="s">
        <v>17</v>
      </c>
      <c r="T996" s="122" t="s">
        <v>18</v>
      </c>
      <c r="U996" s="123" t="s">
        <v>13</v>
      </c>
      <c r="V996" s="123" t="s">
        <v>215</v>
      </c>
      <c r="W996" s="19" t="s"/>
      <c r="X996" s="26" t="s">
        <f>=M996&amp;N996&amp;P996&amp;Q996&amp;T996&amp;V996&amp;S996</f>
        <v>1101</v>
      </c>
      <c r="Y996" s="19" t="s"/>
      <c r="Z996" s="19" t="s"/>
      <c r="AA996" s="19" t="s"/>
      <c r="AB996" s="19" t="s"/>
    </row>
    <row r="997" spans="1:28" ht="14.4">
      <c r="A997" s="4">
        <f>=H997/G997-1</f>
        <v>0.0984848484848484</v>
      </c>
      <c r="B997" s="20">
        <f>=F997/12</f>
        <v>10.875</v>
      </c>
      <c r="C997" s="20">
        <f>=J997/3</f>
        <v>87</v>
      </c>
      <c r="D997" s="20">
        <f>=K997/3</f>
        <v>96.6666666666667</v>
      </c>
      <c r="E997" s="20">
        <f>=L997/3</f>
        <v>101.5</v>
      </c>
      <c r="F997" s="20">
        <f>=H997*0.9</f>
        <v>130.5</v>
      </c>
      <c r="G997" s="21">
        <v>132</v>
      </c>
      <c r="H997" s="39">
        <v>145</v>
      </c>
      <c r="I997" s="40">
        <f>=H997*1.05</f>
        <v>152.25</v>
      </c>
      <c r="J997" s="40">
        <f>=F997*2</f>
        <v>261</v>
      </c>
      <c r="K997" s="40">
        <f>=H997*2</f>
        <v>290</v>
      </c>
      <c r="L997" s="40">
        <f>=I997*2</f>
        <v>304.5</v>
      </c>
      <c r="M997" s="41" t="s">
        <v>1091</v>
      </c>
      <c r="N997" s="41">
        <v>0.076</v>
      </c>
      <c r="O997" s="41" t="s"/>
      <c r="P997" s="41">
        <v>1</v>
      </c>
      <c r="Q997" s="41">
        <v>1</v>
      </c>
      <c r="R997" s="41" t="s">
        <v>16</v>
      </c>
      <c r="S997" s="41" t="s">
        <v>17</v>
      </c>
      <c r="T997" s="41" t="s">
        <v>18</v>
      </c>
      <c r="U997" s="16" t="s">
        <v>13</v>
      </c>
      <c r="V997" s="16" t="s">
        <v>215</v>
      </c>
      <c r="W997" s="19" t="s"/>
      <c r="X997" s="26" t="s">
        <f>=M997&amp;N997&amp;P997&amp;Q997&amp;T997&amp;V997&amp;S997</f>
        <v>1101</v>
      </c>
      <c r="Y997" s="56" t="s"/>
      <c r="Z997" s="56" t="s"/>
      <c r="AA997" s="56" t="s"/>
      <c r="AB997" s="56" t="s"/>
    </row>
    <row r="998" spans="1:28" ht="14.4">
      <c r="A998" s="4">
        <f>=H998/G998-1</f>
        <v>0.100719424460432</v>
      </c>
      <c r="B998" s="20">
        <f>=F998/12</f>
        <v>11.475</v>
      </c>
      <c r="C998" s="20">
        <f>=J998/3</f>
        <v>91.8</v>
      </c>
      <c r="D998" s="20">
        <f>=K998/3</f>
        <v>102</v>
      </c>
      <c r="E998" s="20">
        <f>=L998/3</f>
        <v>107.1</v>
      </c>
      <c r="F998" s="20">
        <f>=H998*0.9</f>
        <v>137.7</v>
      </c>
      <c r="G998" s="21">
        <v>139</v>
      </c>
      <c r="H998" s="39">
        <v>153</v>
      </c>
      <c r="I998" s="40">
        <f>=H998*1.05</f>
        <v>160.65</v>
      </c>
      <c r="J998" s="40">
        <f>=F998*2</f>
        <v>275.4</v>
      </c>
      <c r="K998" s="40">
        <f>=H998*2</f>
        <v>306</v>
      </c>
      <c r="L998" s="40">
        <f>=I998*2</f>
        <v>321.3</v>
      </c>
      <c r="M998" s="41" t="s">
        <v>1091</v>
      </c>
      <c r="N998" s="41">
        <v>0.076</v>
      </c>
      <c r="O998" s="41" t="s"/>
      <c r="P998" s="41">
        <v>1</v>
      </c>
      <c r="Q998" s="41">
        <v>1</v>
      </c>
      <c r="R998" s="41" t="s">
        <v>16</v>
      </c>
      <c r="S998" s="41" t="s">
        <v>17</v>
      </c>
      <c r="T998" s="41" t="s">
        <v>1098</v>
      </c>
      <c r="U998" s="16" t="s">
        <v>13</v>
      </c>
      <c r="V998" s="16" t="s">
        <v>1083</v>
      </c>
      <c r="W998" s="19" t="s"/>
      <c r="X998" s="26" t="s">
        <f>=M998&amp;N998&amp;P998&amp;Q998&amp;T998&amp;V998&amp;S998</f>
        <v>1102</v>
      </c>
      <c r="Y998" s="19" t="s"/>
      <c r="Z998" s="19" t="s"/>
      <c r="AA998" s="19" t="s"/>
      <c r="AB998" s="19" t="s"/>
    </row>
    <row r="999" spans="1:28" ht="14.4">
      <c r="A999" s="4">
        <f>=H999/G999-1</f>
        <v>0.102150537634409</v>
      </c>
      <c r="B999" s="20">
        <f>=F999/12</f>
        <v>15.375</v>
      </c>
      <c r="C999" s="20">
        <f>=J999/3</f>
        <v>123</v>
      </c>
      <c r="D999" s="20">
        <f>=K999/3</f>
        <v>136.666666666667</v>
      </c>
      <c r="E999" s="20">
        <f>=L999/3</f>
        <v>143.5</v>
      </c>
      <c r="F999" s="20">
        <f>=H999*0.9</f>
        <v>184.5</v>
      </c>
      <c r="G999" s="21">
        <v>186</v>
      </c>
      <c r="H999" s="39">
        <v>205</v>
      </c>
      <c r="I999" s="40">
        <f>=H999*1.05</f>
        <v>215.25</v>
      </c>
      <c r="J999" s="40">
        <f>=F999*2</f>
        <v>369</v>
      </c>
      <c r="K999" s="40">
        <f>=H999*2</f>
        <v>410</v>
      </c>
      <c r="L999" s="40">
        <f>=I999*2</f>
        <v>430.5</v>
      </c>
      <c r="M999" s="41" t="s">
        <v>1091</v>
      </c>
      <c r="N999" s="41">
        <v>0.076</v>
      </c>
      <c r="O999" s="41" t="s"/>
      <c r="P999" s="41">
        <v>1</v>
      </c>
      <c r="Q999" s="41">
        <v>2</v>
      </c>
      <c r="R999" s="41" t="s">
        <v>16</v>
      </c>
      <c r="S999" s="41" t="s">
        <v>17</v>
      </c>
      <c r="T999" s="41" t="s">
        <v>1098</v>
      </c>
      <c r="U999" s="16" t="s">
        <v>13</v>
      </c>
      <c r="V999" s="16" t="s">
        <v>215</v>
      </c>
      <c r="W999" s="56" t="s"/>
      <c r="X999" s="26" t="s">
        <f>=M999&amp;N999&amp;P999&amp;Q999&amp;T999&amp;V999&amp;S999</f>
        <v>1103</v>
      </c>
      <c r="Y999" s="19" t="s"/>
      <c r="Z999" s="19" t="s"/>
      <c r="AA999" s="19" t="s"/>
      <c r="AB999" s="19" t="s"/>
    </row>
    <row r="1000" spans="1:28" ht="14.4">
      <c r="A1000" s="4">
        <f>=H1000/G1000-1</f>
        <v>0.10126582278481</v>
      </c>
      <c r="B1000" s="20">
        <f>=F1000/12</f>
        <v>19.575</v>
      </c>
      <c r="C1000" s="20">
        <f>=J1000/3</f>
        <v>156.6</v>
      </c>
      <c r="D1000" s="20">
        <f>=K1000/3</f>
        <v>174</v>
      </c>
      <c r="E1000" s="20">
        <f>=L1000/3</f>
        <v>182.7</v>
      </c>
      <c r="F1000" s="20">
        <f>=H1000*0.9</f>
        <v>234.9</v>
      </c>
      <c r="G1000" s="21">
        <v>237</v>
      </c>
      <c r="H1000" s="39">
        <v>261</v>
      </c>
      <c r="I1000" s="40">
        <f>=H1000*1.05</f>
        <v>274.05</v>
      </c>
      <c r="J1000" s="40">
        <f>=F1000*2</f>
        <v>469.8</v>
      </c>
      <c r="K1000" s="40">
        <f>=H1000*2</f>
        <v>522</v>
      </c>
      <c r="L1000" s="40">
        <f>=I1000*2</f>
        <v>548.1</v>
      </c>
      <c r="M1000" s="41" t="s">
        <v>1091</v>
      </c>
      <c r="N1000" s="41">
        <v>0.076</v>
      </c>
      <c r="O1000" s="41" t="s"/>
      <c r="P1000" s="41">
        <v>2</v>
      </c>
      <c r="Q1000" s="41">
        <v>2</v>
      </c>
      <c r="R1000" s="41" t="s">
        <v>16</v>
      </c>
      <c r="S1000" s="41" t="s">
        <v>17</v>
      </c>
      <c r="T1000" s="41" t="s">
        <v>624</v>
      </c>
      <c r="U1000" s="16" t="s">
        <v>13</v>
      </c>
      <c r="V1000" s="16" t="s">
        <v>215</v>
      </c>
      <c r="W1000" s="19" t="s"/>
      <c r="X1000" s="26" t="s">
        <f>=M1000&amp;N1000&amp;P1000&amp;Q1000&amp;T1000&amp;V1000&amp;S1000</f>
        <v>1104</v>
      </c>
      <c r="Y1000" s="19" t="s"/>
      <c r="Z1000" s="19" t="s"/>
      <c r="AA1000" s="19" t="s"/>
      <c r="AB1000" s="19" t="s"/>
    </row>
    <row r="1001" spans="1:28" ht="14.4">
      <c r="A1001" s="4">
        <f>=H1001/G1001-1</f>
        <v>0.102040816326531</v>
      </c>
      <c r="B1001" s="20">
        <f>=F1001/12</f>
        <v>20.25</v>
      </c>
      <c r="C1001" s="20">
        <f>=J1001/3</f>
        <v>162</v>
      </c>
      <c r="D1001" s="20">
        <f>=K1001/3</f>
        <v>180</v>
      </c>
      <c r="E1001" s="20">
        <f>=L1001/3</f>
        <v>189</v>
      </c>
      <c r="F1001" s="20">
        <f>=H1001*0.9</f>
        <v>243</v>
      </c>
      <c r="G1001" s="21">
        <v>245</v>
      </c>
      <c r="H1001" s="39">
        <v>270</v>
      </c>
      <c r="I1001" s="40">
        <f>=H1001*1.05</f>
        <v>283.5</v>
      </c>
      <c r="J1001" s="40">
        <f>=F1001*2</f>
        <v>486</v>
      </c>
      <c r="K1001" s="40">
        <f>=H1001*2</f>
        <v>540</v>
      </c>
      <c r="L1001" s="40">
        <f>=I1001*2</f>
        <v>567</v>
      </c>
      <c r="M1001" s="41" t="s">
        <v>1091</v>
      </c>
      <c r="N1001" s="41">
        <v>0.076</v>
      </c>
      <c r="O1001" s="41" t="s"/>
      <c r="P1001" s="41">
        <v>2</v>
      </c>
      <c r="Q1001" s="41">
        <v>2</v>
      </c>
      <c r="R1001" s="41" t="s">
        <v>16</v>
      </c>
      <c r="S1001" s="41" t="s">
        <v>17</v>
      </c>
      <c r="T1001" s="41" t="s">
        <v>18</v>
      </c>
      <c r="U1001" s="16" t="s">
        <v>13</v>
      </c>
      <c r="V1001" s="16" t="s">
        <v>215</v>
      </c>
      <c r="W1001" s="19" t="s"/>
      <c r="X1001" s="26" t="s">
        <f>=M1001&amp;N1001&amp;P1001&amp;Q1001&amp;T1001&amp;V1001&amp;S1001</f>
        <v>1105</v>
      </c>
      <c r="Y1001" s="19" t="s"/>
      <c r="Z1001" s="19" t="s"/>
      <c r="AA1001" s="19" t="s"/>
      <c r="AB1001" s="19" t="s"/>
    </row>
    <row r="1002" spans="1:28" ht="14.4">
      <c r="A1002" s="4">
        <f>=H1002/G1002-1</f>
        <v>0.10188679245283</v>
      </c>
      <c r="B1002" s="20">
        <f>=F1002/12</f>
        <v>21.9</v>
      </c>
      <c r="C1002" s="20">
        <f>=J1002/3</f>
        <v>175.2</v>
      </c>
      <c r="D1002" s="20">
        <f>=K1002/3</f>
        <v>194.666666666667</v>
      </c>
      <c r="E1002" s="20">
        <f>=L1002/3</f>
        <v>204.4</v>
      </c>
      <c r="F1002" s="20">
        <f>=H1002*0.9</f>
        <v>262.8</v>
      </c>
      <c r="G1002" s="21">
        <v>265</v>
      </c>
      <c r="H1002" s="39">
        <v>292</v>
      </c>
      <c r="I1002" s="40">
        <f>=H1002*1.05</f>
        <v>306.6</v>
      </c>
      <c r="J1002" s="40">
        <f>=F1002*2</f>
        <v>525.6</v>
      </c>
      <c r="K1002" s="40">
        <f>=H1002*2</f>
        <v>584</v>
      </c>
      <c r="L1002" s="40">
        <f>=I1002*2</f>
        <v>613.2</v>
      </c>
      <c r="M1002" s="41" t="s">
        <v>1091</v>
      </c>
      <c r="N1002" s="41">
        <v>0.076</v>
      </c>
      <c r="O1002" s="41" t="s"/>
      <c r="P1002" s="41">
        <v>2</v>
      </c>
      <c r="Q1002" s="41">
        <v>2</v>
      </c>
      <c r="R1002" s="41" t="s">
        <v>16</v>
      </c>
      <c r="S1002" s="41" t="s">
        <v>17</v>
      </c>
      <c r="T1002" s="41" t="s">
        <v>1106</v>
      </c>
      <c r="U1002" s="16" t="s">
        <v>13</v>
      </c>
      <c r="V1002" s="16" t="s">
        <v>215</v>
      </c>
      <c r="W1002" s="19" t="s"/>
      <c r="X1002" s="26" t="s">
        <f>=M1002&amp;N1002&amp;P1002&amp;Q1002&amp;T1002&amp;V1002&amp;S1002</f>
        <v>1107</v>
      </c>
      <c r="Y1002" s="19" t="s"/>
      <c r="Z1002" s="19" t="s"/>
      <c r="AA1002" s="19" t="s"/>
      <c r="AB1002" s="19" t="s"/>
    </row>
    <row r="1003" spans="1:28" ht="14.4">
      <c r="A1003" s="4">
        <f>=H1003/G1003-1</f>
        <v>0.10188679245283</v>
      </c>
      <c r="B1003" s="20">
        <f>=F1003/12</f>
        <v>21.9</v>
      </c>
      <c r="C1003" s="20">
        <f>=J1003/3</f>
        <v>175.2</v>
      </c>
      <c r="D1003" s="20">
        <f>=K1003/3</f>
        <v>194.666666666667</v>
      </c>
      <c r="E1003" s="20">
        <f>=L1003/3</f>
        <v>204.4</v>
      </c>
      <c r="F1003" s="20">
        <f>=H1003*0.9</f>
        <v>262.8</v>
      </c>
      <c r="G1003" s="21">
        <v>265</v>
      </c>
      <c r="H1003" s="39">
        <v>292</v>
      </c>
      <c r="I1003" s="40">
        <f>=H1003*1.05</f>
        <v>306.6</v>
      </c>
      <c r="J1003" s="40">
        <f>=F1003*2</f>
        <v>525.6</v>
      </c>
      <c r="K1003" s="40">
        <f>=H1003*2</f>
        <v>584</v>
      </c>
      <c r="L1003" s="40">
        <f>=I1003*2</f>
        <v>613.2</v>
      </c>
      <c r="M1003" s="41" t="s">
        <v>1091</v>
      </c>
      <c r="N1003" s="41">
        <v>0.076</v>
      </c>
      <c r="O1003" s="41" t="s"/>
      <c r="P1003" s="41">
        <v>2</v>
      </c>
      <c r="Q1003" s="41">
        <v>2</v>
      </c>
      <c r="R1003" s="41" t="s">
        <v>16</v>
      </c>
      <c r="S1003" s="41" t="s">
        <v>17</v>
      </c>
      <c r="T1003" s="41" t="s">
        <v>1098</v>
      </c>
      <c r="U1003" s="16" t="s">
        <v>13</v>
      </c>
      <c r="V1003" s="16" t="s">
        <v>215</v>
      </c>
      <c r="W1003" s="19" t="s"/>
      <c r="X1003" s="26" t="s">
        <f>=M1003&amp;N1003&amp;P1003&amp;Q1003&amp;T1003&amp;V1003&amp;S1003</f>
        <v>1108</v>
      </c>
      <c r="Y1003" s="19" t="s"/>
      <c r="Z1003" s="19" t="s"/>
      <c r="AA1003" s="19" t="s"/>
      <c r="AB1003" s="19" t="s"/>
    </row>
    <row r="1004" spans="1:28" ht="14.4">
      <c r="A1004" s="4">
        <f>=H1004/G1004-1</f>
        <v>0.0991735537190082</v>
      </c>
      <c r="B1004" s="20">
        <f>=F1004/12</f>
        <v>9.975</v>
      </c>
      <c r="C1004" s="20">
        <f>=J1004/3</f>
        <v>79.8</v>
      </c>
      <c r="D1004" s="20">
        <f>=K1004/3</f>
        <v>88.6666666666667</v>
      </c>
      <c r="E1004" s="20">
        <f>=L1004/3</f>
        <v>93.1</v>
      </c>
      <c r="F1004" s="20">
        <f>=H1004*0.9</f>
        <v>119.7</v>
      </c>
      <c r="G1004" s="21">
        <v>121</v>
      </c>
      <c r="H1004" s="39">
        <v>133</v>
      </c>
      <c r="I1004" s="40">
        <f>=H1004*1.05</f>
        <v>139.65</v>
      </c>
      <c r="J1004" s="40">
        <f>=F1004*2</f>
        <v>239.4</v>
      </c>
      <c r="K1004" s="40">
        <f>=H1004*2</f>
        <v>266</v>
      </c>
      <c r="L1004" s="40">
        <f>=I1004*2</f>
        <v>279.3</v>
      </c>
      <c r="M1004" s="41" t="s">
        <v>1091</v>
      </c>
      <c r="N1004" s="41">
        <v>0.076</v>
      </c>
      <c r="O1004" s="41" t="s"/>
      <c r="P1004" s="41" t="s">
        <v>21</v>
      </c>
      <c r="Q1004" s="41" t="s">
        <v>21</v>
      </c>
      <c r="R1004" s="41" t="s">
        <v>16</v>
      </c>
      <c r="S1004" s="41" t="s">
        <v>17</v>
      </c>
      <c r="T1004" s="41" t="s">
        <v>1098</v>
      </c>
      <c r="U1004" s="16" t="s">
        <v>13</v>
      </c>
      <c r="V1004" s="16" t="s">
        <v>1083</v>
      </c>
      <c r="W1004" s="19" t="s"/>
      <c r="X1004" s="26" t="s">
        <f>=M1004&amp;N1004&amp;P1004&amp;Q1004&amp;T1004&amp;V1004&amp;S1004</f>
        <v>1109</v>
      </c>
      <c r="Y1004" s="19" t="s"/>
      <c r="Z1004" s="19" t="s"/>
      <c r="AA1004" s="19" t="s"/>
      <c r="AB1004" s="19" t="s"/>
    </row>
    <row r="1005" spans="1:28" ht="14.4">
      <c r="A1005" s="4">
        <f>=H1005/G1005-1</f>
        <v>0.098901098901099</v>
      </c>
      <c r="B1005" s="20">
        <f>=F1005/12</f>
        <v>7.5</v>
      </c>
      <c r="C1005" s="20">
        <f>=J1005/3</f>
        <v>60</v>
      </c>
      <c r="D1005" s="20">
        <f>=K1005/3</f>
        <v>66.6666666666667</v>
      </c>
      <c r="E1005" s="20">
        <f>=L1005/3</f>
        <v>70</v>
      </c>
      <c r="F1005" s="20">
        <f>=H1005*0.9</f>
        <v>90</v>
      </c>
      <c r="G1005" s="21">
        <v>91</v>
      </c>
      <c r="H1005" s="39">
        <v>100</v>
      </c>
      <c r="I1005" s="40">
        <f>=H1005*1.05</f>
        <v>105</v>
      </c>
      <c r="J1005" s="40">
        <f>=F1005*2</f>
        <v>180</v>
      </c>
      <c r="K1005" s="40">
        <f>=H1005*2</f>
        <v>200</v>
      </c>
      <c r="L1005" s="40">
        <f>=I1005*2</f>
        <v>210</v>
      </c>
      <c r="M1005" s="41" t="s">
        <v>1091</v>
      </c>
      <c r="N1005" s="41">
        <v>0.076</v>
      </c>
      <c r="O1005" s="41" t="s"/>
      <c r="P1005" s="41" t="s">
        <v>21</v>
      </c>
      <c r="Q1005" s="41" t="s">
        <v>21</v>
      </c>
      <c r="R1005" s="41" t="s">
        <v>16</v>
      </c>
      <c r="S1005" s="41" t="s">
        <v>17</v>
      </c>
      <c r="T1005" s="41" t="s">
        <v>1098</v>
      </c>
      <c r="U1005" s="16" t="s">
        <v>13</v>
      </c>
      <c r="V1005" s="16" t="s">
        <v>215</v>
      </c>
      <c r="W1005" s="19" t="s"/>
      <c r="X1005" s="26" t="s">
        <f>=M1005&amp;N1005&amp;P1005&amp;Q1005&amp;T1005&amp;V1005&amp;S1005</f>
        <v>1110</v>
      </c>
      <c r="Y1005" s="19" t="s"/>
      <c r="Z1005" s="19" t="s"/>
      <c r="AA1005" s="19" t="s"/>
      <c r="AB1005" s="19" t="s"/>
    </row>
    <row r="1006" spans="1:28" ht="14.4">
      <c r="A1006" s="4">
        <f>=H1006/G1006-1</f>
        <v>0.102803738317757</v>
      </c>
      <c r="B1006" s="20">
        <f>=F1006/12</f>
        <v>8.85</v>
      </c>
      <c r="C1006" s="20">
        <f>=J1006/3</f>
        <v>70.8</v>
      </c>
      <c r="D1006" s="20">
        <f>=K1006/3</f>
        <v>78.6666666666667</v>
      </c>
      <c r="E1006" s="20">
        <f>=L1006/3</f>
        <v>82.6</v>
      </c>
      <c r="F1006" s="20">
        <f>=H1006*0.9</f>
        <v>106.2</v>
      </c>
      <c r="G1006" s="21">
        <v>107</v>
      </c>
      <c r="H1006" s="39">
        <v>118</v>
      </c>
      <c r="I1006" s="40">
        <f>=H1006*1.05</f>
        <v>123.9</v>
      </c>
      <c r="J1006" s="40">
        <f>=F1006*2</f>
        <v>212.4</v>
      </c>
      <c r="K1006" s="40">
        <f>=H1006*2</f>
        <v>236</v>
      </c>
      <c r="L1006" s="40">
        <f>=I1006*2</f>
        <v>247.8</v>
      </c>
      <c r="M1006" s="41" t="s">
        <v>1091</v>
      </c>
      <c r="N1006" s="41">
        <v>0.076</v>
      </c>
      <c r="O1006" s="41" t="s"/>
      <c r="P1006" s="41" t="s">
        <v>21</v>
      </c>
      <c r="Q1006" s="41" t="s">
        <v>21</v>
      </c>
      <c r="R1006" s="41" t="s">
        <v>16</v>
      </c>
      <c r="S1006" s="41" t="s">
        <v>17</v>
      </c>
      <c r="T1006" s="41" t="s">
        <v>624</v>
      </c>
      <c r="U1006" s="16" t="s">
        <v>13</v>
      </c>
      <c r="V1006" s="16" t="s">
        <v>215</v>
      </c>
      <c r="W1006" s="19" t="s"/>
      <c r="X1006" s="26" t="s">
        <f>=M1006&amp;N1006&amp;P1006&amp;Q1006&amp;T1006&amp;V1006&amp;S1006</f>
        <v>1111</v>
      </c>
      <c r="Y1006" s="19" t="s"/>
      <c r="Z1006" s="19" t="s"/>
      <c r="AA1006" s="19" t="s"/>
      <c r="AB1006" s="19" t="s"/>
    </row>
    <row r="1007" spans="1:28" ht="14.4">
      <c r="A1007" s="4">
        <f>=H1007/G1007-1</f>
        <v>0.102803738317757</v>
      </c>
      <c r="B1007" s="20">
        <f>=F1007/12</f>
        <v>8.85</v>
      </c>
      <c r="C1007" s="20">
        <f>=J1007/3</f>
        <v>70.8</v>
      </c>
      <c r="D1007" s="20">
        <f>=K1007/3</f>
        <v>78.6666666666667</v>
      </c>
      <c r="E1007" s="20">
        <f>=L1007/3</f>
        <v>82.6</v>
      </c>
      <c r="F1007" s="20">
        <f>=H1007*0.9</f>
        <v>106.2</v>
      </c>
      <c r="G1007" s="21">
        <v>107</v>
      </c>
      <c r="H1007" s="39">
        <v>118</v>
      </c>
      <c r="I1007" s="40">
        <f>=H1007*1.05</f>
        <v>123.9</v>
      </c>
      <c r="J1007" s="40">
        <f>=F1007*2</f>
        <v>212.4</v>
      </c>
      <c r="K1007" s="40">
        <f>=H1007*2</f>
        <v>236</v>
      </c>
      <c r="L1007" s="40">
        <f>=I1007*2</f>
        <v>247.8</v>
      </c>
      <c r="M1007" s="41" t="s">
        <v>1091</v>
      </c>
      <c r="N1007" s="41">
        <v>0.076</v>
      </c>
      <c r="O1007" s="41" t="s"/>
      <c r="P1007" s="41" t="s">
        <v>21</v>
      </c>
      <c r="Q1007" s="41" t="s">
        <v>21</v>
      </c>
      <c r="R1007" s="41" t="s">
        <v>16</v>
      </c>
      <c r="S1007" s="41" t="s">
        <v>17</v>
      </c>
      <c r="T1007" s="41" t="s">
        <v>18</v>
      </c>
      <c r="U1007" s="16" t="s">
        <v>13</v>
      </c>
      <c r="V1007" s="16" t="s">
        <v>215</v>
      </c>
      <c r="W1007" s="19" t="s"/>
      <c r="X1007" s="26" t="s">
        <f>=M1007&amp;N1007&amp;P1007&amp;Q1007&amp;T1007&amp;V1007&amp;S1007</f>
        <v>1112</v>
      </c>
      <c r="Y1007" s="19" t="s"/>
      <c r="Z1007" s="19" t="s"/>
      <c r="AA1007" s="19" t="s"/>
      <c r="AB1007" s="19" t="s"/>
    </row>
    <row r="1008" spans="1:28" ht="14.4">
      <c r="A1008" s="4">
        <f>=H1008/G1008-1</f>
        <v>0.1</v>
      </c>
      <c r="B1008" s="20">
        <f>=F1008/12</f>
        <v>11.55</v>
      </c>
      <c r="C1008" s="20">
        <f>=J1008/3</f>
        <v>92.4</v>
      </c>
      <c r="D1008" s="20">
        <f>=K1008/3</f>
        <v>102.666666666667</v>
      </c>
      <c r="E1008" s="20">
        <f>=L1008/3</f>
        <v>107.8</v>
      </c>
      <c r="F1008" s="20">
        <f>=H1008*0.9</f>
        <v>138.6</v>
      </c>
      <c r="G1008" s="21">
        <v>140</v>
      </c>
      <c r="H1008" s="39">
        <v>154</v>
      </c>
      <c r="I1008" s="40">
        <f>=H1008*1.05</f>
        <v>161.7</v>
      </c>
      <c r="J1008" s="40">
        <f>=F1008*2</f>
        <v>277.2</v>
      </c>
      <c r="K1008" s="40">
        <f>=H1008*2</f>
        <v>308</v>
      </c>
      <c r="L1008" s="40">
        <f>=I1008*2</f>
        <v>323.4</v>
      </c>
      <c r="M1008" s="41" t="s">
        <v>1091</v>
      </c>
      <c r="N1008" s="41">
        <v>0.089</v>
      </c>
      <c r="O1008" s="41" t="s"/>
      <c r="P1008" s="41">
        <v>1</v>
      </c>
      <c r="Q1008" s="41">
        <v>1</v>
      </c>
      <c r="R1008" s="41" t="s">
        <v>16</v>
      </c>
      <c r="S1008" s="41" t="s">
        <v>17</v>
      </c>
      <c r="T1008" s="41" t="s">
        <v>639</v>
      </c>
      <c r="U1008" s="16" t="s">
        <v>13</v>
      </c>
      <c r="V1008" s="16" t="s">
        <v>215</v>
      </c>
      <c r="W1008" s="19" t="s"/>
      <c r="X1008" s="26" t="s">
        <f>=M1008&amp;N1008&amp;P1008&amp;Q1008&amp;T1008&amp;V1008&amp;S1008</f>
        <v>1113</v>
      </c>
      <c r="Y1008" s="19" t="s"/>
      <c r="Z1008" s="19" t="s"/>
      <c r="AA1008" s="19" t="s"/>
      <c r="AB1008" s="19" t="s"/>
    </row>
    <row r="1009" spans="1:28" ht="14.4">
      <c r="A1009" s="4">
        <f>=H1009/G1009-1</f>
        <v>0.102272727272727</v>
      </c>
      <c r="B1009" s="20">
        <f>=F1009/12</f>
        <v>7.275</v>
      </c>
      <c r="C1009" s="20">
        <f>=J1009/3</f>
        <v>58.2</v>
      </c>
      <c r="D1009" s="20">
        <f>=K1009/3</f>
        <v>64.6666666666667</v>
      </c>
      <c r="E1009" s="20">
        <f>=L1009/3</f>
        <v>67.9</v>
      </c>
      <c r="F1009" s="20">
        <f>=H1009*0.9</f>
        <v>87.3</v>
      </c>
      <c r="G1009" s="21">
        <v>88</v>
      </c>
      <c r="H1009" s="39">
        <v>97</v>
      </c>
      <c r="I1009" s="40">
        <f>=H1009*1.05</f>
        <v>101.85</v>
      </c>
      <c r="J1009" s="40">
        <f>=F1009*2</f>
        <v>174.6</v>
      </c>
      <c r="K1009" s="40">
        <f>=H1009*2</f>
        <v>194</v>
      </c>
      <c r="L1009" s="40">
        <f>=I1009*2</f>
        <v>203.7</v>
      </c>
      <c r="M1009" s="41" t="s">
        <v>1091</v>
      </c>
      <c r="N1009" s="41">
        <v>0.089</v>
      </c>
      <c r="O1009" s="41" t="s"/>
      <c r="P1009" s="41" t="s">
        <v>21</v>
      </c>
      <c r="Q1009" s="41" t="s">
        <v>21</v>
      </c>
      <c r="R1009" s="41" t="s">
        <v>16</v>
      </c>
      <c r="S1009" s="41" t="s">
        <v>17</v>
      </c>
      <c r="T1009" s="41" t="s">
        <v>639</v>
      </c>
      <c r="U1009" s="16" t="s">
        <v>13</v>
      </c>
      <c r="V1009" s="16" t="s">
        <v>215</v>
      </c>
      <c r="W1009" s="19" t="s"/>
      <c r="X1009" s="26" t="s">
        <f>=M1009&amp;N1009&amp;P1009&amp;Q1009&amp;T1009&amp;V1009&amp;S1009</f>
        <v>1114</v>
      </c>
      <c r="Y1009" s="19" t="s"/>
      <c r="Z1009" s="19" t="s"/>
      <c r="AA1009" s="19" t="s"/>
      <c r="AB1009" s="19" t="s"/>
    </row>
    <row r="1010" spans="1:28" ht="14.4">
      <c r="A1010" s="4">
        <f>=H1010/G1010-1</f>
        <v>0.102272727272727</v>
      </c>
      <c r="B1010" s="20">
        <f>=F1010/12</f>
        <v>7.275</v>
      </c>
      <c r="C1010" s="20">
        <f>=J1010/3</f>
        <v>58.2</v>
      </c>
      <c r="D1010" s="20">
        <f>=K1010/3</f>
        <v>64.6666666666667</v>
      </c>
      <c r="E1010" s="20">
        <f>=L1010/3</f>
        <v>67.9</v>
      </c>
      <c r="F1010" s="20">
        <f>=H1010*0.9</f>
        <v>87.3</v>
      </c>
      <c r="G1010" s="21">
        <v>88</v>
      </c>
      <c r="H1010" s="39">
        <v>97</v>
      </c>
      <c r="I1010" s="40">
        <f>=H1010*1.05</f>
        <v>101.85</v>
      </c>
      <c r="J1010" s="40">
        <f>=F1010*2</f>
        <v>174.6</v>
      </c>
      <c r="K1010" s="40">
        <f>=H1010*2</f>
        <v>194</v>
      </c>
      <c r="L1010" s="40">
        <f>=I1010*2</f>
        <v>203.7</v>
      </c>
      <c r="M1010" s="41" t="s">
        <v>1091</v>
      </c>
      <c r="N1010" s="41">
        <v>0.089</v>
      </c>
      <c r="O1010" s="41" t="s"/>
      <c r="P1010" s="41" t="s">
        <v>21</v>
      </c>
      <c r="Q1010" s="41" t="s">
        <v>21</v>
      </c>
      <c r="R1010" s="41" t="s">
        <v>16</v>
      </c>
      <c r="S1010" s="41" t="s">
        <v>17</v>
      </c>
      <c r="T1010" s="41" t="s">
        <v>639</v>
      </c>
      <c r="U1010" s="16" t="s">
        <v>13</v>
      </c>
      <c r="V1010" s="16" t="s">
        <v>19</v>
      </c>
      <c r="W1010" s="19" t="s"/>
      <c r="X1010" s="26" t="s">
        <f>=M1010&amp;N1010&amp;P1010&amp;Q1010&amp;T1010&amp;V1010&amp;S1010</f>
        <v>1115</v>
      </c>
      <c r="Y1010" s="19" t="s"/>
      <c r="Z1010" s="19" t="s"/>
      <c r="AA1010" s="19" t="s"/>
      <c r="AB1010" s="19" t="s"/>
    </row>
    <row r="1011" spans="1:28" ht="14.4">
      <c r="A1011" s="4">
        <f>=H1011/G1011-1</f>
        <v>0.096774193548387</v>
      </c>
      <c r="B1011" s="20">
        <f>=F1011/12</f>
        <v>10.2</v>
      </c>
      <c r="C1011" s="20">
        <f>=J1011/3</f>
        <v>81.6</v>
      </c>
      <c r="D1011" s="20">
        <f>=K1011/3</f>
        <v>90.6666666666667</v>
      </c>
      <c r="E1011" s="20">
        <f>=L1011/3</f>
        <v>95.2</v>
      </c>
      <c r="F1011" s="20">
        <f>=H1011*0.9</f>
        <v>122.4</v>
      </c>
      <c r="G1011" s="21">
        <v>124</v>
      </c>
      <c r="H1011" s="39">
        <v>136</v>
      </c>
      <c r="I1011" s="40">
        <f>=H1011*1.05</f>
        <v>142.8</v>
      </c>
      <c r="J1011" s="40">
        <f>=F1011*2</f>
        <v>244.8</v>
      </c>
      <c r="K1011" s="40">
        <f>=H1011*2</f>
        <v>272</v>
      </c>
      <c r="L1011" s="40">
        <f>=I1011*2</f>
        <v>285.6</v>
      </c>
      <c r="M1011" s="41" t="s">
        <v>1091</v>
      </c>
      <c r="N1011" s="41">
        <v>0.102</v>
      </c>
      <c r="O1011" s="41" t="s"/>
      <c r="P1011" s="41">
        <v>1</v>
      </c>
      <c r="Q1011" s="41">
        <v>1</v>
      </c>
      <c r="R1011" s="41" t="s">
        <v>16</v>
      </c>
      <c r="S1011" s="41" t="s">
        <v>17</v>
      </c>
      <c r="T1011" s="41" t="s">
        <v>23</v>
      </c>
      <c r="U1011" s="16" t="s">
        <v>13</v>
      </c>
      <c r="V1011" s="16" t="s">
        <v>215</v>
      </c>
      <c r="W1011" s="19" t="s"/>
      <c r="X1011" s="26" t="s">
        <f>=M1011&amp;N1011&amp;P1011&amp;Q1011&amp;T1011&amp;V1011&amp;S1011</f>
        <v>1116</v>
      </c>
      <c r="Y1011" s="19" t="s"/>
      <c r="Z1011" s="19" t="s"/>
      <c r="AA1011" s="19" t="s"/>
      <c r="AB1011" s="19" t="s"/>
    </row>
    <row r="1012" spans="1:28" ht="14.4">
      <c r="A1012" s="4">
        <f>=H1012/G1012-1</f>
        <v>0.096774193548387</v>
      </c>
      <c r="B1012" s="20">
        <f>=F1012/12</f>
        <v>10.2</v>
      </c>
      <c r="C1012" s="20">
        <f>=J1012/3</f>
        <v>81.6</v>
      </c>
      <c r="D1012" s="20">
        <f>=K1012/3</f>
        <v>90.6666666666667</v>
      </c>
      <c r="E1012" s="20">
        <f>=L1012/3</f>
        <v>95.2</v>
      </c>
      <c r="F1012" s="20">
        <f>=H1012*0.9</f>
        <v>122.4</v>
      </c>
      <c r="G1012" s="21">
        <v>124</v>
      </c>
      <c r="H1012" s="39">
        <v>136</v>
      </c>
      <c r="I1012" s="40">
        <f>=H1012*1.05</f>
        <v>142.8</v>
      </c>
      <c r="J1012" s="40">
        <f>=F1012*2</f>
        <v>244.8</v>
      </c>
      <c r="K1012" s="40">
        <f>=H1012*2</f>
        <v>272</v>
      </c>
      <c r="L1012" s="40">
        <f>=I1012*2</f>
        <v>285.6</v>
      </c>
      <c r="M1012" s="41" t="s">
        <v>1091</v>
      </c>
      <c r="N1012" s="41">
        <v>0.102</v>
      </c>
      <c r="O1012" s="41" t="s"/>
      <c r="P1012" s="41">
        <v>1</v>
      </c>
      <c r="Q1012" s="41">
        <v>1</v>
      </c>
      <c r="R1012" s="41" t="s">
        <v>16</v>
      </c>
      <c r="S1012" s="41" t="s">
        <v>17</v>
      </c>
      <c r="T1012" s="41" t="s">
        <v>23</v>
      </c>
      <c r="U1012" s="16" t="s">
        <v>13</v>
      </c>
      <c r="V1012" s="16" t="s">
        <v>1083</v>
      </c>
      <c r="W1012" s="19" t="s"/>
      <c r="X1012" s="26" t="s">
        <f>=M1012&amp;N1012&amp;P1012&amp;Q1012&amp;T1012&amp;V1012&amp;S1012</f>
        <v>1117</v>
      </c>
      <c r="Y1012" s="19" t="s"/>
      <c r="Z1012" s="19" t="s"/>
      <c r="AA1012" s="19" t="s"/>
      <c r="AB1012" s="19" t="s"/>
    </row>
    <row r="1013" spans="1:28" ht="14.4">
      <c r="A1013" s="4">
        <f>=H1013/G1013-1</f>
        <v>0.103225806451613</v>
      </c>
      <c r="B1013" s="20">
        <f>=F1013/12</f>
        <v>12.825</v>
      </c>
      <c r="C1013" s="20">
        <f>=J1013/3</f>
        <v>102.6</v>
      </c>
      <c r="D1013" s="20">
        <f>=K1013/3</f>
        <v>114</v>
      </c>
      <c r="E1013" s="20">
        <f>=L1013/3</f>
        <v>119.7</v>
      </c>
      <c r="F1013" s="20">
        <f>=H1013*0.9</f>
        <v>153.9</v>
      </c>
      <c r="G1013" s="21">
        <v>155</v>
      </c>
      <c r="H1013" s="39">
        <v>171</v>
      </c>
      <c r="I1013" s="40">
        <f>=H1013*1.05</f>
        <v>179.55</v>
      </c>
      <c r="J1013" s="40">
        <f>=F1013*2</f>
        <v>307.8</v>
      </c>
      <c r="K1013" s="40">
        <f>=H1013*2</f>
        <v>342</v>
      </c>
      <c r="L1013" s="40">
        <f>=I1013*2</f>
        <v>359.1</v>
      </c>
      <c r="M1013" s="41" t="s">
        <v>1091</v>
      </c>
      <c r="N1013" s="41">
        <v>0.102</v>
      </c>
      <c r="O1013" s="41" t="s"/>
      <c r="P1013" s="41">
        <v>1</v>
      </c>
      <c r="Q1013" s="41">
        <v>1</v>
      </c>
      <c r="R1013" s="41" t="s">
        <v>16</v>
      </c>
      <c r="S1013" s="41" t="s">
        <v>17</v>
      </c>
      <c r="T1013" s="41" t="s">
        <v>639</v>
      </c>
      <c r="U1013" s="16" t="s">
        <v>13</v>
      </c>
      <c r="V1013" s="16" t="s">
        <v>215</v>
      </c>
      <c r="W1013" s="19" t="s"/>
      <c r="X1013" s="26" t="s">
        <f>=M1013&amp;N1013&amp;P1013&amp;Q1013&amp;T1013&amp;V1013&amp;S1013</f>
        <v>1118</v>
      </c>
      <c r="Y1013" s="19" t="s"/>
      <c r="Z1013" s="19" t="s"/>
      <c r="AA1013" s="19" t="s"/>
      <c r="AB1013" s="19" t="s"/>
    </row>
    <row r="1014" spans="1:28" ht="14.4">
      <c r="A1014" s="4">
        <f>=H1014/G1014-1</f>
        <v>0.0990990990990992</v>
      </c>
      <c r="B1014" s="20">
        <f>=F1014/12</f>
        <v>18.3</v>
      </c>
      <c r="C1014" s="20">
        <f>=J1014/3</f>
        <v>146.4</v>
      </c>
      <c r="D1014" s="20">
        <f>=K1014/3</f>
        <v>162.666666666667</v>
      </c>
      <c r="E1014" s="20">
        <f>=L1014/3</f>
        <v>170.8</v>
      </c>
      <c r="F1014" s="20">
        <f>=H1014*0.9</f>
        <v>219.6</v>
      </c>
      <c r="G1014" s="21">
        <v>222</v>
      </c>
      <c r="H1014" s="39">
        <v>244</v>
      </c>
      <c r="I1014" s="40">
        <f>=H1014*1.05</f>
        <v>256.2</v>
      </c>
      <c r="J1014" s="40">
        <f>=F1014*2</f>
        <v>439.2</v>
      </c>
      <c r="K1014" s="40">
        <f>=H1014*2</f>
        <v>488</v>
      </c>
      <c r="L1014" s="40">
        <f>=I1014*2</f>
        <v>512.4</v>
      </c>
      <c r="M1014" s="41" t="s">
        <v>1091</v>
      </c>
      <c r="N1014" s="41">
        <v>0.102</v>
      </c>
      <c r="O1014" s="41" t="s"/>
      <c r="P1014" s="41">
        <v>1</v>
      </c>
      <c r="Q1014" s="41">
        <v>2</v>
      </c>
      <c r="R1014" s="41" t="s">
        <v>16</v>
      </c>
      <c r="S1014" s="41" t="s">
        <v>17</v>
      </c>
      <c r="T1014" s="41" t="s">
        <v>27</v>
      </c>
      <c r="U1014" s="16" t="s">
        <v>13</v>
      </c>
      <c r="V1014" s="16" t="s">
        <v>1119</v>
      </c>
      <c r="W1014" s="19" t="s"/>
      <c r="X1014" s="26" t="s">
        <f>=M1014&amp;N1014&amp;P1014&amp;Q1014&amp;T1014&amp;V1014&amp;S1014</f>
        <v>1120</v>
      </c>
      <c r="Y1014" s="19" t="s"/>
      <c r="Z1014" s="19" t="s"/>
      <c r="AA1014" s="19" t="s"/>
      <c r="AB1014" s="19" t="s"/>
    </row>
    <row r="1015" spans="1:28" ht="14.4">
      <c r="A1015" s="4">
        <f>=H1015/G1015-1</f>
        <v>0.102040816326531</v>
      </c>
      <c r="B1015" s="20">
        <f>=F1015/12</f>
        <v>16.2</v>
      </c>
      <c r="C1015" s="20">
        <f>=J1015/3</f>
        <v>129.6</v>
      </c>
      <c r="D1015" s="20">
        <f>=K1015/3</f>
        <v>144</v>
      </c>
      <c r="E1015" s="20">
        <f>=L1015/3</f>
        <v>151.2</v>
      </c>
      <c r="F1015" s="20">
        <f>=H1015*0.9</f>
        <v>194.4</v>
      </c>
      <c r="G1015" s="21">
        <v>196</v>
      </c>
      <c r="H1015" s="39">
        <v>216</v>
      </c>
      <c r="I1015" s="40">
        <f>=H1015*1.05</f>
        <v>226.8</v>
      </c>
      <c r="J1015" s="40">
        <f>=F1015*2</f>
        <v>388.8</v>
      </c>
      <c r="K1015" s="40">
        <f>=H1015*2</f>
        <v>432</v>
      </c>
      <c r="L1015" s="40">
        <f>=I1015*2</f>
        <v>453.6</v>
      </c>
      <c r="M1015" s="41" t="s">
        <v>1091</v>
      </c>
      <c r="N1015" s="41">
        <v>0.102</v>
      </c>
      <c r="O1015" s="41" t="s"/>
      <c r="P1015" s="41">
        <v>1</v>
      </c>
      <c r="Q1015" s="41">
        <v>1</v>
      </c>
      <c r="R1015" s="41" t="s">
        <v>16</v>
      </c>
      <c r="S1015" s="41" t="s">
        <v>17</v>
      </c>
      <c r="T1015" s="41" t="s">
        <v>27</v>
      </c>
      <c r="U1015" s="16" t="s">
        <v>13</v>
      </c>
      <c r="V1015" s="16" t="s">
        <v>1083</v>
      </c>
      <c r="W1015" s="19" t="s"/>
      <c r="X1015" s="26" t="s">
        <f>=M1015&amp;N1015&amp;P1015&amp;Q1015&amp;T1015&amp;V1015&amp;S1015</f>
        <v>1121</v>
      </c>
      <c r="Y1015" s="19" t="s"/>
      <c r="Z1015" s="19" t="s"/>
      <c r="AA1015" s="19" t="s"/>
      <c r="AB1015" s="19" t="s"/>
    </row>
    <row r="1016" spans="1:28" ht="14.4">
      <c r="A1016" s="4">
        <f>=H1016/G1016-1</f>
        <v>-0.0497237569060773</v>
      </c>
      <c r="B1016" s="20">
        <f>=F1016/12</f>
        <v>12.9</v>
      </c>
      <c r="C1016" s="20">
        <f>=J1016/3</f>
        <v>103.2</v>
      </c>
      <c r="D1016" s="20">
        <f>=K1016/3</f>
        <v>114.666666666667</v>
      </c>
      <c r="E1016" s="20">
        <f>=L1016/3</f>
        <v>120.4</v>
      </c>
      <c r="F1016" s="20">
        <f>=H1016*0.9</f>
        <v>154.8</v>
      </c>
      <c r="G1016" s="21">
        <v>181</v>
      </c>
      <c r="H1016" s="39">
        <v>172</v>
      </c>
      <c r="I1016" s="40">
        <f>=H1016*1.05</f>
        <v>180.6</v>
      </c>
      <c r="J1016" s="40">
        <f>=F1016*2</f>
        <v>309.6</v>
      </c>
      <c r="K1016" s="40">
        <f>=H1016*2</f>
        <v>344</v>
      </c>
      <c r="L1016" s="40">
        <f>=I1016*2</f>
        <v>361.2</v>
      </c>
      <c r="M1016" s="41" t="s">
        <v>1091</v>
      </c>
      <c r="N1016" s="41">
        <v>0.102</v>
      </c>
      <c r="O1016" s="41" t="s"/>
      <c r="P1016" s="41">
        <v>1</v>
      </c>
      <c r="Q1016" s="41">
        <v>1</v>
      </c>
      <c r="R1016" s="41" t="s">
        <v>16</v>
      </c>
      <c r="S1016" s="41" t="s">
        <v>17</v>
      </c>
      <c r="T1016" s="41" t="s">
        <v>27</v>
      </c>
      <c r="U1016" s="16" t="s">
        <v>13</v>
      </c>
      <c r="V1016" s="16" t="s">
        <v>215</v>
      </c>
      <c r="W1016" s="124" t="s">
        <v>1122</v>
      </c>
      <c r="X1016" s="26" t="s">
        <f>=M1016&amp;N1016&amp;P1016&amp;Q1016&amp;T1016&amp;V1016&amp;S1016</f>
        <v>1123</v>
      </c>
      <c r="Y1016" s="19" t="s"/>
      <c r="Z1016" s="19" t="s"/>
      <c r="AA1016" s="19" t="s"/>
      <c r="AB1016" s="19" t="s"/>
    </row>
    <row r="1017" spans="1:28" ht="14.4">
      <c r="A1017" s="4">
        <f>=H1017/G1017-1</f>
        <v>0.0980392156862746</v>
      </c>
      <c r="B1017" s="20">
        <f>=F1017/12</f>
        <v>16.8</v>
      </c>
      <c r="C1017" s="20">
        <f>=J1017/3</f>
        <v>134.4</v>
      </c>
      <c r="D1017" s="20">
        <f>=K1017/3</f>
        <v>149.333333333333</v>
      </c>
      <c r="E1017" s="20">
        <f>=L1017/3</f>
        <v>156.8</v>
      </c>
      <c r="F1017" s="20">
        <f>=H1017*0.9</f>
        <v>201.6</v>
      </c>
      <c r="G1017" s="21">
        <v>204</v>
      </c>
      <c r="H1017" s="39">
        <v>224</v>
      </c>
      <c r="I1017" s="40">
        <f>=H1017*1.05</f>
        <v>235.2</v>
      </c>
      <c r="J1017" s="40">
        <f>=F1017*2</f>
        <v>403.2</v>
      </c>
      <c r="K1017" s="40">
        <f>=H1017*2</f>
        <v>448</v>
      </c>
      <c r="L1017" s="40">
        <f>=I1017*2</f>
        <v>470.4</v>
      </c>
      <c r="M1017" s="41" t="s">
        <v>1091</v>
      </c>
      <c r="N1017" s="41">
        <v>0.102</v>
      </c>
      <c r="O1017" s="41" t="s"/>
      <c r="P1017" s="41">
        <v>1</v>
      </c>
      <c r="Q1017" s="41">
        <v>2</v>
      </c>
      <c r="R1017" s="41" t="s">
        <v>16</v>
      </c>
      <c r="S1017" s="41" t="s">
        <v>17</v>
      </c>
      <c r="T1017" s="41" t="s">
        <v>27</v>
      </c>
      <c r="U1017" s="16" t="s">
        <v>13</v>
      </c>
      <c r="V1017" s="16" t="s">
        <v>215</v>
      </c>
      <c r="W1017" s="124" t="s"/>
      <c r="X1017" s="26" t="s">
        <f>=M1017&amp;N1017&amp;P1017&amp;Q1017&amp;T1017&amp;V1017&amp;S1017</f>
        <v>1124</v>
      </c>
      <c r="Y1017" s="19" t="s"/>
      <c r="Z1017" s="19" t="s"/>
      <c r="AA1017" s="19" t="s"/>
      <c r="AB1017" s="19" t="s"/>
    </row>
    <row r="1018" spans="1:28" ht="14.4">
      <c r="A1018" s="4">
        <f>=H1018/G1018-1</f>
        <v>0.0980392156862746</v>
      </c>
      <c r="B1018" s="20">
        <f>=F1018/12</f>
        <v>16.8</v>
      </c>
      <c r="C1018" s="20">
        <f>=J1018/3</f>
        <v>134.4</v>
      </c>
      <c r="D1018" s="20">
        <f>=K1018/3</f>
        <v>149.333333333333</v>
      </c>
      <c r="E1018" s="20">
        <f>=L1018/3</f>
        <v>156.8</v>
      </c>
      <c r="F1018" s="20">
        <f>=H1018*0.9</f>
        <v>201.6</v>
      </c>
      <c r="G1018" s="21">
        <v>204</v>
      </c>
      <c r="H1018" s="39">
        <v>224</v>
      </c>
      <c r="I1018" s="40">
        <f>=H1018*1.05</f>
        <v>235.2</v>
      </c>
      <c r="J1018" s="40">
        <f>=F1018*2</f>
        <v>403.2</v>
      </c>
      <c r="K1018" s="40">
        <f>=H1018*2</f>
        <v>448</v>
      </c>
      <c r="L1018" s="40">
        <f>=I1018*2</f>
        <v>470.4</v>
      </c>
      <c r="M1018" s="41" t="s">
        <v>1091</v>
      </c>
      <c r="N1018" s="41">
        <v>0.102</v>
      </c>
      <c r="O1018" s="41" t="s"/>
      <c r="P1018" s="41">
        <v>1</v>
      </c>
      <c r="Q1018" s="41">
        <v>2</v>
      </c>
      <c r="R1018" s="41" t="s">
        <v>16</v>
      </c>
      <c r="S1018" s="41" t="s">
        <v>17</v>
      </c>
      <c r="T1018" s="41" t="s">
        <v>23</v>
      </c>
      <c r="U1018" s="16" t="s">
        <v>13</v>
      </c>
      <c r="V1018" s="16" t="s">
        <v>215</v>
      </c>
      <c r="W1018" s="19" t="s"/>
      <c r="X1018" s="26" t="s">
        <f>=M1018&amp;N1018&amp;P1018&amp;Q1018&amp;T1018&amp;V1018&amp;S1018</f>
        <v>1125</v>
      </c>
      <c r="Y1018" s="19" t="s"/>
      <c r="Z1018" s="19" t="s"/>
      <c r="AA1018" s="19" t="s"/>
      <c r="AB1018" s="19" t="s"/>
    </row>
    <row r="1019" spans="1:28" ht="14.4">
      <c r="A1019" s="4">
        <f>=H1019/G1019-1</f>
        <v>0.100478468899522</v>
      </c>
      <c r="B1019" s="20">
        <f>=F1019/12</f>
        <v>17.25</v>
      </c>
      <c r="C1019" s="20">
        <f>=J1019/3</f>
        <v>138</v>
      </c>
      <c r="D1019" s="20">
        <f>=K1019/3</f>
        <v>153.333333333333</v>
      </c>
      <c r="E1019" s="20">
        <f>=L1019/3</f>
        <v>161</v>
      </c>
      <c r="F1019" s="20">
        <f>=H1019*0.9</f>
        <v>207</v>
      </c>
      <c r="G1019" s="21">
        <v>209</v>
      </c>
      <c r="H1019" s="39">
        <v>230</v>
      </c>
      <c r="I1019" s="40">
        <f>=H1019*1.05</f>
        <v>241.5</v>
      </c>
      <c r="J1019" s="40">
        <f>=F1019*2</f>
        <v>414</v>
      </c>
      <c r="K1019" s="40">
        <f>=H1019*2</f>
        <v>460</v>
      </c>
      <c r="L1019" s="40">
        <f>=I1019*2</f>
        <v>483</v>
      </c>
      <c r="M1019" s="41" t="s">
        <v>1091</v>
      </c>
      <c r="N1019" s="41">
        <v>0.102</v>
      </c>
      <c r="O1019" s="41" t="s"/>
      <c r="P1019" s="41">
        <v>1</v>
      </c>
      <c r="Q1019" s="41">
        <v>2</v>
      </c>
      <c r="R1019" s="41" t="s">
        <v>16</v>
      </c>
      <c r="S1019" s="41" t="s">
        <v>17</v>
      </c>
      <c r="T1019" s="41" t="s">
        <v>639</v>
      </c>
      <c r="U1019" s="16" t="s">
        <v>13</v>
      </c>
      <c r="V1019" s="16" t="s">
        <v>215</v>
      </c>
      <c r="W1019" s="19" t="s"/>
      <c r="X1019" s="26" t="s">
        <f>=M1019&amp;N1019&amp;P1019&amp;Q1019&amp;T1019&amp;V1019&amp;S1019</f>
        <v>1126</v>
      </c>
      <c r="Y1019" s="19" t="s"/>
      <c r="Z1019" s="19" t="s"/>
      <c r="AA1019" s="19" t="s"/>
      <c r="AB1019" s="19" t="s"/>
    </row>
    <row r="1020" spans="1:28" ht="14.4">
      <c r="A1020" s="4">
        <f>=H1020/G1020-1</f>
        <v>0.0996168582375479</v>
      </c>
      <c r="B1020" s="20">
        <f>=F1020/12</f>
        <v>21.525</v>
      </c>
      <c r="C1020" s="20">
        <f>=J1020/3</f>
        <v>172.2</v>
      </c>
      <c r="D1020" s="20">
        <f>=K1020/3</f>
        <v>191.333333333333</v>
      </c>
      <c r="E1020" s="20">
        <f>=L1020/3</f>
        <v>200.9</v>
      </c>
      <c r="F1020" s="20">
        <f>=H1020*0.9</f>
        <v>258.3</v>
      </c>
      <c r="G1020" s="21">
        <v>261</v>
      </c>
      <c r="H1020" s="39">
        <v>287</v>
      </c>
      <c r="I1020" s="40">
        <f>=H1020*1.05</f>
        <v>301.35</v>
      </c>
      <c r="J1020" s="40">
        <f>=F1020*2</f>
        <v>516.6</v>
      </c>
      <c r="K1020" s="40">
        <f>=H1020*2</f>
        <v>574</v>
      </c>
      <c r="L1020" s="40">
        <f>=I1020*2</f>
        <v>602.7</v>
      </c>
      <c r="M1020" s="41" t="s">
        <v>1091</v>
      </c>
      <c r="N1020" s="41">
        <v>0.102</v>
      </c>
      <c r="O1020" s="41" t="s"/>
      <c r="P1020" s="41">
        <v>2</v>
      </c>
      <c r="Q1020" s="41">
        <v>2</v>
      </c>
      <c r="R1020" s="41" t="s">
        <v>16</v>
      </c>
      <c r="S1020" s="41" t="s">
        <v>17</v>
      </c>
      <c r="T1020" s="41" t="s">
        <v>639</v>
      </c>
      <c r="U1020" s="16" t="s">
        <v>13</v>
      </c>
      <c r="V1020" s="16" t="s">
        <v>215</v>
      </c>
      <c r="W1020" s="19" t="s"/>
      <c r="X1020" s="26" t="s">
        <f>=M1020&amp;N1020&amp;P1020&amp;Q1020&amp;T1020&amp;V1020&amp;S1020</f>
        <v>1127</v>
      </c>
      <c r="Y1020" s="19" t="s"/>
      <c r="Z1020" s="19" t="s"/>
      <c r="AA1020" s="19" t="s"/>
      <c r="AB1020" s="19" t="s"/>
    </row>
    <row r="1021" spans="1:28" ht="14.4">
      <c r="A1021" s="4">
        <f>=H1021/G1021-1</f>
        <v>0.0996168582375479</v>
      </c>
      <c r="B1021" s="20">
        <f>=F1021/12</f>
        <v>21.525</v>
      </c>
      <c r="C1021" s="20">
        <f>=J1021/3</f>
        <v>172.2</v>
      </c>
      <c r="D1021" s="20">
        <f>=K1021/3</f>
        <v>191.333333333333</v>
      </c>
      <c r="E1021" s="20">
        <f>=L1021/3</f>
        <v>200.9</v>
      </c>
      <c r="F1021" s="20">
        <f>=H1021*0.9</f>
        <v>258.3</v>
      </c>
      <c r="G1021" s="21">
        <v>261</v>
      </c>
      <c r="H1021" s="39">
        <v>287</v>
      </c>
      <c r="I1021" s="40">
        <f>=H1021*1.05</f>
        <v>301.35</v>
      </c>
      <c r="J1021" s="40">
        <f>=F1021*2</f>
        <v>516.6</v>
      </c>
      <c r="K1021" s="40">
        <f>=H1021*2</f>
        <v>574</v>
      </c>
      <c r="L1021" s="40">
        <f>=I1021*2</f>
        <v>602.7</v>
      </c>
      <c r="M1021" s="41" t="s">
        <v>1091</v>
      </c>
      <c r="N1021" s="41">
        <v>0.102</v>
      </c>
      <c r="O1021" s="41" t="s"/>
      <c r="P1021" s="41">
        <v>2</v>
      </c>
      <c r="Q1021" s="41">
        <v>2</v>
      </c>
      <c r="R1021" s="41" t="s">
        <v>16</v>
      </c>
      <c r="S1021" s="41" t="s">
        <v>17</v>
      </c>
      <c r="T1021" s="41" t="s">
        <v>27</v>
      </c>
      <c r="U1021" s="16" t="s">
        <v>13</v>
      </c>
      <c r="V1021" s="16" t="s">
        <v>215</v>
      </c>
      <c r="W1021" s="124" t="s"/>
      <c r="X1021" s="26" t="s">
        <f>=M1021&amp;N1021&amp;P1021&amp;Q1021&amp;T1021&amp;V1021&amp;S1021</f>
        <v>1128</v>
      </c>
      <c r="Y1021" s="19" t="s"/>
      <c r="Z1021" s="19" t="s"/>
      <c r="AA1021" s="19" t="s"/>
      <c r="AB1021" s="19" t="s"/>
    </row>
    <row r="1022" spans="1:28" ht="14.4">
      <c r="A1022" s="4">
        <f>=H1022/G1022-1</f>
        <v>0.1</v>
      </c>
      <c r="B1022" s="20">
        <f>=F1022/12</f>
        <v>22.275</v>
      </c>
      <c r="C1022" s="20">
        <f>=J1022/3</f>
        <v>178.2</v>
      </c>
      <c r="D1022" s="20">
        <f>=K1022/3</f>
        <v>198</v>
      </c>
      <c r="E1022" s="20">
        <f>=L1022/3</f>
        <v>207.9</v>
      </c>
      <c r="F1022" s="20">
        <f>=H1022*0.9</f>
        <v>267.3</v>
      </c>
      <c r="G1022" s="21">
        <v>270</v>
      </c>
      <c r="H1022" s="39">
        <v>297</v>
      </c>
      <c r="I1022" s="40">
        <f>=H1022*1.05</f>
        <v>311.85</v>
      </c>
      <c r="J1022" s="40">
        <f>=F1022*2</f>
        <v>534.6</v>
      </c>
      <c r="K1022" s="40">
        <f>=H1022*2</f>
        <v>594</v>
      </c>
      <c r="L1022" s="40">
        <f>=I1022*2</f>
        <v>623.7</v>
      </c>
      <c r="M1022" s="41" t="s">
        <v>1091</v>
      </c>
      <c r="N1022" s="41">
        <v>0.102</v>
      </c>
      <c r="O1022" s="41" t="s"/>
      <c r="P1022" s="41">
        <v>2</v>
      </c>
      <c r="Q1022" s="41">
        <v>2</v>
      </c>
      <c r="R1022" s="41" t="s">
        <v>16</v>
      </c>
      <c r="S1022" s="41" t="s">
        <v>17</v>
      </c>
      <c r="T1022" s="41" t="s">
        <v>654</v>
      </c>
      <c r="U1022" s="16" t="s">
        <v>13</v>
      </c>
      <c r="V1022" s="16" t="s">
        <v>215</v>
      </c>
      <c r="W1022" s="124" t="s"/>
      <c r="X1022" s="26" t="s">
        <f>=M1022&amp;N1022&amp;P1022&amp;Q1022&amp;T1022&amp;V1022&amp;S1022</f>
        <v>1129</v>
      </c>
      <c r="Y1022" s="19" t="s"/>
      <c r="Z1022" s="19" t="s"/>
      <c r="AA1022" s="19" t="s"/>
      <c r="AB1022" s="19" t="s"/>
    </row>
    <row r="1023" spans="1:28" ht="14.4">
      <c r="A1023" s="4">
        <f>=H1023/G1023-1</f>
        <v>0.101123595505618</v>
      </c>
      <c r="B1023" s="20">
        <f>=F1023/12</f>
        <v>29.4</v>
      </c>
      <c r="C1023" s="20">
        <f>=J1023/3</f>
        <v>235.2</v>
      </c>
      <c r="D1023" s="20">
        <f>=K1023/3</f>
        <v>261.333333333333</v>
      </c>
      <c r="E1023" s="20">
        <f>=L1023/3</f>
        <v>274.4</v>
      </c>
      <c r="F1023" s="20">
        <f>=H1023*0.9</f>
        <v>352.8</v>
      </c>
      <c r="G1023" s="21">
        <v>356</v>
      </c>
      <c r="H1023" s="39">
        <v>392</v>
      </c>
      <c r="I1023" s="40">
        <f>=H1023*1.05</f>
        <v>411.6</v>
      </c>
      <c r="J1023" s="40">
        <f>=F1023*2</f>
        <v>705.6</v>
      </c>
      <c r="K1023" s="40">
        <f>=H1023*2</f>
        <v>784</v>
      </c>
      <c r="L1023" s="40">
        <f>=I1023*2</f>
        <v>823.2</v>
      </c>
      <c r="M1023" s="41" t="s">
        <v>1091</v>
      </c>
      <c r="N1023" s="41">
        <v>0.102</v>
      </c>
      <c r="O1023" s="41" t="s"/>
      <c r="P1023" s="41">
        <v>2</v>
      </c>
      <c r="Q1023" s="41">
        <v>2</v>
      </c>
      <c r="R1023" s="41" t="s">
        <v>16</v>
      </c>
      <c r="S1023" s="41" t="s">
        <v>17</v>
      </c>
      <c r="T1023" s="41" t="s">
        <v>654</v>
      </c>
      <c r="U1023" s="16" t="s">
        <v>13</v>
      </c>
      <c r="V1023" s="16" t="s">
        <v>215</v>
      </c>
      <c r="W1023" s="19" t="s"/>
      <c r="X1023" s="26" t="s">
        <f>=M1023&amp;N1023&amp;P1023&amp;Q1023&amp;T1023&amp;V1023&amp;S1023</f>
        <v>1129</v>
      </c>
      <c r="Y1023" s="19" t="s"/>
      <c r="Z1023" s="19" t="s"/>
      <c r="AA1023" s="19" t="s"/>
      <c r="AB1023" s="19" t="s"/>
    </row>
    <row r="1024" spans="1:28" ht="14.4">
      <c r="A1024" s="4">
        <f>=H1024/G1024-1</f>
        <v>0.103703703703704</v>
      </c>
      <c r="B1024" s="20">
        <f>=F1024/12</f>
        <v>11.175</v>
      </c>
      <c r="C1024" s="20">
        <f>=J1024/3</f>
        <v>89.4</v>
      </c>
      <c r="D1024" s="20">
        <f>=K1024/3</f>
        <v>99.3333333333333</v>
      </c>
      <c r="E1024" s="20">
        <f>=L1024/3</f>
        <v>104.3</v>
      </c>
      <c r="F1024" s="20">
        <f>=H1024*0.9</f>
        <v>134.1</v>
      </c>
      <c r="G1024" s="21">
        <v>135</v>
      </c>
      <c r="H1024" s="39">
        <v>149</v>
      </c>
      <c r="I1024" s="40">
        <f>=H1024*1.05</f>
        <v>156.45</v>
      </c>
      <c r="J1024" s="40">
        <f>=F1024*2</f>
        <v>268.2</v>
      </c>
      <c r="K1024" s="40">
        <f>=H1024*2</f>
        <v>298</v>
      </c>
      <c r="L1024" s="40">
        <f>=I1024*2</f>
        <v>312.9</v>
      </c>
      <c r="M1024" s="41" t="s">
        <v>1091</v>
      </c>
      <c r="N1024" s="41">
        <v>0.102</v>
      </c>
      <c r="O1024" s="41" t="s"/>
      <c r="P1024" s="41" t="s">
        <v>21</v>
      </c>
      <c r="Q1024" s="41" t="s">
        <v>21</v>
      </c>
      <c r="R1024" s="41" t="s">
        <v>16</v>
      </c>
      <c r="S1024" s="41" t="s">
        <v>17</v>
      </c>
      <c r="T1024" s="41" t="s">
        <v>654</v>
      </c>
      <c r="U1024" s="16" t="s">
        <v>13</v>
      </c>
      <c r="V1024" s="16" t="s">
        <v>1083</v>
      </c>
      <c r="W1024" s="19" t="s"/>
      <c r="X1024" s="26" t="s">
        <f>=M1024&amp;N1024&amp;P1024&amp;Q1024&amp;T1024&amp;V1024&amp;S1024</f>
        <v>1130</v>
      </c>
      <c r="Y1024" s="19" t="s"/>
      <c r="Z1024" s="19" t="s"/>
      <c r="AA1024" s="19" t="s"/>
      <c r="AB1024" s="19" t="s"/>
    </row>
    <row r="1025" spans="1:28" ht="14.4">
      <c r="A1025" s="4">
        <f>=H1025/G1025-1</f>
        <v>0.0980392156862746</v>
      </c>
      <c r="B1025" s="20">
        <f>=F1025/12</f>
        <v>8.4</v>
      </c>
      <c r="C1025" s="20">
        <f>=J1025/3</f>
        <v>67.2</v>
      </c>
      <c r="D1025" s="20">
        <f>=K1025/3</f>
        <v>74.6666666666667</v>
      </c>
      <c r="E1025" s="20">
        <f>=L1025/3</f>
        <v>78.4</v>
      </c>
      <c r="F1025" s="20">
        <f>=H1025*0.9</f>
        <v>100.8</v>
      </c>
      <c r="G1025" s="21">
        <v>102</v>
      </c>
      <c r="H1025" s="39">
        <v>112</v>
      </c>
      <c r="I1025" s="40">
        <f>=H1025*1.05</f>
        <v>117.6</v>
      </c>
      <c r="J1025" s="40">
        <f>=F1025*2</f>
        <v>201.6</v>
      </c>
      <c r="K1025" s="40">
        <f>=H1025*2</f>
        <v>224</v>
      </c>
      <c r="L1025" s="40">
        <f>=I1025*2</f>
        <v>235.2</v>
      </c>
      <c r="M1025" s="41" t="s">
        <v>1091</v>
      </c>
      <c r="N1025" s="41">
        <v>0.102</v>
      </c>
      <c r="O1025" s="41" t="s"/>
      <c r="P1025" s="41" t="s">
        <v>21</v>
      </c>
      <c r="Q1025" s="41" t="s">
        <v>21</v>
      </c>
      <c r="R1025" s="41" t="s">
        <v>16</v>
      </c>
      <c r="S1025" s="41" t="s">
        <v>17</v>
      </c>
      <c r="T1025" s="41" t="s">
        <v>639</v>
      </c>
      <c r="U1025" s="16" t="s">
        <v>13</v>
      </c>
      <c r="V1025" s="16" t="s">
        <v>215</v>
      </c>
      <c r="W1025" s="19" t="s"/>
      <c r="X1025" s="26" t="s">
        <f>=M1025&amp;N1025&amp;P1025&amp;Q1025&amp;T1025&amp;V1025&amp;S1025</f>
        <v>1131</v>
      </c>
      <c r="Y1025" s="19" t="s"/>
      <c r="Z1025" s="19" t="s"/>
      <c r="AA1025" s="19" t="s"/>
      <c r="AB1025" s="19" t="s"/>
    </row>
    <row r="1026" spans="1:28" ht="14.4">
      <c r="A1026" s="4">
        <f>=H1026/G1026-1</f>
        <v>0.098901098901099</v>
      </c>
      <c r="B1026" s="20">
        <f>=F1026/12</f>
        <v>7.5</v>
      </c>
      <c r="C1026" s="20">
        <f>=J1026/3</f>
        <v>60</v>
      </c>
      <c r="D1026" s="20">
        <f>=K1026/3</f>
        <v>66.6666666666667</v>
      </c>
      <c r="E1026" s="20">
        <f>=L1026/3</f>
        <v>70</v>
      </c>
      <c r="F1026" s="20">
        <f>=H1026*0.9</f>
        <v>90</v>
      </c>
      <c r="G1026" s="21">
        <v>91</v>
      </c>
      <c r="H1026" s="39">
        <v>100</v>
      </c>
      <c r="I1026" s="40">
        <f>=H1026*1.05</f>
        <v>105</v>
      </c>
      <c r="J1026" s="40">
        <f>=F1026*2</f>
        <v>180</v>
      </c>
      <c r="K1026" s="40">
        <f>=H1026*2</f>
        <v>200</v>
      </c>
      <c r="L1026" s="40">
        <f>=I1026*2</f>
        <v>210</v>
      </c>
      <c r="M1026" s="41" t="s">
        <v>1091</v>
      </c>
      <c r="N1026" s="41">
        <v>0.102</v>
      </c>
      <c r="O1026" s="41" t="s"/>
      <c r="P1026" s="41" t="s">
        <v>21</v>
      </c>
      <c r="Q1026" s="41" t="s">
        <v>21</v>
      </c>
      <c r="R1026" s="41" t="s">
        <v>16</v>
      </c>
      <c r="S1026" s="41" t="s">
        <v>17</v>
      </c>
      <c r="T1026" s="41" t="s">
        <v>23</v>
      </c>
      <c r="U1026" s="16" t="s">
        <v>13</v>
      </c>
      <c r="V1026" s="16" t="s">
        <v>215</v>
      </c>
      <c r="W1026" s="19" t="s"/>
      <c r="X1026" s="26" t="s">
        <f>=M1026&amp;N1026&amp;P1026&amp;Q1026&amp;T1026&amp;V1026&amp;S1026</f>
        <v>1132</v>
      </c>
      <c r="Y1026" s="19" t="s"/>
      <c r="Z1026" s="19" t="s"/>
      <c r="AA1026" s="19" t="s"/>
      <c r="AB1026" s="19" t="s"/>
    </row>
    <row r="1027" spans="1:28" ht="14.4">
      <c r="A1027" s="4">
        <f>=H1027/G1027-1</f>
        <v>0.0970149253731343</v>
      </c>
      <c r="B1027" s="20">
        <f>=F1027/12</f>
        <v>11.025</v>
      </c>
      <c r="C1027" s="20">
        <f>=J1027/3</f>
        <v>88.2</v>
      </c>
      <c r="D1027" s="20">
        <f>=K1027/3</f>
        <v>98</v>
      </c>
      <c r="E1027" s="20">
        <f>=L1027/3</f>
        <v>102.9</v>
      </c>
      <c r="F1027" s="20">
        <f>=H1027*0.9</f>
        <v>132.3</v>
      </c>
      <c r="G1027" s="21">
        <v>134</v>
      </c>
      <c r="H1027" s="39">
        <v>147</v>
      </c>
      <c r="I1027" s="40">
        <f>=H1027*1.05</f>
        <v>154.35</v>
      </c>
      <c r="J1027" s="40">
        <f>=F1027*2</f>
        <v>264.6</v>
      </c>
      <c r="K1027" s="40">
        <f>=H1027*2</f>
        <v>294</v>
      </c>
      <c r="L1027" s="40">
        <f>=I1027*2</f>
        <v>308.7</v>
      </c>
      <c r="M1027" s="41" t="s">
        <v>1091</v>
      </c>
      <c r="N1027" s="41">
        <v>0.114</v>
      </c>
      <c r="O1027" s="41" t="s"/>
      <c r="P1027" s="41">
        <v>1</v>
      </c>
      <c r="Q1027" s="41">
        <v>1</v>
      </c>
      <c r="R1027" s="41" t="s">
        <v>16</v>
      </c>
      <c r="S1027" s="41" t="s">
        <v>17</v>
      </c>
      <c r="T1027" s="41" t="s">
        <v>23</v>
      </c>
      <c r="U1027" s="16" t="s">
        <v>13</v>
      </c>
      <c r="V1027" s="16" t="s">
        <v>215</v>
      </c>
      <c r="W1027" s="19" t="s"/>
      <c r="X1027" s="26" t="s">
        <f>=M1027&amp;N1027&amp;P1027&amp;Q1027&amp;T1027&amp;V1027&amp;S1027</f>
        <v>1133</v>
      </c>
      <c r="Y1027" s="19" t="s"/>
      <c r="Z1027" s="19" t="s"/>
      <c r="AA1027" s="19" t="s"/>
      <c r="AB1027" s="19" t="s"/>
    </row>
    <row r="1028" spans="1:28" ht="14.4">
      <c r="A1028" s="4">
        <f>=H1028/G1028-1</f>
        <v>0.0974025974025974</v>
      </c>
      <c r="B1028" s="20">
        <f>=F1028/12</f>
        <v>12.675</v>
      </c>
      <c r="C1028" s="20">
        <f>=J1028/3</f>
        <v>101.4</v>
      </c>
      <c r="D1028" s="20">
        <f>=K1028/3</f>
        <v>112.666666666667</v>
      </c>
      <c r="E1028" s="20">
        <f>=L1028/3</f>
        <v>118.3</v>
      </c>
      <c r="F1028" s="20">
        <f>=H1028*0.9</f>
        <v>152.1</v>
      </c>
      <c r="G1028" s="21">
        <v>154</v>
      </c>
      <c r="H1028" s="39">
        <v>169</v>
      </c>
      <c r="I1028" s="40">
        <f>=H1028*1.05</f>
        <v>177.45</v>
      </c>
      <c r="J1028" s="40">
        <f>=F1028*2</f>
        <v>304.2</v>
      </c>
      <c r="K1028" s="40">
        <f>=H1028*2</f>
        <v>338</v>
      </c>
      <c r="L1028" s="40">
        <f>=I1028*2</f>
        <v>354.9</v>
      </c>
      <c r="M1028" s="41" t="s">
        <v>1091</v>
      </c>
      <c r="N1028" s="41">
        <v>0.114</v>
      </c>
      <c r="O1028" s="41" t="s"/>
      <c r="P1028" s="41">
        <v>1</v>
      </c>
      <c r="Q1028" s="41">
        <v>1</v>
      </c>
      <c r="R1028" s="41" t="s">
        <v>16</v>
      </c>
      <c r="S1028" s="41" t="s">
        <v>17</v>
      </c>
      <c r="T1028" s="41" t="s">
        <v>654</v>
      </c>
      <c r="U1028" s="16" t="s">
        <v>13</v>
      </c>
      <c r="V1028" s="16" t="s">
        <v>215</v>
      </c>
      <c r="W1028" s="19" t="s"/>
      <c r="X1028" s="26" t="s">
        <f>=M1028&amp;N1028&amp;P1028&amp;Q1028&amp;T1028&amp;V1028&amp;S1028</f>
        <v>1134</v>
      </c>
      <c r="Y1028" s="19" t="s"/>
      <c r="Z1028" s="19" t="s"/>
      <c r="AA1028" s="19" t="s"/>
      <c r="AB1028" s="19" t="s"/>
    </row>
    <row r="1029" spans="1:28" ht="14.4">
      <c r="A1029" s="4">
        <f>=H1029/G1029-1</f>
        <v>0.103092783505155</v>
      </c>
      <c r="B1029" s="20">
        <f>=F1029/12</f>
        <v>8.025</v>
      </c>
      <c r="C1029" s="20">
        <f>=J1029/3</f>
        <v>64.2</v>
      </c>
      <c r="D1029" s="20">
        <f>=K1029/3</f>
        <v>71.3333333333333</v>
      </c>
      <c r="E1029" s="20">
        <f>=L1029/3</f>
        <v>74.9</v>
      </c>
      <c r="F1029" s="20">
        <f>=H1029*0.9</f>
        <v>96.3</v>
      </c>
      <c r="G1029" s="21">
        <v>97</v>
      </c>
      <c r="H1029" s="39">
        <v>107</v>
      </c>
      <c r="I1029" s="40">
        <f>=H1029*1.05</f>
        <v>112.35</v>
      </c>
      <c r="J1029" s="40">
        <f>=F1029*2</f>
        <v>192.6</v>
      </c>
      <c r="K1029" s="40">
        <f>=H1029*2</f>
        <v>214</v>
      </c>
      <c r="L1029" s="40">
        <f>=I1029*2</f>
        <v>224.7</v>
      </c>
      <c r="M1029" s="41" t="s">
        <v>1091</v>
      </c>
      <c r="N1029" s="41">
        <v>0.114</v>
      </c>
      <c r="O1029" s="41" t="s"/>
      <c r="P1029" s="41" t="s">
        <v>21</v>
      </c>
      <c r="Q1029" s="41" t="s">
        <v>21</v>
      </c>
      <c r="R1029" s="41" t="s">
        <v>16</v>
      </c>
      <c r="S1029" s="41" t="s">
        <v>17</v>
      </c>
      <c r="T1029" s="41" t="s">
        <v>23</v>
      </c>
      <c r="U1029" s="16" t="s">
        <v>13</v>
      </c>
      <c r="V1029" s="16" t="s">
        <v>215</v>
      </c>
      <c r="W1029" s="19" t="s"/>
      <c r="X1029" s="26" t="s">
        <f>=M1029&amp;N1029&amp;P1029&amp;Q1029&amp;T1029&amp;V1029&amp;S1029</f>
        <v>1135</v>
      </c>
      <c r="Y1029" s="19" t="s"/>
      <c r="Z1029" s="19" t="s"/>
      <c r="AA1029" s="19" t="s"/>
      <c r="AB1029" s="19" t="s"/>
    </row>
    <row r="1030" spans="1:29" ht="14.4">
      <c r="A1030" s="42">
        <f>=H1030/G1030-1</f>
        <v>0.477611940298508</v>
      </c>
      <c r="B1030" s="43">
        <f>=F1030/12</f>
        <v>14.85</v>
      </c>
      <c r="C1030" s="43">
        <f>=J1030/3</f>
        <v>118.8</v>
      </c>
      <c r="D1030" s="43">
        <f>=K1030/3</f>
        <v>132</v>
      </c>
      <c r="E1030" s="43">
        <f>=L1030/3</f>
        <v>138.6</v>
      </c>
      <c r="F1030" s="43">
        <f>=H1030*0.9</f>
        <v>178.2</v>
      </c>
      <c r="G1030" s="27">
        <v>134</v>
      </c>
      <c r="H1030" s="44">
        <v>198</v>
      </c>
      <c r="I1030" s="45">
        <f>=H1030*1.05</f>
        <v>207.9</v>
      </c>
      <c r="J1030" s="45">
        <f>=F1030*2</f>
        <v>356.4</v>
      </c>
      <c r="K1030" s="45">
        <f>=H1030*2</f>
        <v>396</v>
      </c>
      <c r="L1030" s="45">
        <f>=I1030*2</f>
        <v>415.8</v>
      </c>
      <c r="M1030" s="46" t="s">
        <v>1091</v>
      </c>
      <c r="N1030" s="46">
        <v>0.127</v>
      </c>
      <c r="O1030" s="46" t="s"/>
      <c r="P1030" s="46">
        <v>1</v>
      </c>
      <c r="Q1030" s="46">
        <v>1</v>
      </c>
      <c r="R1030" s="46" t="s">
        <v>16</v>
      </c>
      <c r="S1030" s="46" t="s">
        <v>17</v>
      </c>
      <c r="T1030" s="46" t="s">
        <v>654</v>
      </c>
      <c r="U1030" s="13" t="s">
        <v>13</v>
      </c>
      <c r="V1030" s="13" t="s">
        <v>215</v>
      </c>
      <c r="W1030" s="49">
        <v>46185</v>
      </c>
      <c r="X1030" s="18" t="s">
        <f>=M1030&amp;N1030&amp;P1030&amp;Q1030&amp;T1030&amp;V1030&amp;S1030</f>
        <v>1136</v>
      </c>
      <c r="Y1030" s="15" t="s"/>
      <c r="Z1030" s="15" t="s"/>
      <c r="AA1030" s="15" t="s"/>
      <c r="AB1030" s="15" t="s"/>
      <c r="AC1030" s="48" t="s"/>
    </row>
    <row r="1031" spans="1:29" ht="14.4">
      <c r="A1031" s="49">
        <v>46177</v>
      </c>
      <c r="B1031" s="43">
        <f>=F1031/12</f>
        <v>19.95</v>
      </c>
      <c r="C1031" s="43">
        <f>=J1031/3</f>
        <v>159.6</v>
      </c>
      <c r="D1031" s="43">
        <f>=K1031/3</f>
        <v>177.333333333333</v>
      </c>
      <c r="E1031" s="43">
        <f>=L1031/3</f>
        <v>186.2</v>
      </c>
      <c r="F1031" s="43">
        <f>=H1031*0.9</f>
        <v>239.4</v>
      </c>
      <c r="G1031" s="27">
        <v>282</v>
      </c>
      <c r="H1031" s="44">
        <v>266</v>
      </c>
      <c r="I1031" s="45">
        <f>=H1031*1.05</f>
        <v>279.3</v>
      </c>
      <c r="J1031" s="45">
        <f>=F1031*2</f>
        <v>478.8</v>
      </c>
      <c r="K1031" s="45">
        <f>=H1031*2</f>
        <v>532</v>
      </c>
      <c r="L1031" s="45">
        <f>=I1031*2</f>
        <v>558.6</v>
      </c>
      <c r="M1031" s="46" t="s">
        <v>1091</v>
      </c>
      <c r="N1031" s="46">
        <v>0.127</v>
      </c>
      <c r="O1031" s="46" t="s"/>
      <c r="P1031" s="12">
        <v>1</v>
      </c>
      <c r="Q1031" s="46">
        <v>2</v>
      </c>
      <c r="R1031" s="46" t="s">
        <v>16</v>
      </c>
      <c r="S1031" s="46" t="s">
        <v>17</v>
      </c>
      <c r="T1031" s="12" t="s">
        <v>654</v>
      </c>
      <c r="U1031" s="13" t="s">
        <v>13</v>
      </c>
      <c r="V1031" s="13" t="s">
        <v>215</v>
      </c>
      <c r="W1031" s="125">
        <v>46185</v>
      </c>
      <c r="X1031" s="18" t="s">
        <f>=M1031&amp;N1031&amp;P1031&amp;Q1031&amp;T1031&amp;V1031&amp;S1031</f>
        <v>1137</v>
      </c>
      <c r="Y1031" s="15" t="s"/>
      <c r="Z1031" s="15" t="s"/>
      <c r="AA1031" s="15" t="s"/>
      <c r="AB1031" s="15" t="s"/>
      <c r="AC1031" s="48" t="s"/>
    </row>
    <row r="1032" spans="1:28" ht="14.4">
      <c r="A1032" s="4">
        <f>=H1032/G1032-1</f>
        <v>0.0970149253731343</v>
      </c>
      <c r="B1032" s="20">
        <f>=F1032/12</f>
        <v>11.025</v>
      </c>
      <c r="C1032" s="20">
        <f>=J1032/3</f>
        <v>88.2</v>
      </c>
      <c r="D1032" s="20">
        <f>=K1032/3</f>
        <v>98</v>
      </c>
      <c r="E1032" s="20">
        <f>=L1032/3</f>
        <v>102.9</v>
      </c>
      <c r="F1032" s="20">
        <f>=H1032*0.9</f>
        <v>132.3</v>
      </c>
      <c r="G1032" s="21">
        <v>134</v>
      </c>
      <c r="H1032" s="39">
        <v>147</v>
      </c>
      <c r="I1032" s="40">
        <f>=H1032*1.05</f>
        <v>154.35</v>
      </c>
      <c r="J1032" s="40">
        <f>=F1032*2</f>
        <v>264.6</v>
      </c>
      <c r="K1032" s="40">
        <f>=H1032*2</f>
        <v>294</v>
      </c>
      <c r="L1032" s="40">
        <f>=I1032*2</f>
        <v>308.7</v>
      </c>
      <c r="M1032" s="41" t="s">
        <v>1091</v>
      </c>
      <c r="N1032" s="41">
        <v>0.127</v>
      </c>
      <c r="O1032" s="41" t="s"/>
      <c r="P1032" s="41">
        <v>1</v>
      </c>
      <c r="Q1032" s="41">
        <v>1</v>
      </c>
      <c r="R1032" s="41" t="s">
        <v>16</v>
      </c>
      <c r="S1032" s="41" t="s">
        <v>17</v>
      </c>
      <c r="T1032" s="41" t="s">
        <v>23</v>
      </c>
      <c r="U1032" s="16" t="s">
        <v>13</v>
      </c>
      <c r="V1032" s="16" t="s">
        <v>215</v>
      </c>
      <c r="W1032" s="19" t="s"/>
      <c r="X1032" s="26" t="s">
        <f>=M1032&amp;N1032&amp;P1032&amp;Q1032&amp;T1032&amp;V1032&amp;S1032</f>
        <v>1138</v>
      </c>
      <c r="Y1032" s="19" t="s"/>
      <c r="Z1032" s="19" t="s"/>
      <c r="AA1032" s="19" t="s"/>
      <c r="AB1032" s="19" t="s"/>
    </row>
    <row r="1033" spans="1:29" ht="14.4">
      <c r="A1033" s="49">
        <v>46177</v>
      </c>
      <c r="B1033" s="43">
        <f>=F1033/12</f>
        <v>17.475</v>
      </c>
      <c r="C1033" s="43">
        <f>=J1033/3</f>
        <v>139.8</v>
      </c>
      <c r="D1033" s="43">
        <f>=K1033/3</f>
        <v>155.333333333333</v>
      </c>
      <c r="E1033" s="43">
        <f>=L1033/3</f>
        <v>163.1</v>
      </c>
      <c r="F1033" s="43">
        <f>=H1033*0.9</f>
        <v>209.7</v>
      </c>
      <c r="G1033" s="27">
        <v>282</v>
      </c>
      <c r="H1033" s="44">
        <v>233</v>
      </c>
      <c r="I1033" s="45">
        <f>=H1033*1.05</f>
        <v>244.65</v>
      </c>
      <c r="J1033" s="45">
        <f>=F1033*2</f>
        <v>419.4</v>
      </c>
      <c r="K1033" s="45">
        <f>=H1033*2</f>
        <v>466</v>
      </c>
      <c r="L1033" s="45">
        <f>=I1033*2</f>
        <v>489.3</v>
      </c>
      <c r="M1033" s="46" t="s">
        <v>1091</v>
      </c>
      <c r="N1033" s="46">
        <v>0.127</v>
      </c>
      <c r="O1033" s="46" t="s"/>
      <c r="P1033" s="12">
        <v>1</v>
      </c>
      <c r="Q1033" s="46">
        <v>2</v>
      </c>
      <c r="R1033" s="46" t="s">
        <v>16</v>
      </c>
      <c r="S1033" s="46" t="s">
        <v>17</v>
      </c>
      <c r="T1033" s="46" t="s">
        <v>23</v>
      </c>
      <c r="U1033" s="13" t="s">
        <v>13</v>
      </c>
      <c r="V1033" s="13" t="s">
        <v>215</v>
      </c>
      <c r="W1033" s="126" t="s">
        <v>352</v>
      </c>
      <c r="X1033" s="18" t="s">
        <f>=M1033&amp;N1033&amp;P1033&amp;Q1033&amp;T1033&amp;V1033&amp;S1033</f>
        <v>1139</v>
      </c>
      <c r="Y1033" s="15" t="s"/>
      <c r="Z1033" s="15" t="s"/>
      <c r="AA1033" s="15" t="s"/>
      <c r="AB1033" s="15" t="s"/>
      <c r="AC1033" s="48" t="s"/>
    </row>
    <row r="1034" spans="1:28" ht="14.4">
      <c r="A1034" s="4">
        <f>=H1034/G1034-1</f>
        <v>0.0638297872340426</v>
      </c>
      <c r="B1034" s="20">
        <f>=F1034/12</f>
        <v>22.5</v>
      </c>
      <c r="C1034" s="20">
        <f>=J1034/3</f>
        <v>180</v>
      </c>
      <c r="D1034" s="20">
        <f>=K1034/3</f>
        <v>200</v>
      </c>
      <c r="E1034" s="20">
        <f>=L1034/3</f>
        <v>210</v>
      </c>
      <c r="F1034" s="20">
        <f>=H1034*0.9</f>
        <v>270</v>
      </c>
      <c r="G1034" s="21">
        <v>282</v>
      </c>
      <c r="H1034" s="39">
        <v>300</v>
      </c>
      <c r="I1034" s="40">
        <f>=H1034*1.05</f>
        <v>315</v>
      </c>
      <c r="J1034" s="40">
        <f>=F1034*2</f>
        <v>540</v>
      </c>
      <c r="K1034" s="40">
        <f>=H1034*2</f>
        <v>600</v>
      </c>
      <c r="L1034" s="40">
        <f>=I1034*2</f>
        <v>630</v>
      </c>
      <c r="M1034" s="41" t="s">
        <v>1091</v>
      </c>
      <c r="N1034" s="41">
        <v>0.127</v>
      </c>
      <c r="O1034" s="41" t="s"/>
      <c r="P1034" s="41">
        <v>2</v>
      </c>
      <c r="Q1034" s="41">
        <v>2</v>
      </c>
      <c r="R1034" s="41" t="s">
        <v>16</v>
      </c>
      <c r="S1034" s="41" t="s">
        <v>17</v>
      </c>
      <c r="T1034" s="41" t="s">
        <v>23</v>
      </c>
      <c r="U1034" s="16" t="s">
        <v>13</v>
      </c>
      <c r="V1034" s="16" t="s">
        <v>215</v>
      </c>
      <c r="W1034" s="17" t="s">
        <v>352</v>
      </c>
      <c r="X1034" s="26" t="s">
        <f>=M1034&amp;N1034&amp;P1034&amp;Q1034&amp;T1034&amp;V1034&amp;S1034</f>
        <v>1140</v>
      </c>
      <c r="Y1034" s="19" t="s"/>
      <c r="Z1034" s="19" t="s"/>
      <c r="AA1034" s="19" t="s"/>
      <c r="AB1034" s="19" t="s"/>
    </row>
    <row r="1035" spans="1:28" ht="14.4">
      <c r="A1035" s="4">
        <f>=H1035/G1035-1</f>
        <v>0.0421348314606742</v>
      </c>
      <c r="B1035" s="20">
        <f>=F1035/12</f>
        <v>27.825</v>
      </c>
      <c r="C1035" s="20">
        <f>=J1035/3</f>
        <v>222.6</v>
      </c>
      <c r="D1035" s="20">
        <f>=K1035/3</f>
        <v>247.333333333333</v>
      </c>
      <c r="E1035" s="20">
        <f>=L1035/3</f>
        <v>259.7</v>
      </c>
      <c r="F1035" s="20">
        <f>=H1035*0.9</f>
        <v>333.9</v>
      </c>
      <c r="G1035" s="21">
        <v>356</v>
      </c>
      <c r="H1035" s="39">
        <v>371</v>
      </c>
      <c r="I1035" s="40">
        <f>=H1035*1.05</f>
        <v>389.55</v>
      </c>
      <c r="J1035" s="40">
        <f>=F1035*2</f>
        <v>667.8</v>
      </c>
      <c r="K1035" s="40">
        <f>=H1035*2</f>
        <v>742</v>
      </c>
      <c r="L1035" s="40">
        <f>=I1035*2</f>
        <v>779.1</v>
      </c>
      <c r="M1035" s="41" t="s">
        <v>1091</v>
      </c>
      <c r="N1035" s="41">
        <v>0.127</v>
      </c>
      <c r="O1035" s="41" t="s"/>
      <c r="P1035" s="41">
        <v>2</v>
      </c>
      <c r="Q1035" s="41">
        <v>2</v>
      </c>
      <c r="R1035" s="41" t="s">
        <v>16</v>
      </c>
      <c r="S1035" s="41" t="s">
        <v>17</v>
      </c>
      <c r="T1035" s="41" t="s">
        <v>654</v>
      </c>
      <c r="U1035" s="16" t="s">
        <v>13</v>
      </c>
      <c r="V1035" s="16" t="s">
        <v>215</v>
      </c>
      <c r="W1035" s="124" t="s">
        <v>1122</v>
      </c>
      <c r="X1035" s="26" t="s">
        <f>=M1035&amp;N1035&amp;P1035&amp;Q1035&amp;T1035&amp;V1035&amp;S1035</f>
        <v>1141</v>
      </c>
      <c r="Y1035" s="19" t="s"/>
      <c r="Z1035" s="19" t="s"/>
      <c r="AA1035" s="19" t="s"/>
      <c r="AB1035" s="19" t="s"/>
    </row>
    <row r="1036" spans="1:28" ht="14.4">
      <c r="A1036" s="4">
        <f>=H1036/G1036-1</f>
        <v>0.0991902834008098</v>
      </c>
      <c r="B1036" s="20">
        <f>=F1036/12</f>
        <v>40.725</v>
      </c>
      <c r="C1036" s="20">
        <f>=J1036/3</f>
        <v>325.8</v>
      </c>
      <c r="D1036" s="20">
        <f>=K1036/3</f>
        <v>362</v>
      </c>
      <c r="E1036" s="20">
        <f>=L1036/3</f>
        <v>380.1</v>
      </c>
      <c r="F1036" s="20">
        <f>=H1036*0.9</f>
        <v>488.7</v>
      </c>
      <c r="G1036" s="21">
        <v>494</v>
      </c>
      <c r="H1036" s="39">
        <v>543</v>
      </c>
      <c r="I1036" s="40">
        <f>=H1036*1.05</f>
        <v>570.15</v>
      </c>
      <c r="J1036" s="40">
        <f>=F1036*2</f>
        <v>977.4</v>
      </c>
      <c r="K1036" s="40">
        <f>=H1036*2</f>
        <v>1086</v>
      </c>
      <c r="L1036" s="40">
        <f>=I1036*2</f>
        <v>1140.3</v>
      </c>
      <c r="M1036" s="41" t="s">
        <v>1091</v>
      </c>
      <c r="N1036" s="41">
        <v>0.127</v>
      </c>
      <c r="O1036" s="41" t="s"/>
      <c r="P1036" s="41">
        <v>3</v>
      </c>
      <c r="Q1036" s="41">
        <v>3</v>
      </c>
      <c r="R1036" s="41" t="s">
        <v>16</v>
      </c>
      <c r="S1036" s="41" t="s">
        <v>17</v>
      </c>
      <c r="T1036" s="41" t="s">
        <v>654</v>
      </c>
      <c r="U1036" s="16" t="s">
        <v>13</v>
      </c>
      <c r="V1036" s="16" t="s">
        <v>215</v>
      </c>
      <c r="W1036" s="19" t="s"/>
      <c r="X1036" s="26" t="s">
        <f>=M1036&amp;N1036&amp;P1036&amp;Q1036&amp;T1036&amp;V1036&amp;S1036</f>
        <v>1142</v>
      </c>
      <c r="Y1036" s="19" t="s"/>
      <c r="Z1036" s="19" t="s"/>
      <c r="AA1036" s="19" t="s"/>
      <c r="AB1036" s="19" t="s"/>
    </row>
    <row r="1037" spans="1:28" ht="14.4">
      <c r="A1037" s="4">
        <f>=H1037/G1037-1</f>
        <v>0.0975609756097562</v>
      </c>
      <c r="B1037" s="20">
        <f>=F1037/12</f>
        <v>13.5</v>
      </c>
      <c r="C1037" s="20">
        <f>=J1037/3</f>
        <v>108</v>
      </c>
      <c r="D1037" s="20">
        <f>=K1037/3</f>
        <v>120</v>
      </c>
      <c r="E1037" s="20">
        <f>=L1037/3</f>
        <v>126</v>
      </c>
      <c r="F1037" s="20">
        <f>=H1037*0.9</f>
        <v>162</v>
      </c>
      <c r="G1037" s="21">
        <v>164</v>
      </c>
      <c r="H1037" s="39">
        <v>180</v>
      </c>
      <c r="I1037" s="40">
        <f>=H1037*1.05</f>
        <v>189</v>
      </c>
      <c r="J1037" s="40">
        <f>=F1037*2</f>
        <v>324</v>
      </c>
      <c r="K1037" s="40">
        <f>=H1037*2</f>
        <v>360</v>
      </c>
      <c r="L1037" s="40">
        <f>=I1037*2</f>
        <v>378</v>
      </c>
      <c r="M1037" s="41" t="s">
        <v>1091</v>
      </c>
      <c r="N1037" s="41">
        <v>0.127</v>
      </c>
      <c r="O1037" s="41" t="s"/>
      <c r="P1037" s="41">
        <v>1</v>
      </c>
      <c r="Q1037" s="41">
        <v>1</v>
      </c>
      <c r="R1037" s="41" t="s">
        <v>16</v>
      </c>
      <c r="S1037" s="41" t="s">
        <v>17</v>
      </c>
      <c r="T1037" s="41" t="s">
        <v>1080</v>
      </c>
      <c r="U1037" s="16" t="s">
        <v>13</v>
      </c>
      <c r="V1037" s="16" t="s">
        <v>215</v>
      </c>
      <c r="W1037" s="19" t="s"/>
      <c r="X1037" s="26" t="s">
        <f>=M1037&amp;N1037&amp;P1037&amp;Q1037&amp;T1037&amp;V1037&amp;S1037</f>
        <v>1143</v>
      </c>
      <c r="Y1037" s="19" t="s"/>
      <c r="Z1037" s="19" t="s"/>
      <c r="AA1037" s="19" t="s"/>
      <c r="AB1037" s="19" t="s"/>
    </row>
    <row r="1038" spans="1:28" ht="14.4">
      <c r="A1038" s="4">
        <f>=H1038/G1038-1</f>
        <v>0.0974025974025974</v>
      </c>
      <c r="B1038" s="20">
        <f>=F1038/12</f>
        <v>12.675</v>
      </c>
      <c r="C1038" s="20">
        <f>=J1038/3</f>
        <v>101.4</v>
      </c>
      <c r="D1038" s="20">
        <f>=K1038/3</f>
        <v>112.666666666667</v>
      </c>
      <c r="E1038" s="20">
        <f>=L1038/3</f>
        <v>118.3</v>
      </c>
      <c r="F1038" s="20">
        <f>=H1038*0.9</f>
        <v>152.1</v>
      </c>
      <c r="G1038" s="21">
        <v>154</v>
      </c>
      <c r="H1038" s="39">
        <v>169</v>
      </c>
      <c r="I1038" s="40">
        <f>=H1038*1.05</f>
        <v>177.45</v>
      </c>
      <c r="J1038" s="40">
        <f>=F1038*2</f>
        <v>304.2</v>
      </c>
      <c r="K1038" s="40">
        <f>=H1038*2</f>
        <v>338</v>
      </c>
      <c r="L1038" s="40">
        <f>=I1038*2</f>
        <v>354.9</v>
      </c>
      <c r="M1038" s="41" t="s">
        <v>1091</v>
      </c>
      <c r="N1038" s="41">
        <v>0.127</v>
      </c>
      <c r="O1038" s="41" t="s"/>
      <c r="P1038" s="41">
        <v>1</v>
      </c>
      <c r="Q1038" s="41">
        <v>1</v>
      </c>
      <c r="R1038" s="41" t="s">
        <v>16</v>
      </c>
      <c r="S1038" s="41" t="s">
        <v>17</v>
      </c>
      <c r="T1038" s="41" t="s">
        <v>43</v>
      </c>
      <c r="U1038" s="16" t="s">
        <v>13</v>
      </c>
      <c r="V1038" s="16" t="s">
        <v>215</v>
      </c>
      <c r="W1038" s="19" t="s"/>
      <c r="X1038" s="26" t="s">
        <f>=M1038&amp;N1038&amp;P1038&amp;Q1038&amp;T1038&amp;V1038&amp;S1038</f>
        <v>1144</v>
      </c>
      <c r="Y1038" s="19" t="s"/>
      <c r="Z1038" s="19" t="s"/>
      <c r="AA1038" s="19" t="s"/>
      <c r="AB1038" s="19" t="s"/>
    </row>
    <row r="1039" spans="1:28" ht="14.25" customHeight="true">
      <c r="A1039" s="4">
        <f>=H1039/G1039-1</f>
        <v>0.0985915492957748</v>
      </c>
      <c r="B1039" s="20">
        <f>=F1039/12</f>
        <v>17.55</v>
      </c>
      <c r="C1039" s="20">
        <f>=J1039/3</f>
        <v>140.4</v>
      </c>
      <c r="D1039" s="20">
        <f>=K1039/3</f>
        <v>156</v>
      </c>
      <c r="E1039" s="20">
        <f>=L1039/3</f>
        <v>163.8</v>
      </c>
      <c r="F1039" s="20">
        <f>=H1039*0.9</f>
        <v>210.6</v>
      </c>
      <c r="G1039" s="21">
        <v>213</v>
      </c>
      <c r="H1039" s="39">
        <v>234</v>
      </c>
      <c r="I1039" s="40">
        <f>=H1039*1.05</f>
        <v>245.7</v>
      </c>
      <c r="J1039" s="40">
        <f>=F1039*2</f>
        <v>421.2</v>
      </c>
      <c r="K1039" s="40">
        <f>=H1039*2</f>
        <v>468</v>
      </c>
      <c r="L1039" s="40">
        <f>=I1039*2</f>
        <v>491.4</v>
      </c>
      <c r="M1039" s="41" t="s">
        <v>1091</v>
      </c>
      <c r="N1039" s="41">
        <v>0.127</v>
      </c>
      <c r="O1039" s="41" t="s"/>
      <c r="P1039" s="41">
        <v>1</v>
      </c>
      <c r="Q1039" s="41">
        <v>2</v>
      </c>
      <c r="R1039" s="41" t="s">
        <v>16</v>
      </c>
      <c r="S1039" s="41" t="s">
        <v>17</v>
      </c>
      <c r="T1039" s="41" t="s">
        <v>43</v>
      </c>
      <c r="U1039" s="16" t="s">
        <v>13</v>
      </c>
      <c r="V1039" s="16" t="s">
        <v>215</v>
      </c>
      <c r="W1039" s="19" t="s"/>
      <c r="X1039" s="26" t="s">
        <f>=M1039&amp;N1039&amp;P1039&amp;Q1039&amp;T1039&amp;V1039&amp;S1039</f>
        <v>1145</v>
      </c>
      <c r="Y1039" s="19" t="s"/>
      <c r="Z1039" s="19" t="s"/>
      <c r="AA1039" s="19" t="s"/>
      <c r="AB1039" s="19" t="s"/>
    </row>
    <row r="1040" spans="1:28" ht="14.25" customHeight="true">
      <c r="A1040" s="42">
        <f>=H1040/G1040-1</f>
        <v>0.178403755868545</v>
      </c>
      <c r="B1040" s="43">
        <f>=F1040/12</f>
        <v>18.825</v>
      </c>
      <c r="C1040" s="43">
        <f>=J1040/3</f>
        <v>150.6</v>
      </c>
      <c r="D1040" s="43">
        <f>=K1040/3</f>
        <v>167.333333333333</v>
      </c>
      <c r="E1040" s="43">
        <f>=L1040/3</f>
        <v>175.7</v>
      </c>
      <c r="F1040" s="43">
        <f>=H1040*0.9</f>
        <v>225.9</v>
      </c>
      <c r="G1040" s="27">
        <v>213</v>
      </c>
      <c r="H1040" s="44">
        <v>251</v>
      </c>
      <c r="I1040" s="45">
        <f>=H1040*1.05</f>
        <v>263.55</v>
      </c>
      <c r="J1040" s="45">
        <f>=F1040*2</f>
        <v>451.8</v>
      </c>
      <c r="K1040" s="45">
        <f>=H1040*2</f>
        <v>502</v>
      </c>
      <c r="L1040" s="45">
        <f>=I1040*2</f>
        <v>527.1</v>
      </c>
      <c r="M1040" s="46" t="s">
        <v>1091</v>
      </c>
      <c r="N1040" s="46">
        <v>0.127</v>
      </c>
      <c r="O1040" s="46" t="s"/>
      <c r="P1040" s="46">
        <v>1</v>
      </c>
      <c r="Q1040" s="46">
        <v>2</v>
      </c>
      <c r="R1040" s="46" t="s">
        <v>16</v>
      </c>
      <c r="S1040" s="46" t="s">
        <v>17</v>
      </c>
      <c r="T1040" s="12" t="s">
        <v>1080</v>
      </c>
      <c r="U1040" s="13" t="s">
        <v>13</v>
      </c>
      <c r="V1040" s="13" t="s">
        <v>215</v>
      </c>
      <c r="W1040" s="15" t="s"/>
      <c r="X1040" s="18" t="s">
        <f>=M1040&amp;N1040&amp;P1040&amp;Q1040&amp;T1040&amp;V1040&amp;S1040</f>
        <v>1146</v>
      </c>
      <c r="Y1040" s="15" t="s"/>
      <c r="Z1040" s="15" t="s"/>
      <c r="AA1040" s="15" t="s"/>
      <c r="AB1040" s="15" t="s"/>
    </row>
    <row r="1041" spans="1:28" ht="14.4">
      <c r="A1041" s="4">
        <f>=H1041/G1041-1</f>
        <v>0.101123595505618</v>
      </c>
      <c r="B1041" s="20">
        <f>=F1041/12</f>
        <v>22.05</v>
      </c>
      <c r="C1041" s="20">
        <f>=J1041/3</f>
        <v>176.4</v>
      </c>
      <c r="D1041" s="20">
        <f>=K1041/3</f>
        <v>196</v>
      </c>
      <c r="E1041" s="20">
        <f>=L1041/3</f>
        <v>205.8</v>
      </c>
      <c r="F1041" s="20">
        <f>=H1041*0.9</f>
        <v>264.6</v>
      </c>
      <c r="G1041" s="21">
        <v>267</v>
      </c>
      <c r="H1041" s="39">
        <v>294</v>
      </c>
      <c r="I1041" s="40">
        <f>=H1041*1.05</f>
        <v>308.7</v>
      </c>
      <c r="J1041" s="40">
        <f>=F1041*2</f>
        <v>529.2</v>
      </c>
      <c r="K1041" s="40">
        <f>=H1041*2</f>
        <v>588</v>
      </c>
      <c r="L1041" s="40">
        <f>=I1041*2</f>
        <v>617.4</v>
      </c>
      <c r="M1041" s="41" t="s">
        <v>1091</v>
      </c>
      <c r="N1041" s="41">
        <v>0.127</v>
      </c>
      <c r="O1041" s="41" t="s"/>
      <c r="P1041" s="41">
        <v>2</v>
      </c>
      <c r="Q1041" s="41">
        <v>2</v>
      </c>
      <c r="R1041" s="41" t="s">
        <v>16</v>
      </c>
      <c r="S1041" s="41" t="s">
        <v>17</v>
      </c>
      <c r="T1041" s="41" t="s">
        <v>43</v>
      </c>
      <c r="U1041" s="16" t="s">
        <v>13</v>
      </c>
      <c r="V1041" s="16" t="s">
        <v>215</v>
      </c>
      <c r="W1041" s="19" t="s"/>
      <c r="X1041" s="26" t="s">
        <f>=M1041&amp;N1041&amp;P1041&amp;Q1041&amp;T1041&amp;V1041&amp;S1041</f>
        <v>1147</v>
      </c>
      <c r="Y1041" s="19" t="s"/>
      <c r="Z1041" s="19" t="s"/>
      <c r="AA1041" s="19" t="s"/>
      <c r="AB1041" s="19" t="s"/>
    </row>
    <row r="1042" spans="1:28" ht="14.4">
      <c r="A1042" s="4">
        <f>=H1042/G1042-1</f>
        <v>0.0996309963099631</v>
      </c>
      <c r="B1042" s="20">
        <f>=F1042/12</f>
        <v>44.7</v>
      </c>
      <c r="C1042" s="20">
        <f>=J1042/3</f>
        <v>357.6</v>
      </c>
      <c r="D1042" s="20">
        <f>=K1042/3</f>
        <v>397.333333333333</v>
      </c>
      <c r="E1042" s="20">
        <f>=L1042/3</f>
        <v>417.2</v>
      </c>
      <c r="F1042" s="20">
        <f>=H1042*0.9</f>
        <v>536.4</v>
      </c>
      <c r="G1042" s="21">
        <v>542</v>
      </c>
      <c r="H1042" s="39">
        <v>596</v>
      </c>
      <c r="I1042" s="40">
        <f>=H1042*1.05</f>
        <v>625.8</v>
      </c>
      <c r="J1042" s="40">
        <f>=F1042*2</f>
        <v>1072.8</v>
      </c>
      <c r="K1042" s="40">
        <f>=H1042*2</f>
        <v>1192</v>
      </c>
      <c r="L1042" s="40">
        <f>=I1042*2</f>
        <v>1251.6</v>
      </c>
      <c r="M1042" s="41" t="s">
        <v>1091</v>
      </c>
      <c r="N1042" s="41">
        <v>0.127</v>
      </c>
      <c r="O1042" s="41" t="s"/>
      <c r="P1042" s="41">
        <v>3</v>
      </c>
      <c r="Q1042" s="41">
        <v>3</v>
      </c>
      <c r="R1042" s="41" t="s">
        <v>16</v>
      </c>
      <c r="S1042" s="41" t="s">
        <v>17</v>
      </c>
      <c r="T1042" s="41" t="s">
        <v>1080</v>
      </c>
      <c r="U1042" s="16" t="s">
        <v>13</v>
      </c>
      <c r="V1042" s="16" t="s">
        <v>215</v>
      </c>
      <c r="W1042" s="19" t="s"/>
      <c r="X1042" s="26" t="s">
        <f>=M1042&amp;N1042&amp;P1042&amp;Q1042&amp;T1042&amp;V1042&amp;S1042</f>
        <v>1148</v>
      </c>
      <c r="Y1042" s="19" t="s"/>
      <c r="Z1042" s="19" t="s"/>
      <c r="AA1042" s="19" t="s"/>
      <c r="AB1042" s="19" t="s"/>
    </row>
    <row r="1043" spans="1:28" ht="14.4">
      <c r="A1043" s="4">
        <f>=H1043/G1043-1</f>
        <v>0.101851851851852</v>
      </c>
      <c r="B1043" s="20">
        <f>=F1043/12</f>
        <v>8.925</v>
      </c>
      <c r="C1043" s="20">
        <f>=J1043/3</f>
        <v>71.4</v>
      </c>
      <c r="D1043" s="20">
        <f>=K1043/3</f>
        <v>79.3333333333333</v>
      </c>
      <c r="E1043" s="20">
        <f>=L1043/3</f>
        <v>83.3</v>
      </c>
      <c r="F1043" s="20">
        <f>=H1043*0.9</f>
        <v>107.1</v>
      </c>
      <c r="G1043" s="21">
        <v>108</v>
      </c>
      <c r="H1043" s="39">
        <v>119</v>
      </c>
      <c r="I1043" s="40">
        <f>=H1043*1.05</f>
        <v>124.95</v>
      </c>
      <c r="J1043" s="40">
        <f>=F1043*2</f>
        <v>214.2</v>
      </c>
      <c r="K1043" s="40">
        <f>=H1043*2</f>
        <v>238</v>
      </c>
      <c r="L1043" s="40">
        <f>=I1043*2</f>
        <v>249.9</v>
      </c>
      <c r="M1043" s="41" t="s">
        <v>1091</v>
      </c>
      <c r="N1043" s="41">
        <v>0.127</v>
      </c>
      <c r="O1043" s="41" t="s"/>
      <c r="P1043" s="41" t="s">
        <v>21</v>
      </c>
      <c r="Q1043" s="41" t="s">
        <v>21</v>
      </c>
      <c r="R1043" s="41" t="s">
        <v>16</v>
      </c>
      <c r="S1043" s="41" t="s">
        <v>17</v>
      </c>
      <c r="T1043" s="41" t="s">
        <v>1080</v>
      </c>
      <c r="U1043" s="16" t="s">
        <v>13</v>
      </c>
      <c r="V1043" s="16" t="s">
        <v>215</v>
      </c>
      <c r="W1043" s="19" t="s"/>
      <c r="X1043" s="26" t="s">
        <f>=M1043&amp;N1043&amp;P1043&amp;Q1043&amp;T1043&amp;V1043&amp;S1043</f>
        <v>1149</v>
      </c>
      <c r="Y1043" s="19" t="s"/>
      <c r="Z1043" s="19" t="s"/>
      <c r="AA1043" s="19" t="s"/>
      <c r="AB1043" s="19" t="s"/>
    </row>
    <row r="1044" spans="1:28" ht="14.4">
      <c r="A1044" s="4">
        <f>=H1044/G1044-1</f>
        <v>0.1</v>
      </c>
      <c r="B1044" s="20">
        <f>=F1044/12</f>
        <v>10.725</v>
      </c>
      <c r="C1044" s="20">
        <f>=J1044/3</f>
        <v>85.8</v>
      </c>
      <c r="D1044" s="20">
        <f>=K1044/3</f>
        <v>95.3333333333333</v>
      </c>
      <c r="E1044" s="20">
        <f>=L1044/3</f>
        <v>100.1</v>
      </c>
      <c r="F1044" s="20">
        <f>=H1044*0.9</f>
        <v>128.7</v>
      </c>
      <c r="G1044" s="21">
        <v>130</v>
      </c>
      <c r="H1044" s="39">
        <v>143</v>
      </c>
      <c r="I1044" s="40">
        <f>=H1044*1.05</f>
        <v>150.15</v>
      </c>
      <c r="J1044" s="40">
        <f>=F1044*2</f>
        <v>257.4</v>
      </c>
      <c r="K1044" s="40">
        <f>=H1044*2</f>
        <v>286</v>
      </c>
      <c r="L1044" s="40">
        <f>=I1044*2</f>
        <v>300.3</v>
      </c>
      <c r="M1044" s="41" t="s">
        <v>1091</v>
      </c>
      <c r="N1044" s="41">
        <v>0.152</v>
      </c>
      <c r="O1044" s="41" t="s"/>
      <c r="P1044" s="41">
        <v>1</v>
      </c>
      <c r="Q1044" s="41">
        <v>1</v>
      </c>
      <c r="R1044" s="41" t="s">
        <v>16</v>
      </c>
      <c r="S1044" s="41" t="s">
        <v>17</v>
      </c>
      <c r="T1044" s="41" t="s">
        <v>1080</v>
      </c>
      <c r="U1044" s="16" t="s">
        <v>13</v>
      </c>
      <c r="V1044" s="16" t="s">
        <v>215</v>
      </c>
      <c r="W1044" s="19" t="s"/>
      <c r="X1044" s="26" t="s">
        <f>=M1044&amp;N1044&amp;P1044&amp;Q1044&amp;T1044&amp;V1044&amp;S1044</f>
        <v>1150</v>
      </c>
      <c r="Y1044" s="19" t="s"/>
      <c r="Z1044" s="19" t="s"/>
      <c r="AA1044" s="19" t="s"/>
      <c r="AB1044" s="19" t="s"/>
    </row>
    <row r="1045" spans="1:28" ht="14.4">
      <c r="A1045" s="4">
        <f>=H1045/G1045-1</f>
        <v>0.1</v>
      </c>
      <c r="B1045" s="20">
        <f>=F1045/12</f>
        <v>10.725</v>
      </c>
      <c r="C1045" s="20">
        <f>=J1045/3</f>
        <v>85.8</v>
      </c>
      <c r="D1045" s="20">
        <f>=K1045/3</f>
        <v>95.3333333333333</v>
      </c>
      <c r="E1045" s="20">
        <f>=L1045/3</f>
        <v>100.1</v>
      </c>
      <c r="F1045" s="20">
        <f>=H1045*0.9</f>
        <v>128.7</v>
      </c>
      <c r="G1045" s="21">
        <v>130</v>
      </c>
      <c r="H1045" s="39">
        <v>143</v>
      </c>
      <c r="I1045" s="40">
        <f>=H1045*1.05</f>
        <v>150.15</v>
      </c>
      <c r="J1045" s="40">
        <f>=F1045*2</f>
        <v>257.4</v>
      </c>
      <c r="K1045" s="40">
        <f>=H1045*2</f>
        <v>286</v>
      </c>
      <c r="L1045" s="40">
        <f>=I1045*2</f>
        <v>300.3</v>
      </c>
      <c r="M1045" s="41" t="s">
        <v>1091</v>
      </c>
      <c r="N1045" s="41">
        <v>0.152</v>
      </c>
      <c r="O1045" s="41" t="s"/>
      <c r="P1045" s="41">
        <v>1</v>
      </c>
      <c r="Q1045" s="41">
        <v>1</v>
      </c>
      <c r="R1045" s="41" t="s">
        <v>16</v>
      </c>
      <c r="S1045" s="41" t="s">
        <v>17</v>
      </c>
      <c r="T1045" s="41" t="s">
        <v>43</v>
      </c>
      <c r="U1045" s="16" t="s">
        <v>13</v>
      </c>
      <c r="V1045" s="16" t="s">
        <v>215</v>
      </c>
      <c r="W1045" s="19" t="s"/>
      <c r="X1045" s="26" t="s">
        <f>=M1045&amp;N1045&amp;P1045&amp;Q1045&amp;T1045&amp;V1045&amp;S1045</f>
        <v>1151</v>
      </c>
      <c r="Y1045" s="19" t="s"/>
      <c r="Z1045" s="19" t="s"/>
      <c r="AA1045" s="19" t="s"/>
      <c r="AB1045" s="19" t="s"/>
    </row>
    <row r="1046" spans="1:29" ht="14.4">
      <c r="A1046" s="42">
        <f>=H1046/G1046-1</f>
        <v>1.06923076923077</v>
      </c>
      <c r="B1046" s="43">
        <f>=F1046/12</f>
        <v>20.175</v>
      </c>
      <c r="C1046" s="43">
        <f>=J1046/3</f>
        <v>161.4</v>
      </c>
      <c r="D1046" s="43">
        <f>=K1046/3</f>
        <v>179.333333333333</v>
      </c>
      <c r="E1046" s="43">
        <f>=L1046/3</f>
        <v>188.3</v>
      </c>
      <c r="F1046" s="43">
        <f>=H1046*0.9</f>
        <v>242.1</v>
      </c>
      <c r="G1046" s="27">
        <v>130</v>
      </c>
      <c r="H1046" s="44">
        <v>269</v>
      </c>
      <c r="I1046" s="45">
        <f>=H1046*1.05</f>
        <v>282.45</v>
      </c>
      <c r="J1046" s="45">
        <f>=F1046*2</f>
        <v>484.2</v>
      </c>
      <c r="K1046" s="45">
        <f>=H1046*2</f>
        <v>538</v>
      </c>
      <c r="L1046" s="45">
        <f>=I1046*2</f>
        <v>564.9</v>
      </c>
      <c r="M1046" s="46" t="s">
        <v>1091</v>
      </c>
      <c r="N1046" s="46">
        <v>0.152</v>
      </c>
      <c r="O1046" s="46" t="s"/>
      <c r="P1046" s="46">
        <v>1</v>
      </c>
      <c r="Q1046" s="46">
        <v>2</v>
      </c>
      <c r="R1046" s="46" t="s">
        <v>16</v>
      </c>
      <c r="S1046" s="46" t="s">
        <v>17</v>
      </c>
      <c r="T1046" s="46" t="s">
        <v>1080</v>
      </c>
      <c r="U1046" s="13" t="s">
        <v>13</v>
      </c>
      <c r="V1046" s="13" t="s">
        <v>215</v>
      </c>
      <c r="W1046" s="49">
        <v>46185</v>
      </c>
      <c r="X1046" s="18" t="s">
        <f>=M1046&amp;N1046&amp;P1046&amp;Q1046&amp;T1046&amp;V1046&amp;S1046</f>
        <v>1152</v>
      </c>
      <c r="Y1046" s="15" t="s"/>
      <c r="Z1046" s="15" t="s"/>
      <c r="AA1046" s="15" t="s"/>
      <c r="AB1046" s="15" t="s"/>
      <c r="AC1046" s="48" t="s"/>
    </row>
    <row r="1047" spans="1:28" ht="14.4">
      <c r="A1047" s="49">
        <v>46160</v>
      </c>
      <c r="B1047" s="43">
        <f>=F1047/12</f>
        <v>16.725</v>
      </c>
      <c r="C1047" s="43">
        <f>=J1047/3</f>
        <v>133.8</v>
      </c>
      <c r="D1047" s="43">
        <f>=K1047/3</f>
        <v>148.666666666667</v>
      </c>
      <c r="E1047" s="43">
        <f>=L1047/3</f>
        <v>156.1</v>
      </c>
      <c r="F1047" s="43">
        <f>=H1047*0.9</f>
        <v>200.7</v>
      </c>
      <c r="G1047" s="27">
        <v>130</v>
      </c>
      <c r="H1047" s="44">
        <v>223</v>
      </c>
      <c r="I1047" s="45">
        <f>=H1047*1.05</f>
        <v>234.15</v>
      </c>
      <c r="J1047" s="45">
        <f>=F1047*2</f>
        <v>401.4</v>
      </c>
      <c r="K1047" s="45">
        <f>=H1047*2</f>
        <v>446</v>
      </c>
      <c r="L1047" s="45">
        <f>=I1047*2</f>
        <v>468.3</v>
      </c>
      <c r="M1047" s="46" t="s">
        <v>1091</v>
      </c>
      <c r="N1047" s="46">
        <v>0.152</v>
      </c>
      <c r="O1047" s="46" t="s"/>
      <c r="P1047" s="46">
        <v>1</v>
      </c>
      <c r="Q1047" s="12">
        <v>2</v>
      </c>
      <c r="R1047" s="46" t="s">
        <v>16</v>
      </c>
      <c r="S1047" s="46" t="s">
        <v>17</v>
      </c>
      <c r="T1047" s="12" t="s">
        <v>39</v>
      </c>
      <c r="U1047" s="13" t="s">
        <v>13</v>
      </c>
      <c r="V1047" s="13" t="s">
        <v>215</v>
      </c>
      <c r="W1047" s="15" t="s"/>
      <c r="X1047" s="18" t="s">
        <f>=M1047&amp;N1047&amp;P1047&amp;Q1047&amp;T1047&amp;V1047&amp;S1047</f>
        <v>1153</v>
      </c>
      <c r="Y1047" s="15" t="s"/>
      <c r="Z1047" s="15" t="s"/>
      <c r="AA1047" s="15" t="s"/>
      <c r="AB1047" s="15" t="s"/>
    </row>
    <row r="1048" spans="1:28" ht="14.4">
      <c r="A1048" s="4">
        <f>=H1048/G1048-1</f>
        <v>0.101754385964912</v>
      </c>
      <c r="B1048" s="20">
        <f>=F1048/12</f>
        <v>23.55</v>
      </c>
      <c r="C1048" s="20">
        <f>=J1048/3</f>
        <v>188.4</v>
      </c>
      <c r="D1048" s="20">
        <f>=K1048/3</f>
        <v>209.333333333333</v>
      </c>
      <c r="E1048" s="20">
        <f>=L1048/3</f>
        <v>219.8</v>
      </c>
      <c r="F1048" s="20">
        <f>=H1048*0.9</f>
        <v>282.6</v>
      </c>
      <c r="G1048" s="21">
        <v>285</v>
      </c>
      <c r="H1048" s="39">
        <v>314</v>
      </c>
      <c r="I1048" s="40">
        <f>=H1048*1.05</f>
        <v>329.7</v>
      </c>
      <c r="J1048" s="40">
        <f>=F1048*2</f>
        <v>565.2</v>
      </c>
      <c r="K1048" s="40">
        <f>=H1048*2</f>
        <v>628</v>
      </c>
      <c r="L1048" s="40">
        <f>=I1048*2</f>
        <v>659.4</v>
      </c>
      <c r="M1048" s="41" t="s">
        <v>1091</v>
      </c>
      <c r="N1048" s="41">
        <v>0.152</v>
      </c>
      <c r="O1048" s="41" t="s"/>
      <c r="P1048" s="41">
        <v>2</v>
      </c>
      <c r="Q1048" s="41">
        <v>2</v>
      </c>
      <c r="R1048" s="41" t="s">
        <v>16</v>
      </c>
      <c r="S1048" s="41" t="s">
        <v>17</v>
      </c>
      <c r="T1048" s="41" t="s">
        <v>1080</v>
      </c>
      <c r="U1048" s="16" t="s">
        <v>13</v>
      </c>
      <c r="V1048" s="16" t="s">
        <v>215</v>
      </c>
      <c r="W1048" s="19" t="s"/>
      <c r="X1048" s="26" t="s">
        <f>=M1048&amp;N1048&amp;P1048&amp;Q1048&amp;T1048&amp;V1048&amp;S1048</f>
        <v>1154</v>
      </c>
      <c r="Y1048" s="19" t="s"/>
      <c r="Z1048" s="19" t="s"/>
      <c r="AA1048" s="19" t="s"/>
      <c r="AB1048" s="19" t="s"/>
    </row>
    <row r="1049" spans="1:28" ht="14.4">
      <c r="A1049" s="4">
        <f>=H1049/G1049-1</f>
        <v>0.1</v>
      </c>
      <c r="B1049" s="20">
        <f>=F1049/12</f>
        <v>22.275</v>
      </c>
      <c r="C1049" s="20">
        <f>=J1049/3</f>
        <v>178.2</v>
      </c>
      <c r="D1049" s="20">
        <f>=K1049/3</f>
        <v>198</v>
      </c>
      <c r="E1049" s="20">
        <f>=L1049/3</f>
        <v>207.9</v>
      </c>
      <c r="F1049" s="20">
        <f>=H1049*0.9</f>
        <v>267.3</v>
      </c>
      <c r="G1049" s="21">
        <v>270</v>
      </c>
      <c r="H1049" s="39">
        <v>297</v>
      </c>
      <c r="I1049" s="40">
        <f>=H1049*1.05</f>
        <v>311.85</v>
      </c>
      <c r="J1049" s="40">
        <f>=F1049*2</f>
        <v>534.6</v>
      </c>
      <c r="K1049" s="40">
        <f>=H1049*2</f>
        <v>594</v>
      </c>
      <c r="L1049" s="40">
        <f>=I1049*2</f>
        <v>623.7</v>
      </c>
      <c r="M1049" s="41" t="s">
        <v>1091</v>
      </c>
      <c r="N1049" s="41">
        <v>0.152</v>
      </c>
      <c r="O1049" s="41" t="s"/>
      <c r="P1049" s="41">
        <v>2</v>
      </c>
      <c r="Q1049" s="41">
        <v>2</v>
      </c>
      <c r="R1049" s="41" t="s">
        <v>16</v>
      </c>
      <c r="S1049" s="41" t="s">
        <v>17</v>
      </c>
      <c r="T1049" s="41" t="s">
        <v>43</v>
      </c>
      <c r="U1049" s="16" t="s">
        <v>13</v>
      </c>
      <c r="V1049" s="16" t="s">
        <v>215</v>
      </c>
      <c r="W1049" s="19" t="s"/>
      <c r="X1049" s="26" t="s">
        <f>=M1049&amp;N1049&amp;P1049&amp;Q1049&amp;T1049&amp;V1049&amp;S1049</f>
        <v>1155</v>
      </c>
      <c r="Y1049" s="19" t="s"/>
      <c r="Z1049" s="19" t="s"/>
      <c r="AA1049" s="19" t="s"/>
      <c r="AB1049" s="19" t="s"/>
    </row>
    <row r="1050" spans="1:28" ht="14.4">
      <c r="A1050" s="4">
        <f>=H1050/G1050-1</f>
        <v>0.0988023952095809</v>
      </c>
      <c r="B1050" s="20">
        <f>=F1050/12</f>
        <v>27.525</v>
      </c>
      <c r="C1050" s="20">
        <f>=J1050/3</f>
        <v>220.2</v>
      </c>
      <c r="D1050" s="20">
        <f>=K1050/3</f>
        <v>244.666666666667</v>
      </c>
      <c r="E1050" s="20">
        <f>=L1050/3</f>
        <v>256.9</v>
      </c>
      <c r="F1050" s="20">
        <f>=H1050*0.9</f>
        <v>330.3</v>
      </c>
      <c r="G1050" s="21">
        <v>334</v>
      </c>
      <c r="H1050" s="39">
        <v>367</v>
      </c>
      <c r="I1050" s="40">
        <f>=H1050*1.05</f>
        <v>385.35</v>
      </c>
      <c r="J1050" s="40">
        <f>=F1050*2</f>
        <v>660.6</v>
      </c>
      <c r="K1050" s="40">
        <f>=H1050*2</f>
        <v>734</v>
      </c>
      <c r="L1050" s="40">
        <f>=I1050*2</f>
        <v>770.7</v>
      </c>
      <c r="M1050" s="41" t="s">
        <v>1091</v>
      </c>
      <c r="N1050" s="41">
        <v>0.178</v>
      </c>
      <c r="O1050" s="41" t="s"/>
      <c r="P1050" s="41">
        <v>2</v>
      </c>
      <c r="Q1050" s="41">
        <v>2</v>
      </c>
      <c r="R1050" s="41" t="s">
        <v>16</v>
      </c>
      <c r="S1050" s="41" t="s">
        <v>17</v>
      </c>
      <c r="T1050" s="41" t="s">
        <v>689</v>
      </c>
      <c r="U1050" s="16" t="s">
        <v>13</v>
      </c>
      <c r="V1050" s="16" t="s">
        <v>215</v>
      </c>
      <c r="W1050" s="19" t="s"/>
      <c r="X1050" s="26" t="s">
        <f>=M1050&amp;N1050&amp;P1050&amp;Q1050&amp;T1050&amp;V1050&amp;S1050</f>
        <v>1156</v>
      </c>
      <c r="Y1050" s="19" t="s"/>
      <c r="Z1050" s="19" t="s"/>
      <c r="AA1050" s="19" t="s"/>
      <c r="AB1050" s="19" t="s"/>
    </row>
    <row r="1051" spans="1:28" ht="14.4">
      <c r="A1051" s="4">
        <f>=H1051/G1051-1</f>
        <v>0.103703703703704</v>
      </c>
      <c r="B1051" s="20">
        <f>=F1051/12</f>
        <v>11.175</v>
      </c>
      <c r="C1051" s="20">
        <f>=J1051/3</f>
        <v>89.4</v>
      </c>
      <c r="D1051" s="20">
        <f>=K1051/3</f>
        <v>99.3333333333333</v>
      </c>
      <c r="E1051" s="20">
        <f>=L1051/3</f>
        <v>104.3</v>
      </c>
      <c r="F1051" s="20">
        <f>=H1051*0.9</f>
        <v>134.1</v>
      </c>
      <c r="G1051" s="21">
        <v>135</v>
      </c>
      <c r="H1051" s="39">
        <v>149</v>
      </c>
      <c r="I1051" s="40">
        <f>=H1051*1.05</f>
        <v>156.45</v>
      </c>
      <c r="J1051" s="40">
        <f>=F1051*2</f>
        <v>268.2</v>
      </c>
      <c r="K1051" s="40">
        <f>=H1051*2</f>
        <v>298</v>
      </c>
      <c r="L1051" s="40">
        <f>=I1051*2</f>
        <v>312.9</v>
      </c>
      <c r="M1051" s="41" t="s">
        <v>1091</v>
      </c>
      <c r="N1051" s="41">
        <v>0.203</v>
      </c>
      <c r="O1051" s="41" t="s"/>
      <c r="P1051" s="41">
        <v>1</v>
      </c>
      <c r="Q1051" s="41" t="s">
        <v>21</v>
      </c>
      <c r="R1051" s="41" t="s">
        <v>16</v>
      </c>
      <c r="S1051" s="41" t="s">
        <v>17</v>
      </c>
      <c r="T1051" s="41" t="s">
        <v>52</v>
      </c>
      <c r="U1051" s="16" t="s">
        <v>13</v>
      </c>
      <c r="V1051" s="16" t="s">
        <v>215</v>
      </c>
      <c r="W1051" s="19" t="s"/>
      <c r="X1051" s="26" t="s">
        <f>=M1051&amp;N1051&amp;P1051&amp;Q1051&amp;T1051&amp;V1051&amp;S1051</f>
        <v>1157</v>
      </c>
      <c r="Y1051" s="19" t="s"/>
      <c r="Z1051" s="19" t="s"/>
      <c r="AA1051" s="19" t="s"/>
      <c r="AB1051" s="19" t="s"/>
    </row>
    <row r="1052" spans="1:28" ht="14.4">
      <c r="A1052" s="4">
        <f>=H1052/G1052-1</f>
        <v>0.102739726027397</v>
      </c>
      <c r="B1052" s="20">
        <f>=F1052/12</f>
        <v>12.075</v>
      </c>
      <c r="C1052" s="20">
        <f>=J1052/3</f>
        <v>96.6</v>
      </c>
      <c r="D1052" s="20">
        <f>=K1052/3</f>
        <v>107.333333333333</v>
      </c>
      <c r="E1052" s="20">
        <f>=L1052/3</f>
        <v>112.7</v>
      </c>
      <c r="F1052" s="20">
        <f>=H1052*0.9</f>
        <v>144.9</v>
      </c>
      <c r="G1052" s="21">
        <v>146</v>
      </c>
      <c r="H1052" s="39">
        <v>161</v>
      </c>
      <c r="I1052" s="40">
        <f>=H1052*1.05</f>
        <v>169.05</v>
      </c>
      <c r="J1052" s="40">
        <f>=F1052*2</f>
        <v>289.8</v>
      </c>
      <c r="K1052" s="40">
        <f>=H1052*2</f>
        <v>322</v>
      </c>
      <c r="L1052" s="40">
        <f>=I1052*2</f>
        <v>338.1</v>
      </c>
      <c r="M1052" s="41" t="s">
        <v>1091</v>
      </c>
      <c r="N1052" s="41">
        <v>0.203</v>
      </c>
      <c r="O1052" s="41" t="s"/>
      <c r="P1052" s="41">
        <v>1</v>
      </c>
      <c r="Q1052" s="41">
        <v>1</v>
      </c>
      <c r="R1052" s="41" t="s">
        <v>16</v>
      </c>
      <c r="S1052" s="41" t="s">
        <v>17</v>
      </c>
      <c r="T1052" s="41" t="s">
        <v>46</v>
      </c>
      <c r="U1052" s="16" t="s">
        <v>13</v>
      </c>
      <c r="V1052" s="16" t="s">
        <v>215</v>
      </c>
      <c r="W1052" s="19" t="s"/>
      <c r="X1052" s="26" t="s">
        <f>=M1052&amp;N1052&amp;P1052&amp;Q1052&amp;T1052&amp;V1052&amp;S1052</f>
        <v>1158</v>
      </c>
      <c r="Y1052" s="19" t="s"/>
      <c r="Z1052" s="19" t="s"/>
      <c r="AA1052" s="19" t="s"/>
      <c r="AB1052" s="19" t="s"/>
    </row>
    <row r="1053" spans="1:28" ht="14.4">
      <c r="A1053" s="4">
        <f>=H1053/G1053-1</f>
        <v>0.1</v>
      </c>
      <c r="B1053" s="20">
        <f>=F1053/12</f>
        <v>13.2</v>
      </c>
      <c r="C1053" s="20">
        <f>=J1053/3</f>
        <v>105.6</v>
      </c>
      <c r="D1053" s="20">
        <f>=K1053/3</f>
        <v>117.333333333333</v>
      </c>
      <c r="E1053" s="20">
        <f>=L1053/3</f>
        <v>123.2</v>
      </c>
      <c r="F1053" s="20">
        <f>=H1053*0.9</f>
        <v>158.4</v>
      </c>
      <c r="G1053" s="21">
        <v>160</v>
      </c>
      <c r="H1053" s="39">
        <v>176</v>
      </c>
      <c r="I1053" s="40">
        <f>=H1053*1.05</f>
        <v>184.8</v>
      </c>
      <c r="J1053" s="40">
        <f>=F1053*2</f>
        <v>316.8</v>
      </c>
      <c r="K1053" s="40">
        <f>=H1053*2</f>
        <v>352</v>
      </c>
      <c r="L1053" s="40">
        <f>=I1053*2</f>
        <v>369.6</v>
      </c>
      <c r="M1053" s="41" t="s">
        <v>1091</v>
      </c>
      <c r="N1053" s="41">
        <v>0.203</v>
      </c>
      <c r="O1053" s="41" t="s"/>
      <c r="P1053" s="41">
        <v>1</v>
      </c>
      <c r="Q1053" s="41">
        <v>1</v>
      </c>
      <c r="R1053" s="41" t="s">
        <v>16</v>
      </c>
      <c r="S1053" s="41" t="s">
        <v>17</v>
      </c>
      <c r="T1053" s="41" t="s">
        <v>52</v>
      </c>
      <c r="U1053" s="16" t="s">
        <v>13</v>
      </c>
      <c r="V1053" s="16" t="s">
        <v>215</v>
      </c>
      <c r="W1053" s="19" t="s"/>
      <c r="X1053" s="26" t="s">
        <f>=M1053&amp;N1053&amp;P1053&amp;Q1053&amp;T1053&amp;V1053&amp;S1053</f>
        <v>1159</v>
      </c>
      <c r="Y1053" s="19" t="s"/>
      <c r="Z1053" s="19" t="s"/>
      <c r="AA1053" s="19" t="s"/>
      <c r="AB1053" s="19" t="s"/>
    </row>
    <row r="1054" spans="1:28" ht="14.4">
      <c r="A1054" s="4">
        <f>=H1054/G1054-1</f>
        <v>0.1</v>
      </c>
      <c r="B1054" s="20">
        <f>=F1054/12</f>
        <v>13.2</v>
      </c>
      <c r="C1054" s="20">
        <f>=J1054/3</f>
        <v>105.6</v>
      </c>
      <c r="D1054" s="20">
        <f>=K1054/3</f>
        <v>117.333333333333</v>
      </c>
      <c r="E1054" s="20">
        <f>=L1054/3</f>
        <v>123.2</v>
      </c>
      <c r="F1054" s="20">
        <f>=H1054*0.9</f>
        <v>158.4</v>
      </c>
      <c r="G1054" s="21">
        <v>160</v>
      </c>
      <c r="H1054" s="39">
        <v>176</v>
      </c>
      <c r="I1054" s="40">
        <f>=H1054*1.05</f>
        <v>184.8</v>
      </c>
      <c r="J1054" s="40">
        <f>=F1054*2</f>
        <v>316.8</v>
      </c>
      <c r="K1054" s="40">
        <f>=H1054*2</f>
        <v>352</v>
      </c>
      <c r="L1054" s="40">
        <f>=I1054*2</f>
        <v>369.6</v>
      </c>
      <c r="M1054" s="41" t="s">
        <v>1091</v>
      </c>
      <c r="N1054" s="41">
        <v>0.203</v>
      </c>
      <c r="O1054" s="41" t="s"/>
      <c r="P1054" s="41">
        <v>1</v>
      </c>
      <c r="Q1054" s="41">
        <v>1</v>
      </c>
      <c r="R1054" s="41" t="s">
        <v>16</v>
      </c>
      <c r="S1054" s="41" t="s">
        <v>17</v>
      </c>
      <c r="T1054" s="41" t="s">
        <v>689</v>
      </c>
      <c r="U1054" s="16" t="s">
        <v>13</v>
      </c>
      <c r="V1054" s="16" t="s">
        <v>215</v>
      </c>
      <c r="W1054" s="19" t="s"/>
      <c r="X1054" s="26" t="s">
        <f>=M1054&amp;N1054&amp;P1054&amp;Q1054&amp;T1054&amp;V1054&amp;S1054</f>
        <v>1160</v>
      </c>
      <c r="Y1054" s="19" t="s"/>
      <c r="Z1054" s="19" t="s"/>
      <c r="AA1054" s="19" t="s"/>
      <c r="AB1054" s="19" t="s"/>
    </row>
    <row r="1055" spans="1:29" ht="14.4">
      <c r="A1055" s="49">
        <v>46175</v>
      </c>
      <c r="B1055" s="43">
        <f>=F1055/12</f>
        <v>20.25</v>
      </c>
      <c r="C1055" s="43">
        <f>=J1055/3</f>
        <v>162</v>
      </c>
      <c r="D1055" s="43">
        <f>=K1055/3</f>
        <v>180</v>
      </c>
      <c r="E1055" s="43">
        <f>=L1055/3</f>
        <v>189</v>
      </c>
      <c r="F1055" s="43">
        <f>=H1055*0.9</f>
        <v>243</v>
      </c>
      <c r="G1055" s="27">
        <v>160</v>
      </c>
      <c r="H1055" s="44">
        <v>270</v>
      </c>
      <c r="I1055" s="45">
        <f>=H1055*1.05</f>
        <v>283.5</v>
      </c>
      <c r="J1055" s="45">
        <f>=F1055*2</f>
        <v>486</v>
      </c>
      <c r="K1055" s="45">
        <f>=H1055*2</f>
        <v>540</v>
      </c>
      <c r="L1055" s="45">
        <f>=I1055*2</f>
        <v>567</v>
      </c>
      <c r="M1055" s="46" t="s">
        <v>1091</v>
      </c>
      <c r="N1055" s="46">
        <v>0.203</v>
      </c>
      <c r="O1055" s="46" t="s"/>
      <c r="P1055" s="46">
        <v>1</v>
      </c>
      <c r="Q1055" s="12">
        <v>2</v>
      </c>
      <c r="R1055" s="46" t="s">
        <v>16</v>
      </c>
      <c r="S1055" s="46" t="s">
        <v>17</v>
      </c>
      <c r="T1055" s="46" t="s">
        <v>689</v>
      </c>
      <c r="U1055" s="13" t="s">
        <v>13</v>
      </c>
      <c r="V1055" s="13" t="s">
        <v>215</v>
      </c>
      <c r="W1055" s="15" t="s"/>
      <c r="X1055" s="127" t="s">
        <f>=M1055&amp;N1055&amp;P1055&amp;Q1055&amp;T1055&amp;V1055&amp;S1055</f>
        <v>1161</v>
      </c>
      <c r="Y1055" s="15" t="s"/>
      <c r="Z1055" s="15" t="s"/>
      <c r="AA1055" s="15" t="s"/>
      <c r="AB1055" s="15" t="s"/>
      <c r="AC1055" s="48" t="s"/>
    </row>
    <row r="1056" spans="1:29" ht="14.4">
      <c r="A1056" s="49">
        <v>46175</v>
      </c>
      <c r="B1056" s="43">
        <f>=F1056/12</f>
        <v>17.325</v>
      </c>
      <c r="C1056" s="43">
        <f>=J1056/3</f>
        <v>138.6</v>
      </c>
      <c r="D1056" s="43">
        <f>=K1056/3</f>
        <v>154</v>
      </c>
      <c r="E1056" s="43">
        <f>=L1056/3</f>
        <v>161.7</v>
      </c>
      <c r="F1056" s="43">
        <f>=H1056*0.9</f>
        <v>207.9</v>
      </c>
      <c r="G1056" s="27">
        <v>160</v>
      </c>
      <c r="H1056" s="44">
        <v>231</v>
      </c>
      <c r="I1056" s="45">
        <f>=H1056*1.05</f>
        <v>242.55</v>
      </c>
      <c r="J1056" s="45">
        <f>=F1056*2</f>
        <v>415.8</v>
      </c>
      <c r="K1056" s="45">
        <f>=H1056*2</f>
        <v>462</v>
      </c>
      <c r="L1056" s="45">
        <f>=I1056*2</f>
        <v>485.1</v>
      </c>
      <c r="M1056" s="46" t="s">
        <v>1091</v>
      </c>
      <c r="N1056" s="46">
        <v>0.203</v>
      </c>
      <c r="O1056" s="46" t="s"/>
      <c r="P1056" s="46">
        <v>1</v>
      </c>
      <c r="Q1056" s="12">
        <v>2</v>
      </c>
      <c r="R1056" s="46" t="s">
        <v>16</v>
      </c>
      <c r="S1056" s="46" t="s">
        <v>17</v>
      </c>
      <c r="T1056" s="46" t="s">
        <v>46</v>
      </c>
      <c r="U1056" s="13" t="s">
        <v>13</v>
      </c>
      <c r="V1056" s="13" t="s">
        <v>215</v>
      </c>
      <c r="W1056" s="15" t="s"/>
      <c r="X1056" s="127" t="s">
        <f>=M1056&amp;N1056&amp;P1056&amp;Q1056&amp;T1056&amp;V1056&amp;S1056</f>
        <v>1162</v>
      </c>
      <c r="Y1056" s="15" t="s"/>
      <c r="Z1056" s="15" t="s"/>
      <c r="AA1056" s="15" t="s"/>
      <c r="AB1056" s="15" t="s"/>
      <c r="AC1056" s="48" t="s"/>
    </row>
    <row r="1057" spans="1:29" ht="14.4">
      <c r="A1057" s="4">
        <f>=H1057/G1057-1</f>
        <v>0.1</v>
      </c>
      <c r="B1057" s="20">
        <f>=F1057/12</f>
        <v>13.2</v>
      </c>
      <c r="C1057" s="20">
        <f>=J1057/3</f>
        <v>105.6</v>
      </c>
      <c r="D1057" s="20">
        <f>=K1057/3</f>
        <v>117.333333333333</v>
      </c>
      <c r="E1057" s="20">
        <f>=L1057/3</f>
        <v>123.2</v>
      </c>
      <c r="F1057" s="20">
        <f>=H1057*0.9</f>
        <v>158.4</v>
      </c>
      <c r="G1057" s="21">
        <v>160</v>
      </c>
      <c r="H1057" s="39">
        <v>176</v>
      </c>
      <c r="I1057" s="40">
        <f>=H1057*1.05</f>
        <v>184.8</v>
      </c>
      <c r="J1057" s="40">
        <f>=F1057*2</f>
        <v>316.8</v>
      </c>
      <c r="K1057" s="40">
        <f>=H1057*2</f>
        <v>352</v>
      </c>
      <c r="L1057" s="40">
        <f>=I1057*2</f>
        <v>369.6</v>
      </c>
      <c r="M1057" s="41" t="s">
        <v>1091</v>
      </c>
      <c r="N1057" s="41">
        <v>0.203</v>
      </c>
      <c r="O1057" s="41" t="s"/>
      <c r="P1057" s="41">
        <v>1</v>
      </c>
      <c r="Q1057" s="41" t="s">
        <v>21</v>
      </c>
      <c r="R1057" s="41" t="s">
        <v>16</v>
      </c>
      <c r="S1057" s="41" t="s">
        <v>17</v>
      </c>
      <c r="T1057" s="41" t="s">
        <v>689</v>
      </c>
      <c r="U1057" s="16" t="s">
        <v>13</v>
      </c>
      <c r="V1057" s="16" t="s">
        <v>215</v>
      </c>
      <c r="W1057" s="19" t="s"/>
      <c r="X1057" s="34" t="s">
        <f>=M1057&amp;N1057&amp;P1057&amp;Q1057&amp;T1057&amp;V1057&amp;S1057</f>
        <v>1163</v>
      </c>
      <c r="Y1057" s="19" t="s"/>
      <c r="Z1057" s="19" t="s"/>
      <c r="AA1057" s="19" t="s"/>
      <c r="AB1057" s="19" t="s"/>
      <c r="AC1057" s="48" t="s"/>
    </row>
    <row r="1058" spans="1:28" ht="14.4">
      <c r="A1058" s="4">
        <f>=H1058/G1058-1</f>
        <v>0.100371747211896</v>
      </c>
      <c r="B1058" s="20">
        <f>=F1058/12</f>
        <v>22.2</v>
      </c>
      <c r="C1058" s="20">
        <f>=J1058/3</f>
        <v>177.6</v>
      </c>
      <c r="D1058" s="20">
        <f>=K1058/3</f>
        <v>197.333333333333</v>
      </c>
      <c r="E1058" s="20">
        <f>=L1058/3</f>
        <v>207.2</v>
      </c>
      <c r="F1058" s="20">
        <f>=H1058*0.9</f>
        <v>266.4</v>
      </c>
      <c r="G1058" s="21">
        <v>269</v>
      </c>
      <c r="H1058" s="39">
        <v>296</v>
      </c>
      <c r="I1058" s="40">
        <f>=H1058*1.05</f>
        <v>310.8</v>
      </c>
      <c r="J1058" s="40">
        <f>=F1058*2</f>
        <v>532.8</v>
      </c>
      <c r="K1058" s="40">
        <f>=H1058*2</f>
        <v>592</v>
      </c>
      <c r="L1058" s="40">
        <f>=I1058*2</f>
        <v>621.6</v>
      </c>
      <c r="M1058" s="41" t="s">
        <v>1091</v>
      </c>
      <c r="N1058" s="41">
        <v>0.203</v>
      </c>
      <c r="O1058" s="41" t="s"/>
      <c r="P1058" s="41">
        <v>2</v>
      </c>
      <c r="Q1058" s="41">
        <v>2</v>
      </c>
      <c r="R1058" s="41" t="s">
        <v>16</v>
      </c>
      <c r="S1058" s="41" t="s">
        <v>17</v>
      </c>
      <c r="T1058" s="41" t="s">
        <v>46</v>
      </c>
      <c r="U1058" s="16" t="s">
        <v>13</v>
      </c>
      <c r="V1058" s="16" t="s">
        <v>215</v>
      </c>
      <c r="W1058" s="19" t="s"/>
      <c r="X1058" s="34" t="s">
        <f>=M1058&amp;N1058&amp;P1058&amp;Q1058&amp;T1058&amp;V1058&amp;S1058</f>
        <v>1164</v>
      </c>
      <c r="Y1058" s="19" t="s"/>
      <c r="Z1058" s="19" t="s"/>
      <c r="AA1058" s="19" t="s"/>
      <c r="AB1058" s="19" t="s"/>
    </row>
    <row r="1059" spans="1:28" ht="14.4">
      <c r="A1059" s="4">
        <f>=H1059/G1059-1</f>
        <v>0.099041533546326</v>
      </c>
      <c r="B1059" s="20">
        <f>=F1059/12</f>
        <v>25.8</v>
      </c>
      <c r="C1059" s="20">
        <f>=J1059/3</f>
        <v>206.4</v>
      </c>
      <c r="D1059" s="20">
        <f>=K1059/3</f>
        <v>229.333333333333</v>
      </c>
      <c r="E1059" s="20">
        <f>=L1059/3</f>
        <v>240.8</v>
      </c>
      <c r="F1059" s="20">
        <f>=H1059*0.9</f>
        <v>309.6</v>
      </c>
      <c r="G1059" s="21">
        <v>313</v>
      </c>
      <c r="H1059" s="39">
        <v>344</v>
      </c>
      <c r="I1059" s="40">
        <f>=H1059*1.05</f>
        <v>361.2</v>
      </c>
      <c r="J1059" s="40">
        <f>=F1059*2</f>
        <v>619.2</v>
      </c>
      <c r="K1059" s="40">
        <f>=H1059*2</f>
        <v>688</v>
      </c>
      <c r="L1059" s="40">
        <f>=I1059*2</f>
        <v>722.4</v>
      </c>
      <c r="M1059" s="41" t="s">
        <v>1091</v>
      </c>
      <c r="N1059" s="41">
        <v>0.203</v>
      </c>
      <c r="O1059" s="41" t="s"/>
      <c r="P1059" s="41">
        <v>2</v>
      </c>
      <c r="Q1059" s="41">
        <v>2</v>
      </c>
      <c r="R1059" s="41" t="s">
        <v>16</v>
      </c>
      <c r="S1059" s="41" t="s">
        <v>17</v>
      </c>
      <c r="T1059" s="41" t="s">
        <v>52</v>
      </c>
      <c r="U1059" s="16" t="s">
        <v>13</v>
      </c>
      <c r="V1059" s="16" t="s">
        <v>215</v>
      </c>
      <c r="W1059" s="19" t="s"/>
      <c r="X1059" s="34" t="s">
        <f>=M1059&amp;N1059&amp;P1059&amp;Q1059&amp;T1059&amp;V1059&amp;S1059</f>
        <v>1165</v>
      </c>
      <c r="Y1059" s="19" t="s"/>
      <c r="Z1059" s="19" t="s"/>
      <c r="AA1059" s="19" t="s"/>
      <c r="AB1059" s="19" t="s"/>
    </row>
    <row r="1060" spans="1:28" ht="14.4">
      <c r="A1060" s="4">
        <f>=H1060/G1060-1</f>
        <v>0.0985401459854014</v>
      </c>
      <c r="B1060" s="20">
        <f>=F1060/12</f>
        <v>22.575</v>
      </c>
      <c r="C1060" s="20">
        <f>=J1060/3</f>
        <v>180.6</v>
      </c>
      <c r="D1060" s="20">
        <f>=K1060/3</f>
        <v>200.666666666667</v>
      </c>
      <c r="E1060" s="20">
        <f>=L1060/3</f>
        <v>210.7</v>
      </c>
      <c r="F1060" s="20">
        <f>=H1060*0.9</f>
        <v>270.9</v>
      </c>
      <c r="G1060" s="21">
        <v>274</v>
      </c>
      <c r="H1060" s="39">
        <v>301</v>
      </c>
      <c r="I1060" s="40">
        <f>=H1060*1.05</f>
        <v>316.05</v>
      </c>
      <c r="J1060" s="40">
        <f>=F1060*2</f>
        <v>541.8</v>
      </c>
      <c r="K1060" s="40">
        <f>=H1060*2</f>
        <v>602</v>
      </c>
      <c r="L1060" s="40">
        <f>=I1060*2</f>
        <v>632.1</v>
      </c>
      <c r="M1060" s="41" t="s">
        <v>1091</v>
      </c>
      <c r="N1060" s="41">
        <v>0.203</v>
      </c>
      <c r="O1060" s="41" t="s"/>
      <c r="P1060" s="41">
        <v>2</v>
      </c>
      <c r="Q1060" s="41">
        <v>2</v>
      </c>
      <c r="R1060" s="41" t="s">
        <v>16</v>
      </c>
      <c r="S1060" s="41" t="s">
        <v>17</v>
      </c>
      <c r="T1060" s="41" t="s">
        <v>689</v>
      </c>
      <c r="U1060" s="16" t="s">
        <v>13</v>
      </c>
      <c r="V1060" s="16" t="s">
        <v>215</v>
      </c>
      <c r="W1060" s="19" t="s"/>
      <c r="X1060" s="26" t="s">
        <f>=M1060&amp;N1060&amp;P1060&amp;Q1060&amp;T1060&amp;V1060&amp;S1060</f>
        <v>1166</v>
      </c>
      <c r="Y1060" s="19" t="s"/>
      <c r="Z1060" s="19" t="s"/>
      <c r="AA1060" s="19" t="s"/>
      <c r="AB1060" s="19" t="s"/>
    </row>
    <row r="1061" spans="1:28" ht="14.4">
      <c r="A1061" s="4">
        <f>=H1061/G1061-1</f>
        <v>0.101754385964912</v>
      </c>
      <c r="B1061" s="20">
        <f>=F1061/12</f>
        <v>23.55</v>
      </c>
      <c r="C1061" s="20">
        <f>=J1061/3</f>
        <v>188.4</v>
      </c>
      <c r="D1061" s="20">
        <f>=K1061/3</f>
        <v>209.333333333333</v>
      </c>
      <c r="E1061" s="20">
        <f>=L1061/3</f>
        <v>219.8</v>
      </c>
      <c r="F1061" s="20">
        <f>=H1061*0.9</f>
        <v>282.6</v>
      </c>
      <c r="G1061" s="21">
        <v>285</v>
      </c>
      <c r="H1061" s="39">
        <v>314</v>
      </c>
      <c r="I1061" s="40">
        <f>=H1061*1.05</f>
        <v>329.7</v>
      </c>
      <c r="J1061" s="40">
        <f>=F1061*2</f>
        <v>565.2</v>
      </c>
      <c r="K1061" s="40">
        <f>=H1061*2</f>
        <v>628</v>
      </c>
      <c r="L1061" s="40">
        <f>=I1061*2</f>
        <v>659.4</v>
      </c>
      <c r="M1061" s="41" t="s">
        <v>1091</v>
      </c>
      <c r="N1061" s="41">
        <v>0.229</v>
      </c>
      <c r="O1061" s="41" t="s"/>
      <c r="P1061" s="41">
        <v>2</v>
      </c>
      <c r="Q1061" s="41">
        <v>2</v>
      </c>
      <c r="R1061" s="41" t="s">
        <v>16</v>
      </c>
      <c r="S1061" s="41" t="s">
        <v>17</v>
      </c>
      <c r="T1061" s="41" t="s">
        <v>52</v>
      </c>
      <c r="U1061" s="16" t="s">
        <v>13</v>
      </c>
      <c r="V1061" s="16" t="s">
        <v>215</v>
      </c>
      <c r="W1061" s="19" t="s"/>
      <c r="X1061" s="26" t="s">
        <f>=M1061&amp;N1061&amp;P1061&amp;Q1061&amp;T1061&amp;V1061&amp;S1061</f>
        <v>1167</v>
      </c>
      <c r="Y1061" s="19" t="s"/>
      <c r="Z1061" s="19" t="s"/>
      <c r="AA1061" s="19" t="s"/>
      <c r="AB1061" s="19" t="s"/>
    </row>
    <row r="1062" spans="1:28" ht="14.4">
      <c r="A1062" s="4">
        <f>=H1062/G1062-1</f>
        <v>0.100346020761246</v>
      </c>
      <c r="B1062" s="20">
        <f>=F1062/12</f>
        <v>23.85</v>
      </c>
      <c r="C1062" s="20">
        <f>=J1062/3</f>
        <v>190.8</v>
      </c>
      <c r="D1062" s="20">
        <f>=K1062/3</f>
        <v>212</v>
      </c>
      <c r="E1062" s="20">
        <f>=L1062/3</f>
        <v>222.6</v>
      </c>
      <c r="F1062" s="20">
        <f>=H1062*0.9</f>
        <v>286.2</v>
      </c>
      <c r="G1062" s="21">
        <v>289</v>
      </c>
      <c r="H1062" s="39">
        <v>318</v>
      </c>
      <c r="I1062" s="40">
        <f>=H1062*1.05</f>
        <v>333.9</v>
      </c>
      <c r="J1062" s="40">
        <f>=F1062*2</f>
        <v>572.4</v>
      </c>
      <c r="K1062" s="40">
        <f>=H1062*2</f>
        <v>636</v>
      </c>
      <c r="L1062" s="40">
        <f>=I1062*2</f>
        <v>667.8</v>
      </c>
      <c r="M1062" s="41" t="s">
        <v>1091</v>
      </c>
      <c r="N1062" s="41">
        <v>0.229</v>
      </c>
      <c r="O1062" s="41" t="s"/>
      <c r="P1062" s="41">
        <v>2</v>
      </c>
      <c r="Q1062" s="41">
        <v>2</v>
      </c>
      <c r="R1062" s="41" t="s">
        <v>16</v>
      </c>
      <c r="S1062" s="41" t="s">
        <v>17</v>
      </c>
      <c r="T1062" s="41" t="s">
        <v>292</v>
      </c>
      <c r="U1062" s="16" t="s">
        <v>13</v>
      </c>
      <c r="V1062" s="16" t="s">
        <v>215</v>
      </c>
      <c r="W1062" s="19" t="s"/>
      <c r="X1062" s="26" t="s">
        <f>=M1062&amp;N1062&amp;P1062&amp;Q1062&amp;T1062&amp;V1062&amp;S1062</f>
        <v>1168</v>
      </c>
      <c r="Y1062" s="19" t="s"/>
      <c r="Z1062" s="19" t="s"/>
      <c r="AA1062" s="19" t="s"/>
      <c r="AB1062" s="19" t="s"/>
    </row>
    <row r="1063" spans="1:28" ht="14.4">
      <c r="A1063" s="4">
        <f>=H1063/G1063-1</f>
        <v>0.10126582278481</v>
      </c>
      <c r="B1063" s="20">
        <f>=F1063/12</f>
        <v>13.05</v>
      </c>
      <c r="C1063" s="20">
        <f>=J1063/3</f>
        <v>104.4</v>
      </c>
      <c r="D1063" s="20">
        <f>=K1063/3</f>
        <v>116</v>
      </c>
      <c r="E1063" s="20">
        <f>=L1063/3</f>
        <v>121.8</v>
      </c>
      <c r="F1063" s="20">
        <f>=H1063*0.9</f>
        <v>156.6</v>
      </c>
      <c r="G1063" s="21">
        <v>158</v>
      </c>
      <c r="H1063" s="39">
        <v>174</v>
      </c>
      <c r="I1063" s="40">
        <f>=H1063*1.05</f>
        <v>182.7</v>
      </c>
      <c r="J1063" s="40">
        <f>=F1063*2</f>
        <v>313.2</v>
      </c>
      <c r="K1063" s="40">
        <f>=H1063*2</f>
        <v>348</v>
      </c>
      <c r="L1063" s="40">
        <f>=I1063*2</f>
        <v>365.4</v>
      </c>
      <c r="M1063" s="41" t="s">
        <v>1091</v>
      </c>
      <c r="N1063" s="41">
        <v>0.254</v>
      </c>
      <c r="O1063" s="41" t="s"/>
      <c r="P1063" s="41">
        <v>1</v>
      </c>
      <c r="Q1063" s="41">
        <v>1</v>
      </c>
      <c r="R1063" s="41" t="s">
        <v>16</v>
      </c>
      <c r="S1063" s="41" t="s">
        <v>17</v>
      </c>
      <c r="T1063" s="41" t="s">
        <v>52</v>
      </c>
      <c r="U1063" s="16" t="s">
        <v>13</v>
      </c>
      <c r="V1063" s="16" t="s">
        <v>215</v>
      </c>
      <c r="W1063" s="19" t="s"/>
      <c r="X1063" s="26" t="s">
        <f>=M1063&amp;N1063&amp;P1063&amp;Q1063&amp;T1063&amp;V1063&amp;S1063</f>
        <v>1169</v>
      </c>
      <c r="Y1063" s="19" t="s"/>
      <c r="Z1063" s="19" t="s"/>
      <c r="AA1063" s="19" t="s"/>
      <c r="AB1063" s="19" t="s"/>
    </row>
    <row r="1064" spans="1:28" ht="14.4">
      <c r="A1064" s="4">
        <f>=H1064/G1064-1</f>
        <v>0.101083032490975</v>
      </c>
      <c r="B1064" s="20">
        <f>=F1064/12</f>
        <v>22.875</v>
      </c>
      <c r="C1064" s="20">
        <f>=J1064/3</f>
        <v>183</v>
      </c>
      <c r="D1064" s="20">
        <f>=K1064/3</f>
        <v>203.333333333333</v>
      </c>
      <c r="E1064" s="20">
        <f>=L1064/3</f>
        <v>213.5</v>
      </c>
      <c r="F1064" s="20">
        <f>=H1064*0.9</f>
        <v>274.5</v>
      </c>
      <c r="G1064" s="21">
        <v>277</v>
      </c>
      <c r="H1064" s="39">
        <v>305</v>
      </c>
      <c r="I1064" s="40">
        <f>=H1064*1.05</f>
        <v>320.25</v>
      </c>
      <c r="J1064" s="40">
        <f>=F1064*2</f>
        <v>549</v>
      </c>
      <c r="K1064" s="40">
        <f>=H1064*2</f>
        <v>610</v>
      </c>
      <c r="L1064" s="40">
        <f>=I1064*2</f>
        <v>640.5</v>
      </c>
      <c r="M1064" s="41" t="s">
        <v>1091</v>
      </c>
      <c r="N1064" s="41">
        <v>0.254</v>
      </c>
      <c r="O1064" s="41" t="s"/>
      <c r="P1064" s="41">
        <v>2</v>
      </c>
      <c r="Q1064" s="41">
        <v>2</v>
      </c>
      <c r="R1064" s="41" t="s">
        <v>16</v>
      </c>
      <c r="S1064" s="41" t="s">
        <v>17</v>
      </c>
      <c r="T1064" s="41" t="s">
        <v>52</v>
      </c>
      <c r="U1064" s="16" t="s">
        <v>13</v>
      </c>
      <c r="V1064" s="16" t="s">
        <v>215</v>
      </c>
      <c r="W1064" s="19" t="s"/>
      <c r="X1064" s="26" t="s">
        <f>=M1064&amp;N1064&amp;P1064&amp;Q1064&amp;T1064&amp;V1064&amp;S1064</f>
        <v>1170</v>
      </c>
      <c r="Y1064" s="19" t="s"/>
      <c r="Z1064" s="19" t="s"/>
      <c r="AA1064" s="19" t="s"/>
      <c r="AB1064" s="19" t="s"/>
    </row>
    <row r="1065" spans="1:28" ht="14.4">
      <c r="A1065" s="4">
        <f>=H1065/G1065-1</f>
        <v>0.0985915492957748</v>
      </c>
      <c r="B1065" s="20">
        <f>=F1065/12</f>
        <v>11.7</v>
      </c>
      <c r="C1065" s="20">
        <f>=J1065/3</f>
        <v>93.6</v>
      </c>
      <c r="D1065" s="20">
        <f>=K1065/3</f>
        <v>104</v>
      </c>
      <c r="E1065" s="20">
        <f>=L1065/3</f>
        <v>109.2</v>
      </c>
      <c r="F1065" s="20">
        <f>=H1065*0.9</f>
        <v>140.4</v>
      </c>
      <c r="G1065" s="21">
        <v>142</v>
      </c>
      <c r="H1065" s="39">
        <v>156</v>
      </c>
      <c r="I1065" s="40">
        <f>=H1065*1.05</f>
        <v>163.8</v>
      </c>
      <c r="J1065" s="40">
        <f>=F1065*2</f>
        <v>280.8</v>
      </c>
      <c r="K1065" s="40">
        <f>=H1065*2</f>
        <v>312</v>
      </c>
      <c r="L1065" s="40">
        <f>=I1065*2</f>
        <v>327.6</v>
      </c>
      <c r="M1065" s="41" t="s">
        <v>1091</v>
      </c>
      <c r="N1065" s="41">
        <v>0.254</v>
      </c>
      <c r="O1065" s="41" t="s"/>
      <c r="P1065" s="41" t="s">
        <v>21</v>
      </c>
      <c r="Q1065" s="41">
        <v>1</v>
      </c>
      <c r="R1065" s="41" t="s">
        <v>16</v>
      </c>
      <c r="S1065" s="41" t="s">
        <v>17</v>
      </c>
      <c r="T1065" s="41" t="s">
        <v>52</v>
      </c>
      <c r="U1065" s="16" t="s">
        <v>13</v>
      </c>
      <c r="V1065" s="16" t="s">
        <v>215</v>
      </c>
      <c r="W1065" s="19" t="s"/>
      <c r="X1065" s="26" t="s">
        <f>=M1065&amp;N1065&amp;P1065&amp;Q1065&amp;T1065&amp;V1065&amp;S1065</f>
        <v>1171</v>
      </c>
      <c r="Y1065" s="19" t="s"/>
      <c r="Z1065" s="19" t="s"/>
      <c r="AA1065" s="19" t="s"/>
      <c r="AB1065" s="19" t="s"/>
    </row>
    <row r="1066" spans="1:28" ht="14.4">
      <c r="A1066" s="4">
        <f>=H1066/G1066-1</f>
        <v>0.1005291005291</v>
      </c>
      <c r="B1066" s="20">
        <f>=F1066/12</f>
        <v>15.6</v>
      </c>
      <c r="C1066" s="20">
        <f>=J1066/3</f>
        <v>124.8</v>
      </c>
      <c r="D1066" s="20">
        <f>=K1066/3</f>
        <v>138.666666666667</v>
      </c>
      <c r="E1066" s="20">
        <f>=L1066/3</f>
        <v>145.6</v>
      </c>
      <c r="F1066" s="20">
        <f>=H1066*0.9</f>
        <v>187.2</v>
      </c>
      <c r="G1066" s="21">
        <v>189</v>
      </c>
      <c r="H1066" s="39">
        <v>208</v>
      </c>
      <c r="I1066" s="40">
        <f>=H1066*1.05</f>
        <v>218.4</v>
      </c>
      <c r="J1066" s="40">
        <f>=F1066*2</f>
        <v>374.4</v>
      </c>
      <c r="K1066" s="40">
        <f>=H1066*2</f>
        <v>416</v>
      </c>
      <c r="L1066" s="40">
        <f>=I1066*2</f>
        <v>436.8</v>
      </c>
      <c r="M1066" s="41" t="s">
        <v>1091</v>
      </c>
      <c r="N1066" s="41">
        <v>0.305</v>
      </c>
      <c r="O1066" s="41" t="s"/>
      <c r="P1066" s="41">
        <v>1</v>
      </c>
      <c r="Q1066" s="41">
        <v>1</v>
      </c>
      <c r="R1066" s="41" t="s">
        <v>16</v>
      </c>
      <c r="S1066" s="41" t="s">
        <v>17</v>
      </c>
      <c r="T1066" s="41" t="s">
        <v>1172</v>
      </c>
      <c r="U1066" s="16" t="s">
        <v>13</v>
      </c>
      <c r="V1066" s="16" t="s">
        <v>215</v>
      </c>
      <c r="W1066" s="19" t="s"/>
      <c r="X1066" s="26" t="s">
        <f>=M1066&amp;N1066&amp;P1066&amp;Q1066&amp;T1066&amp;V1066&amp;S1066</f>
        <v>1173</v>
      </c>
      <c r="Y1066" s="19" t="s"/>
      <c r="Z1066" s="19" t="s"/>
      <c r="AA1066" s="19" t="s"/>
      <c r="AB1066" s="19" t="s"/>
    </row>
    <row r="1067" spans="1:28" ht="14.4">
      <c r="A1067" s="4">
        <f>=H1067/G1067-1</f>
        <v>0.0996441281138789</v>
      </c>
      <c r="B1067" s="20">
        <f>=F1067/12</f>
        <v>23.175</v>
      </c>
      <c r="C1067" s="20">
        <f>=J1067/3</f>
        <v>185.4</v>
      </c>
      <c r="D1067" s="20">
        <f>=K1067/3</f>
        <v>206</v>
      </c>
      <c r="E1067" s="20">
        <f>=L1067/3</f>
        <v>216.3</v>
      </c>
      <c r="F1067" s="20">
        <f>=H1067*0.9</f>
        <v>278.1</v>
      </c>
      <c r="G1067" s="21">
        <v>281</v>
      </c>
      <c r="H1067" s="39">
        <v>309</v>
      </c>
      <c r="I1067" s="40">
        <f>=H1067*1.05</f>
        <v>324.45</v>
      </c>
      <c r="J1067" s="40">
        <f>=F1067*2</f>
        <v>556.2</v>
      </c>
      <c r="K1067" s="40">
        <f>=H1067*2</f>
        <v>618</v>
      </c>
      <c r="L1067" s="40">
        <f>=I1067*2</f>
        <v>648.9</v>
      </c>
      <c r="M1067" s="41" t="s">
        <v>1091</v>
      </c>
      <c r="N1067" s="41">
        <v>0.305</v>
      </c>
      <c r="O1067" s="41" t="s"/>
      <c r="P1067" s="41">
        <v>1</v>
      </c>
      <c r="Q1067" s="41">
        <v>2</v>
      </c>
      <c r="R1067" s="41" t="s">
        <v>16</v>
      </c>
      <c r="S1067" s="41" t="s">
        <v>17</v>
      </c>
      <c r="T1067" s="41" t="s">
        <v>1172</v>
      </c>
      <c r="U1067" s="16" t="s">
        <v>13</v>
      </c>
      <c r="V1067" s="16" t="s">
        <v>215</v>
      </c>
      <c r="W1067" s="19" t="s"/>
      <c r="X1067" s="26" t="s">
        <f>=M1067&amp;N1067&amp;P1067&amp;Q1067&amp;T1067&amp;V1067&amp;S1067</f>
        <v>1174</v>
      </c>
      <c r="Y1067" s="19" t="s"/>
      <c r="Z1067" s="19" t="s"/>
      <c r="AA1067" s="19" t="s"/>
      <c r="AB1067" s="19" t="s"/>
    </row>
    <row r="1068" spans="1:28" ht="14.4">
      <c r="A1068" s="4">
        <f>=H1068/G1068-1</f>
        <v>0.102222222222222</v>
      </c>
      <c r="B1068" s="20">
        <f>=F1068/12</f>
        <v>18.6</v>
      </c>
      <c r="C1068" s="20">
        <f>=J1068/3</f>
        <v>148.8</v>
      </c>
      <c r="D1068" s="20">
        <f>=K1068/3</f>
        <v>165.333333333333</v>
      </c>
      <c r="E1068" s="20">
        <f>=L1068/3</f>
        <v>173.6</v>
      </c>
      <c r="F1068" s="20">
        <f>=H1068*0.9</f>
        <v>223.2</v>
      </c>
      <c r="G1068" s="21">
        <v>225</v>
      </c>
      <c r="H1068" s="39">
        <v>248</v>
      </c>
      <c r="I1068" s="40">
        <f>=H1068*1.05</f>
        <v>260.4</v>
      </c>
      <c r="J1068" s="40">
        <f>=F1068*2</f>
        <v>446.4</v>
      </c>
      <c r="K1068" s="40">
        <f>=H1068*2</f>
        <v>496</v>
      </c>
      <c r="L1068" s="40">
        <f>=I1068*2</f>
        <v>520.8</v>
      </c>
      <c r="M1068" s="41" t="s">
        <v>1091</v>
      </c>
      <c r="N1068" s="41">
        <v>0.305</v>
      </c>
      <c r="O1068" s="41" t="s"/>
      <c r="P1068" s="41">
        <v>1</v>
      </c>
      <c r="Q1068" s="41">
        <v>2</v>
      </c>
      <c r="R1068" s="41" t="s">
        <v>16</v>
      </c>
      <c r="S1068" s="41" t="s">
        <v>17</v>
      </c>
      <c r="T1068" s="41" t="s">
        <v>1172</v>
      </c>
      <c r="U1068" s="16" t="s">
        <v>13</v>
      </c>
      <c r="V1068" s="16" t="s">
        <v>215</v>
      </c>
      <c r="W1068" s="19" t="s"/>
      <c r="X1068" s="26" t="s">
        <f>=M1068&amp;N1068&amp;P1068&amp;Q1068&amp;T1068&amp;V1068&amp;S1068</f>
        <v>1174</v>
      </c>
      <c r="Y1068" s="19" t="s"/>
      <c r="Z1068" s="19" t="s"/>
      <c r="AA1068" s="19" t="s"/>
      <c r="AB1068" s="19" t="s"/>
    </row>
    <row r="1069" spans="1:28" ht="14.4">
      <c r="A1069" s="4">
        <f>=H1069/G1069-1</f>
        <v>0.100719424460432</v>
      </c>
      <c r="B1069" s="20">
        <f>=F1069/12</f>
        <v>22.95</v>
      </c>
      <c r="C1069" s="20">
        <f>=J1069/3</f>
        <v>183.6</v>
      </c>
      <c r="D1069" s="20">
        <f>=K1069/3</f>
        <v>204</v>
      </c>
      <c r="E1069" s="20">
        <f>=L1069/3</f>
        <v>214.2</v>
      </c>
      <c r="F1069" s="20">
        <f>=H1069*0.9</f>
        <v>275.4</v>
      </c>
      <c r="G1069" s="21">
        <v>278</v>
      </c>
      <c r="H1069" s="39">
        <v>306</v>
      </c>
      <c r="I1069" s="40">
        <f>=H1069*1.05</f>
        <v>321.3</v>
      </c>
      <c r="J1069" s="40">
        <f>=F1069*2</f>
        <v>550.8</v>
      </c>
      <c r="K1069" s="40">
        <f>=H1069*2</f>
        <v>612</v>
      </c>
      <c r="L1069" s="40">
        <f>=I1069*2</f>
        <v>642.6</v>
      </c>
      <c r="M1069" s="41" t="s">
        <v>1091</v>
      </c>
      <c r="N1069" s="41">
        <v>0.305</v>
      </c>
      <c r="O1069" s="41" t="s"/>
      <c r="P1069" s="41">
        <v>2</v>
      </c>
      <c r="Q1069" s="41">
        <v>2</v>
      </c>
      <c r="R1069" s="41" t="s">
        <v>16</v>
      </c>
      <c r="S1069" s="41" t="s">
        <v>17</v>
      </c>
      <c r="T1069" s="41" t="s">
        <v>1172</v>
      </c>
      <c r="U1069" s="16" t="s">
        <v>13</v>
      </c>
      <c r="V1069" s="16" t="s">
        <v>215</v>
      </c>
      <c r="W1069" s="19" t="s"/>
      <c r="X1069" s="26" t="s">
        <f>=M1069&amp;N1069&amp;P1069&amp;Q1069&amp;T1069&amp;V1069&amp;S1069</f>
        <v>1175</v>
      </c>
      <c r="Y1069" s="19" t="s"/>
      <c r="Z1069" s="19" t="s"/>
      <c r="AA1069" s="19" t="s"/>
      <c r="AB1069" s="19" t="s"/>
    </row>
    <row r="1070" spans="1:28" ht="14.4">
      <c r="A1070" s="4">
        <f>=H1070/G1070-1</f>
        <v>0.1</v>
      </c>
      <c r="B1070" s="20">
        <f>=F1070/12</f>
        <v>13.2</v>
      </c>
      <c r="C1070" s="20">
        <f>=J1070/3</f>
        <v>105.6</v>
      </c>
      <c r="D1070" s="20">
        <f>=K1070/3</f>
        <v>117.333333333333</v>
      </c>
      <c r="E1070" s="20">
        <f>=L1070/3</f>
        <v>123.2</v>
      </c>
      <c r="F1070" s="20">
        <f>=H1070*0.9</f>
        <v>158.4</v>
      </c>
      <c r="G1070" s="21">
        <v>160</v>
      </c>
      <c r="H1070" s="39">
        <v>176</v>
      </c>
      <c r="I1070" s="40">
        <f>=H1070*1.05</f>
        <v>184.8</v>
      </c>
      <c r="J1070" s="40">
        <f>=F1070*2</f>
        <v>316.8</v>
      </c>
      <c r="K1070" s="40">
        <f>=H1070*2</f>
        <v>352</v>
      </c>
      <c r="L1070" s="40">
        <f>=I1070*2</f>
        <v>369.6</v>
      </c>
      <c r="M1070" s="41" t="s">
        <v>1091</v>
      </c>
      <c r="N1070" s="41">
        <v>0.305</v>
      </c>
      <c r="O1070" s="41" t="s"/>
      <c r="P1070" s="41" t="s">
        <v>21</v>
      </c>
      <c r="Q1070" s="41" t="s">
        <v>21</v>
      </c>
      <c r="R1070" s="41" t="s">
        <v>16</v>
      </c>
      <c r="S1070" s="41" t="s">
        <v>17</v>
      </c>
      <c r="T1070" s="41" t="s">
        <v>1172</v>
      </c>
      <c r="U1070" s="16" t="s">
        <v>13</v>
      </c>
      <c r="V1070" s="16" t="s">
        <v>215</v>
      </c>
      <c r="W1070" s="19" t="s"/>
      <c r="X1070" s="26" t="s">
        <f>=M1070&amp;N1070&amp;P1070&amp;Q1070&amp;T1070&amp;V1070&amp;S1070</f>
        <v>1176</v>
      </c>
      <c r="Y1070" s="19" t="s"/>
      <c r="Z1070" s="19" t="s"/>
      <c r="AA1070" s="19" t="s"/>
      <c r="AB1070" s="19" t="s"/>
    </row>
    <row r="1071" spans="1:28" ht="14.4">
      <c r="A1071" s="52">
        <f>=H1071/G1071-1</f>
        <v>0.0994475138121547</v>
      </c>
      <c r="B1071" s="53">
        <f>=F1071/12</f>
        <v>14.925</v>
      </c>
      <c r="C1071" s="53">
        <f>=J1071/3</f>
        <v>119.4</v>
      </c>
      <c r="D1071" s="53">
        <f>=K1071/3</f>
        <v>132.666666666667</v>
      </c>
      <c r="E1071" s="53">
        <f>=L1071/3</f>
        <v>139.3</v>
      </c>
      <c r="F1071" s="53">
        <f>=H1071*0.9</f>
        <v>179.1</v>
      </c>
      <c r="G1071" s="39">
        <v>181</v>
      </c>
      <c r="H1071" s="39">
        <v>199</v>
      </c>
      <c r="I1071" s="40">
        <f>=H1071*1.05</f>
        <v>208.95</v>
      </c>
      <c r="J1071" s="40">
        <f>=F1071*2</f>
        <v>358.2</v>
      </c>
      <c r="K1071" s="40">
        <f>=H1071*2</f>
        <v>398</v>
      </c>
      <c r="L1071" s="40">
        <f>=I1071*2</f>
        <v>417.9</v>
      </c>
      <c r="M1071" s="41" t="s">
        <v>1091</v>
      </c>
      <c r="N1071" s="41">
        <v>0.305</v>
      </c>
      <c r="O1071" s="41" t="s"/>
      <c r="P1071" s="41" t="s">
        <v>21</v>
      </c>
      <c r="Q1071" s="41">
        <v>1</v>
      </c>
      <c r="R1071" s="41" t="s">
        <v>16</v>
      </c>
      <c r="S1071" s="41" t="s">
        <v>17</v>
      </c>
      <c r="T1071" s="41" t="s">
        <v>1172</v>
      </c>
      <c r="U1071" s="41" t="s">
        <v>13</v>
      </c>
      <c r="V1071" s="41" t="s">
        <v>215</v>
      </c>
      <c r="W1071" s="29" t="s"/>
      <c r="X1071" s="26" t="s">
        <f>=M1071&amp;N1071&amp;P1071&amp;Q1071&amp;T1071&amp;V1071&amp;S1071</f>
        <v>1177</v>
      </c>
      <c r="Y1071" s="29" t="s"/>
      <c r="Z1071" s="29" t="s"/>
      <c r="AA1071" s="29" t="s"/>
      <c r="AB1071" s="29" t="s"/>
    </row>
    <row r="1072" spans="1:28" ht="14.4">
      <c r="A1072" s="49">
        <v>46157</v>
      </c>
      <c r="B1072" s="43">
        <f>=F1072/12</f>
        <v>22.95</v>
      </c>
      <c r="C1072" s="43">
        <f>=J1072/3</f>
        <v>183.6</v>
      </c>
      <c r="D1072" s="43">
        <f>=K1072/3</f>
        <v>204</v>
      </c>
      <c r="E1072" s="43">
        <f>=L1072/3</f>
        <v>214.2</v>
      </c>
      <c r="F1072" s="43">
        <f>=H1072*0.9</f>
        <v>275.4</v>
      </c>
      <c r="G1072" s="27">
        <v>167</v>
      </c>
      <c r="H1072" s="44">
        <v>306</v>
      </c>
      <c r="I1072" s="45">
        <f>=H1072*1.05</f>
        <v>321.3</v>
      </c>
      <c r="J1072" s="45">
        <f>=F1072*2</f>
        <v>550.8</v>
      </c>
      <c r="K1072" s="45">
        <f>=H1072*2</f>
        <v>612</v>
      </c>
      <c r="L1072" s="45">
        <f>=I1072*2</f>
        <v>642.6</v>
      </c>
      <c r="M1072" s="46" t="s">
        <v>1091</v>
      </c>
      <c r="N1072" s="12">
        <v>0.33</v>
      </c>
      <c r="O1072" s="46" t="s"/>
      <c r="P1072" s="12">
        <v>2</v>
      </c>
      <c r="Q1072" s="12">
        <v>2</v>
      </c>
      <c r="R1072" s="46" t="s">
        <v>16</v>
      </c>
      <c r="S1072" s="46" t="s">
        <v>17</v>
      </c>
      <c r="T1072" s="12" t="s">
        <v>67</v>
      </c>
      <c r="U1072" s="13" t="s">
        <v>13</v>
      </c>
      <c r="V1072" s="13" t="s">
        <v>215</v>
      </c>
      <c r="W1072" s="15" t="s"/>
      <c r="X1072" s="18" t="s">
        <f>=M1072&amp;N1072&amp;P1072&amp;Q1072&amp;T1072&amp;V1072&amp;S1072</f>
        <v>1178</v>
      </c>
      <c r="Y1072" s="15" t="s"/>
      <c r="Z1072" s="15" t="s"/>
      <c r="AA1072" s="15" t="s"/>
      <c r="AB1072" s="15" t="s"/>
    </row>
    <row r="1073" spans="1:28" ht="14.4">
      <c r="A1073" s="4">
        <f>=H1073/G1073-1</f>
        <v>0.101796407185629</v>
      </c>
      <c r="B1073" s="20">
        <f>=F1073/12</f>
        <v>13.8</v>
      </c>
      <c r="C1073" s="20">
        <f>=J1073/3</f>
        <v>110.4</v>
      </c>
      <c r="D1073" s="20">
        <f>=K1073/3</f>
        <v>122.666666666667</v>
      </c>
      <c r="E1073" s="20">
        <f>=L1073/3</f>
        <v>128.8</v>
      </c>
      <c r="F1073" s="20">
        <f>=H1073*0.9</f>
        <v>165.6</v>
      </c>
      <c r="G1073" s="21">
        <v>167</v>
      </c>
      <c r="H1073" s="39">
        <v>184</v>
      </c>
      <c r="I1073" s="40">
        <f>=H1073*1.05</f>
        <v>193.2</v>
      </c>
      <c r="J1073" s="40">
        <f>=F1073*2</f>
        <v>331.2</v>
      </c>
      <c r="K1073" s="40">
        <f>=H1073*2</f>
        <v>368</v>
      </c>
      <c r="L1073" s="40">
        <f>=I1073*2</f>
        <v>386.4</v>
      </c>
      <c r="M1073" s="41" t="s">
        <v>1091</v>
      </c>
      <c r="N1073" s="41">
        <v>0.356</v>
      </c>
      <c r="O1073" s="41" t="s"/>
      <c r="P1073" s="41">
        <v>1</v>
      </c>
      <c r="Q1073" s="41">
        <v>1</v>
      </c>
      <c r="R1073" s="41" t="s">
        <v>16</v>
      </c>
      <c r="S1073" s="41" t="s">
        <v>17</v>
      </c>
      <c r="T1073" s="41" t="s">
        <v>76</v>
      </c>
      <c r="U1073" s="16" t="s">
        <v>13</v>
      </c>
      <c r="V1073" s="16" t="s">
        <v>215</v>
      </c>
      <c r="W1073" s="19" t="s"/>
      <c r="X1073" s="26" t="s">
        <f>=M1073&amp;N1073&amp;P1073&amp;Q1073&amp;T1073&amp;V1073&amp;S1073</f>
        <v>1179</v>
      </c>
      <c r="Y1073" s="19" t="s"/>
      <c r="Z1073" s="19" t="s"/>
      <c r="AA1073" s="19" t="s"/>
      <c r="AB1073" s="19" t="s"/>
    </row>
    <row r="1074" spans="1:28" ht="14.4">
      <c r="A1074" s="4">
        <f>=H1074/G1074-1</f>
        <v>0.098901098901099</v>
      </c>
      <c r="B1074" s="20">
        <f>=F1074/12</f>
        <v>22.5</v>
      </c>
      <c r="C1074" s="20">
        <f>=J1074/3</f>
        <v>180</v>
      </c>
      <c r="D1074" s="20">
        <f>=K1074/3</f>
        <v>200</v>
      </c>
      <c r="E1074" s="20">
        <f>=L1074/3</f>
        <v>210</v>
      </c>
      <c r="F1074" s="20">
        <f>=H1074*0.9</f>
        <v>270</v>
      </c>
      <c r="G1074" s="21">
        <v>273</v>
      </c>
      <c r="H1074" s="39">
        <v>300</v>
      </c>
      <c r="I1074" s="40">
        <f>=H1074*1.05</f>
        <v>315</v>
      </c>
      <c r="J1074" s="40">
        <f>=F1074*2</f>
        <v>540</v>
      </c>
      <c r="K1074" s="40">
        <f>=H1074*2</f>
        <v>600</v>
      </c>
      <c r="L1074" s="40">
        <f>=I1074*2</f>
        <v>630</v>
      </c>
      <c r="M1074" s="41" t="s">
        <v>1091</v>
      </c>
      <c r="N1074" s="41">
        <v>0.356</v>
      </c>
      <c r="O1074" s="41" t="s"/>
      <c r="P1074" s="41">
        <v>2</v>
      </c>
      <c r="Q1074" s="41">
        <v>2</v>
      </c>
      <c r="R1074" s="41" t="s">
        <v>16</v>
      </c>
      <c r="S1074" s="41" t="s">
        <v>17</v>
      </c>
      <c r="T1074" s="41" t="s">
        <v>1172</v>
      </c>
      <c r="U1074" s="16" t="s">
        <v>13</v>
      </c>
      <c r="V1074" s="16" t="s">
        <v>215</v>
      </c>
      <c r="W1074" s="19" t="s"/>
      <c r="X1074" s="26" t="s">
        <f>=M1074&amp;N1074&amp;P1074&amp;Q1074&amp;T1074&amp;V1074&amp;S1074</f>
        <v>1180</v>
      </c>
      <c r="Y1074" s="19" t="s"/>
      <c r="Z1074" s="19" t="s"/>
      <c r="AA1074" s="19" t="s"/>
      <c r="AB1074" s="19" t="s"/>
    </row>
    <row r="1075" spans="1:28" ht="14.4">
      <c r="A1075" s="4">
        <f>=H1075/G1075-1</f>
        <v>0.0988372093023256</v>
      </c>
      <c r="B1075" s="20">
        <f>=F1075/12</f>
        <v>14.175</v>
      </c>
      <c r="C1075" s="20">
        <f>=J1075/3</f>
        <v>113.4</v>
      </c>
      <c r="D1075" s="20">
        <f>=K1075/3</f>
        <v>126</v>
      </c>
      <c r="E1075" s="20">
        <f>=L1075/3</f>
        <v>132.3</v>
      </c>
      <c r="F1075" s="20">
        <f>=H1075*0.9</f>
        <v>170.1</v>
      </c>
      <c r="G1075" s="21">
        <v>172</v>
      </c>
      <c r="H1075" s="39">
        <v>189</v>
      </c>
      <c r="I1075" s="40">
        <f>=H1075*1.05</f>
        <v>198.45</v>
      </c>
      <c r="J1075" s="40">
        <f>=F1075*2</f>
        <v>340.2</v>
      </c>
      <c r="K1075" s="40">
        <f>=H1075*2</f>
        <v>378</v>
      </c>
      <c r="L1075" s="40">
        <f>=I1075*2</f>
        <v>396.9</v>
      </c>
      <c r="M1075" s="41" t="s">
        <v>1091</v>
      </c>
      <c r="N1075" s="41">
        <v>0.381</v>
      </c>
      <c r="O1075" s="41" t="s"/>
      <c r="P1075" s="41">
        <v>1</v>
      </c>
      <c r="Q1075" s="41">
        <v>1</v>
      </c>
      <c r="R1075" s="41" t="s">
        <v>16</v>
      </c>
      <c r="S1075" s="41" t="s">
        <v>17</v>
      </c>
      <c r="T1075" s="41" t="s">
        <v>1172</v>
      </c>
      <c r="U1075" s="16" t="s">
        <v>13</v>
      </c>
      <c r="V1075" s="16" t="s">
        <v>215</v>
      </c>
      <c r="W1075" s="19" t="s"/>
      <c r="X1075" s="26" t="s">
        <f>=M1075&amp;N1075&amp;P1075&amp;Q1075&amp;T1075&amp;V1075&amp;S1075</f>
        <v>1181</v>
      </c>
      <c r="Y1075" s="19" t="s"/>
      <c r="Z1075" s="19" t="s"/>
      <c r="AA1075" s="19" t="s"/>
      <c r="AB1075" s="19" t="s"/>
    </row>
    <row r="1076" spans="1:29" ht="14.4">
      <c r="A1076" s="42">
        <f>=H1076/G1076-1</f>
        <v>0.11271676300578</v>
      </c>
      <c r="B1076" s="43">
        <f>=F1076/12</f>
        <v>28.875</v>
      </c>
      <c r="C1076" s="43">
        <f>=J1076/3</f>
        <v>231</v>
      </c>
      <c r="D1076" s="43">
        <f>=K1076/3</f>
        <v>256.666666666667</v>
      </c>
      <c r="E1076" s="43">
        <f>=L1076/3</f>
        <v>269.5</v>
      </c>
      <c r="F1076" s="43">
        <f>=H1076*0.9</f>
        <v>346.5</v>
      </c>
      <c r="G1076" s="27">
        <v>346</v>
      </c>
      <c r="H1076" s="44">
        <v>385</v>
      </c>
      <c r="I1076" s="45">
        <f>=H1076*1.05</f>
        <v>404.25</v>
      </c>
      <c r="J1076" s="45">
        <f>=F1076*2</f>
        <v>693</v>
      </c>
      <c r="K1076" s="45">
        <f>=H1076*2</f>
        <v>770</v>
      </c>
      <c r="L1076" s="45">
        <f>=I1076*2</f>
        <v>808.5</v>
      </c>
      <c r="M1076" s="46" t="s">
        <v>1091</v>
      </c>
      <c r="N1076" s="46">
        <v>0.381</v>
      </c>
      <c r="O1076" s="46" t="s"/>
      <c r="P1076" s="12">
        <v>1</v>
      </c>
      <c r="Q1076" s="46">
        <v>2</v>
      </c>
      <c r="R1076" s="46" t="s">
        <v>16</v>
      </c>
      <c r="S1076" s="46" t="s">
        <v>17</v>
      </c>
      <c r="T1076" s="46" t="s">
        <v>1172</v>
      </c>
      <c r="U1076" s="13" t="s">
        <v>13</v>
      </c>
      <c r="V1076" s="13" t="s">
        <v>215</v>
      </c>
      <c r="W1076" s="126" t="s">
        <v>352</v>
      </c>
      <c r="X1076" s="18" t="s">
        <f>=M1076&amp;N1076&amp;P1076&amp;Q1076&amp;T1076&amp;V1076&amp;S1076</f>
        <v>1182</v>
      </c>
      <c r="Y1076" s="15" t="s"/>
      <c r="Z1076" s="15" t="s"/>
      <c r="AA1076" s="15" t="s"/>
      <c r="AB1076" s="15" t="s"/>
      <c r="AC1076" s="48" t="s"/>
    </row>
    <row r="1077" spans="1:28" ht="14.4">
      <c r="A1077" s="4">
        <f>=H1077/G1077-1</f>
        <v>0.0115606936416186</v>
      </c>
      <c r="B1077" s="20">
        <f>=F1077/12</f>
        <v>26.25</v>
      </c>
      <c r="C1077" s="20">
        <f>=J1077/3</f>
        <v>210</v>
      </c>
      <c r="D1077" s="20">
        <f>=K1077/3</f>
        <v>233.333333333333</v>
      </c>
      <c r="E1077" s="20">
        <f>=L1077/3</f>
        <v>245</v>
      </c>
      <c r="F1077" s="20">
        <f>=H1077*0.9</f>
        <v>315</v>
      </c>
      <c r="G1077" s="21">
        <v>346</v>
      </c>
      <c r="H1077" s="39">
        <v>350</v>
      </c>
      <c r="I1077" s="40">
        <f>=H1077*1.05</f>
        <v>367.5</v>
      </c>
      <c r="J1077" s="40">
        <f>=F1077*2</f>
        <v>630</v>
      </c>
      <c r="K1077" s="40">
        <f>=H1077*2</f>
        <v>700</v>
      </c>
      <c r="L1077" s="40">
        <f>=I1077*2</f>
        <v>735</v>
      </c>
      <c r="M1077" s="41" t="s">
        <v>1091</v>
      </c>
      <c r="N1077" s="41">
        <v>0.381</v>
      </c>
      <c r="O1077" s="41" t="s"/>
      <c r="P1077" s="41">
        <v>2</v>
      </c>
      <c r="Q1077" s="41">
        <v>2</v>
      </c>
      <c r="R1077" s="41" t="s">
        <v>16</v>
      </c>
      <c r="S1077" s="41" t="s">
        <v>17</v>
      </c>
      <c r="T1077" s="41" t="s">
        <v>1172</v>
      </c>
      <c r="U1077" s="16" t="s">
        <v>13</v>
      </c>
      <c r="V1077" s="16" t="s">
        <v>215</v>
      </c>
      <c r="W1077" s="17" t="s">
        <v>352</v>
      </c>
      <c r="X1077" s="26" t="s">
        <f>=M1077&amp;N1077&amp;P1077&amp;Q1077&amp;T1077&amp;V1077&amp;S1077</f>
        <v>1183</v>
      </c>
      <c r="Y1077" s="19" t="s"/>
      <c r="Z1077" s="19" t="s"/>
      <c r="AA1077" s="19" t="s"/>
      <c r="AB1077" s="19" t="s"/>
    </row>
    <row r="1078" spans="1:28" ht="14.4">
      <c r="A1078" s="4">
        <f>=H1078/G1078-1</f>
        <v>0.0982658959537573</v>
      </c>
      <c r="B1078" s="20">
        <f>=F1078/12</f>
        <v>14.25</v>
      </c>
      <c r="C1078" s="20">
        <f>=J1078/3</f>
        <v>114</v>
      </c>
      <c r="D1078" s="20">
        <f>=K1078/3</f>
        <v>126.666666666667</v>
      </c>
      <c r="E1078" s="20">
        <f>=L1078/3</f>
        <v>133</v>
      </c>
      <c r="F1078" s="20">
        <f>=H1078*0.9</f>
        <v>171</v>
      </c>
      <c r="G1078" s="21">
        <v>173</v>
      </c>
      <c r="H1078" s="39">
        <v>190</v>
      </c>
      <c r="I1078" s="40">
        <f>=H1078*1.05</f>
        <v>199.5</v>
      </c>
      <c r="J1078" s="40">
        <f>=F1078*2</f>
        <v>342</v>
      </c>
      <c r="K1078" s="40">
        <f>=H1078*2</f>
        <v>380</v>
      </c>
      <c r="L1078" s="40">
        <f>=I1078*2</f>
        <v>399</v>
      </c>
      <c r="M1078" s="41" t="s">
        <v>1091</v>
      </c>
      <c r="N1078" s="41">
        <v>0.406</v>
      </c>
      <c r="O1078" s="41" t="s"/>
      <c r="P1078" s="41">
        <v>1</v>
      </c>
      <c r="Q1078" s="41">
        <v>1</v>
      </c>
      <c r="R1078" s="41" t="s">
        <v>16</v>
      </c>
      <c r="S1078" s="41" t="s">
        <v>17</v>
      </c>
      <c r="T1078" s="41" t="s">
        <v>76</v>
      </c>
      <c r="U1078" s="16" t="s">
        <v>13</v>
      </c>
      <c r="V1078" s="16" t="s">
        <v>215</v>
      </c>
      <c r="W1078" s="19" t="s"/>
      <c r="X1078" s="26" t="s">
        <f>=M1078&amp;N1078&amp;P1078&amp;Q1078&amp;T1078&amp;V1078&amp;S1078</f>
        <v>1184</v>
      </c>
      <c r="Y1078" s="19" t="s"/>
      <c r="Z1078" s="19" t="s"/>
      <c r="AA1078" s="19" t="s"/>
      <c r="AB1078" s="19" t="s"/>
    </row>
    <row r="1079" spans="1:28" ht="14.4">
      <c r="A1079" s="4">
        <f>=H1079/G1079-1</f>
        <v>0.101604278074866</v>
      </c>
      <c r="B1079" s="20">
        <f>=F1079/12</f>
        <v>15.45</v>
      </c>
      <c r="C1079" s="20">
        <f>=J1079/3</f>
        <v>123.6</v>
      </c>
      <c r="D1079" s="20">
        <f>=K1079/3</f>
        <v>137.333333333333</v>
      </c>
      <c r="E1079" s="20">
        <f>=L1079/3</f>
        <v>144.2</v>
      </c>
      <c r="F1079" s="20">
        <f>=H1079*0.9</f>
        <v>185.4</v>
      </c>
      <c r="G1079" s="21">
        <v>187</v>
      </c>
      <c r="H1079" s="39">
        <v>206</v>
      </c>
      <c r="I1079" s="40">
        <f>=H1079*1.05</f>
        <v>216.3</v>
      </c>
      <c r="J1079" s="40">
        <f>=F1079*2</f>
        <v>370.8</v>
      </c>
      <c r="K1079" s="40">
        <f>=H1079*2</f>
        <v>412</v>
      </c>
      <c r="L1079" s="40">
        <f>=I1079*2</f>
        <v>432.6</v>
      </c>
      <c r="M1079" s="41" t="s">
        <v>1091</v>
      </c>
      <c r="N1079" s="41">
        <v>0.457</v>
      </c>
      <c r="O1079" s="41" t="s"/>
      <c r="P1079" s="41">
        <v>1</v>
      </c>
      <c r="Q1079" s="41">
        <v>1</v>
      </c>
      <c r="R1079" s="41" t="s">
        <v>16</v>
      </c>
      <c r="S1079" s="41" t="s">
        <v>17</v>
      </c>
      <c r="T1079" s="41" t="s">
        <v>377</v>
      </c>
      <c r="U1079" s="16" t="s">
        <v>13</v>
      </c>
      <c r="V1079" s="16" t="s">
        <v>215</v>
      </c>
      <c r="W1079" s="19" t="s"/>
      <c r="X1079" s="26" t="s">
        <f>=M1079&amp;N1079&amp;P1079&amp;Q1079&amp;T1079&amp;V1079&amp;S1079</f>
        <v>1185</v>
      </c>
      <c r="Y1079" s="19" t="s"/>
      <c r="Z1079" s="19" t="s"/>
      <c r="AA1079" s="19" t="s"/>
      <c r="AB1079" s="19" t="s"/>
    </row>
    <row r="1080" spans="1:28" ht="14.4">
      <c r="A1080" s="4">
        <f>=H1080/G1080-1</f>
        <v>0.0994764397905759</v>
      </c>
      <c r="B1080" s="20">
        <f>=F1080/12</f>
        <v>15.75</v>
      </c>
      <c r="C1080" s="20">
        <f>=J1080/3</f>
        <v>126</v>
      </c>
      <c r="D1080" s="20">
        <f>=K1080/3</f>
        <v>140</v>
      </c>
      <c r="E1080" s="20">
        <f>=L1080/3</f>
        <v>147</v>
      </c>
      <c r="F1080" s="20">
        <f>=H1080*0.9</f>
        <v>189</v>
      </c>
      <c r="G1080" s="21">
        <v>191</v>
      </c>
      <c r="H1080" s="39">
        <v>210</v>
      </c>
      <c r="I1080" s="40">
        <f>=H1080*1.05</f>
        <v>220.5</v>
      </c>
      <c r="J1080" s="40">
        <f>=F1080*2</f>
        <v>378</v>
      </c>
      <c r="K1080" s="40">
        <f>=H1080*2</f>
        <v>420</v>
      </c>
      <c r="L1080" s="40">
        <f>=I1080*2</f>
        <v>441</v>
      </c>
      <c r="M1080" s="41" t="s">
        <v>1091</v>
      </c>
      <c r="N1080" s="41">
        <v>0.457</v>
      </c>
      <c r="O1080" s="41" t="s"/>
      <c r="P1080" s="41">
        <v>1</v>
      </c>
      <c r="Q1080" s="41">
        <v>1</v>
      </c>
      <c r="R1080" s="41" t="s">
        <v>16</v>
      </c>
      <c r="S1080" s="41" t="s">
        <v>17</v>
      </c>
      <c r="T1080" s="41" t="s">
        <v>1186</v>
      </c>
      <c r="U1080" s="16" t="s">
        <v>13</v>
      </c>
      <c r="V1080" s="16" t="s">
        <v>215</v>
      </c>
      <c r="W1080" s="19" t="s"/>
      <c r="X1080" s="26" t="s">
        <f>=M1080&amp;N1080&amp;P1080&amp;Q1080&amp;T1080&amp;V1080&amp;S1080</f>
        <v>1187</v>
      </c>
      <c r="Y1080" s="19" t="s"/>
      <c r="Z1080" s="19" t="s"/>
      <c r="AA1080" s="19" t="s"/>
      <c r="AB1080" s="19" t="s"/>
    </row>
    <row r="1081" spans="1:28" ht="14.4">
      <c r="A1081" s="4">
        <f>=H1081/G1081-1</f>
        <v>0.099041533546326</v>
      </c>
      <c r="B1081" s="20">
        <f>=F1081/12</f>
        <v>25.8</v>
      </c>
      <c r="C1081" s="20">
        <f>=J1081/3</f>
        <v>206.4</v>
      </c>
      <c r="D1081" s="20">
        <f>=K1081/3</f>
        <v>229.333333333333</v>
      </c>
      <c r="E1081" s="20">
        <f>=L1081/3</f>
        <v>240.8</v>
      </c>
      <c r="F1081" s="20">
        <f>=H1081*0.9</f>
        <v>309.6</v>
      </c>
      <c r="G1081" s="21">
        <v>313</v>
      </c>
      <c r="H1081" s="39">
        <v>344</v>
      </c>
      <c r="I1081" s="40">
        <f>=H1081*1.05</f>
        <v>361.2</v>
      </c>
      <c r="J1081" s="40">
        <f>=F1081*2</f>
        <v>619.2</v>
      </c>
      <c r="K1081" s="40">
        <f>=H1081*2</f>
        <v>688</v>
      </c>
      <c r="L1081" s="40">
        <f>=I1081*2</f>
        <v>722.4</v>
      </c>
      <c r="M1081" s="41" t="s">
        <v>1091</v>
      </c>
      <c r="N1081" s="41">
        <v>0.457</v>
      </c>
      <c r="O1081" s="41" t="s"/>
      <c r="P1081" s="41">
        <v>2</v>
      </c>
      <c r="Q1081" s="41">
        <v>2</v>
      </c>
      <c r="R1081" s="41" t="s">
        <v>16</v>
      </c>
      <c r="S1081" s="41" t="s">
        <v>17</v>
      </c>
      <c r="T1081" s="41" t="s">
        <v>1186</v>
      </c>
      <c r="U1081" s="16" t="s">
        <v>13</v>
      </c>
      <c r="V1081" s="16" t="s">
        <v>215</v>
      </c>
      <c r="W1081" s="19" t="s"/>
      <c r="X1081" s="26" t="s">
        <f>=M1081&amp;N1081&amp;P1081&amp;Q1081&amp;T1081&amp;V1081&amp;S1081</f>
        <v>1188</v>
      </c>
      <c r="Y1081" s="19" t="s"/>
      <c r="Z1081" s="19" t="s"/>
      <c r="AA1081" s="19" t="s"/>
      <c r="AB1081" s="19" t="s"/>
    </row>
    <row r="1082" spans="1:28" ht="14.4">
      <c r="A1082" s="4">
        <f>=H1082/G1082-1</f>
        <v>0.0990099009900991</v>
      </c>
      <c r="B1082" s="20">
        <f>=F1082/12</f>
        <v>24.975</v>
      </c>
      <c r="C1082" s="20">
        <f>=J1082/3</f>
        <v>199.8</v>
      </c>
      <c r="D1082" s="20">
        <f>=K1082/3</f>
        <v>222</v>
      </c>
      <c r="E1082" s="20">
        <f>=L1082/3</f>
        <v>233.1</v>
      </c>
      <c r="F1082" s="20">
        <f>=H1082*0.9</f>
        <v>299.7</v>
      </c>
      <c r="G1082" s="21">
        <v>303</v>
      </c>
      <c r="H1082" s="39">
        <v>333</v>
      </c>
      <c r="I1082" s="40">
        <f>=H1082*1.05</f>
        <v>349.65</v>
      </c>
      <c r="J1082" s="40">
        <f>=F1082*2</f>
        <v>599.4</v>
      </c>
      <c r="K1082" s="40">
        <f>=H1082*2</f>
        <v>666</v>
      </c>
      <c r="L1082" s="40">
        <f>=I1082*2</f>
        <v>699.3</v>
      </c>
      <c r="M1082" s="41" t="s">
        <v>1091</v>
      </c>
      <c r="N1082" s="41">
        <v>0.457</v>
      </c>
      <c r="O1082" s="41" t="s"/>
      <c r="P1082" s="41">
        <v>2</v>
      </c>
      <c r="Q1082" s="41">
        <v>2</v>
      </c>
      <c r="R1082" s="41" t="s">
        <v>16</v>
      </c>
      <c r="S1082" s="41" t="s">
        <v>17</v>
      </c>
      <c r="T1082" s="41" t="s">
        <v>377</v>
      </c>
      <c r="U1082" s="16" t="s">
        <v>13</v>
      </c>
      <c r="V1082" s="16" t="s">
        <v>215</v>
      </c>
      <c r="W1082" s="19" t="s"/>
      <c r="X1082" s="26" t="s">
        <f>=M1082&amp;N1082&amp;P1082&amp;Q1082&amp;T1082&amp;V1082&amp;S1082</f>
        <v>1189</v>
      </c>
      <c r="Y1082" s="19" t="s"/>
      <c r="Z1082" s="19" t="s"/>
      <c r="AA1082" s="19" t="s"/>
      <c r="AB1082" s="19" t="s"/>
    </row>
    <row r="1083" spans="1:29" ht="14.4">
      <c r="A1083" s="42">
        <f>=H1083/G1083-1</f>
        <v>-0.0446428571428571</v>
      </c>
      <c r="B1083" s="43">
        <f>=F1083/12</f>
        <v>16.05</v>
      </c>
      <c r="C1083" s="43">
        <f>=J1083/3</f>
        <v>128.4</v>
      </c>
      <c r="D1083" s="43">
        <f>=K1083/3</f>
        <v>142.666666666667</v>
      </c>
      <c r="E1083" s="43">
        <f>=L1083/3</f>
        <v>149.8</v>
      </c>
      <c r="F1083" s="43">
        <f>=H1083*0.9</f>
        <v>192.6</v>
      </c>
      <c r="G1083" s="27">
        <v>224</v>
      </c>
      <c r="H1083" s="44">
        <v>214</v>
      </c>
      <c r="I1083" s="45">
        <f>=H1083*1.05</f>
        <v>224.7</v>
      </c>
      <c r="J1083" s="45">
        <f>=F1083*2</f>
        <v>385.2</v>
      </c>
      <c r="K1083" s="45">
        <f>=H1083*2</f>
        <v>428</v>
      </c>
      <c r="L1083" s="45">
        <f>=I1083*2</f>
        <v>449.4</v>
      </c>
      <c r="M1083" s="46" t="s">
        <v>1091</v>
      </c>
      <c r="N1083" s="46">
        <v>0.508</v>
      </c>
      <c r="O1083" s="46" t="s"/>
      <c r="P1083" s="46">
        <v>1</v>
      </c>
      <c r="Q1083" s="46">
        <v>1</v>
      </c>
      <c r="R1083" s="46" t="s">
        <v>16</v>
      </c>
      <c r="S1083" s="46" t="s">
        <v>17</v>
      </c>
      <c r="T1083" s="46" t="s">
        <v>387</v>
      </c>
      <c r="U1083" s="13" t="s">
        <v>13</v>
      </c>
      <c r="V1083" s="11" t="s">
        <v>215</v>
      </c>
      <c r="W1083" s="15" t="s"/>
      <c r="X1083" s="18" t="s">
        <f>=M1083&amp;N1083&amp;P1083&amp;Q1083&amp;T1083&amp;V1083&amp;S1083</f>
        <v>1190</v>
      </c>
      <c r="Y1083" s="15" t="s"/>
      <c r="Z1083" s="15" t="s"/>
      <c r="AA1083" s="15" t="s"/>
      <c r="AB1083" s="15" t="s"/>
      <c r="AC1083" s="48" t="s"/>
    </row>
    <row r="1084" spans="1:28" ht="14.4">
      <c r="A1084" s="4">
        <f>=H1084/G1084-1</f>
        <v>0.0982142857142858</v>
      </c>
      <c r="B1084" s="20">
        <f>=F1084/12</f>
        <v>18.45</v>
      </c>
      <c r="C1084" s="20">
        <f>=J1084/3</f>
        <v>147.6</v>
      </c>
      <c r="D1084" s="20">
        <f>=K1084/3</f>
        <v>164</v>
      </c>
      <c r="E1084" s="20">
        <f>=L1084/3</f>
        <v>172.2</v>
      </c>
      <c r="F1084" s="20">
        <f>=H1084*0.9</f>
        <v>221.4</v>
      </c>
      <c r="G1084" s="21">
        <v>224</v>
      </c>
      <c r="H1084" s="39">
        <v>246</v>
      </c>
      <c r="I1084" s="40">
        <f>=H1084*1.05</f>
        <v>258.3</v>
      </c>
      <c r="J1084" s="40">
        <f>=F1084*2</f>
        <v>442.8</v>
      </c>
      <c r="K1084" s="40">
        <f>=H1084*2</f>
        <v>492</v>
      </c>
      <c r="L1084" s="40">
        <f>=I1084*2</f>
        <v>516.6</v>
      </c>
      <c r="M1084" s="41" t="s">
        <v>1091</v>
      </c>
      <c r="N1084" s="41">
        <v>0.508</v>
      </c>
      <c r="O1084" s="41" t="s"/>
      <c r="P1084" s="41">
        <v>1</v>
      </c>
      <c r="Q1084" s="41">
        <v>1</v>
      </c>
      <c r="R1084" s="41" t="s">
        <v>16</v>
      </c>
      <c r="S1084" s="41" t="s">
        <v>17</v>
      </c>
      <c r="T1084" s="41" t="s">
        <v>387</v>
      </c>
      <c r="U1084" s="16" t="s">
        <v>13</v>
      </c>
      <c r="V1084" s="16" t="s">
        <v>1083</v>
      </c>
      <c r="W1084" s="19" t="s"/>
      <c r="X1084" s="26" t="s">
        <f>=M1084&amp;N1084&amp;P1084&amp;Q1084&amp;T1084&amp;V1084&amp;S1084</f>
        <v>1191</v>
      </c>
      <c r="Y1084" s="19" t="s"/>
      <c r="Z1084" s="19" t="s"/>
      <c r="AA1084" s="19" t="s"/>
      <c r="AB1084" s="19" t="s"/>
    </row>
    <row r="1085" spans="1:28" ht="14.4">
      <c r="A1085" s="4">
        <f>=H1085/G1085-1</f>
        <v>0.0981308411214954</v>
      </c>
      <c r="B1085" s="20">
        <f>=F1085/12</f>
        <v>17.625</v>
      </c>
      <c r="C1085" s="20">
        <f>=J1085/3</f>
        <v>141</v>
      </c>
      <c r="D1085" s="20">
        <f>=K1085/3</f>
        <v>156.666666666667</v>
      </c>
      <c r="E1085" s="20">
        <f>=L1085/3</f>
        <v>164.5</v>
      </c>
      <c r="F1085" s="20">
        <f>=H1085*0.9</f>
        <v>211.5</v>
      </c>
      <c r="G1085" s="21">
        <v>214</v>
      </c>
      <c r="H1085" s="39">
        <v>235</v>
      </c>
      <c r="I1085" s="40">
        <f>=H1085*1.05</f>
        <v>246.75</v>
      </c>
      <c r="J1085" s="40">
        <f>=F1085*2</f>
        <v>423</v>
      </c>
      <c r="K1085" s="40">
        <f>=H1085*2</f>
        <v>470</v>
      </c>
      <c r="L1085" s="40">
        <f>=I1085*2</f>
        <v>493.5</v>
      </c>
      <c r="M1085" s="41" t="s">
        <v>1091</v>
      </c>
      <c r="N1085" s="41">
        <v>0.508</v>
      </c>
      <c r="O1085" s="41" t="s"/>
      <c r="P1085" s="41">
        <v>1</v>
      </c>
      <c r="Q1085" s="41">
        <v>1</v>
      </c>
      <c r="R1085" s="41" t="s">
        <v>16</v>
      </c>
      <c r="S1085" s="41" t="s">
        <v>17</v>
      </c>
      <c r="T1085" s="41" t="s">
        <v>387</v>
      </c>
      <c r="U1085" s="16" t="s">
        <v>13</v>
      </c>
      <c r="V1085" s="16" t="s">
        <v>215</v>
      </c>
      <c r="W1085" s="19" t="s"/>
      <c r="X1085" s="26" t="s">
        <f>=M1085&amp;N1085&amp;P1085&amp;Q1085&amp;T1085&amp;V1085&amp;S1085</f>
        <v>1190</v>
      </c>
      <c r="Y1085" s="19" t="s"/>
      <c r="Z1085" s="19" t="s"/>
      <c r="AA1085" s="19" t="s"/>
      <c r="AB1085" s="19" t="s"/>
    </row>
    <row r="1086" spans="1:28" ht="14.4">
      <c r="A1086" s="4">
        <f>=H1086/G1086-1</f>
        <v>0.0987654320987654</v>
      </c>
      <c r="B1086" s="20">
        <f>=F1086/12</f>
        <v>26.7</v>
      </c>
      <c r="C1086" s="20">
        <f>=J1086/3</f>
        <v>213.6</v>
      </c>
      <c r="D1086" s="20">
        <f>=K1086/3</f>
        <v>237.333333333333</v>
      </c>
      <c r="E1086" s="20">
        <f>=L1086/3</f>
        <v>249.2</v>
      </c>
      <c r="F1086" s="20">
        <f>=H1086*0.9</f>
        <v>320.4</v>
      </c>
      <c r="G1086" s="21">
        <v>324</v>
      </c>
      <c r="H1086" s="39">
        <v>356</v>
      </c>
      <c r="I1086" s="40">
        <f>=H1086*1.05</f>
        <v>373.8</v>
      </c>
      <c r="J1086" s="40">
        <f>=F1086*2</f>
        <v>640.8</v>
      </c>
      <c r="K1086" s="40">
        <f>=H1086*2</f>
        <v>712</v>
      </c>
      <c r="L1086" s="40">
        <f>=I1086*2</f>
        <v>747.6</v>
      </c>
      <c r="M1086" s="41" t="s">
        <v>1091</v>
      </c>
      <c r="N1086" s="41">
        <v>0.508</v>
      </c>
      <c r="O1086" s="41" t="s"/>
      <c r="P1086" s="41">
        <v>2</v>
      </c>
      <c r="Q1086" s="41">
        <v>2</v>
      </c>
      <c r="R1086" s="41" t="s">
        <v>16</v>
      </c>
      <c r="S1086" s="41" t="s">
        <v>17</v>
      </c>
      <c r="T1086" s="41" t="s">
        <v>387</v>
      </c>
      <c r="U1086" s="16" t="s">
        <v>13</v>
      </c>
      <c r="V1086" s="16" t="s">
        <v>215</v>
      </c>
      <c r="W1086" s="19" t="s"/>
      <c r="X1086" s="26" t="s">
        <f>=M1086&amp;N1086&amp;P1086&amp;Q1086&amp;T1086&amp;V1086&amp;S1086</f>
        <v>1192</v>
      </c>
      <c r="Y1086" s="19" t="s"/>
      <c r="Z1086" s="19" t="s"/>
      <c r="AA1086" s="19" t="s"/>
      <c r="AB1086" s="19" t="s"/>
    </row>
    <row r="1087" spans="1:28" ht="14.4">
      <c r="A1087" s="4">
        <f>=H1087/G1087-1</f>
        <v>0.0988023952095809</v>
      </c>
      <c r="B1087" s="20">
        <f>=F1087/12</f>
        <v>27.525</v>
      </c>
      <c r="C1087" s="20">
        <f>=J1087/3</f>
        <v>220.2</v>
      </c>
      <c r="D1087" s="20">
        <f>=K1087/3</f>
        <v>244.666666666667</v>
      </c>
      <c r="E1087" s="20">
        <f>=L1087/3</f>
        <v>256.9</v>
      </c>
      <c r="F1087" s="20">
        <f>=H1087*0.9</f>
        <v>330.3</v>
      </c>
      <c r="G1087" s="21">
        <v>334</v>
      </c>
      <c r="H1087" s="39">
        <v>367</v>
      </c>
      <c r="I1087" s="40">
        <f>=H1087*1.05</f>
        <v>385.35</v>
      </c>
      <c r="J1087" s="40">
        <f>=F1087*2</f>
        <v>660.6</v>
      </c>
      <c r="K1087" s="40">
        <f>=H1087*2</f>
        <v>734</v>
      </c>
      <c r="L1087" s="40">
        <f>=I1087*2</f>
        <v>770.7</v>
      </c>
      <c r="M1087" s="41" t="s">
        <v>1091</v>
      </c>
      <c r="N1087" s="41">
        <v>0.533</v>
      </c>
      <c r="O1087" s="41" t="s"/>
      <c r="P1087" s="41">
        <v>2</v>
      </c>
      <c r="Q1087" s="41">
        <v>2</v>
      </c>
      <c r="R1087" s="41" t="s">
        <v>16</v>
      </c>
      <c r="S1087" s="41" t="s">
        <v>17</v>
      </c>
      <c r="T1087" s="41" t="s">
        <v>110</v>
      </c>
      <c r="U1087" s="16" t="s">
        <v>13</v>
      </c>
      <c r="V1087" s="16" t="s">
        <v>215</v>
      </c>
      <c r="W1087" s="19" t="s"/>
      <c r="X1087" s="26" t="s">
        <f>=M1087&amp;N1087&amp;P1087&amp;Q1087&amp;T1087&amp;V1087&amp;S1087</f>
        <v>1193</v>
      </c>
      <c r="Y1087" s="19" t="s"/>
      <c r="Z1087" s="19" t="s"/>
      <c r="AA1087" s="19" t="s"/>
      <c r="AB1087" s="19" t="s"/>
    </row>
    <row r="1088" spans="1:28" ht="14.4">
      <c r="A1088" s="49">
        <v>46164</v>
      </c>
      <c r="B1088" s="43">
        <f>=F1088/12</f>
        <v>16.275</v>
      </c>
      <c r="C1088" s="43">
        <f>=J1088/3</f>
        <v>130.2</v>
      </c>
      <c r="D1088" s="43">
        <f>=K1088/3</f>
        <v>144.666666666667</v>
      </c>
      <c r="E1088" s="43">
        <f>=L1088/3</f>
        <v>151.9</v>
      </c>
      <c r="F1088" s="43">
        <f>=H1088*0.9</f>
        <v>195.3</v>
      </c>
      <c r="G1088" s="27">
        <v>273</v>
      </c>
      <c r="H1088" s="44">
        <v>217</v>
      </c>
      <c r="I1088" s="45">
        <f>=H1088*1.05</f>
        <v>227.85</v>
      </c>
      <c r="J1088" s="45">
        <f>=F1088*2</f>
        <v>390.6</v>
      </c>
      <c r="K1088" s="45">
        <f>=H1088*2</f>
        <v>434</v>
      </c>
      <c r="L1088" s="45">
        <f>=I1088*2</f>
        <v>455.7</v>
      </c>
      <c r="M1088" s="46" t="s">
        <v>1091</v>
      </c>
      <c r="N1088" s="46">
        <v>0.61</v>
      </c>
      <c r="O1088" s="46" t="s"/>
      <c r="P1088" s="12" t="s">
        <v>21</v>
      </c>
      <c r="Q1088" s="12" t="s">
        <v>21</v>
      </c>
      <c r="R1088" s="46" t="s">
        <v>16</v>
      </c>
      <c r="S1088" s="46" t="s">
        <v>17</v>
      </c>
      <c r="T1088" s="46" t="s">
        <v>413</v>
      </c>
      <c r="U1088" s="13" t="s">
        <v>13</v>
      </c>
      <c r="V1088" s="13" t="s">
        <v>215</v>
      </c>
      <c r="W1088" s="15" t="s"/>
      <c r="X1088" s="18" t="s">
        <f>=M1088&amp;N1088&amp;P1088&amp;Q1088&amp;T1088&amp;V1088&amp;S1088</f>
        <v>1194</v>
      </c>
      <c r="Y1088" s="15" t="s"/>
      <c r="Z1088" s="15" t="s"/>
      <c r="AA1088" s="15" t="s"/>
      <c r="AB1088" s="15" t="s"/>
    </row>
    <row r="1089" spans="1:28" ht="14.4">
      <c r="A1089" s="4">
        <f>=H1089/G1089-1</f>
        <v>0.098901098901099</v>
      </c>
      <c r="B1089" s="20">
        <f>=F1089/12</f>
        <v>22.5</v>
      </c>
      <c r="C1089" s="20">
        <f>=J1089/3</f>
        <v>180</v>
      </c>
      <c r="D1089" s="20">
        <f>=K1089/3</f>
        <v>200</v>
      </c>
      <c r="E1089" s="20">
        <f>=L1089/3</f>
        <v>210</v>
      </c>
      <c r="F1089" s="20">
        <f>=H1089*0.9</f>
        <v>270</v>
      </c>
      <c r="G1089" s="21">
        <v>273</v>
      </c>
      <c r="H1089" s="39">
        <v>300</v>
      </c>
      <c r="I1089" s="40">
        <f>=H1089*1.05</f>
        <v>315</v>
      </c>
      <c r="J1089" s="40">
        <f>=F1089*2</f>
        <v>540</v>
      </c>
      <c r="K1089" s="40">
        <f>=H1089*2</f>
        <v>600</v>
      </c>
      <c r="L1089" s="40">
        <f>=I1089*2</f>
        <v>630</v>
      </c>
      <c r="M1089" s="41" t="s">
        <v>1091</v>
      </c>
      <c r="N1089" s="41">
        <v>0.61</v>
      </c>
      <c r="O1089" s="41" t="s"/>
      <c r="P1089" s="41">
        <v>1</v>
      </c>
      <c r="Q1089" s="41">
        <v>1</v>
      </c>
      <c r="R1089" s="41" t="s">
        <v>16</v>
      </c>
      <c r="S1089" s="41" t="s">
        <v>17</v>
      </c>
      <c r="T1089" s="41" t="s">
        <v>413</v>
      </c>
      <c r="U1089" s="16" t="s">
        <v>13</v>
      </c>
      <c r="V1089" s="16" t="s">
        <v>215</v>
      </c>
      <c r="W1089" s="19" t="s"/>
      <c r="X1089" s="26" t="s">
        <f>=M1089&amp;N1089&amp;P1089&amp;Q1089&amp;T1089&amp;V1089&amp;S1089</f>
        <v>1195</v>
      </c>
      <c r="Y1089" s="19" t="s"/>
      <c r="Z1089" s="19" t="s"/>
      <c r="AA1089" s="19" t="s"/>
      <c r="AB1089" s="19" t="s"/>
    </row>
    <row r="1090" spans="1:28" ht="14.4">
      <c r="A1090" s="4">
        <f>=H1090/G1090-1</f>
        <v>0.1</v>
      </c>
      <c r="B1090" s="20">
        <f>=F1090/12</f>
        <v>31.35</v>
      </c>
      <c r="C1090" s="20">
        <f>=J1090/3</f>
        <v>250.8</v>
      </c>
      <c r="D1090" s="20">
        <f>=K1090/3</f>
        <v>278.666666666667</v>
      </c>
      <c r="E1090" s="20">
        <f>=L1090/3</f>
        <v>292.6</v>
      </c>
      <c r="F1090" s="20">
        <f>=H1090*0.9</f>
        <v>376.2</v>
      </c>
      <c r="G1090" s="21">
        <v>380</v>
      </c>
      <c r="H1090" s="39">
        <v>418</v>
      </c>
      <c r="I1090" s="40">
        <f>=H1090*1.05</f>
        <v>438.9</v>
      </c>
      <c r="J1090" s="40">
        <f>=F1090*2</f>
        <v>752.4</v>
      </c>
      <c r="K1090" s="40">
        <f>=H1090*2</f>
        <v>836</v>
      </c>
      <c r="L1090" s="40">
        <f>=I1090*2</f>
        <v>877.8</v>
      </c>
      <c r="M1090" s="41" t="s">
        <v>1091</v>
      </c>
      <c r="N1090" s="41">
        <v>0.61</v>
      </c>
      <c r="O1090" s="41" t="s"/>
      <c r="P1090" s="41">
        <v>2</v>
      </c>
      <c r="Q1090" s="41">
        <v>2</v>
      </c>
      <c r="R1090" s="41" t="s">
        <v>16</v>
      </c>
      <c r="S1090" s="41" t="s">
        <v>17</v>
      </c>
      <c r="T1090" s="41" t="s">
        <v>413</v>
      </c>
      <c r="U1090" s="16" t="s">
        <v>13</v>
      </c>
      <c r="V1090" s="16" t="s">
        <v>215</v>
      </c>
      <c r="W1090" s="19" t="s"/>
      <c r="X1090" s="26" t="s">
        <f>=M1090&amp;N1090&amp;P1090&amp;Q1090&amp;T1090&amp;V1090&amp;S1090</f>
        <v>1196</v>
      </c>
      <c r="Y1090" s="19" t="s"/>
      <c r="Z1090" s="19" t="s"/>
      <c r="AA1090" s="19" t="s"/>
      <c r="AB1090" s="19" t="s"/>
    </row>
    <row r="1091" spans="1:28" ht="14.4">
      <c r="A1091" s="4">
        <f>=H1091/G1091-1</f>
        <v>0.0986547085201795</v>
      </c>
      <c r="B1091" s="20">
        <f>=F1091/12</f>
        <v>18.375</v>
      </c>
      <c r="C1091" s="20">
        <f>=J1091/3</f>
        <v>147</v>
      </c>
      <c r="D1091" s="20">
        <f>=K1091/3</f>
        <v>163.333333333333</v>
      </c>
      <c r="E1091" s="20">
        <f>=L1091/3</f>
        <v>171.5</v>
      </c>
      <c r="F1091" s="20">
        <f>=H1091*0.9</f>
        <v>220.5</v>
      </c>
      <c r="G1091" s="21">
        <v>223</v>
      </c>
      <c r="H1091" s="39">
        <v>245</v>
      </c>
      <c r="I1091" s="40">
        <f>=H1091*1.05</f>
        <v>257.25</v>
      </c>
      <c r="J1091" s="40">
        <f>=F1091*2</f>
        <v>441</v>
      </c>
      <c r="K1091" s="40">
        <f>=H1091*2</f>
        <v>490</v>
      </c>
      <c r="L1091" s="40">
        <f>=I1091*2</f>
        <v>514.5</v>
      </c>
      <c r="M1091" s="41" t="s">
        <v>1091</v>
      </c>
      <c r="N1091" s="41">
        <v>0.71</v>
      </c>
      <c r="O1091" s="41" t="s"/>
      <c r="P1091" s="41">
        <v>1</v>
      </c>
      <c r="Q1091" s="41">
        <v>1</v>
      </c>
      <c r="R1091" s="41" t="s">
        <v>16</v>
      </c>
      <c r="S1091" s="41" t="s">
        <v>17</v>
      </c>
      <c r="T1091" s="41" t="s">
        <v>128</v>
      </c>
      <c r="U1091" s="16" t="s">
        <v>13</v>
      </c>
      <c r="V1091" s="16" t="s">
        <v>215</v>
      </c>
      <c r="W1091" s="19" t="s"/>
      <c r="X1091" s="26" t="s">
        <f>=M1091&amp;N1091&amp;P1091&amp;Q1091&amp;T1091&amp;V1091&amp;S1091</f>
        <v>1197</v>
      </c>
      <c r="Y1091" s="19" t="s"/>
      <c r="Z1091" s="19" t="s"/>
      <c r="AA1091" s="19" t="s"/>
      <c r="AB1091" s="19" t="s"/>
    </row>
    <row r="1092" spans="1:28" ht="14.4">
      <c r="A1092" s="4">
        <f>=H1092/G1092-1</f>
        <v>0.1</v>
      </c>
      <c r="B1092" s="20">
        <f>=F1092/12</f>
        <v>24.75</v>
      </c>
      <c r="C1092" s="20">
        <f>=J1092/3</f>
        <v>198</v>
      </c>
      <c r="D1092" s="20">
        <f>=K1092/3</f>
        <v>220</v>
      </c>
      <c r="E1092" s="20">
        <f>=L1092/3</f>
        <v>231</v>
      </c>
      <c r="F1092" s="20">
        <f>=H1092*0.9</f>
        <v>297</v>
      </c>
      <c r="G1092" s="21">
        <v>300</v>
      </c>
      <c r="H1092" s="39">
        <v>330</v>
      </c>
      <c r="I1092" s="40">
        <f>=H1092*1.05</f>
        <v>346.5</v>
      </c>
      <c r="J1092" s="40">
        <f>=F1092*2</f>
        <v>594</v>
      </c>
      <c r="K1092" s="40">
        <f>=H1092*2</f>
        <v>660</v>
      </c>
      <c r="L1092" s="40">
        <f>=I1092*2</f>
        <v>693</v>
      </c>
      <c r="M1092" s="41" t="s">
        <v>1091</v>
      </c>
      <c r="N1092" s="41">
        <v>0.71</v>
      </c>
      <c r="O1092" s="41" t="s"/>
      <c r="P1092" s="41">
        <v>1</v>
      </c>
      <c r="Q1092" s="41">
        <v>1</v>
      </c>
      <c r="R1092" s="41" t="s">
        <v>16</v>
      </c>
      <c r="S1092" s="41" t="s">
        <v>17</v>
      </c>
      <c r="T1092" s="41" t="s">
        <v>413</v>
      </c>
      <c r="U1092" s="16" t="s">
        <v>13</v>
      </c>
      <c r="V1092" s="16" t="s">
        <v>215</v>
      </c>
      <c r="W1092" s="19" t="s"/>
      <c r="X1092" s="26" t="s">
        <f>=M1092&amp;N1092&amp;P1092&amp;Q1092&amp;T1092&amp;V1092&amp;S1092</f>
        <v>1198</v>
      </c>
      <c r="Y1092" s="19" t="s"/>
      <c r="Z1092" s="19" t="s"/>
      <c r="AA1092" s="19" t="s"/>
      <c r="AB1092" s="19" t="s"/>
    </row>
    <row r="1093" spans="1:28" ht="14.4">
      <c r="A1093" s="4">
        <f>=H1093/G1093-1</f>
        <v>0.100917431192661</v>
      </c>
      <c r="B1093" s="20">
        <f>=F1093/12</f>
        <v>27</v>
      </c>
      <c r="C1093" s="20">
        <f>=J1093/3</f>
        <v>216</v>
      </c>
      <c r="D1093" s="20">
        <f>=K1093/3</f>
        <v>240</v>
      </c>
      <c r="E1093" s="20">
        <f>=L1093/3</f>
        <v>252</v>
      </c>
      <c r="F1093" s="20">
        <f>=H1093*0.9</f>
        <v>324</v>
      </c>
      <c r="G1093" s="21">
        <v>327</v>
      </c>
      <c r="H1093" s="39">
        <v>360</v>
      </c>
      <c r="I1093" s="40">
        <f>=H1093*1.05</f>
        <v>378</v>
      </c>
      <c r="J1093" s="40">
        <f>=F1093*2</f>
        <v>648</v>
      </c>
      <c r="K1093" s="40">
        <f>=H1093*2</f>
        <v>720</v>
      </c>
      <c r="L1093" s="40">
        <f>=I1093*2</f>
        <v>756</v>
      </c>
      <c r="M1093" s="41" t="s">
        <v>1091</v>
      </c>
      <c r="N1093" s="41">
        <v>0.89</v>
      </c>
      <c r="O1093" s="41" t="s"/>
      <c r="P1093" s="41">
        <v>1</v>
      </c>
      <c r="Q1093" s="41">
        <v>1</v>
      </c>
      <c r="R1093" s="41" t="s">
        <v>16</v>
      </c>
      <c r="S1093" s="41" t="s">
        <v>17</v>
      </c>
      <c r="T1093" s="41" t="s">
        <v>801</v>
      </c>
      <c r="U1093" s="16" t="s">
        <v>13</v>
      </c>
      <c r="V1093" s="16" t="s">
        <v>1083</v>
      </c>
      <c r="W1093" s="19" t="s"/>
      <c r="X1093" s="26" t="s">
        <f>=M1093&amp;N1093&amp;P1093&amp;Q1093&amp;T1093&amp;V1093&amp;S1093</f>
        <v>1199</v>
      </c>
      <c r="Y1093" s="19" t="s"/>
      <c r="Z1093" s="19" t="s"/>
      <c r="AA1093" s="19" t="s"/>
      <c r="AB1093" s="19" t="s"/>
    </row>
    <row r="1094" spans="1:28" ht="14.4">
      <c r="A1094" s="4">
        <f>=H1094/G1094-1</f>
        <v>0.101587301587302</v>
      </c>
      <c r="B1094" s="20">
        <f>=F1094/12</f>
        <v>26.025</v>
      </c>
      <c r="C1094" s="20">
        <f>=J1094/3</f>
        <v>208.2</v>
      </c>
      <c r="D1094" s="20">
        <f>=K1094/3</f>
        <v>231.333333333333</v>
      </c>
      <c r="E1094" s="20">
        <f>=L1094/3</f>
        <v>242.9</v>
      </c>
      <c r="F1094" s="20">
        <f>=H1094*0.9</f>
        <v>312.3</v>
      </c>
      <c r="G1094" s="21">
        <v>315</v>
      </c>
      <c r="H1094" s="39">
        <v>347</v>
      </c>
      <c r="I1094" s="40">
        <f>=H1094*1.05</f>
        <v>364.35</v>
      </c>
      <c r="J1094" s="40">
        <f>=F1094*2</f>
        <v>624.6</v>
      </c>
      <c r="K1094" s="40">
        <f>=H1094*2</f>
        <v>694</v>
      </c>
      <c r="L1094" s="40">
        <f>=I1094*2</f>
        <v>728.7</v>
      </c>
      <c r="M1094" s="41" t="s">
        <v>1091</v>
      </c>
      <c r="N1094" s="41">
        <v>0.96</v>
      </c>
      <c r="O1094" s="41" t="s"/>
      <c r="P1094" s="41">
        <v>1</v>
      </c>
      <c r="Q1094" s="41">
        <v>1</v>
      </c>
      <c r="R1094" s="41" t="s">
        <v>16</v>
      </c>
      <c r="S1094" s="41" t="s">
        <v>137</v>
      </c>
      <c r="T1094" s="41" t="s">
        <v>801</v>
      </c>
      <c r="U1094" s="16" t="s">
        <v>13</v>
      </c>
      <c r="V1094" s="16" t="s">
        <v>215</v>
      </c>
      <c r="W1094" s="19" t="s"/>
      <c r="X1094" s="26" t="s">
        <f>=M1094&amp;N1094&amp;P1094&amp;Q1094&amp;T1094&amp;V1094&amp;S1094</f>
        <v>1200</v>
      </c>
      <c r="Y1094" s="19" t="s"/>
      <c r="Z1094" s="19" t="s"/>
      <c r="AA1094" s="19" t="s"/>
      <c r="AB1094" s="19" t="s"/>
    </row>
    <row r="1095" spans="1:28" ht="14.4">
      <c r="A1095" s="4">
        <f>=H1095/G1095-1</f>
        <v>0.0990990990990992</v>
      </c>
      <c r="B1095" s="20">
        <f>=F1095/12</f>
        <v>27.45</v>
      </c>
      <c r="C1095" s="20">
        <f>=J1095/3</f>
        <v>219.6</v>
      </c>
      <c r="D1095" s="20">
        <f>=K1095/3</f>
        <v>244</v>
      </c>
      <c r="E1095" s="20">
        <f>=L1095/3</f>
        <v>256.2</v>
      </c>
      <c r="F1095" s="20">
        <f>=H1095*0.9</f>
        <v>329.4</v>
      </c>
      <c r="G1095" s="21">
        <v>333</v>
      </c>
      <c r="H1095" s="39">
        <v>366</v>
      </c>
      <c r="I1095" s="40">
        <f>=H1095*1.05</f>
        <v>384.3</v>
      </c>
      <c r="J1095" s="40">
        <f>=F1095*2</f>
        <v>658.8</v>
      </c>
      <c r="K1095" s="40">
        <f>=H1095*2</f>
        <v>732</v>
      </c>
      <c r="L1095" s="40">
        <f>=I1095*2</f>
        <v>768.6</v>
      </c>
      <c r="M1095" s="41" t="s">
        <v>1091</v>
      </c>
      <c r="N1095" s="41">
        <v>0.96</v>
      </c>
      <c r="O1095" s="41" t="s"/>
      <c r="P1095" s="41">
        <v>1</v>
      </c>
      <c r="Q1095" s="41">
        <v>1</v>
      </c>
      <c r="R1095" s="41" t="s">
        <v>16</v>
      </c>
      <c r="S1095" s="41" t="s">
        <v>137</v>
      </c>
      <c r="T1095" s="41" t="s">
        <v>801</v>
      </c>
      <c r="U1095" s="16" t="s">
        <v>13</v>
      </c>
      <c r="V1095" s="16" t="s">
        <v>1083</v>
      </c>
      <c r="W1095" s="19" t="s"/>
      <c r="X1095" s="26" t="s">
        <f>=M1095&amp;N1095&amp;P1095&amp;Q1095&amp;T1095&amp;V1095&amp;S1095</f>
        <v>1201</v>
      </c>
      <c r="Y1095" s="19" t="s"/>
      <c r="Z1095" s="19" t="s"/>
      <c r="AA1095" s="19" t="s"/>
      <c r="AB1095" s="19" t="s"/>
    </row>
    <row r="1096" spans="1:28" ht="14.4">
      <c r="A1096" s="4">
        <f>=H1096/G1096-1</f>
        <v>0.102127659574468</v>
      </c>
      <c r="B1096" s="20">
        <f>=F1096/12</f>
        <v>19.425</v>
      </c>
      <c r="C1096" s="20">
        <f>=J1096/3</f>
        <v>155.4</v>
      </c>
      <c r="D1096" s="20">
        <f>=K1096/3</f>
        <v>172.666666666667</v>
      </c>
      <c r="E1096" s="20">
        <f>=L1096/3</f>
        <v>181.3</v>
      </c>
      <c r="F1096" s="20">
        <f>=H1096*0.9</f>
        <v>233.1</v>
      </c>
      <c r="G1096" s="21">
        <v>235</v>
      </c>
      <c r="H1096" s="39">
        <v>259</v>
      </c>
      <c r="I1096" s="40">
        <f>=H1096*1.05</f>
        <v>271.95</v>
      </c>
      <c r="J1096" s="40">
        <f>=F1096*2</f>
        <v>466.2</v>
      </c>
      <c r="K1096" s="40">
        <f>=H1096*2</f>
        <v>518</v>
      </c>
      <c r="L1096" s="40">
        <f>=I1096*2</f>
        <v>543.9</v>
      </c>
      <c r="M1096" s="41" t="s">
        <v>1091</v>
      </c>
      <c r="N1096" s="41">
        <v>1</v>
      </c>
      <c r="O1096" s="41" t="s"/>
      <c r="P1096" s="41" t="s">
        <v>21</v>
      </c>
      <c r="Q1096" s="41" t="s">
        <v>21</v>
      </c>
      <c r="R1096" s="41" t="s">
        <v>16</v>
      </c>
      <c r="S1096" s="41" t="s">
        <v>17</v>
      </c>
      <c r="T1096" s="41" t="s">
        <v>1202</v>
      </c>
      <c r="U1096" s="16" t="s">
        <v>13</v>
      </c>
      <c r="V1096" s="16" t="s">
        <v>215</v>
      </c>
      <c r="W1096" s="19" t="s"/>
      <c r="X1096" s="26" t="s">
        <f>=M1096&amp;N1096&amp;P1096&amp;Q1096&amp;T1096&amp;V1096&amp;S1096</f>
        <v>1203</v>
      </c>
      <c r="Y1096" s="19" t="s"/>
      <c r="Z1096" s="19" t="s"/>
      <c r="AA1096" s="19" t="s"/>
      <c r="AB1096" s="19" t="s"/>
    </row>
    <row r="1097" spans="1:28" ht="14.4">
      <c r="A1097" s="4">
        <f>=H1097/G1097-1</f>
        <v>0.0992555831265509</v>
      </c>
      <c r="B1097" s="20">
        <f>=F1097/12</f>
        <v>33.225</v>
      </c>
      <c r="C1097" s="20">
        <f>=J1097/3</f>
        <v>265.8</v>
      </c>
      <c r="D1097" s="20">
        <f>=K1097/3</f>
        <v>295.333333333333</v>
      </c>
      <c r="E1097" s="20">
        <f>=L1097/3</f>
        <v>310.1</v>
      </c>
      <c r="F1097" s="20">
        <f>=H1097*0.9</f>
        <v>398.7</v>
      </c>
      <c r="G1097" s="21">
        <v>403</v>
      </c>
      <c r="H1097" s="39">
        <v>443</v>
      </c>
      <c r="I1097" s="40">
        <f>=H1097*1.05</f>
        <v>465.15</v>
      </c>
      <c r="J1097" s="40">
        <f>=F1097*2</f>
        <v>797.4</v>
      </c>
      <c r="K1097" s="40">
        <f>=H1097*2</f>
        <v>886</v>
      </c>
      <c r="L1097" s="40">
        <f>=I1097*2</f>
        <v>930.3</v>
      </c>
      <c r="M1097" s="41" t="s">
        <v>1091</v>
      </c>
      <c r="N1097" s="41">
        <v>1.23</v>
      </c>
      <c r="O1097" s="41" t="s"/>
      <c r="P1097" s="41">
        <v>1</v>
      </c>
      <c r="Q1097" s="41">
        <v>1</v>
      </c>
      <c r="R1097" s="41" t="s">
        <v>16</v>
      </c>
      <c r="S1097" s="41" t="s">
        <v>17</v>
      </c>
      <c r="T1097" s="41" t="s">
        <v>1204</v>
      </c>
      <c r="U1097" s="16" t="s">
        <v>13</v>
      </c>
      <c r="V1097" s="16" t="s">
        <v>215</v>
      </c>
      <c r="W1097" s="19" t="s"/>
      <c r="X1097" s="26" t="s">
        <f>=M1097&amp;N1097&amp;P1097&amp;Q1097&amp;T1097&amp;V1097&amp;S1097</f>
        <v>1205</v>
      </c>
      <c r="Y1097" s="19" t="s"/>
      <c r="Z1097" s="19" t="s"/>
      <c r="AA1097" s="19" t="s"/>
      <c r="AB1097" s="19" t="s"/>
    </row>
    <row r="1098" spans="1:28" ht="14.4">
      <c r="A1098" s="4">
        <f>=H1098/G1098-1</f>
        <v>0.0993975903614457</v>
      </c>
      <c r="B1098" s="20">
        <f>=F1098/12</f>
        <v>27.375</v>
      </c>
      <c r="C1098" s="20">
        <f>=J1098/3</f>
        <v>219</v>
      </c>
      <c r="D1098" s="20">
        <f>=K1098/3</f>
        <v>243.333333333333</v>
      </c>
      <c r="E1098" s="20">
        <f>=L1098/3</f>
        <v>255.5</v>
      </c>
      <c r="F1098" s="20">
        <f>=H1098*0.9</f>
        <v>328.5</v>
      </c>
      <c r="G1098" s="21">
        <v>332</v>
      </c>
      <c r="H1098" s="39">
        <v>365</v>
      </c>
      <c r="I1098" s="40">
        <f>=H1098*1.05</f>
        <v>383.25</v>
      </c>
      <c r="J1098" s="40">
        <f>=F1098*2</f>
        <v>657</v>
      </c>
      <c r="K1098" s="40">
        <f>=H1098*2</f>
        <v>730</v>
      </c>
      <c r="L1098" s="40">
        <f>=I1098*2</f>
        <v>766.5</v>
      </c>
      <c r="M1098" s="41" t="s">
        <v>1091</v>
      </c>
      <c r="N1098" s="41">
        <v>1.3</v>
      </c>
      <c r="O1098" s="41" t="s"/>
      <c r="P1098" s="41">
        <v>1</v>
      </c>
      <c r="Q1098" s="41">
        <v>1</v>
      </c>
      <c r="R1098" s="41" t="s">
        <v>16</v>
      </c>
      <c r="S1098" s="41" t="s">
        <v>137</v>
      </c>
      <c r="T1098" s="41" t="s">
        <v>1206</v>
      </c>
      <c r="U1098" s="16" t="s">
        <v>13</v>
      </c>
      <c r="V1098" s="16" t="s">
        <v>215</v>
      </c>
      <c r="W1098" s="19" t="s"/>
      <c r="X1098" s="26" t="s">
        <f>=M1098&amp;N1098&amp;P1098&amp;Q1098&amp;T1098&amp;V1098&amp;S1098</f>
        <v>1207</v>
      </c>
      <c r="Y1098" s="56" t="s"/>
      <c r="Z1098" s="56" t="s"/>
      <c r="AA1098" s="56" t="s"/>
      <c r="AB1098" s="56" t="s"/>
    </row>
    <row r="1099" spans="1:28" ht="14.4">
      <c r="A1099" s="4">
        <f>=H1099/G1099-1</f>
        <v>0.0993150684931508</v>
      </c>
      <c r="B1099" s="20">
        <f>=F1099/12</f>
        <v>24.075</v>
      </c>
      <c r="C1099" s="20">
        <f>=J1099/3</f>
        <v>192.6</v>
      </c>
      <c r="D1099" s="20">
        <f>=K1099/3</f>
        <v>214</v>
      </c>
      <c r="E1099" s="20">
        <f>=L1099/3</f>
        <v>224.7</v>
      </c>
      <c r="F1099" s="20">
        <f>=H1099*0.9</f>
        <v>288.9</v>
      </c>
      <c r="G1099" s="21">
        <v>292</v>
      </c>
      <c r="H1099" s="39">
        <v>321</v>
      </c>
      <c r="I1099" s="40">
        <f>=H1099*1.05</f>
        <v>337.05</v>
      </c>
      <c r="J1099" s="40">
        <f>=F1099*2</f>
        <v>577.8</v>
      </c>
      <c r="K1099" s="40">
        <f>=H1099*2</f>
        <v>642</v>
      </c>
      <c r="L1099" s="40">
        <f>=I1099*2</f>
        <v>674.1</v>
      </c>
      <c r="M1099" s="41" t="s">
        <v>1091</v>
      </c>
      <c r="N1099" s="41">
        <v>1.31</v>
      </c>
      <c r="O1099" s="41" t="s"/>
      <c r="P1099" s="41">
        <v>1</v>
      </c>
      <c r="Q1099" s="41">
        <v>1</v>
      </c>
      <c r="R1099" s="41" t="s">
        <v>16</v>
      </c>
      <c r="S1099" s="41" t="s">
        <v>137</v>
      </c>
      <c r="T1099" s="41" t="s">
        <v>163</v>
      </c>
      <c r="U1099" s="16" t="s">
        <v>13</v>
      </c>
      <c r="V1099" s="16" t="s">
        <v>215</v>
      </c>
      <c r="W1099" s="19" t="s"/>
      <c r="X1099" s="26" t="s">
        <f>=M1099&amp;N1099&amp;P1099&amp;Q1099&amp;T1099&amp;V1099&amp;S1099</f>
        <v>1208</v>
      </c>
      <c r="Y1099" s="56" t="s"/>
      <c r="Z1099" s="56" t="s"/>
      <c r="AA1099" s="56" t="s"/>
      <c r="AB1099" s="56" t="s"/>
    </row>
    <row r="1100" spans="1:28" ht="14.4">
      <c r="A1100" s="49">
        <v>46157</v>
      </c>
      <c r="B1100" s="43">
        <f>=F1100/12</f>
        <v>34.35</v>
      </c>
      <c r="C1100" s="43">
        <f>=J1100/3</f>
        <v>274.8</v>
      </c>
      <c r="D1100" s="43">
        <f>=K1100/3</f>
        <v>305.333333333333</v>
      </c>
      <c r="E1100" s="43">
        <f>=L1100/3</f>
        <v>320.6</v>
      </c>
      <c r="F1100" s="43">
        <f>=H1100*0.9</f>
        <v>412.2</v>
      </c>
      <c r="G1100" s="27">
        <v>292</v>
      </c>
      <c r="H1100" s="44">
        <v>458</v>
      </c>
      <c r="I1100" s="45">
        <f>=H1100*1.05</f>
        <v>480.9</v>
      </c>
      <c r="J1100" s="45">
        <f>=F1100*2</f>
        <v>824.4</v>
      </c>
      <c r="K1100" s="45">
        <f>=H1100*2</f>
        <v>916</v>
      </c>
      <c r="L1100" s="45">
        <f>=I1100*2</f>
        <v>961.8</v>
      </c>
      <c r="M1100" s="46" t="s">
        <v>1091</v>
      </c>
      <c r="N1100" s="12">
        <v>1.4</v>
      </c>
      <c r="O1100" s="46" t="s"/>
      <c r="P1100" s="12">
        <v>2</v>
      </c>
      <c r="Q1100" s="12">
        <v>2</v>
      </c>
      <c r="R1100" s="46" t="s">
        <v>16</v>
      </c>
      <c r="S1100" s="46" t="s">
        <v>137</v>
      </c>
      <c r="T1100" s="46" t="s">
        <v>163</v>
      </c>
      <c r="U1100" s="13" t="s">
        <v>13</v>
      </c>
      <c r="V1100" s="13" t="s">
        <v>215</v>
      </c>
      <c r="W1100" s="15" t="s"/>
      <c r="X1100" s="18" t="s">
        <f>=M1100&amp;N1100&amp;P1100&amp;Q1100&amp;T1100&amp;V1100&amp;S1100</f>
        <v>1209</v>
      </c>
      <c r="Y1100" s="128" t="s"/>
      <c r="Z1100" s="128" t="s"/>
      <c r="AA1100" s="128" t="s"/>
      <c r="AB1100" s="128" t="s"/>
    </row>
    <row r="1101" spans="1:28" ht="14.4">
      <c r="A1101" s="4">
        <f>=H1101/G1101-1</f>
        <v>0.0995024875621891</v>
      </c>
      <c r="B1101" s="20">
        <f>=F1101/12</f>
        <v>33.15</v>
      </c>
      <c r="C1101" s="20">
        <f>=J1101/3</f>
        <v>265.2</v>
      </c>
      <c r="D1101" s="20">
        <f>=K1101/3</f>
        <v>294.666666666667</v>
      </c>
      <c r="E1101" s="20">
        <f>=L1101/3</f>
        <v>309.4</v>
      </c>
      <c r="F1101" s="20">
        <f>=H1101*0.9</f>
        <v>397.8</v>
      </c>
      <c r="G1101" s="21">
        <v>402</v>
      </c>
      <c r="H1101" s="39">
        <v>442</v>
      </c>
      <c r="I1101" s="40">
        <f>=H1101*1.05</f>
        <v>464.1</v>
      </c>
      <c r="J1101" s="40">
        <f>=F1101*2</f>
        <v>795.6</v>
      </c>
      <c r="K1101" s="40">
        <f>=H1101*2</f>
        <v>884</v>
      </c>
      <c r="L1101" s="40">
        <f>=I1101*2</f>
        <v>928.2</v>
      </c>
      <c r="M1101" s="41" t="s">
        <v>1091</v>
      </c>
      <c r="N1101" s="41">
        <v>1.7</v>
      </c>
      <c r="O1101" s="41" t="s"/>
      <c r="P1101" s="41">
        <v>1</v>
      </c>
      <c r="Q1101" s="41">
        <v>1</v>
      </c>
      <c r="R1101" s="41" t="s">
        <v>16</v>
      </c>
      <c r="S1101" s="41" t="s">
        <v>137</v>
      </c>
      <c r="T1101" s="41" t="s">
        <v>186</v>
      </c>
      <c r="U1101" s="16" t="s">
        <v>13</v>
      </c>
      <c r="V1101" s="16" t="s">
        <v>19</v>
      </c>
      <c r="W1101" s="56" t="s"/>
      <c r="X1101" s="26" t="s">
        <f>=M1101&amp;N1101&amp;P1101&amp;Q1101&amp;T1101&amp;V1101&amp;S1101</f>
        <v>1210</v>
      </c>
      <c r="Y1101" s="19" t="s"/>
      <c r="Z1101" s="19" t="s"/>
      <c r="AA1101" s="19" t="s"/>
      <c r="AB1101" s="19" t="s"/>
    </row>
    <row r="1102" spans="1:28" ht="14.4">
      <c r="A1102" s="4">
        <f>=H1102/G1102-1</f>
        <v>0.098976109215017</v>
      </c>
      <c r="B1102" s="20">
        <f>=F1102/12</f>
        <v>24.15</v>
      </c>
      <c r="C1102" s="20">
        <f>=J1102/3</f>
        <v>193.2</v>
      </c>
      <c r="D1102" s="20">
        <f>=K1102/3</f>
        <v>214.666666666667</v>
      </c>
      <c r="E1102" s="20">
        <f>=L1102/3</f>
        <v>225.4</v>
      </c>
      <c r="F1102" s="20">
        <f>=H1102*0.9</f>
        <v>289.8</v>
      </c>
      <c r="G1102" s="21">
        <v>293</v>
      </c>
      <c r="H1102" s="39">
        <v>322</v>
      </c>
      <c r="I1102" s="40">
        <f>=H1102*1.05</f>
        <v>338.1</v>
      </c>
      <c r="J1102" s="40">
        <f>=F1102*2</f>
        <v>579.6</v>
      </c>
      <c r="K1102" s="40">
        <f>=H1102*2</f>
        <v>644</v>
      </c>
      <c r="L1102" s="40">
        <f>=I1102*2</f>
        <v>676.2</v>
      </c>
      <c r="M1102" s="41" t="s">
        <v>1091</v>
      </c>
      <c r="N1102" s="41">
        <v>1.7</v>
      </c>
      <c r="O1102" s="41" t="s"/>
      <c r="P1102" s="41" t="s">
        <v>21</v>
      </c>
      <c r="Q1102" s="41" t="s">
        <v>21</v>
      </c>
      <c r="R1102" s="41" t="s">
        <v>16</v>
      </c>
      <c r="S1102" s="41" t="s">
        <v>137</v>
      </c>
      <c r="T1102" s="41" t="s">
        <v>186</v>
      </c>
      <c r="U1102" s="16" t="s">
        <v>13</v>
      </c>
      <c r="V1102" s="16" t="s">
        <v>19</v>
      </c>
      <c r="W1102" s="56" t="s"/>
      <c r="X1102" s="26" t="s">
        <f>=M1102&amp;N1102&amp;P1102&amp;Q1102&amp;T1102&amp;V1102&amp;S1102</f>
        <v>1211</v>
      </c>
      <c r="Y1102" s="19" t="s"/>
      <c r="Z1102" s="19" t="s"/>
      <c r="AA1102" s="19" t="s"/>
      <c r="AB1102" s="19" t="s"/>
    </row>
    <row r="1103" spans="1:28" ht="14.4">
      <c r="A1103" s="4">
        <f>=H1103/G1103-1</f>
        <v>0.0993377483443709</v>
      </c>
      <c r="B1103" s="20">
        <f>=F1103/12</f>
        <v>24.9</v>
      </c>
      <c r="C1103" s="20">
        <f>=J1103/3</f>
        <v>199.2</v>
      </c>
      <c r="D1103" s="20">
        <f>=K1103/3</f>
        <v>221.333333333333</v>
      </c>
      <c r="E1103" s="20">
        <f>=L1103/3</f>
        <v>232.4</v>
      </c>
      <c r="F1103" s="20">
        <f>=H1103*0.9</f>
        <v>298.8</v>
      </c>
      <c r="G1103" s="21">
        <v>302</v>
      </c>
      <c r="H1103" s="39">
        <v>332</v>
      </c>
      <c r="I1103" s="40">
        <f>=H1103*1.05</f>
        <v>348.6</v>
      </c>
      <c r="J1103" s="40">
        <f>=F1103*2</f>
        <v>597.6</v>
      </c>
      <c r="K1103" s="40">
        <f>=H1103*2</f>
        <v>664</v>
      </c>
      <c r="L1103" s="40">
        <f>=I1103*2</f>
        <v>697.2</v>
      </c>
      <c r="M1103" s="41" t="s">
        <v>1091</v>
      </c>
      <c r="N1103" s="41">
        <v>1.7</v>
      </c>
      <c r="O1103" s="41" t="s"/>
      <c r="P1103" s="41" t="s">
        <v>21</v>
      </c>
      <c r="Q1103" s="41" t="s">
        <v>21</v>
      </c>
      <c r="R1103" s="41" t="s">
        <v>16</v>
      </c>
      <c r="S1103" s="41" t="s">
        <v>137</v>
      </c>
      <c r="T1103" s="41" t="s">
        <v>186</v>
      </c>
      <c r="U1103" s="16" t="s">
        <v>13</v>
      </c>
      <c r="V1103" s="16" t="s">
        <v>215</v>
      </c>
      <c r="W1103" s="19" t="s"/>
      <c r="X1103" s="26" t="s">
        <f>=M1103&amp;N1103&amp;P1103&amp;Q1103&amp;T1103&amp;V1103&amp;S1103</f>
        <v>1212</v>
      </c>
      <c r="Y1103" s="19" t="s"/>
      <c r="Z1103" s="19" t="s"/>
      <c r="AA1103" s="19" t="s"/>
      <c r="AB1103" s="19" t="s"/>
    </row>
    <row r="1104" spans="1:28" ht="14.4">
      <c r="A1104" s="4">
        <f>=H1104/G1104-1</f>
        <v>0.0989583333333333</v>
      </c>
      <c r="B1104" s="20">
        <f>=F1104/12</f>
        <v>31.65</v>
      </c>
      <c r="C1104" s="20">
        <f>=J1104/3</f>
        <v>253.2</v>
      </c>
      <c r="D1104" s="20">
        <f>=K1104/3</f>
        <v>281.333333333333</v>
      </c>
      <c r="E1104" s="20">
        <f>=L1104/3</f>
        <v>295.4</v>
      </c>
      <c r="F1104" s="20">
        <f>=H1104*0.9</f>
        <v>379.8</v>
      </c>
      <c r="G1104" s="21">
        <v>384</v>
      </c>
      <c r="H1104" s="39">
        <v>422</v>
      </c>
      <c r="I1104" s="40">
        <f>=H1104*1.05</f>
        <v>443.1</v>
      </c>
      <c r="J1104" s="40">
        <f>=F1104*2</f>
        <v>759.6</v>
      </c>
      <c r="K1104" s="40">
        <f>=H1104*2</f>
        <v>844</v>
      </c>
      <c r="L1104" s="40">
        <f>=I1104*2</f>
        <v>886.2</v>
      </c>
      <c r="M1104" s="41" t="s">
        <v>1091</v>
      </c>
      <c r="N1104" s="41">
        <v>1.7</v>
      </c>
      <c r="O1104" s="41" t="s"/>
      <c r="P1104" s="41" t="s">
        <v>21</v>
      </c>
      <c r="Q1104" s="41" t="s">
        <v>21</v>
      </c>
      <c r="R1104" s="41" t="s">
        <v>16</v>
      </c>
      <c r="S1104" s="41" t="s">
        <v>137</v>
      </c>
      <c r="T1104" s="41" t="s">
        <v>1213</v>
      </c>
      <c r="U1104" s="16" t="s">
        <v>13</v>
      </c>
      <c r="V1104" s="16" t="s">
        <v>19</v>
      </c>
      <c r="W1104" s="19" t="s"/>
      <c r="X1104" s="26" t="s">
        <f>=M1104&amp;N1104&amp;P1104&amp;Q1104&amp;T1104&amp;V1104&amp;S1104</f>
        <v>1214</v>
      </c>
      <c r="Y1104" s="19" t="s"/>
      <c r="Z1104" s="19" t="s"/>
      <c r="AA1104" s="19" t="s"/>
      <c r="AB1104" s="19" t="s"/>
    </row>
    <row r="1105" spans="1:28" ht="17.25" customHeight="true">
      <c r="A1105" s="4">
        <f>=H1105/G1105-1</f>
        <v>0.0991957104557642</v>
      </c>
      <c r="B1105" s="20">
        <f>=F1105/12</f>
        <v>30.75</v>
      </c>
      <c r="C1105" s="20">
        <f>=J1105/3</f>
        <v>246</v>
      </c>
      <c r="D1105" s="20">
        <f>=K1105/3</f>
        <v>273.333333333333</v>
      </c>
      <c r="E1105" s="20">
        <f>=L1105/3</f>
        <v>287</v>
      </c>
      <c r="F1105" s="20">
        <f>=H1105*0.9</f>
        <v>369</v>
      </c>
      <c r="G1105" s="21">
        <v>373</v>
      </c>
      <c r="H1105" s="39">
        <v>410</v>
      </c>
      <c r="I1105" s="40">
        <f>=H1105*1.05</f>
        <v>430.5</v>
      </c>
      <c r="J1105" s="40">
        <f>=F1105*2</f>
        <v>738</v>
      </c>
      <c r="K1105" s="40">
        <f>=H1105*2</f>
        <v>820</v>
      </c>
      <c r="L1105" s="40">
        <f>=I1105*2</f>
        <v>861</v>
      </c>
      <c r="M1105" s="41" t="s">
        <v>1091</v>
      </c>
      <c r="N1105" s="41">
        <v>2.1</v>
      </c>
      <c r="O1105" s="41" t="s"/>
      <c r="P1105" s="41">
        <v>1</v>
      </c>
      <c r="Q1105" s="41">
        <v>1</v>
      </c>
      <c r="R1105" s="41" t="s">
        <v>16</v>
      </c>
      <c r="S1105" s="41" t="s">
        <v>17</v>
      </c>
      <c r="T1105" s="41" t="s">
        <v>199</v>
      </c>
      <c r="U1105" s="16" t="s">
        <v>13</v>
      </c>
      <c r="V1105" s="16" t="s">
        <v>215</v>
      </c>
      <c r="W1105" s="19" t="s"/>
      <c r="X1105" s="26" t="s">
        <f>=M1105&amp;N1105&amp;P1105&amp;Q1105&amp;T1105&amp;V1105&amp;S1105</f>
        <v>1215</v>
      </c>
      <c r="Y1105" s="19" t="s"/>
      <c r="Z1105" s="19" t="s"/>
      <c r="AA1105" s="19" t="s"/>
      <c r="AB1105" s="19" t="s"/>
    </row>
    <row r="1106" spans="1:28" ht="14.4">
      <c r="A1106" s="4">
        <f>=H1106/G1106-1</f>
        <v>0.0988700564971752</v>
      </c>
      <c r="B1106" s="20">
        <f>=F1106/12</f>
        <v>29.175</v>
      </c>
      <c r="C1106" s="20">
        <f>=J1106/3</f>
        <v>233.4</v>
      </c>
      <c r="D1106" s="20">
        <f>=K1106/3</f>
        <v>259.333333333333</v>
      </c>
      <c r="E1106" s="20">
        <f>=L1106/3</f>
        <v>272.3</v>
      </c>
      <c r="F1106" s="20">
        <f>=H1106*0.9</f>
        <v>350.1</v>
      </c>
      <c r="G1106" s="21">
        <v>354</v>
      </c>
      <c r="H1106" s="39">
        <v>389</v>
      </c>
      <c r="I1106" s="40">
        <f>=H1106*1.05</f>
        <v>408.45</v>
      </c>
      <c r="J1106" s="40">
        <f>=F1106*2</f>
        <v>700.2</v>
      </c>
      <c r="K1106" s="40">
        <f>=H1106*2</f>
        <v>778</v>
      </c>
      <c r="L1106" s="40">
        <f>=I1106*2</f>
        <v>816.9</v>
      </c>
      <c r="M1106" s="41" t="s">
        <v>1091</v>
      </c>
      <c r="N1106" s="41">
        <v>2.1</v>
      </c>
      <c r="O1106" s="41" t="s"/>
      <c r="P1106" s="41" t="s">
        <v>21</v>
      </c>
      <c r="Q1106" s="41" t="s">
        <v>21</v>
      </c>
      <c r="R1106" s="41" t="s">
        <v>16</v>
      </c>
      <c r="S1106" s="41" t="s">
        <v>17</v>
      </c>
      <c r="T1106" s="41" t="s">
        <v>199</v>
      </c>
      <c r="U1106" s="16" t="s">
        <v>13</v>
      </c>
      <c r="V1106" s="16" t="s">
        <v>215</v>
      </c>
      <c r="W1106" s="19" t="s"/>
      <c r="X1106" s="34" t="s">
        <f>=M1106&amp;N1106&amp;P1106&amp;Q1106&amp;T1106&amp;V1106&amp;S1106</f>
        <v>1216</v>
      </c>
      <c r="Y1106" s="19" t="s"/>
      <c r="Z1106" s="19" t="s"/>
      <c r="AA1106" s="19" t="s"/>
      <c r="AB1106" s="19" t="s"/>
    </row>
    <row r="1107" spans="1:28" ht="14.4">
      <c r="A1107" s="4">
        <f>=H1107/G1107-1</f>
        <v>0.0727272727272728</v>
      </c>
      <c r="B1107" s="20">
        <f>=F1107/12</f>
        <v>8.85</v>
      </c>
      <c r="C1107" s="20">
        <f>=J1107/3</f>
        <v>70.8</v>
      </c>
      <c r="D1107" s="20">
        <f>=K1107/3</f>
        <v>78.6666666666667</v>
      </c>
      <c r="E1107" s="20">
        <f>=L1107/3</f>
        <v>82.6</v>
      </c>
      <c r="F1107" s="20">
        <f>=H1107*0.9</f>
        <v>106.2</v>
      </c>
      <c r="G1107" s="21">
        <v>110</v>
      </c>
      <c r="H1107" s="39">
        <v>118</v>
      </c>
      <c r="I1107" s="40">
        <f>=H1107*1.05</f>
        <v>123.9</v>
      </c>
      <c r="J1107" s="40">
        <f>=F1107*2</f>
        <v>212.4</v>
      </c>
      <c r="K1107" s="40">
        <f>=H1107*2</f>
        <v>236</v>
      </c>
      <c r="L1107" s="40">
        <f>=I1107*2</f>
        <v>247.8</v>
      </c>
      <c r="M1107" s="41" t="s">
        <v>1217</v>
      </c>
      <c r="N1107" s="41">
        <v>0.051</v>
      </c>
      <c r="O1107" s="41" t="s"/>
      <c r="P1107" s="41" t="s">
        <v>21</v>
      </c>
      <c r="Q1107" s="41" t="s">
        <v>21</v>
      </c>
      <c r="R1107" s="41" t="s">
        <v>16</v>
      </c>
      <c r="S1107" s="41" t="s">
        <v>17</v>
      </c>
      <c r="T1107" s="41" t="s">
        <v>212</v>
      </c>
      <c r="U1107" s="16" t="s">
        <v>13</v>
      </c>
      <c r="V1107" s="16" t="s">
        <v>215</v>
      </c>
      <c r="W1107" s="54">
        <v>46127</v>
      </c>
      <c r="X1107" s="26" t="s">
        <f>=M1107&amp;N1107&amp;P1107&amp;Q1107&amp;T1107&amp;V1107&amp;S1107</f>
        <v>1218</v>
      </c>
      <c r="Y1107" s="19" t="s"/>
      <c r="Z1107" s="19" t="s"/>
      <c r="AA1107" s="19" t="s"/>
      <c r="AB1107" s="19" t="s"/>
    </row>
    <row r="1108" spans="1:28" ht="14.4">
      <c r="A1108" s="4">
        <f>=H1108/G1108-1</f>
        <v>0.101796407185629</v>
      </c>
      <c r="B1108" s="20">
        <f>=F1108/12</f>
        <v>13.8</v>
      </c>
      <c r="C1108" s="20">
        <f>=J1108/3</f>
        <v>110.4</v>
      </c>
      <c r="D1108" s="20">
        <f>=K1108/3</f>
        <v>122.666666666667</v>
      </c>
      <c r="E1108" s="20">
        <f>=L1108/3</f>
        <v>128.8</v>
      </c>
      <c r="F1108" s="20">
        <f>=H1108*0.9</f>
        <v>165.6</v>
      </c>
      <c r="G1108" s="21">
        <v>167</v>
      </c>
      <c r="H1108" s="39">
        <v>184</v>
      </c>
      <c r="I1108" s="40">
        <f>=H1108*1.05</f>
        <v>193.2</v>
      </c>
      <c r="J1108" s="40">
        <f>=F1108*2</f>
        <v>331.2</v>
      </c>
      <c r="K1108" s="40">
        <f>=H1108*2</f>
        <v>368</v>
      </c>
      <c r="L1108" s="40">
        <f>=I1108*2</f>
        <v>386.4</v>
      </c>
      <c r="M1108" s="41" t="s">
        <v>1217</v>
      </c>
      <c r="N1108" s="41">
        <v>0.053</v>
      </c>
      <c r="O1108" s="41" t="s"/>
      <c r="P1108" s="41">
        <v>1</v>
      </c>
      <c r="Q1108" s="41">
        <v>1</v>
      </c>
      <c r="R1108" s="41" t="s">
        <v>16</v>
      </c>
      <c r="S1108" s="41" t="s">
        <v>17</v>
      </c>
      <c r="T1108" s="41" t="s">
        <v>212</v>
      </c>
      <c r="U1108" s="16" t="s">
        <v>13</v>
      </c>
      <c r="V1108" s="16" t="s">
        <v>1083</v>
      </c>
      <c r="W1108" s="19" t="s"/>
      <c r="X1108" s="26" t="s">
        <f>=M1108&amp;N1108&amp;P1108&amp;Q1108&amp;T1108&amp;V1108&amp;S1108</f>
        <v>1219</v>
      </c>
      <c r="Y1108" s="19" t="s"/>
      <c r="Z1108" s="19" t="s"/>
      <c r="AA1108" s="19" t="s"/>
      <c r="AB1108" s="19" t="s"/>
    </row>
    <row r="1109" spans="1:28" ht="14.4">
      <c r="A1109" s="4">
        <f>=H1109/G1109-1</f>
        <v>0.101449275362319</v>
      </c>
      <c r="B1109" s="20">
        <f>=F1109/12</f>
        <v>11.4</v>
      </c>
      <c r="C1109" s="20">
        <f>=J1109/3</f>
        <v>91.2</v>
      </c>
      <c r="D1109" s="20">
        <f>=K1109/3</f>
        <v>101.333333333333</v>
      </c>
      <c r="E1109" s="20">
        <f>=L1109/3</f>
        <v>106.4</v>
      </c>
      <c r="F1109" s="20">
        <f>=H1109*0.9</f>
        <v>136.8</v>
      </c>
      <c r="G1109" s="21">
        <v>138</v>
      </c>
      <c r="H1109" s="39">
        <v>152</v>
      </c>
      <c r="I1109" s="40">
        <f>=H1109*1.05</f>
        <v>159.6</v>
      </c>
      <c r="J1109" s="40">
        <f>=F1109*2</f>
        <v>273.6</v>
      </c>
      <c r="K1109" s="40">
        <f>=H1109*2</f>
        <v>304</v>
      </c>
      <c r="L1109" s="40">
        <f>=I1109*2</f>
        <v>319.2</v>
      </c>
      <c r="M1109" s="41" t="s">
        <v>1217</v>
      </c>
      <c r="N1109" s="41">
        <v>0.064</v>
      </c>
      <c r="O1109" s="41" t="s"/>
      <c r="P1109" s="41">
        <v>1</v>
      </c>
      <c r="Q1109" s="41">
        <v>1</v>
      </c>
      <c r="R1109" s="41" t="s">
        <v>16</v>
      </c>
      <c r="S1109" s="41" t="s">
        <v>17</v>
      </c>
      <c r="T1109" s="41" t="s">
        <v>1098</v>
      </c>
      <c r="U1109" s="16" t="s">
        <v>13</v>
      </c>
      <c r="V1109" s="16" t="s">
        <v>1083</v>
      </c>
      <c r="W1109" s="19" t="s"/>
      <c r="X1109" s="26" t="s">
        <f>=M1109&amp;N1109&amp;P1109&amp;Q1109&amp;T1109&amp;V1109&amp;S1109</f>
        <v>1220</v>
      </c>
      <c r="Y1109" s="19" t="s"/>
      <c r="Z1109" s="19" t="s"/>
      <c r="AA1109" s="19" t="s"/>
      <c r="AB1109" s="19" t="s"/>
    </row>
    <row r="1110" spans="1:28" ht="14.4">
      <c r="A1110" s="4">
        <f>=H1110/G1110-1</f>
        <v>0.101449275362319</v>
      </c>
      <c r="B1110" s="20">
        <f>=F1110/12</f>
        <v>11.4</v>
      </c>
      <c r="C1110" s="20">
        <f>=J1110/3</f>
        <v>91.2</v>
      </c>
      <c r="D1110" s="20">
        <f>=K1110/3</f>
        <v>101.333333333333</v>
      </c>
      <c r="E1110" s="20">
        <f>=L1110/3</f>
        <v>106.4</v>
      </c>
      <c r="F1110" s="20">
        <f>=H1110*0.9</f>
        <v>136.8</v>
      </c>
      <c r="G1110" s="21">
        <v>138</v>
      </c>
      <c r="H1110" s="39">
        <v>152</v>
      </c>
      <c r="I1110" s="40">
        <f>=H1110*1.05</f>
        <v>159.6</v>
      </c>
      <c r="J1110" s="40">
        <f>=F1110*2</f>
        <v>273.6</v>
      </c>
      <c r="K1110" s="40">
        <f>=H1110*2</f>
        <v>304</v>
      </c>
      <c r="L1110" s="40">
        <f>=I1110*2</f>
        <v>319.2</v>
      </c>
      <c r="M1110" s="41" t="s">
        <v>1217</v>
      </c>
      <c r="N1110" s="41">
        <v>0.064</v>
      </c>
      <c r="O1110" s="41" t="s"/>
      <c r="P1110" s="41">
        <v>1</v>
      </c>
      <c r="Q1110" s="41">
        <v>1</v>
      </c>
      <c r="R1110" s="41" t="s">
        <v>16</v>
      </c>
      <c r="S1110" s="41" t="s">
        <v>17</v>
      </c>
      <c r="T1110" s="41" t="s">
        <v>1098</v>
      </c>
      <c r="U1110" s="16" t="s">
        <v>13</v>
      </c>
      <c r="V1110" s="16" t="s">
        <v>1083</v>
      </c>
      <c r="W1110" s="19" t="s"/>
      <c r="X1110" s="26" t="s">
        <f>=M1110&amp;N1110&amp;P1110&amp;Q1110&amp;T1110&amp;V1110&amp;S1110</f>
        <v>1220</v>
      </c>
      <c r="Y1110" s="19" t="s"/>
      <c r="Z1110" s="19" t="s"/>
      <c r="AA1110" s="19" t="s"/>
      <c r="AB1110" s="19" t="s"/>
    </row>
    <row r="1111" spans="1:28" ht="14.4">
      <c r="A1111" s="4">
        <f>=H1111/G1111-1</f>
        <v>0.101449275362319</v>
      </c>
      <c r="B1111" s="20">
        <f>=F1111/12</f>
        <v>11.4</v>
      </c>
      <c r="C1111" s="20">
        <f>=J1111/3</f>
        <v>91.2</v>
      </c>
      <c r="D1111" s="20">
        <f>=K1111/3</f>
        <v>101.333333333333</v>
      </c>
      <c r="E1111" s="20">
        <f>=L1111/3</f>
        <v>106.4</v>
      </c>
      <c r="F1111" s="20">
        <f>=H1111*0.9</f>
        <v>136.8</v>
      </c>
      <c r="G1111" s="21">
        <v>138</v>
      </c>
      <c r="H1111" s="39">
        <v>152</v>
      </c>
      <c r="I1111" s="40">
        <f>=H1111*1.05</f>
        <v>159.6</v>
      </c>
      <c r="J1111" s="40">
        <f>=F1111*2</f>
        <v>273.6</v>
      </c>
      <c r="K1111" s="40">
        <f>=H1111*2</f>
        <v>304</v>
      </c>
      <c r="L1111" s="40">
        <f>=I1111*2</f>
        <v>319.2</v>
      </c>
      <c r="M1111" s="41" t="s">
        <v>1217</v>
      </c>
      <c r="N1111" s="41">
        <v>0.064</v>
      </c>
      <c r="O1111" s="41" t="s"/>
      <c r="P1111" s="41">
        <v>1</v>
      </c>
      <c r="Q1111" s="41">
        <v>1</v>
      </c>
      <c r="R1111" s="41" t="s">
        <v>16</v>
      </c>
      <c r="S1111" s="41" t="s">
        <v>17</v>
      </c>
      <c r="T1111" s="41" t="s">
        <v>1098</v>
      </c>
      <c r="U1111" s="16" t="s">
        <v>13</v>
      </c>
      <c r="V1111" s="16" t="s">
        <v>1083</v>
      </c>
      <c r="W1111" s="19" t="s"/>
      <c r="X1111" s="26" t="s">
        <f>=M1111&amp;N1111&amp;P1111&amp;Q1111&amp;T1111&amp;V1111&amp;S1111</f>
        <v>1220</v>
      </c>
      <c r="Y1111" s="19" t="s"/>
      <c r="Z1111" s="19" t="s"/>
      <c r="AA1111" s="19" t="s"/>
      <c r="AB1111" s="19" t="s"/>
    </row>
    <row r="1112" spans="1:28" ht="14.4">
      <c r="A1112" s="4">
        <f>=H1112/G1112-1</f>
        <v>0.0984848484848484</v>
      </c>
      <c r="B1112" s="20">
        <f>=F1112/12</f>
        <v>10.875</v>
      </c>
      <c r="C1112" s="20">
        <f>=J1112/3</f>
        <v>87</v>
      </c>
      <c r="D1112" s="20">
        <f>=K1112/3</f>
        <v>96.6666666666667</v>
      </c>
      <c r="E1112" s="20">
        <f>=L1112/3</f>
        <v>101.5</v>
      </c>
      <c r="F1112" s="20">
        <f>=H1112*0.9</f>
        <v>130.5</v>
      </c>
      <c r="G1112" s="21">
        <v>132</v>
      </c>
      <c r="H1112" s="39">
        <v>145</v>
      </c>
      <c r="I1112" s="40">
        <f>=H1112*1.05</f>
        <v>152.25</v>
      </c>
      <c r="J1112" s="40">
        <f>=F1112*2</f>
        <v>261</v>
      </c>
      <c r="K1112" s="40">
        <f>=H1112*2</f>
        <v>290</v>
      </c>
      <c r="L1112" s="40">
        <f>=I1112*2</f>
        <v>304.5</v>
      </c>
      <c r="M1112" s="41" t="s">
        <v>1217</v>
      </c>
      <c r="N1112" s="41">
        <v>0.064</v>
      </c>
      <c r="O1112" s="41" t="s"/>
      <c r="P1112" s="41" t="s">
        <v>21</v>
      </c>
      <c r="Q1112" s="41">
        <v>1</v>
      </c>
      <c r="R1112" s="41" t="s">
        <v>16</v>
      </c>
      <c r="S1112" s="41" t="s">
        <v>17</v>
      </c>
      <c r="T1112" s="41" t="s">
        <v>1098</v>
      </c>
      <c r="U1112" s="16" t="s">
        <v>13</v>
      </c>
      <c r="V1112" s="16" t="s">
        <v>1083</v>
      </c>
      <c r="W1112" s="19" t="s"/>
      <c r="X1112" s="26" t="s">
        <f>=M1112&amp;N1112&amp;P1112&amp;Q1112&amp;T1112&amp;V1112&amp;S1112</f>
        <v>1221</v>
      </c>
      <c r="Y1112" s="19" t="s"/>
      <c r="Z1112" s="19" t="s"/>
      <c r="AA1112" s="19" t="s"/>
      <c r="AB1112" s="19" t="s"/>
    </row>
    <row r="1113" spans="1:28" ht="14.4">
      <c r="A1113" s="4">
        <f>=H1113/G1113-1</f>
        <v>0.104166666666667</v>
      </c>
      <c r="B1113" s="20">
        <f>=F1113/12</f>
        <v>7.95</v>
      </c>
      <c r="C1113" s="20">
        <f>=J1113/3</f>
        <v>63.6</v>
      </c>
      <c r="D1113" s="20">
        <f>=K1113/3</f>
        <v>70.6666666666667</v>
      </c>
      <c r="E1113" s="20">
        <f>=L1113/3</f>
        <v>74.2</v>
      </c>
      <c r="F1113" s="20">
        <f>=H1113*0.9</f>
        <v>95.4</v>
      </c>
      <c r="G1113" s="21">
        <v>96</v>
      </c>
      <c r="H1113" s="39">
        <v>106</v>
      </c>
      <c r="I1113" s="40">
        <f>=H1113*1.05</f>
        <v>111.3</v>
      </c>
      <c r="J1113" s="40">
        <f>=F1113*2</f>
        <v>190.8</v>
      </c>
      <c r="K1113" s="40">
        <f>=H1113*2</f>
        <v>212</v>
      </c>
      <c r="L1113" s="40">
        <f>=I1113*2</f>
        <v>222.6</v>
      </c>
      <c r="M1113" s="41" t="s">
        <v>1217</v>
      </c>
      <c r="N1113" s="41">
        <v>0.064</v>
      </c>
      <c r="O1113" s="41" t="s"/>
      <c r="P1113" s="41" t="s">
        <v>21</v>
      </c>
      <c r="Q1113" s="41" t="s">
        <v>21</v>
      </c>
      <c r="R1113" s="41" t="s">
        <v>16</v>
      </c>
      <c r="S1113" s="41" t="s">
        <v>17</v>
      </c>
      <c r="T1113" s="41" t="s">
        <v>1098</v>
      </c>
      <c r="U1113" s="16" t="s">
        <v>13</v>
      </c>
      <c r="V1113" s="16" t="s">
        <v>1083</v>
      </c>
      <c r="W1113" s="19" t="s"/>
      <c r="X1113" s="26" t="s">
        <f>=M1113&amp;N1113&amp;P1113&amp;Q1113&amp;T1113&amp;V1113&amp;S1113</f>
        <v>1222</v>
      </c>
      <c r="Y1113" s="19" t="s"/>
      <c r="Z1113" s="19" t="s"/>
      <c r="AA1113" s="19" t="s"/>
      <c r="AB1113" s="19" t="s"/>
    </row>
    <row r="1114" spans="1:28" ht="14.4">
      <c r="A1114" s="4">
        <f>=H1114/G1114-1</f>
        <v>0.098901098901099</v>
      </c>
      <c r="B1114" s="20">
        <f>=F1114/12</f>
        <v>7.5</v>
      </c>
      <c r="C1114" s="20">
        <f>=J1114/3</f>
        <v>60</v>
      </c>
      <c r="D1114" s="20">
        <f>=K1114/3</f>
        <v>66.6666666666667</v>
      </c>
      <c r="E1114" s="20">
        <f>=L1114/3</f>
        <v>70</v>
      </c>
      <c r="F1114" s="20">
        <f>=H1114*0.9</f>
        <v>90</v>
      </c>
      <c r="G1114" s="21">
        <v>91</v>
      </c>
      <c r="H1114" s="39">
        <v>100</v>
      </c>
      <c r="I1114" s="40">
        <f>=H1114*1.05</f>
        <v>105</v>
      </c>
      <c r="J1114" s="40">
        <f>=F1114*2</f>
        <v>180</v>
      </c>
      <c r="K1114" s="40">
        <f>=H1114*2</f>
        <v>200</v>
      </c>
      <c r="L1114" s="40">
        <f>=I1114*2</f>
        <v>210</v>
      </c>
      <c r="M1114" s="41" t="s">
        <v>1217</v>
      </c>
      <c r="N1114" s="41">
        <v>0.064</v>
      </c>
      <c r="O1114" s="41" t="s"/>
      <c r="P1114" s="41" t="s">
        <v>21</v>
      </c>
      <c r="Q1114" s="41" t="s">
        <v>21</v>
      </c>
      <c r="R1114" s="41" t="s">
        <v>16</v>
      </c>
      <c r="S1114" s="41" t="s">
        <v>17</v>
      </c>
      <c r="T1114" s="41" t="s">
        <v>18</v>
      </c>
      <c r="U1114" s="16" t="s">
        <v>13</v>
      </c>
      <c r="V1114" s="16" t="s">
        <v>1083</v>
      </c>
      <c r="W1114" s="19" t="s"/>
      <c r="X1114" s="26" t="s">
        <f>=M1114&amp;N1114&amp;P1114&amp;Q1114&amp;T1114&amp;V1114&amp;S1114</f>
        <v>1223</v>
      </c>
      <c r="Y1114" s="19" t="s"/>
      <c r="Z1114" s="19" t="s"/>
      <c r="AA1114" s="19" t="s"/>
      <c r="AB1114" s="19" t="s"/>
    </row>
    <row r="1115" spans="1:28" ht="14.4">
      <c r="A1115" s="66" t="s">
        <v>1224</v>
      </c>
      <c r="B1115" s="43">
        <f>=F1115/12</f>
        <v>22.05</v>
      </c>
      <c r="C1115" s="43">
        <f>=J1115/3</f>
        <v>176.4</v>
      </c>
      <c r="D1115" s="43">
        <f>=K1115/3</f>
        <v>196</v>
      </c>
      <c r="E1115" s="43">
        <f>=L1115/3</f>
        <v>205.8</v>
      </c>
      <c r="F1115" s="43">
        <f>=H1115*0.9</f>
        <v>264.6</v>
      </c>
      <c r="G1115" s="27" t="s"/>
      <c r="H1115" s="44">
        <v>294</v>
      </c>
      <c r="I1115" s="45">
        <f>=H1115*1.05</f>
        <v>308.7</v>
      </c>
      <c r="J1115" s="45">
        <f>=F1115*2</f>
        <v>529.2</v>
      </c>
      <c r="K1115" s="45">
        <f>=H1115*2</f>
        <v>588</v>
      </c>
      <c r="L1115" s="45">
        <f>=I1115*2</f>
        <v>617.4</v>
      </c>
      <c r="M1115" s="46" t="s">
        <v>1217</v>
      </c>
      <c r="N1115" s="46">
        <v>0.076</v>
      </c>
      <c r="O1115" s="46" t="s"/>
      <c r="P1115" s="12">
        <v>2</v>
      </c>
      <c r="Q1115" s="12">
        <v>2</v>
      </c>
      <c r="R1115" s="46" t="s">
        <v>16</v>
      </c>
      <c r="S1115" s="46" t="s">
        <v>17</v>
      </c>
      <c r="T1115" s="46" t="s">
        <v>1098</v>
      </c>
      <c r="U1115" s="13" t="s">
        <v>13</v>
      </c>
      <c r="V1115" s="13" t="s">
        <v>215</v>
      </c>
      <c r="W1115" s="15" t="s"/>
      <c r="X1115" s="18" t="s">
        <f>=M1115&amp;N1115&amp;P1115&amp;Q1115&amp;T1115&amp;V1115&amp;S1115</f>
        <v>1225</v>
      </c>
      <c r="Y1115" s="15" t="s"/>
      <c r="Z1115" s="15" t="s"/>
      <c r="AA1115" s="15" t="s"/>
      <c r="AB1115" s="15" t="s"/>
    </row>
    <row r="1116" spans="1:29" ht="14.4" customHeight="true">
      <c r="A1116" s="47">
        <v>46181</v>
      </c>
      <c r="B1116" s="43">
        <f>=F1116/12</f>
        <v>23.625</v>
      </c>
      <c r="C1116" s="43">
        <f>=J1116/3</f>
        <v>189</v>
      </c>
      <c r="D1116" s="43">
        <f>=K1116/3</f>
        <v>210</v>
      </c>
      <c r="E1116" s="43">
        <f>=L1116/3</f>
        <v>220.5</v>
      </c>
      <c r="F1116" s="43">
        <f>=H1116*0.9</f>
        <v>283.5</v>
      </c>
      <c r="G1116" s="27" t="s"/>
      <c r="H1116" s="44">
        <v>315</v>
      </c>
      <c r="I1116" s="45">
        <f>=H1116*1.05</f>
        <v>330.75</v>
      </c>
      <c r="J1116" s="45">
        <f>=F1116*2</f>
        <v>567</v>
      </c>
      <c r="K1116" s="45">
        <f>=H1116*2</f>
        <v>630</v>
      </c>
      <c r="L1116" s="45">
        <f>=I1116*2</f>
        <v>661.5</v>
      </c>
      <c r="M1116" s="46" t="s">
        <v>1217</v>
      </c>
      <c r="N1116" s="46">
        <v>0.076</v>
      </c>
      <c r="O1116" s="46" t="s"/>
      <c r="P1116" s="12">
        <v>2</v>
      </c>
      <c r="Q1116" s="12">
        <v>2</v>
      </c>
      <c r="R1116" s="46" t="s">
        <v>16</v>
      </c>
      <c r="S1116" s="46" t="s">
        <v>17</v>
      </c>
      <c r="T1116" s="46" t="s">
        <v>1098</v>
      </c>
      <c r="U1116" s="13" t="s">
        <v>13</v>
      </c>
      <c r="V1116" s="13" t="s">
        <v>215</v>
      </c>
      <c r="W1116" s="15" t="s"/>
      <c r="X1116" s="18" t="s">
        <f>=M1116&amp;N1116&amp;P1116&amp;Q1116&amp;T1116&amp;V1116&amp;S1116</f>
        <v>1225</v>
      </c>
      <c r="Y1116" s="15" t="s"/>
      <c r="Z1116" s="15" t="s"/>
      <c r="AA1116" s="15" t="s"/>
      <c r="AB1116" s="15" t="s"/>
      <c r="AC1116" s="48" t="s"/>
    </row>
    <row r="1117" spans="1:29" ht="13.5" customHeight="true">
      <c r="A1117" s="47">
        <v>46178</v>
      </c>
      <c r="B1117" s="67">
        <f>=F1117/12</f>
        <v>10.425</v>
      </c>
      <c r="C1117" s="67">
        <f>=J1117/3</f>
        <v>83.4</v>
      </c>
      <c r="D1117" s="67">
        <f>=K1117/3</f>
        <v>92.6666666666667</v>
      </c>
      <c r="E1117" s="67">
        <f>=L1117/3</f>
        <v>97.3</v>
      </c>
      <c r="F1117" s="67">
        <f>=H1117*0.9</f>
        <v>125.1</v>
      </c>
      <c r="G1117" s="44">
        <v>116</v>
      </c>
      <c r="H1117" s="44">
        <v>139</v>
      </c>
      <c r="I1117" s="45">
        <f>=H1117*1.05</f>
        <v>145.95</v>
      </c>
      <c r="J1117" s="45">
        <f>=F1117*2</f>
        <v>250.2</v>
      </c>
      <c r="K1117" s="45">
        <f>=H1117*2</f>
        <v>278</v>
      </c>
      <c r="L1117" s="45">
        <f>=I1117*2</f>
        <v>291.9</v>
      </c>
      <c r="M1117" s="46" t="s">
        <v>1217</v>
      </c>
      <c r="N1117" s="46">
        <v>0.076</v>
      </c>
      <c r="O1117" s="46" t="s"/>
      <c r="P1117" s="46" t="s">
        <v>21</v>
      </c>
      <c r="Q1117" s="46">
        <v>1</v>
      </c>
      <c r="R1117" s="46" t="s">
        <v>16</v>
      </c>
      <c r="S1117" s="46" t="s">
        <v>17</v>
      </c>
      <c r="T1117" s="46" t="s">
        <v>1098</v>
      </c>
      <c r="U1117" s="46" t="s">
        <v>13</v>
      </c>
      <c r="V1117" s="12" t="s">
        <v>1083</v>
      </c>
      <c r="W1117" s="50" t="s"/>
      <c r="X1117" s="18" t="s">
        <f>=M1117&amp;N1117&amp;P1117&amp;Q1117&amp;T1117&amp;V1117&amp;S1117</f>
        <v>1226</v>
      </c>
      <c r="Y1117" s="50" t="s"/>
      <c r="Z1117" s="50" t="s"/>
      <c r="AA1117" s="50" t="s"/>
      <c r="AB1117" s="50" t="s"/>
      <c r="AC1117" s="48" t="s"/>
    </row>
    <row r="1118" spans="1:29" ht="13.5" customHeight="true">
      <c r="A1118" s="47">
        <v>46178</v>
      </c>
      <c r="B1118" s="67">
        <f>=F1118/12</f>
        <v>8.25</v>
      </c>
      <c r="C1118" s="67">
        <f>=J1118/3</f>
        <v>66</v>
      </c>
      <c r="D1118" s="67">
        <f>=K1118/3</f>
        <v>73.3333333333333</v>
      </c>
      <c r="E1118" s="67">
        <f>=L1118/3</f>
        <v>77</v>
      </c>
      <c r="F1118" s="67">
        <f>=H1118*0.9</f>
        <v>99</v>
      </c>
      <c r="G1118" s="44">
        <v>116</v>
      </c>
      <c r="H1118" s="44">
        <v>110</v>
      </c>
      <c r="I1118" s="45">
        <f>=H1118*1.05</f>
        <v>115.5</v>
      </c>
      <c r="J1118" s="45">
        <f>=F1118*2</f>
        <v>198</v>
      </c>
      <c r="K1118" s="45">
        <f>=H1118*2</f>
        <v>220</v>
      </c>
      <c r="L1118" s="45">
        <f>=I1118*2</f>
        <v>231</v>
      </c>
      <c r="M1118" s="46" t="s">
        <v>1217</v>
      </c>
      <c r="N1118" s="46">
        <v>0.076</v>
      </c>
      <c r="O1118" s="46" t="s"/>
      <c r="P1118" s="46" t="s">
        <v>21</v>
      </c>
      <c r="Q1118" s="46" t="s">
        <v>21</v>
      </c>
      <c r="R1118" s="46" t="s">
        <v>16</v>
      </c>
      <c r="S1118" s="46" t="s">
        <v>17</v>
      </c>
      <c r="T1118" s="46" t="s">
        <v>1098</v>
      </c>
      <c r="U1118" s="46" t="s">
        <v>13</v>
      </c>
      <c r="V1118" s="12" t="s">
        <v>1227</v>
      </c>
      <c r="W1118" s="50" t="s"/>
      <c r="X1118" s="18" t="s">
        <f>=M1118&amp;N1118&amp;P1118&amp;Q1118&amp;T1118&amp;V1118&amp;S1118</f>
        <v>1228</v>
      </c>
      <c r="Y1118" s="50" t="s"/>
      <c r="Z1118" s="50" t="s"/>
      <c r="AA1118" s="50" t="s"/>
      <c r="AB1118" s="50" t="s"/>
      <c r="AC1118" s="48" t="s"/>
    </row>
    <row r="1119" spans="1:29" ht="13.5" customHeight="true">
      <c r="A1119" s="47">
        <v>46178</v>
      </c>
      <c r="B1119" s="67">
        <f>=F1119/12</f>
        <v>11.025</v>
      </c>
      <c r="C1119" s="67">
        <f>=J1119/3</f>
        <v>88.2</v>
      </c>
      <c r="D1119" s="67">
        <f>=K1119/3</f>
        <v>98</v>
      </c>
      <c r="E1119" s="67">
        <f>=L1119/3</f>
        <v>102.9</v>
      </c>
      <c r="F1119" s="67">
        <f>=H1119*0.9</f>
        <v>132.3</v>
      </c>
      <c r="G1119" s="44">
        <v>116</v>
      </c>
      <c r="H1119" s="44">
        <v>147</v>
      </c>
      <c r="I1119" s="45">
        <f>=H1119*1.05</f>
        <v>154.35</v>
      </c>
      <c r="J1119" s="45">
        <f>=F1119*2</f>
        <v>264.6</v>
      </c>
      <c r="K1119" s="45">
        <f>=H1119*2</f>
        <v>294</v>
      </c>
      <c r="L1119" s="45">
        <f>=I1119*2</f>
        <v>308.7</v>
      </c>
      <c r="M1119" s="46" t="s">
        <v>1217</v>
      </c>
      <c r="N1119" s="46">
        <v>0.076</v>
      </c>
      <c r="O1119" s="46" t="s"/>
      <c r="P1119" s="46" t="s">
        <v>21</v>
      </c>
      <c r="Q1119" s="46">
        <v>1</v>
      </c>
      <c r="R1119" s="46" t="s">
        <v>16</v>
      </c>
      <c r="S1119" s="46" t="s">
        <v>17</v>
      </c>
      <c r="T1119" s="46" t="s">
        <v>1098</v>
      </c>
      <c r="U1119" s="46" t="s">
        <v>13</v>
      </c>
      <c r="V1119" s="12" t="s">
        <v>1227</v>
      </c>
      <c r="W1119" s="50" t="s"/>
      <c r="X1119" s="18" t="s">
        <f>=M1119&amp;N1119&amp;P1119&amp;Q1119&amp;T1119&amp;V1119&amp;S1119</f>
        <v>1229</v>
      </c>
      <c r="Y1119" s="50" t="s"/>
      <c r="Z1119" s="50" t="s"/>
      <c r="AA1119" s="50" t="s"/>
      <c r="AB1119" s="50" t="s"/>
      <c r="AC1119" s="48" t="s"/>
    </row>
    <row r="1120" spans="1:28" ht="13.5" customHeight="true">
      <c r="A1120" s="52" t="s">
        <v>1224</v>
      </c>
      <c r="B1120" s="53">
        <f>=F1120/12</f>
        <v>8.7</v>
      </c>
      <c r="C1120" s="53">
        <f>=J1120/3</f>
        <v>69.6</v>
      </c>
      <c r="D1120" s="53">
        <f>=K1120/3</f>
        <v>77.3333333333333</v>
      </c>
      <c r="E1120" s="53">
        <f>=L1120/3</f>
        <v>81.2</v>
      </c>
      <c r="F1120" s="53">
        <f>=H1120*0.9</f>
        <v>104.4</v>
      </c>
      <c r="G1120" s="39">
        <v>116</v>
      </c>
      <c r="H1120" s="44">
        <v>116</v>
      </c>
      <c r="I1120" s="40">
        <f>=H1120*1.05</f>
        <v>121.8</v>
      </c>
      <c r="J1120" s="40">
        <f>=F1120*2</f>
        <v>208.8</v>
      </c>
      <c r="K1120" s="40">
        <f>=H1120*2</f>
        <v>232</v>
      </c>
      <c r="L1120" s="40">
        <f>=I1120*2</f>
        <v>243.6</v>
      </c>
      <c r="M1120" s="41" t="s">
        <v>1217</v>
      </c>
      <c r="N1120" s="41">
        <v>0.076</v>
      </c>
      <c r="O1120" s="41" t="s"/>
      <c r="P1120" s="41" t="s">
        <v>21</v>
      </c>
      <c r="Q1120" s="41" t="s">
        <v>21</v>
      </c>
      <c r="R1120" s="41" t="s">
        <v>16</v>
      </c>
      <c r="S1120" s="41" t="s">
        <v>17</v>
      </c>
      <c r="T1120" s="41" t="s">
        <v>1098</v>
      </c>
      <c r="U1120" s="41" t="s">
        <v>13</v>
      </c>
      <c r="V1120" s="75" t="s">
        <v>1083</v>
      </c>
      <c r="W1120" s="29" t="s"/>
      <c r="X1120" s="26" t="s">
        <f>=M1120&amp;N1120&amp;P1120&amp;Q1120&amp;T1120&amp;V1120&amp;S1120</f>
        <v>1230</v>
      </c>
      <c r="Y1120" s="29" t="s"/>
      <c r="Z1120" s="29" t="s"/>
      <c r="AA1120" s="29" t="s"/>
      <c r="AB1120" s="29" t="s"/>
    </row>
    <row r="1121" spans="1:29" ht="14.4">
      <c r="A1121" s="49">
        <v>46174</v>
      </c>
      <c r="B1121" s="43">
        <f>=F1121/12</f>
        <v>17.175</v>
      </c>
      <c r="C1121" s="43">
        <f>=J1121/3</f>
        <v>137.4</v>
      </c>
      <c r="D1121" s="43">
        <f>=K1121/3</f>
        <v>152.666666666667</v>
      </c>
      <c r="E1121" s="43">
        <f>=L1121/3</f>
        <v>160.3</v>
      </c>
      <c r="F1121" s="43">
        <f>=H1121*0.9</f>
        <v>206.1</v>
      </c>
      <c r="G1121" s="27">
        <v>138</v>
      </c>
      <c r="H1121" s="129">
        <v>229</v>
      </c>
      <c r="I1121" s="45">
        <f>=H1121*1.05</f>
        <v>240.45</v>
      </c>
      <c r="J1121" s="45">
        <f>=F1121*2</f>
        <v>412.2</v>
      </c>
      <c r="K1121" s="45">
        <f>=H1121*2</f>
        <v>458</v>
      </c>
      <c r="L1121" s="45">
        <f>=I1121*2</f>
        <v>480.9</v>
      </c>
      <c r="M1121" s="46" t="s">
        <v>1217</v>
      </c>
      <c r="N1121" s="46">
        <v>0.076</v>
      </c>
      <c r="O1121" s="46" t="s"/>
      <c r="P1121" s="46">
        <v>1</v>
      </c>
      <c r="Q1121" s="12">
        <v>2</v>
      </c>
      <c r="R1121" s="46" t="s">
        <v>16</v>
      </c>
      <c r="S1121" s="46" t="s">
        <v>17</v>
      </c>
      <c r="T1121" s="46" t="s">
        <v>1098</v>
      </c>
      <c r="U1121" s="13" t="s">
        <v>13</v>
      </c>
      <c r="V1121" s="11" t="s">
        <v>215</v>
      </c>
      <c r="W1121" s="15" t="s"/>
      <c r="X1121" s="18" t="s">
        <f>=M1121&amp;N1121&amp;P1121&amp;Q1121&amp;T1121&amp;V1121&amp;S1121</f>
        <v>1231</v>
      </c>
      <c r="Y1121" s="15" t="s"/>
      <c r="Z1121" s="15" t="s"/>
      <c r="AA1121" s="15" t="s"/>
      <c r="AB1121" s="15" t="s"/>
      <c r="AC1121" s="48" t="s"/>
    </row>
    <row r="1122" spans="1:28" ht="14.4">
      <c r="A1122" s="4">
        <f>=H1122/G1122-1</f>
        <v>0.101449275362319</v>
      </c>
      <c r="B1122" s="20">
        <f>=F1122/12</f>
        <v>11.4</v>
      </c>
      <c r="C1122" s="20">
        <f>=J1122/3</f>
        <v>91.2</v>
      </c>
      <c r="D1122" s="20">
        <f>=K1122/3</f>
        <v>101.333333333333</v>
      </c>
      <c r="E1122" s="20">
        <f>=L1122/3</f>
        <v>106.4</v>
      </c>
      <c r="F1122" s="20">
        <f>=H1122*0.9</f>
        <v>136.8</v>
      </c>
      <c r="G1122" s="21">
        <v>138</v>
      </c>
      <c r="H1122" s="39">
        <v>152</v>
      </c>
      <c r="I1122" s="40">
        <f>=H1122*1.05</f>
        <v>159.6</v>
      </c>
      <c r="J1122" s="40">
        <f>=F1122*2</f>
        <v>273.6</v>
      </c>
      <c r="K1122" s="40">
        <f>=H1122*2</f>
        <v>304</v>
      </c>
      <c r="L1122" s="40">
        <f>=I1122*2</f>
        <v>319.2</v>
      </c>
      <c r="M1122" s="41" t="s">
        <v>1217</v>
      </c>
      <c r="N1122" s="41">
        <v>0.076</v>
      </c>
      <c r="O1122" s="41" t="s"/>
      <c r="P1122" s="41">
        <v>1</v>
      </c>
      <c r="Q1122" s="41">
        <v>1</v>
      </c>
      <c r="R1122" s="41" t="s">
        <v>16</v>
      </c>
      <c r="S1122" s="41" t="s">
        <v>17</v>
      </c>
      <c r="T1122" s="41" t="s">
        <v>1098</v>
      </c>
      <c r="U1122" s="16" t="s">
        <v>13</v>
      </c>
      <c r="V1122" s="16" t="s">
        <v>1083</v>
      </c>
      <c r="W1122" s="19" t="s"/>
      <c r="X1122" s="26" t="s">
        <f>=M1122&amp;N1122&amp;P1122&amp;Q1122&amp;T1122&amp;V1122&amp;S1122</f>
        <v>1232</v>
      </c>
      <c r="Y1122" s="19" t="s"/>
      <c r="Z1122" s="19" t="s"/>
      <c r="AA1122" s="19" t="s"/>
      <c r="AB1122" s="19" t="s"/>
    </row>
    <row r="1123" spans="1:28" ht="14.4">
      <c r="A1123" s="51">
        <v>46160</v>
      </c>
      <c r="B1123" s="20">
        <f>=F1123/12</f>
        <v>12</v>
      </c>
      <c r="C1123" s="20">
        <f>=J1123/3</f>
        <v>96</v>
      </c>
      <c r="D1123" s="20">
        <f>=K1123/3</f>
        <v>106.666666666667</v>
      </c>
      <c r="E1123" s="20">
        <f>=L1123/3</f>
        <v>112</v>
      </c>
      <c r="F1123" s="20">
        <f>=H1123*0.9</f>
        <v>144</v>
      </c>
      <c r="G1123" s="21">
        <v>138</v>
      </c>
      <c r="H1123" s="39">
        <v>160</v>
      </c>
      <c r="I1123" s="40">
        <f>=H1123*1.05</f>
        <v>168</v>
      </c>
      <c r="J1123" s="40">
        <f>=F1123*2</f>
        <v>288</v>
      </c>
      <c r="K1123" s="40">
        <f>=H1123*2</f>
        <v>320</v>
      </c>
      <c r="L1123" s="40">
        <f>=I1123*2</f>
        <v>336</v>
      </c>
      <c r="M1123" s="41" t="s">
        <v>1217</v>
      </c>
      <c r="N1123" s="41">
        <v>0.076</v>
      </c>
      <c r="O1123" s="41" t="s"/>
      <c r="P1123" s="41">
        <v>1</v>
      </c>
      <c r="Q1123" s="41">
        <v>1</v>
      </c>
      <c r="R1123" s="41" t="s">
        <v>16</v>
      </c>
      <c r="S1123" s="41" t="s">
        <v>17</v>
      </c>
      <c r="T1123" s="41" t="s">
        <v>18</v>
      </c>
      <c r="U1123" s="16" t="s">
        <v>13</v>
      </c>
      <c r="V1123" s="16" t="s">
        <v>1083</v>
      </c>
      <c r="W1123" s="19" t="s"/>
      <c r="X1123" s="26" t="s">
        <f>=M1123&amp;N1123&amp;P1123&amp;Q1123&amp;T1123&amp;V1123&amp;S1123</f>
        <v>1233</v>
      </c>
      <c r="Y1123" s="19" t="s"/>
      <c r="Z1123" s="19" t="s"/>
      <c r="AA1123" s="19" t="s"/>
      <c r="AB1123" s="19" t="s"/>
    </row>
    <row r="1124" spans="1:28" ht="14.4">
      <c r="A1124" s="4">
        <f>=H1124/G1124-1</f>
        <v>0.098901098901099</v>
      </c>
      <c r="B1124" s="20">
        <f>=F1124/12</f>
        <v>7.5</v>
      </c>
      <c r="C1124" s="20">
        <f>=J1124/3</f>
        <v>60</v>
      </c>
      <c r="D1124" s="20">
        <f>=K1124/3</f>
        <v>66.6666666666667</v>
      </c>
      <c r="E1124" s="20">
        <f>=L1124/3</f>
        <v>70</v>
      </c>
      <c r="F1124" s="20">
        <f>=H1124*0.9</f>
        <v>90</v>
      </c>
      <c r="G1124" s="21">
        <v>91</v>
      </c>
      <c r="H1124" s="39">
        <v>100</v>
      </c>
      <c r="I1124" s="40">
        <f>=H1124*1.05</f>
        <v>105</v>
      </c>
      <c r="J1124" s="40">
        <f>=F1124*2</f>
        <v>180</v>
      </c>
      <c r="K1124" s="40">
        <f>=H1124*2</f>
        <v>200</v>
      </c>
      <c r="L1124" s="40">
        <f>=I1124*2</f>
        <v>210</v>
      </c>
      <c r="M1124" s="41" t="s">
        <v>1217</v>
      </c>
      <c r="N1124" s="41">
        <v>0.076</v>
      </c>
      <c r="O1124" s="41" t="s"/>
      <c r="P1124" s="41" t="s">
        <v>21</v>
      </c>
      <c r="Q1124" s="41" t="s">
        <v>21</v>
      </c>
      <c r="R1124" s="41" t="s">
        <v>16</v>
      </c>
      <c r="S1124" s="41" t="s">
        <v>17</v>
      </c>
      <c r="T1124" s="41" t="s">
        <v>18</v>
      </c>
      <c r="U1124" s="16" t="s">
        <v>13</v>
      </c>
      <c r="V1124" s="16" t="s">
        <v>1083</v>
      </c>
      <c r="W1124" s="19" t="s"/>
      <c r="X1124" s="26" t="s">
        <f>=M1124&amp;N1124&amp;P1124&amp;Q1124&amp;T1124&amp;V1124&amp;S1124</f>
        <v>1234</v>
      </c>
      <c r="Y1124" s="19" t="s"/>
      <c r="Z1124" s="19" t="s"/>
      <c r="AA1124" s="19" t="s"/>
      <c r="AB1124" s="19" t="s"/>
    </row>
    <row r="1125" spans="1:28" ht="14.4">
      <c r="A1125" s="4">
        <f>=H1125/G1125-1</f>
        <v>0.1</v>
      </c>
      <c r="B1125" s="20">
        <f>=F1125/12</f>
        <v>11.55</v>
      </c>
      <c r="C1125" s="20">
        <f>=J1125/3</f>
        <v>92.4</v>
      </c>
      <c r="D1125" s="20">
        <f>=K1125/3</f>
        <v>102.666666666667</v>
      </c>
      <c r="E1125" s="20">
        <f>=L1125/3</f>
        <v>107.8</v>
      </c>
      <c r="F1125" s="20">
        <f>=H1125*0.9</f>
        <v>138.6</v>
      </c>
      <c r="G1125" s="21">
        <v>140</v>
      </c>
      <c r="H1125" s="39">
        <v>154</v>
      </c>
      <c r="I1125" s="40">
        <f>=H1125*1.05</f>
        <v>161.7</v>
      </c>
      <c r="J1125" s="40">
        <f>=F1125*2</f>
        <v>277.2</v>
      </c>
      <c r="K1125" s="40">
        <f>=H1125*2</f>
        <v>308</v>
      </c>
      <c r="L1125" s="40">
        <f>=I1125*2</f>
        <v>323.4</v>
      </c>
      <c r="M1125" s="41" t="s">
        <v>1217</v>
      </c>
      <c r="N1125" s="41">
        <v>0.089</v>
      </c>
      <c r="O1125" s="41" t="s"/>
      <c r="P1125" s="41">
        <v>1</v>
      </c>
      <c r="Q1125" s="41">
        <v>1</v>
      </c>
      <c r="R1125" s="41" t="s">
        <v>16</v>
      </c>
      <c r="S1125" s="41" t="s">
        <v>17</v>
      </c>
      <c r="T1125" s="41" t="s">
        <v>1098</v>
      </c>
      <c r="U1125" s="16" t="s">
        <v>13</v>
      </c>
      <c r="V1125" s="16" t="s">
        <v>1083</v>
      </c>
      <c r="W1125" s="19" t="s"/>
      <c r="X1125" s="26" t="s">
        <f>=M1125&amp;N1125&amp;P1125&amp;Q1125&amp;T1125&amp;V1125&amp;S1125</f>
        <v>1235</v>
      </c>
      <c r="Y1125" s="19" t="s"/>
      <c r="Z1125" s="19" t="s"/>
      <c r="AA1125" s="19" t="s"/>
      <c r="AB1125" s="19" t="s"/>
    </row>
    <row r="1126" spans="1:28" ht="14.4">
      <c r="A1126" s="4">
        <f>=H1126/G1126-1</f>
        <v>0.0869565217391304</v>
      </c>
      <c r="B1126" s="20">
        <f>=F1126/12</f>
        <v>13.125</v>
      </c>
      <c r="C1126" s="20">
        <f>=J1126/3</f>
        <v>105</v>
      </c>
      <c r="D1126" s="20">
        <f>=K1126/3</f>
        <v>116.666666666667</v>
      </c>
      <c r="E1126" s="20">
        <f>=L1126/3</f>
        <v>122.5</v>
      </c>
      <c r="F1126" s="20">
        <f>=H1126*0.9</f>
        <v>157.5</v>
      </c>
      <c r="G1126" s="21">
        <v>161</v>
      </c>
      <c r="H1126" s="39">
        <v>175</v>
      </c>
      <c r="I1126" s="40">
        <f>=H1126*1.05</f>
        <v>183.75</v>
      </c>
      <c r="J1126" s="40">
        <f>=F1126*2</f>
        <v>315</v>
      </c>
      <c r="K1126" s="40">
        <f>=H1126*2</f>
        <v>350</v>
      </c>
      <c r="L1126" s="40">
        <f>=I1126*2</f>
        <v>367.5</v>
      </c>
      <c r="M1126" s="41" t="s">
        <v>1217</v>
      </c>
      <c r="N1126" s="41">
        <v>0.089</v>
      </c>
      <c r="O1126" s="41" t="s"/>
      <c r="P1126" s="41">
        <v>1</v>
      </c>
      <c r="Q1126" s="41">
        <v>1</v>
      </c>
      <c r="R1126" s="41" t="s">
        <v>16</v>
      </c>
      <c r="S1126" s="41" t="s">
        <v>17</v>
      </c>
      <c r="T1126" s="41" t="s">
        <v>1236</v>
      </c>
      <c r="U1126" s="16" t="s">
        <v>13</v>
      </c>
      <c r="V1126" s="16" t="s">
        <v>215</v>
      </c>
      <c r="W1126" s="17" t="s">
        <v>352</v>
      </c>
      <c r="X1126" s="26" t="s">
        <f>=M1126&amp;N1126&amp;P1126&amp;Q1126&amp;T1126&amp;V1126&amp;S1126</f>
        <v>1237</v>
      </c>
      <c r="Y1126" s="19" t="s"/>
      <c r="Z1126" s="19" t="s"/>
      <c r="AA1126" s="19" t="s"/>
      <c r="AB1126" s="19" t="s"/>
    </row>
    <row r="1127" spans="1:28" ht="14.4">
      <c r="A1127" s="4">
        <f>=H1127/G1127-1</f>
        <v>0.102040816326531</v>
      </c>
      <c r="B1127" s="20">
        <f>=F1127/12</f>
        <v>12.15</v>
      </c>
      <c r="C1127" s="20">
        <f>=J1127/3</f>
        <v>97.2</v>
      </c>
      <c r="D1127" s="20">
        <f>=K1127/3</f>
        <v>108</v>
      </c>
      <c r="E1127" s="20">
        <f>=L1127/3</f>
        <v>113.4</v>
      </c>
      <c r="F1127" s="20">
        <f>=H1127*0.9</f>
        <v>145.8</v>
      </c>
      <c r="G1127" s="21">
        <v>147</v>
      </c>
      <c r="H1127" s="39">
        <v>162</v>
      </c>
      <c r="I1127" s="40">
        <f>=H1127*1.05</f>
        <v>170.1</v>
      </c>
      <c r="J1127" s="40">
        <f>=F1127*2</f>
        <v>291.6</v>
      </c>
      <c r="K1127" s="40">
        <f>=H1127*2</f>
        <v>324</v>
      </c>
      <c r="L1127" s="40">
        <f>=I1127*2</f>
        <v>340.2</v>
      </c>
      <c r="M1127" s="41" t="s">
        <v>1217</v>
      </c>
      <c r="N1127" s="41">
        <v>0.089</v>
      </c>
      <c r="O1127" s="41" t="s"/>
      <c r="P1127" s="41">
        <v>1</v>
      </c>
      <c r="Q1127" s="41">
        <v>1</v>
      </c>
      <c r="R1127" s="41" t="s">
        <v>16</v>
      </c>
      <c r="S1127" s="41" t="s">
        <v>17</v>
      </c>
      <c r="T1127" s="41" t="s">
        <v>1236</v>
      </c>
      <c r="U1127" s="16" t="s">
        <v>13</v>
      </c>
      <c r="V1127" s="16" t="s">
        <v>1083</v>
      </c>
      <c r="W1127" s="19" t="s"/>
      <c r="X1127" s="26" t="s">
        <f>=M1127&amp;N1127&amp;P1127&amp;Q1127&amp;T1127&amp;V1127&amp;S1127</f>
        <v>1238</v>
      </c>
      <c r="Y1127" s="19" t="s"/>
      <c r="Z1127" s="19" t="s"/>
      <c r="AA1127" s="19" t="s"/>
      <c r="AB1127" s="19" t="s"/>
    </row>
    <row r="1128" spans="1:28" ht="14.4">
      <c r="A1128" s="4">
        <f>=H1128/G1128-1</f>
        <v>0.102040816326531</v>
      </c>
      <c r="B1128" s="20">
        <f>=F1128/12</f>
        <v>12.15</v>
      </c>
      <c r="C1128" s="20">
        <f>=J1128/3</f>
        <v>97.2</v>
      </c>
      <c r="D1128" s="20">
        <f>=K1128/3</f>
        <v>108</v>
      </c>
      <c r="E1128" s="20">
        <f>=L1128/3</f>
        <v>113.4</v>
      </c>
      <c r="F1128" s="20">
        <f>=H1128*0.9</f>
        <v>145.8</v>
      </c>
      <c r="G1128" s="21">
        <v>147</v>
      </c>
      <c r="H1128" s="39">
        <v>162</v>
      </c>
      <c r="I1128" s="40">
        <f>=H1128*1.05</f>
        <v>170.1</v>
      </c>
      <c r="J1128" s="40">
        <f>=F1128*2</f>
        <v>291.6</v>
      </c>
      <c r="K1128" s="40">
        <f>=H1128*2</f>
        <v>324</v>
      </c>
      <c r="L1128" s="40">
        <f>=I1128*2</f>
        <v>340.2</v>
      </c>
      <c r="M1128" s="41" t="s">
        <v>1217</v>
      </c>
      <c r="N1128" s="41">
        <v>0.089</v>
      </c>
      <c r="O1128" s="41" t="s"/>
      <c r="P1128" s="41">
        <v>1</v>
      </c>
      <c r="Q1128" s="41">
        <v>1</v>
      </c>
      <c r="R1128" s="41" t="s">
        <v>16</v>
      </c>
      <c r="S1128" s="41" t="s">
        <v>17</v>
      </c>
      <c r="T1128" s="41" t="s">
        <v>639</v>
      </c>
      <c r="U1128" s="16" t="s">
        <v>13</v>
      </c>
      <c r="V1128" s="16" t="s">
        <v>1083</v>
      </c>
      <c r="W1128" s="19" t="s"/>
      <c r="X1128" s="26" t="s">
        <f>=M1128&amp;N1128&amp;P1128&amp;Q1128&amp;T1128&amp;V1128&amp;S1128</f>
        <v>1239</v>
      </c>
      <c r="Y1128" s="19" t="s"/>
      <c r="Z1128" s="19" t="s"/>
      <c r="AA1128" s="19" t="s"/>
      <c r="AB1128" s="19" t="s"/>
    </row>
    <row r="1129" spans="1:28" ht="14.4">
      <c r="A1129" s="4">
        <f>=H1129/G1129-1</f>
        <v>0.102702702702703</v>
      </c>
      <c r="B1129" s="20">
        <f>=F1129/12</f>
        <v>15.3</v>
      </c>
      <c r="C1129" s="20">
        <f>=J1129/3</f>
        <v>122.4</v>
      </c>
      <c r="D1129" s="20">
        <f>=K1129/3</f>
        <v>136</v>
      </c>
      <c r="E1129" s="20">
        <f>=L1129/3</f>
        <v>142.8</v>
      </c>
      <c r="F1129" s="20">
        <f>=H1129*0.9</f>
        <v>183.6</v>
      </c>
      <c r="G1129" s="21">
        <v>185</v>
      </c>
      <c r="H1129" s="39">
        <v>204</v>
      </c>
      <c r="I1129" s="40">
        <f>=H1129*1.05</f>
        <v>214.2</v>
      </c>
      <c r="J1129" s="40">
        <f>=F1129*2</f>
        <v>367.2</v>
      </c>
      <c r="K1129" s="40">
        <f>=H1129*2</f>
        <v>408</v>
      </c>
      <c r="L1129" s="40">
        <f>=I1129*2</f>
        <v>428.4</v>
      </c>
      <c r="M1129" s="41" t="s">
        <v>1217</v>
      </c>
      <c r="N1129" s="41">
        <v>0.089</v>
      </c>
      <c r="O1129" s="41" t="s"/>
      <c r="P1129" s="41">
        <v>1</v>
      </c>
      <c r="Q1129" s="41">
        <v>2</v>
      </c>
      <c r="R1129" s="41" t="s">
        <v>16</v>
      </c>
      <c r="S1129" s="41" t="s">
        <v>17</v>
      </c>
      <c r="T1129" s="41" t="s">
        <v>639</v>
      </c>
      <c r="U1129" s="16" t="s">
        <v>13</v>
      </c>
      <c r="V1129" s="16" t="s">
        <v>215</v>
      </c>
      <c r="W1129" s="19" t="s"/>
      <c r="X1129" s="26" t="s">
        <f>=M1129&amp;N1129&amp;P1129&amp;Q1129&amp;T1129&amp;V1129&amp;S1129</f>
        <v>1240</v>
      </c>
      <c r="Y1129" s="19" t="s"/>
      <c r="Z1129" s="19" t="s"/>
      <c r="AA1129" s="19" t="s"/>
      <c r="AB1129" s="19" t="s"/>
    </row>
    <row r="1130" spans="1:28" ht="14.4">
      <c r="A1130" s="4">
        <f>=H1130/G1130-1</f>
        <v>0.0995475113122173</v>
      </c>
      <c r="B1130" s="20">
        <f>=F1130/12</f>
        <v>18.225</v>
      </c>
      <c r="C1130" s="20">
        <f>=J1130/3</f>
        <v>145.8</v>
      </c>
      <c r="D1130" s="20">
        <f>=K1130/3</f>
        <v>162</v>
      </c>
      <c r="E1130" s="20">
        <f>=L1130/3</f>
        <v>170.1</v>
      </c>
      <c r="F1130" s="20">
        <f>=H1130*0.9</f>
        <v>218.7</v>
      </c>
      <c r="G1130" s="21">
        <v>221</v>
      </c>
      <c r="H1130" s="39">
        <v>243</v>
      </c>
      <c r="I1130" s="40">
        <f>=H1130*1.05</f>
        <v>255.15</v>
      </c>
      <c r="J1130" s="40">
        <f>=F1130*2</f>
        <v>437.4</v>
      </c>
      <c r="K1130" s="40">
        <f>=H1130*2</f>
        <v>486</v>
      </c>
      <c r="L1130" s="40">
        <f>=I1130*2</f>
        <v>510.3</v>
      </c>
      <c r="M1130" s="41" t="s">
        <v>1217</v>
      </c>
      <c r="N1130" s="41">
        <v>0.089</v>
      </c>
      <c r="O1130" s="41" t="s"/>
      <c r="P1130" s="41">
        <v>1</v>
      </c>
      <c r="Q1130" s="41">
        <v>2</v>
      </c>
      <c r="R1130" s="41" t="s">
        <v>16</v>
      </c>
      <c r="S1130" s="41" t="s">
        <v>17</v>
      </c>
      <c r="T1130" s="41" t="s">
        <v>639</v>
      </c>
      <c r="U1130" s="16" t="s">
        <v>13</v>
      </c>
      <c r="V1130" s="16" t="s">
        <v>1083</v>
      </c>
      <c r="W1130" s="19" t="s"/>
      <c r="X1130" s="26" t="s">
        <f>=M1130&amp;N1130&amp;P1130&amp;Q1130&amp;T1130&amp;V1130&amp;S1130</f>
        <v>1241</v>
      </c>
      <c r="Y1130" s="19" t="s"/>
      <c r="Z1130" s="19" t="s"/>
      <c r="AA1130" s="19" t="s"/>
      <c r="AB1130" s="19" t="s"/>
    </row>
    <row r="1131" spans="1:28">
      <c r="A1131" s="4">
        <f>=H1131/G1131-1</f>
        <v>0.098901098901099</v>
      </c>
      <c r="B1131" s="20">
        <f>=F1131/12</f>
        <v>7.5</v>
      </c>
      <c r="C1131" s="20">
        <f>=J1131/3</f>
        <v>60</v>
      </c>
      <c r="D1131" s="20">
        <f>=K1131/3</f>
        <v>66.6666666666667</v>
      </c>
      <c r="E1131" s="20">
        <f>=L1131/3</f>
        <v>70</v>
      </c>
      <c r="F1131" s="20">
        <f>=H1131*0.9</f>
        <v>90</v>
      </c>
      <c r="G1131" s="21">
        <v>91</v>
      </c>
      <c r="H1131" s="39">
        <v>100</v>
      </c>
      <c r="I1131" s="40">
        <f>=H1131*1.05</f>
        <v>105</v>
      </c>
      <c r="J1131" s="40">
        <f>=F1131*2</f>
        <v>180</v>
      </c>
      <c r="K1131" s="40">
        <f>=H1131*2</f>
        <v>200</v>
      </c>
      <c r="L1131" s="40">
        <f>=I1131*2</f>
        <v>210</v>
      </c>
      <c r="M1131" s="41" t="s">
        <v>1217</v>
      </c>
      <c r="N1131" s="41">
        <v>0.089</v>
      </c>
      <c r="O1131" s="41" t="s"/>
      <c r="P1131" s="41" t="s">
        <v>21</v>
      </c>
      <c r="Q1131" s="41" t="s">
        <v>21</v>
      </c>
      <c r="R1131" s="41" t="s">
        <v>16</v>
      </c>
      <c r="S1131" s="41" t="s">
        <v>17</v>
      </c>
      <c r="T1131" s="41" t="s">
        <v>1236</v>
      </c>
      <c r="U1131" s="16" t="s">
        <v>13</v>
      </c>
      <c r="V1131" s="16" t="s">
        <v>1083</v>
      </c>
      <c r="W1131" s="19" t="s"/>
      <c r="X1131" s="26" t="s">
        <f>=M1131&amp;N1131&amp;P1131&amp;Q1131&amp;T1131&amp;V1131&amp;S1131</f>
        <v>1242</v>
      </c>
      <c r="Y1131" s="19" t="s"/>
      <c r="Z1131" s="19" t="s"/>
      <c r="AA1131" s="19" t="s"/>
      <c r="AB1131" s="19" t="s"/>
    </row>
    <row r="1132" spans="1:28" ht="14.4">
      <c r="A1132" s="4">
        <f>=H1132/G1132-1</f>
        <v>0.0991735537190082</v>
      </c>
      <c r="B1132" s="20">
        <f>=F1132/12</f>
        <v>9.975</v>
      </c>
      <c r="C1132" s="20">
        <f>=J1132/3</f>
        <v>79.8</v>
      </c>
      <c r="D1132" s="20">
        <f>=K1132/3</f>
        <v>88.6666666666667</v>
      </c>
      <c r="E1132" s="20">
        <f>=L1132/3</f>
        <v>93.1</v>
      </c>
      <c r="F1132" s="20">
        <f>=H1132*0.9</f>
        <v>119.7</v>
      </c>
      <c r="G1132" s="21">
        <v>121</v>
      </c>
      <c r="H1132" s="39">
        <v>133</v>
      </c>
      <c r="I1132" s="40">
        <f>=H1132*1.05</f>
        <v>139.65</v>
      </c>
      <c r="J1132" s="40">
        <f>=F1132*2</f>
        <v>239.4</v>
      </c>
      <c r="K1132" s="40">
        <f>=H1132*2</f>
        <v>266</v>
      </c>
      <c r="L1132" s="40">
        <f>=I1132*2</f>
        <v>279.3</v>
      </c>
      <c r="M1132" s="41" t="s">
        <v>1217</v>
      </c>
      <c r="N1132" s="41">
        <v>0.102</v>
      </c>
      <c r="O1132" s="41" t="s"/>
      <c r="P1132" s="41" t="s">
        <v>21</v>
      </c>
      <c r="Q1132" s="41" t="s">
        <v>21</v>
      </c>
      <c r="R1132" s="41" t="s">
        <v>16</v>
      </c>
      <c r="S1132" s="41" t="s">
        <v>17</v>
      </c>
      <c r="T1132" s="41" t="s">
        <v>27</v>
      </c>
      <c r="U1132" s="16" t="s">
        <v>13</v>
      </c>
      <c r="V1132" s="16" t="s">
        <v>1083</v>
      </c>
      <c r="W1132" s="19" t="s"/>
      <c r="X1132" s="26" t="s">
        <f>=M1132&amp;N1132&amp;P1132&amp;Q1132&amp;T1132&amp;V1132&amp;S1132</f>
        <v>1243</v>
      </c>
      <c r="Y1132" s="19" t="s"/>
      <c r="Z1132" s="19" t="s"/>
      <c r="AA1132" s="19" t="s"/>
      <c r="AB1132" s="19" t="s"/>
    </row>
    <row r="1133" spans="1:28" ht="14.4">
      <c r="A1133" s="4">
        <f>=H1133/G1133-1</f>
        <v>0.0984848484848484</v>
      </c>
      <c r="B1133" s="20">
        <f>=F1133/12</f>
        <v>10.875</v>
      </c>
      <c r="C1133" s="20">
        <f>=J1133/3</f>
        <v>87</v>
      </c>
      <c r="D1133" s="20">
        <f>=K1133/3</f>
        <v>96.6666666666667</v>
      </c>
      <c r="E1133" s="20">
        <f>=L1133/3</f>
        <v>101.5</v>
      </c>
      <c r="F1133" s="20">
        <f>=H1133*0.9</f>
        <v>130.5</v>
      </c>
      <c r="G1133" s="21">
        <v>132</v>
      </c>
      <c r="H1133" s="39">
        <v>145</v>
      </c>
      <c r="I1133" s="40">
        <f>=H1133*1.05</f>
        <v>152.25</v>
      </c>
      <c r="J1133" s="40">
        <f>=F1133*2</f>
        <v>261</v>
      </c>
      <c r="K1133" s="40">
        <f>=H1133*2</f>
        <v>290</v>
      </c>
      <c r="L1133" s="40">
        <f>=I1133*2</f>
        <v>304.5</v>
      </c>
      <c r="M1133" s="41" t="s">
        <v>1217</v>
      </c>
      <c r="N1133" s="41">
        <v>0.102</v>
      </c>
      <c r="O1133" s="41" t="s"/>
      <c r="P1133" s="41">
        <v>1</v>
      </c>
      <c r="Q1133" s="41">
        <v>1</v>
      </c>
      <c r="R1133" s="41" t="s">
        <v>16</v>
      </c>
      <c r="S1133" s="41" t="s">
        <v>17</v>
      </c>
      <c r="T1133" s="41" t="s">
        <v>23</v>
      </c>
      <c r="U1133" s="16" t="s">
        <v>13</v>
      </c>
      <c r="V1133" s="16" t="s">
        <v>1083</v>
      </c>
      <c r="W1133" s="19" t="s"/>
      <c r="X1133" s="26" t="s">
        <f>=M1133&amp;N1133&amp;P1133&amp;Q1133&amp;T1133&amp;V1133&amp;S1133</f>
        <v>1244</v>
      </c>
      <c r="Y1133" s="19" t="s"/>
      <c r="Z1133" s="19" t="s"/>
      <c r="AA1133" s="19" t="s"/>
      <c r="AB1133" s="19" t="s"/>
    </row>
    <row r="1134" spans="1:28" ht="14.4">
      <c r="A1134" s="4">
        <f>=H1134/G1134-1</f>
        <v>0.0990099009900991</v>
      </c>
      <c r="B1134" s="20">
        <f>=F1134/12</f>
        <v>8.325</v>
      </c>
      <c r="C1134" s="20">
        <f>=J1134/3</f>
        <v>66.6</v>
      </c>
      <c r="D1134" s="20">
        <f>=K1134/3</f>
        <v>74</v>
      </c>
      <c r="E1134" s="20">
        <f>=L1134/3</f>
        <v>77.7</v>
      </c>
      <c r="F1134" s="20">
        <f>=H1134*0.9</f>
        <v>99.9</v>
      </c>
      <c r="G1134" s="21">
        <v>101</v>
      </c>
      <c r="H1134" s="39">
        <v>111</v>
      </c>
      <c r="I1134" s="40">
        <f>=H1134*1.05</f>
        <v>116.55</v>
      </c>
      <c r="J1134" s="40">
        <f>=F1134*2</f>
        <v>199.8</v>
      </c>
      <c r="K1134" s="40">
        <f>=H1134*2</f>
        <v>222</v>
      </c>
      <c r="L1134" s="40">
        <f>=I1134*2</f>
        <v>233.1</v>
      </c>
      <c r="M1134" s="41" t="s">
        <v>1217</v>
      </c>
      <c r="N1134" s="41">
        <v>0.102</v>
      </c>
      <c r="O1134" s="41" t="s"/>
      <c r="P1134" s="41" t="s">
        <v>21</v>
      </c>
      <c r="Q1134" s="41" t="s">
        <v>21</v>
      </c>
      <c r="R1134" s="41" t="s">
        <v>16</v>
      </c>
      <c r="S1134" s="41" t="s">
        <v>17</v>
      </c>
      <c r="T1134" s="41" t="s">
        <v>639</v>
      </c>
      <c r="U1134" s="16" t="s">
        <v>13</v>
      </c>
      <c r="V1134" s="16" t="s">
        <v>215</v>
      </c>
      <c r="W1134" s="19" t="s"/>
      <c r="X1134" s="26" t="s">
        <f>=M1134&amp;N1134&amp;P1134&amp;Q1134&amp;T1134&amp;V1134&amp;S1134</f>
        <v>1245</v>
      </c>
      <c r="Y1134" s="19" t="s"/>
      <c r="Z1134" s="19" t="s"/>
      <c r="AA1134" s="19" t="s"/>
      <c r="AB1134" s="19" t="s"/>
    </row>
    <row r="1135" spans="1:28" ht="14.4">
      <c r="A1135" s="4">
        <f>=H1135/G1135-1</f>
        <v>0.1</v>
      </c>
      <c r="B1135" s="20">
        <f>=F1135/12</f>
        <v>11.55</v>
      </c>
      <c r="C1135" s="20">
        <f>=J1135/3</f>
        <v>92.4</v>
      </c>
      <c r="D1135" s="20">
        <f>=K1135/3</f>
        <v>102.666666666667</v>
      </c>
      <c r="E1135" s="20">
        <f>=L1135/3</f>
        <v>107.8</v>
      </c>
      <c r="F1135" s="20">
        <f>=H1135*0.9</f>
        <v>138.6</v>
      </c>
      <c r="G1135" s="21">
        <v>140</v>
      </c>
      <c r="H1135" s="39">
        <v>154</v>
      </c>
      <c r="I1135" s="40">
        <f>=H1135*1.05</f>
        <v>161.7</v>
      </c>
      <c r="J1135" s="40">
        <f>=F1135*2</f>
        <v>277.2</v>
      </c>
      <c r="K1135" s="40">
        <f>=H1135*2</f>
        <v>308</v>
      </c>
      <c r="L1135" s="40">
        <f>=I1135*2</f>
        <v>323.4</v>
      </c>
      <c r="M1135" s="41" t="s">
        <v>1217</v>
      </c>
      <c r="N1135" s="41">
        <v>0.102</v>
      </c>
      <c r="O1135" s="41" t="s"/>
      <c r="P1135" s="41">
        <v>1</v>
      </c>
      <c r="Q1135" s="41">
        <v>1</v>
      </c>
      <c r="R1135" s="41" t="s">
        <v>16</v>
      </c>
      <c r="S1135" s="41" t="s">
        <v>17</v>
      </c>
      <c r="T1135" s="41" t="s">
        <v>639</v>
      </c>
      <c r="U1135" s="16" t="s">
        <v>13</v>
      </c>
      <c r="V1135" s="16" t="s">
        <v>1083</v>
      </c>
      <c r="W1135" s="19" t="s"/>
      <c r="X1135" s="26" t="s">
        <f>=M1135&amp;N1135&amp;P1135&amp;Q1135&amp;T1135&amp;V1135&amp;S1135</f>
        <v>1246</v>
      </c>
      <c r="Y1135" s="19" t="s"/>
      <c r="Z1135" s="19" t="s"/>
      <c r="AA1135" s="19" t="s"/>
      <c r="AB1135" s="19" t="s"/>
    </row>
    <row r="1136" spans="1:28" ht="14.4">
      <c r="A1136" s="4">
        <f>=H1136/G1136-1</f>
        <v>0.1</v>
      </c>
      <c r="B1136" s="20">
        <f>=F1136/12</f>
        <v>10.725</v>
      </c>
      <c r="C1136" s="20">
        <f>=J1136/3</f>
        <v>85.8</v>
      </c>
      <c r="D1136" s="20">
        <f>=K1136/3</f>
        <v>95.3333333333333</v>
      </c>
      <c r="E1136" s="20">
        <f>=L1136/3</f>
        <v>100.1</v>
      </c>
      <c r="F1136" s="20">
        <f>=H1136*0.9</f>
        <v>128.7</v>
      </c>
      <c r="G1136" s="21">
        <v>130</v>
      </c>
      <c r="H1136" s="39">
        <v>143</v>
      </c>
      <c r="I1136" s="40">
        <f>=H1136*1.05</f>
        <v>150.15</v>
      </c>
      <c r="J1136" s="40">
        <f>=F1136*2</f>
        <v>257.4</v>
      </c>
      <c r="K1136" s="40">
        <f>=H1136*2</f>
        <v>286</v>
      </c>
      <c r="L1136" s="40">
        <f>=I1136*2</f>
        <v>300.3</v>
      </c>
      <c r="M1136" s="41" t="s">
        <v>1217</v>
      </c>
      <c r="N1136" s="41">
        <v>0.102</v>
      </c>
      <c r="O1136" s="41" t="s"/>
      <c r="P1136" s="41" t="s">
        <v>21</v>
      </c>
      <c r="Q1136" s="41" t="s">
        <v>21</v>
      </c>
      <c r="R1136" s="41" t="s">
        <v>16</v>
      </c>
      <c r="S1136" s="41" t="s">
        <v>17</v>
      </c>
      <c r="T1136" s="41" t="s">
        <v>654</v>
      </c>
      <c r="U1136" s="16" t="s">
        <v>13</v>
      </c>
      <c r="V1136" s="16" t="s">
        <v>215</v>
      </c>
      <c r="W1136" s="19" t="s"/>
      <c r="X1136" s="26" t="s">
        <f>=M1136&amp;N1136&amp;P1136&amp;Q1136&amp;T1136&amp;V1136&amp;S1136</f>
        <v>1247</v>
      </c>
      <c r="Y1136" s="19" t="s"/>
      <c r="Z1136" s="19" t="s"/>
      <c r="AA1136" s="19" t="s"/>
      <c r="AB1136" s="19" t="s"/>
    </row>
    <row r="1137" spans="1:28" ht="14.4">
      <c r="A1137" s="4">
        <f>=H1137/G1137-1</f>
        <v>0.1</v>
      </c>
      <c r="B1137" s="20">
        <f>=F1137/12</f>
        <v>12.375</v>
      </c>
      <c r="C1137" s="20">
        <f>=J1137/3</f>
        <v>99</v>
      </c>
      <c r="D1137" s="20">
        <f>=K1137/3</f>
        <v>110</v>
      </c>
      <c r="E1137" s="20">
        <f>=L1137/3</f>
        <v>115.5</v>
      </c>
      <c r="F1137" s="20">
        <f>=H1137*0.9</f>
        <v>148.5</v>
      </c>
      <c r="G1137" s="21">
        <v>150</v>
      </c>
      <c r="H1137" s="39">
        <v>165</v>
      </c>
      <c r="I1137" s="40">
        <f>=H1137*1.05</f>
        <v>173.25</v>
      </c>
      <c r="J1137" s="40">
        <f>=F1137*2</f>
        <v>297</v>
      </c>
      <c r="K1137" s="40">
        <f>=H1137*2</f>
        <v>330</v>
      </c>
      <c r="L1137" s="40">
        <f>=I1137*2</f>
        <v>346.5</v>
      </c>
      <c r="M1137" s="41" t="s">
        <v>1217</v>
      </c>
      <c r="N1137" s="41">
        <v>0.102</v>
      </c>
      <c r="O1137" s="41" t="s"/>
      <c r="P1137" s="41">
        <v>1</v>
      </c>
      <c r="Q1137" s="41">
        <v>1</v>
      </c>
      <c r="R1137" s="41" t="s">
        <v>16</v>
      </c>
      <c r="S1137" s="41" t="s">
        <v>17</v>
      </c>
      <c r="T1137" s="41" t="s">
        <v>654</v>
      </c>
      <c r="U1137" s="16" t="s">
        <v>13</v>
      </c>
      <c r="V1137" s="16" t="s">
        <v>1083</v>
      </c>
      <c r="W1137" s="19" t="s"/>
      <c r="X1137" s="26" t="s">
        <f>=M1137&amp;N1137&amp;P1137&amp;Q1137&amp;T1137&amp;V1137&amp;S1137</f>
        <v>1248</v>
      </c>
      <c r="Y1137" s="19" t="s"/>
      <c r="Z1137" s="19" t="s"/>
      <c r="AA1137" s="19" t="s"/>
      <c r="AB1137" s="19" t="s"/>
    </row>
    <row r="1138" spans="1:28" ht="14.4">
      <c r="A1138" s="4">
        <f>=H1138/G1138-1</f>
        <v>0.0985915492957748</v>
      </c>
      <c r="B1138" s="20">
        <f>=F1138/12</f>
        <v>11.7</v>
      </c>
      <c r="C1138" s="20">
        <f>=J1138/3</f>
        <v>93.6</v>
      </c>
      <c r="D1138" s="20">
        <f>=K1138/3</f>
        <v>104</v>
      </c>
      <c r="E1138" s="20">
        <f>=L1138/3</f>
        <v>109.2</v>
      </c>
      <c r="F1138" s="20">
        <f>=H1138*0.9</f>
        <v>140.4</v>
      </c>
      <c r="G1138" s="21">
        <v>142</v>
      </c>
      <c r="H1138" s="39">
        <v>156</v>
      </c>
      <c r="I1138" s="40">
        <f>=H1138*1.05</f>
        <v>163.8</v>
      </c>
      <c r="J1138" s="40">
        <f>=F1138*2</f>
        <v>280.8</v>
      </c>
      <c r="K1138" s="40">
        <f>=H1138*2</f>
        <v>312</v>
      </c>
      <c r="L1138" s="40">
        <f>=I1138*2</f>
        <v>327.6</v>
      </c>
      <c r="M1138" s="41" t="s">
        <v>1217</v>
      </c>
      <c r="N1138" s="41">
        <v>0.102</v>
      </c>
      <c r="O1138" s="41" t="s"/>
      <c r="P1138" s="41">
        <v>1</v>
      </c>
      <c r="Q1138" s="41">
        <v>1</v>
      </c>
      <c r="R1138" s="41" t="s">
        <v>16</v>
      </c>
      <c r="S1138" s="41" t="s">
        <v>17</v>
      </c>
      <c r="T1138" s="41" t="s">
        <v>624</v>
      </c>
      <c r="U1138" s="16" t="s">
        <v>13</v>
      </c>
      <c r="V1138" s="16" t="s">
        <v>1083</v>
      </c>
      <c r="W1138" s="19" t="s"/>
      <c r="X1138" s="26" t="s">
        <f>=M1138&amp;N1138&amp;P1138&amp;Q1138&amp;T1138&amp;V1138&amp;S1138</f>
        <v>1249</v>
      </c>
      <c r="Y1138" s="19" t="s"/>
      <c r="Z1138" s="19" t="s"/>
      <c r="AA1138" s="19" t="s"/>
      <c r="AB1138" s="19" t="s"/>
    </row>
    <row r="1139" spans="1:28" ht="14.4">
      <c r="A1139" s="4">
        <f>=H1139/G1139-1</f>
        <v>0.0985915492957748</v>
      </c>
      <c r="B1139" s="20">
        <f>=F1139/12</f>
        <v>17.55</v>
      </c>
      <c r="C1139" s="20">
        <f>=J1139/3</f>
        <v>140.4</v>
      </c>
      <c r="D1139" s="20">
        <f>=K1139/3</f>
        <v>156</v>
      </c>
      <c r="E1139" s="20">
        <f>=L1139/3</f>
        <v>163.8</v>
      </c>
      <c r="F1139" s="20">
        <f>=H1139*0.9</f>
        <v>210.6</v>
      </c>
      <c r="G1139" s="21">
        <v>213</v>
      </c>
      <c r="H1139" s="39">
        <v>234</v>
      </c>
      <c r="I1139" s="40">
        <f>=H1139*1.05</f>
        <v>245.7</v>
      </c>
      <c r="J1139" s="40">
        <f>=F1139*2</f>
        <v>421.2</v>
      </c>
      <c r="K1139" s="40">
        <f>=H1139*2</f>
        <v>468</v>
      </c>
      <c r="L1139" s="40">
        <f>=I1139*2</f>
        <v>491.4</v>
      </c>
      <c r="M1139" s="41" t="s">
        <v>1217</v>
      </c>
      <c r="N1139" s="41">
        <v>0.102</v>
      </c>
      <c r="O1139" s="41" t="s"/>
      <c r="P1139" s="41">
        <v>1</v>
      </c>
      <c r="Q1139" s="41">
        <v>2</v>
      </c>
      <c r="R1139" s="41" t="s">
        <v>16</v>
      </c>
      <c r="S1139" s="41" t="s">
        <v>17</v>
      </c>
      <c r="T1139" s="41" t="s">
        <v>654</v>
      </c>
      <c r="U1139" s="16" t="s">
        <v>13</v>
      </c>
      <c r="V1139" s="16" t="s">
        <v>215</v>
      </c>
      <c r="W1139" s="19" t="s"/>
      <c r="X1139" s="26" t="s">
        <f>=M1139&amp;N1139&amp;P1139&amp;Q1139&amp;T1139&amp;V1139&amp;S1139</f>
        <v>1250</v>
      </c>
      <c r="Y1139" s="19" t="s"/>
      <c r="Z1139" s="19" t="s"/>
      <c r="AA1139" s="19" t="s"/>
      <c r="AB1139" s="19" t="s"/>
    </row>
    <row r="1140" spans="1:28" ht="14.4">
      <c r="A1140" s="4">
        <f>=H1140/G1140-1</f>
        <v>0.100478468899522</v>
      </c>
      <c r="B1140" s="20">
        <f>=F1140/12</f>
        <v>17.25</v>
      </c>
      <c r="C1140" s="20">
        <f>=J1140/3</f>
        <v>138</v>
      </c>
      <c r="D1140" s="20">
        <f>=K1140/3</f>
        <v>153.333333333333</v>
      </c>
      <c r="E1140" s="20">
        <f>=L1140/3</f>
        <v>161</v>
      </c>
      <c r="F1140" s="20">
        <f>=H1140*0.9</f>
        <v>207</v>
      </c>
      <c r="G1140" s="21">
        <v>209</v>
      </c>
      <c r="H1140" s="39">
        <v>230</v>
      </c>
      <c r="I1140" s="40">
        <f>=H1140*1.05</f>
        <v>241.5</v>
      </c>
      <c r="J1140" s="40">
        <f>=F1140*2</f>
        <v>414</v>
      </c>
      <c r="K1140" s="40">
        <f>=H1140*2</f>
        <v>460</v>
      </c>
      <c r="L1140" s="40">
        <f>=I1140*2</f>
        <v>483</v>
      </c>
      <c r="M1140" s="41" t="s">
        <v>1217</v>
      </c>
      <c r="N1140" s="41">
        <v>0.102</v>
      </c>
      <c r="O1140" s="41" t="s"/>
      <c r="P1140" s="41">
        <v>1</v>
      </c>
      <c r="Q1140" s="41">
        <v>2</v>
      </c>
      <c r="R1140" s="41" t="s">
        <v>16</v>
      </c>
      <c r="S1140" s="41" t="s">
        <v>17</v>
      </c>
      <c r="T1140" s="41" t="s">
        <v>639</v>
      </c>
      <c r="U1140" s="16" t="s">
        <v>13</v>
      </c>
      <c r="V1140" s="16" t="s">
        <v>215</v>
      </c>
      <c r="W1140" s="19" t="s"/>
      <c r="X1140" s="26" t="s">
        <f>=M1140&amp;N1140&amp;P1140&amp;Q1140&amp;T1140&amp;V1140&amp;S1140</f>
        <v>1251</v>
      </c>
      <c r="Y1140" s="19" t="s"/>
      <c r="Z1140" s="19" t="s"/>
      <c r="AA1140" s="19" t="s"/>
      <c r="AB1140" s="19" t="s"/>
    </row>
    <row r="1141" spans="1:28" ht="14.4">
      <c r="A1141" s="4" t="e">
        <f>=H1141/G1141-1</f>
        <v>#DIV/0!</v>
      </c>
      <c r="B1141" s="20">
        <f>=F1141/12</f>
        <v>11.4</v>
      </c>
      <c r="C1141" s="20">
        <f>=J1141/3</f>
        <v>91.2</v>
      </c>
      <c r="D1141" s="20">
        <f>=K1141/3</f>
        <v>101.333333333333</v>
      </c>
      <c r="E1141" s="20">
        <f>=L1141/3</f>
        <v>106.4</v>
      </c>
      <c r="F1141" s="20">
        <f>=H1141*0.9</f>
        <v>136.8</v>
      </c>
      <c r="G1141" s="21" t="s"/>
      <c r="H1141" s="39">
        <v>152</v>
      </c>
      <c r="I1141" s="40">
        <f>=H1141*1.05</f>
        <v>159.6</v>
      </c>
      <c r="J1141" s="40">
        <f>=F1141*2</f>
        <v>273.6</v>
      </c>
      <c r="K1141" s="40">
        <f>=H1141*2</f>
        <v>304</v>
      </c>
      <c r="L1141" s="40">
        <f>=I1141*2</f>
        <v>319.2</v>
      </c>
      <c r="M1141" s="41" t="s">
        <v>1217</v>
      </c>
      <c r="N1141" s="41">
        <v>0.102</v>
      </c>
      <c r="O1141" s="41" t="s"/>
      <c r="P1141" s="41" t="s">
        <v>21</v>
      </c>
      <c r="Q1141" s="41">
        <v>1</v>
      </c>
      <c r="R1141" s="41" t="s">
        <v>16</v>
      </c>
      <c r="S1141" s="41" t="s">
        <v>17</v>
      </c>
      <c r="T1141" s="41" t="s">
        <v>27</v>
      </c>
      <c r="U1141" s="16" t="s">
        <v>13</v>
      </c>
      <c r="V1141" s="16" t="s">
        <v>1083</v>
      </c>
      <c r="W1141" s="19" t="s"/>
      <c r="X1141" s="26" t="s">
        <f>=M1141&amp;N1141&amp;P1141&amp;Q1141&amp;T1141&amp;V1141&amp;S1141</f>
        <v>1252</v>
      </c>
      <c r="Y1141" s="19" t="s"/>
      <c r="Z1141" s="19" t="s"/>
      <c r="AA1141" s="19" t="s"/>
      <c r="AB1141" s="19" t="s"/>
    </row>
    <row r="1142" spans="1:28" ht="14.4">
      <c r="A1142" s="4">
        <f>=H1142/G1142-1</f>
        <v>0.0995670995670997</v>
      </c>
      <c r="B1142" s="20">
        <f>=F1142/12</f>
        <v>19.05</v>
      </c>
      <c r="C1142" s="20">
        <f>=J1142/3</f>
        <v>152.4</v>
      </c>
      <c r="D1142" s="20">
        <f>=K1142/3</f>
        <v>169.333333333333</v>
      </c>
      <c r="E1142" s="20">
        <f>=L1142/3</f>
        <v>177.8</v>
      </c>
      <c r="F1142" s="20">
        <f>=H1142*0.9</f>
        <v>228.6</v>
      </c>
      <c r="G1142" s="21">
        <v>231</v>
      </c>
      <c r="H1142" s="39">
        <v>254</v>
      </c>
      <c r="I1142" s="40">
        <f>=H1142*1.05</f>
        <v>266.7</v>
      </c>
      <c r="J1142" s="40">
        <f>=F1142*2</f>
        <v>457.2</v>
      </c>
      <c r="K1142" s="40">
        <f>=H1142*2</f>
        <v>508</v>
      </c>
      <c r="L1142" s="40">
        <f>=I1142*2</f>
        <v>533.4</v>
      </c>
      <c r="M1142" s="41" t="s">
        <v>1217</v>
      </c>
      <c r="N1142" s="41">
        <v>0.102</v>
      </c>
      <c r="O1142" s="41" t="s"/>
      <c r="P1142" s="41">
        <v>2</v>
      </c>
      <c r="Q1142" s="41">
        <v>2</v>
      </c>
      <c r="R1142" s="41" t="s">
        <v>16</v>
      </c>
      <c r="S1142" s="41" t="s">
        <v>17</v>
      </c>
      <c r="T1142" s="41" t="s">
        <v>27</v>
      </c>
      <c r="U1142" s="16" t="s">
        <v>13</v>
      </c>
      <c r="V1142" s="16" t="s">
        <v>215</v>
      </c>
      <c r="W1142" s="19" t="s"/>
      <c r="X1142" s="26" t="s">
        <f>=M1142&amp;N1142&amp;P1142&amp;Q1142&amp;T1142&amp;V1142&amp;S1142</f>
        <v>1253</v>
      </c>
      <c r="Y1142" s="19" t="s"/>
      <c r="Z1142" s="19" t="s"/>
      <c r="AA1142" s="19" t="s"/>
      <c r="AB1142" s="19" t="s"/>
    </row>
    <row r="1143" spans="1:28" ht="14.4">
      <c r="A1143" s="4">
        <f>=H1143/G1143-1</f>
        <v>0.1</v>
      </c>
      <c r="B1143" s="20">
        <f>=F1143/12</f>
        <v>11.55</v>
      </c>
      <c r="C1143" s="20">
        <f>=J1143/3</f>
        <v>92.4</v>
      </c>
      <c r="D1143" s="20">
        <f>=K1143/3</f>
        <v>102.666666666667</v>
      </c>
      <c r="E1143" s="20">
        <f>=L1143/3</f>
        <v>107.8</v>
      </c>
      <c r="F1143" s="20">
        <f>=H1143*0.9</f>
        <v>138.6</v>
      </c>
      <c r="G1143" s="21">
        <v>140</v>
      </c>
      <c r="H1143" s="39">
        <v>154</v>
      </c>
      <c r="I1143" s="40">
        <f>=H1143*1.05</f>
        <v>161.7</v>
      </c>
      <c r="J1143" s="40">
        <f>=F1143*2</f>
        <v>277.2</v>
      </c>
      <c r="K1143" s="40">
        <f>=H1143*2</f>
        <v>308</v>
      </c>
      <c r="L1143" s="40">
        <f>=I1143*2</f>
        <v>323.4</v>
      </c>
      <c r="M1143" s="41" t="s">
        <v>1217</v>
      </c>
      <c r="N1143" s="41">
        <v>0.114</v>
      </c>
      <c r="O1143" s="41" t="s"/>
      <c r="P1143" s="41">
        <v>1</v>
      </c>
      <c r="Q1143" s="41">
        <v>1</v>
      </c>
      <c r="R1143" s="41" t="s">
        <v>16</v>
      </c>
      <c r="S1143" s="41" t="s">
        <v>17</v>
      </c>
      <c r="T1143" s="41" t="s">
        <v>639</v>
      </c>
      <c r="U1143" s="16" t="s">
        <v>13</v>
      </c>
      <c r="V1143" s="16" t="s">
        <v>1083</v>
      </c>
      <c r="W1143" s="19" t="s"/>
      <c r="X1143" s="26" t="s">
        <f>=M1143&amp;N1143&amp;P1143&amp;Q1143&amp;T1143&amp;V1143&amp;S1143</f>
        <v>1254</v>
      </c>
      <c r="Y1143" s="19" t="s"/>
      <c r="Z1143" s="19" t="s"/>
      <c r="AA1143" s="19" t="s"/>
      <c r="AB1143" s="19" t="s"/>
    </row>
    <row r="1144" spans="1:28" ht="14.4">
      <c r="A1144" s="4">
        <f>=H1144/G1144-1</f>
        <v>0.100671140939597</v>
      </c>
      <c r="B1144" s="20">
        <f>=F1144/12</f>
        <v>12.3</v>
      </c>
      <c r="C1144" s="20">
        <f>=J1144/3</f>
        <v>98.4</v>
      </c>
      <c r="D1144" s="20">
        <f>=K1144/3</f>
        <v>109.333333333333</v>
      </c>
      <c r="E1144" s="20">
        <f>=L1144/3</f>
        <v>114.8</v>
      </c>
      <c r="F1144" s="20">
        <f>=H1144*0.9</f>
        <v>147.6</v>
      </c>
      <c r="G1144" s="21">
        <v>149</v>
      </c>
      <c r="H1144" s="39">
        <v>164</v>
      </c>
      <c r="I1144" s="40">
        <f>=H1144*1.05</f>
        <v>172.2</v>
      </c>
      <c r="J1144" s="40">
        <f>=F1144*2</f>
        <v>295.2</v>
      </c>
      <c r="K1144" s="40">
        <f>=H1144*2</f>
        <v>328</v>
      </c>
      <c r="L1144" s="40">
        <f>=I1144*2</f>
        <v>344.4</v>
      </c>
      <c r="M1144" s="41" t="s">
        <v>1217</v>
      </c>
      <c r="N1144" s="41">
        <v>0.114</v>
      </c>
      <c r="O1144" s="41" t="s"/>
      <c r="P1144" s="41" t="s">
        <v>21</v>
      </c>
      <c r="Q1144" s="41">
        <v>1</v>
      </c>
      <c r="R1144" s="41" t="s">
        <v>16</v>
      </c>
      <c r="S1144" s="41" t="s">
        <v>17</v>
      </c>
      <c r="T1144" s="41" t="s">
        <v>654</v>
      </c>
      <c r="U1144" s="16" t="s">
        <v>13</v>
      </c>
      <c r="V1144" s="16" t="s">
        <v>1083</v>
      </c>
      <c r="W1144" s="19" t="s"/>
      <c r="X1144" s="26" t="s">
        <f>=M1144&amp;N1144&amp;P1144&amp;Q1144&amp;T1144&amp;V1144&amp;S1144</f>
        <v>1255</v>
      </c>
      <c r="Y1144" s="56" t="s"/>
      <c r="Z1144" s="56" t="s"/>
      <c r="AA1144" s="56" t="s"/>
      <c r="AB1144" s="56" t="s"/>
    </row>
    <row r="1145" spans="1:28" ht="14.4">
      <c r="A1145" s="4">
        <f>=H1145/G1145-1</f>
        <v>0.100671140939597</v>
      </c>
      <c r="B1145" s="20">
        <f>=F1145/12</f>
        <v>12.3</v>
      </c>
      <c r="C1145" s="20">
        <f>=J1145/3</f>
        <v>98.4</v>
      </c>
      <c r="D1145" s="20">
        <f>=K1145/3</f>
        <v>109.333333333333</v>
      </c>
      <c r="E1145" s="20">
        <f>=L1145/3</f>
        <v>114.8</v>
      </c>
      <c r="F1145" s="20">
        <f>=H1145*0.9</f>
        <v>147.6</v>
      </c>
      <c r="G1145" s="21">
        <v>149</v>
      </c>
      <c r="H1145" s="39">
        <v>164</v>
      </c>
      <c r="I1145" s="40">
        <f>=H1145*1.05</f>
        <v>172.2</v>
      </c>
      <c r="J1145" s="40">
        <f>=F1145*2</f>
        <v>295.2</v>
      </c>
      <c r="K1145" s="40">
        <f>=H1145*2</f>
        <v>328</v>
      </c>
      <c r="L1145" s="40">
        <f>=I1145*2</f>
        <v>344.4</v>
      </c>
      <c r="M1145" s="41" t="s">
        <v>1217</v>
      </c>
      <c r="N1145" s="41">
        <v>0.114</v>
      </c>
      <c r="O1145" s="41" t="s"/>
      <c r="P1145" s="41">
        <v>1</v>
      </c>
      <c r="Q1145" s="41">
        <v>1</v>
      </c>
      <c r="R1145" s="41" t="s">
        <v>16</v>
      </c>
      <c r="S1145" s="41" t="s">
        <v>17</v>
      </c>
      <c r="T1145" s="41" t="s">
        <v>654</v>
      </c>
      <c r="U1145" s="16" t="s">
        <v>13</v>
      </c>
      <c r="V1145" s="16" t="s">
        <v>1083</v>
      </c>
      <c r="W1145" s="19" t="s"/>
      <c r="X1145" s="26" t="s">
        <f>=M1145&amp;N1145&amp;P1145&amp;Q1145&amp;T1145&amp;V1145&amp;S1145</f>
        <v>1256</v>
      </c>
      <c r="Y1145" s="56" t="s"/>
      <c r="Z1145" s="56" t="s"/>
      <c r="AA1145" s="56" t="s"/>
      <c r="AB1145" s="56" t="s"/>
    </row>
    <row r="1146" spans="1:28" ht="14.4">
      <c r="A1146" s="4">
        <f>=H1146/G1146-1</f>
        <v>0.099056603773585</v>
      </c>
      <c r="B1146" s="20">
        <f>=F1146/12</f>
        <v>17.475</v>
      </c>
      <c r="C1146" s="20">
        <f>=J1146/3</f>
        <v>139.8</v>
      </c>
      <c r="D1146" s="20">
        <f>=K1146/3</f>
        <v>155.333333333333</v>
      </c>
      <c r="E1146" s="20">
        <f>=L1146/3</f>
        <v>163.1</v>
      </c>
      <c r="F1146" s="20">
        <f>=H1146*0.9</f>
        <v>209.7</v>
      </c>
      <c r="G1146" s="21">
        <v>212</v>
      </c>
      <c r="H1146" s="39">
        <v>233</v>
      </c>
      <c r="I1146" s="40">
        <f>=H1146*1.05</f>
        <v>244.65</v>
      </c>
      <c r="J1146" s="40">
        <f>=F1146*2</f>
        <v>419.4</v>
      </c>
      <c r="K1146" s="40">
        <f>=H1146*2</f>
        <v>466</v>
      </c>
      <c r="L1146" s="40">
        <f>=I1146*2</f>
        <v>489.3</v>
      </c>
      <c r="M1146" s="41" t="s">
        <v>1217</v>
      </c>
      <c r="N1146" s="41">
        <v>0.127</v>
      </c>
      <c r="O1146" s="41" t="s"/>
      <c r="P1146" s="41">
        <v>1</v>
      </c>
      <c r="Q1146" s="41">
        <v>2</v>
      </c>
      <c r="R1146" s="41" t="s">
        <v>16</v>
      </c>
      <c r="S1146" s="41" t="s">
        <v>17</v>
      </c>
      <c r="T1146" s="41" t="s">
        <v>23</v>
      </c>
      <c r="U1146" s="16" t="s">
        <v>13</v>
      </c>
      <c r="V1146" s="16" t="s">
        <v>215</v>
      </c>
      <c r="W1146" s="56" t="s"/>
      <c r="X1146" s="26" t="s">
        <f>=M1146&amp;N1146&amp;P1146&amp;Q1146&amp;T1146&amp;V1146&amp;S1146</f>
        <v>1257</v>
      </c>
      <c r="Y1146" s="56" t="s"/>
      <c r="Z1146" s="56" t="s"/>
      <c r="AA1146" s="56" t="s"/>
      <c r="AB1146" s="56" t="s"/>
    </row>
    <row r="1147" spans="1:29" ht="14.4">
      <c r="A1147" s="47">
        <v>46174</v>
      </c>
      <c r="B1147" s="43">
        <f>=F1147/12</f>
        <v>12</v>
      </c>
      <c r="C1147" s="43">
        <f>=J1147/3</f>
        <v>96</v>
      </c>
      <c r="D1147" s="43">
        <f>=K1147/3</f>
        <v>106.666666666667</v>
      </c>
      <c r="E1147" s="43">
        <f>=L1147/3</f>
        <v>112</v>
      </c>
      <c r="F1147" s="43">
        <f>=H1147*0.9</f>
        <v>144</v>
      </c>
      <c r="G1147" s="27">
        <v>168</v>
      </c>
      <c r="H1147" s="44">
        <v>160</v>
      </c>
      <c r="I1147" s="45">
        <f>=H1147*1.05</f>
        <v>168</v>
      </c>
      <c r="J1147" s="45">
        <f>=F1147*2</f>
        <v>288</v>
      </c>
      <c r="K1147" s="45">
        <f>=H1147*2</f>
        <v>320</v>
      </c>
      <c r="L1147" s="45">
        <f>=I1147*2</f>
        <v>336</v>
      </c>
      <c r="M1147" s="46" t="s">
        <v>1217</v>
      </c>
      <c r="N1147" s="46">
        <v>0.127</v>
      </c>
      <c r="O1147" s="46" t="s"/>
      <c r="P1147" s="12" t="s">
        <v>21</v>
      </c>
      <c r="Q1147" s="12" t="s">
        <v>21</v>
      </c>
      <c r="R1147" s="46" t="s">
        <v>16</v>
      </c>
      <c r="S1147" s="46" t="s">
        <v>17</v>
      </c>
      <c r="T1147" s="46" t="s">
        <v>1080</v>
      </c>
      <c r="U1147" s="13" t="s">
        <v>13</v>
      </c>
      <c r="V1147" s="11" t="s">
        <v>1083</v>
      </c>
      <c r="W1147" s="128" t="s"/>
      <c r="X1147" s="18" t="s">
        <f>=M1147&amp;N1147&amp;P1147&amp;Q1147&amp;T1147&amp;V1147&amp;S1147</f>
        <v>1258</v>
      </c>
      <c r="Y1147" s="128" t="s"/>
      <c r="Z1147" s="128" t="s"/>
      <c r="AA1147" s="128" t="s"/>
      <c r="AB1147" s="128" t="s"/>
      <c r="AC1147" s="48" t="s"/>
    </row>
    <row r="1148" spans="1:29" ht="14.4">
      <c r="A1148" s="49">
        <v>46174</v>
      </c>
      <c r="B1148" s="43">
        <f>=F1148/12</f>
        <v>17.7</v>
      </c>
      <c r="C1148" s="43">
        <f>=J1148/3</f>
        <v>141.6</v>
      </c>
      <c r="D1148" s="43">
        <f>=K1148/3</f>
        <v>157.333333333333</v>
      </c>
      <c r="E1148" s="43">
        <f>=L1148/3</f>
        <v>165.2</v>
      </c>
      <c r="F1148" s="43">
        <f>=H1148*0.9</f>
        <v>212.4</v>
      </c>
      <c r="G1148" s="27">
        <v>168</v>
      </c>
      <c r="H1148" s="44">
        <v>236</v>
      </c>
      <c r="I1148" s="45">
        <f>=H1148*1.05</f>
        <v>247.8</v>
      </c>
      <c r="J1148" s="45">
        <f>=F1148*2</f>
        <v>424.8</v>
      </c>
      <c r="K1148" s="45">
        <f>=H1148*2</f>
        <v>472</v>
      </c>
      <c r="L1148" s="45">
        <f>=I1148*2</f>
        <v>495.6</v>
      </c>
      <c r="M1148" s="46" t="s">
        <v>1217</v>
      </c>
      <c r="N1148" s="46">
        <v>0.127</v>
      </c>
      <c r="O1148" s="46" t="s"/>
      <c r="P1148" s="12" t="s">
        <v>21</v>
      </c>
      <c r="Q1148" s="12">
        <v>2</v>
      </c>
      <c r="R1148" s="46" t="s">
        <v>16</v>
      </c>
      <c r="S1148" s="46" t="s">
        <v>17</v>
      </c>
      <c r="T1148" s="46" t="s">
        <v>1080</v>
      </c>
      <c r="U1148" s="13" t="s">
        <v>13</v>
      </c>
      <c r="V1148" s="11" t="s">
        <v>1119</v>
      </c>
      <c r="W1148" s="128" t="s"/>
      <c r="X1148" s="18" t="s">
        <f>=M1148&amp;N1148&amp;P1148&amp;Q1148&amp;T1148&amp;V1148&amp;S1148</f>
        <v>1259</v>
      </c>
      <c r="Y1148" s="128" t="s"/>
      <c r="Z1148" s="128" t="s"/>
      <c r="AA1148" s="128" t="s"/>
      <c r="AB1148" s="128" t="s"/>
      <c r="AC1148" s="48" t="s"/>
    </row>
    <row r="1149" spans="1:28" ht="14.4">
      <c r="A1149" s="4">
        <f>=H1149/G1149-1</f>
        <v>0.101190476190476</v>
      </c>
      <c r="B1149" s="20">
        <f>=F1149/12</f>
        <v>13.875</v>
      </c>
      <c r="C1149" s="20">
        <f>=J1149/3</f>
        <v>111</v>
      </c>
      <c r="D1149" s="20">
        <f>=K1149/3</f>
        <v>123.333333333333</v>
      </c>
      <c r="E1149" s="20">
        <f>=L1149/3</f>
        <v>129.5</v>
      </c>
      <c r="F1149" s="20">
        <f>=H1149*0.9</f>
        <v>166.5</v>
      </c>
      <c r="G1149" s="21">
        <v>168</v>
      </c>
      <c r="H1149" s="39">
        <v>185</v>
      </c>
      <c r="I1149" s="40">
        <f>=H1149*1.05</f>
        <v>194.25</v>
      </c>
      <c r="J1149" s="40">
        <f>=F1149*2</f>
        <v>333</v>
      </c>
      <c r="K1149" s="40">
        <f>=H1149*2</f>
        <v>370</v>
      </c>
      <c r="L1149" s="40">
        <f>=I1149*2</f>
        <v>388.5</v>
      </c>
      <c r="M1149" s="41" t="s">
        <v>1217</v>
      </c>
      <c r="N1149" s="41">
        <v>0.127</v>
      </c>
      <c r="O1149" s="41" t="s"/>
      <c r="P1149" s="41">
        <v>1</v>
      </c>
      <c r="Q1149" s="41">
        <v>1</v>
      </c>
      <c r="R1149" s="41" t="s">
        <v>16</v>
      </c>
      <c r="S1149" s="41" t="s">
        <v>17</v>
      </c>
      <c r="T1149" s="41" t="s">
        <v>1080</v>
      </c>
      <c r="U1149" s="16" t="s">
        <v>13</v>
      </c>
      <c r="V1149" s="16" t="s">
        <v>1083</v>
      </c>
      <c r="W1149" s="56" t="s"/>
      <c r="X1149" s="26" t="s">
        <f>=M1149&amp;N1149&amp;P1149&amp;Q1149&amp;T1149&amp;V1149&amp;S1149</f>
        <v>1260</v>
      </c>
      <c r="Y1149" s="56" t="s"/>
      <c r="Z1149" s="56" t="s"/>
      <c r="AA1149" s="56" t="s"/>
      <c r="AB1149" s="56" t="s"/>
    </row>
    <row r="1150" spans="1:28" ht="14.4">
      <c r="A1150" s="4">
        <f>=H1150/G1150-1</f>
        <v>0.102564102564103</v>
      </c>
      <c r="B1150" s="20">
        <f>=F1150/12</f>
        <v>12.9</v>
      </c>
      <c r="C1150" s="20">
        <f>=J1150/3</f>
        <v>103.2</v>
      </c>
      <c r="D1150" s="20">
        <f>=K1150/3</f>
        <v>114.666666666667</v>
      </c>
      <c r="E1150" s="20">
        <f>=L1150/3</f>
        <v>120.4</v>
      </c>
      <c r="F1150" s="20">
        <f>=H1150*0.9</f>
        <v>154.8</v>
      </c>
      <c r="G1150" s="21">
        <v>156</v>
      </c>
      <c r="H1150" s="39">
        <v>172</v>
      </c>
      <c r="I1150" s="40">
        <f>=H1150*1.05</f>
        <v>180.6</v>
      </c>
      <c r="J1150" s="40">
        <f>=F1150*2</f>
        <v>309.6</v>
      </c>
      <c r="K1150" s="40">
        <f>=H1150*2</f>
        <v>344</v>
      </c>
      <c r="L1150" s="40">
        <f>=I1150*2</f>
        <v>361.2</v>
      </c>
      <c r="M1150" s="41" t="s">
        <v>1217</v>
      </c>
      <c r="N1150" s="41">
        <v>0.127</v>
      </c>
      <c r="O1150" s="41" t="s"/>
      <c r="P1150" s="41">
        <v>1</v>
      </c>
      <c r="Q1150" s="41">
        <v>1</v>
      </c>
      <c r="R1150" s="41" t="s">
        <v>16</v>
      </c>
      <c r="S1150" s="41" t="s">
        <v>17</v>
      </c>
      <c r="T1150" s="41" t="s">
        <v>43</v>
      </c>
      <c r="U1150" s="16" t="s">
        <v>13</v>
      </c>
      <c r="V1150" s="16" t="s">
        <v>1083</v>
      </c>
      <c r="W1150" s="56" t="s"/>
      <c r="X1150" s="26" t="s">
        <f>=M1150&amp;N1150&amp;P1150&amp;Q1150&amp;T1150&amp;V1150&amp;S1150</f>
        <v>1261</v>
      </c>
      <c r="Y1150" s="19" t="s"/>
      <c r="Z1150" s="19" t="s"/>
      <c r="AA1150" s="19" t="s"/>
      <c r="AB1150" s="19" t="s"/>
    </row>
    <row r="1151" spans="1:28" ht="14.4">
      <c r="A1151" s="4">
        <f>=H1151/G1151-1</f>
        <v>0.0985915492957748</v>
      </c>
      <c r="B1151" s="20">
        <f>=F1151/12</f>
        <v>11.7</v>
      </c>
      <c r="C1151" s="20">
        <f>=J1151/3</f>
        <v>93.6</v>
      </c>
      <c r="D1151" s="20">
        <f>=K1151/3</f>
        <v>104</v>
      </c>
      <c r="E1151" s="20">
        <f>=L1151/3</f>
        <v>109.2</v>
      </c>
      <c r="F1151" s="20">
        <f>=H1151*0.9</f>
        <v>140.4</v>
      </c>
      <c r="G1151" s="21">
        <v>142</v>
      </c>
      <c r="H1151" s="39">
        <v>156</v>
      </c>
      <c r="I1151" s="40">
        <f>=H1151*1.05</f>
        <v>163.8</v>
      </c>
      <c r="J1151" s="40">
        <f>=F1151*2</f>
        <v>280.8</v>
      </c>
      <c r="K1151" s="40">
        <f>=H1151*2</f>
        <v>312</v>
      </c>
      <c r="L1151" s="40">
        <f>=I1151*2</f>
        <v>327.6</v>
      </c>
      <c r="M1151" s="41" t="s">
        <v>1217</v>
      </c>
      <c r="N1151" s="41">
        <v>0.13</v>
      </c>
      <c r="O1151" s="41" t="s"/>
      <c r="P1151" s="41">
        <v>1</v>
      </c>
      <c r="Q1151" s="41">
        <v>1</v>
      </c>
      <c r="R1151" s="41" t="s">
        <v>16</v>
      </c>
      <c r="S1151" s="41" t="s">
        <v>17</v>
      </c>
      <c r="T1151" s="41" t="s">
        <v>23</v>
      </c>
      <c r="U1151" s="16" t="s">
        <v>13</v>
      </c>
      <c r="V1151" s="16" t="s">
        <v>1083</v>
      </c>
      <c r="W1151" s="56" t="s"/>
      <c r="X1151" s="26" t="s">
        <f>=M1151&amp;N1151&amp;P1151&amp;Q1151&amp;T1151&amp;V1151&amp;S1151</f>
        <v>1262</v>
      </c>
      <c r="Y1151" s="56" t="s"/>
      <c r="Z1151" s="56" t="s"/>
      <c r="AA1151" s="56" t="s"/>
      <c r="AB1151" s="56" t="s"/>
    </row>
    <row r="1152" spans="1:28" ht="14.4">
      <c r="A1152" s="4">
        <f>=H1152/G1152-1</f>
        <v>0.102040816326531</v>
      </c>
      <c r="B1152" s="20">
        <f>=F1152/12</f>
        <v>12.15</v>
      </c>
      <c r="C1152" s="20">
        <f>=J1152/3</f>
        <v>97.2</v>
      </c>
      <c r="D1152" s="20">
        <f>=K1152/3</f>
        <v>108</v>
      </c>
      <c r="E1152" s="20">
        <f>=L1152/3</f>
        <v>113.4</v>
      </c>
      <c r="F1152" s="20">
        <f>=H1152*0.9</f>
        <v>145.8</v>
      </c>
      <c r="G1152" s="21">
        <v>147</v>
      </c>
      <c r="H1152" s="39">
        <v>162</v>
      </c>
      <c r="I1152" s="40">
        <f>=H1152*1.05</f>
        <v>170.1</v>
      </c>
      <c r="J1152" s="40">
        <f>=F1152*2</f>
        <v>291.6</v>
      </c>
      <c r="K1152" s="40">
        <f>=H1152*2</f>
        <v>324</v>
      </c>
      <c r="L1152" s="40">
        <f>=I1152*2</f>
        <v>340.2</v>
      </c>
      <c r="M1152" s="41" t="s">
        <v>1217</v>
      </c>
      <c r="N1152" s="41">
        <v>0.13</v>
      </c>
      <c r="O1152" s="41" t="s"/>
      <c r="P1152" s="41">
        <v>1</v>
      </c>
      <c r="Q1152" s="41">
        <v>1</v>
      </c>
      <c r="R1152" s="41" t="s">
        <v>16</v>
      </c>
      <c r="S1152" s="41" t="s">
        <v>17</v>
      </c>
      <c r="T1152" s="41" t="s">
        <v>624</v>
      </c>
      <c r="U1152" s="16" t="s">
        <v>13</v>
      </c>
      <c r="V1152" s="16" t="s">
        <v>1083</v>
      </c>
      <c r="W1152" s="19" t="s"/>
      <c r="X1152" s="26" t="s">
        <f>=M1152&amp;N1152&amp;P1152&amp;Q1152&amp;T1152&amp;V1152&amp;S1152</f>
        <v>1263</v>
      </c>
      <c r="Y1152" s="19" t="s"/>
      <c r="Z1152" s="19" t="s"/>
      <c r="AA1152" s="19" t="s"/>
      <c r="AB1152" s="19" t="s"/>
    </row>
    <row r="1153" spans="1:28" ht="14.4">
      <c r="A1153" s="130">
        <v>46160</v>
      </c>
      <c r="B1153" s="20">
        <f>=F1153/12</f>
        <v>18.9</v>
      </c>
      <c r="C1153" s="20">
        <f>=J1153/3</f>
        <v>151.2</v>
      </c>
      <c r="D1153" s="20">
        <f>=K1153/3</f>
        <v>168</v>
      </c>
      <c r="E1153" s="20">
        <f>=L1153/3</f>
        <v>176.4</v>
      </c>
      <c r="F1153" s="20">
        <f>=H1153*0.9</f>
        <v>226.8</v>
      </c>
      <c r="G1153" s="21">
        <v>229</v>
      </c>
      <c r="H1153" s="39">
        <v>252</v>
      </c>
      <c r="I1153" s="40">
        <f>=H1153*1.05</f>
        <v>264.6</v>
      </c>
      <c r="J1153" s="40">
        <f>=F1153*2</f>
        <v>453.6</v>
      </c>
      <c r="K1153" s="40">
        <f>=H1153*2</f>
        <v>504</v>
      </c>
      <c r="L1153" s="40">
        <f>=I1153*2</f>
        <v>529.2</v>
      </c>
      <c r="M1153" s="41" t="s">
        <v>1217</v>
      </c>
      <c r="N1153" s="75" t="s">
        <v>1264</v>
      </c>
      <c r="O1153" s="41" t="s"/>
      <c r="P1153" s="41">
        <v>1</v>
      </c>
      <c r="Q1153" s="41">
        <v>2</v>
      </c>
      <c r="R1153" s="41" t="s">
        <v>16</v>
      </c>
      <c r="S1153" s="41" t="s">
        <v>17</v>
      </c>
      <c r="T1153" s="41" t="s">
        <v>23</v>
      </c>
      <c r="U1153" s="16" t="s">
        <v>13</v>
      </c>
      <c r="V1153" s="131" t="s">
        <v>1119</v>
      </c>
      <c r="W1153" s="56" t="s"/>
      <c r="X1153" s="26" t="s">
        <f>=M1153&amp;N1153&amp;P1153&amp;Q1153&amp;T1153&amp;V1153&amp;S1153</f>
        <v>1265</v>
      </c>
      <c r="Y1153" s="19" t="s"/>
      <c r="Z1153" s="19" t="s"/>
      <c r="AA1153" s="19" t="s"/>
      <c r="AB1153" s="19" t="s"/>
    </row>
    <row r="1154" spans="1:28" ht="14.4">
      <c r="A1154" s="4">
        <f>=H1154/G1154-1</f>
        <v>0.101769911504425</v>
      </c>
      <c r="B1154" s="20">
        <f>=F1154/12</f>
        <v>18.675</v>
      </c>
      <c r="C1154" s="20">
        <f>=J1154/3</f>
        <v>149.4</v>
      </c>
      <c r="D1154" s="20">
        <f>=K1154/3</f>
        <v>166</v>
      </c>
      <c r="E1154" s="20">
        <f>=L1154/3</f>
        <v>174.3</v>
      </c>
      <c r="F1154" s="20">
        <f>=H1154*0.9</f>
        <v>224.1</v>
      </c>
      <c r="G1154" s="21">
        <v>226</v>
      </c>
      <c r="H1154" s="39">
        <v>249</v>
      </c>
      <c r="I1154" s="40">
        <f>=H1154*1.05</f>
        <v>261.45</v>
      </c>
      <c r="J1154" s="40">
        <f>=F1154*2</f>
        <v>448.2</v>
      </c>
      <c r="K1154" s="40">
        <f>=H1154*2</f>
        <v>498</v>
      </c>
      <c r="L1154" s="40">
        <f>=I1154*2</f>
        <v>522.9</v>
      </c>
      <c r="M1154" s="41" t="s">
        <v>1217</v>
      </c>
      <c r="N1154" s="41">
        <v>0.13</v>
      </c>
      <c r="O1154" s="41" t="s"/>
      <c r="P1154" s="41">
        <v>2</v>
      </c>
      <c r="Q1154" s="41">
        <v>2</v>
      </c>
      <c r="R1154" s="41" t="s">
        <v>16</v>
      </c>
      <c r="S1154" s="41" t="s">
        <v>17</v>
      </c>
      <c r="T1154" s="41" t="s">
        <v>23</v>
      </c>
      <c r="U1154" s="16" t="s">
        <v>13</v>
      </c>
      <c r="V1154" s="16" t="s">
        <v>215</v>
      </c>
      <c r="W1154" s="56" t="s"/>
      <c r="X1154" s="26" t="s">
        <f>=M1154&amp;N1154&amp;P1154&amp;Q1154&amp;T1154&amp;V1154&amp;S1154</f>
        <v>1266</v>
      </c>
      <c r="Y1154" s="19" t="s"/>
      <c r="Z1154" s="19" t="s"/>
      <c r="AA1154" s="19" t="s"/>
      <c r="AB1154" s="19" t="s"/>
    </row>
    <row r="1155" spans="1:28" ht="14.4">
      <c r="A1155" s="4">
        <f>=H1155/G1155-1</f>
        <v>0.10126582278481</v>
      </c>
      <c r="B1155" s="20">
        <f>=F1155/12</f>
        <v>19.575</v>
      </c>
      <c r="C1155" s="20">
        <f>=J1155/3</f>
        <v>156.6</v>
      </c>
      <c r="D1155" s="20">
        <f>=K1155/3</f>
        <v>174</v>
      </c>
      <c r="E1155" s="20">
        <f>=L1155/3</f>
        <v>182.7</v>
      </c>
      <c r="F1155" s="20">
        <f>=H1155*0.9</f>
        <v>234.9</v>
      </c>
      <c r="G1155" s="21">
        <v>237</v>
      </c>
      <c r="H1155" s="39">
        <v>261</v>
      </c>
      <c r="I1155" s="40">
        <f>=H1155*1.05</f>
        <v>274.05</v>
      </c>
      <c r="J1155" s="40">
        <f>=F1155*2</f>
        <v>469.8</v>
      </c>
      <c r="K1155" s="40">
        <f>=H1155*2</f>
        <v>522</v>
      </c>
      <c r="L1155" s="40">
        <f>=I1155*2</f>
        <v>548.1</v>
      </c>
      <c r="M1155" s="41" t="s">
        <v>1217</v>
      </c>
      <c r="N1155" s="41">
        <v>0.14</v>
      </c>
      <c r="O1155" s="41" t="s"/>
      <c r="P1155" s="41">
        <v>2</v>
      </c>
      <c r="Q1155" s="41">
        <v>2</v>
      </c>
      <c r="R1155" s="41" t="s">
        <v>16</v>
      </c>
      <c r="S1155" s="41" t="s">
        <v>17</v>
      </c>
      <c r="T1155" s="41" t="s">
        <v>1080</v>
      </c>
      <c r="U1155" s="16" t="s">
        <v>13</v>
      </c>
      <c r="V1155" s="16" t="s">
        <v>215</v>
      </c>
      <c r="W1155" s="19" t="s"/>
      <c r="X1155" s="26" t="s">
        <f>=M1155&amp;N1155&amp;P1155&amp;Q1155&amp;T1155&amp;V1155&amp;S1155</f>
        <v>1267</v>
      </c>
      <c r="Y1155" s="19" t="s"/>
      <c r="Z1155" s="19" t="s"/>
      <c r="AA1155" s="19" t="s"/>
      <c r="AB1155" s="19" t="s"/>
    </row>
    <row r="1156" spans="1:28" ht="14.4">
      <c r="A1156" s="4">
        <f>=H1156/G1156-1</f>
        <v>0.0833333333333333</v>
      </c>
      <c r="B1156" s="20">
        <f>=F1156/12</f>
        <v>11.7</v>
      </c>
      <c r="C1156" s="20">
        <f>=J1156/3</f>
        <v>93.6</v>
      </c>
      <c r="D1156" s="20">
        <f>=K1156/3</f>
        <v>104</v>
      </c>
      <c r="E1156" s="20">
        <f>=L1156/3</f>
        <v>109.2</v>
      </c>
      <c r="F1156" s="20">
        <f>=H1156*0.9</f>
        <v>140.4</v>
      </c>
      <c r="G1156" s="21">
        <v>144</v>
      </c>
      <c r="H1156" s="39">
        <v>156</v>
      </c>
      <c r="I1156" s="40">
        <f>=H1156*1.05</f>
        <v>163.8</v>
      </c>
      <c r="J1156" s="40">
        <f>=F1156*2</f>
        <v>280.8</v>
      </c>
      <c r="K1156" s="40">
        <f>=H1156*2</f>
        <v>312</v>
      </c>
      <c r="L1156" s="40">
        <f>=I1156*2</f>
        <v>327.6</v>
      </c>
      <c r="M1156" s="41" t="s">
        <v>1217</v>
      </c>
      <c r="N1156" s="41">
        <v>0.152</v>
      </c>
      <c r="O1156" s="41" t="s"/>
      <c r="P1156" s="41" t="s">
        <v>21</v>
      </c>
      <c r="Q1156" s="41">
        <v>1</v>
      </c>
      <c r="R1156" s="41" t="s">
        <v>16</v>
      </c>
      <c r="S1156" s="41" t="s">
        <v>17</v>
      </c>
      <c r="T1156" s="41" t="s">
        <v>39</v>
      </c>
      <c r="U1156" s="16" t="s">
        <v>13</v>
      </c>
      <c r="V1156" s="16" t="s">
        <v>215</v>
      </c>
      <c r="W1156" s="54">
        <v>46127</v>
      </c>
      <c r="X1156" s="26" t="s">
        <f>=M1156&amp;N1156&amp;P1156&amp;Q1156&amp;T1156&amp;V1156&amp;S1156</f>
        <v>1268</v>
      </c>
      <c r="Y1156" s="19" t="s"/>
      <c r="Z1156" s="19" t="s"/>
      <c r="AA1156" s="19" t="s"/>
      <c r="AB1156" s="19" t="s"/>
    </row>
    <row r="1157" spans="1:28" ht="14.4">
      <c r="A1157" s="52">
        <f>=H1157/G1157-1</f>
        <v>0.102040816326531</v>
      </c>
      <c r="B1157" s="132">
        <f>=F1157/12</f>
        <v>12.15</v>
      </c>
      <c r="C1157" s="132">
        <f>=J1157/3</f>
        <v>97.2</v>
      </c>
      <c r="D1157" s="132">
        <f>=K1157/3</f>
        <v>108</v>
      </c>
      <c r="E1157" s="132">
        <f>=L1157/3</f>
        <v>113.4</v>
      </c>
      <c r="F1157" s="132">
        <f>=H1157*0.9</f>
        <v>145.8</v>
      </c>
      <c r="G1157" s="119">
        <v>147</v>
      </c>
      <c r="H1157" s="39">
        <v>162</v>
      </c>
      <c r="I1157" s="40">
        <f>=H1157*1.05</f>
        <v>170.1</v>
      </c>
      <c r="J1157" s="40">
        <f>=F1157*2</f>
        <v>291.6</v>
      </c>
      <c r="K1157" s="40">
        <f>=H1157*2</f>
        <v>324</v>
      </c>
      <c r="L1157" s="40">
        <f>=I1157*2</f>
        <v>340.2</v>
      </c>
      <c r="M1157" s="41" t="s">
        <v>1217</v>
      </c>
      <c r="N1157" s="41">
        <v>0.152</v>
      </c>
      <c r="O1157" s="41" t="s"/>
      <c r="P1157" s="41">
        <v>1</v>
      </c>
      <c r="Q1157" s="41">
        <v>1</v>
      </c>
      <c r="R1157" s="41" t="s">
        <v>16</v>
      </c>
      <c r="S1157" s="41" t="s">
        <v>17</v>
      </c>
      <c r="T1157" s="133" t="s">
        <v>1080</v>
      </c>
      <c r="U1157" s="121" t="s">
        <v>13</v>
      </c>
      <c r="V1157" s="121" t="s">
        <v>1083</v>
      </c>
      <c r="W1157" s="29" t="s"/>
      <c r="X1157" s="26" t="s">
        <f>=M1157&amp;N1157&amp;P1157&amp;Q1157&amp;T1157&amp;V1157&amp;S1157</f>
        <v>1269</v>
      </c>
      <c r="Y1157" s="29" t="s"/>
      <c r="Z1157" s="29" t="s"/>
      <c r="AA1157" s="29" t="s"/>
      <c r="AB1157" s="29" t="s"/>
    </row>
    <row r="1158" spans="1:28" ht="14.4">
      <c r="A1158" s="47">
        <v>46160</v>
      </c>
      <c r="B1158" s="134">
        <f>=F1158/12</f>
        <v>17.25</v>
      </c>
      <c r="C1158" s="134">
        <f>=J1158/3</f>
        <v>138</v>
      </c>
      <c r="D1158" s="134">
        <f>=K1158/3</f>
        <v>153.333333333333</v>
      </c>
      <c r="E1158" s="134">
        <f>=L1158/3</f>
        <v>161</v>
      </c>
      <c r="F1158" s="134">
        <f>=H1158*0.9</f>
        <v>207</v>
      </c>
      <c r="G1158" s="135">
        <v>147</v>
      </c>
      <c r="H1158" s="44">
        <v>230</v>
      </c>
      <c r="I1158" s="45">
        <f>=H1158*1.05</f>
        <v>241.5</v>
      </c>
      <c r="J1158" s="45">
        <f>=F1158*2</f>
        <v>414</v>
      </c>
      <c r="K1158" s="45">
        <f>=H1158*2</f>
        <v>460</v>
      </c>
      <c r="L1158" s="45">
        <f>=I1158*2</f>
        <v>483</v>
      </c>
      <c r="M1158" s="46" t="s">
        <v>1217</v>
      </c>
      <c r="N1158" s="46">
        <v>0.152</v>
      </c>
      <c r="O1158" s="46" t="s"/>
      <c r="P1158" s="46">
        <v>1</v>
      </c>
      <c r="Q1158" s="46">
        <v>2</v>
      </c>
      <c r="R1158" s="46" t="s">
        <v>16</v>
      </c>
      <c r="S1158" s="46" t="s">
        <v>17</v>
      </c>
      <c r="T1158" s="136" t="s">
        <v>39</v>
      </c>
      <c r="U1158" s="137" t="s">
        <v>13</v>
      </c>
      <c r="V1158" s="137" t="s">
        <v>215</v>
      </c>
      <c r="W1158" s="50" t="s"/>
      <c r="X1158" s="18" t="s">
        <f>=M1158&amp;N1158&amp;P1158&amp;Q1158&amp;T1158&amp;V1158&amp;S1158</f>
        <v>1270</v>
      </c>
      <c r="Y1158" s="50" t="s"/>
      <c r="Z1158" s="50" t="s"/>
      <c r="AA1158" s="50" t="s"/>
      <c r="AB1158" s="50" t="s"/>
    </row>
    <row r="1159" spans="1:28" ht="14.4">
      <c r="A1159" s="4">
        <f>=H1159/G1159-1</f>
        <v>0.101626016260163</v>
      </c>
      <c r="B1159" s="20">
        <f>=F1159/12</f>
        <v>20.325</v>
      </c>
      <c r="C1159" s="20">
        <f>=J1159/3</f>
        <v>162.6</v>
      </c>
      <c r="D1159" s="20">
        <f>=K1159/3</f>
        <v>180.666666666667</v>
      </c>
      <c r="E1159" s="20">
        <f>=L1159/3</f>
        <v>189.7</v>
      </c>
      <c r="F1159" s="20">
        <f>=H1159*0.9</f>
        <v>243.9</v>
      </c>
      <c r="G1159" s="21">
        <v>246</v>
      </c>
      <c r="H1159" s="39">
        <v>271</v>
      </c>
      <c r="I1159" s="40">
        <f>=H1159*1.05</f>
        <v>284.55</v>
      </c>
      <c r="J1159" s="40">
        <f>=F1159*2</f>
        <v>487.8</v>
      </c>
      <c r="K1159" s="40">
        <f>=H1159*2</f>
        <v>542</v>
      </c>
      <c r="L1159" s="40">
        <f>=I1159*2</f>
        <v>569.1</v>
      </c>
      <c r="M1159" s="41" t="s">
        <v>1217</v>
      </c>
      <c r="N1159" s="41">
        <v>0.152</v>
      </c>
      <c r="O1159" s="41" t="s"/>
      <c r="P1159" s="41">
        <v>2</v>
      </c>
      <c r="Q1159" s="41">
        <v>2</v>
      </c>
      <c r="R1159" s="41" t="s">
        <v>16</v>
      </c>
      <c r="S1159" s="41" t="s">
        <v>17</v>
      </c>
      <c r="T1159" s="133" t="s">
        <v>1080</v>
      </c>
      <c r="U1159" s="16" t="s">
        <v>13</v>
      </c>
      <c r="V1159" s="16" t="s">
        <v>215</v>
      </c>
      <c r="W1159" s="19" t="s"/>
      <c r="X1159" s="26" t="s">
        <f>=M1159&amp;N1159&amp;P1159&amp;Q1159&amp;T1159&amp;V1159&amp;S1159</f>
        <v>1271</v>
      </c>
      <c r="Y1159" s="19" t="s"/>
      <c r="Z1159" s="19" t="s"/>
      <c r="AA1159" s="19" t="s"/>
      <c r="AB1159" s="19" t="s"/>
    </row>
    <row r="1160" spans="1:28" ht="14.4">
      <c r="A1160" s="4">
        <f>=H1160/G1160-1</f>
        <v>0.0970873786407767</v>
      </c>
      <c r="B1160" s="20">
        <f>=F1160/12</f>
        <v>8.475</v>
      </c>
      <c r="C1160" s="20">
        <f>=J1160/3</f>
        <v>67.8</v>
      </c>
      <c r="D1160" s="20">
        <f>=K1160/3</f>
        <v>75.3333333333333</v>
      </c>
      <c r="E1160" s="20">
        <f>=L1160/3</f>
        <v>79.1</v>
      </c>
      <c r="F1160" s="20">
        <f>=H1160*0.9</f>
        <v>101.7</v>
      </c>
      <c r="G1160" s="21">
        <v>103</v>
      </c>
      <c r="H1160" s="39">
        <v>113</v>
      </c>
      <c r="I1160" s="40">
        <f>=H1160*1.05</f>
        <v>118.65</v>
      </c>
      <c r="J1160" s="40">
        <f>=F1160*2</f>
        <v>203.4</v>
      </c>
      <c r="K1160" s="40">
        <f>=H1160*2</f>
        <v>226</v>
      </c>
      <c r="L1160" s="40">
        <f>=I1160*2</f>
        <v>237.3</v>
      </c>
      <c r="M1160" s="41" t="s">
        <v>1217</v>
      </c>
      <c r="N1160" s="41">
        <v>0.152</v>
      </c>
      <c r="O1160" s="41" t="s"/>
      <c r="P1160" s="41" t="s">
        <v>21</v>
      </c>
      <c r="Q1160" s="41" t="s">
        <v>21</v>
      </c>
      <c r="R1160" s="41" t="s">
        <v>16</v>
      </c>
      <c r="S1160" s="41" t="s">
        <v>17</v>
      </c>
      <c r="T1160" s="41" t="s">
        <v>67</v>
      </c>
      <c r="U1160" s="16" t="s">
        <v>13</v>
      </c>
      <c r="V1160" s="16" t="s">
        <v>215</v>
      </c>
      <c r="W1160" s="19" t="s"/>
      <c r="X1160" s="26" t="s">
        <f>=M1160&amp;N1160&amp;P1160&amp;Q1160&amp;T1160&amp;V1160&amp;S1160</f>
        <v>1272</v>
      </c>
      <c r="Y1160" s="19" t="s"/>
      <c r="Z1160" s="19" t="s"/>
      <c r="AA1160" s="19" t="s"/>
      <c r="AB1160" s="19" t="s"/>
    </row>
    <row r="1161" spans="1:28" ht="14.4">
      <c r="A1161" s="4">
        <f>=H1161/G1161-1</f>
        <v>0.10377358490566</v>
      </c>
      <c r="B1161" s="20">
        <f>=F1161/12</f>
        <v>8.775</v>
      </c>
      <c r="C1161" s="20">
        <f>=J1161/3</f>
        <v>70.2</v>
      </c>
      <c r="D1161" s="20">
        <f>=K1161/3</f>
        <v>78</v>
      </c>
      <c r="E1161" s="20">
        <f>=L1161/3</f>
        <v>81.9</v>
      </c>
      <c r="F1161" s="20">
        <f>=H1161*0.9</f>
        <v>105.3</v>
      </c>
      <c r="G1161" s="21">
        <v>106</v>
      </c>
      <c r="H1161" s="39">
        <v>117</v>
      </c>
      <c r="I1161" s="40">
        <f>=H1161*1.05</f>
        <v>122.85</v>
      </c>
      <c r="J1161" s="40">
        <f>=F1161*2</f>
        <v>210.6</v>
      </c>
      <c r="K1161" s="40">
        <f>=H1161*2</f>
        <v>234</v>
      </c>
      <c r="L1161" s="40">
        <f>=I1161*2</f>
        <v>245.7</v>
      </c>
      <c r="M1161" s="41" t="s">
        <v>1217</v>
      </c>
      <c r="N1161" s="41">
        <v>0.152</v>
      </c>
      <c r="O1161" s="41" t="s"/>
      <c r="P1161" s="41" t="s">
        <v>21</v>
      </c>
      <c r="Q1161" s="41" t="s">
        <v>21</v>
      </c>
      <c r="R1161" s="41" t="s">
        <v>16</v>
      </c>
      <c r="S1161" s="41" t="s">
        <v>17</v>
      </c>
      <c r="T1161" s="41" t="s">
        <v>43</v>
      </c>
      <c r="U1161" s="16" t="s">
        <v>13</v>
      </c>
      <c r="V1161" s="16" t="s">
        <v>215</v>
      </c>
      <c r="W1161" s="19" t="s"/>
      <c r="X1161" s="26" t="s">
        <f>=M1161&amp;N1161&amp;P1161&amp;Q1161&amp;T1161&amp;V1161&amp;S1161</f>
        <v>1273</v>
      </c>
      <c r="Y1161" s="19" t="s"/>
      <c r="Z1161" s="19" t="s"/>
      <c r="AA1161" s="19" t="s"/>
      <c r="AB1161" s="19" t="s"/>
    </row>
    <row r="1162" spans="1:29" ht="14.4">
      <c r="A1162" s="42">
        <f>=H1162/G1162-1</f>
        <v>1.54716981132076</v>
      </c>
      <c r="B1162" s="43">
        <f>=F1162/12</f>
        <v>20.25</v>
      </c>
      <c r="C1162" s="43">
        <f>=J1162/3</f>
        <v>162</v>
      </c>
      <c r="D1162" s="43">
        <f>=K1162/3</f>
        <v>180</v>
      </c>
      <c r="E1162" s="43">
        <f>=L1162/3</f>
        <v>189</v>
      </c>
      <c r="F1162" s="43">
        <f>=H1162*0.9</f>
        <v>243</v>
      </c>
      <c r="G1162" s="27">
        <v>106</v>
      </c>
      <c r="H1162" s="44">
        <v>270</v>
      </c>
      <c r="I1162" s="45">
        <f>=H1162*1.05</f>
        <v>283.5</v>
      </c>
      <c r="J1162" s="45">
        <f>=F1162*2</f>
        <v>486</v>
      </c>
      <c r="K1162" s="45">
        <f>=H1162*2</f>
        <v>540</v>
      </c>
      <c r="L1162" s="45">
        <f>=I1162*2</f>
        <v>567</v>
      </c>
      <c r="M1162" s="46" t="s">
        <v>1217</v>
      </c>
      <c r="N1162" s="46">
        <v>0.152</v>
      </c>
      <c r="O1162" s="46" t="s"/>
      <c r="P1162" s="12">
        <v>1</v>
      </c>
      <c r="Q1162" s="12">
        <v>2</v>
      </c>
      <c r="R1162" s="46" t="s">
        <v>16</v>
      </c>
      <c r="S1162" s="46" t="s">
        <v>17</v>
      </c>
      <c r="T1162" s="46" t="s">
        <v>43</v>
      </c>
      <c r="U1162" s="13" t="s">
        <v>13</v>
      </c>
      <c r="V1162" s="13" t="s">
        <v>215</v>
      </c>
      <c r="W1162" s="15" t="s"/>
      <c r="X1162" s="18" t="s">
        <f>=M1162&amp;N1162&amp;P1162&amp;Q1162&amp;T1162&amp;V1162&amp;S1162</f>
        <v>1274</v>
      </c>
      <c r="Y1162" s="15" t="s"/>
      <c r="Z1162" s="15" t="s"/>
      <c r="AA1162" s="15" t="s"/>
      <c r="AB1162" s="15" t="s"/>
      <c r="AC1162" s="48" t="s"/>
    </row>
    <row r="1163" spans="1:29" ht="14.4">
      <c r="A1163" s="42">
        <f>=H1163/G1163-1</f>
        <v>0.666666666666667</v>
      </c>
      <c r="B1163" s="43">
        <f>=F1163/12</f>
        <v>19.5</v>
      </c>
      <c r="C1163" s="43">
        <f>=J1163/3</f>
        <v>156</v>
      </c>
      <c r="D1163" s="43">
        <f>=K1163/3</f>
        <v>173.333333333333</v>
      </c>
      <c r="E1163" s="43">
        <f>=L1163/3</f>
        <v>182</v>
      </c>
      <c r="F1163" s="43">
        <f>=H1163*0.9</f>
        <v>234</v>
      </c>
      <c r="G1163" s="27">
        <v>156</v>
      </c>
      <c r="H1163" s="44">
        <v>260</v>
      </c>
      <c r="I1163" s="45">
        <f>=H1163*1.05</f>
        <v>273</v>
      </c>
      <c r="J1163" s="45">
        <f>=F1163*2</f>
        <v>468</v>
      </c>
      <c r="K1163" s="45">
        <f>=H1163*2</f>
        <v>520</v>
      </c>
      <c r="L1163" s="45">
        <f>=I1163*2</f>
        <v>546</v>
      </c>
      <c r="M1163" s="46" t="s">
        <v>1217</v>
      </c>
      <c r="N1163" s="46">
        <v>0.203</v>
      </c>
      <c r="O1163" s="46" t="s"/>
      <c r="P1163" s="46">
        <v>1</v>
      </c>
      <c r="Q1163" s="12">
        <v>2</v>
      </c>
      <c r="R1163" s="46" t="s">
        <v>16</v>
      </c>
      <c r="S1163" s="46" t="s">
        <v>17</v>
      </c>
      <c r="T1163" s="12" t="s">
        <v>689</v>
      </c>
      <c r="U1163" s="13" t="s">
        <v>13</v>
      </c>
      <c r="V1163" s="11" t="s">
        <v>215</v>
      </c>
      <c r="W1163" s="15" t="s"/>
      <c r="X1163" s="18" t="s">
        <f>=M1163&amp;N1163&amp;P1163&amp;Q1163&amp;T1163&amp;V1163&amp;S1163</f>
        <v>1275</v>
      </c>
      <c r="Y1163" s="15" t="s"/>
      <c r="Z1163" s="15" t="s"/>
      <c r="AA1163" s="15" t="s"/>
      <c r="AB1163" s="15" t="s"/>
      <c r="AC1163" s="48" t="s"/>
    </row>
    <row r="1164" spans="1:28" ht="14.4">
      <c r="A1164" s="4">
        <f>=H1164/G1164-1</f>
        <v>0.102564102564103</v>
      </c>
      <c r="B1164" s="20">
        <f>=F1164/12</f>
        <v>12.9</v>
      </c>
      <c r="C1164" s="20">
        <f>=J1164/3</f>
        <v>103.2</v>
      </c>
      <c r="D1164" s="20">
        <f>=K1164/3</f>
        <v>114.666666666667</v>
      </c>
      <c r="E1164" s="20">
        <f>=L1164/3</f>
        <v>120.4</v>
      </c>
      <c r="F1164" s="20">
        <f>=H1164*0.9</f>
        <v>154.8</v>
      </c>
      <c r="G1164" s="21">
        <v>156</v>
      </c>
      <c r="H1164" s="39">
        <v>172</v>
      </c>
      <c r="I1164" s="40">
        <f>=H1164*1.05</f>
        <v>180.6</v>
      </c>
      <c r="J1164" s="40">
        <f>=F1164*2</f>
        <v>309.6</v>
      </c>
      <c r="K1164" s="40">
        <f>=H1164*2</f>
        <v>344</v>
      </c>
      <c r="L1164" s="40">
        <f>=I1164*2</f>
        <v>361.2</v>
      </c>
      <c r="M1164" s="41" t="s">
        <v>1217</v>
      </c>
      <c r="N1164" s="41">
        <v>0.203</v>
      </c>
      <c r="O1164" s="41" t="s"/>
      <c r="P1164" s="41">
        <v>1</v>
      </c>
      <c r="Q1164" s="41">
        <v>1</v>
      </c>
      <c r="R1164" s="41" t="s">
        <v>16</v>
      </c>
      <c r="S1164" s="41" t="s">
        <v>17</v>
      </c>
      <c r="T1164" s="41" t="s">
        <v>52</v>
      </c>
      <c r="U1164" s="16" t="s">
        <v>13</v>
      </c>
      <c r="V1164" s="16" t="s">
        <v>1083</v>
      </c>
      <c r="W1164" s="19" t="s"/>
      <c r="X1164" s="26" t="s">
        <f>=M1164&amp;N1164&amp;P1164&amp;Q1164&amp;T1164&amp;V1164&amp;S1164</f>
        <v>1276</v>
      </c>
      <c r="Y1164" s="19" t="s"/>
      <c r="Z1164" s="19" t="s"/>
      <c r="AA1164" s="19" t="s"/>
      <c r="AB1164" s="19" t="s"/>
    </row>
    <row r="1165" spans="1:28" ht="14.4">
      <c r="A1165" s="4">
        <f>=H1165/G1165-1</f>
        <v>0.08843537414966</v>
      </c>
      <c r="B1165" s="20">
        <f>=F1165/12</f>
        <v>12</v>
      </c>
      <c r="C1165" s="20">
        <f>=J1165/3</f>
        <v>96</v>
      </c>
      <c r="D1165" s="20">
        <f>=K1165/3</f>
        <v>106.666666666667</v>
      </c>
      <c r="E1165" s="20">
        <f>=L1165/3</f>
        <v>112</v>
      </c>
      <c r="F1165" s="20">
        <f>=H1165*0.9</f>
        <v>144</v>
      </c>
      <c r="G1165" s="21">
        <v>147</v>
      </c>
      <c r="H1165" s="39">
        <v>160</v>
      </c>
      <c r="I1165" s="40">
        <f>=H1165*1.05</f>
        <v>168</v>
      </c>
      <c r="J1165" s="40">
        <f>=F1165*2</f>
        <v>288</v>
      </c>
      <c r="K1165" s="40">
        <f>=H1165*2</f>
        <v>320</v>
      </c>
      <c r="L1165" s="40">
        <f>=I1165*2</f>
        <v>336</v>
      </c>
      <c r="M1165" s="41" t="s">
        <v>1217</v>
      </c>
      <c r="N1165" s="41">
        <v>0.254</v>
      </c>
      <c r="O1165" s="41" t="s"/>
      <c r="P1165" s="41" t="s">
        <v>21</v>
      </c>
      <c r="Q1165" s="41" t="s">
        <v>21</v>
      </c>
      <c r="R1165" s="41" t="s">
        <v>16</v>
      </c>
      <c r="S1165" s="41" t="s">
        <v>17</v>
      </c>
      <c r="T1165" s="41" t="s">
        <v>52</v>
      </c>
      <c r="U1165" s="16" t="s">
        <v>13</v>
      </c>
      <c r="V1165" s="16" t="s">
        <v>215</v>
      </c>
      <c r="W1165" s="54">
        <v>46127</v>
      </c>
      <c r="X1165" s="26" t="s">
        <f>=M1165&amp;N1165&amp;P1165&amp;Q1165&amp;T1165&amp;V1165&amp;S1165</f>
        <v>1277</v>
      </c>
      <c r="Y1165" s="19" t="s"/>
      <c r="Z1165" s="19" t="s"/>
      <c r="AA1165" s="19" t="s"/>
      <c r="AB1165" s="19" t="s"/>
    </row>
    <row r="1166" spans="1:28" ht="14.4">
      <c r="A1166" s="4">
        <f>=H1166/G1166-1</f>
        <v>0.0755813953488371</v>
      </c>
      <c r="B1166" s="20">
        <f>=F1166/12</f>
        <v>13.875</v>
      </c>
      <c r="C1166" s="20">
        <f>=J1166/3</f>
        <v>111</v>
      </c>
      <c r="D1166" s="20">
        <f>=K1166/3</f>
        <v>123.333333333333</v>
      </c>
      <c r="E1166" s="20">
        <f>=L1166/3</f>
        <v>129.5</v>
      </c>
      <c r="F1166" s="20">
        <f>=H1166*0.9</f>
        <v>166.5</v>
      </c>
      <c r="G1166" s="21">
        <v>172</v>
      </c>
      <c r="H1166" s="39">
        <v>185</v>
      </c>
      <c r="I1166" s="40">
        <f>=H1166*1.05</f>
        <v>194.25</v>
      </c>
      <c r="J1166" s="40">
        <f>=F1166*2</f>
        <v>333</v>
      </c>
      <c r="K1166" s="40">
        <f>=H1166*2</f>
        <v>370</v>
      </c>
      <c r="L1166" s="40">
        <f>=I1166*2</f>
        <v>388.5</v>
      </c>
      <c r="M1166" s="41" t="s">
        <v>1217</v>
      </c>
      <c r="N1166" s="41">
        <v>0.254</v>
      </c>
      <c r="O1166" s="41" t="s"/>
      <c r="P1166" s="41" t="s">
        <v>21</v>
      </c>
      <c r="Q1166" s="41">
        <v>1</v>
      </c>
      <c r="R1166" s="41" t="s">
        <v>16</v>
      </c>
      <c r="S1166" s="41" t="s">
        <v>17</v>
      </c>
      <c r="T1166" s="41" t="s">
        <v>52</v>
      </c>
      <c r="U1166" s="16" t="s">
        <v>13</v>
      </c>
      <c r="V1166" s="16" t="s">
        <v>215</v>
      </c>
      <c r="W1166" s="54">
        <v>46127</v>
      </c>
      <c r="X1166" s="26" t="s">
        <f>=M1166&amp;N1166&amp;P1166&amp;Q1166&amp;T1166&amp;V1166&amp;S1166</f>
        <v>1278</v>
      </c>
      <c r="Y1166" s="19" t="s"/>
      <c r="Z1166" s="19" t="s"/>
      <c r="AA1166" s="19" t="s"/>
      <c r="AB1166" s="19" t="s"/>
    </row>
    <row r="1167" spans="1:28" ht="14.4">
      <c r="A1167" s="4">
        <f>=H1167/G1167-1</f>
        <v>0.0993788819875776</v>
      </c>
      <c r="B1167" s="20">
        <f>=F1167/12</f>
        <v>13.275</v>
      </c>
      <c r="C1167" s="20">
        <f>=J1167/3</f>
        <v>106.2</v>
      </c>
      <c r="D1167" s="20">
        <f>=K1167/3</f>
        <v>118</v>
      </c>
      <c r="E1167" s="20">
        <f>=L1167/3</f>
        <v>123.9</v>
      </c>
      <c r="F1167" s="20">
        <f>=H1167*0.9</f>
        <v>159.3</v>
      </c>
      <c r="G1167" s="21">
        <v>161</v>
      </c>
      <c r="H1167" s="39">
        <v>177</v>
      </c>
      <c r="I1167" s="40">
        <f>=H1167*1.05</f>
        <v>185.85</v>
      </c>
      <c r="J1167" s="40">
        <f>=F1167*2</f>
        <v>318.6</v>
      </c>
      <c r="K1167" s="40">
        <f>=H1167*2</f>
        <v>354</v>
      </c>
      <c r="L1167" s="40">
        <f>=I1167*2</f>
        <v>371.7</v>
      </c>
      <c r="M1167" s="41" t="s">
        <v>1217</v>
      </c>
      <c r="N1167" s="41">
        <v>0.254</v>
      </c>
      <c r="O1167" s="41" t="s"/>
      <c r="P1167" s="41">
        <v>2</v>
      </c>
      <c r="Q1167" s="41">
        <v>2</v>
      </c>
      <c r="R1167" s="41" t="s">
        <v>16</v>
      </c>
      <c r="S1167" s="41" t="s">
        <v>17</v>
      </c>
      <c r="T1167" s="41" t="s">
        <v>52</v>
      </c>
      <c r="U1167" s="16" t="s">
        <v>13</v>
      </c>
      <c r="V1167" s="16" t="s">
        <v>215</v>
      </c>
      <c r="W1167" s="19" t="s"/>
      <c r="X1167" s="26" t="s">
        <f>=M1167&amp;N1167&amp;P1167&amp;Q1167&amp;T1167&amp;V1167&amp;S1167</f>
        <v>1279</v>
      </c>
      <c r="Y1167" s="19" t="s"/>
      <c r="Z1167" s="19" t="s"/>
      <c r="AA1167" s="19" t="s"/>
      <c r="AB1167" s="19" t="s"/>
    </row>
    <row r="1168" spans="1:28" ht="14.4">
      <c r="A1168" s="4">
        <f>=H1168/G1168-1</f>
        <v>0.0993788819875776</v>
      </c>
      <c r="B1168" s="20">
        <f>=F1168/12</f>
        <v>13.275</v>
      </c>
      <c r="C1168" s="20">
        <f>=J1168/3</f>
        <v>106.2</v>
      </c>
      <c r="D1168" s="20">
        <f>=K1168/3</f>
        <v>118</v>
      </c>
      <c r="E1168" s="20">
        <f>=L1168/3</f>
        <v>123.9</v>
      </c>
      <c r="F1168" s="20">
        <f>=H1168*0.9</f>
        <v>159.3</v>
      </c>
      <c r="G1168" s="21">
        <v>161</v>
      </c>
      <c r="H1168" s="39">
        <v>177</v>
      </c>
      <c r="I1168" s="40">
        <f>=H1168*1.05</f>
        <v>185.85</v>
      </c>
      <c r="J1168" s="40">
        <f>=F1168*2</f>
        <v>318.6</v>
      </c>
      <c r="K1168" s="40">
        <f>=H1168*2</f>
        <v>354</v>
      </c>
      <c r="L1168" s="40">
        <f>=I1168*2</f>
        <v>371.7</v>
      </c>
      <c r="M1168" s="41" t="s">
        <v>1217</v>
      </c>
      <c r="N1168" s="41">
        <v>0.305</v>
      </c>
      <c r="O1168" s="41" t="s"/>
      <c r="P1168" s="41">
        <v>1</v>
      </c>
      <c r="Q1168" s="41">
        <v>1</v>
      </c>
      <c r="R1168" s="41" t="s">
        <v>16</v>
      </c>
      <c r="S1168" s="41" t="s">
        <v>17</v>
      </c>
      <c r="T1168" s="41" t="s">
        <v>67</v>
      </c>
      <c r="U1168" s="16" t="s">
        <v>13</v>
      </c>
      <c r="V1168" s="16" t="s">
        <v>1083</v>
      </c>
      <c r="W1168" s="19" t="s"/>
      <c r="X1168" s="26" t="s">
        <f>=M1168&amp;N1168&amp;P1168&amp;Q1168&amp;T1168&amp;V1168&amp;S1168</f>
        <v>1280</v>
      </c>
      <c r="Y1168" s="19" t="s"/>
      <c r="Z1168" s="19" t="s"/>
      <c r="AA1168" s="19" t="s"/>
      <c r="AB1168" s="19" t="s"/>
    </row>
    <row r="1169" spans="1:28" ht="14.4">
      <c r="A1169" s="4">
        <f>=H1169/G1169-1</f>
        <v>0.098814229249012</v>
      </c>
      <c r="B1169" s="20">
        <f>=F1169/12</f>
        <v>20.85</v>
      </c>
      <c r="C1169" s="20">
        <f>=J1169/3</f>
        <v>166.8</v>
      </c>
      <c r="D1169" s="20">
        <f>=K1169/3</f>
        <v>185.333333333333</v>
      </c>
      <c r="E1169" s="20">
        <f>=L1169/3</f>
        <v>194.6</v>
      </c>
      <c r="F1169" s="20">
        <f>=H1169*0.9</f>
        <v>250.2</v>
      </c>
      <c r="G1169" s="21">
        <v>253</v>
      </c>
      <c r="H1169" s="39">
        <v>278</v>
      </c>
      <c r="I1169" s="40">
        <f>=H1169*1.05</f>
        <v>291.9</v>
      </c>
      <c r="J1169" s="40">
        <f>=F1169*2</f>
        <v>500.4</v>
      </c>
      <c r="K1169" s="40">
        <f>=H1169*2</f>
        <v>556</v>
      </c>
      <c r="L1169" s="40">
        <f>=I1169*2</f>
        <v>583.8</v>
      </c>
      <c r="M1169" s="41" t="s">
        <v>1217</v>
      </c>
      <c r="N1169" s="41">
        <v>0.305</v>
      </c>
      <c r="O1169" s="41" t="s"/>
      <c r="P1169" s="41">
        <v>2</v>
      </c>
      <c r="Q1169" s="41">
        <v>2</v>
      </c>
      <c r="R1169" s="41" t="s">
        <v>16</v>
      </c>
      <c r="S1169" s="41" t="s">
        <v>17</v>
      </c>
      <c r="T1169" s="41" t="s">
        <v>67</v>
      </c>
      <c r="U1169" s="16" t="s">
        <v>13</v>
      </c>
      <c r="V1169" s="16" t="s">
        <v>215</v>
      </c>
      <c r="W1169" s="19" t="s"/>
      <c r="X1169" s="26" t="s">
        <f>=M1169&amp;N1169&amp;P1169&amp;Q1169&amp;T1169&amp;V1169&amp;S1169</f>
        <v>1281</v>
      </c>
      <c r="Y1169" s="19" t="s"/>
      <c r="Z1169" s="19" t="s"/>
      <c r="AA1169" s="19" t="s"/>
      <c r="AB1169" s="19" t="s"/>
    </row>
    <row r="1170" spans="1:28" ht="14.4">
      <c r="A1170" s="4">
        <f>=H1170/G1170-1</f>
        <v>0.1</v>
      </c>
      <c r="B1170" s="20">
        <f>=F1170/12</f>
        <v>15.675</v>
      </c>
      <c r="C1170" s="20">
        <f>=J1170/3</f>
        <v>125.4</v>
      </c>
      <c r="D1170" s="20">
        <f>=K1170/3</f>
        <v>139.333333333333</v>
      </c>
      <c r="E1170" s="20">
        <f>=L1170/3</f>
        <v>146.3</v>
      </c>
      <c r="F1170" s="20">
        <f>=H1170*0.9</f>
        <v>188.1</v>
      </c>
      <c r="G1170" s="21">
        <v>190</v>
      </c>
      <c r="H1170" s="39">
        <v>209</v>
      </c>
      <c r="I1170" s="40">
        <f>=H1170*1.05</f>
        <v>219.45</v>
      </c>
      <c r="J1170" s="40">
        <f>=F1170*2</f>
        <v>376.2</v>
      </c>
      <c r="K1170" s="40">
        <f>=H1170*2</f>
        <v>418</v>
      </c>
      <c r="L1170" s="40">
        <f>=I1170*2</f>
        <v>438.9</v>
      </c>
      <c r="M1170" s="41" t="s">
        <v>1217</v>
      </c>
      <c r="N1170" s="41">
        <v>0.381</v>
      </c>
      <c r="O1170" s="41" t="s"/>
      <c r="P1170" s="41">
        <v>1</v>
      </c>
      <c r="Q1170" s="41">
        <v>1</v>
      </c>
      <c r="R1170" s="41" t="s">
        <v>16</v>
      </c>
      <c r="S1170" s="41" t="s">
        <v>17</v>
      </c>
      <c r="T1170" s="41" t="s">
        <v>1172</v>
      </c>
      <c r="U1170" s="16" t="s">
        <v>13</v>
      </c>
      <c r="V1170" s="16" t="s">
        <v>215</v>
      </c>
      <c r="W1170" s="19" t="s"/>
      <c r="X1170" s="26" t="s">
        <f>=M1170&amp;N1170&amp;P1170&amp;Q1170&amp;T1170&amp;V1170&amp;S1170</f>
        <v>1282</v>
      </c>
      <c r="Y1170" s="19" t="s"/>
      <c r="Z1170" s="19" t="s"/>
      <c r="AA1170" s="19" t="s"/>
      <c r="AB1170" s="19" t="s"/>
    </row>
    <row r="1171" spans="1:28" ht="14.4">
      <c r="A1171" s="4">
        <f>=H1171/G1171-1</f>
        <v>0.0972222222222223</v>
      </c>
      <c r="B1171" s="20">
        <f>=F1171/12</f>
        <v>11.85</v>
      </c>
      <c r="C1171" s="20">
        <f>=J1171/3</f>
        <v>94.8</v>
      </c>
      <c r="D1171" s="20">
        <f>=K1171/3</f>
        <v>105.333333333333</v>
      </c>
      <c r="E1171" s="20">
        <f>=L1171/3</f>
        <v>110.6</v>
      </c>
      <c r="F1171" s="20">
        <f>=H1171*0.9</f>
        <v>142.2</v>
      </c>
      <c r="G1171" s="21">
        <v>144</v>
      </c>
      <c r="H1171" s="39">
        <v>158</v>
      </c>
      <c r="I1171" s="40">
        <f>=H1171*1.05</f>
        <v>165.9</v>
      </c>
      <c r="J1171" s="40">
        <f>=F1171*2</f>
        <v>284.4</v>
      </c>
      <c r="K1171" s="40">
        <f>=H1171*2</f>
        <v>316</v>
      </c>
      <c r="L1171" s="40">
        <f>=I1171*2</f>
        <v>331.8</v>
      </c>
      <c r="M1171" s="41" t="s">
        <v>1217</v>
      </c>
      <c r="N1171" s="41">
        <v>0.381</v>
      </c>
      <c r="O1171" s="41" t="s"/>
      <c r="P1171" s="41" t="s">
        <v>21</v>
      </c>
      <c r="Q1171" s="41" t="s">
        <v>21</v>
      </c>
      <c r="R1171" s="41" t="s">
        <v>16</v>
      </c>
      <c r="S1171" s="41" t="s">
        <v>17</v>
      </c>
      <c r="T1171" s="41" t="s">
        <v>1172</v>
      </c>
      <c r="U1171" s="16" t="s">
        <v>13</v>
      </c>
      <c r="V1171" s="16" t="s">
        <v>215</v>
      </c>
      <c r="W1171" s="19" t="s"/>
      <c r="X1171" s="26" t="s">
        <f>=M1171&amp;N1171&amp;P1171&amp;Q1171&amp;T1171&amp;V1171&amp;S1171</f>
        <v>1283</v>
      </c>
      <c r="Y1171" s="19" t="s"/>
      <c r="Z1171" s="19" t="s"/>
      <c r="AA1171" s="19" t="s"/>
      <c r="AB1171" s="19" t="s"/>
    </row>
    <row r="1172" spans="1:28" ht="14.4">
      <c r="A1172" s="4">
        <f>=H1172/G1172-1</f>
        <v>0.102040816326531</v>
      </c>
      <c r="B1172" s="20">
        <f>=F1172/12</f>
        <v>12.15</v>
      </c>
      <c r="C1172" s="20">
        <f>=J1172/3</f>
        <v>97.2</v>
      </c>
      <c r="D1172" s="20">
        <f>=K1172/3</f>
        <v>108</v>
      </c>
      <c r="E1172" s="20">
        <f>=L1172/3</f>
        <v>113.4</v>
      </c>
      <c r="F1172" s="20">
        <f>=H1172*0.9</f>
        <v>145.8</v>
      </c>
      <c r="G1172" s="21">
        <v>147</v>
      </c>
      <c r="H1172" s="39">
        <v>162</v>
      </c>
      <c r="I1172" s="40">
        <f>=H1172*1.05</f>
        <v>170.1</v>
      </c>
      <c r="J1172" s="40">
        <f>=F1172*2</f>
        <v>291.6</v>
      </c>
      <c r="K1172" s="40">
        <f>=H1172*2</f>
        <v>324</v>
      </c>
      <c r="L1172" s="40">
        <f>=I1172*2</f>
        <v>340.2</v>
      </c>
      <c r="M1172" s="41" t="s">
        <v>1217</v>
      </c>
      <c r="N1172" s="41">
        <v>0.381</v>
      </c>
      <c r="O1172" s="41" t="s"/>
      <c r="P1172" s="41" t="s">
        <v>21</v>
      </c>
      <c r="Q1172" s="41" t="s">
        <v>21</v>
      </c>
      <c r="R1172" s="41" t="s">
        <v>16</v>
      </c>
      <c r="S1172" s="41" t="s">
        <v>17</v>
      </c>
      <c r="T1172" s="41" t="s">
        <v>1172</v>
      </c>
      <c r="U1172" s="16" t="s">
        <v>13</v>
      </c>
      <c r="V1172" s="16" t="s">
        <v>1083</v>
      </c>
      <c r="W1172" s="19" t="s"/>
      <c r="X1172" s="26" t="s">
        <f>=M1172&amp;N1172&amp;P1172&amp;Q1172&amp;T1172&amp;V1172&amp;S1172</f>
        <v>1284</v>
      </c>
      <c r="Y1172" s="19" t="s"/>
      <c r="Z1172" s="19" t="s"/>
      <c r="AA1172" s="19" t="s"/>
      <c r="AB1172" s="19" t="s"/>
    </row>
    <row r="1173" spans="1:28" ht="14.4">
      <c r="A1173" s="4">
        <f>=H1173/G1173-1</f>
        <v>0.101639344262295</v>
      </c>
      <c r="B1173" s="20">
        <f>=F1173/12</f>
        <v>25.2</v>
      </c>
      <c r="C1173" s="20">
        <f>=J1173/3</f>
        <v>201.6</v>
      </c>
      <c r="D1173" s="20">
        <f>=K1173/3</f>
        <v>224</v>
      </c>
      <c r="E1173" s="20">
        <f>=L1173/3</f>
        <v>235.2</v>
      </c>
      <c r="F1173" s="20">
        <f>=H1173*0.9</f>
        <v>302.4</v>
      </c>
      <c r="G1173" s="21">
        <v>305</v>
      </c>
      <c r="H1173" s="39">
        <v>336</v>
      </c>
      <c r="I1173" s="40">
        <f>=H1173*1.05</f>
        <v>352.8</v>
      </c>
      <c r="J1173" s="40">
        <f>=F1173*2</f>
        <v>604.8</v>
      </c>
      <c r="K1173" s="40">
        <f>=H1173*2</f>
        <v>672</v>
      </c>
      <c r="L1173" s="40">
        <f>=I1173*2</f>
        <v>705.6</v>
      </c>
      <c r="M1173" s="41" t="s">
        <v>1217</v>
      </c>
      <c r="N1173" s="41">
        <v>0.381</v>
      </c>
      <c r="O1173" s="41" t="s"/>
      <c r="P1173" s="41">
        <v>2</v>
      </c>
      <c r="Q1173" s="41">
        <v>2</v>
      </c>
      <c r="R1173" s="41" t="s">
        <v>16</v>
      </c>
      <c r="S1173" s="41" t="s">
        <v>17</v>
      </c>
      <c r="T1173" s="41" t="s">
        <v>1172</v>
      </c>
      <c r="U1173" s="16" t="s">
        <v>13</v>
      </c>
      <c r="V1173" s="16" t="s">
        <v>215</v>
      </c>
      <c r="W1173" s="19" t="s"/>
      <c r="X1173" s="26" t="s">
        <f>=M1173&amp;N1173&amp;P1173&amp;Q1173&amp;T1173&amp;V1173&amp;S1173</f>
        <v>1285</v>
      </c>
      <c r="Y1173" s="19" t="s"/>
      <c r="Z1173" s="19" t="s"/>
      <c r="AA1173" s="19" t="s"/>
      <c r="AB1173" s="19" t="s"/>
    </row>
    <row r="1174" spans="1:28" ht="14.4">
      <c r="A1174" s="4">
        <f>=H1174/G1174-1</f>
        <v>0.0996563573883163</v>
      </c>
      <c r="B1174" s="20">
        <f>=F1174/12</f>
        <v>24</v>
      </c>
      <c r="C1174" s="20">
        <f>=J1174/3</f>
        <v>192</v>
      </c>
      <c r="D1174" s="20">
        <f>=K1174/3</f>
        <v>213.333333333333</v>
      </c>
      <c r="E1174" s="20">
        <f>=L1174/3</f>
        <v>224</v>
      </c>
      <c r="F1174" s="20">
        <f>=H1174*0.9</f>
        <v>288</v>
      </c>
      <c r="G1174" s="21">
        <v>291</v>
      </c>
      <c r="H1174" s="39">
        <v>320</v>
      </c>
      <c r="I1174" s="40">
        <f>=H1174*1.05</f>
        <v>336</v>
      </c>
      <c r="J1174" s="40">
        <f>=F1174*2</f>
        <v>576</v>
      </c>
      <c r="K1174" s="40">
        <f>=H1174*2</f>
        <v>640</v>
      </c>
      <c r="L1174" s="40">
        <f>=I1174*2</f>
        <v>672</v>
      </c>
      <c r="M1174" s="41" t="s">
        <v>1217</v>
      </c>
      <c r="N1174" s="41">
        <v>0.381</v>
      </c>
      <c r="O1174" s="41" t="s"/>
      <c r="P1174" s="41">
        <v>2</v>
      </c>
      <c r="Q1174" s="41">
        <v>2</v>
      </c>
      <c r="R1174" s="41" t="s">
        <v>16</v>
      </c>
      <c r="S1174" s="41" t="s">
        <v>17</v>
      </c>
      <c r="T1174" s="41" t="s">
        <v>1286</v>
      </c>
      <c r="U1174" s="16" t="s">
        <v>13</v>
      </c>
      <c r="V1174" s="16" t="s">
        <v>215</v>
      </c>
      <c r="W1174" s="19" t="s"/>
      <c r="X1174" s="26" t="s">
        <f>=M1174&amp;N1174&amp;P1174&amp;Q1174&amp;T1174&amp;V1174&amp;S1174</f>
        <v>1287</v>
      </c>
      <c r="Y1174" s="19" t="s"/>
      <c r="Z1174" s="19" t="s"/>
      <c r="AA1174" s="19" t="s"/>
      <c r="AB1174" s="19" t="s"/>
    </row>
    <row r="1175" spans="1:28" ht="14.4">
      <c r="A1175" s="4">
        <f>=H1175/G1175-1</f>
        <v>0.075</v>
      </c>
      <c r="B1175" s="20">
        <f>=F1175/12</f>
        <v>16.125</v>
      </c>
      <c r="C1175" s="20">
        <f>=J1175/3</f>
        <v>129</v>
      </c>
      <c r="D1175" s="20">
        <f>=K1175/3</f>
        <v>143.333333333333</v>
      </c>
      <c r="E1175" s="20">
        <f>=L1175/3</f>
        <v>150.5</v>
      </c>
      <c r="F1175" s="20">
        <f>=H1175*0.9</f>
        <v>193.5</v>
      </c>
      <c r="G1175" s="21">
        <v>200</v>
      </c>
      <c r="H1175" s="39">
        <v>215</v>
      </c>
      <c r="I1175" s="40">
        <f>=H1175*1.05</f>
        <v>225.75</v>
      </c>
      <c r="J1175" s="40">
        <f>=F1175*2</f>
        <v>387</v>
      </c>
      <c r="K1175" s="40">
        <f>=H1175*2</f>
        <v>430</v>
      </c>
      <c r="L1175" s="40">
        <f>=I1175*2</f>
        <v>451.5</v>
      </c>
      <c r="M1175" s="41" t="s">
        <v>1217</v>
      </c>
      <c r="N1175" s="41">
        <v>0.4</v>
      </c>
      <c r="O1175" s="41" t="s"/>
      <c r="P1175" s="41">
        <v>1</v>
      </c>
      <c r="Q1175" s="41">
        <v>1</v>
      </c>
      <c r="R1175" s="41" t="s">
        <v>16</v>
      </c>
      <c r="S1175" s="41" t="s">
        <v>17</v>
      </c>
      <c r="T1175" s="138" t="s">
        <v>76</v>
      </c>
      <c r="U1175" s="16" t="s">
        <v>13</v>
      </c>
      <c r="V1175" s="16" t="s">
        <v>1083</v>
      </c>
      <c r="W1175" s="17" t="s">
        <v>352</v>
      </c>
      <c r="X1175" s="26" t="s">
        <f>=M1175&amp;N1175&amp;P1175&amp;Q1175&amp;T1175&amp;V1175&amp;S1175</f>
        <v>1288</v>
      </c>
      <c r="Y1175" s="19" t="s"/>
      <c r="Z1175" s="19" t="s"/>
      <c r="AA1175" s="19" t="s"/>
      <c r="AB1175" s="19" t="s"/>
    </row>
    <row r="1176" spans="1:28" ht="14.4">
      <c r="A1176" s="4">
        <f>=H1176/G1176-1</f>
        <v>0.100746268656716</v>
      </c>
      <c r="B1176" s="20">
        <f>=F1176/12</f>
        <v>22.125</v>
      </c>
      <c r="C1176" s="20">
        <f>=J1176/3</f>
        <v>177</v>
      </c>
      <c r="D1176" s="20">
        <f>=K1176/3</f>
        <v>196.666666666667</v>
      </c>
      <c r="E1176" s="20">
        <f>=L1176/3</f>
        <v>206.5</v>
      </c>
      <c r="F1176" s="20">
        <f>=H1176*0.9</f>
        <v>265.5</v>
      </c>
      <c r="G1176" s="21">
        <v>268</v>
      </c>
      <c r="H1176" s="39">
        <v>295</v>
      </c>
      <c r="I1176" s="40">
        <f>=H1176*1.05</f>
        <v>309.75</v>
      </c>
      <c r="J1176" s="40">
        <f>=F1176*2</f>
        <v>531</v>
      </c>
      <c r="K1176" s="40">
        <f>=H1176*2</f>
        <v>590</v>
      </c>
      <c r="L1176" s="40">
        <f>=I1176*2</f>
        <v>619.5</v>
      </c>
      <c r="M1176" s="41" t="s">
        <v>1217</v>
      </c>
      <c r="N1176" s="41">
        <v>0.457</v>
      </c>
      <c r="O1176" s="41" t="s"/>
      <c r="P1176" s="41">
        <v>1</v>
      </c>
      <c r="Q1176" s="41">
        <v>1</v>
      </c>
      <c r="R1176" s="41" t="s">
        <v>16</v>
      </c>
      <c r="S1176" s="41" t="s">
        <v>17</v>
      </c>
      <c r="T1176" s="138" t="s">
        <v>1186</v>
      </c>
      <c r="U1176" s="16" t="s">
        <v>13</v>
      </c>
      <c r="V1176" s="16" t="s">
        <v>1083</v>
      </c>
      <c r="W1176" s="19" t="s"/>
      <c r="X1176" s="26" t="s">
        <f>=M1176&amp;N1176&amp;P1176&amp;Q1176&amp;T1176&amp;V1176&amp;S1176</f>
        <v>1289</v>
      </c>
      <c r="Y1176" s="19" t="s"/>
      <c r="Z1176" s="19" t="s"/>
      <c r="AA1176" s="19" t="s"/>
      <c r="AB1176" s="19" t="s"/>
    </row>
    <row r="1177" spans="1:28" ht="14.4">
      <c r="A1177" s="4">
        <f>=H1177/G1177-1</f>
        <v>0.0996168582375479</v>
      </c>
      <c r="B1177" s="20">
        <f>=F1177/12</f>
        <v>21.525</v>
      </c>
      <c r="C1177" s="20">
        <f>=J1177/3</f>
        <v>172.2</v>
      </c>
      <c r="D1177" s="20">
        <f>=K1177/3</f>
        <v>191.333333333333</v>
      </c>
      <c r="E1177" s="20">
        <f>=L1177/3</f>
        <v>200.9</v>
      </c>
      <c r="F1177" s="20">
        <f>=H1177*0.9</f>
        <v>258.3</v>
      </c>
      <c r="G1177" s="21">
        <v>261</v>
      </c>
      <c r="H1177" s="39">
        <v>287</v>
      </c>
      <c r="I1177" s="40">
        <f>=H1177*1.05</f>
        <v>301.35</v>
      </c>
      <c r="J1177" s="40">
        <f>=F1177*2</f>
        <v>516.6</v>
      </c>
      <c r="K1177" s="40">
        <f>=H1177*2</f>
        <v>574</v>
      </c>
      <c r="L1177" s="40">
        <f>=I1177*2</f>
        <v>602.7</v>
      </c>
      <c r="M1177" s="41" t="s">
        <v>1217</v>
      </c>
      <c r="N1177" s="41">
        <v>0.457</v>
      </c>
      <c r="O1177" s="41" t="s"/>
      <c r="P1177" s="41">
        <v>1</v>
      </c>
      <c r="Q1177" s="41">
        <v>1</v>
      </c>
      <c r="R1177" s="41" t="s">
        <v>16</v>
      </c>
      <c r="S1177" s="41" t="s">
        <v>17</v>
      </c>
      <c r="T1177" s="138" t="s">
        <v>1186</v>
      </c>
      <c r="U1177" s="16" t="s">
        <v>13</v>
      </c>
      <c r="V1177" s="16" t="s">
        <v>215</v>
      </c>
      <c r="W1177" s="19" t="s"/>
      <c r="X1177" s="26" t="s">
        <f>=M1177&amp;N1177&amp;P1177&amp;Q1177&amp;T1177&amp;V1177&amp;S1177</f>
        <v>1290</v>
      </c>
      <c r="Y1177" s="19" t="s"/>
      <c r="Z1177" s="19" t="s"/>
      <c r="AA1177" s="19" t="s"/>
      <c r="AB1177" s="19" t="s"/>
    </row>
    <row r="1178" spans="1:28" ht="14.4">
      <c r="A1178" s="4">
        <f>=H1178/G1178-1</f>
        <v>0.098901098901099</v>
      </c>
      <c r="B1178" s="20">
        <f>=F1178/12</f>
        <v>30</v>
      </c>
      <c r="C1178" s="20">
        <f>=J1178/3</f>
        <v>240</v>
      </c>
      <c r="D1178" s="20">
        <f>=K1178/3</f>
        <v>266.666666666667</v>
      </c>
      <c r="E1178" s="20">
        <f>=L1178/3</f>
        <v>280</v>
      </c>
      <c r="F1178" s="20">
        <f>=H1178*0.9</f>
        <v>360</v>
      </c>
      <c r="G1178" s="21">
        <v>364</v>
      </c>
      <c r="H1178" s="39">
        <v>400</v>
      </c>
      <c r="I1178" s="40">
        <f>=H1178*1.05</f>
        <v>420</v>
      </c>
      <c r="J1178" s="40">
        <f>=F1178*2</f>
        <v>720</v>
      </c>
      <c r="K1178" s="40">
        <f>=H1178*2</f>
        <v>800</v>
      </c>
      <c r="L1178" s="40">
        <f>=I1178*2</f>
        <v>840</v>
      </c>
      <c r="M1178" s="41" t="s">
        <v>1217</v>
      </c>
      <c r="N1178" s="41">
        <v>0.508</v>
      </c>
      <c r="O1178" s="41" t="s"/>
      <c r="P1178" s="41">
        <v>2</v>
      </c>
      <c r="Q1178" s="41">
        <v>2</v>
      </c>
      <c r="R1178" s="41" t="s">
        <v>16</v>
      </c>
      <c r="S1178" s="41" t="s">
        <v>17</v>
      </c>
      <c r="T1178" s="138" t="s">
        <v>377</v>
      </c>
      <c r="U1178" s="16" t="s">
        <v>13</v>
      </c>
      <c r="V1178" s="16" t="s">
        <v>215</v>
      </c>
      <c r="W1178" s="19" t="s"/>
      <c r="X1178" s="26" t="s">
        <f>=M1178&amp;N1178&amp;P1178&amp;Q1178&amp;T1178&amp;V1178&amp;S1178</f>
        <v>1291</v>
      </c>
      <c r="Y1178" s="19" t="s"/>
      <c r="Z1178" s="19" t="s"/>
      <c r="AA1178" s="19" t="s"/>
      <c r="AB1178" s="19" t="s"/>
    </row>
    <row r="1179" spans="1:28" ht="14.4">
      <c r="A1179" s="4">
        <f>=H1179/G1179-1</f>
        <v>0.098901098901099</v>
      </c>
      <c r="B1179" s="20">
        <f>=F1179/12</f>
        <v>30</v>
      </c>
      <c r="C1179" s="20">
        <f>=J1179/3</f>
        <v>240</v>
      </c>
      <c r="D1179" s="20">
        <f>=K1179/3</f>
        <v>266.666666666667</v>
      </c>
      <c r="E1179" s="20">
        <f>=L1179/3</f>
        <v>280</v>
      </c>
      <c r="F1179" s="20">
        <f>=H1179*0.9</f>
        <v>360</v>
      </c>
      <c r="G1179" s="21">
        <v>364</v>
      </c>
      <c r="H1179" s="39">
        <v>400</v>
      </c>
      <c r="I1179" s="40">
        <f>=H1179*1.05</f>
        <v>420</v>
      </c>
      <c r="J1179" s="40">
        <f>=F1179*2</f>
        <v>720</v>
      </c>
      <c r="K1179" s="40">
        <f>=H1179*2</f>
        <v>800</v>
      </c>
      <c r="L1179" s="40">
        <f>=I1179*2</f>
        <v>840</v>
      </c>
      <c r="M1179" s="41" t="s">
        <v>1217</v>
      </c>
      <c r="N1179" s="41">
        <v>0.508</v>
      </c>
      <c r="O1179" s="41" t="s"/>
      <c r="P1179" s="41">
        <v>2</v>
      </c>
      <c r="Q1179" s="41">
        <v>2</v>
      </c>
      <c r="R1179" s="41" t="s">
        <v>16</v>
      </c>
      <c r="S1179" s="41" t="s">
        <v>17</v>
      </c>
      <c r="T1179" s="41" t="s">
        <v>1286</v>
      </c>
      <c r="U1179" s="16" t="s">
        <v>13</v>
      </c>
      <c r="V1179" s="16" t="s">
        <v>215</v>
      </c>
      <c r="W1179" s="19" t="s"/>
      <c r="X1179" s="26" t="s">
        <f>=M1179&amp;N1179&amp;P1179&amp;Q1179&amp;T1179&amp;V1179&amp;S1179</f>
        <v>1292</v>
      </c>
      <c r="Y1179" s="19" t="s"/>
      <c r="Z1179" s="19" t="s"/>
      <c r="AA1179" s="19" t="s"/>
      <c r="AB1179" s="19" t="s"/>
    </row>
    <row r="1180" spans="1:28" ht="14.4">
      <c r="A1180" s="4">
        <f>=H1180/G1180-1</f>
        <v>0.100877192982456</v>
      </c>
      <c r="B1180" s="20">
        <f>=F1180/12</f>
        <v>18.825</v>
      </c>
      <c r="C1180" s="20">
        <f>=J1180/3</f>
        <v>150.6</v>
      </c>
      <c r="D1180" s="20">
        <f>=K1180/3</f>
        <v>167.333333333333</v>
      </c>
      <c r="E1180" s="20">
        <f>=L1180/3</f>
        <v>175.7</v>
      </c>
      <c r="F1180" s="20">
        <f>=H1180*0.9</f>
        <v>225.9</v>
      </c>
      <c r="G1180" s="21">
        <v>228</v>
      </c>
      <c r="H1180" s="39">
        <v>251</v>
      </c>
      <c r="I1180" s="40">
        <f>=H1180*1.05</f>
        <v>263.55</v>
      </c>
      <c r="J1180" s="40">
        <f>=F1180*2</f>
        <v>451.8</v>
      </c>
      <c r="K1180" s="40">
        <f>=H1180*2</f>
        <v>502</v>
      </c>
      <c r="L1180" s="40">
        <f>=I1180*2</f>
        <v>527.1</v>
      </c>
      <c r="M1180" s="41" t="s">
        <v>1217</v>
      </c>
      <c r="N1180" s="41">
        <v>0.508</v>
      </c>
      <c r="O1180" s="41" t="s"/>
      <c r="P1180" s="41">
        <v>1</v>
      </c>
      <c r="Q1180" s="41">
        <v>1</v>
      </c>
      <c r="R1180" s="41" t="s">
        <v>16</v>
      </c>
      <c r="S1180" s="41" t="s">
        <v>17</v>
      </c>
      <c r="T1180" s="138" t="s">
        <v>377</v>
      </c>
      <c r="U1180" s="16" t="s">
        <v>13</v>
      </c>
      <c r="V1180" s="16" t="s">
        <v>1083</v>
      </c>
      <c r="W1180" s="19" t="s"/>
      <c r="X1180" s="26" t="s">
        <f>=M1180&amp;N1180&amp;P1180&amp;Q1180&amp;T1180&amp;V1180&amp;S1180</f>
        <v>1293</v>
      </c>
      <c r="Y1180" s="19" t="s"/>
      <c r="Z1180" s="19" t="s"/>
      <c r="AA1180" s="19" t="s"/>
      <c r="AB1180" s="19" t="s"/>
    </row>
    <row r="1181" spans="1:28" ht="14.4">
      <c r="A1181" s="4">
        <f>=H1181/G1181-1</f>
        <v>0.101063829787234</v>
      </c>
      <c r="B1181" s="20">
        <f>=F1181/12</f>
        <v>15.525</v>
      </c>
      <c r="C1181" s="20">
        <f>=J1181/3</f>
        <v>124.2</v>
      </c>
      <c r="D1181" s="20">
        <f>=K1181/3</f>
        <v>138</v>
      </c>
      <c r="E1181" s="20">
        <f>=L1181/3</f>
        <v>144.9</v>
      </c>
      <c r="F1181" s="20">
        <f>=H1181*0.9</f>
        <v>186.3</v>
      </c>
      <c r="G1181" s="21">
        <v>188</v>
      </c>
      <c r="H1181" s="39">
        <v>207</v>
      </c>
      <c r="I1181" s="40">
        <f>=H1181*1.05</f>
        <v>217.35</v>
      </c>
      <c r="J1181" s="40">
        <f>=F1181*2</f>
        <v>372.6</v>
      </c>
      <c r="K1181" s="40">
        <f>=H1181*2</f>
        <v>414</v>
      </c>
      <c r="L1181" s="40">
        <f>=I1181*2</f>
        <v>434.7</v>
      </c>
      <c r="M1181" s="41" t="s">
        <v>1217</v>
      </c>
      <c r="N1181" s="41">
        <v>0.61</v>
      </c>
      <c r="O1181" s="41" t="s"/>
      <c r="P1181" s="41" t="s">
        <v>21</v>
      </c>
      <c r="Q1181" s="41" t="s">
        <v>21</v>
      </c>
      <c r="R1181" s="41" t="s">
        <v>16</v>
      </c>
      <c r="S1181" s="41" t="s">
        <v>17</v>
      </c>
      <c r="T1181" s="41" t="s">
        <v>413</v>
      </c>
      <c r="U1181" s="16" t="s">
        <v>13</v>
      </c>
      <c r="V1181" s="16" t="s">
        <v>215</v>
      </c>
      <c r="W1181" s="19" t="s"/>
      <c r="X1181" s="26" t="s">
        <f>=M1181&amp;N1181&amp;P1181&amp;Q1181&amp;T1181&amp;V1181&amp;S1181</f>
        <v>1294</v>
      </c>
      <c r="Y1181" s="19" t="s"/>
      <c r="Z1181" s="19" t="s"/>
      <c r="AA1181" s="19" t="s"/>
      <c r="AB1181" s="19" t="s"/>
    </row>
    <row r="1182" spans="1:28" ht="14.4">
      <c r="A1182" s="4">
        <f>=H1182/G1182-1</f>
        <v>0.101796407185629</v>
      </c>
      <c r="B1182" s="20">
        <f>=F1182/12</f>
        <v>13.8</v>
      </c>
      <c r="C1182" s="20">
        <f>=J1182/3</f>
        <v>110.4</v>
      </c>
      <c r="D1182" s="20">
        <f>=K1182/3</f>
        <v>122.666666666667</v>
      </c>
      <c r="E1182" s="20">
        <f>=L1182/3</f>
        <v>128.8</v>
      </c>
      <c r="F1182" s="20">
        <f>=H1182*0.9</f>
        <v>165.6</v>
      </c>
      <c r="G1182" s="21">
        <v>167</v>
      </c>
      <c r="H1182" s="39">
        <v>184</v>
      </c>
      <c r="I1182" s="40">
        <f>=H1182*1.05</f>
        <v>193.2</v>
      </c>
      <c r="J1182" s="40">
        <f>=F1182*2</f>
        <v>331.2</v>
      </c>
      <c r="K1182" s="40">
        <f>=H1182*2</f>
        <v>368</v>
      </c>
      <c r="L1182" s="40">
        <f>=I1182*2</f>
        <v>386.4</v>
      </c>
      <c r="M1182" s="41" t="s">
        <v>1217</v>
      </c>
      <c r="N1182" s="41">
        <v>0.61</v>
      </c>
      <c r="O1182" s="41" t="s"/>
      <c r="P1182" s="41" t="s">
        <v>21</v>
      </c>
      <c r="Q1182" s="41" t="s">
        <v>21</v>
      </c>
      <c r="R1182" s="41" t="s">
        <v>16</v>
      </c>
      <c r="S1182" s="41" t="s">
        <v>17</v>
      </c>
      <c r="T1182" s="41" t="s">
        <v>110</v>
      </c>
      <c r="U1182" s="16" t="s">
        <v>13</v>
      </c>
      <c r="V1182" s="16" t="s">
        <v>215</v>
      </c>
      <c r="W1182" s="19" t="s"/>
      <c r="X1182" s="26" t="s">
        <f>=M1182&amp;N1182&amp;P1182&amp;Q1182&amp;T1182&amp;V1182&amp;S1182</f>
        <v>1295</v>
      </c>
      <c r="Y1182" s="19" t="s"/>
      <c r="Z1182" s="19" t="s"/>
      <c r="AA1182" s="19" t="s"/>
      <c r="AB1182" s="19" t="s"/>
    </row>
    <row r="1183" spans="1:28" ht="14.4">
      <c r="A1183" s="4">
        <f>=H1183/G1183-1</f>
        <v>0.098360655737705</v>
      </c>
      <c r="B1183" s="20">
        <f>=F1183/12</f>
        <v>20.1</v>
      </c>
      <c r="C1183" s="20">
        <f>=J1183/3</f>
        <v>160.8</v>
      </c>
      <c r="D1183" s="20">
        <f>=K1183/3</f>
        <v>178.666666666667</v>
      </c>
      <c r="E1183" s="20">
        <f>=L1183/3</f>
        <v>187.6</v>
      </c>
      <c r="F1183" s="20">
        <f>=H1183*0.9</f>
        <v>241.2</v>
      </c>
      <c r="G1183" s="21">
        <v>244</v>
      </c>
      <c r="H1183" s="39">
        <v>268</v>
      </c>
      <c r="I1183" s="40">
        <f>=H1183*1.05</f>
        <v>281.4</v>
      </c>
      <c r="J1183" s="40">
        <f>=F1183*2</f>
        <v>482.4</v>
      </c>
      <c r="K1183" s="40">
        <f>=H1183*2</f>
        <v>536</v>
      </c>
      <c r="L1183" s="40">
        <f>=I1183*2</f>
        <v>562.8</v>
      </c>
      <c r="M1183" s="41" t="s">
        <v>1217</v>
      </c>
      <c r="N1183" s="41">
        <v>0.635</v>
      </c>
      <c r="O1183" s="41" t="s"/>
      <c r="P1183" s="41">
        <v>1</v>
      </c>
      <c r="Q1183" s="41">
        <v>1</v>
      </c>
      <c r="R1183" s="41" t="s">
        <v>16</v>
      </c>
      <c r="S1183" s="41" t="s">
        <v>17</v>
      </c>
      <c r="T1183" s="41" t="s">
        <v>1296</v>
      </c>
      <c r="U1183" s="16" t="s">
        <v>13</v>
      </c>
      <c r="V1183" s="16" t="s">
        <v>1083</v>
      </c>
      <c r="W1183" s="19" t="s"/>
      <c r="X1183" s="26" t="s">
        <f>=M1183&amp;N1183&amp;P1183&amp;Q1183&amp;T1183&amp;V1183&amp;S1183</f>
        <v>1297</v>
      </c>
      <c r="Y1183" s="19" t="s"/>
      <c r="Z1183" s="19" t="s"/>
      <c r="AA1183" s="19" t="s"/>
      <c r="AB1183" s="19" t="s"/>
    </row>
    <row r="1184" spans="1:28" ht="14.4">
      <c r="A1184" s="4">
        <f>=H1184/G1184-1</f>
        <v>0.0990099009900991</v>
      </c>
      <c r="B1184" s="20">
        <f>=F1184/12</f>
        <v>16.65</v>
      </c>
      <c r="C1184" s="20">
        <f>=J1184/3</f>
        <v>133.2</v>
      </c>
      <c r="D1184" s="20">
        <f>=K1184/3</f>
        <v>148</v>
      </c>
      <c r="E1184" s="20">
        <f>=L1184/3</f>
        <v>155.4</v>
      </c>
      <c r="F1184" s="20">
        <f>=H1184*0.9</f>
        <v>199.8</v>
      </c>
      <c r="G1184" s="21">
        <v>202</v>
      </c>
      <c r="H1184" s="39">
        <v>222</v>
      </c>
      <c r="I1184" s="40">
        <f>=H1184*1.05</f>
        <v>233.1</v>
      </c>
      <c r="J1184" s="40">
        <f>=F1184*2</f>
        <v>399.6</v>
      </c>
      <c r="K1184" s="40">
        <f>=H1184*2</f>
        <v>444</v>
      </c>
      <c r="L1184" s="40">
        <f>=I1184*2</f>
        <v>466.2</v>
      </c>
      <c r="M1184" s="41" t="s">
        <v>1217</v>
      </c>
      <c r="N1184" s="41">
        <v>0.711</v>
      </c>
      <c r="O1184" s="41" t="s"/>
      <c r="P1184" s="41" t="s">
        <v>21</v>
      </c>
      <c r="Q1184" s="41" t="s">
        <v>21</v>
      </c>
      <c r="R1184" s="41" t="s">
        <v>16</v>
      </c>
      <c r="S1184" s="41" t="s">
        <v>17</v>
      </c>
      <c r="T1184" s="41" t="s">
        <v>784</v>
      </c>
      <c r="U1184" s="16" t="s">
        <v>13</v>
      </c>
      <c r="V1184" s="16" t="s">
        <v>215</v>
      </c>
      <c r="W1184" s="19" t="s"/>
      <c r="X1184" s="26" t="s">
        <f>=M1184&amp;N1184&amp;P1184&amp;Q1184&amp;T1184&amp;V1184&amp;S1184</f>
        <v>1298</v>
      </c>
      <c r="Y1184" s="19" t="s"/>
      <c r="Z1184" s="19" t="s"/>
      <c r="AA1184" s="19" t="s"/>
      <c r="AB1184" s="19" t="s"/>
    </row>
    <row r="1185" spans="1:28" ht="14.4">
      <c r="A1185" s="4">
        <f>=H1185/G1185-1</f>
        <v>0.101694915254237</v>
      </c>
      <c r="B1185" s="20">
        <f>=F1185/12</f>
        <v>14.625</v>
      </c>
      <c r="C1185" s="20">
        <f>=J1185/3</f>
        <v>117</v>
      </c>
      <c r="D1185" s="20">
        <f>=K1185/3</f>
        <v>130</v>
      </c>
      <c r="E1185" s="20">
        <f>=L1185/3</f>
        <v>136.5</v>
      </c>
      <c r="F1185" s="20">
        <f>=H1185*0.9</f>
        <v>175.5</v>
      </c>
      <c r="G1185" s="21">
        <v>177</v>
      </c>
      <c r="H1185" s="39">
        <v>195</v>
      </c>
      <c r="I1185" s="40">
        <f>=H1185*1.05</f>
        <v>204.75</v>
      </c>
      <c r="J1185" s="40">
        <f>=F1185*2</f>
        <v>351</v>
      </c>
      <c r="K1185" s="40">
        <f>=H1185*2</f>
        <v>390</v>
      </c>
      <c r="L1185" s="40">
        <f>=I1185*2</f>
        <v>409.5</v>
      </c>
      <c r="M1185" s="41" t="s">
        <v>1217</v>
      </c>
      <c r="N1185" s="41">
        <v>0.711</v>
      </c>
      <c r="O1185" s="41" t="s"/>
      <c r="P1185" s="41" t="s">
        <v>21</v>
      </c>
      <c r="Q1185" s="41" t="s">
        <v>21</v>
      </c>
      <c r="R1185" s="41" t="s">
        <v>16</v>
      </c>
      <c r="S1185" s="41" t="s">
        <v>17</v>
      </c>
      <c r="T1185" s="41" t="s">
        <v>110</v>
      </c>
      <c r="U1185" s="16" t="s">
        <v>13</v>
      </c>
      <c r="V1185" s="16" t="s">
        <v>215</v>
      </c>
      <c r="W1185" s="19" t="s"/>
      <c r="X1185" s="37" t="s">
        <f>=M1185&amp;N1185&amp;P1185&amp;Q1185&amp;T1185&amp;V1185&amp;S1185</f>
        <v>1299</v>
      </c>
      <c r="Y1185" s="19" t="s"/>
      <c r="Z1185" s="19" t="s"/>
      <c r="AA1185" s="19" t="s"/>
      <c r="AB1185" s="19" t="s"/>
    </row>
    <row r="1186" spans="1:28" ht="14.4">
      <c r="A1186" s="4">
        <f>=H1186/G1186-1</f>
        <v>0.100286532951289</v>
      </c>
      <c r="B1186" s="20">
        <f>=F1186/12</f>
        <v>28.8</v>
      </c>
      <c r="C1186" s="20">
        <f>=J1186/3</f>
        <v>230.4</v>
      </c>
      <c r="D1186" s="20">
        <f>=K1186/3</f>
        <v>256</v>
      </c>
      <c r="E1186" s="20">
        <f>=L1186/3</f>
        <v>268.8</v>
      </c>
      <c r="F1186" s="20">
        <f>=H1186*0.9</f>
        <v>345.6</v>
      </c>
      <c r="G1186" s="21">
        <v>349</v>
      </c>
      <c r="H1186" s="39">
        <v>384</v>
      </c>
      <c r="I1186" s="40">
        <f>=H1186*1.05</f>
        <v>403.2</v>
      </c>
      <c r="J1186" s="40">
        <f>=F1186*2</f>
        <v>691.2</v>
      </c>
      <c r="K1186" s="40">
        <f>=H1186*2</f>
        <v>768</v>
      </c>
      <c r="L1186" s="40">
        <f>=I1186*2</f>
        <v>806.4</v>
      </c>
      <c r="M1186" s="41" t="s">
        <v>1217</v>
      </c>
      <c r="N1186" s="41">
        <v>0.711</v>
      </c>
      <c r="O1186" s="41" t="s"/>
      <c r="P1186" s="41">
        <v>2</v>
      </c>
      <c r="Q1186" s="41">
        <v>2</v>
      </c>
      <c r="R1186" s="41" t="s">
        <v>16</v>
      </c>
      <c r="S1186" s="41" t="s">
        <v>17</v>
      </c>
      <c r="T1186" s="41" t="s">
        <v>784</v>
      </c>
      <c r="U1186" s="16" t="s">
        <v>13</v>
      </c>
      <c r="V1186" s="16" t="s">
        <v>215</v>
      </c>
      <c r="W1186" s="19" t="s"/>
      <c r="X1186" s="26" t="s">
        <f>=M1186&amp;N1186&amp;P1186&amp;Q1186&amp;T1186&amp;V1186&amp;S1186</f>
        <v>1300</v>
      </c>
      <c r="Y1186" s="19" t="s"/>
      <c r="Z1186" s="19" t="s"/>
      <c r="AA1186" s="19" t="s"/>
      <c r="AB1186" s="19" t="s"/>
    </row>
    <row r="1187" spans="1:28" ht="14.4">
      <c r="A1187" s="4">
        <f>=H1187/G1187-1</f>
        <v>0.101045296167247</v>
      </c>
      <c r="B1187" s="20">
        <f>=F1187/12</f>
        <v>23.7</v>
      </c>
      <c r="C1187" s="20">
        <f>=J1187/3</f>
        <v>189.6</v>
      </c>
      <c r="D1187" s="20">
        <f>=K1187/3</f>
        <v>210.666666666667</v>
      </c>
      <c r="E1187" s="20">
        <f>=L1187/3</f>
        <v>221.2</v>
      </c>
      <c r="F1187" s="20">
        <f>=H1187*0.9</f>
        <v>284.4</v>
      </c>
      <c r="G1187" s="21">
        <v>287</v>
      </c>
      <c r="H1187" s="39">
        <v>316</v>
      </c>
      <c r="I1187" s="40">
        <f>=H1187*1.05</f>
        <v>331.8</v>
      </c>
      <c r="J1187" s="40">
        <f>=F1187*2</f>
        <v>568.8</v>
      </c>
      <c r="K1187" s="40">
        <f>=H1187*2</f>
        <v>632</v>
      </c>
      <c r="L1187" s="40">
        <f>=I1187*2</f>
        <v>663.6</v>
      </c>
      <c r="M1187" s="41" t="s">
        <v>1217</v>
      </c>
      <c r="N1187" s="41">
        <v>1</v>
      </c>
      <c r="O1187" s="41" t="s"/>
      <c r="P1187" s="41" t="s">
        <v>21</v>
      </c>
      <c r="Q1187" s="41">
        <v>1</v>
      </c>
      <c r="R1187" s="41" t="s">
        <v>16</v>
      </c>
      <c r="S1187" s="41" t="s">
        <v>17</v>
      </c>
      <c r="T1187" s="41" t="s">
        <v>147</v>
      </c>
      <c r="U1187" s="16" t="s">
        <v>13</v>
      </c>
      <c r="V1187" s="16" t="s">
        <v>1083</v>
      </c>
      <c r="W1187" s="19" t="s"/>
      <c r="X1187" s="26" t="s">
        <f>=M1187&amp;N1187&amp;P1187&amp;Q1187&amp;T1187&amp;V1187&amp;S1187</f>
        <v>1301</v>
      </c>
      <c r="Y1187" s="19" t="s"/>
      <c r="Z1187" s="19" t="s"/>
      <c r="AA1187" s="19" t="s"/>
      <c r="AB1187" s="19" t="s"/>
    </row>
    <row r="1188" spans="1:28" ht="14.4">
      <c r="A1188" s="4">
        <f>=H1188/G1188-1</f>
        <v>0.101190476190476</v>
      </c>
      <c r="B1188" s="20">
        <f>=F1188/12</f>
        <v>27.75</v>
      </c>
      <c r="C1188" s="20">
        <f>=J1188/3</f>
        <v>222</v>
      </c>
      <c r="D1188" s="20">
        <f>=K1188/3</f>
        <v>246.666666666667</v>
      </c>
      <c r="E1188" s="20">
        <f>=L1188/3</f>
        <v>259</v>
      </c>
      <c r="F1188" s="20">
        <f>=H1188*0.9</f>
        <v>333</v>
      </c>
      <c r="G1188" s="21">
        <v>336</v>
      </c>
      <c r="H1188" s="39">
        <v>370</v>
      </c>
      <c r="I1188" s="40">
        <f>=H1188*1.05</f>
        <v>388.5</v>
      </c>
      <c r="J1188" s="40">
        <f>=F1188*2</f>
        <v>666</v>
      </c>
      <c r="K1188" s="40">
        <f>=H1188*2</f>
        <v>740</v>
      </c>
      <c r="L1188" s="40">
        <f>=I1188*2</f>
        <v>777</v>
      </c>
      <c r="M1188" s="41" t="s">
        <v>1217</v>
      </c>
      <c r="N1188" s="41">
        <v>1.067</v>
      </c>
      <c r="O1188" s="41" t="s"/>
      <c r="P1188" s="41" t="s">
        <v>21</v>
      </c>
      <c r="Q1188" s="41" t="s">
        <v>21</v>
      </c>
      <c r="R1188" s="41" t="s">
        <v>16</v>
      </c>
      <c r="S1188" s="41" t="s">
        <v>17</v>
      </c>
      <c r="T1188" s="41" t="s">
        <v>1202</v>
      </c>
      <c r="U1188" s="16" t="s">
        <v>13</v>
      </c>
      <c r="V1188" s="16" t="s">
        <v>1083</v>
      </c>
      <c r="W1188" s="19" t="s"/>
      <c r="X1188" s="26" t="s">
        <f>=M1188&amp;N1188&amp;P1188&amp;Q1188&amp;T1188&amp;V1188&amp;S1188</f>
        <v>1302</v>
      </c>
      <c r="Y1188" s="19" t="s"/>
      <c r="Z1188" s="19" t="s"/>
      <c r="AA1188" s="19" t="s"/>
      <c r="AB1188" s="19" t="s"/>
    </row>
    <row r="1189" spans="1:28" ht="14.4">
      <c r="A1189" s="4">
        <f>=H1189/G1189-1</f>
        <v>0.0990990990990992</v>
      </c>
      <c r="B1189" s="20">
        <f>=F1189/12</f>
        <v>27.45</v>
      </c>
      <c r="C1189" s="20">
        <f>=J1189/3</f>
        <v>219.6</v>
      </c>
      <c r="D1189" s="20">
        <f>=K1189/3</f>
        <v>244</v>
      </c>
      <c r="E1189" s="20">
        <f>=L1189/3</f>
        <v>256.2</v>
      </c>
      <c r="F1189" s="20">
        <f>=H1189*0.9</f>
        <v>329.4</v>
      </c>
      <c r="G1189" s="21">
        <v>333</v>
      </c>
      <c r="H1189" s="39">
        <v>366</v>
      </c>
      <c r="I1189" s="40">
        <f>=H1189*1.05</f>
        <v>384.3</v>
      </c>
      <c r="J1189" s="40">
        <f>=F1189*2</f>
        <v>658.8</v>
      </c>
      <c r="K1189" s="40">
        <f>=H1189*2</f>
        <v>732</v>
      </c>
      <c r="L1189" s="40">
        <f>=I1189*2</f>
        <v>768.6</v>
      </c>
      <c r="M1189" s="41" t="s">
        <v>1217</v>
      </c>
      <c r="N1189" s="41">
        <v>1.5</v>
      </c>
      <c r="O1189" s="41" t="s"/>
      <c r="P1189" s="41">
        <v>1</v>
      </c>
      <c r="Q1189" s="41">
        <v>1</v>
      </c>
      <c r="R1189" s="41" t="s">
        <v>16</v>
      </c>
      <c r="S1189" s="41" t="s">
        <v>17</v>
      </c>
      <c r="T1189" s="41" t="s">
        <v>147</v>
      </c>
      <c r="U1189" s="16" t="s">
        <v>13</v>
      </c>
      <c r="V1189" s="16" t="s">
        <v>1083</v>
      </c>
      <c r="W1189" s="19" t="s"/>
      <c r="X1189" s="26" t="s">
        <f>=M1189&amp;N1189&amp;P1189&amp;Q1189&amp;T1189&amp;V1189&amp;S1189</f>
        <v>1303</v>
      </c>
      <c r="Y1189" s="19" t="s"/>
      <c r="Z1189" s="19" t="s"/>
      <c r="AA1189" s="19" t="s"/>
      <c r="AB1189" s="19" t="s"/>
    </row>
    <row r="1190" spans="1:28" ht="14.4">
      <c r="A1190" s="4">
        <f>=H1190/G1190-1</f>
        <v>0.0996168582375479</v>
      </c>
      <c r="B1190" s="20">
        <f>=F1190/12</f>
        <v>21.525</v>
      </c>
      <c r="C1190" s="20">
        <f>=J1190/3</f>
        <v>172.2</v>
      </c>
      <c r="D1190" s="20">
        <f>=K1190/3</f>
        <v>191.333333333333</v>
      </c>
      <c r="E1190" s="20">
        <f>=L1190/3</f>
        <v>200.9</v>
      </c>
      <c r="F1190" s="20">
        <f>=H1190*0.9</f>
        <v>258.3</v>
      </c>
      <c r="G1190" s="21">
        <v>261</v>
      </c>
      <c r="H1190" s="39">
        <v>287</v>
      </c>
      <c r="I1190" s="40">
        <f>=H1190*1.05</f>
        <v>301.35</v>
      </c>
      <c r="J1190" s="40">
        <f>=F1190*2</f>
        <v>516.6</v>
      </c>
      <c r="K1190" s="40">
        <f>=H1190*2</f>
        <v>574</v>
      </c>
      <c r="L1190" s="40">
        <f>=I1190*2</f>
        <v>602.7</v>
      </c>
      <c r="M1190" s="41" t="s">
        <v>1217</v>
      </c>
      <c r="N1190" s="41">
        <v>0.508</v>
      </c>
      <c r="O1190" s="41" t="s"/>
      <c r="P1190" s="41">
        <v>1</v>
      </c>
      <c r="Q1190" s="41">
        <v>1</v>
      </c>
      <c r="R1190" s="41" t="s">
        <v>16</v>
      </c>
      <c r="S1190" s="41" t="s">
        <v>17</v>
      </c>
      <c r="T1190" s="41" t="s">
        <v>1304</v>
      </c>
      <c r="U1190" s="16" t="s">
        <v>13</v>
      </c>
      <c r="V1190" s="16" t="s">
        <v>1083</v>
      </c>
      <c r="W1190" s="19" t="s"/>
      <c r="X1190" s="26" t="s">
        <f>=M1190&amp;N1190&amp;P1190&amp;Q1190&amp;T1190&amp;V1190&amp;S1190</f>
        <v>1305</v>
      </c>
      <c r="Y1190" s="19" t="s"/>
      <c r="Z1190" s="19" t="s"/>
      <c r="AA1190" s="19" t="s"/>
      <c r="AB1190" s="19" t="s"/>
    </row>
    <row r="1191" spans="1:28" ht="14.4">
      <c r="A1191" s="4">
        <f>=H1191/G1191-1</f>
        <v>0.0995024875621891</v>
      </c>
      <c r="B1191" s="20">
        <f>=F1191/12</f>
        <v>33.15</v>
      </c>
      <c r="C1191" s="20">
        <f>=J1191/3</f>
        <v>265.2</v>
      </c>
      <c r="D1191" s="20">
        <f>=K1191/3</f>
        <v>294.666666666667</v>
      </c>
      <c r="E1191" s="20">
        <f>=L1191/3</f>
        <v>309.4</v>
      </c>
      <c r="F1191" s="20">
        <f>=H1191*0.9</f>
        <v>397.8</v>
      </c>
      <c r="G1191" s="21">
        <v>402</v>
      </c>
      <c r="H1191" s="39">
        <v>442</v>
      </c>
      <c r="I1191" s="40">
        <f>=H1191*1.05</f>
        <v>464.1</v>
      </c>
      <c r="J1191" s="40">
        <f>=F1191*2</f>
        <v>795.6</v>
      </c>
      <c r="K1191" s="40">
        <f>=H1191*2</f>
        <v>884</v>
      </c>
      <c r="L1191" s="40">
        <f>=I1191*2</f>
        <v>928.2</v>
      </c>
      <c r="M1191" s="41" t="s">
        <v>1217</v>
      </c>
      <c r="N1191" s="41">
        <v>0.508</v>
      </c>
      <c r="O1191" s="41" t="s"/>
      <c r="P1191" s="41">
        <v>2</v>
      </c>
      <c r="Q1191" s="41">
        <v>2</v>
      </c>
      <c r="R1191" s="41" t="s">
        <v>16</v>
      </c>
      <c r="S1191" s="41" t="s">
        <v>17</v>
      </c>
      <c r="T1191" s="41" t="s">
        <v>1304</v>
      </c>
      <c r="U1191" s="16" t="s">
        <v>13</v>
      </c>
      <c r="V1191" s="16" t="s">
        <v>215</v>
      </c>
      <c r="W1191" s="51">
        <v>46104</v>
      </c>
      <c r="X1191" s="26" t="s">
        <f>=M1191&amp;N1191&amp;P1191&amp;Q1191&amp;T1191&amp;V1191&amp;S1191</f>
        <v>1306</v>
      </c>
      <c r="Y1191" s="19" t="s"/>
      <c r="Z1191" s="19" t="s"/>
      <c r="AA1191" s="19" t="s"/>
      <c r="AB1191" s="19" t="s"/>
    </row>
    <row r="1192" spans="1:28" ht="14.4">
      <c r="A1192" s="4">
        <f>=H1192/G1192-1</f>
        <v>0.097938144329897</v>
      </c>
      <c r="B1192" s="20">
        <f>=F1192/12</f>
        <v>15.975</v>
      </c>
      <c r="C1192" s="20">
        <f>=J1192/3</f>
        <v>127.8</v>
      </c>
      <c r="D1192" s="20">
        <f>=K1192/3</f>
        <v>142</v>
      </c>
      <c r="E1192" s="20">
        <f>=L1192/3</f>
        <v>149.1</v>
      </c>
      <c r="F1192" s="20">
        <f>=H1192*0.9</f>
        <v>191.7</v>
      </c>
      <c r="G1192" s="21">
        <v>194</v>
      </c>
      <c r="H1192" s="39">
        <v>213</v>
      </c>
      <c r="I1192" s="40">
        <f>=H1192*1.05</f>
        <v>223.65</v>
      </c>
      <c r="J1192" s="40">
        <f>=F1192*2</f>
        <v>383.4</v>
      </c>
      <c r="K1192" s="40">
        <f>=H1192*2</f>
        <v>426</v>
      </c>
      <c r="L1192" s="40">
        <f>=I1192*2</f>
        <v>447.3</v>
      </c>
      <c r="M1192" s="41" t="s">
        <v>1307</v>
      </c>
      <c r="N1192" s="41">
        <v>0.076</v>
      </c>
      <c r="O1192" s="41" t="s"/>
      <c r="P1192" s="41">
        <v>1</v>
      </c>
      <c r="Q1192" s="41">
        <v>1</v>
      </c>
      <c r="R1192" s="41" t="s">
        <v>16</v>
      </c>
      <c r="S1192" s="41" t="s">
        <v>17</v>
      </c>
      <c r="T1192" s="41" t="s">
        <v>18</v>
      </c>
      <c r="U1192" s="16" t="s">
        <v>13</v>
      </c>
      <c r="V1192" s="16" t="s">
        <v>215</v>
      </c>
      <c r="W1192" s="19" t="s"/>
      <c r="X1192" s="26" t="s">
        <f>=M1192&amp;N1192&amp;P1192&amp;Q1192&amp;T1192&amp;V1192&amp;S1192</f>
        <v>1308</v>
      </c>
      <c r="Y1192" s="19" t="s"/>
      <c r="Z1192" s="19" t="s"/>
      <c r="AA1192" s="19" t="s"/>
      <c r="AB1192" s="19" t="s"/>
    </row>
    <row r="1193" spans="1:28" ht="14.4">
      <c r="A1193" s="66">
        <f>=H1193/G1193-1</f>
        <v>0.350515463917526</v>
      </c>
      <c r="B1193" s="67">
        <f>=F1193/12</f>
        <v>19.65</v>
      </c>
      <c r="C1193" s="67">
        <f>=J1193/3</f>
        <v>157.2</v>
      </c>
      <c r="D1193" s="67">
        <f>=K1193/3</f>
        <v>174.666666666667</v>
      </c>
      <c r="E1193" s="67">
        <f>=L1193/3</f>
        <v>183.4</v>
      </c>
      <c r="F1193" s="67">
        <f>=H1193*0.9</f>
        <v>235.8</v>
      </c>
      <c r="G1193" s="44">
        <v>194</v>
      </c>
      <c r="H1193" s="44">
        <v>262</v>
      </c>
      <c r="I1193" s="45">
        <f>=H1193*1.05</f>
        <v>275.1</v>
      </c>
      <c r="J1193" s="45">
        <f>=F1193*2</f>
        <v>471.6</v>
      </c>
      <c r="K1193" s="45">
        <f>=H1193*2</f>
        <v>524</v>
      </c>
      <c r="L1193" s="45">
        <f>=I1193*2</f>
        <v>550.2</v>
      </c>
      <c r="M1193" s="46" t="s">
        <v>1307</v>
      </c>
      <c r="N1193" s="46">
        <v>0.089</v>
      </c>
      <c r="O1193" s="46" t="s"/>
      <c r="P1193" s="46">
        <v>1</v>
      </c>
      <c r="Q1193" s="46">
        <v>1</v>
      </c>
      <c r="R1193" s="46" t="s">
        <v>16</v>
      </c>
      <c r="S1193" s="46" t="s">
        <v>17</v>
      </c>
      <c r="T1193" s="46" t="s">
        <v>1106</v>
      </c>
      <c r="U1193" s="46" t="s">
        <v>13</v>
      </c>
      <c r="V1193" s="46" t="s">
        <v>215</v>
      </c>
      <c r="W1193" s="50" t="s"/>
      <c r="X1193" s="18" t="s">
        <f>=M1193&amp;N1193&amp;P1193&amp;Q1193&amp;T1193&amp;V1193&amp;S1193</f>
        <v>1309</v>
      </c>
      <c r="Y1193" s="50" t="s"/>
      <c r="Z1193" s="50" t="s"/>
      <c r="AA1193" s="50" t="s"/>
      <c r="AB1193" s="50" t="s"/>
    </row>
    <row r="1194" spans="1:29" ht="14.4">
      <c r="A1194" s="42">
        <f>=H1194/G1194-1</f>
        <v>0.855670103092784</v>
      </c>
      <c r="B1194" s="43">
        <f>=F1194/12</f>
        <v>27</v>
      </c>
      <c r="C1194" s="43">
        <f>=J1194/3</f>
        <v>216</v>
      </c>
      <c r="D1194" s="43">
        <f>=K1194/3</f>
        <v>240</v>
      </c>
      <c r="E1194" s="43">
        <f>=L1194/3</f>
        <v>252</v>
      </c>
      <c r="F1194" s="43">
        <f>=H1194*0.9</f>
        <v>324</v>
      </c>
      <c r="G1194" s="27">
        <v>194</v>
      </c>
      <c r="H1194" s="44">
        <v>360</v>
      </c>
      <c r="I1194" s="45">
        <f>=H1194*1.05</f>
        <v>378</v>
      </c>
      <c r="J1194" s="45">
        <f>=F1194*2</f>
        <v>648</v>
      </c>
      <c r="K1194" s="45">
        <f>=H1194*2</f>
        <v>720</v>
      </c>
      <c r="L1194" s="45">
        <f>=I1194*2</f>
        <v>756</v>
      </c>
      <c r="M1194" s="46" t="s">
        <v>1307</v>
      </c>
      <c r="N1194" s="12">
        <v>0.089</v>
      </c>
      <c r="O1194" s="46" t="s"/>
      <c r="P1194" s="12">
        <v>1</v>
      </c>
      <c r="Q1194" s="12">
        <v>2</v>
      </c>
      <c r="R1194" s="46" t="s">
        <v>16</v>
      </c>
      <c r="S1194" s="46" t="s">
        <v>17</v>
      </c>
      <c r="T1194" s="46" t="s">
        <v>1106</v>
      </c>
      <c r="U1194" s="13" t="s">
        <v>13</v>
      </c>
      <c r="V1194" s="13" t="s">
        <v>215</v>
      </c>
      <c r="W1194" s="15" t="s"/>
      <c r="X1194" s="18" t="s">
        <f>=M1194&amp;N1194&amp;P1194&amp;Q1194&amp;T1194&amp;V1194&amp;S1194</f>
        <v>1310</v>
      </c>
      <c r="Y1194" s="15" t="s"/>
      <c r="Z1194" s="15" t="s"/>
      <c r="AA1194" s="15" t="s"/>
      <c r="AB1194" s="15" t="s"/>
      <c r="AC1194" s="48" t="s"/>
    </row>
    <row r="1195" spans="1:28" ht="14.4">
      <c r="A1195" s="42">
        <f>=H1195/G1195-1</f>
        <v>1.22680412371134</v>
      </c>
      <c r="B1195" s="43">
        <f>=F1195/12</f>
        <v>32.4</v>
      </c>
      <c r="C1195" s="43">
        <f>=J1195/3</f>
        <v>259.2</v>
      </c>
      <c r="D1195" s="43">
        <f>=K1195/3</f>
        <v>288</v>
      </c>
      <c r="E1195" s="43">
        <f>=L1195/3</f>
        <v>302.4</v>
      </c>
      <c r="F1195" s="43">
        <f>=H1195*0.9</f>
        <v>388.8</v>
      </c>
      <c r="G1195" s="27">
        <v>194</v>
      </c>
      <c r="H1195" s="44">
        <v>432</v>
      </c>
      <c r="I1195" s="45">
        <f>=H1195*1.05</f>
        <v>453.6</v>
      </c>
      <c r="J1195" s="45">
        <f>=F1195*2</f>
        <v>777.6</v>
      </c>
      <c r="K1195" s="45">
        <f>=H1195*2</f>
        <v>864</v>
      </c>
      <c r="L1195" s="45">
        <f>=I1195*2</f>
        <v>907.2</v>
      </c>
      <c r="M1195" s="46" t="s">
        <v>1307</v>
      </c>
      <c r="N1195" s="12">
        <v>0.089</v>
      </c>
      <c r="O1195" s="46" t="s"/>
      <c r="P1195" s="12">
        <v>2</v>
      </c>
      <c r="Q1195" s="12">
        <v>2</v>
      </c>
      <c r="R1195" s="46" t="s">
        <v>16</v>
      </c>
      <c r="S1195" s="46" t="s">
        <v>17</v>
      </c>
      <c r="T1195" s="46" t="s">
        <v>1106</v>
      </c>
      <c r="U1195" s="13" t="s">
        <v>13</v>
      </c>
      <c r="V1195" s="13" t="s">
        <v>215</v>
      </c>
      <c r="W1195" s="15" t="s"/>
      <c r="X1195" s="18" t="s">
        <f>=M1195&amp;N1195&amp;P1195&amp;Q1195&amp;T1195&amp;V1195&amp;S1195</f>
        <v>1311</v>
      </c>
      <c r="Y1195" s="15" t="s"/>
      <c r="Z1195" s="15" t="s"/>
      <c r="AA1195" s="15" t="s"/>
      <c r="AB1195" s="15" t="s"/>
    </row>
    <row r="1196" spans="1:28" ht="14.4">
      <c r="A1196" s="4">
        <f>=H1196/G1196-1</f>
        <v>0.0980392156862746</v>
      </c>
      <c r="B1196" s="20">
        <f>=F1196/12</f>
        <v>12.6</v>
      </c>
      <c r="C1196" s="20">
        <f>=J1196/3</f>
        <v>100.8</v>
      </c>
      <c r="D1196" s="20">
        <f>=K1196/3</f>
        <v>112</v>
      </c>
      <c r="E1196" s="20">
        <f>=L1196/3</f>
        <v>117.6</v>
      </c>
      <c r="F1196" s="20">
        <f>=H1196*0.9</f>
        <v>151.2</v>
      </c>
      <c r="G1196" s="21">
        <v>153</v>
      </c>
      <c r="H1196" s="39">
        <v>168</v>
      </c>
      <c r="I1196" s="40">
        <f>=H1196*1.05</f>
        <v>176.4</v>
      </c>
      <c r="J1196" s="40">
        <f>=F1196*2</f>
        <v>302.4</v>
      </c>
      <c r="K1196" s="40">
        <f>=H1196*2</f>
        <v>336</v>
      </c>
      <c r="L1196" s="40">
        <f>=I1196*2</f>
        <v>352.8</v>
      </c>
      <c r="M1196" s="41" t="s">
        <v>1307</v>
      </c>
      <c r="N1196" s="41">
        <v>0.102</v>
      </c>
      <c r="O1196" s="41" t="s"/>
      <c r="P1196" s="41">
        <v>1</v>
      </c>
      <c r="Q1196" s="41">
        <v>1</v>
      </c>
      <c r="R1196" s="41" t="s">
        <v>16</v>
      </c>
      <c r="S1196" s="41" t="s">
        <v>17</v>
      </c>
      <c r="T1196" s="41" t="s">
        <v>639</v>
      </c>
      <c r="U1196" s="16" t="s">
        <v>13</v>
      </c>
      <c r="V1196" s="16" t="s">
        <v>215</v>
      </c>
      <c r="W1196" s="19" t="s"/>
      <c r="X1196" s="26" t="s">
        <f>=M1196&amp;N1196&amp;P1196&amp;Q1196&amp;T1196&amp;V1196&amp;S1196</f>
        <v>1312</v>
      </c>
      <c r="Y1196" s="19" t="s"/>
      <c r="Z1196" s="19" t="s"/>
      <c r="AA1196" s="19" t="s"/>
      <c r="AB1196" s="19" t="s"/>
    </row>
    <row r="1197" spans="1:28" ht="14.4">
      <c r="A1197" s="4">
        <f>=H1197/G1197-1</f>
        <v>0.101321585903084</v>
      </c>
      <c r="B1197" s="20">
        <f>=F1197/12</f>
        <v>18.75</v>
      </c>
      <c r="C1197" s="20">
        <f>=J1197/3</f>
        <v>150</v>
      </c>
      <c r="D1197" s="20">
        <f>=K1197/3</f>
        <v>166.666666666667</v>
      </c>
      <c r="E1197" s="20">
        <f>=L1197/3</f>
        <v>175</v>
      </c>
      <c r="F1197" s="20">
        <f>=H1197*0.9</f>
        <v>225</v>
      </c>
      <c r="G1197" s="21">
        <v>227</v>
      </c>
      <c r="H1197" s="39">
        <v>250</v>
      </c>
      <c r="I1197" s="40">
        <f>=H1197*1.05</f>
        <v>262.5</v>
      </c>
      <c r="J1197" s="40">
        <f>=F1197*2</f>
        <v>450</v>
      </c>
      <c r="K1197" s="40">
        <f>=H1197*2</f>
        <v>500</v>
      </c>
      <c r="L1197" s="40">
        <f>=I1197*2</f>
        <v>525</v>
      </c>
      <c r="M1197" s="41" t="s">
        <v>1307</v>
      </c>
      <c r="N1197" s="41">
        <v>0.102</v>
      </c>
      <c r="O1197" s="41" t="s"/>
      <c r="P1197" s="41">
        <v>1</v>
      </c>
      <c r="Q1197" s="41">
        <v>1</v>
      </c>
      <c r="R1197" s="41" t="s">
        <v>16</v>
      </c>
      <c r="S1197" s="41" t="s">
        <v>17</v>
      </c>
      <c r="T1197" s="41" t="s">
        <v>654</v>
      </c>
      <c r="U1197" s="16" t="s">
        <v>13</v>
      </c>
      <c r="V1197" s="16" t="s">
        <v>215</v>
      </c>
      <c r="W1197" s="19" t="s"/>
      <c r="X1197" s="26" t="s">
        <f>=M1197&amp;N1197&amp;P1197&amp;Q1197&amp;T1197&amp;V1197&amp;S1197</f>
        <v>1313</v>
      </c>
      <c r="Y1197" s="19" t="s"/>
      <c r="Z1197" s="19" t="s"/>
      <c r="AA1197" s="19" t="s"/>
      <c r="AB1197" s="19" t="s"/>
    </row>
    <row r="1198" spans="1:28" ht="14.4">
      <c r="A1198" s="4">
        <f>=H1198/G1198-1</f>
        <v>0.1</v>
      </c>
      <c r="B1198" s="20">
        <f>=F1198/12</f>
        <v>65.175</v>
      </c>
      <c r="C1198" s="20">
        <f>=J1198/3</f>
        <v>521.4</v>
      </c>
      <c r="D1198" s="20">
        <f>=K1198/3</f>
        <v>579.333333333334</v>
      </c>
      <c r="E1198" s="20">
        <f>=L1198/3</f>
        <v>608.3</v>
      </c>
      <c r="F1198" s="20">
        <f>=H1198*0.9</f>
        <v>782.1</v>
      </c>
      <c r="G1198" s="21">
        <v>790</v>
      </c>
      <c r="H1198" s="39">
        <v>869</v>
      </c>
      <c r="I1198" s="40">
        <f>=H1198*1.05</f>
        <v>912.45</v>
      </c>
      <c r="J1198" s="40">
        <f>=F1198*2</f>
        <v>1564.2</v>
      </c>
      <c r="K1198" s="40">
        <f>=H1198*2</f>
        <v>1738</v>
      </c>
      <c r="L1198" s="40">
        <f>=I1198*2</f>
        <v>1824.9</v>
      </c>
      <c r="M1198" s="41" t="s">
        <v>1307</v>
      </c>
      <c r="N1198" s="41">
        <v>0.102</v>
      </c>
      <c r="O1198" s="41" t="s"/>
      <c r="P1198" s="41">
        <v>4</v>
      </c>
      <c r="Q1198" s="41">
        <v>4</v>
      </c>
      <c r="R1198" s="41" t="s">
        <v>16</v>
      </c>
      <c r="S1198" s="41" t="s">
        <v>17</v>
      </c>
      <c r="T1198" s="41" t="s">
        <v>27</v>
      </c>
      <c r="U1198" s="16" t="s">
        <v>13</v>
      </c>
      <c r="V1198" s="16" t="s">
        <v>215</v>
      </c>
      <c r="W1198" s="19" t="s"/>
      <c r="X1198" s="26" t="s">
        <f>=M1198&amp;N1198&amp;P1198&amp;Q1198&amp;T1198&amp;V1198&amp;S1198</f>
        <v>1314</v>
      </c>
      <c r="Y1198" s="19" t="s"/>
      <c r="Z1198" s="19" t="s"/>
      <c r="AA1198" s="19" t="s"/>
      <c r="AB1198" s="19" t="s"/>
    </row>
    <row r="1199" spans="1:28" ht="14.4">
      <c r="A1199" s="4">
        <f>=H1199/G1199-1</f>
        <v>0.100671140939597</v>
      </c>
      <c r="B1199" s="20">
        <f>=F1199/12</f>
        <v>12.3</v>
      </c>
      <c r="C1199" s="20">
        <f>=J1199/3</f>
        <v>98.4</v>
      </c>
      <c r="D1199" s="20">
        <f>=K1199/3</f>
        <v>109.333333333333</v>
      </c>
      <c r="E1199" s="20">
        <f>=L1199/3</f>
        <v>114.8</v>
      </c>
      <c r="F1199" s="20">
        <f>=H1199*0.9</f>
        <v>147.6</v>
      </c>
      <c r="G1199" s="21">
        <v>149</v>
      </c>
      <c r="H1199" s="39">
        <v>164</v>
      </c>
      <c r="I1199" s="40">
        <f>=H1199*1.05</f>
        <v>172.2</v>
      </c>
      <c r="J1199" s="40">
        <f>=F1199*2</f>
        <v>295.2</v>
      </c>
      <c r="K1199" s="40">
        <f>=H1199*2</f>
        <v>328</v>
      </c>
      <c r="L1199" s="40">
        <f>=I1199*2</f>
        <v>344.4</v>
      </c>
      <c r="M1199" s="41" t="s">
        <v>1307</v>
      </c>
      <c r="N1199" s="41">
        <v>0.102</v>
      </c>
      <c r="O1199" s="41" t="s"/>
      <c r="P1199" s="41" t="s">
        <v>21</v>
      </c>
      <c r="Q1199" s="41" t="s">
        <v>21</v>
      </c>
      <c r="R1199" s="41" t="s">
        <v>16</v>
      </c>
      <c r="S1199" s="41" t="s">
        <v>17</v>
      </c>
      <c r="T1199" s="41" t="s">
        <v>639</v>
      </c>
      <c r="U1199" s="16" t="s">
        <v>13</v>
      </c>
      <c r="V1199" s="16" t="s">
        <v>215</v>
      </c>
      <c r="W1199" s="19" t="s"/>
      <c r="X1199" s="26" t="s">
        <f>=M1199&amp;N1199&amp;P1199&amp;Q1199&amp;T1199&amp;V1199&amp;S1199</f>
        <v>1315</v>
      </c>
      <c r="Y1199" s="19" t="s"/>
      <c r="Z1199" s="19" t="s"/>
      <c r="AA1199" s="19" t="s"/>
      <c r="AB1199" s="19" t="s"/>
    </row>
    <row r="1200" spans="1:28" ht="14.4">
      <c r="A1200" s="4">
        <f>=H1200/G1200-1</f>
        <v>0.101796407185629</v>
      </c>
      <c r="B1200" s="20">
        <f>=F1200/12</f>
        <v>13.8</v>
      </c>
      <c r="C1200" s="20">
        <f>=J1200/3</f>
        <v>110.4</v>
      </c>
      <c r="D1200" s="20">
        <f>=K1200/3</f>
        <v>122.666666666667</v>
      </c>
      <c r="E1200" s="20">
        <f>=L1200/3</f>
        <v>128.8</v>
      </c>
      <c r="F1200" s="20">
        <f>=H1200*0.9</f>
        <v>165.6</v>
      </c>
      <c r="G1200" s="21">
        <v>167</v>
      </c>
      <c r="H1200" s="39">
        <v>184</v>
      </c>
      <c r="I1200" s="40">
        <f>=H1200*1.05</f>
        <v>193.2</v>
      </c>
      <c r="J1200" s="40">
        <f>=F1200*2</f>
        <v>331.2</v>
      </c>
      <c r="K1200" s="40">
        <f>=H1200*2</f>
        <v>368</v>
      </c>
      <c r="L1200" s="40">
        <f>=I1200*2</f>
        <v>386.4</v>
      </c>
      <c r="M1200" s="41" t="s">
        <v>1307</v>
      </c>
      <c r="N1200" s="41">
        <v>0.102</v>
      </c>
      <c r="O1200" s="41" t="s"/>
      <c r="P1200" s="41" t="s">
        <v>21</v>
      </c>
      <c r="Q1200" s="41" t="s">
        <v>21</v>
      </c>
      <c r="R1200" s="41" t="s">
        <v>16</v>
      </c>
      <c r="S1200" s="41" t="s">
        <v>17</v>
      </c>
      <c r="T1200" s="41" t="s">
        <v>654</v>
      </c>
      <c r="U1200" s="16" t="s">
        <v>13</v>
      </c>
      <c r="V1200" s="16" t="s">
        <v>215</v>
      </c>
      <c r="W1200" s="19" t="s"/>
      <c r="X1200" s="26" t="s">
        <f>=M1200&amp;N1200&amp;P1200&amp;Q1200&amp;T1200&amp;V1200&amp;S1200</f>
        <v>1316</v>
      </c>
      <c r="Y1200" s="19" t="s"/>
      <c r="Z1200" s="19" t="s"/>
      <c r="AA1200" s="19" t="s"/>
      <c r="AB1200" s="19" t="s"/>
    </row>
    <row r="1201" spans="1:28" ht="14.4">
      <c r="A1201" s="4">
        <f>=H1201/G1201-1</f>
        <v>0.101796407185629</v>
      </c>
      <c r="B1201" s="20">
        <f>=F1201/12</f>
        <v>13.8</v>
      </c>
      <c r="C1201" s="20">
        <f>=J1201/3</f>
        <v>110.4</v>
      </c>
      <c r="D1201" s="20">
        <f>=K1201/3</f>
        <v>122.666666666667</v>
      </c>
      <c r="E1201" s="20">
        <f>=L1201/3</f>
        <v>128.8</v>
      </c>
      <c r="F1201" s="20">
        <f>=H1201*0.9</f>
        <v>165.6</v>
      </c>
      <c r="G1201" s="21">
        <v>167</v>
      </c>
      <c r="H1201" s="39">
        <v>184</v>
      </c>
      <c r="I1201" s="40">
        <f>=H1201*1.05</f>
        <v>193.2</v>
      </c>
      <c r="J1201" s="40">
        <f>=F1201*2</f>
        <v>331.2</v>
      </c>
      <c r="K1201" s="40">
        <f>=H1201*2</f>
        <v>368</v>
      </c>
      <c r="L1201" s="40">
        <f>=I1201*2</f>
        <v>386.4</v>
      </c>
      <c r="M1201" s="41" t="s">
        <v>1307</v>
      </c>
      <c r="N1201" s="41">
        <v>0.102</v>
      </c>
      <c r="O1201" s="41" t="s"/>
      <c r="P1201" s="41" t="s">
        <v>21</v>
      </c>
      <c r="Q1201" s="41" t="s">
        <v>21</v>
      </c>
      <c r="R1201" s="41" t="s">
        <v>16</v>
      </c>
      <c r="S1201" s="41" t="s">
        <v>17</v>
      </c>
      <c r="T1201" s="41" t="s">
        <v>27</v>
      </c>
      <c r="U1201" s="16" t="s">
        <v>13</v>
      </c>
      <c r="V1201" s="16" t="s">
        <v>215</v>
      </c>
      <c r="W1201" s="19" t="s"/>
      <c r="X1201" s="26" t="s">
        <f>=M1201&amp;N1201&amp;P1201&amp;Q1201&amp;T1201&amp;V1201&amp;S1201</f>
        <v>1317</v>
      </c>
      <c r="Y1201" s="19" t="s"/>
      <c r="Z1201" s="19" t="s"/>
      <c r="AA1201" s="19" t="s"/>
      <c r="AB1201" s="19" t="s"/>
    </row>
    <row r="1202" spans="1:28" ht="14.4">
      <c r="A1202" s="4">
        <f>=H1202/G1202-1</f>
        <v>0.0982658959537573</v>
      </c>
      <c r="B1202" s="20">
        <f>=F1202/12</f>
        <v>14.25</v>
      </c>
      <c r="C1202" s="20">
        <f>=J1202/3</f>
        <v>114</v>
      </c>
      <c r="D1202" s="20">
        <f>=K1202/3</f>
        <v>126.666666666667</v>
      </c>
      <c r="E1202" s="20">
        <f>=L1202/3</f>
        <v>133</v>
      </c>
      <c r="F1202" s="20">
        <f>=H1202*0.9</f>
        <v>171</v>
      </c>
      <c r="G1202" s="21">
        <v>173</v>
      </c>
      <c r="H1202" s="39">
        <v>190</v>
      </c>
      <c r="I1202" s="40">
        <f>=H1202*1.05</f>
        <v>199.5</v>
      </c>
      <c r="J1202" s="40">
        <f>=F1202*2</f>
        <v>342</v>
      </c>
      <c r="K1202" s="40">
        <f>=H1202*2</f>
        <v>380</v>
      </c>
      <c r="L1202" s="40">
        <f>=I1202*2</f>
        <v>399</v>
      </c>
      <c r="M1202" s="41" t="s">
        <v>1307</v>
      </c>
      <c r="N1202" s="41">
        <v>0.102</v>
      </c>
      <c r="O1202" s="41" t="s"/>
      <c r="P1202" s="41" t="s">
        <v>21</v>
      </c>
      <c r="Q1202" s="41">
        <v>1</v>
      </c>
      <c r="R1202" s="41" t="s">
        <v>16</v>
      </c>
      <c r="S1202" s="41" t="s">
        <v>17</v>
      </c>
      <c r="T1202" s="41" t="s">
        <v>654</v>
      </c>
      <c r="U1202" s="16" t="s">
        <v>13</v>
      </c>
      <c r="V1202" s="16" t="s">
        <v>215</v>
      </c>
      <c r="W1202" s="19" t="s"/>
      <c r="X1202" s="26" t="s">
        <f>=M1202&amp;N1202&amp;P1202&amp;Q1202&amp;T1202&amp;V1202&amp;S1202</f>
        <v>1318</v>
      </c>
      <c r="Y1202" s="19" t="s"/>
      <c r="Z1202" s="19" t="s"/>
      <c r="AA1202" s="19" t="s"/>
      <c r="AB1202" s="19" t="s"/>
    </row>
    <row r="1203" spans="1:29" ht="14.4">
      <c r="A1203" s="42">
        <f>=H1203/G1203-1</f>
        <v>1.02312138728324</v>
      </c>
      <c r="B1203" s="43">
        <f>=F1203/12</f>
        <v>26.25</v>
      </c>
      <c r="C1203" s="43">
        <f>=J1203/3</f>
        <v>210</v>
      </c>
      <c r="D1203" s="43">
        <f>=K1203/3</f>
        <v>233.333333333333</v>
      </c>
      <c r="E1203" s="43">
        <f>=L1203/3</f>
        <v>245</v>
      </c>
      <c r="F1203" s="43">
        <f>=H1203*0.9</f>
        <v>315</v>
      </c>
      <c r="G1203" s="27">
        <v>173</v>
      </c>
      <c r="H1203" s="44">
        <v>350</v>
      </c>
      <c r="I1203" s="45">
        <f>=H1203*1.05</f>
        <v>367.5</v>
      </c>
      <c r="J1203" s="45">
        <f>=F1203*2</f>
        <v>630</v>
      </c>
      <c r="K1203" s="45">
        <f>=H1203*2</f>
        <v>700</v>
      </c>
      <c r="L1203" s="45">
        <f>=I1203*2</f>
        <v>735</v>
      </c>
      <c r="M1203" s="46" t="s">
        <v>1307</v>
      </c>
      <c r="N1203" s="46">
        <v>0.102</v>
      </c>
      <c r="O1203" s="46" t="s"/>
      <c r="P1203" s="12">
        <v>1</v>
      </c>
      <c r="Q1203" s="12">
        <v>2</v>
      </c>
      <c r="R1203" s="46" t="s">
        <v>16</v>
      </c>
      <c r="S1203" s="46" t="s">
        <v>17</v>
      </c>
      <c r="T1203" s="46" t="s">
        <v>654</v>
      </c>
      <c r="U1203" s="13" t="s">
        <v>13</v>
      </c>
      <c r="V1203" s="13" t="s">
        <v>215</v>
      </c>
      <c r="W1203" s="15" t="s"/>
      <c r="X1203" s="18" t="s">
        <f>=M1203&amp;N1203&amp;P1203&amp;Q1203&amp;T1203&amp;V1203&amp;S1203</f>
        <v>1319</v>
      </c>
      <c r="Y1203" s="15" t="s"/>
      <c r="Z1203" s="15" t="s"/>
      <c r="AA1203" s="15" t="s"/>
      <c r="AB1203" s="15" t="s"/>
      <c r="AC1203" s="48" t="s"/>
    </row>
    <row r="1204" spans="1:28" ht="14.4">
      <c r="A1204" s="4">
        <f>=H1204/G1204-1</f>
        <v>0.0994764397905759</v>
      </c>
      <c r="B1204" s="20">
        <f>=F1204/12</f>
        <v>15.75</v>
      </c>
      <c r="C1204" s="20">
        <f>=J1204/3</f>
        <v>126</v>
      </c>
      <c r="D1204" s="20">
        <f>=K1204/3</f>
        <v>140</v>
      </c>
      <c r="E1204" s="20">
        <f>=L1204/3</f>
        <v>147</v>
      </c>
      <c r="F1204" s="20">
        <f>=H1204*0.9</f>
        <v>189</v>
      </c>
      <c r="G1204" s="21">
        <v>191</v>
      </c>
      <c r="H1204" s="39">
        <v>210</v>
      </c>
      <c r="I1204" s="40">
        <f>=H1204*1.05</f>
        <v>220.5</v>
      </c>
      <c r="J1204" s="40">
        <f>=F1204*2</f>
        <v>378</v>
      </c>
      <c r="K1204" s="40">
        <f>=H1204*2</f>
        <v>420</v>
      </c>
      <c r="L1204" s="40">
        <f>=I1204*2</f>
        <v>441</v>
      </c>
      <c r="M1204" s="41" t="s">
        <v>1307</v>
      </c>
      <c r="N1204" s="41">
        <v>0.114</v>
      </c>
      <c r="O1204" s="41" t="s"/>
      <c r="P1204" s="41" t="s">
        <v>21</v>
      </c>
      <c r="Q1204" s="41" t="s">
        <v>21</v>
      </c>
      <c r="R1204" s="41" t="s">
        <v>16</v>
      </c>
      <c r="S1204" s="41" t="s">
        <v>17</v>
      </c>
      <c r="T1204" s="41" t="s">
        <v>654</v>
      </c>
      <c r="U1204" s="16" t="s">
        <v>13</v>
      </c>
      <c r="V1204" s="16" t="s">
        <v>215</v>
      </c>
      <c r="W1204" s="19" t="s"/>
      <c r="X1204" s="26" t="s">
        <f>=M1204&amp;N1204&amp;P1204&amp;Q1204&amp;T1204&amp;V1204&amp;S1204</f>
        <v>1320</v>
      </c>
      <c r="Y1204" s="19" t="s"/>
      <c r="Z1204" s="19" t="s"/>
      <c r="AA1204" s="19" t="s"/>
      <c r="AB1204" s="19" t="s"/>
    </row>
    <row r="1205" spans="1:28" ht="14.4">
      <c r="A1205" s="4">
        <f>=H1205/G1205-1</f>
        <v>0.101796407185629</v>
      </c>
      <c r="B1205" s="20">
        <f>=F1205/12</f>
        <v>13.8</v>
      </c>
      <c r="C1205" s="20">
        <f>=J1205/3</f>
        <v>110.4</v>
      </c>
      <c r="D1205" s="20">
        <f>=K1205/3</f>
        <v>122.666666666667</v>
      </c>
      <c r="E1205" s="20">
        <f>=L1205/3</f>
        <v>128.8</v>
      </c>
      <c r="F1205" s="20">
        <f>=H1205*0.9</f>
        <v>165.6</v>
      </c>
      <c r="G1205" s="21">
        <v>167</v>
      </c>
      <c r="H1205" s="39">
        <v>184</v>
      </c>
      <c r="I1205" s="40">
        <f>=H1205*1.05</f>
        <v>193.2</v>
      </c>
      <c r="J1205" s="40">
        <f>=F1205*2</f>
        <v>331.2</v>
      </c>
      <c r="K1205" s="40">
        <f>=H1205*2</f>
        <v>368</v>
      </c>
      <c r="L1205" s="40">
        <f>=I1205*2</f>
        <v>386.4</v>
      </c>
      <c r="M1205" s="41" t="s">
        <v>1307</v>
      </c>
      <c r="N1205" s="41">
        <v>0.114</v>
      </c>
      <c r="O1205" s="41" t="s"/>
      <c r="P1205" s="41" t="s">
        <v>21</v>
      </c>
      <c r="Q1205" s="41" t="s">
        <v>21</v>
      </c>
      <c r="R1205" s="41" t="s">
        <v>16</v>
      </c>
      <c r="S1205" s="41" t="s">
        <v>17</v>
      </c>
      <c r="T1205" s="41" t="s">
        <v>23</v>
      </c>
      <c r="U1205" s="16" t="s">
        <v>13</v>
      </c>
      <c r="V1205" s="16" t="s">
        <v>215</v>
      </c>
      <c r="W1205" s="19" t="s"/>
      <c r="X1205" s="26" t="s">
        <f>=M1205&amp;N1205&amp;P1205&amp;Q1205&amp;T1205&amp;V1205&amp;S1205</f>
        <v>1321</v>
      </c>
      <c r="Y1205" s="19" t="s"/>
      <c r="Z1205" s="19" t="s"/>
      <c r="AA1205" s="19" t="s"/>
      <c r="AB1205" s="19" t="s"/>
    </row>
    <row r="1206" spans="1:28" ht="14.4">
      <c r="A1206" s="4">
        <f>=H1206/G1206-1</f>
        <v>0.0994152046783625</v>
      </c>
      <c r="B1206" s="20">
        <f>=F1206/12</f>
        <v>14.1</v>
      </c>
      <c r="C1206" s="20">
        <f>=J1206/3</f>
        <v>112.8</v>
      </c>
      <c r="D1206" s="20">
        <f>=K1206/3</f>
        <v>125.333333333333</v>
      </c>
      <c r="E1206" s="20">
        <f>=L1206/3</f>
        <v>131.6</v>
      </c>
      <c r="F1206" s="20">
        <f>=H1206*0.9</f>
        <v>169.2</v>
      </c>
      <c r="G1206" s="21">
        <v>171</v>
      </c>
      <c r="H1206" s="39">
        <v>188</v>
      </c>
      <c r="I1206" s="40">
        <f>=H1206*1.05</f>
        <v>197.4</v>
      </c>
      <c r="J1206" s="40">
        <f>=F1206*2</f>
        <v>338.4</v>
      </c>
      <c r="K1206" s="40">
        <f>=H1206*2</f>
        <v>376</v>
      </c>
      <c r="L1206" s="40">
        <f>=I1206*2</f>
        <v>394.8</v>
      </c>
      <c r="M1206" s="41" t="s">
        <v>1307</v>
      </c>
      <c r="N1206" s="41">
        <v>0.114</v>
      </c>
      <c r="O1206" s="41" t="s"/>
      <c r="P1206" s="41">
        <v>1</v>
      </c>
      <c r="Q1206" s="41">
        <v>1</v>
      </c>
      <c r="R1206" s="41" t="s">
        <v>16</v>
      </c>
      <c r="S1206" s="41" t="s">
        <v>17</v>
      </c>
      <c r="T1206" s="41" t="s">
        <v>23</v>
      </c>
      <c r="U1206" s="16" t="s">
        <v>13</v>
      </c>
      <c r="V1206" s="16" t="s">
        <v>215</v>
      </c>
      <c r="W1206" s="19" t="s"/>
      <c r="X1206" s="26" t="s">
        <f>=M1206&amp;N1206&amp;P1206&amp;Q1206&amp;T1206&amp;V1206&amp;S1206</f>
        <v>1322</v>
      </c>
      <c r="Y1206" s="19" t="s"/>
      <c r="Z1206" s="19" t="s"/>
      <c r="AA1206" s="19" t="s"/>
      <c r="AB1206" s="19" t="s"/>
    </row>
    <row r="1207" spans="1:28" ht="14.4">
      <c r="A1207" s="4">
        <f>=H1207/G1207-1</f>
        <v>0.101321585903084</v>
      </c>
      <c r="B1207" s="20">
        <f>=F1207/12</f>
        <v>18.75</v>
      </c>
      <c r="C1207" s="20">
        <f>=J1207/3</f>
        <v>150</v>
      </c>
      <c r="D1207" s="20">
        <f>=K1207/3</f>
        <v>166.666666666667</v>
      </c>
      <c r="E1207" s="20">
        <f>=L1207/3</f>
        <v>175</v>
      </c>
      <c r="F1207" s="20">
        <f>=H1207*0.9</f>
        <v>225</v>
      </c>
      <c r="G1207" s="21">
        <v>227</v>
      </c>
      <c r="H1207" s="39">
        <v>250</v>
      </c>
      <c r="I1207" s="40">
        <f>=H1207*1.05</f>
        <v>262.5</v>
      </c>
      <c r="J1207" s="40">
        <f>=F1207*2</f>
        <v>450</v>
      </c>
      <c r="K1207" s="40">
        <f>=H1207*2</f>
        <v>500</v>
      </c>
      <c r="L1207" s="40">
        <f>=I1207*2</f>
        <v>525</v>
      </c>
      <c r="M1207" s="41" t="s">
        <v>1307</v>
      </c>
      <c r="N1207" s="41">
        <v>0.127</v>
      </c>
      <c r="O1207" s="41" t="s"/>
      <c r="P1207" s="41">
        <v>1</v>
      </c>
      <c r="Q1207" s="41">
        <v>1</v>
      </c>
      <c r="R1207" s="41" t="s">
        <v>16</v>
      </c>
      <c r="S1207" s="41" t="s">
        <v>17</v>
      </c>
      <c r="T1207" s="41" t="s">
        <v>23</v>
      </c>
      <c r="U1207" s="16" t="s">
        <v>13</v>
      </c>
      <c r="V1207" s="16" t="s">
        <v>215</v>
      </c>
      <c r="W1207" s="19" t="s"/>
      <c r="X1207" s="26" t="s">
        <f>=M1207&amp;N1207&amp;P1207&amp;Q1207&amp;T1207&amp;V1207&amp;S1207</f>
        <v>1323</v>
      </c>
      <c r="Y1207" s="19" t="s"/>
      <c r="Z1207" s="19" t="s"/>
      <c r="AA1207" s="19" t="s"/>
      <c r="AB1207" s="19" t="s"/>
    </row>
    <row r="1208" spans="1:28" ht="14.4">
      <c r="A1208" s="4">
        <f>=H1208/G1208-1</f>
        <v>0.0980392156862746</v>
      </c>
      <c r="B1208" s="20">
        <f>=F1208/12</f>
        <v>16.8</v>
      </c>
      <c r="C1208" s="20">
        <f>=J1208/3</f>
        <v>134.4</v>
      </c>
      <c r="D1208" s="20">
        <f>=K1208/3</f>
        <v>149.333333333333</v>
      </c>
      <c r="E1208" s="20">
        <f>=L1208/3</f>
        <v>156.8</v>
      </c>
      <c r="F1208" s="20">
        <f>=H1208*0.9</f>
        <v>201.6</v>
      </c>
      <c r="G1208" s="21">
        <v>204</v>
      </c>
      <c r="H1208" s="39">
        <v>224</v>
      </c>
      <c r="I1208" s="40">
        <f>=H1208*1.05</f>
        <v>235.2</v>
      </c>
      <c r="J1208" s="40">
        <f>=F1208*2</f>
        <v>403.2</v>
      </c>
      <c r="K1208" s="40">
        <f>=H1208*2</f>
        <v>448</v>
      </c>
      <c r="L1208" s="40">
        <f>=I1208*2</f>
        <v>470.4</v>
      </c>
      <c r="M1208" s="41" t="s">
        <v>1307</v>
      </c>
      <c r="N1208" s="41">
        <v>0.127</v>
      </c>
      <c r="O1208" s="41" t="s"/>
      <c r="P1208" s="41" t="s">
        <v>21</v>
      </c>
      <c r="Q1208" s="41">
        <v>1</v>
      </c>
      <c r="R1208" s="41" t="s">
        <v>16</v>
      </c>
      <c r="S1208" s="41" t="s">
        <v>17</v>
      </c>
      <c r="T1208" s="41" t="s">
        <v>23</v>
      </c>
      <c r="U1208" s="16" t="s">
        <v>13</v>
      </c>
      <c r="V1208" s="16" t="s">
        <v>215</v>
      </c>
      <c r="W1208" s="19" t="s"/>
      <c r="X1208" s="26" t="s">
        <f>=M1208&amp;N1208&amp;P1208&amp;Q1208&amp;T1208&amp;V1208&amp;S1208</f>
        <v>1324</v>
      </c>
      <c r="Y1208" s="19" t="s"/>
      <c r="Z1208" s="19" t="s"/>
      <c r="AA1208" s="19" t="s"/>
      <c r="AB1208" s="19" t="s"/>
    </row>
    <row r="1209" spans="1:28" ht="14.4">
      <c r="A1209" s="4">
        <f>=H1209/G1209-1</f>
        <v>0.0993377483443709</v>
      </c>
      <c r="B1209" s="20">
        <f>=F1209/12</f>
        <v>12.45</v>
      </c>
      <c r="C1209" s="20">
        <f>=J1209/3</f>
        <v>99.6</v>
      </c>
      <c r="D1209" s="20">
        <f>=K1209/3</f>
        <v>110.666666666667</v>
      </c>
      <c r="E1209" s="20">
        <f>=L1209/3</f>
        <v>116.2</v>
      </c>
      <c r="F1209" s="20">
        <f>=H1209*0.9</f>
        <v>149.4</v>
      </c>
      <c r="G1209" s="21">
        <v>151</v>
      </c>
      <c r="H1209" s="39">
        <v>166</v>
      </c>
      <c r="I1209" s="40">
        <f>=H1209*1.05</f>
        <v>174.3</v>
      </c>
      <c r="J1209" s="40">
        <f>=F1209*2</f>
        <v>298.8</v>
      </c>
      <c r="K1209" s="40">
        <f>=H1209*2</f>
        <v>332</v>
      </c>
      <c r="L1209" s="40">
        <f>=I1209*2</f>
        <v>348.6</v>
      </c>
      <c r="M1209" s="41" t="s">
        <v>1307</v>
      </c>
      <c r="N1209" s="41">
        <v>0.127</v>
      </c>
      <c r="O1209" s="41" t="s"/>
      <c r="P1209" s="41" t="s">
        <v>21</v>
      </c>
      <c r="Q1209" s="41" t="s">
        <v>21</v>
      </c>
      <c r="R1209" s="41" t="s">
        <v>16</v>
      </c>
      <c r="S1209" s="41" t="s">
        <v>17</v>
      </c>
      <c r="T1209" s="41" t="s">
        <v>23</v>
      </c>
      <c r="U1209" s="16" t="s">
        <v>13</v>
      </c>
      <c r="V1209" s="16" t="s">
        <v>215</v>
      </c>
      <c r="W1209" s="19" t="s"/>
      <c r="X1209" s="26" t="s">
        <f>=M1209&amp;N1209&amp;P1209&amp;Q1209&amp;T1209&amp;V1209&amp;S1209</f>
        <v>1325</v>
      </c>
      <c r="Y1209" s="19" t="s"/>
      <c r="Z1209" s="19" t="s"/>
      <c r="AA1209" s="19" t="s"/>
      <c r="AB1209" s="19" t="s"/>
    </row>
    <row r="1210" spans="1:28" ht="14.4">
      <c r="A1210" s="4">
        <f>=H1210/G1210-1</f>
        <v>0</v>
      </c>
      <c r="B1210" s="20">
        <f>=F1210/12</f>
        <v>19.5</v>
      </c>
      <c r="C1210" s="20">
        <f>=J1210/3</f>
        <v>156</v>
      </c>
      <c r="D1210" s="20">
        <f>=K1210/3</f>
        <v>173.333333333333</v>
      </c>
      <c r="E1210" s="20">
        <f>=L1210/3</f>
        <v>182</v>
      </c>
      <c r="F1210" s="20">
        <f>=H1210*0.9</f>
        <v>234</v>
      </c>
      <c r="G1210" s="21">
        <v>260</v>
      </c>
      <c r="H1210" s="39">
        <v>260</v>
      </c>
      <c r="I1210" s="40">
        <f>=H1210*1.05</f>
        <v>273</v>
      </c>
      <c r="J1210" s="40">
        <f>=F1210*2</f>
        <v>468</v>
      </c>
      <c r="K1210" s="40">
        <f>=H1210*2</f>
        <v>520</v>
      </c>
      <c r="L1210" s="40">
        <f>=I1210*2</f>
        <v>546</v>
      </c>
      <c r="M1210" s="41" t="s">
        <v>1307</v>
      </c>
      <c r="N1210" s="41">
        <v>0.127</v>
      </c>
      <c r="O1210" s="41" t="s"/>
      <c r="P1210" s="41">
        <v>1</v>
      </c>
      <c r="Q1210" s="41">
        <v>1</v>
      </c>
      <c r="R1210" s="41" t="s">
        <v>16</v>
      </c>
      <c r="S1210" s="41" t="s">
        <v>17</v>
      </c>
      <c r="T1210" s="41" t="s">
        <v>43</v>
      </c>
      <c r="U1210" s="16" t="s">
        <v>13</v>
      </c>
      <c r="V1210" s="16" t="s">
        <v>215</v>
      </c>
      <c r="W1210" s="17" t="s">
        <v>352</v>
      </c>
      <c r="X1210" s="26" t="s">
        <f>=M1210&amp;N1210&amp;P1210&amp;Q1210&amp;T1210&amp;V1210&amp;S1210</f>
        <v>1326</v>
      </c>
      <c r="Y1210" s="19" t="s"/>
      <c r="Z1210" s="19" t="s"/>
      <c r="AA1210" s="19" t="s"/>
      <c r="AB1210" s="19" t="s"/>
    </row>
    <row r="1211" spans="1:28" ht="14.4">
      <c r="A1211" s="4">
        <f>=H1211/G1211-1</f>
        <v>0.0993377483443709</v>
      </c>
      <c r="B1211" s="20">
        <f>=F1211/12</f>
        <v>12.45</v>
      </c>
      <c r="C1211" s="20">
        <f>=J1211/3</f>
        <v>99.6</v>
      </c>
      <c r="D1211" s="20">
        <f>=K1211/3</f>
        <v>110.666666666667</v>
      </c>
      <c r="E1211" s="20">
        <f>=L1211/3</f>
        <v>116.2</v>
      </c>
      <c r="F1211" s="20">
        <f>=H1211*0.9</f>
        <v>149.4</v>
      </c>
      <c r="G1211" s="21">
        <v>151</v>
      </c>
      <c r="H1211" s="39">
        <v>166</v>
      </c>
      <c r="I1211" s="40">
        <f>=H1211*1.05</f>
        <v>174.3</v>
      </c>
      <c r="J1211" s="40">
        <f>=F1211*2</f>
        <v>298.8</v>
      </c>
      <c r="K1211" s="40">
        <f>=H1211*2</f>
        <v>332</v>
      </c>
      <c r="L1211" s="40">
        <f>=I1211*2</f>
        <v>348.6</v>
      </c>
      <c r="M1211" s="41" t="s">
        <v>1307</v>
      </c>
      <c r="N1211" s="41">
        <v>0.127</v>
      </c>
      <c r="O1211" s="41" t="s"/>
      <c r="P1211" s="41" t="s">
        <v>21</v>
      </c>
      <c r="Q1211" s="41" t="s">
        <v>21</v>
      </c>
      <c r="R1211" s="41" t="s">
        <v>16</v>
      </c>
      <c r="S1211" s="41" t="s">
        <v>17</v>
      </c>
      <c r="T1211" s="41" t="s">
        <v>43</v>
      </c>
      <c r="U1211" s="16" t="s">
        <v>13</v>
      </c>
      <c r="V1211" s="16" t="s">
        <v>215</v>
      </c>
      <c r="W1211" s="19" t="s"/>
      <c r="X1211" s="26" t="s">
        <f>=M1211&amp;N1211&amp;P1211&amp;Q1211&amp;T1211&amp;V1211&amp;S1211</f>
        <v>1327</v>
      </c>
      <c r="Y1211" s="19" t="s"/>
      <c r="Z1211" s="19" t="s"/>
      <c r="AA1211" s="19" t="s"/>
      <c r="AB1211" s="19" t="s"/>
    </row>
    <row r="1212" spans="1:28" ht="14.4">
      <c r="A1212" s="4">
        <f>=H1212/G1212-1</f>
        <v>0.100418410041841</v>
      </c>
      <c r="B1212" s="20">
        <f>=F1212/12</f>
        <v>39.45</v>
      </c>
      <c r="C1212" s="20">
        <f>=J1212/3</f>
        <v>315.6</v>
      </c>
      <c r="D1212" s="20">
        <f>=K1212/3</f>
        <v>350.666666666667</v>
      </c>
      <c r="E1212" s="20">
        <f>=L1212/3</f>
        <v>368.2</v>
      </c>
      <c r="F1212" s="20">
        <f>=H1212*0.9</f>
        <v>473.4</v>
      </c>
      <c r="G1212" s="21">
        <v>478</v>
      </c>
      <c r="H1212" s="39">
        <v>526</v>
      </c>
      <c r="I1212" s="40">
        <f>=H1212*1.05</f>
        <v>552.3</v>
      </c>
      <c r="J1212" s="40">
        <f>=F1212*2</f>
        <v>946.8</v>
      </c>
      <c r="K1212" s="40">
        <f>=H1212*2</f>
        <v>1052</v>
      </c>
      <c r="L1212" s="40">
        <f>=I1212*2</f>
        <v>1104.6</v>
      </c>
      <c r="M1212" s="41" t="s">
        <v>1307</v>
      </c>
      <c r="N1212" s="41">
        <v>0.152</v>
      </c>
      <c r="O1212" s="41" t="s"/>
      <c r="P1212" s="41">
        <v>2</v>
      </c>
      <c r="Q1212" s="41">
        <v>2</v>
      </c>
      <c r="R1212" s="41" t="s">
        <v>16</v>
      </c>
      <c r="S1212" s="41" t="s">
        <v>17</v>
      </c>
      <c r="T1212" s="41" t="s">
        <v>1080</v>
      </c>
      <c r="U1212" s="16" t="s">
        <v>13</v>
      </c>
      <c r="V1212" s="16" t="s">
        <v>215</v>
      </c>
      <c r="W1212" s="19" t="s"/>
      <c r="X1212" s="26" t="s">
        <f>=M1212&amp;N1212&amp;P1212&amp;Q1212&amp;T1212&amp;V1212&amp;S1212</f>
        <v>1328</v>
      </c>
      <c r="Y1212" s="19" t="s"/>
      <c r="Z1212" s="19" t="s"/>
      <c r="AA1212" s="19" t="s"/>
      <c r="AB1212" s="19" t="s"/>
    </row>
    <row r="1213" spans="1:28" ht="14.4">
      <c r="A1213" s="4">
        <f>=H1213/G1213-1</f>
        <v>0.098360655737705</v>
      </c>
      <c r="B1213" s="20">
        <f>=F1213/12</f>
        <v>20.1</v>
      </c>
      <c r="C1213" s="20">
        <f>=J1213/3</f>
        <v>160.8</v>
      </c>
      <c r="D1213" s="20">
        <f>=K1213/3</f>
        <v>178.666666666667</v>
      </c>
      <c r="E1213" s="20">
        <f>=L1213/3</f>
        <v>187.6</v>
      </c>
      <c r="F1213" s="20">
        <f>=H1213*0.9</f>
        <v>241.2</v>
      </c>
      <c r="G1213" s="21">
        <v>244</v>
      </c>
      <c r="H1213" s="39">
        <v>268</v>
      </c>
      <c r="I1213" s="40">
        <f>=H1213*1.05</f>
        <v>281.4</v>
      </c>
      <c r="J1213" s="40">
        <f>=F1213*2</f>
        <v>482.4</v>
      </c>
      <c r="K1213" s="40">
        <f>=H1213*2</f>
        <v>536</v>
      </c>
      <c r="L1213" s="40">
        <f>=I1213*2</f>
        <v>562.8</v>
      </c>
      <c r="M1213" s="41" t="s">
        <v>1307</v>
      </c>
      <c r="N1213" s="41">
        <v>0.152</v>
      </c>
      <c r="O1213" s="41" t="s"/>
      <c r="P1213" s="41">
        <v>1</v>
      </c>
      <c r="Q1213" s="41">
        <v>1</v>
      </c>
      <c r="R1213" s="41" t="s">
        <v>16</v>
      </c>
      <c r="S1213" s="41" t="s">
        <v>17</v>
      </c>
      <c r="T1213" s="41" t="s">
        <v>43</v>
      </c>
      <c r="U1213" s="16" t="s">
        <v>13</v>
      </c>
      <c r="V1213" s="16" t="s">
        <v>215</v>
      </c>
      <c r="W1213" s="19" t="s"/>
      <c r="X1213" s="26" t="s">
        <f>=M1213&amp;N1213&amp;P1213&amp;Q1213&amp;T1213&amp;V1213&amp;S1213</f>
        <v>1329</v>
      </c>
      <c r="Y1213" s="19" t="s"/>
      <c r="Z1213" s="19" t="s"/>
      <c r="AA1213" s="19" t="s"/>
      <c r="AB1213" s="19" t="s"/>
    </row>
    <row r="1214" spans="1:28" ht="14.4">
      <c r="A1214" s="4">
        <f>=H1214/G1214-1</f>
        <v>0.102040816326531</v>
      </c>
      <c r="B1214" s="20">
        <f>=F1214/12</f>
        <v>20.25</v>
      </c>
      <c r="C1214" s="20">
        <f>=J1214/3</f>
        <v>162</v>
      </c>
      <c r="D1214" s="20">
        <f>=K1214/3</f>
        <v>180</v>
      </c>
      <c r="E1214" s="20">
        <f>=L1214/3</f>
        <v>189</v>
      </c>
      <c r="F1214" s="20">
        <f>=H1214*0.9</f>
        <v>243</v>
      </c>
      <c r="G1214" s="21">
        <v>245</v>
      </c>
      <c r="H1214" s="39">
        <v>270</v>
      </c>
      <c r="I1214" s="40">
        <f>=H1214*1.05</f>
        <v>283.5</v>
      </c>
      <c r="J1214" s="40">
        <f>=F1214*2</f>
        <v>486</v>
      </c>
      <c r="K1214" s="40">
        <f>=H1214*2</f>
        <v>540</v>
      </c>
      <c r="L1214" s="40">
        <f>=I1214*2</f>
        <v>567</v>
      </c>
      <c r="M1214" s="41" t="s">
        <v>1307</v>
      </c>
      <c r="N1214" s="41">
        <v>0.254</v>
      </c>
      <c r="O1214" s="41" t="s"/>
      <c r="P1214" s="41" t="s">
        <v>21</v>
      </c>
      <c r="Q1214" s="41" t="s">
        <v>21</v>
      </c>
      <c r="R1214" s="41" t="s">
        <v>16</v>
      </c>
      <c r="S1214" s="41" t="s">
        <v>17</v>
      </c>
      <c r="T1214" s="41" t="s">
        <v>52</v>
      </c>
      <c r="U1214" s="16" t="s">
        <v>13</v>
      </c>
      <c r="V1214" s="16" t="s">
        <v>215</v>
      </c>
      <c r="W1214" s="19" t="s"/>
      <c r="X1214" s="26" t="s">
        <f>=M1214&amp;N1214&amp;P1214&amp;Q1214&amp;T1214&amp;V1214&amp;S1214</f>
        <v>1330</v>
      </c>
      <c r="Y1214" s="19" t="s"/>
      <c r="Z1214" s="19" t="s"/>
      <c r="AA1214" s="19" t="s"/>
      <c r="AB1214" s="19" t="s"/>
    </row>
    <row r="1215" spans="1:28" ht="14.4">
      <c r="A1215" s="4">
        <f>=H1215/G1215-1</f>
        <v>0.10188679245283</v>
      </c>
      <c r="B1215" s="20">
        <f>=F1215/12</f>
        <v>21.9</v>
      </c>
      <c r="C1215" s="20">
        <f>=J1215/3</f>
        <v>175.2</v>
      </c>
      <c r="D1215" s="20">
        <f>=K1215/3</f>
        <v>194.666666666667</v>
      </c>
      <c r="E1215" s="20">
        <f>=L1215/3</f>
        <v>204.4</v>
      </c>
      <c r="F1215" s="20">
        <f>=H1215*0.9</f>
        <v>262.8</v>
      </c>
      <c r="G1215" s="21">
        <v>265</v>
      </c>
      <c r="H1215" s="39">
        <v>292</v>
      </c>
      <c r="I1215" s="40">
        <f>=H1215*1.05</f>
        <v>306.6</v>
      </c>
      <c r="J1215" s="40">
        <f>=F1215*2</f>
        <v>525.6</v>
      </c>
      <c r="K1215" s="40">
        <f>=H1215*2</f>
        <v>584</v>
      </c>
      <c r="L1215" s="40">
        <f>=I1215*2</f>
        <v>613.2</v>
      </c>
      <c r="M1215" s="41" t="s">
        <v>1307</v>
      </c>
      <c r="N1215" s="41">
        <v>0.381</v>
      </c>
      <c r="O1215" s="41" t="s"/>
      <c r="P1215" s="41" t="s">
        <v>21</v>
      </c>
      <c r="Q1215" s="41" t="s">
        <v>21</v>
      </c>
      <c r="R1215" s="41" t="s">
        <v>16</v>
      </c>
      <c r="S1215" s="41" t="s">
        <v>17</v>
      </c>
      <c r="T1215" s="41" t="s">
        <v>1172</v>
      </c>
      <c r="U1215" s="16" t="s">
        <v>13</v>
      </c>
      <c r="V1215" s="16" t="s">
        <v>215</v>
      </c>
      <c r="W1215" s="19" t="s"/>
      <c r="X1215" s="26" t="s">
        <f>=M1215&amp;N1215&amp;P1215&amp;Q1215&amp;T1215&amp;V1215&amp;S1215</f>
        <v>1331</v>
      </c>
      <c r="Y1215" s="19" t="s"/>
      <c r="Z1215" s="19" t="s"/>
      <c r="AA1215" s="19" t="s"/>
      <c r="AB1215" s="19" t="s"/>
    </row>
    <row r="1216" spans="1:28" ht="14.4">
      <c r="A1216" s="4">
        <f>=H1216/G1216-1</f>
        <v>0.0996784565916398</v>
      </c>
      <c r="B1216" s="20">
        <f>=F1216/12</f>
        <v>25.65</v>
      </c>
      <c r="C1216" s="20">
        <f>=J1216/3</f>
        <v>205.2</v>
      </c>
      <c r="D1216" s="20">
        <f>=K1216/3</f>
        <v>228</v>
      </c>
      <c r="E1216" s="20">
        <f>=L1216/3</f>
        <v>239.4</v>
      </c>
      <c r="F1216" s="20">
        <f>=H1216*0.9</f>
        <v>307.8</v>
      </c>
      <c r="G1216" s="21">
        <v>311</v>
      </c>
      <c r="H1216" s="39">
        <v>342</v>
      </c>
      <c r="I1216" s="40">
        <f>=H1216*1.05</f>
        <v>359.1</v>
      </c>
      <c r="J1216" s="40">
        <f>=F1216*2</f>
        <v>615.6</v>
      </c>
      <c r="K1216" s="40">
        <f>=H1216*2</f>
        <v>684</v>
      </c>
      <c r="L1216" s="40">
        <f>=I1216*2</f>
        <v>718.2</v>
      </c>
      <c r="M1216" s="41" t="s">
        <v>1307</v>
      </c>
      <c r="N1216" s="41">
        <v>0.381</v>
      </c>
      <c r="O1216" s="41" t="s"/>
      <c r="P1216" s="41">
        <v>1</v>
      </c>
      <c r="Q1216" s="41">
        <v>1</v>
      </c>
      <c r="R1216" s="41" t="s">
        <v>16</v>
      </c>
      <c r="S1216" s="41" t="s">
        <v>17</v>
      </c>
      <c r="T1216" s="41" t="s">
        <v>1172</v>
      </c>
      <c r="U1216" s="16" t="s">
        <v>13</v>
      </c>
      <c r="V1216" s="16" t="s">
        <v>215</v>
      </c>
      <c r="W1216" s="19" t="s"/>
      <c r="X1216" s="26" t="s">
        <f>=M1216&amp;N1216&amp;P1216&amp;Q1216&amp;T1216&amp;V1216&amp;S1216</f>
        <v>1332</v>
      </c>
      <c r="Y1216" s="19" t="s"/>
      <c r="Z1216" s="19" t="s"/>
      <c r="AA1216" s="19" t="s"/>
      <c r="AB1216" s="19" t="s"/>
    </row>
    <row r="1217" spans="1:28" ht="14.4">
      <c r="A1217" s="4">
        <f>=H1217/G1217-1</f>
        <v>0.100952380952381</v>
      </c>
      <c r="B1217" s="20">
        <f>=F1217/12</f>
        <v>43.35</v>
      </c>
      <c r="C1217" s="20">
        <f>=J1217/3</f>
        <v>346.8</v>
      </c>
      <c r="D1217" s="20">
        <f>=K1217/3</f>
        <v>385.333333333333</v>
      </c>
      <c r="E1217" s="20">
        <f>=L1217/3</f>
        <v>404.6</v>
      </c>
      <c r="F1217" s="20">
        <f>=H1217*0.9</f>
        <v>520.2</v>
      </c>
      <c r="G1217" s="21">
        <v>525</v>
      </c>
      <c r="H1217" s="39">
        <v>578</v>
      </c>
      <c r="I1217" s="40">
        <f>=H1217*1.05</f>
        <v>606.9</v>
      </c>
      <c r="J1217" s="40">
        <f>=F1217*2</f>
        <v>1040.4</v>
      </c>
      <c r="K1217" s="40">
        <f>=H1217*2</f>
        <v>1156</v>
      </c>
      <c r="L1217" s="40">
        <f>=I1217*2</f>
        <v>1213.8</v>
      </c>
      <c r="M1217" s="41" t="s">
        <v>1307</v>
      </c>
      <c r="N1217" s="41">
        <v>0.381</v>
      </c>
      <c r="O1217" s="41" t="s"/>
      <c r="P1217" s="41">
        <v>2</v>
      </c>
      <c r="Q1217" s="41">
        <v>2</v>
      </c>
      <c r="R1217" s="41" t="s">
        <v>16</v>
      </c>
      <c r="S1217" s="41" t="s">
        <v>17</v>
      </c>
      <c r="T1217" s="41" t="s">
        <v>1172</v>
      </c>
      <c r="U1217" s="16" t="s">
        <v>13</v>
      </c>
      <c r="V1217" s="16" t="s">
        <v>215</v>
      </c>
      <c r="W1217" s="19" t="s"/>
      <c r="X1217" s="26" t="s">
        <f>=M1217&amp;N1217&amp;P1217&amp;Q1217&amp;T1217&amp;V1217&amp;S1217</f>
        <v>1333</v>
      </c>
      <c r="Y1217" s="19" t="s"/>
      <c r="Z1217" s="19" t="s"/>
      <c r="AA1217" s="19" t="s"/>
      <c r="AB1217" s="19" t="s"/>
    </row>
    <row r="1218" spans="1:28" ht="14.4">
      <c r="A1218" s="4">
        <f>=H1218/G1218-1</f>
        <v>0.10062893081761</v>
      </c>
      <c r="B1218" s="20">
        <f>=F1218/12</f>
        <v>26.25</v>
      </c>
      <c r="C1218" s="20">
        <f>=J1218/3</f>
        <v>210</v>
      </c>
      <c r="D1218" s="20">
        <f>=K1218/3</f>
        <v>233.333333333333</v>
      </c>
      <c r="E1218" s="20">
        <f>=L1218/3</f>
        <v>245</v>
      </c>
      <c r="F1218" s="20">
        <f>=H1218*0.9</f>
        <v>315</v>
      </c>
      <c r="G1218" s="21">
        <v>318</v>
      </c>
      <c r="H1218" s="39">
        <v>350</v>
      </c>
      <c r="I1218" s="40">
        <f>=H1218*1.05</f>
        <v>367.5</v>
      </c>
      <c r="J1218" s="40">
        <f>=F1218*2</f>
        <v>630</v>
      </c>
      <c r="K1218" s="40">
        <f>=H1218*2</f>
        <v>700</v>
      </c>
      <c r="L1218" s="40">
        <f>=I1218*2</f>
        <v>735</v>
      </c>
      <c r="M1218" s="41" t="s">
        <v>1307</v>
      </c>
      <c r="N1218" s="41">
        <v>0.508</v>
      </c>
      <c r="O1218" s="41" t="s"/>
      <c r="P1218" s="41">
        <v>1</v>
      </c>
      <c r="Q1218" s="41">
        <v>1</v>
      </c>
      <c r="R1218" s="41" t="s">
        <v>16</v>
      </c>
      <c r="S1218" s="41" t="s">
        <v>17</v>
      </c>
      <c r="T1218" s="41" t="s">
        <v>1186</v>
      </c>
      <c r="U1218" s="16" t="s">
        <v>13</v>
      </c>
      <c r="V1218" s="16" t="s">
        <v>215</v>
      </c>
      <c r="W1218" s="19" t="s"/>
      <c r="X1218" s="26" t="s">
        <f>=M1218&amp;N1218&amp;P1218&amp;Q1218&amp;T1218&amp;V1218&amp;S1218</f>
        <v>1334</v>
      </c>
      <c r="Y1218" s="19" t="s"/>
      <c r="Z1218" s="19" t="s"/>
      <c r="AA1218" s="19" t="s"/>
      <c r="AB1218" s="19" t="s"/>
    </row>
    <row r="1219" spans="1:28" ht="14.4">
      <c r="A1219" s="4">
        <f>=H1219/G1219-1</f>
        <v>0</v>
      </c>
      <c r="B1219" s="20">
        <f>=F1219/12</f>
        <v>45</v>
      </c>
      <c r="C1219" s="20">
        <f>=J1219/3</f>
        <v>360</v>
      </c>
      <c r="D1219" s="20">
        <f>=K1219/3</f>
        <v>400</v>
      </c>
      <c r="E1219" s="20">
        <f>=L1219/3</f>
        <v>420</v>
      </c>
      <c r="F1219" s="20">
        <f>=H1219*0.9</f>
        <v>540</v>
      </c>
      <c r="G1219" s="21">
        <v>600</v>
      </c>
      <c r="H1219" s="39">
        <v>600</v>
      </c>
      <c r="I1219" s="40">
        <f>=H1219*1.05</f>
        <v>630</v>
      </c>
      <c r="J1219" s="40">
        <f>=F1219*2</f>
        <v>1080</v>
      </c>
      <c r="K1219" s="40">
        <f>=H1219*2</f>
        <v>1200</v>
      </c>
      <c r="L1219" s="40">
        <f>=I1219*2</f>
        <v>1260</v>
      </c>
      <c r="M1219" s="41" t="s">
        <v>1307</v>
      </c>
      <c r="N1219" s="41">
        <v>0.61</v>
      </c>
      <c r="O1219" s="41" t="s"/>
      <c r="P1219" s="41">
        <v>1</v>
      </c>
      <c r="Q1219" s="41">
        <v>3</v>
      </c>
      <c r="R1219" s="41" t="s">
        <v>16</v>
      </c>
      <c r="S1219" s="41" t="s">
        <v>17</v>
      </c>
      <c r="T1219" s="41" t="s">
        <v>387</v>
      </c>
      <c r="U1219" s="16" t="s">
        <v>13</v>
      </c>
      <c r="V1219" s="16" t="s">
        <v>215</v>
      </c>
      <c r="W1219" s="17" t="s">
        <v>352</v>
      </c>
      <c r="X1219" s="26" t="s">
        <f>=M1219&amp;N1219&amp;P1219&amp;Q1219&amp;T1219&amp;V1219&amp;S1219</f>
        <v>1335</v>
      </c>
      <c r="Y1219" s="19" t="s"/>
      <c r="Z1219" s="19" t="s"/>
      <c r="AA1219" s="19" t="s"/>
      <c r="AB1219" s="19" t="s"/>
    </row>
    <row r="1220" spans="1:28" ht="14.4">
      <c r="A1220" s="4">
        <f>=H1220/G1220-1</f>
        <v>0.0988700564971752</v>
      </c>
      <c r="B1220" s="20">
        <f>=F1220/12</f>
        <v>29.175</v>
      </c>
      <c r="C1220" s="20">
        <f>=J1220/3</f>
        <v>233.4</v>
      </c>
      <c r="D1220" s="20">
        <f>=K1220/3</f>
        <v>259.333333333333</v>
      </c>
      <c r="E1220" s="20">
        <f>=L1220/3</f>
        <v>272.3</v>
      </c>
      <c r="F1220" s="20">
        <f>=H1220*0.9</f>
        <v>350.1</v>
      </c>
      <c r="G1220" s="21">
        <v>354</v>
      </c>
      <c r="H1220" s="39">
        <v>389</v>
      </c>
      <c r="I1220" s="40">
        <f>=H1220*1.05</f>
        <v>408.45</v>
      </c>
      <c r="J1220" s="40">
        <f>=F1220*2</f>
        <v>700.2</v>
      </c>
      <c r="K1220" s="40">
        <f>=H1220*2</f>
        <v>778</v>
      </c>
      <c r="L1220" s="40">
        <f>=I1220*2</f>
        <v>816.9</v>
      </c>
      <c r="M1220" s="41" t="s">
        <v>1307</v>
      </c>
      <c r="N1220" s="41">
        <v>0.66</v>
      </c>
      <c r="O1220" s="41" t="s"/>
      <c r="P1220" s="41">
        <v>1</v>
      </c>
      <c r="Q1220" s="41">
        <v>1</v>
      </c>
      <c r="R1220" s="41" t="s">
        <v>16</v>
      </c>
      <c r="S1220" s="41" t="s">
        <v>17</v>
      </c>
      <c r="T1220" s="41" t="s">
        <v>387</v>
      </c>
      <c r="U1220" s="16" t="s">
        <v>13</v>
      </c>
      <c r="V1220" s="16" t="s">
        <v>215</v>
      </c>
      <c r="W1220" s="19" t="s"/>
      <c r="X1220" s="26" t="s">
        <f>=M1220&amp;N1220&amp;P1220&amp;Q1220&amp;T1220&amp;V1220&amp;S1220</f>
        <v>1336</v>
      </c>
      <c r="Y1220" s="19" t="s"/>
      <c r="Z1220" s="19" t="s"/>
      <c r="AA1220" s="19" t="s"/>
      <c r="AB1220" s="19" t="s"/>
    </row>
    <row r="1221" spans="1:28" ht="14.4">
      <c r="A1221" s="4">
        <f>=H1221/G1221-1</f>
        <v>0.0993377483443709</v>
      </c>
      <c r="B1221" s="20">
        <f>=F1221/12</f>
        <v>12.45</v>
      </c>
      <c r="C1221" s="20">
        <f>=J1221/3</f>
        <v>99.6</v>
      </c>
      <c r="D1221" s="20">
        <f>=K1221/3</f>
        <v>110.666666666667</v>
      </c>
      <c r="E1221" s="20">
        <f>=L1221/3</f>
        <v>116.2</v>
      </c>
      <c r="F1221" s="20">
        <f>=H1221*0.9</f>
        <v>149.4</v>
      </c>
      <c r="G1221" s="21">
        <v>151</v>
      </c>
      <c r="H1221" s="39">
        <v>166</v>
      </c>
      <c r="I1221" s="40">
        <f>=H1221*1.05</f>
        <v>174.3</v>
      </c>
      <c r="J1221" s="40">
        <f>=F1221*2</f>
        <v>298.8</v>
      </c>
      <c r="K1221" s="40">
        <f>=H1221*2</f>
        <v>332</v>
      </c>
      <c r="L1221" s="40">
        <f>=I1221*2</f>
        <v>348.6</v>
      </c>
      <c r="M1221" s="41" t="s">
        <v>1307</v>
      </c>
      <c r="N1221" s="41">
        <v>0.66</v>
      </c>
      <c r="O1221" s="41" t="s"/>
      <c r="P1221" s="41" t="s">
        <v>21</v>
      </c>
      <c r="Q1221" s="41" t="s">
        <v>21</v>
      </c>
      <c r="R1221" s="41" t="s">
        <v>16</v>
      </c>
      <c r="S1221" s="41" t="s">
        <v>17</v>
      </c>
      <c r="T1221" s="41" t="s">
        <v>43</v>
      </c>
      <c r="U1221" s="16" t="s">
        <v>13</v>
      </c>
      <c r="V1221" s="16" t="s">
        <v>215</v>
      </c>
      <c r="W1221" s="19" t="s"/>
      <c r="X1221" s="26" t="s">
        <f>=M1221&amp;N1221&amp;P1221&amp;Q1221&amp;T1221&amp;V1221&amp;S1221</f>
        <v>1337</v>
      </c>
      <c r="Y1221" s="19" t="s"/>
      <c r="Z1221" s="19" t="s"/>
      <c r="AA1221" s="19" t="s"/>
      <c r="AB1221" s="19" t="s"/>
    </row>
    <row r="1222" spans="1:28" ht="14.4">
      <c r="A1222" s="4">
        <f>=H1222/G1222-1</f>
        <v>0.0995934959349594</v>
      </c>
      <c r="B1222" s="20">
        <f>=F1222/12</f>
        <v>40.575</v>
      </c>
      <c r="C1222" s="20">
        <f>=J1222/3</f>
        <v>324.6</v>
      </c>
      <c r="D1222" s="20">
        <f>=K1222/3</f>
        <v>360.666666666667</v>
      </c>
      <c r="E1222" s="20">
        <f>=L1222/3</f>
        <v>378.7</v>
      </c>
      <c r="F1222" s="20">
        <f>=H1222*0.9</f>
        <v>486.9</v>
      </c>
      <c r="G1222" s="21">
        <v>492</v>
      </c>
      <c r="H1222" s="39">
        <v>541</v>
      </c>
      <c r="I1222" s="40">
        <f>=H1222*1.05</f>
        <v>568.05</v>
      </c>
      <c r="J1222" s="40">
        <f>=F1222*2</f>
        <v>973.8</v>
      </c>
      <c r="K1222" s="40">
        <f>=H1222*2</f>
        <v>1082</v>
      </c>
      <c r="L1222" s="40">
        <f>=I1222*2</f>
        <v>1136.1</v>
      </c>
      <c r="M1222" s="41" t="s">
        <v>1307</v>
      </c>
      <c r="N1222" s="41">
        <v>0.762</v>
      </c>
      <c r="O1222" s="41" t="s"/>
      <c r="P1222" s="41">
        <v>1</v>
      </c>
      <c r="Q1222" s="41">
        <v>1</v>
      </c>
      <c r="R1222" s="41" t="s">
        <v>16</v>
      </c>
      <c r="S1222" s="41" t="s">
        <v>17</v>
      </c>
      <c r="T1222" s="41" t="s">
        <v>413</v>
      </c>
      <c r="U1222" s="16" t="s">
        <v>13</v>
      </c>
      <c r="V1222" s="16" t="s">
        <v>215</v>
      </c>
      <c r="W1222" s="19" t="s"/>
      <c r="X1222" s="26" t="s">
        <f>=M1222&amp;N1222&amp;P1222&amp;Q1222&amp;T1222&amp;V1222&amp;S1222</f>
        <v>1338</v>
      </c>
      <c r="Y1222" s="19" t="s"/>
      <c r="Z1222" s="19" t="s"/>
      <c r="AA1222" s="19" t="s"/>
      <c r="AB1222" s="19" t="s"/>
    </row>
    <row r="1223" spans="1:28" ht="14.4">
      <c r="A1223" s="4">
        <f>=H1223/G1223-1</f>
        <v>0.099702380952381</v>
      </c>
      <c r="B1223" s="20">
        <f>=F1223/12</f>
        <v>55.425</v>
      </c>
      <c r="C1223" s="20">
        <f>=J1223/3</f>
        <v>443.4</v>
      </c>
      <c r="D1223" s="20">
        <f>=K1223/3</f>
        <v>492.666666666667</v>
      </c>
      <c r="E1223" s="20">
        <f>=L1223/3</f>
        <v>517.3</v>
      </c>
      <c r="F1223" s="20">
        <f>=H1223*0.9</f>
        <v>665.1</v>
      </c>
      <c r="G1223" s="21">
        <v>672</v>
      </c>
      <c r="H1223" s="39">
        <v>739</v>
      </c>
      <c r="I1223" s="40">
        <f>=H1223*1.05</f>
        <v>775.95</v>
      </c>
      <c r="J1223" s="40">
        <f>=F1223*2</f>
        <v>1330.2</v>
      </c>
      <c r="K1223" s="40">
        <f>=H1223*2</f>
        <v>1478</v>
      </c>
      <c r="L1223" s="40">
        <f>=I1223*2</f>
        <v>1551.9</v>
      </c>
      <c r="M1223" s="41" t="s">
        <v>1307</v>
      </c>
      <c r="N1223" s="41">
        <v>0.762</v>
      </c>
      <c r="O1223" s="41" t="s"/>
      <c r="P1223" s="41">
        <v>2</v>
      </c>
      <c r="Q1223" s="41">
        <v>2</v>
      </c>
      <c r="R1223" s="41" t="s">
        <v>16</v>
      </c>
      <c r="S1223" s="41" t="s">
        <v>17</v>
      </c>
      <c r="T1223" s="41" t="s">
        <v>413</v>
      </c>
      <c r="U1223" s="16" t="s">
        <v>13</v>
      </c>
      <c r="V1223" s="16" t="s">
        <v>215</v>
      </c>
      <c r="W1223" s="19" t="s"/>
      <c r="X1223" s="26" t="s">
        <f>=M1223&amp;N1223&amp;P1223&amp;Q1223&amp;T1223&amp;V1223&amp;S1223</f>
        <v>1339</v>
      </c>
      <c r="Y1223" s="19" t="s"/>
      <c r="Z1223" s="19" t="s"/>
      <c r="AA1223" s="19" t="s"/>
      <c r="AB1223" s="19" t="s"/>
    </row>
    <row r="1224" spans="1:28" ht="14.4">
      <c r="A1224" s="4">
        <f>=H1224/G1224-1</f>
        <v>0.100164203612479</v>
      </c>
      <c r="B1224" s="20">
        <f>=F1224/12</f>
        <v>50.25</v>
      </c>
      <c r="C1224" s="20">
        <f>=J1224/3</f>
        <v>402</v>
      </c>
      <c r="D1224" s="20">
        <f>=K1224/3</f>
        <v>446.666666666667</v>
      </c>
      <c r="E1224" s="20">
        <f>=L1224/3</f>
        <v>469</v>
      </c>
      <c r="F1224" s="20">
        <f>=H1224*0.9</f>
        <v>603</v>
      </c>
      <c r="G1224" s="21">
        <v>609</v>
      </c>
      <c r="H1224" s="39">
        <v>670</v>
      </c>
      <c r="I1224" s="40">
        <f>=H1224*1.05</f>
        <v>703.5</v>
      </c>
      <c r="J1224" s="40">
        <f>=F1224*2</f>
        <v>1206</v>
      </c>
      <c r="K1224" s="40">
        <f>=H1224*2</f>
        <v>1340</v>
      </c>
      <c r="L1224" s="40">
        <f>=I1224*2</f>
        <v>1407</v>
      </c>
      <c r="M1224" s="41" t="s">
        <v>1307</v>
      </c>
      <c r="N1224" s="41">
        <v>1</v>
      </c>
      <c r="O1224" s="41" t="s"/>
      <c r="P1224" s="41">
        <v>1</v>
      </c>
      <c r="Q1224" s="41">
        <v>1</v>
      </c>
      <c r="R1224" s="41" t="s">
        <v>16</v>
      </c>
      <c r="S1224" s="41" t="s">
        <v>137</v>
      </c>
      <c r="T1224" s="41" t="s">
        <v>795</v>
      </c>
      <c r="U1224" s="16" t="s">
        <v>13</v>
      </c>
      <c r="V1224" s="16" t="s">
        <v>215</v>
      </c>
      <c r="W1224" s="19" t="s"/>
      <c r="X1224" s="26" t="s">
        <f>=M1224&amp;N1224&amp;P1224&amp;Q1224&amp;T1224&amp;V1224&amp;S1224</f>
        <v>1340</v>
      </c>
      <c r="Y1224" s="19" t="s"/>
      <c r="Z1224" s="19" t="s"/>
      <c r="AA1224" s="19" t="s"/>
      <c r="AB1224" s="19" t="s"/>
    </row>
    <row r="1225" spans="1:28" ht="14.4">
      <c r="A1225" s="4">
        <f>=H1225/G1225-1</f>
        <v>0.0996732026143792</v>
      </c>
      <c r="B1225" s="20">
        <f>=F1225/12</f>
        <v>50.475</v>
      </c>
      <c r="C1225" s="20">
        <f>=J1225/3</f>
        <v>403.8</v>
      </c>
      <c r="D1225" s="20">
        <f>=K1225/3</f>
        <v>448.666666666667</v>
      </c>
      <c r="E1225" s="20">
        <f>=L1225/3</f>
        <v>471.1</v>
      </c>
      <c r="F1225" s="20">
        <f>=H1225*0.9</f>
        <v>605.7</v>
      </c>
      <c r="G1225" s="21">
        <v>612</v>
      </c>
      <c r="H1225" s="39">
        <v>673</v>
      </c>
      <c r="I1225" s="40">
        <f>=H1225*1.05</f>
        <v>706.65</v>
      </c>
      <c r="J1225" s="40">
        <f>=F1225*2</f>
        <v>1211.4</v>
      </c>
      <c r="K1225" s="40">
        <f>=H1225*2</f>
        <v>1346</v>
      </c>
      <c r="L1225" s="40">
        <f>=I1225*2</f>
        <v>1413.3</v>
      </c>
      <c r="M1225" s="41" t="s">
        <v>1307</v>
      </c>
      <c r="N1225" s="41">
        <v>1.27</v>
      </c>
      <c r="O1225" s="41" t="s"/>
      <c r="P1225" s="41">
        <v>1</v>
      </c>
      <c r="Q1225" s="41">
        <v>1</v>
      </c>
      <c r="R1225" s="41" t="s">
        <v>16</v>
      </c>
      <c r="S1225" s="41" t="s">
        <v>137</v>
      </c>
      <c r="T1225" s="41" t="s">
        <v>1202</v>
      </c>
      <c r="U1225" s="16" t="s">
        <v>13</v>
      </c>
      <c r="V1225" s="16" t="s">
        <v>215</v>
      </c>
      <c r="W1225" s="19" t="s"/>
      <c r="X1225" s="26" t="s">
        <f>=M1225&amp;N1225&amp;P1225&amp;Q1225&amp;T1225&amp;V1225&amp;S1225</f>
        <v>1341</v>
      </c>
      <c r="Y1225" s="19" t="s"/>
      <c r="Z1225" s="19" t="s"/>
      <c r="AA1225" s="19" t="s"/>
      <c r="AB1225" s="19" t="s"/>
    </row>
    <row r="1226" spans="1:28" ht="14.4">
      <c r="A1226" s="4">
        <f>=H1226/G1226-1</f>
        <v>0.0996732026143792</v>
      </c>
      <c r="B1226" s="20">
        <f>=F1226/12</f>
        <v>50.475</v>
      </c>
      <c r="C1226" s="20">
        <f>=J1226/3</f>
        <v>403.8</v>
      </c>
      <c r="D1226" s="20">
        <f>=K1226/3</f>
        <v>448.666666666667</v>
      </c>
      <c r="E1226" s="20">
        <f>=L1226/3</f>
        <v>471.1</v>
      </c>
      <c r="F1226" s="20">
        <f>=H1226*0.9</f>
        <v>605.7</v>
      </c>
      <c r="G1226" s="21">
        <v>612</v>
      </c>
      <c r="H1226" s="39">
        <v>673</v>
      </c>
      <c r="I1226" s="40">
        <f>=H1226*1.05</f>
        <v>706.65</v>
      </c>
      <c r="J1226" s="40">
        <f>=F1226*2</f>
        <v>1211.4</v>
      </c>
      <c r="K1226" s="40">
        <f>=H1226*2</f>
        <v>1346</v>
      </c>
      <c r="L1226" s="40">
        <f>=I1226*2</f>
        <v>1413.3</v>
      </c>
      <c r="M1226" s="41" t="s">
        <v>1307</v>
      </c>
      <c r="N1226" s="41">
        <v>1.34</v>
      </c>
      <c r="O1226" s="41" t="s"/>
      <c r="P1226" s="41">
        <v>1</v>
      </c>
      <c r="Q1226" s="41">
        <v>1</v>
      </c>
      <c r="R1226" s="41" t="s">
        <v>16</v>
      </c>
      <c r="S1226" s="41" t="s">
        <v>137</v>
      </c>
      <c r="T1226" s="41" t="s">
        <v>1202</v>
      </c>
      <c r="U1226" s="16" t="s">
        <v>13</v>
      </c>
      <c r="V1226" s="16" t="s">
        <v>215</v>
      </c>
      <c r="W1226" s="19" t="s"/>
      <c r="X1226" s="26" t="s">
        <f>=M1226&amp;N1226&amp;P1226&amp;Q1226&amp;T1226&amp;V1226&amp;S1226</f>
        <v>1342</v>
      </c>
      <c r="Y1226" s="19" t="s"/>
      <c r="Z1226" s="19" t="s"/>
      <c r="AA1226" s="19" t="s"/>
      <c r="AB1226" s="19" t="s"/>
    </row>
    <row r="1227" spans="1:28" ht="14.4">
      <c r="A1227" s="4">
        <f>=H1227/G1227-1</f>
        <v>0.1</v>
      </c>
      <c r="B1227" s="20">
        <f>=F1227/12</f>
        <v>51.975</v>
      </c>
      <c r="C1227" s="20">
        <f>=J1227/3</f>
        <v>415.8</v>
      </c>
      <c r="D1227" s="20">
        <f>=K1227/3</f>
        <v>462</v>
      </c>
      <c r="E1227" s="20">
        <f>=L1227/3</f>
        <v>485.1</v>
      </c>
      <c r="F1227" s="20">
        <f>=H1227*0.9</f>
        <v>623.7</v>
      </c>
      <c r="G1227" s="21">
        <v>630</v>
      </c>
      <c r="H1227" s="39">
        <v>693</v>
      </c>
      <c r="I1227" s="40">
        <f>=H1227*1.05</f>
        <v>727.65</v>
      </c>
      <c r="J1227" s="40">
        <f>=F1227*2</f>
        <v>1247.4</v>
      </c>
      <c r="K1227" s="40">
        <f>=H1227*2</f>
        <v>1386</v>
      </c>
      <c r="L1227" s="40">
        <f>=I1227*2</f>
        <v>1455.3</v>
      </c>
      <c r="M1227" s="41" t="s">
        <v>1307</v>
      </c>
      <c r="N1227" s="41">
        <v>1.4</v>
      </c>
      <c r="O1227" s="41" t="s"/>
      <c r="P1227" s="41" t="s">
        <v>21</v>
      </c>
      <c r="Q1227" s="41" t="s">
        <v>21</v>
      </c>
      <c r="R1227" s="41" t="s">
        <v>16</v>
      </c>
      <c r="S1227" s="41" t="s">
        <v>17</v>
      </c>
      <c r="T1227" s="41" t="s">
        <v>1204</v>
      </c>
      <c r="U1227" s="16" t="s">
        <v>13</v>
      </c>
      <c r="V1227" s="16" t="s">
        <v>215</v>
      </c>
      <c r="W1227" s="19" t="s"/>
      <c r="X1227" s="26" t="s">
        <f>=M1227&amp;N1227&amp;P1227&amp;Q1227&amp;T1227&amp;V1227&amp;S1227</f>
        <v>1343</v>
      </c>
      <c r="Y1227" s="19" t="s"/>
      <c r="Z1227" s="19" t="s"/>
      <c r="AA1227" s="19" t="s"/>
      <c r="AB1227" s="19" t="s"/>
    </row>
    <row r="1228" spans="1:28" ht="14.4">
      <c r="A1228" s="4">
        <f>=H1228/G1228-1</f>
        <v>0.1</v>
      </c>
      <c r="B1228" s="20">
        <f>=F1228/12</f>
        <v>51.975</v>
      </c>
      <c r="C1228" s="20">
        <f>=J1228/3</f>
        <v>415.8</v>
      </c>
      <c r="D1228" s="20">
        <f>=K1228/3</f>
        <v>462</v>
      </c>
      <c r="E1228" s="20">
        <f>=L1228/3</f>
        <v>485.1</v>
      </c>
      <c r="F1228" s="20">
        <f>=H1228*0.9</f>
        <v>623.7</v>
      </c>
      <c r="G1228" s="21">
        <v>630</v>
      </c>
      <c r="H1228" s="39">
        <v>693</v>
      </c>
      <c r="I1228" s="40">
        <f>=H1228*1.05</f>
        <v>727.65</v>
      </c>
      <c r="J1228" s="40">
        <f>=F1228*2</f>
        <v>1247.4</v>
      </c>
      <c r="K1228" s="40">
        <f>=H1228*2</f>
        <v>1386</v>
      </c>
      <c r="L1228" s="40">
        <f>=I1228*2</f>
        <v>1455.3</v>
      </c>
      <c r="M1228" s="41" t="s">
        <v>1307</v>
      </c>
      <c r="N1228" s="41">
        <v>1.4</v>
      </c>
      <c r="O1228" s="41" t="s"/>
      <c r="P1228" s="41" t="s">
        <v>21</v>
      </c>
      <c r="Q1228" s="41" t="s">
        <v>21</v>
      </c>
      <c r="R1228" s="41" t="s">
        <v>16</v>
      </c>
      <c r="S1228" s="41" t="s">
        <v>17</v>
      </c>
      <c r="T1228" s="41" t="s">
        <v>23</v>
      </c>
      <c r="U1228" s="16" t="s">
        <v>13</v>
      </c>
      <c r="V1228" s="16" t="s">
        <v>215</v>
      </c>
      <c r="W1228" s="19" t="s"/>
      <c r="X1228" s="26" t="s">
        <f>=M1228&amp;N1228&amp;P1228&amp;Q1228&amp;T1228&amp;V1228&amp;S1228</f>
        <v>1344</v>
      </c>
      <c r="Y1228" s="19" t="s"/>
      <c r="Z1228" s="19" t="s"/>
      <c r="AA1228" s="19" t="s"/>
      <c r="AB1228" s="19" t="s"/>
    </row>
    <row r="1229" spans="1:28" ht="14.4">
      <c r="A1229" s="4">
        <f>=H1229/G1229-1</f>
        <v>0.100139082058415</v>
      </c>
      <c r="B1229" s="20">
        <f>=F1229/12</f>
        <v>59.325</v>
      </c>
      <c r="C1229" s="20">
        <f>=J1229/3</f>
        <v>474.6</v>
      </c>
      <c r="D1229" s="20">
        <f>=K1229/3</f>
        <v>527.333333333334</v>
      </c>
      <c r="E1229" s="20">
        <f>=L1229/3</f>
        <v>553.7</v>
      </c>
      <c r="F1229" s="20">
        <f>=H1229*0.9</f>
        <v>711.9</v>
      </c>
      <c r="G1229" s="21">
        <v>719</v>
      </c>
      <c r="H1229" s="39">
        <v>791</v>
      </c>
      <c r="I1229" s="40">
        <f>=H1229*1.05</f>
        <v>830.55</v>
      </c>
      <c r="J1229" s="40">
        <f>=F1229*2</f>
        <v>1423.8</v>
      </c>
      <c r="K1229" s="40">
        <f>=H1229*2</f>
        <v>1582</v>
      </c>
      <c r="L1229" s="40">
        <f>=I1229*2</f>
        <v>1661.1</v>
      </c>
      <c r="M1229" s="41" t="s">
        <v>1307</v>
      </c>
      <c r="N1229" s="41">
        <v>1.645</v>
      </c>
      <c r="O1229" s="41" t="s"/>
      <c r="P1229" s="41">
        <v>1</v>
      </c>
      <c r="Q1229" s="41">
        <v>1</v>
      </c>
      <c r="R1229" s="41" t="s">
        <v>16</v>
      </c>
      <c r="S1229" s="41" t="s">
        <v>137</v>
      </c>
      <c r="T1229" s="41" t="s">
        <v>1345</v>
      </c>
      <c r="U1229" s="16" t="s">
        <v>13</v>
      </c>
      <c r="V1229" s="16" t="s">
        <v>215</v>
      </c>
      <c r="W1229" s="19" t="s"/>
      <c r="X1229" s="26" t="s">
        <f>=M1229&amp;N1229&amp;P1229&amp;Q1229&amp;T1229&amp;V1229&amp;S1229</f>
        <v>1346</v>
      </c>
      <c r="Y1229" s="19" t="s"/>
      <c r="Z1229" s="19" t="s"/>
      <c r="AA1229" s="19" t="s"/>
      <c r="AB1229" s="19" t="s"/>
    </row>
    <row r="1230" spans="1:28" ht="14.4">
      <c r="A1230" s="4">
        <f>=H1230/G1230-1</f>
        <v>0.1</v>
      </c>
      <c r="B1230" s="20">
        <f>=F1230/12</f>
        <v>14.025</v>
      </c>
      <c r="C1230" s="20">
        <f>=J1230/3</f>
        <v>112.2</v>
      </c>
      <c r="D1230" s="20">
        <f>=K1230/3</f>
        <v>124.666666666667</v>
      </c>
      <c r="E1230" s="20">
        <f>=L1230/3</f>
        <v>130.9</v>
      </c>
      <c r="F1230" s="20">
        <f>=H1230*0.9</f>
        <v>168.3</v>
      </c>
      <c r="G1230" s="21">
        <v>170</v>
      </c>
      <c r="H1230" s="39">
        <v>187</v>
      </c>
      <c r="I1230" s="40">
        <f>=H1230*1.05</f>
        <v>196.35</v>
      </c>
      <c r="J1230" s="40">
        <f>=F1230*2</f>
        <v>336.6</v>
      </c>
      <c r="K1230" s="40">
        <f>=H1230*2</f>
        <v>374</v>
      </c>
      <c r="L1230" s="40">
        <f>=I1230*2</f>
        <v>392.7</v>
      </c>
      <c r="M1230" s="41" t="s">
        <v>1347</v>
      </c>
      <c r="N1230" s="41">
        <v>0.076</v>
      </c>
      <c r="O1230" s="41" t="s"/>
      <c r="P1230" s="41">
        <v>1</v>
      </c>
      <c r="Q1230" s="41">
        <v>2</v>
      </c>
      <c r="R1230" s="41" t="s">
        <v>16</v>
      </c>
      <c r="S1230" s="41" t="s">
        <v>137</v>
      </c>
      <c r="T1230" s="41" t="s">
        <v>18</v>
      </c>
      <c r="U1230" s="16" t="s">
        <v>13</v>
      </c>
      <c r="V1230" s="16" t="s">
        <v>215</v>
      </c>
      <c r="W1230" s="19" t="s"/>
      <c r="X1230" s="26" t="s">
        <f>=M1230&amp;N1230&amp;P1230&amp;Q1230&amp;T1230&amp;V1230&amp;S1230</f>
        <v>1348</v>
      </c>
      <c r="Y1230" s="19" t="s"/>
      <c r="Z1230" s="19" t="s"/>
      <c r="AA1230" s="19" t="s"/>
      <c r="AB1230" s="19" t="s"/>
    </row>
    <row r="1231" spans="1:28" ht="14.4">
      <c r="A1231" s="4">
        <f>=H1231/G1231-1</f>
        <v>0.0978260869565217</v>
      </c>
      <c r="B1231" s="20">
        <f>=F1231/12</f>
        <v>15.15</v>
      </c>
      <c r="C1231" s="20">
        <f>=J1231/3</f>
        <v>121.2</v>
      </c>
      <c r="D1231" s="20">
        <f>=K1231/3</f>
        <v>134.666666666667</v>
      </c>
      <c r="E1231" s="20">
        <f>=L1231/3</f>
        <v>141.4</v>
      </c>
      <c r="F1231" s="20">
        <f>=H1231*0.9</f>
        <v>181.8</v>
      </c>
      <c r="G1231" s="21">
        <v>184</v>
      </c>
      <c r="H1231" s="39">
        <v>202</v>
      </c>
      <c r="I1231" s="40">
        <f>=H1231*1.05</f>
        <v>212.1</v>
      </c>
      <c r="J1231" s="40">
        <f>=F1231*2</f>
        <v>363.6</v>
      </c>
      <c r="K1231" s="40">
        <f>=H1231*2</f>
        <v>404</v>
      </c>
      <c r="L1231" s="40">
        <f>=I1231*2</f>
        <v>424.2</v>
      </c>
      <c r="M1231" s="41" t="s">
        <v>1349</v>
      </c>
      <c r="N1231" s="41">
        <v>0.076</v>
      </c>
      <c r="O1231" s="41" t="s"/>
      <c r="P1231" s="41" t="s">
        <v>21</v>
      </c>
      <c r="Q1231" s="41">
        <v>1</v>
      </c>
      <c r="R1231" s="41" t="s">
        <v>16</v>
      </c>
      <c r="S1231" s="41" t="s">
        <v>17</v>
      </c>
      <c r="T1231" s="41" t="s">
        <v>18</v>
      </c>
      <c r="U1231" s="16" t="s">
        <v>13</v>
      </c>
      <c r="V1231" s="16" t="s">
        <v>1083</v>
      </c>
      <c r="W1231" s="19" t="s"/>
      <c r="X1231" s="26" t="s">
        <f>=M1231&amp;N1231&amp;P1231&amp;Q1231&amp;T1231&amp;V1231&amp;S1231</f>
        <v>1350</v>
      </c>
      <c r="Y1231" s="19" t="s"/>
      <c r="Z1231" s="19" t="s"/>
      <c r="AA1231" s="19" t="s"/>
      <c r="AB1231" s="19" t="s"/>
    </row>
    <row r="1232" spans="1:28" ht="14.4">
      <c r="A1232" s="4">
        <f>=H1232/G1232-1</f>
        <v>0.101190476190476</v>
      </c>
      <c r="B1232" s="20">
        <f>=F1232/12</f>
        <v>13.875</v>
      </c>
      <c r="C1232" s="20">
        <f>=J1232/3</f>
        <v>111</v>
      </c>
      <c r="D1232" s="20">
        <f>=K1232/3</f>
        <v>123.333333333333</v>
      </c>
      <c r="E1232" s="20">
        <f>=L1232/3</f>
        <v>129.5</v>
      </c>
      <c r="F1232" s="20">
        <f>=H1232*0.9</f>
        <v>166.5</v>
      </c>
      <c r="G1232" s="21">
        <v>168</v>
      </c>
      <c r="H1232" s="39">
        <v>185</v>
      </c>
      <c r="I1232" s="40">
        <f>=H1232*1.05</f>
        <v>194.25</v>
      </c>
      <c r="J1232" s="40">
        <f>=F1232*2</f>
        <v>333</v>
      </c>
      <c r="K1232" s="40">
        <f>=H1232*2</f>
        <v>370</v>
      </c>
      <c r="L1232" s="40">
        <f>=I1232*2</f>
        <v>388.5</v>
      </c>
      <c r="M1232" s="41" t="s">
        <v>1349</v>
      </c>
      <c r="N1232" s="41">
        <v>0.089</v>
      </c>
      <c r="O1232" s="41" t="s"/>
      <c r="P1232" s="41">
        <v>1</v>
      </c>
      <c r="Q1232" s="41">
        <v>1</v>
      </c>
      <c r="R1232" s="41" t="s">
        <v>16</v>
      </c>
      <c r="S1232" s="41" t="s">
        <v>17</v>
      </c>
      <c r="T1232" s="41" t="s">
        <v>225</v>
      </c>
      <c r="U1232" s="16" t="s">
        <v>13</v>
      </c>
      <c r="V1232" s="16" t="s">
        <v>1083</v>
      </c>
      <c r="W1232" s="19" t="s"/>
      <c r="X1232" s="26" t="s">
        <f>=M1232&amp;N1232&amp;P1232&amp;Q1232&amp;T1232&amp;V1232&amp;S1232</f>
        <v>1351</v>
      </c>
      <c r="Y1232" s="19" t="s"/>
      <c r="Z1232" s="19" t="s"/>
      <c r="AA1232" s="19" t="s"/>
      <c r="AB1232" s="19" t="s"/>
    </row>
    <row r="1233" spans="1:28" ht="14.4">
      <c r="A1233" s="42" t="s"/>
      <c r="B1233" s="43">
        <f>=F1233/12</f>
        <v>19.65</v>
      </c>
      <c r="C1233" s="43">
        <f>=J1233/3</f>
        <v>157.2</v>
      </c>
      <c r="D1233" s="43">
        <f>=K1233/3</f>
        <v>174.666666666667</v>
      </c>
      <c r="E1233" s="43">
        <f>=L1233/3</f>
        <v>183.4</v>
      </c>
      <c r="F1233" s="43">
        <f>=H1233*0.9</f>
        <v>235.8</v>
      </c>
      <c r="G1233" s="27">
        <v>168</v>
      </c>
      <c r="H1233" s="44">
        <v>262</v>
      </c>
      <c r="I1233" s="45">
        <f>=H1233*1.05</f>
        <v>275.1</v>
      </c>
      <c r="J1233" s="45">
        <f>=F1233*2</f>
        <v>471.6</v>
      </c>
      <c r="K1233" s="45">
        <f>=H1233*2</f>
        <v>524</v>
      </c>
      <c r="L1233" s="45">
        <f>=I1233*2</f>
        <v>550.2</v>
      </c>
      <c r="M1233" s="46" t="s">
        <v>1349</v>
      </c>
      <c r="N1233" s="46">
        <v>0.089</v>
      </c>
      <c r="O1233" s="46" t="s"/>
      <c r="P1233" s="46">
        <v>1</v>
      </c>
      <c r="Q1233" s="46">
        <v>1</v>
      </c>
      <c r="R1233" s="46" t="s">
        <v>16</v>
      </c>
      <c r="S1233" s="46" t="s">
        <v>17</v>
      </c>
      <c r="T1233" s="12" t="s">
        <v>1106</v>
      </c>
      <c r="U1233" s="13" t="s">
        <v>13</v>
      </c>
      <c r="V1233" s="13" t="s">
        <v>1083</v>
      </c>
      <c r="W1233" s="15" t="s"/>
      <c r="X1233" s="18" t="s">
        <f>=M1233&amp;N1233&amp;P1233&amp;Q1233&amp;T1233&amp;V1233&amp;S1233</f>
        <v>1352</v>
      </c>
      <c r="Y1233" s="15" t="s"/>
      <c r="Z1233" s="15" t="s"/>
      <c r="AA1233" s="15" t="s"/>
      <c r="AB1233" s="15" t="s"/>
    </row>
    <row r="1234" spans="1:28" ht="14.4">
      <c r="A1234" s="42" t="s"/>
      <c r="B1234" s="43">
        <f>=F1234/12</f>
        <v>32.4</v>
      </c>
      <c r="C1234" s="43">
        <f>=J1234/3</f>
        <v>259.2</v>
      </c>
      <c r="D1234" s="43">
        <f>=K1234/3</f>
        <v>288</v>
      </c>
      <c r="E1234" s="43">
        <f>=L1234/3</f>
        <v>302.4</v>
      </c>
      <c r="F1234" s="43">
        <f>=H1234*0.9</f>
        <v>388.8</v>
      </c>
      <c r="G1234" s="27">
        <v>168</v>
      </c>
      <c r="H1234" s="44">
        <v>432</v>
      </c>
      <c r="I1234" s="45">
        <f>=H1234*1.05</f>
        <v>453.6</v>
      </c>
      <c r="J1234" s="45">
        <f>=F1234*2</f>
        <v>777.6</v>
      </c>
      <c r="K1234" s="45">
        <f>=H1234*2</f>
        <v>864</v>
      </c>
      <c r="L1234" s="45">
        <f>=I1234*2</f>
        <v>907.2</v>
      </c>
      <c r="M1234" s="46" t="s">
        <v>1349</v>
      </c>
      <c r="N1234" s="46">
        <v>0.089</v>
      </c>
      <c r="O1234" s="46" t="s"/>
      <c r="P1234" s="12">
        <v>2</v>
      </c>
      <c r="Q1234" s="12">
        <v>2</v>
      </c>
      <c r="R1234" s="46" t="s">
        <v>16</v>
      </c>
      <c r="S1234" s="46" t="s">
        <v>17</v>
      </c>
      <c r="T1234" s="12" t="s">
        <v>1106</v>
      </c>
      <c r="U1234" s="13" t="s">
        <v>13</v>
      </c>
      <c r="V1234" s="13" t="s">
        <v>1083</v>
      </c>
      <c r="W1234" s="15" t="s"/>
      <c r="X1234" s="18" t="s">
        <f>=M1234&amp;N1234&amp;P1234&amp;Q1234&amp;T1234&amp;V1234&amp;S1234</f>
        <v>1353</v>
      </c>
      <c r="Y1234" s="15" t="s"/>
      <c r="Z1234" s="15" t="s"/>
      <c r="AA1234" s="15" t="s"/>
      <c r="AB1234" s="15" t="s"/>
    </row>
    <row r="1235" spans="1:28" ht="14.4">
      <c r="A1235" s="4">
        <f>=H1235/G1235-1</f>
        <v>0.0990099009900991</v>
      </c>
      <c r="B1235" s="20">
        <f>=F1235/12</f>
        <v>16.65</v>
      </c>
      <c r="C1235" s="20">
        <f>=J1235/3</f>
        <v>133.2</v>
      </c>
      <c r="D1235" s="20">
        <f>=K1235/3</f>
        <v>148</v>
      </c>
      <c r="E1235" s="20">
        <f>=L1235/3</f>
        <v>155.4</v>
      </c>
      <c r="F1235" s="20">
        <f>=H1235*0.9</f>
        <v>199.8</v>
      </c>
      <c r="G1235" s="21">
        <v>202</v>
      </c>
      <c r="H1235" s="39">
        <v>222</v>
      </c>
      <c r="I1235" s="40">
        <f>=H1235*1.05</f>
        <v>233.1</v>
      </c>
      <c r="J1235" s="40">
        <f>=F1235*2</f>
        <v>399.6</v>
      </c>
      <c r="K1235" s="40">
        <f>=H1235*2</f>
        <v>444</v>
      </c>
      <c r="L1235" s="40">
        <f>=I1235*2</f>
        <v>466.2</v>
      </c>
      <c r="M1235" s="41" t="s">
        <v>1349</v>
      </c>
      <c r="N1235" s="41">
        <v>0.089</v>
      </c>
      <c r="O1235" s="41" t="s"/>
      <c r="P1235" s="41">
        <v>1</v>
      </c>
      <c r="Q1235" s="41">
        <v>2</v>
      </c>
      <c r="R1235" s="41" t="s">
        <v>16</v>
      </c>
      <c r="S1235" s="41" t="s">
        <v>17</v>
      </c>
      <c r="T1235" s="41" t="s">
        <v>225</v>
      </c>
      <c r="U1235" s="16" t="s">
        <v>13</v>
      </c>
      <c r="V1235" s="16" t="s">
        <v>1354</v>
      </c>
      <c r="W1235" s="19" t="s"/>
      <c r="X1235" s="26" t="s">
        <f>=M1235&amp;N1235&amp;P1235&amp;Q1235&amp;T1235&amp;V1235&amp;S1235</f>
        <v>1355</v>
      </c>
      <c r="Y1235" s="19" t="s"/>
      <c r="Z1235" s="19" t="s"/>
      <c r="AA1235" s="19" t="s"/>
      <c r="AB1235" s="19" t="s"/>
    </row>
    <row r="1236" spans="1:28" ht="14.4">
      <c r="A1236" s="4">
        <f>=H1236/G1236-1</f>
        <v>0.0981595092024541</v>
      </c>
      <c r="B1236" s="20">
        <f>=F1236/12</f>
        <v>13.425</v>
      </c>
      <c r="C1236" s="20">
        <f>=J1236/3</f>
        <v>107.4</v>
      </c>
      <c r="D1236" s="20">
        <f>=K1236/3</f>
        <v>119.333333333333</v>
      </c>
      <c r="E1236" s="20">
        <f>=L1236/3</f>
        <v>125.3</v>
      </c>
      <c r="F1236" s="20">
        <f>=H1236*0.9</f>
        <v>161.1</v>
      </c>
      <c r="G1236" s="21">
        <v>163</v>
      </c>
      <c r="H1236" s="39">
        <v>179</v>
      </c>
      <c r="I1236" s="40">
        <f>=H1236*1.05</f>
        <v>187.95</v>
      </c>
      <c r="J1236" s="40">
        <f>=F1236*2</f>
        <v>322.2</v>
      </c>
      <c r="K1236" s="40">
        <f>=H1236*2</f>
        <v>358</v>
      </c>
      <c r="L1236" s="40">
        <f>=I1236*2</f>
        <v>375.9</v>
      </c>
      <c r="M1236" s="41" t="s">
        <v>1349</v>
      </c>
      <c r="N1236" s="41">
        <v>0.102</v>
      </c>
      <c r="O1236" s="41" t="s"/>
      <c r="P1236" s="41" t="s">
        <v>21</v>
      </c>
      <c r="Q1236" s="41" t="s">
        <v>21</v>
      </c>
      <c r="R1236" s="41" t="s">
        <v>16</v>
      </c>
      <c r="S1236" s="41" t="s">
        <v>17</v>
      </c>
      <c r="T1236" s="41" t="s">
        <v>639</v>
      </c>
      <c r="U1236" s="16" t="s">
        <v>13</v>
      </c>
      <c r="V1236" s="16" t="s">
        <v>1083</v>
      </c>
      <c r="W1236" s="19" t="s"/>
      <c r="X1236" s="26" t="s">
        <f>=M1236&amp;N1236&amp;P1236&amp;Q1236&amp;T1236&amp;V1236&amp;S1236</f>
        <v>1356</v>
      </c>
      <c r="Y1236" s="19" t="s"/>
      <c r="Z1236" s="19" t="s"/>
      <c r="AA1236" s="19" t="s"/>
      <c r="AB1236" s="19" t="s"/>
    </row>
    <row r="1237" spans="1:28" ht="14.4">
      <c r="A1237" s="4">
        <f>=H1237/G1237-1</f>
        <v>0.1</v>
      </c>
      <c r="B1237" s="20">
        <f>=F1237/12</f>
        <v>13.2</v>
      </c>
      <c r="C1237" s="20">
        <f>=J1237/3</f>
        <v>105.6</v>
      </c>
      <c r="D1237" s="20">
        <f>=K1237/3</f>
        <v>117.333333333333</v>
      </c>
      <c r="E1237" s="20">
        <f>=L1237/3</f>
        <v>123.2</v>
      </c>
      <c r="F1237" s="20">
        <f>=H1237*0.9</f>
        <v>158.4</v>
      </c>
      <c r="G1237" s="21">
        <v>160</v>
      </c>
      <c r="H1237" s="39">
        <v>176</v>
      </c>
      <c r="I1237" s="40">
        <f>=H1237*1.05</f>
        <v>184.8</v>
      </c>
      <c r="J1237" s="40">
        <f>=F1237*2</f>
        <v>316.8</v>
      </c>
      <c r="K1237" s="40">
        <f>=H1237*2</f>
        <v>352</v>
      </c>
      <c r="L1237" s="40">
        <f>=I1237*2</f>
        <v>369.6</v>
      </c>
      <c r="M1237" s="41" t="s">
        <v>1349</v>
      </c>
      <c r="N1237" s="41">
        <v>0.102</v>
      </c>
      <c r="O1237" s="41" t="s"/>
      <c r="P1237" s="41">
        <v>1</v>
      </c>
      <c r="Q1237" s="41">
        <v>1</v>
      </c>
      <c r="R1237" s="41" t="s">
        <v>16</v>
      </c>
      <c r="S1237" s="41" t="s">
        <v>17</v>
      </c>
      <c r="T1237" s="41" t="s">
        <v>639</v>
      </c>
      <c r="U1237" s="16" t="s">
        <v>13</v>
      </c>
      <c r="V1237" s="16" t="s">
        <v>1083</v>
      </c>
      <c r="W1237" s="19" t="s"/>
      <c r="X1237" s="26" t="s">
        <f>=M1237&amp;N1237&amp;P1237&amp;Q1237&amp;T1237&amp;V1237&amp;S1237</f>
        <v>1357</v>
      </c>
      <c r="Y1237" s="19" t="s"/>
      <c r="Z1237" s="19" t="s"/>
      <c r="AA1237" s="19" t="s"/>
      <c r="AB1237" s="19" t="s"/>
    </row>
    <row r="1238" spans="1:28" ht="14.4">
      <c r="A1238" s="4">
        <f>=H1238/G1238-1</f>
        <v>0.1</v>
      </c>
      <c r="B1238" s="20">
        <f>=F1238/12</f>
        <v>21.45</v>
      </c>
      <c r="C1238" s="20">
        <f>=J1238/3</f>
        <v>171.6</v>
      </c>
      <c r="D1238" s="20">
        <f>=K1238/3</f>
        <v>190.666666666667</v>
      </c>
      <c r="E1238" s="20">
        <f>=L1238/3</f>
        <v>200.2</v>
      </c>
      <c r="F1238" s="20">
        <f>=H1238*0.9</f>
        <v>257.4</v>
      </c>
      <c r="G1238" s="21">
        <v>260</v>
      </c>
      <c r="H1238" s="39">
        <v>286</v>
      </c>
      <c r="I1238" s="40">
        <f>=H1238*1.05</f>
        <v>300.3</v>
      </c>
      <c r="J1238" s="40">
        <f>=F1238*2</f>
        <v>514.8</v>
      </c>
      <c r="K1238" s="40">
        <f>=H1238*2</f>
        <v>572</v>
      </c>
      <c r="L1238" s="40">
        <f>=I1238*2</f>
        <v>600.6</v>
      </c>
      <c r="M1238" s="41" t="s">
        <v>1349</v>
      </c>
      <c r="N1238" s="41">
        <v>0.102</v>
      </c>
      <c r="O1238" s="41" t="s"/>
      <c r="P1238" s="41">
        <v>1</v>
      </c>
      <c r="Q1238" s="41">
        <v>1</v>
      </c>
      <c r="R1238" s="41" t="s">
        <v>16</v>
      </c>
      <c r="S1238" s="41" t="s">
        <v>17</v>
      </c>
      <c r="T1238" s="41" t="s">
        <v>1078</v>
      </c>
      <c r="U1238" s="16" t="s">
        <v>13</v>
      </c>
      <c r="V1238" s="16" t="s">
        <v>1083</v>
      </c>
      <c r="W1238" s="19" t="s"/>
      <c r="X1238" s="26" t="s">
        <f>=M1238&amp;N1238&amp;P1238&amp;Q1238&amp;T1238&amp;V1238&amp;S1238</f>
        <v>1358</v>
      </c>
      <c r="Y1238" s="19" t="s"/>
      <c r="Z1238" s="19" t="s"/>
      <c r="AA1238" s="19" t="s"/>
      <c r="AB1238" s="19" t="s"/>
    </row>
    <row r="1239" spans="1:28" ht="14.4">
      <c r="A1239" s="4">
        <f>=H1239/G1239-1</f>
        <v>0.102272727272727</v>
      </c>
      <c r="B1239" s="20">
        <f>=F1239/12</f>
        <v>14.55</v>
      </c>
      <c r="C1239" s="20">
        <f>=J1239/3</f>
        <v>116.4</v>
      </c>
      <c r="D1239" s="20">
        <f>=K1239/3</f>
        <v>129.333333333333</v>
      </c>
      <c r="E1239" s="20">
        <f>=L1239/3</f>
        <v>135.8</v>
      </c>
      <c r="F1239" s="20">
        <f>=H1239*0.9</f>
        <v>174.6</v>
      </c>
      <c r="G1239" s="21">
        <v>176</v>
      </c>
      <c r="H1239" s="39">
        <v>194</v>
      </c>
      <c r="I1239" s="40">
        <f>=H1239*1.05</f>
        <v>203.7</v>
      </c>
      <c r="J1239" s="40">
        <f>=F1239*2</f>
        <v>349.2</v>
      </c>
      <c r="K1239" s="40">
        <f>=H1239*2</f>
        <v>388</v>
      </c>
      <c r="L1239" s="40">
        <f>=I1239*2</f>
        <v>407.4</v>
      </c>
      <c r="M1239" s="41" t="s">
        <v>1349</v>
      </c>
      <c r="N1239" s="41">
        <v>0.102</v>
      </c>
      <c r="O1239" s="41" t="s"/>
      <c r="P1239" s="41">
        <v>1</v>
      </c>
      <c r="Q1239" s="41">
        <v>1</v>
      </c>
      <c r="R1239" s="41" t="s">
        <v>16</v>
      </c>
      <c r="S1239" s="41" t="s">
        <v>17</v>
      </c>
      <c r="T1239" s="41" t="s">
        <v>654</v>
      </c>
      <c r="U1239" s="16" t="s">
        <v>13</v>
      </c>
      <c r="V1239" s="16" t="s">
        <v>215</v>
      </c>
      <c r="W1239" s="19" t="s"/>
      <c r="X1239" s="26" t="s">
        <f>=M1239&amp;N1239&amp;P1239&amp;Q1239&amp;T1239&amp;V1239&amp;S1239</f>
        <v>1359</v>
      </c>
      <c r="Y1239" s="19" t="s"/>
      <c r="Z1239" s="19" t="s"/>
      <c r="AA1239" s="19" t="s"/>
      <c r="AB1239" s="19" t="s"/>
    </row>
    <row r="1240" spans="1:28" ht="14.4">
      <c r="A1240" s="4">
        <f>=H1240/G1240-1</f>
        <v>0.0975609756097562</v>
      </c>
      <c r="B1240" s="20">
        <f>=F1240/12</f>
        <v>13.5</v>
      </c>
      <c r="C1240" s="20">
        <f>=J1240/3</f>
        <v>108</v>
      </c>
      <c r="D1240" s="20">
        <f>=K1240/3</f>
        <v>120</v>
      </c>
      <c r="E1240" s="20">
        <f>=L1240/3</f>
        <v>126</v>
      </c>
      <c r="F1240" s="20">
        <f>=H1240*0.9</f>
        <v>162</v>
      </c>
      <c r="G1240" s="21">
        <v>164</v>
      </c>
      <c r="H1240" s="39">
        <v>180</v>
      </c>
      <c r="I1240" s="40">
        <f>=H1240*1.05</f>
        <v>189</v>
      </c>
      <c r="J1240" s="40">
        <f>=F1240*2</f>
        <v>324</v>
      </c>
      <c r="K1240" s="40">
        <f>=H1240*2</f>
        <v>360</v>
      </c>
      <c r="L1240" s="40">
        <f>=I1240*2</f>
        <v>378</v>
      </c>
      <c r="M1240" s="41" t="s">
        <v>1349</v>
      </c>
      <c r="N1240" s="41">
        <v>0.102</v>
      </c>
      <c r="O1240" s="41" t="s"/>
      <c r="P1240" s="41">
        <v>1</v>
      </c>
      <c r="Q1240" s="41">
        <v>1</v>
      </c>
      <c r="R1240" s="41" t="s">
        <v>16</v>
      </c>
      <c r="S1240" s="41" t="s">
        <v>17</v>
      </c>
      <c r="T1240" s="41" t="s">
        <v>654</v>
      </c>
      <c r="U1240" s="16" t="s">
        <v>13</v>
      </c>
      <c r="V1240" s="16" t="s">
        <v>1083</v>
      </c>
      <c r="W1240" s="19" t="s"/>
      <c r="X1240" s="26" t="s">
        <f>=M1240&amp;N1240&amp;P1240&amp;Q1240&amp;T1240&amp;V1240&amp;S1240</f>
        <v>1360</v>
      </c>
      <c r="Y1240" s="19" t="s"/>
      <c r="Z1240" s="19" t="s"/>
      <c r="AA1240" s="19" t="s"/>
      <c r="AB1240" s="19" t="s"/>
    </row>
    <row r="1241" spans="1:28" ht="14.4">
      <c r="A1241" s="4">
        <f>=H1241/G1241-1</f>
        <v>0.1</v>
      </c>
      <c r="B1241" s="20">
        <f>=F1241/12</f>
        <v>21.45</v>
      </c>
      <c r="C1241" s="20">
        <f>=J1241/3</f>
        <v>171.6</v>
      </c>
      <c r="D1241" s="20">
        <f>=K1241/3</f>
        <v>190.666666666667</v>
      </c>
      <c r="E1241" s="20">
        <f>=L1241/3</f>
        <v>200.2</v>
      </c>
      <c r="F1241" s="20">
        <f>=H1241*0.9</f>
        <v>257.4</v>
      </c>
      <c r="G1241" s="21">
        <v>260</v>
      </c>
      <c r="H1241" s="39">
        <v>286</v>
      </c>
      <c r="I1241" s="40">
        <f>=H1241*1.05</f>
        <v>300.3</v>
      </c>
      <c r="J1241" s="40">
        <f>=F1241*2</f>
        <v>514.8</v>
      </c>
      <c r="K1241" s="40">
        <f>=H1241*2</f>
        <v>572</v>
      </c>
      <c r="L1241" s="40">
        <f>=I1241*2</f>
        <v>600.6</v>
      </c>
      <c r="M1241" s="41" t="s">
        <v>1349</v>
      </c>
      <c r="N1241" s="41">
        <v>0.102</v>
      </c>
      <c r="O1241" s="41" t="s"/>
      <c r="P1241" s="41">
        <v>2</v>
      </c>
      <c r="Q1241" s="41">
        <v>2</v>
      </c>
      <c r="R1241" s="41" t="s">
        <v>16</v>
      </c>
      <c r="S1241" s="41" t="s">
        <v>17</v>
      </c>
      <c r="T1241" s="41" t="s">
        <v>654</v>
      </c>
      <c r="U1241" s="16" t="s">
        <v>13</v>
      </c>
      <c r="V1241" s="16" t="s">
        <v>215</v>
      </c>
      <c r="W1241" s="19" t="s"/>
      <c r="X1241" s="26" t="s">
        <f>=M1241&amp;N1241&amp;P1241&amp;Q1241&amp;T1241&amp;V1241&amp;S1241</f>
        <v>1361</v>
      </c>
      <c r="Y1241" s="19" t="s"/>
      <c r="Z1241" s="19" t="s"/>
      <c r="AA1241" s="19" t="s"/>
      <c r="AB1241" s="19" t="s"/>
    </row>
    <row r="1242" spans="1:28" ht="14.4">
      <c r="A1242" s="4">
        <f>=H1242/G1242-1</f>
        <v>0.102189781021898</v>
      </c>
      <c r="B1242" s="20">
        <f>=F1242/12</f>
        <v>11.325</v>
      </c>
      <c r="C1242" s="20">
        <f>=J1242/3</f>
        <v>90.6</v>
      </c>
      <c r="D1242" s="20">
        <f>=K1242/3</f>
        <v>100.666666666667</v>
      </c>
      <c r="E1242" s="20">
        <f>=L1242/3</f>
        <v>105.7</v>
      </c>
      <c r="F1242" s="20">
        <f>=H1242*0.9</f>
        <v>135.9</v>
      </c>
      <c r="G1242" s="21">
        <v>137</v>
      </c>
      <c r="H1242" s="39">
        <v>151</v>
      </c>
      <c r="I1242" s="40">
        <f>=H1242*1.05</f>
        <v>158.55</v>
      </c>
      <c r="J1242" s="40">
        <f>=F1242*2</f>
        <v>271.8</v>
      </c>
      <c r="K1242" s="40">
        <f>=H1242*2</f>
        <v>302</v>
      </c>
      <c r="L1242" s="40">
        <f>=I1242*2</f>
        <v>317.1</v>
      </c>
      <c r="M1242" s="41" t="s">
        <v>1349</v>
      </c>
      <c r="N1242" s="41">
        <v>0.102</v>
      </c>
      <c r="O1242" s="41" t="s"/>
      <c r="P1242" s="41" t="s">
        <v>21</v>
      </c>
      <c r="Q1242" s="41" t="s">
        <v>21</v>
      </c>
      <c r="R1242" s="41" t="s">
        <v>16</v>
      </c>
      <c r="S1242" s="41" t="s">
        <v>17</v>
      </c>
      <c r="T1242" s="41" t="s">
        <v>654</v>
      </c>
      <c r="U1242" s="16" t="s">
        <v>13</v>
      </c>
      <c r="V1242" s="16" t="s">
        <v>1083</v>
      </c>
      <c r="W1242" s="19" t="s"/>
      <c r="X1242" s="26" t="s">
        <f>=M1242&amp;N1242&amp;P1242&amp;Q1242&amp;T1242&amp;V1242&amp;S1242</f>
        <v>1362</v>
      </c>
      <c r="Y1242" s="19" t="s"/>
      <c r="Z1242" s="19" t="s"/>
      <c r="AA1242" s="19" t="s"/>
      <c r="AB1242" s="19" t="s"/>
    </row>
    <row r="1243" spans="1:28" ht="14.4">
      <c r="A1243" s="4">
        <f>=H1243/G1243-1</f>
        <v>0.0986842105263157</v>
      </c>
      <c r="B1243" s="20">
        <f>=F1243/12</f>
        <v>12.525</v>
      </c>
      <c r="C1243" s="20">
        <f>=J1243/3</f>
        <v>100.2</v>
      </c>
      <c r="D1243" s="20">
        <f>=K1243/3</f>
        <v>111.333333333333</v>
      </c>
      <c r="E1243" s="20">
        <f>=L1243/3</f>
        <v>116.9</v>
      </c>
      <c r="F1243" s="20">
        <f>=H1243*0.9</f>
        <v>150.3</v>
      </c>
      <c r="G1243" s="21">
        <v>152</v>
      </c>
      <c r="H1243" s="39">
        <v>167</v>
      </c>
      <c r="I1243" s="40">
        <f>=H1243*1.05</f>
        <v>175.35</v>
      </c>
      <c r="J1243" s="40">
        <f>=F1243*2</f>
        <v>300.6</v>
      </c>
      <c r="K1243" s="40">
        <f>=H1243*2</f>
        <v>334</v>
      </c>
      <c r="L1243" s="40">
        <f>=I1243*2</f>
        <v>350.7</v>
      </c>
      <c r="M1243" s="41" t="s">
        <v>1349</v>
      </c>
      <c r="N1243" s="41">
        <v>0.102</v>
      </c>
      <c r="O1243" s="41" t="s"/>
      <c r="P1243" s="41" t="s">
        <v>21</v>
      </c>
      <c r="Q1243" s="41">
        <v>1</v>
      </c>
      <c r="R1243" s="41" t="s">
        <v>16</v>
      </c>
      <c r="S1243" s="41" t="s">
        <v>17</v>
      </c>
      <c r="T1243" s="41" t="s">
        <v>1078</v>
      </c>
      <c r="U1243" s="16" t="s">
        <v>13</v>
      </c>
      <c r="V1243" s="16" t="s">
        <v>1083</v>
      </c>
      <c r="W1243" s="19" t="s"/>
      <c r="X1243" s="26" t="s">
        <f>=M1243&amp;N1243&amp;P1243&amp;Q1243&amp;T1243&amp;V1243&amp;S1243</f>
        <v>1363</v>
      </c>
      <c r="Y1243" s="19" t="s"/>
      <c r="Z1243" s="19" t="s"/>
      <c r="AA1243" s="19" t="s"/>
      <c r="AB1243" s="19" t="s"/>
    </row>
    <row r="1244" spans="1:28" ht="14.4">
      <c r="A1244" s="4">
        <f>=H1244/G1244-1</f>
        <v>0.0982658959537573</v>
      </c>
      <c r="B1244" s="20">
        <f>=F1244/12</f>
        <v>14.25</v>
      </c>
      <c r="C1244" s="20">
        <f>=J1244/3</f>
        <v>114</v>
      </c>
      <c r="D1244" s="20">
        <f>=K1244/3</f>
        <v>126.666666666667</v>
      </c>
      <c r="E1244" s="20">
        <f>=L1244/3</f>
        <v>133</v>
      </c>
      <c r="F1244" s="20">
        <f>=H1244*0.9</f>
        <v>171</v>
      </c>
      <c r="G1244" s="21">
        <v>173</v>
      </c>
      <c r="H1244" s="39">
        <v>190</v>
      </c>
      <c r="I1244" s="40">
        <f>=H1244*1.05</f>
        <v>199.5</v>
      </c>
      <c r="J1244" s="40">
        <f>=F1244*2</f>
        <v>342</v>
      </c>
      <c r="K1244" s="40">
        <f>=H1244*2</f>
        <v>380</v>
      </c>
      <c r="L1244" s="40">
        <f>=I1244*2</f>
        <v>399</v>
      </c>
      <c r="M1244" s="41" t="s">
        <v>1349</v>
      </c>
      <c r="N1244" s="41">
        <v>0.102</v>
      </c>
      <c r="O1244" s="41" t="s"/>
      <c r="P1244" s="41" t="s">
        <v>21</v>
      </c>
      <c r="Q1244" s="41">
        <v>1</v>
      </c>
      <c r="R1244" s="41" t="s">
        <v>16</v>
      </c>
      <c r="S1244" s="41" t="s">
        <v>17</v>
      </c>
      <c r="T1244" s="41" t="s">
        <v>654</v>
      </c>
      <c r="U1244" s="16" t="s">
        <v>13</v>
      </c>
      <c r="V1244" s="16" t="s">
        <v>1083</v>
      </c>
      <c r="W1244" s="19" t="s"/>
      <c r="X1244" s="26" t="s">
        <f>=M1244&amp;N1244&amp;P1244&amp;Q1244&amp;T1244&amp;V1244&amp;S1244</f>
        <v>1364</v>
      </c>
      <c r="Y1244" s="19" t="s"/>
      <c r="Z1244" s="19" t="s"/>
      <c r="AA1244" s="19" t="s"/>
      <c r="AB1244" s="19" t="s"/>
    </row>
    <row r="1245" spans="1:28" ht="14.4">
      <c r="A1245" s="4">
        <f>=H1245/G1245-1</f>
        <v>0.0982658959537573</v>
      </c>
      <c r="B1245" s="20">
        <f>=F1245/12</f>
        <v>14.25</v>
      </c>
      <c r="C1245" s="20">
        <f>=J1245/3</f>
        <v>114</v>
      </c>
      <c r="D1245" s="20">
        <f>=K1245/3</f>
        <v>126.666666666667</v>
      </c>
      <c r="E1245" s="20">
        <f>=L1245/3</f>
        <v>133</v>
      </c>
      <c r="F1245" s="20">
        <f>=H1245*0.9</f>
        <v>171</v>
      </c>
      <c r="G1245" s="21">
        <v>173</v>
      </c>
      <c r="H1245" s="39">
        <v>190</v>
      </c>
      <c r="I1245" s="40">
        <f>=H1245*1.05</f>
        <v>199.5</v>
      </c>
      <c r="J1245" s="40">
        <f>=F1245*2</f>
        <v>342</v>
      </c>
      <c r="K1245" s="40">
        <f>=H1245*2</f>
        <v>380</v>
      </c>
      <c r="L1245" s="40">
        <f>=I1245*2</f>
        <v>399</v>
      </c>
      <c r="M1245" s="41" t="s">
        <v>1349</v>
      </c>
      <c r="N1245" s="41">
        <v>0.114</v>
      </c>
      <c r="O1245" s="41" t="s"/>
      <c r="P1245" s="41">
        <v>1</v>
      </c>
      <c r="Q1245" s="41">
        <v>1</v>
      </c>
      <c r="R1245" s="41" t="s">
        <v>16</v>
      </c>
      <c r="S1245" s="41" t="s">
        <v>17</v>
      </c>
      <c r="T1245" s="41" t="s">
        <v>654</v>
      </c>
      <c r="U1245" s="16" t="s">
        <v>13</v>
      </c>
      <c r="V1245" s="16" t="s">
        <v>1083</v>
      </c>
      <c r="W1245" s="19" t="s"/>
      <c r="X1245" s="26" t="s">
        <f>=M1245&amp;N1245&amp;P1245&amp;Q1245&amp;T1245&amp;V1245&amp;S1245</f>
        <v>1365</v>
      </c>
      <c r="Y1245" s="19" t="s"/>
      <c r="Z1245" s="19" t="s"/>
      <c r="AA1245" s="19" t="s"/>
      <c r="AB1245" s="19" t="s"/>
    </row>
    <row r="1246" spans="1:28" ht="14.4">
      <c r="A1246" s="4">
        <f>=H1246/G1246-1</f>
        <v>0.103703703703704</v>
      </c>
      <c r="B1246" s="20">
        <f>=F1246/12</f>
        <v>11.175</v>
      </c>
      <c r="C1246" s="20">
        <f>=J1246/3</f>
        <v>89.4</v>
      </c>
      <c r="D1246" s="20">
        <f>=K1246/3</f>
        <v>99.3333333333333</v>
      </c>
      <c r="E1246" s="20">
        <f>=L1246/3</f>
        <v>104.3</v>
      </c>
      <c r="F1246" s="20">
        <f>=H1246*0.9</f>
        <v>134.1</v>
      </c>
      <c r="G1246" s="21">
        <v>135</v>
      </c>
      <c r="H1246" s="39">
        <v>149</v>
      </c>
      <c r="I1246" s="40">
        <f>=H1246*1.05</f>
        <v>156.45</v>
      </c>
      <c r="J1246" s="40">
        <f>=F1246*2</f>
        <v>268.2</v>
      </c>
      <c r="K1246" s="40">
        <f>=H1246*2</f>
        <v>298</v>
      </c>
      <c r="L1246" s="40">
        <f>=I1246*2</f>
        <v>312.9</v>
      </c>
      <c r="M1246" s="41" t="s">
        <v>1349</v>
      </c>
      <c r="N1246" s="41">
        <v>0.127</v>
      </c>
      <c r="O1246" s="41" t="s"/>
      <c r="P1246" s="41">
        <v>1</v>
      </c>
      <c r="Q1246" s="41">
        <v>1</v>
      </c>
      <c r="R1246" s="41" t="s">
        <v>16</v>
      </c>
      <c r="S1246" s="41" t="s">
        <v>17</v>
      </c>
      <c r="T1246" s="41" t="s">
        <v>23</v>
      </c>
      <c r="U1246" s="16" t="s">
        <v>13</v>
      </c>
      <c r="V1246" s="16" t="s">
        <v>1083</v>
      </c>
      <c r="W1246" s="19" t="s"/>
      <c r="X1246" s="26" t="s">
        <f>=M1246&amp;N1246&amp;P1246&amp;Q1246&amp;T1246&amp;V1246&amp;S1246</f>
        <v>1366</v>
      </c>
      <c r="Y1246" s="19" t="s"/>
      <c r="Z1246" s="19" t="s"/>
      <c r="AA1246" s="19" t="s"/>
      <c r="AB1246" s="19" t="s"/>
    </row>
    <row r="1247" spans="1:28" ht="14.4">
      <c r="A1247" s="4">
        <f>=H1247/G1247-1</f>
        <v>0</v>
      </c>
      <c r="B1247" s="20">
        <f>=F1247/12</f>
        <v>24.375</v>
      </c>
      <c r="C1247" s="20">
        <f>=J1247/3</f>
        <v>195</v>
      </c>
      <c r="D1247" s="20">
        <f>=K1247/3</f>
        <v>216.666666666667</v>
      </c>
      <c r="E1247" s="20">
        <f>=L1247/3</f>
        <v>227.5</v>
      </c>
      <c r="F1247" s="20">
        <f>=H1247*0.9</f>
        <v>292.5</v>
      </c>
      <c r="G1247" s="21">
        <v>325</v>
      </c>
      <c r="H1247" s="39">
        <v>325</v>
      </c>
      <c r="I1247" s="40">
        <f>=H1247*1.05</f>
        <v>341.25</v>
      </c>
      <c r="J1247" s="40">
        <f>=F1247*2</f>
        <v>585</v>
      </c>
      <c r="K1247" s="40">
        <f>=H1247*2</f>
        <v>650</v>
      </c>
      <c r="L1247" s="40">
        <f>=I1247*2</f>
        <v>682.5</v>
      </c>
      <c r="M1247" s="41" t="s">
        <v>1349</v>
      </c>
      <c r="N1247" s="41">
        <v>0.127</v>
      </c>
      <c r="O1247" s="41" t="s"/>
      <c r="P1247" s="41">
        <v>1</v>
      </c>
      <c r="Q1247" s="41">
        <v>2</v>
      </c>
      <c r="R1247" s="41" t="s">
        <v>16</v>
      </c>
      <c r="S1247" s="41" t="s">
        <v>17</v>
      </c>
      <c r="T1247" s="41" t="s">
        <v>1080</v>
      </c>
      <c r="U1247" s="16" t="s">
        <v>13</v>
      </c>
      <c r="V1247" s="16" t="s">
        <v>1119</v>
      </c>
      <c r="W1247" s="54">
        <v>46137</v>
      </c>
      <c r="X1247" s="26" t="s">
        <f>=M1247&amp;N1247&amp;P1247&amp;Q1247&amp;T1247&amp;V1247&amp;S1247</f>
        <v>1367</v>
      </c>
      <c r="Y1247" s="19" t="s"/>
      <c r="Z1247" s="19" t="s"/>
      <c r="AA1247" s="19" t="s"/>
      <c r="AB1247" s="19" t="s"/>
    </row>
    <row r="1248" spans="1:28" ht="14.4">
      <c r="A1248" s="4">
        <f>=H1248/G1248-1</f>
        <v>0.102702702702703</v>
      </c>
      <c r="B1248" s="20">
        <f>=F1248/12</f>
        <v>15.3</v>
      </c>
      <c r="C1248" s="20">
        <f>=J1248/3</f>
        <v>122.4</v>
      </c>
      <c r="D1248" s="20">
        <f>=K1248/3</f>
        <v>136</v>
      </c>
      <c r="E1248" s="20">
        <f>=L1248/3</f>
        <v>142.8</v>
      </c>
      <c r="F1248" s="20">
        <f>=H1248*0.9</f>
        <v>183.6</v>
      </c>
      <c r="G1248" s="21">
        <v>185</v>
      </c>
      <c r="H1248" s="39">
        <v>204</v>
      </c>
      <c r="I1248" s="40">
        <f>=H1248*1.05</f>
        <v>214.2</v>
      </c>
      <c r="J1248" s="40">
        <f>=F1248*2</f>
        <v>367.2</v>
      </c>
      <c r="K1248" s="40">
        <f>=H1248*2</f>
        <v>408</v>
      </c>
      <c r="L1248" s="40">
        <f>=I1248*2</f>
        <v>428.4</v>
      </c>
      <c r="M1248" s="41" t="s">
        <v>1349</v>
      </c>
      <c r="N1248" s="41">
        <v>0.127</v>
      </c>
      <c r="O1248" s="41" t="s"/>
      <c r="P1248" s="41">
        <v>1</v>
      </c>
      <c r="Q1248" s="41">
        <v>1</v>
      </c>
      <c r="R1248" s="41" t="s">
        <v>16</v>
      </c>
      <c r="S1248" s="41" t="s">
        <v>17</v>
      </c>
      <c r="T1248" s="41" t="s">
        <v>1080</v>
      </c>
      <c r="U1248" s="16" t="s">
        <v>13</v>
      </c>
      <c r="V1248" s="16" t="s">
        <v>1083</v>
      </c>
      <c r="W1248" s="19" t="s"/>
      <c r="X1248" s="26" t="s">
        <f>=M1248&amp;N1248&amp;P1248&amp;Q1248&amp;T1248&amp;V1248&amp;S1248</f>
        <v>1368</v>
      </c>
      <c r="Y1248" s="19" t="s"/>
      <c r="Z1248" s="19" t="s"/>
      <c r="AA1248" s="19" t="s"/>
      <c r="AB1248" s="19" t="s"/>
    </row>
    <row r="1249" spans="1:28" ht="14.4">
      <c r="A1249" s="4">
        <f>=H1249/G1249-1</f>
        <v>0.100558659217877</v>
      </c>
      <c r="B1249" s="20">
        <f>=F1249/12</f>
        <v>14.775</v>
      </c>
      <c r="C1249" s="20">
        <f>=J1249/3</f>
        <v>118.2</v>
      </c>
      <c r="D1249" s="20">
        <f>=K1249/3</f>
        <v>131.333333333333</v>
      </c>
      <c r="E1249" s="20">
        <f>=L1249/3</f>
        <v>137.9</v>
      </c>
      <c r="F1249" s="20">
        <f>=H1249*0.9</f>
        <v>177.3</v>
      </c>
      <c r="G1249" s="21">
        <v>179</v>
      </c>
      <c r="H1249" s="39">
        <v>197</v>
      </c>
      <c r="I1249" s="40">
        <f>=H1249*1.05</f>
        <v>206.85</v>
      </c>
      <c r="J1249" s="40">
        <f>=F1249*2</f>
        <v>354.6</v>
      </c>
      <c r="K1249" s="40">
        <f>=H1249*2</f>
        <v>394</v>
      </c>
      <c r="L1249" s="40">
        <f>=I1249*2</f>
        <v>413.7</v>
      </c>
      <c r="M1249" s="41" t="s">
        <v>1349</v>
      </c>
      <c r="N1249" s="41">
        <v>0.127</v>
      </c>
      <c r="O1249" s="41" t="s"/>
      <c r="P1249" s="41">
        <v>1</v>
      </c>
      <c r="Q1249" s="41">
        <v>1</v>
      </c>
      <c r="R1249" s="41" t="s">
        <v>16</v>
      </c>
      <c r="S1249" s="41" t="s">
        <v>17</v>
      </c>
      <c r="T1249" s="41" t="s">
        <v>43</v>
      </c>
      <c r="U1249" s="16" t="s">
        <v>13</v>
      </c>
      <c r="V1249" s="16" t="s">
        <v>1083</v>
      </c>
      <c r="W1249" s="19" t="s"/>
      <c r="X1249" s="26" t="s">
        <f>=M1249&amp;N1249&amp;P1249&amp;Q1249&amp;T1249&amp;V1249&amp;S1249</f>
        <v>1369</v>
      </c>
      <c r="Y1249" s="19" t="s"/>
      <c r="Z1249" s="19" t="s"/>
      <c r="AA1249" s="19" t="s"/>
      <c r="AB1249" s="19" t="s"/>
    </row>
    <row r="1250" spans="1:28" ht="14.4">
      <c r="A1250" s="4">
        <f>=H1250/G1250-1</f>
        <v>0.0994152046783625</v>
      </c>
      <c r="B1250" s="20">
        <f>=F1250/12</f>
        <v>14.1</v>
      </c>
      <c r="C1250" s="20">
        <f>=J1250/3</f>
        <v>112.8</v>
      </c>
      <c r="D1250" s="20">
        <f>=K1250/3</f>
        <v>125.333333333333</v>
      </c>
      <c r="E1250" s="20">
        <f>=L1250/3</f>
        <v>131.6</v>
      </c>
      <c r="F1250" s="20">
        <f>=H1250*0.9</f>
        <v>169.2</v>
      </c>
      <c r="G1250" s="21">
        <v>171</v>
      </c>
      <c r="H1250" s="39">
        <v>188</v>
      </c>
      <c r="I1250" s="40">
        <f>=H1250*1.05</f>
        <v>197.4</v>
      </c>
      <c r="J1250" s="40">
        <f>=F1250*2</f>
        <v>338.4</v>
      </c>
      <c r="K1250" s="40">
        <f>=H1250*2</f>
        <v>376</v>
      </c>
      <c r="L1250" s="40">
        <f>=I1250*2</f>
        <v>394.8</v>
      </c>
      <c r="M1250" s="41" t="s">
        <v>1349</v>
      </c>
      <c r="N1250" s="41">
        <v>0.127</v>
      </c>
      <c r="O1250" s="41" t="s"/>
      <c r="P1250" s="41">
        <v>1</v>
      </c>
      <c r="Q1250" s="41">
        <v>1</v>
      </c>
      <c r="R1250" s="41" t="s">
        <v>16</v>
      </c>
      <c r="S1250" s="41" t="s">
        <v>17</v>
      </c>
      <c r="T1250" s="41" t="s">
        <v>23</v>
      </c>
      <c r="U1250" s="16" t="s">
        <v>13</v>
      </c>
      <c r="V1250" s="16" t="s">
        <v>1227</v>
      </c>
      <c r="W1250" s="19" t="s"/>
      <c r="X1250" s="26" t="s">
        <f>=M1250&amp;N1250&amp;P1250&amp;Q1250&amp;T1250&amp;V1250&amp;S1250</f>
        <v>1370</v>
      </c>
      <c r="Y1250" s="19" t="s"/>
      <c r="Z1250" s="19" t="s"/>
      <c r="AA1250" s="19" t="s"/>
      <c r="AB1250" s="19" t="s"/>
    </row>
    <row r="1251" spans="1:28" ht="14.4">
      <c r="A1251" s="4">
        <f>=H1251/G1251-1</f>
        <v>0.101408450704225</v>
      </c>
      <c r="B1251" s="20">
        <f>=F1251/12</f>
        <v>29.325</v>
      </c>
      <c r="C1251" s="20">
        <f>=J1251/3</f>
        <v>234.6</v>
      </c>
      <c r="D1251" s="20">
        <f>=K1251/3</f>
        <v>260.666666666667</v>
      </c>
      <c r="E1251" s="20">
        <f>=L1251/3</f>
        <v>273.7</v>
      </c>
      <c r="F1251" s="20">
        <f>=H1251*0.9</f>
        <v>351.9</v>
      </c>
      <c r="G1251" s="21">
        <v>355</v>
      </c>
      <c r="H1251" s="39">
        <v>391</v>
      </c>
      <c r="I1251" s="40">
        <f>=H1251*1.05</f>
        <v>410.55</v>
      </c>
      <c r="J1251" s="40">
        <f>=F1251*2</f>
        <v>703.8</v>
      </c>
      <c r="K1251" s="40">
        <f>=H1251*2</f>
        <v>782</v>
      </c>
      <c r="L1251" s="40">
        <f>=I1251*2</f>
        <v>821.1</v>
      </c>
      <c r="M1251" s="41" t="s">
        <v>1349</v>
      </c>
      <c r="N1251" s="41">
        <v>0.127</v>
      </c>
      <c r="O1251" s="41" t="s"/>
      <c r="P1251" s="41">
        <v>2</v>
      </c>
      <c r="Q1251" s="41">
        <v>2</v>
      </c>
      <c r="R1251" s="41" t="s">
        <v>16</v>
      </c>
      <c r="S1251" s="41" t="s">
        <v>17</v>
      </c>
      <c r="T1251" s="41" t="s">
        <v>23</v>
      </c>
      <c r="U1251" s="16" t="s">
        <v>13</v>
      </c>
      <c r="V1251" s="16" t="s">
        <v>215</v>
      </c>
      <c r="W1251" s="19" t="s"/>
      <c r="X1251" s="26" t="s">
        <f>=M1251&amp;N1251&amp;P1251&amp;Q1251&amp;T1251&amp;V1251&amp;S1251</f>
        <v>1371</v>
      </c>
      <c r="Y1251" s="19" t="s"/>
      <c r="Z1251" s="19" t="s"/>
      <c r="AA1251" s="19" t="s"/>
      <c r="AB1251" s="19" t="s"/>
    </row>
    <row r="1252" spans="1:28" ht="14.4">
      <c r="A1252" s="4">
        <f>=H1252/G1252-1</f>
        <v>0.1</v>
      </c>
      <c r="B1252" s="20">
        <f>=F1252/12</f>
        <v>13.2</v>
      </c>
      <c r="C1252" s="20">
        <f>=J1252/3</f>
        <v>105.6</v>
      </c>
      <c r="D1252" s="20">
        <f>=K1252/3</f>
        <v>117.333333333333</v>
      </c>
      <c r="E1252" s="20">
        <f>=L1252/3</f>
        <v>123.2</v>
      </c>
      <c r="F1252" s="20">
        <f>=H1252*0.9</f>
        <v>158.4</v>
      </c>
      <c r="G1252" s="21">
        <v>160</v>
      </c>
      <c r="H1252" s="39">
        <v>176</v>
      </c>
      <c r="I1252" s="40">
        <f>=H1252*1.05</f>
        <v>184.8</v>
      </c>
      <c r="J1252" s="40">
        <f>=F1252*2</f>
        <v>316.8</v>
      </c>
      <c r="K1252" s="40">
        <f>=H1252*2</f>
        <v>352</v>
      </c>
      <c r="L1252" s="40">
        <f>=I1252*2</f>
        <v>369.6</v>
      </c>
      <c r="M1252" s="41" t="s">
        <v>1349</v>
      </c>
      <c r="N1252" s="41">
        <v>0.14</v>
      </c>
      <c r="O1252" s="41" t="s"/>
      <c r="P1252" s="41">
        <v>1</v>
      </c>
      <c r="Q1252" s="41">
        <v>1</v>
      </c>
      <c r="R1252" s="41" t="s">
        <v>16</v>
      </c>
      <c r="S1252" s="41" t="s">
        <v>17</v>
      </c>
      <c r="T1252" s="41" t="s">
        <v>1080</v>
      </c>
      <c r="U1252" s="16" t="s">
        <v>13</v>
      </c>
      <c r="V1252" s="16" t="s">
        <v>1083</v>
      </c>
      <c r="W1252" s="19" t="s"/>
      <c r="X1252" s="26" t="s">
        <f>=M1252&amp;N1252&amp;P1252&amp;Q1252&amp;T1252&amp;V1252&amp;S1252</f>
        <v>1372</v>
      </c>
      <c r="Y1252" s="19" t="s"/>
      <c r="Z1252" s="19" t="s"/>
      <c r="AA1252" s="19" t="s"/>
      <c r="AB1252" s="19" t="s"/>
    </row>
    <row r="1253" spans="1:28" ht="14.4">
      <c r="A1253" s="4">
        <f>=H1253/G1253-1</f>
        <v>0.1</v>
      </c>
      <c r="B1253" s="20">
        <f>=F1253/12</f>
        <v>13.2</v>
      </c>
      <c r="C1253" s="20">
        <f>=J1253/3</f>
        <v>105.6</v>
      </c>
      <c r="D1253" s="20">
        <f>=K1253/3</f>
        <v>117.333333333333</v>
      </c>
      <c r="E1253" s="20">
        <f>=L1253/3</f>
        <v>123.2</v>
      </c>
      <c r="F1253" s="20">
        <f>=H1253*0.9</f>
        <v>158.4</v>
      </c>
      <c r="G1253" s="21">
        <v>160</v>
      </c>
      <c r="H1253" s="39">
        <v>176</v>
      </c>
      <c r="I1253" s="40">
        <f>=H1253*1.05</f>
        <v>184.8</v>
      </c>
      <c r="J1253" s="40">
        <f>=F1253*2</f>
        <v>316.8</v>
      </c>
      <c r="K1253" s="40">
        <f>=H1253*2</f>
        <v>352</v>
      </c>
      <c r="L1253" s="40">
        <f>=I1253*2</f>
        <v>369.6</v>
      </c>
      <c r="M1253" s="41" t="s">
        <v>1349</v>
      </c>
      <c r="N1253" s="41">
        <v>0.14</v>
      </c>
      <c r="O1253" s="41" t="s"/>
      <c r="P1253" s="41">
        <v>1</v>
      </c>
      <c r="Q1253" s="41">
        <v>1</v>
      </c>
      <c r="R1253" s="41" t="s">
        <v>16</v>
      </c>
      <c r="S1253" s="41" t="s">
        <v>17</v>
      </c>
      <c r="T1253" s="41" t="s">
        <v>43</v>
      </c>
      <c r="U1253" s="16" t="s">
        <v>13</v>
      </c>
      <c r="V1253" s="16" t="s">
        <v>1083</v>
      </c>
      <c r="W1253" s="19" t="s"/>
      <c r="X1253" s="26" t="s">
        <f>=M1253&amp;N1253&amp;P1253&amp;Q1253&amp;T1253&amp;V1253&amp;S1253</f>
        <v>1373</v>
      </c>
      <c r="Y1253" s="19" t="s"/>
      <c r="Z1253" s="19" t="s"/>
      <c r="AA1253" s="19" t="s"/>
      <c r="AB1253" s="19" t="s"/>
    </row>
    <row r="1254" spans="1:28" ht="14.4">
      <c r="A1254" s="4">
        <f>=H1254/G1254-1</f>
        <v>0.102409638554217</v>
      </c>
      <c r="B1254" s="20">
        <f>=F1254/12</f>
        <v>13.725</v>
      </c>
      <c r="C1254" s="20">
        <f>=J1254/3</f>
        <v>109.8</v>
      </c>
      <c r="D1254" s="20">
        <f>=K1254/3</f>
        <v>122</v>
      </c>
      <c r="E1254" s="20">
        <f>=L1254/3</f>
        <v>128.1</v>
      </c>
      <c r="F1254" s="20">
        <f>=H1254*0.9</f>
        <v>164.7</v>
      </c>
      <c r="G1254" s="21">
        <v>166</v>
      </c>
      <c r="H1254" s="39">
        <v>183</v>
      </c>
      <c r="I1254" s="40">
        <f>=H1254*1.05</f>
        <v>192.15</v>
      </c>
      <c r="J1254" s="40">
        <f>=F1254*2</f>
        <v>329.4</v>
      </c>
      <c r="K1254" s="40">
        <f>=H1254*2</f>
        <v>366</v>
      </c>
      <c r="L1254" s="40">
        <f>=I1254*2</f>
        <v>384.3</v>
      </c>
      <c r="M1254" s="41" t="s">
        <v>1349</v>
      </c>
      <c r="N1254" s="41">
        <v>0.152</v>
      </c>
      <c r="O1254" s="41" t="s"/>
      <c r="P1254" s="41">
        <v>1</v>
      </c>
      <c r="Q1254" s="41">
        <v>1</v>
      </c>
      <c r="R1254" s="41" t="s">
        <v>16</v>
      </c>
      <c r="S1254" s="41" t="s">
        <v>17</v>
      </c>
      <c r="T1254" s="41" t="s">
        <v>43</v>
      </c>
      <c r="U1254" s="16" t="s">
        <v>13</v>
      </c>
      <c r="V1254" s="16" t="s">
        <v>1083</v>
      </c>
      <c r="W1254" s="19" t="s"/>
      <c r="X1254" s="26" t="s">
        <f>=M1254&amp;N1254&amp;P1254&amp;Q1254&amp;T1254&amp;V1254&amp;S1254</f>
        <v>1374</v>
      </c>
      <c r="Y1254" s="19" t="s"/>
      <c r="Z1254" s="19" t="s"/>
      <c r="AA1254" s="19" t="s"/>
      <c r="AB1254" s="19" t="s"/>
    </row>
    <row r="1255" spans="1:28" ht="14.4">
      <c r="A1255" s="4">
        <f>=H1255/G1255-1</f>
        <v>0.0992366412213741</v>
      </c>
      <c r="B1255" s="20">
        <f>=F1255/12</f>
        <v>10.8</v>
      </c>
      <c r="C1255" s="20">
        <f>=J1255/3</f>
        <v>86.4</v>
      </c>
      <c r="D1255" s="20">
        <f>=K1255/3</f>
        <v>96</v>
      </c>
      <c r="E1255" s="20">
        <f>=L1255/3</f>
        <v>100.8</v>
      </c>
      <c r="F1255" s="20">
        <f>=H1255*0.9</f>
        <v>129.6</v>
      </c>
      <c r="G1255" s="21">
        <v>131</v>
      </c>
      <c r="H1255" s="39">
        <v>144</v>
      </c>
      <c r="I1255" s="40">
        <f>=H1255*1.05</f>
        <v>151.2</v>
      </c>
      <c r="J1255" s="40">
        <f>=F1255*2</f>
        <v>259.2</v>
      </c>
      <c r="K1255" s="40">
        <f>=H1255*2</f>
        <v>288</v>
      </c>
      <c r="L1255" s="40">
        <f>=I1255*2</f>
        <v>302.4</v>
      </c>
      <c r="M1255" s="41" t="s">
        <v>1349</v>
      </c>
      <c r="N1255" s="41">
        <v>0.152</v>
      </c>
      <c r="O1255" s="41" t="s"/>
      <c r="P1255" s="41" t="s">
        <v>21</v>
      </c>
      <c r="Q1255" s="41" t="s">
        <v>21</v>
      </c>
      <c r="R1255" s="41" t="s">
        <v>16</v>
      </c>
      <c r="S1255" s="41" t="s">
        <v>17</v>
      </c>
      <c r="T1255" s="41" t="s">
        <v>43</v>
      </c>
      <c r="U1255" s="16" t="s">
        <v>13</v>
      </c>
      <c r="V1255" s="16" t="s">
        <v>1083</v>
      </c>
      <c r="W1255" s="19" t="s"/>
      <c r="X1255" s="26" t="s">
        <f>=M1255&amp;N1255&amp;P1255&amp;Q1255&amp;T1255&amp;V1255&amp;S1255</f>
        <v>1375</v>
      </c>
      <c r="Y1255" s="19" t="s"/>
      <c r="Z1255" s="19" t="s"/>
      <c r="AA1255" s="19" t="s"/>
      <c r="AB1255" s="19" t="s"/>
    </row>
    <row r="1256" spans="1:28" ht="14.4">
      <c r="A1256" s="4">
        <f>=H1256/G1256-1</f>
        <v>0.0992366412213741</v>
      </c>
      <c r="B1256" s="20">
        <f>=F1256/12</f>
        <v>10.8</v>
      </c>
      <c r="C1256" s="20">
        <f>=J1256/3</f>
        <v>86.4</v>
      </c>
      <c r="D1256" s="20">
        <f>=K1256/3</f>
        <v>96</v>
      </c>
      <c r="E1256" s="20">
        <f>=L1256/3</f>
        <v>100.8</v>
      </c>
      <c r="F1256" s="20">
        <f>=H1256*0.9</f>
        <v>129.6</v>
      </c>
      <c r="G1256" s="21">
        <v>131</v>
      </c>
      <c r="H1256" s="39">
        <v>144</v>
      </c>
      <c r="I1256" s="40">
        <f>=H1256*1.05</f>
        <v>151.2</v>
      </c>
      <c r="J1256" s="40">
        <f>=F1256*2</f>
        <v>259.2</v>
      </c>
      <c r="K1256" s="40">
        <f>=H1256*2</f>
        <v>288</v>
      </c>
      <c r="L1256" s="40">
        <f>=I1256*2</f>
        <v>302.4</v>
      </c>
      <c r="M1256" s="41" t="s">
        <v>1349</v>
      </c>
      <c r="N1256" s="41">
        <v>0.152</v>
      </c>
      <c r="O1256" s="41" t="s"/>
      <c r="P1256" s="41" t="s">
        <v>21</v>
      </c>
      <c r="Q1256" s="41" t="s">
        <v>21</v>
      </c>
      <c r="R1256" s="41" t="s">
        <v>16</v>
      </c>
      <c r="S1256" s="41" t="s">
        <v>17</v>
      </c>
      <c r="T1256" s="41" t="s">
        <v>1080</v>
      </c>
      <c r="U1256" s="16" t="s">
        <v>13</v>
      </c>
      <c r="V1256" s="16" t="s">
        <v>1083</v>
      </c>
      <c r="W1256" s="19" t="s"/>
      <c r="X1256" s="26" t="s">
        <f>=M1256&amp;N1256&amp;P1256&amp;Q1256&amp;T1256&amp;V1256&amp;S1256</f>
        <v>1376</v>
      </c>
      <c r="Y1256" s="19" t="s"/>
      <c r="Z1256" s="19" t="s"/>
      <c r="AA1256" s="19" t="s"/>
      <c r="AB1256" s="19" t="s"/>
    </row>
    <row r="1257" spans="1:28" ht="14.4">
      <c r="A1257" s="4">
        <f>=H1257/G1257-1</f>
        <v>0.0974025974025974</v>
      </c>
      <c r="B1257" s="20">
        <f>=F1257/12</f>
        <v>12.675</v>
      </c>
      <c r="C1257" s="20">
        <f>=J1257/3</f>
        <v>101.4</v>
      </c>
      <c r="D1257" s="20">
        <f>=K1257/3</f>
        <v>112.666666666667</v>
      </c>
      <c r="E1257" s="20">
        <f>=L1257/3</f>
        <v>118.3</v>
      </c>
      <c r="F1257" s="20">
        <f>=H1257*0.9</f>
        <v>152.1</v>
      </c>
      <c r="G1257" s="21">
        <v>154</v>
      </c>
      <c r="H1257" s="39">
        <v>169</v>
      </c>
      <c r="I1257" s="40">
        <f>=H1257*1.05</f>
        <v>177.45</v>
      </c>
      <c r="J1257" s="40">
        <f>=F1257*2</f>
        <v>304.2</v>
      </c>
      <c r="K1257" s="40">
        <f>=H1257*2</f>
        <v>338</v>
      </c>
      <c r="L1257" s="40">
        <f>=I1257*2</f>
        <v>354.9</v>
      </c>
      <c r="M1257" s="41" t="s">
        <v>1349</v>
      </c>
      <c r="N1257" s="41">
        <v>0.152</v>
      </c>
      <c r="O1257" s="41" t="s"/>
      <c r="P1257" s="41" t="s">
        <v>21</v>
      </c>
      <c r="Q1257" s="41">
        <v>1</v>
      </c>
      <c r="R1257" s="41" t="s">
        <v>16</v>
      </c>
      <c r="S1257" s="41" t="s">
        <v>17</v>
      </c>
      <c r="T1257" s="41" t="s">
        <v>43</v>
      </c>
      <c r="U1257" s="16" t="s">
        <v>13</v>
      </c>
      <c r="V1257" s="16" t="s">
        <v>1083</v>
      </c>
      <c r="W1257" s="19" t="s"/>
      <c r="X1257" s="26" t="s">
        <f>=M1257&amp;N1257&amp;P1257&amp;Q1257&amp;T1257&amp;V1257&amp;S1257</f>
        <v>1377</v>
      </c>
      <c r="Y1257" s="19" t="s"/>
      <c r="Z1257" s="19" t="s"/>
      <c r="AA1257" s="19" t="s"/>
      <c r="AB1257" s="19" t="s"/>
    </row>
    <row r="1258" spans="1:28" ht="14.4">
      <c r="A1258" s="4">
        <f>=H1258/G1258-1</f>
        <v>0.101449275362319</v>
      </c>
      <c r="B1258" s="20">
        <f>=F1258/12</f>
        <v>17.1</v>
      </c>
      <c r="C1258" s="20">
        <f>=J1258/3</f>
        <v>136.8</v>
      </c>
      <c r="D1258" s="20">
        <f>=K1258/3</f>
        <v>152</v>
      </c>
      <c r="E1258" s="20">
        <f>=L1258/3</f>
        <v>159.6</v>
      </c>
      <c r="F1258" s="20">
        <f>=H1258*0.9</f>
        <v>205.2</v>
      </c>
      <c r="G1258" s="21">
        <v>207</v>
      </c>
      <c r="H1258" s="39">
        <v>228</v>
      </c>
      <c r="I1258" s="40">
        <f>=H1258*1.05</f>
        <v>239.4</v>
      </c>
      <c r="J1258" s="40">
        <f>=F1258*2</f>
        <v>410.4</v>
      </c>
      <c r="K1258" s="40">
        <f>=H1258*2</f>
        <v>456</v>
      </c>
      <c r="L1258" s="40">
        <f>=I1258*2</f>
        <v>478.8</v>
      </c>
      <c r="M1258" s="41" t="s">
        <v>1349</v>
      </c>
      <c r="N1258" s="41">
        <v>0.305</v>
      </c>
      <c r="O1258" s="41" t="s"/>
      <c r="P1258" s="41">
        <v>1</v>
      </c>
      <c r="Q1258" s="41">
        <v>1</v>
      </c>
      <c r="R1258" s="41" t="s">
        <v>16</v>
      </c>
      <c r="S1258" s="41" t="s">
        <v>17</v>
      </c>
      <c r="T1258" s="41" t="s">
        <v>1172</v>
      </c>
      <c r="U1258" s="16" t="s">
        <v>13</v>
      </c>
      <c r="V1258" s="16" t="s">
        <v>1083</v>
      </c>
      <c r="W1258" s="19" t="s"/>
      <c r="X1258" s="26" t="s">
        <f>=M1258&amp;N1258&amp;P1258&amp;Q1258&amp;T1258&amp;V1258&amp;S1258</f>
        <v>1378</v>
      </c>
      <c r="Y1258" s="19" t="s"/>
      <c r="Z1258" s="19" t="s"/>
      <c r="AA1258" s="19" t="s"/>
      <c r="AB1258" s="19" t="s"/>
    </row>
    <row r="1259" spans="1:28" ht="14.4">
      <c r="A1259" s="4">
        <f>=H1259/G1259-1</f>
        <v>0.101321585903084</v>
      </c>
      <c r="B1259" s="20">
        <f>=F1259/12</f>
        <v>18.75</v>
      </c>
      <c r="C1259" s="20">
        <f>=J1259/3</f>
        <v>150</v>
      </c>
      <c r="D1259" s="20">
        <f>=K1259/3</f>
        <v>166.666666666667</v>
      </c>
      <c r="E1259" s="20">
        <f>=L1259/3</f>
        <v>175</v>
      </c>
      <c r="F1259" s="20">
        <f>=H1259*0.9</f>
        <v>225</v>
      </c>
      <c r="G1259" s="21">
        <v>227</v>
      </c>
      <c r="H1259" s="39">
        <v>250</v>
      </c>
      <c r="I1259" s="40">
        <f>=H1259*1.05</f>
        <v>262.5</v>
      </c>
      <c r="J1259" s="40">
        <f>=F1259*2</f>
        <v>450</v>
      </c>
      <c r="K1259" s="40">
        <f>=H1259*2</f>
        <v>500</v>
      </c>
      <c r="L1259" s="40">
        <f>=I1259*2</f>
        <v>525</v>
      </c>
      <c r="M1259" s="41" t="s">
        <v>1349</v>
      </c>
      <c r="N1259" s="41">
        <v>0.406</v>
      </c>
      <c r="O1259" s="41" t="s"/>
      <c r="P1259" s="41">
        <v>1</v>
      </c>
      <c r="Q1259" s="41">
        <v>1</v>
      </c>
      <c r="R1259" s="41" t="s">
        <v>16</v>
      </c>
      <c r="S1259" s="41" t="s">
        <v>17</v>
      </c>
      <c r="T1259" s="41" t="s">
        <v>1186</v>
      </c>
      <c r="U1259" s="16" t="s">
        <v>13</v>
      </c>
      <c r="V1259" s="16" t="s">
        <v>1083</v>
      </c>
      <c r="W1259" s="19" t="s"/>
      <c r="X1259" s="26" t="s">
        <f>=M1259&amp;N1259&amp;P1259&amp;Q1259&amp;T1259&amp;V1259&amp;S1259</f>
        <v>1379</v>
      </c>
      <c r="Y1259" s="19" t="s"/>
      <c r="Z1259" s="19" t="s"/>
      <c r="AA1259" s="19" t="s"/>
      <c r="AB1259" s="19" t="s"/>
    </row>
    <row r="1260" spans="1:28" ht="14.4">
      <c r="A1260" s="4">
        <f>=H1260/G1260-1</f>
        <v>0.101754385964912</v>
      </c>
      <c r="B1260" s="20">
        <f>=F1260/12</f>
        <v>23.55</v>
      </c>
      <c r="C1260" s="20">
        <f>=J1260/3</f>
        <v>188.4</v>
      </c>
      <c r="D1260" s="20">
        <f>=K1260/3</f>
        <v>209.333333333333</v>
      </c>
      <c r="E1260" s="20">
        <f>=L1260/3</f>
        <v>219.8</v>
      </c>
      <c r="F1260" s="20">
        <f>=H1260*0.9</f>
        <v>282.6</v>
      </c>
      <c r="G1260" s="21">
        <v>285</v>
      </c>
      <c r="H1260" s="39">
        <v>314</v>
      </c>
      <c r="I1260" s="40">
        <f>=H1260*1.05</f>
        <v>329.7</v>
      </c>
      <c r="J1260" s="40">
        <f>=F1260*2</f>
        <v>565.2</v>
      </c>
      <c r="K1260" s="40">
        <f>=H1260*2</f>
        <v>628</v>
      </c>
      <c r="L1260" s="40">
        <f>=I1260*2</f>
        <v>659.4</v>
      </c>
      <c r="M1260" s="41" t="s">
        <v>1349</v>
      </c>
      <c r="N1260" s="41">
        <v>0.508</v>
      </c>
      <c r="O1260" s="41" t="s"/>
      <c r="P1260" s="41">
        <v>1</v>
      </c>
      <c r="Q1260" s="41">
        <v>1</v>
      </c>
      <c r="R1260" s="41" t="s">
        <v>16</v>
      </c>
      <c r="S1260" s="41" t="s">
        <v>17</v>
      </c>
      <c r="T1260" s="41" t="s">
        <v>387</v>
      </c>
      <c r="U1260" s="16" t="s">
        <v>13</v>
      </c>
      <c r="V1260" s="16" t="s">
        <v>1083</v>
      </c>
      <c r="W1260" s="19" t="s"/>
      <c r="X1260" s="26" t="s">
        <f>=M1260&amp;N1260&amp;P1260&amp;Q1260&amp;T1260&amp;V1260&amp;S1260</f>
        <v>1380</v>
      </c>
      <c r="Y1260" s="19" t="s"/>
      <c r="Z1260" s="19" t="s"/>
      <c r="AA1260" s="19" t="s"/>
      <c r="AB1260" s="19" t="s"/>
    </row>
    <row r="1261" spans="1:28" ht="14.4">
      <c r="A1261" s="4">
        <f>=H1261/G1261-1</f>
        <v>0.101960784313726</v>
      </c>
      <c r="B1261" s="20">
        <f>=F1261/12</f>
        <v>21.075</v>
      </c>
      <c r="C1261" s="20">
        <f>=J1261/3</f>
        <v>168.6</v>
      </c>
      <c r="D1261" s="20">
        <f>=K1261/3</f>
        <v>187.333333333333</v>
      </c>
      <c r="E1261" s="20">
        <f>=L1261/3</f>
        <v>196.7</v>
      </c>
      <c r="F1261" s="20">
        <f>=H1261*0.9</f>
        <v>252.9</v>
      </c>
      <c r="G1261" s="21">
        <v>255</v>
      </c>
      <c r="H1261" s="39">
        <v>281</v>
      </c>
      <c r="I1261" s="40">
        <f>=H1261*1.05</f>
        <v>295.05</v>
      </c>
      <c r="J1261" s="40">
        <f>=F1261*2</f>
        <v>505.8</v>
      </c>
      <c r="K1261" s="40">
        <f>=H1261*2</f>
        <v>562</v>
      </c>
      <c r="L1261" s="40">
        <f>=I1261*2</f>
        <v>590.1</v>
      </c>
      <c r="M1261" s="41" t="s">
        <v>1349</v>
      </c>
      <c r="N1261" s="41">
        <v>0.508</v>
      </c>
      <c r="O1261" s="41" t="s"/>
      <c r="P1261" s="41" t="s">
        <v>21</v>
      </c>
      <c r="Q1261" s="41" t="s">
        <v>21</v>
      </c>
      <c r="R1261" s="41" t="s">
        <v>16</v>
      </c>
      <c r="S1261" s="41" t="s">
        <v>17</v>
      </c>
      <c r="T1261" s="41" t="s">
        <v>387</v>
      </c>
      <c r="U1261" s="16" t="s">
        <v>13</v>
      </c>
      <c r="V1261" s="16" t="s">
        <v>1083</v>
      </c>
      <c r="W1261" s="19" t="s"/>
      <c r="X1261" s="26" t="s">
        <f>=M1261&amp;N1261&amp;P1261&amp;Q1261&amp;T1261&amp;V1261&amp;S1261</f>
        <v>1381</v>
      </c>
      <c r="Y1261" s="19" t="s"/>
      <c r="Z1261" s="19" t="s"/>
      <c r="AA1261" s="19" t="s"/>
      <c r="AB1261" s="19" t="s"/>
    </row>
    <row r="1262" spans="1:28" ht="14.4">
      <c r="A1262" s="4">
        <f>=H1262/G1262-1</f>
        <v>0.0992063492063493</v>
      </c>
      <c r="B1262" s="20">
        <f>=F1262/12</f>
        <v>20.775</v>
      </c>
      <c r="C1262" s="20">
        <f>=J1262/3</f>
        <v>166.2</v>
      </c>
      <c r="D1262" s="20">
        <f>=K1262/3</f>
        <v>184.666666666667</v>
      </c>
      <c r="E1262" s="20">
        <f>=L1262/3</f>
        <v>193.9</v>
      </c>
      <c r="F1262" s="20">
        <f>=H1262*0.9</f>
        <v>249.3</v>
      </c>
      <c r="G1262" s="21">
        <v>252</v>
      </c>
      <c r="H1262" s="39">
        <v>277</v>
      </c>
      <c r="I1262" s="40">
        <f>=H1262*1.05</f>
        <v>290.85</v>
      </c>
      <c r="J1262" s="40">
        <f>=F1262*2</f>
        <v>498.6</v>
      </c>
      <c r="K1262" s="40">
        <f>=H1262*2</f>
        <v>554</v>
      </c>
      <c r="L1262" s="40">
        <f>=I1262*2</f>
        <v>581.7</v>
      </c>
      <c r="M1262" s="41" t="s">
        <v>1349</v>
      </c>
      <c r="N1262" s="41">
        <v>0.559</v>
      </c>
      <c r="O1262" s="41" t="s"/>
      <c r="P1262" s="41">
        <v>1</v>
      </c>
      <c r="Q1262" s="41">
        <v>1</v>
      </c>
      <c r="R1262" s="41" t="s">
        <v>16</v>
      </c>
      <c r="S1262" s="41" t="s">
        <v>17</v>
      </c>
      <c r="T1262" s="41" t="s">
        <v>387</v>
      </c>
      <c r="U1262" s="16" t="s">
        <v>13</v>
      </c>
      <c r="V1262" s="16" t="s">
        <v>1083</v>
      </c>
      <c r="W1262" s="19" t="s"/>
      <c r="X1262" s="26" t="s">
        <f>=M1262&amp;N1262&amp;P1262&amp;Q1262&amp;T1262&amp;V1262&amp;S1262</f>
        <v>1382</v>
      </c>
      <c r="Y1262" s="56" t="s"/>
      <c r="Z1262" s="56" t="s"/>
      <c r="AA1262" s="56" t="s"/>
      <c r="AB1262" s="56" t="s"/>
    </row>
    <row r="1263" spans="1:28" ht="14.4">
      <c r="A1263" s="4">
        <f>=H1263/G1263-1</f>
        <v>0.103030303030303</v>
      </c>
      <c r="B1263" s="20">
        <f>=F1263/12</f>
        <v>13.65</v>
      </c>
      <c r="C1263" s="20">
        <f>=J1263/3</f>
        <v>109.2</v>
      </c>
      <c r="D1263" s="20">
        <f>=K1263/3</f>
        <v>121.333333333333</v>
      </c>
      <c r="E1263" s="20">
        <f>=L1263/3</f>
        <v>127.4</v>
      </c>
      <c r="F1263" s="20">
        <f>=H1263*0.9</f>
        <v>163.8</v>
      </c>
      <c r="G1263" s="21">
        <v>165</v>
      </c>
      <c r="H1263" s="39">
        <v>182</v>
      </c>
      <c r="I1263" s="40">
        <f>=H1263*1.05</f>
        <v>191.1</v>
      </c>
      <c r="J1263" s="40">
        <f>=F1263*2</f>
        <v>327.6</v>
      </c>
      <c r="K1263" s="40">
        <f>=H1263*2</f>
        <v>364</v>
      </c>
      <c r="L1263" s="40">
        <f>=I1263*2</f>
        <v>382.2</v>
      </c>
      <c r="M1263" s="41" t="s">
        <v>1349</v>
      </c>
      <c r="N1263" s="41">
        <v>0.61</v>
      </c>
      <c r="O1263" s="41" t="s"/>
      <c r="P1263" s="41" t="s">
        <v>21</v>
      </c>
      <c r="Q1263" s="41" t="s">
        <v>21</v>
      </c>
      <c r="R1263" s="41" t="s">
        <v>16</v>
      </c>
      <c r="S1263" s="41" t="s">
        <v>17</v>
      </c>
      <c r="T1263" s="41" t="s">
        <v>110</v>
      </c>
      <c r="U1263" s="16" t="s">
        <v>13</v>
      </c>
      <c r="V1263" s="16" t="s">
        <v>1083</v>
      </c>
      <c r="W1263" s="19" t="s"/>
      <c r="X1263" s="26" t="s">
        <f>=M1263&amp;N1263&amp;P1263&amp;Q1263&amp;T1263&amp;V1263&amp;S1263</f>
        <v>1383</v>
      </c>
      <c r="Y1263" s="19" t="s"/>
      <c r="Z1263" s="19" t="s"/>
      <c r="AA1263" s="19" t="s"/>
      <c r="AB1263" s="19" t="s"/>
    </row>
    <row r="1264" spans="1:28" ht="14.4">
      <c r="A1264" s="4">
        <f>=H1264/G1264-1</f>
        <v>0.101796407185629</v>
      </c>
      <c r="B1264" s="20">
        <f>=F1264/12</f>
        <v>13.8</v>
      </c>
      <c r="C1264" s="20">
        <f>=J1264/3</f>
        <v>110.4</v>
      </c>
      <c r="D1264" s="20">
        <f>=K1264/3</f>
        <v>122.666666666667</v>
      </c>
      <c r="E1264" s="20">
        <f>=L1264/3</f>
        <v>128.8</v>
      </c>
      <c r="F1264" s="20">
        <f>=H1264*0.9</f>
        <v>165.6</v>
      </c>
      <c r="G1264" s="21">
        <v>167</v>
      </c>
      <c r="H1264" s="39">
        <v>184</v>
      </c>
      <c r="I1264" s="40">
        <f>=H1264*1.05</f>
        <v>193.2</v>
      </c>
      <c r="J1264" s="40">
        <f>=F1264*2</f>
        <v>331.2</v>
      </c>
      <c r="K1264" s="40">
        <f>=H1264*2</f>
        <v>368</v>
      </c>
      <c r="L1264" s="40">
        <f>=I1264*2</f>
        <v>386.4</v>
      </c>
      <c r="M1264" s="41" t="s">
        <v>1349</v>
      </c>
      <c r="N1264" s="41">
        <v>0.61</v>
      </c>
      <c r="O1264" s="41" t="s"/>
      <c r="P1264" s="41" t="s">
        <v>21</v>
      </c>
      <c r="Q1264" s="41" t="s">
        <v>21</v>
      </c>
      <c r="R1264" s="41" t="s">
        <v>16</v>
      </c>
      <c r="S1264" s="41" t="s">
        <v>17</v>
      </c>
      <c r="T1264" s="41" t="s">
        <v>110</v>
      </c>
      <c r="U1264" s="16" t="s">
        <v>13</v>
      </c>
      <c r="V1264" s="16" t="s">
        <v>1227</v>
      </c>
      <c r="W1264" s="19" t="s"/>
      <c r="X1264" s="26" t="s">
        <f>=M1264&amp;N1264&amp;P1264&amp;Q1264&amp;T1264&amp;V1264&amp;S1264</f>
        <v>1384</v>
      </c>
      <c r="Y1264" s="19" t="s"/>
      <c r="Z1264" s="19" t="s"/>
      <c r="AA1264" s="19" t="s"/>
      <c r="AB1264" s="19" t="s"/>
    </row>
    <row r="1265" spans="1:28" ht="14.4">
      <c r="A1265" s="4">
        <f>=H1265/G1265-1</f>
        <v>0.0990990990990992</v>
      </c>
      <c r="B1265" s="20">
        <f>=F1265/12</f>
        <v>27.45</v>
      </c>
      <c r="C1265" s="20">
        <f>=J1265/3</f>
        <v>219.6</v>
      </c>
      <c r="D1265" s="20">
        <f>=K1265/3</f>
        <v>244</v>
      </c>
      <c r="E1265" s="20">
        <f>=L1265/3</f>
        <v>256.2</v>
      </c>
      <c r="F1265" s="20">
        <f>=H1265*0.9</f>
        <v>329.4</v>
      </c>
      <c r="G1265" s="21">
        <v>333</v>
      </c>
      <c r="H1265" s="39">
        <v>366</v>
      </c>
      <c r="I1265" s="40">
        <f>=H1265*1.05</f>
        <v>384.3</v>
      </c>
      <c r="J1265" s="40">
        <f>=F1265*2</f>
        <v>658.8</v>
      </c>
      <c r="K1265" s="40">
        <f>=H1265*2</f>
        <v>732</v>
      </c>
      <c r="L1265" s="40">
        <f>=I1265*2</f>
        <v>768.6</v>
      </c>
      <c r="M1265" s="41" t="s">
        <v>1349</v>
      </c>
      <c r="N1265" s="41">
        <v>0.711</v>
      </c>
      <c r="O1265" s="41" t="s"/>
      <c r="P1265" s="41">
        <v>1</v>
      </c>
      <c r="Q1265" s="41">
        <v>1</v>
      </c>
      <c r="R1265" s="41" t="s">
        <v>16</v>
      </c>
      <c r="S1265" s="41" t="s">
        <v>17</v>
      </c>
      <c r="T1265" s="41" t="s">
        <v>784</v>
      </c>
      <c r="U1265" s="16" t="s">
        <v>13</v>
      </c>
      <c r="V1265" s="16" t="s">
        <v>1083</v>
      </c>
      <c r="W1265" s="19" t="s"/>
      <c r="X1265" s="26" t="s">
        <f>=M1265&amp;N1265&amp;P1265&amp;Q1265&amp;T1265&amp;V1265&amp;S1265</f>
        <v>1385</v>
      </c>
      <c r="Y1265" s="19" t="s"/>
      <c r="Z1265" s="19" t="s"/>
      <c r="AA1265" s="19" t="s"/>
      <c r="AB1265" s="19" t="s"/>
    </row>
    <row r="1266" spans="1:28" ht="14.4">
      <c r="A1266" s="4">
        <f>=H1266/G1266-1</f>
        <v>0.100271002710027</v>
      </c>
      <c r="B1266" s="20">
        <f>=F1266/12</f>
        <v>30.45</v>
      </c>
      <c r="C1266" s="20">
        <f>=J1266/3</f>
        <v>243.6</v>
      </c>
      <c r="D1266" s="20">
        <f>=K1266/3</f>
        <v>270.666666666667</v>
      </c>
      <c r="E1266" s="20">
        <f>=L1266/3</f>
        <v>284.2</v>
      </c>
      <c r="F1266" s="20">
        <f>=H1266*0.9</f>
        <v>365.4</v>
      </c>
      <c r="G1266" s="21">
        <v>369</v>
      </c>
      <c r="H1266" s="39">
        <v>406</v>
      </c>
      <c r="I1266" s="40">
        <f>=H1266*1.05</f>
        <v>426.3</v>
      </c>
      <c r="J1266" s="40">
        <f>=F1266*2</f>
        <v>730.8</v>
      </c>
      <c r="K1266" s="40">
        <f>=H1266*2</f>
        <v>812</v>
      </c>
      <c r="L1266" s="40">
        <f>=I1266*2</f>
        <v>852.6</v>
      </c>
      <c r="M1266" s="41" t="s">
        <v>1349</v>
      </c>
      <c r="N1266" s="41">
        <v>1.2</v>
      </c>
      <c r="O1266" s="41" t="s"/>
      <c r="P1266" s="41">
        <v>1</v>
      </c>
      <c r="Q1266" s="41">
        <v>1</v>
      </c>
      <c r="R1266" s="41" t="s">
        <v>16</v>
      </c>
      <c r="S1266" s="41" t="s">
        <v>137</v>
      </c>
      <c r="T1266" s="41" t="s">
        <v>1202</v>
      </c>
      <c r="U1266" s="16" t="s">
        <v>13</v>
      </c>
      <c r="V1266" s="16" t="s">
        <v>1083</v>
      </c>
      <c r="W1266" s="56" t="s"/>
      <c r="X1266" s="26" t="s">
        <f>=M1266&amp;N1266&amp;P1266&amp;Q1266&amp;T1266&amp;V1266&amp;S1266</f>
        <v>1386</v>
      </c>
      <c r="Y1266" s="19" t="s"/>
      <c r="Z1266" s="19" t="s"/>
      <c r="AA1266" s="19" t="s"/>
      <c r="AB1266" s="19" t="s"/>
    </row>
    <row r="1267" spans="1:28" ht="14.4">
      <c r="A1267" s="4">
        <f>=H1267/G1267-1</f>
        <v>0.1</v>
      </c>
      <c r="B1267" s="20">
        <f>=F1267/12</f>
        <v>27.225</v>
      </c>
      <c r="C1267" s="20">
        <f>=J1267/3</f>
        <v>217.8</v>
      </c>
      <c r="D1267" s="20">
        <f>=K1267/3</f>
        <v>242</v>
      </c>
      <c r="E1267" s="20">
        <f>=L1267/3</f>
        <v>254.1</v>
      </c>
      <c r="F1267" s="20">
        <f>=H1267*0.9</f>
        <v>326.7</v>
      </c>
      <c r="G1267" s="21">
        <v>330</v>
      </c>
      <c r="H1267" s="39">
        <v>363</v>
      </c>
      <c r="I1267" s="40">
        <f>=H1267*1.05</f>
        <v>381.15</v>
      </c>
      <c r="J1267" s="40">
        <f>=F1267*2</f>
        <v>653.4</v>
      </c>
      <c r="K1267" s="40">
        <f>=H1267*2</f>
        <v>726</v>
      </c>
      <c r="L1267" s="40">
        <f>=I1267*2</f>
        <v>762.3</v>
      </c>
      <c r="M1267" s="41" t="s">
        <v>1387</v>
      </c>
      <c r="N1267" s="41">
        <v>0.076</v>
      </c>
      <c r="O1267" s="41" t="s"/>
      <c r="P1267" s="41">
        <v>1</v>
      </c>
      <c r="Q1267" s="41">
        <v>2</v>
      </c>
      <c r="R1267" s="41" t="s">
        <v>16</v>
      </c>
      <c r="S1267" s="41" t="s">
        <v>17</v>
      </c>
      <c r="T1267" s="41" t="s">
        <v>1388</v>
      </c>
      <c r="U1267" s="16" t="s">
        <v>13</v>
      </c>
      <c r="V1267" s="16" t="s">
        <v>1119</v>
      </c>
      <c r="W1267" s="19" t="s"/>
      <c r="X1267" s="37" t="s">
        <f>=M1267&amp;N1267&amp;P1267&amp;Q1267&amp;T1267&amp;V1267&amp;S1267</f>
        <v>1389</v>
      </c>
      <c r="Y1267" s="38" t="s"/>
      <c r="Z1267" s="38" t="s"/>
      <c r="AA1267" s="38" t="s"/>
      <c r="AB1267" s="38" t="s"/>
    </row>
    <row r="1268" spans="1:28" ht="14.4">
      <c r="A1268" s="4">
        <f>=H1268/G1268-1</f>
        <v>0.100671140939597</v>
      </c>
      <c r="B1268" s="20">
        <f>=F1268/12</f>
        <v>12.3</v>
      </c>
      <c r="C1268" s="20">
        <f>=J1268/3</f>
        <v>98.4</v>
      </c>
      <c r="D1268" s="20">
        <f>=K1268/3</f>
        <v>109.333333333333</v>
      </c>
      <c r="E1268" s="20">
        <f>=L1268/3</f>
        <v>114.8</v>
      </c>
      <c r="F1268" s="20">
        <f>=H1268*0.9</f>
        <v>147.6</v>
      </c>
      <c r="G1268" s="21">
        <v>149</v>
      </c>
      <c r="H1268" s="39">
        <v>164</v>
      </c>
      <c r="I1268" s="40">
        <f>=H1268*1.05</f>
        <v>172.2</v>
      </c>
      <c r="J1268" s="40">
        <f>=F1268*2</f>
        <v>295.2</v>
      </c>
      <c r="K1268" s="40">
        <f>=H1268*2</f>
        <v>328</v>
      </c>
      <c r="L1268" s="40">
        <f>=I1268*2</f>
        <v>344.4</v>
      </c>
      <c r="M1268" s="41" t="s">
        <v>1387</v>
      </c>
      <c r="N1268" s="41">
        <v>0.076</v>
      </c>
      <c r="O1268" s="41" t="s"/>
      <c r="P1268" s="41">
        <v>1</v>
      </c>
      <c r="Q1268" s="41">
        <v>1</v>
      </c>
      <c r="R1268" s="41" t="s">
        <v>16</v>
      </c>
      <c r="S1268" s="41" t="s">
        <v>17</v>
      </c>
      <c r="T1268" s="41" t="s">
        <v>1098</v>
      </c>
      <c r="U1268" s="16" t="s">
        <v>13</v>
      </c>
      <c r="V1268" s="16" t="s">
        <v>1083</v>
      </c>
      <c r="W1268" s="19" t="s"/>
      <c r="X1268" s="26" t="s">
        <f>=M1268&amp;N1268&amp;P1268&amp;Q1268&amp;T1268&amp;V1268&amp;S1268</f>
        <v>1390</v>
      </c>
      <c r="Y1268" s="19" t="s"/>
      <c r="Z1268" s="19" t="s"/>
      <c r="AA1268" s="19" t="s"/>
      <c r="AB1268" s="19" t="s"/>
    </row>
    <row r="1269" spans="1:28" ht="14.4">
      <c r="A1269" s="4">
        <f>=H1269/G1269-1</f>
        <v>0.100303951367781</v>
      </c>
      <c r="B1269" s="20">
        <f>=F1269/12</f>
        <v>27.15</v>
      </c>
      <c r="C1269" s="20">
        <f>=J1269/3</f>
        <v>217.2</v>
      </c>
      <c r="D1269" s="20">
        <f>=K1269/3</f>
        <v>241.333333333333</v>
      </c>
      <c r="E1269" s="20">
        <f>=L1269/3</f>
        <v>253.4</v>
      </c>
      <c r="F1269" s="20">
        <f>=H1269*0.9</f>
        <v>325.8</v>
      </c>
      <c r="G1269" s="21">
        <v>329</v>
      </c>
      <c r="H1269" s="39">
        <v>362</v>
      </c>
      <c r="I1269" s="40">
        <f>=H1269*1.05</f>
        <v>380.1</v>
      </c>
      <c r="J1269" s="40">
        <f>=F1269*2</f>
        <v>651.6</v>
      </c>
      <c r="K1269" s="40">
        <f>=H1269*2</f>
        <v>724</v>
      </c>
      <c r="L1269" s="40">
        <f>=I1269*2</f>
        <v>760.2</v>
      </c>
      <c r="M1269" s="41" t="s">
        <v>1387</v>
      </c>
      <c r="N1269" s="41">
        <v>0.076</v>
      </c>
      <c r="O1269" s="41" t="s"/>
      <c r="P1269" s="41">
        <v>2</v>
      </c>
      <c r="Q1269" s="41">
        <v>2</v>
      </c>
      <c r="R1269" s="41" t="s">
        <v>16</v>
      </c>
      <c r="S1269" s="41" t="s">
        <v>17</v>
      </c>
      <c r="T1269" s="41" t="s">
        <v>18</v>
      </c>
      <c r="U1269" s="16" t="s">
        <v>13</v>
      </c>
      <c r="V1269" s="16" t="s">
        <v>215</v>
      </c>
      <c r="W1269" s="19" t="s"/>
      <c r="X1269" s="37" t="s">
        <f>=M1269&amp;N1269&amp;P1269&amp;Q1269&amp;T1269&amp;V1269&amp;S1269</f>
        <v>1391</v>
      </c>
      <c r="Y1269" s="38" t="s"/>
      <c r="Z1269" s="38" t="s"/>
      <c r="AA1269" s="38" t="s"/>
      <c r="AB1269" s="38" t="s"/>
    </row>
    <row r="1270" spans="1:28" ht="14.4">
      <c r="A1270" s="4">
        <f>=H1270/G1270-1</f>
        <v>0.0970873786407767</v>
      </c>
      <c r="B1270" s="20">
        <f>=F1270/12</f>
        <v>8.475</v>
      </c>
      <c r="C1270" s="20">
        <f>=J1270/3</f>
        <v>67.8</v>
      </c>
      <c r="D1270" s="20">
        <f>=K1270/3</f>
        <v>75.3333333333333</v>
      </c>
      <c r="E1270" s="20">
        <f>=L1270/3</f>
        <v>79.1</v>
      </c>
      <c r="F1270" s="20">
        <f>=H1270*0.9</f>
        <v>101.7</v>
      </c>
      <c r="G1270" s="21">
        <v>103</v>
      </c>
      <c r="H1270" s="39">
        <v>113</v>
      </c>
      <c r="I1270" s="40">
        <f>=H1270*1.05</f>
        <v>118.65</v>
      </c>
      <c r="J1270" s="40">
        <f>=F1270*2</f>
        <v>203.4</v>
      </c>
      <c r="K1270" s="40">
        <f>=H1270*2</f>
        <v>226</v>
      </c>
      <c r="L1270" s="40">
        <f>=I1270*2</f>
        <v>237.3</v>
      </c>
      <c r="M1270" s="41" t="s">
        <v>1387</v>
      </c>
      <c r="N1270" s="41">
        <v>0.076</v>
      </c>
      <c r="O1270" s="41" t="s"/>
      <c r="P1270" s="41" t="s">
        <v>21</v>
      </c>
      <c r="Q1270" s="41" t="s">
        <v>21</v>
      </c>
      <c r="R1270" s="41" t="s">
        <v>16</v>
      </c>
      <c r="S1270" s="41" t="s">
        <v>17</v>
      </c>
      <c r="T1270" s="41" t="s">
        <v>624</v>
      </c>
      <c r="U1270" s="16" t="s">
        <v>13</v>
      </c>
      <c r="V1270" s="16" t="s">
        <v>215</v>
      </c>
      <c r="W1270" s="19" t="s"/>
      <c r="X1270" s="37" t="s">
        <f>=M1270&amp;N1270&amp;P1270&amp;Q1270&amp;T1270&amp;V1270&amp;S1270</f>
        <v>1392</v>
      </c>
      <c r="Y1270" s="38" t="s"/>
      <c r="Z1270" s="38" t="s"/>
      <c r="AA1270" s="38" t="s"/>
      <c r="AB1270" s="38" t="s"/>
    </row>
    <row r="1271" spans="1:28" ht="14.4">
      <c r="A1271" s="4">
        <f>=H1271/G1271-1</f>
        <v>0.0991735537190082</v>
      </c>
      <c r="B1271" s="20">
        <f>=F1271/12</f>
        <v>9.975</v>
      </c>
      <c r="C1271" s="20">
        <f>=J1271/3</f>
        <v>79.8</v>
      </c>
      <c r="D1271" s="20">
        <f>=K1271/3</f>
        <v>88.6666666666667</v>
      </c>
      <c r="E1271" s="20">
        <f>=L1271/3</f>
        <v>93.1</v>
      </c>
      <c r="F1271" s="20">
        <f>=H1271*0.9</f>
        <v>119.7</v>
      </c>
      <c r="G1271" s="21">
        <v>121</v>
      </c>
      <c r="H1271" s="39">
        <v>133</v>
      </c>
      <c r="I1271" s="40">
        <f>=H1271*1.05</f>
        <v>139.65</v>
      </c>
      <c r="J1271" s="40">
        <f>=F1271*2</f>
        <v>239.4</v>
      </c>
      <c r="K1271" s="40">
        <f>=H1271*2</f>
        <v>266</v>
      </c>
      <c r="L1271" s="40">
        <f>=I1271*2</f>
        <v>279.3</v>
      </c>
      <c r="M1271" s="41" t="s">
        <v>1387</v>
      </c>
      <c r="N1271" s="41">
        <v>0.076</v>
      </c>
      <c r="O1271" s="41" t="s"/>
      <c r="P1271" s="41" t="s">
        <v>21</v>
      </c>
      <c r="Q1271" s="41" t="s">
        <v>21</v>
      </c>
      <c r="R1271" s="41" t="s">
        <v>16</v>
      </c>
      <c r="S1271" s="41" t="s">
        <v>17</v>
      </c>
      <c r="T1271" s="41" t="s">
        <v>1098</v>
      </c>
      <c r="U1271" s="16" t="s">
        <v>13</v>
      </c>
      <c r="V1271" s="16" t="s">
        <v>1083</v>
      </c>
      <c r="W1271" s="19" t="s"/>
      <c r="X1271" s="37" t="s">
        <f>=M1271&amp;N1271&amp;P1271&amp;Q1271&amp;T1271&amp;V1271&amp;S1271</f>
        <v>1393</v>
      </c>
      <c r="Y1271" s="38" t="s"/>
      <c r="Z1271" s="38" t="s"/>
      <c r="AA1271" s="38" t="s"/>
      <c r="AB1271" s="38" t="s"/>
    </row>
    <row r="1272" spans="1:28" ht="14.4">
      <c r="A1272" s="4">
        <f>=H1272/G1272-1</f>
        <v>0.0991735537190082</v>
      </c>
      <c r="B1272" s="20">
        <f>=F1272/12</f>
        <v>9.975</v>
      </c>
      <c r="C1272" s="20">
        <f>=J1272/3</f>
        <v>79.8</v>
      </c>
      <c r="D1272" s="20">
        <f>=K1272/3</f>
        <v>88.6666666666667</v>
      </c>
      <c r="E1272" s="20">
        <f>=L1272/3</f>
        <v>93.1</v>
      </c>
      <c r="F1272" s="20">
        <f>=H1272*0.9</f>
        <v>119.7</v>
      </c>
      <c r="G1272" s="21">
        <v>121</v>
      </c>
      <c r="H1272" s="39">
        <v>133</v>
      </c>
      <c r="I1272" s="40">
        <f>=H1272*1.05</f>
        <v>139.65</v>
      </c>
      <c r="J1272" s="40">
        <f>=F1272*2</f>
        <v>239.4</v>
      </c>
      <c r="K1272" s="40">
        <f>=H1272*2</f>
        <v>266</v>
      </c>
      <c r="L1272" s="40">
        <f>=I1272*2</f>
        <v>279.3</v>
      </c>
      <c r="M1272" s="41" t="s">
        <v>1387</v>
      </c>
      <c r="N1272" s="41">
        <v>0.076</v>
      </c>
      <c r="O1272" s="41" t="s"/>
      <c r="P1272" s="41" t="s">
        <v>21</v>
      </c>
      <c r="Q1272" s="41" t="s">
        <v>21</v>
      </c>
      <c r="R1272" s="41" t="s">
        <v>16</v>
      </c>
      <c r="S1272" s="41" t="s">
        <v>17</v>
      </c>
      <c r="T1272" s="41" t="s">
        <v>18</v>
      </c>
      <c r="U1272" s="16" t="s">
        <v>13</v>
      </c>
      <c r="V1272" s="16" t="s">
        <v>215</v>
      </c>
      <c r="W1272" s="19" t="s"/>
      <c r="X1272" s="26" t="s">
        <f>=M1272&amp;N1272&amp;P1272&amp;Q1272&amp;T1272&amp;V1272&amp;S1272</f>
        <v>1394</v>
      </c>
      <c r="Y1272" s="56" t="s"/>
      <c r="Z1272" s="56" t="s"/>
      <c r="AA1272" s="56" t="s"/>
      <c r="AB1272" s="56" t="s"/>
    </row>
    <row r="1273" spans="1:28" ht="14.4">
      <c r="A1273" s="4">
        <f>=H1273/G1273-1</f>
        <v>0.103448275862069</v>
      </c>
      <c r="B1273" s="20">
        <f>=F1273/12</f>
        <v>12</v>
      </c>
      <c r="C1273" s="20">
        <f>=J1273/3</f>
        <v>96</v>
      </c>
      <c r="D1273" s="20">
        <f>=K1273/3</f>
        <v>106.666666666667</v>
      </c>
      <c r="E1273" s="20">
        <f>=L1273/3</f>
        <v>112</v>
      </c>
      <c r="F1273" s="20">
        <f>=H1273*0.9</f>
        <v>144</v>
      </c>
      <c r="G1273" s="21">
        <v>145</v>
      </c>
      <c r="H1273" s="39">
        <v>160</v>
      </c>
      <c r="I1273" s="40">
        <f>=H1273*1.05</f>
        <v>168</v>
      </c>
      <c r="J1273" s="40">
        <f>=F1273*2</f>
        <v>288</v>
      </c>
      <c r="K1273" s="40">
        <f>=H1273*2</f>
        <v>320</v>
      </c>
      <c r="L1273" s="40">
        <f>=I1273*2</f>
        <v>336</v>
      </c>
      <c r="M1273" s="41" t="s">
        <v>1387</v>
      </c>
      <c r="N1273" s="41">
        <v>0.076</v>
      </c>
      <c r="O1273" s="41" t="s"/>
      <c r="P1273" s="41" t="s">
        <v>21</v>
      </c>
      <c r="Q1273" s="41">
        <v>1</v>
      </c>
      <c r="R1273" s="41" t="s">
        <v>16</v>
      </c>
      <c r="S1273" s="41" t="s">
        <v>17</v>
      </c>
      <c r="T1273" s="41" t="s">
        <v>1098</v>
      </c>
      <c r="U1273" s="16" t="s">
        <v>13</v>
      </c>
      <c r="V1273" s="16" t="s">
        <v>1083</v>
      </c>
      <c r="W1273" s="38" t="s"/>
      <c r="X1273" s="26" t="s">
        <f>=M1273&amp;N1273&amp;P1273&amp;Q1273&amp;T1273&amp;V1273&amp;S1273</f>
        <v>1395</v>
      </c>
      <c r="Y1273" s="19" t="s"/>
      <c r="Z1273" s="19" t="s"/>
      <c r="AA1273" s="19" t="s"/>
      <c r="AB1273" s="19" t="s"/>
    </row>
    <row r="1274" spans="1:28" ht="14.4">
      <c r="A1274" s="4">
        <f>=H1274/G1274-1</f>
        <v>0.0985915492957748</v>
      </c>
      <c r="B1274" s="20">
        <f>=F1274/12</f>
        <v>11.7</v>
      </c>
      <c r="C1274" s="20">
        <f>=J1274/3</f>
        <v>93.6</v>
      </c>
      <c r="D1274" s="20">
        <f>=K1274/3</f>
        <v>104</v>
      </c>
      <c r="E1274" s="20">
        <f>=L1274/3</f>
        <v>109.2</v>
      </c>
      <c r="F1274" s="20">
        <f>=H1274*0.9</f>
        <v>140.4</v>
      </c>
      <c r="G1274" s="21">
        <v>142</v>
      </c>
      <c r="H1274" s="39">
        <v>156</v>
      </c>
      <c r="I1274" s="40">
        <f>=H1274*1.05</f>
        <v>163.8</v>
      </c>
      <c r="J1274" s="40">
        <f>=F1274*2</f>
        <v>280.8</v>
      </c>
      <c r="K1274" s="40">
        <f>=H1274*2</f>
        <v>312</v>
      </c>
      <c r="L1274" s="40">
        <f>=I1274*2</f>
        <v>327.6</v>
      </c>
      <c r="M1274" s="41" t="s">
        <v>1387</v>
      </c>
      <c r="N1274" s="41">
        <v>0.089</v>
      </c>
      <c r="O1274" s="41" t="s"/>
      <c r="P1274" s="41" t="s">
        <v>21</v>
      </c>
      <c r="Q1274" s="41" t="s">
        <v>21</v>
      </c>
      <c r="R1274" s="41" t="s">
        <v>16</v>
      </c>
      <c r="S1274" s="41" t="s">
        <v>17</v>
      </c>
      <c r="T1274" s="41" t="s">
        <v>654</v>
      </c>
      <c r="U1274" s="16" t="s">
        <v>13</v>
      </c>
      <c r="V1274" s="16" t="s">
        <v>215</v>
      </c>
      <c r="W1274" s="38" t="s"/>
      <c r="X1274" s="26" t="s">
        <f>=M1274&amp;N1274&amp;P1274&amp;Q1274&amp;T1274&amp;V1274&amp;S1274</f>
        <v>1396</v>
      </c>
      <c r="Y1274" s="19" t="s"/>
      <c r="Z1274" s="19" t="s"/>
      <c r="AA1274" s="19" t="s"/>
      <c r="AB1274" s="19" t="s"/>
    </row>
    <row r="1275" spans="1:28" ht="14.4">
      <c r="A1275" s="4">
        <f>=H1275/G1275-1</f>
        <v>0</v>
      </c>
      <c r="B1275" s="20">
        <f>=F1275/12</f>
        <v>19.65</v>
      </c>
      <c r="C1275" s="20">
        <f>=J1275/3</f>
        <v>157.2</v>
      </c>
      <c r="D1275" s="20">
        <f>=K1275/3</f>
        <v>174.666666666667</v>
      </c>
      <c r="E1275" s="20">
        <f>=L1275/3</f>
        <v>183.4</v>
      </c>
      <c r="F1275" s="20">
        <f>=H1275*0.9</f>
        <v>235.8</v>
      </c>
      <c r="G1275" s="21">
        <v>262</v>
      </c>
      <c r="H1275" s="39">
        <v>262</v>
      </c>
      <c r="I1275" s="40">
        <f>=H1275*1.05</f>
        <v>275.1</v>
      </c>
      <c r="J1275" s="40">
        <f>=F1275*2</f>
        <v>471.6</v>
      </c>
      <c r="K1275" s="40">
        <f>=H1275*2</f>
        <v>524</v>
      </c>
      <c r="L1275" s="40">
        <f>=I1275*2</f>
        <v>550.2</v>
      </c>
      <c r="M1275" s="41" t="s">
        <v>1387</v>
      </c>
      <c r="N1275" s="41">
        <v>0.089</v>
      </c>
      <c r="O1275" s="41" t="s"/>
      <c r="P1275" s="41">
        <v>1</v>
      </c>
      <c r="Q1275" s="41">
        <v>1</v>
      </c>
      <c r="R1275" s="41" t="s">
        <v>16</v>
      </c>
      <c r="S1275" s="41" t="s">
        <v>17</v>
      </c>
      <c r="T1275" s="41" t="s">
        <v>654</v>
      </c>
      <c r="U1275" s="16" t="s">
        <v>13</v>
      </c>
      <c r="V1275" s="16" t="s">
        <v>1083</v>
      </c>
      <c r="W1275" s="17" t="s">
        <v>352</v>
      </c>
      <c r="X1275" s="26" t="s">
        <f>=M1275&amp;N1275&amp;P1275&amp;Q1275&amp;T1275&amp;V1275&amp;S1275</f>
        <v>1397</v>
      </c>
      <c r="Y1275" s="19" t="s"/>
      <c r="Z1275" s="19" t="s"/>
      <c r="AA1275" s="19" t="s"/>
      <c r="AB1275" s="19" t="s"/>
    </row>
    <row r="1276" spans="1:28" ht="14.4">
      <c r="A1276" s="4">
        <f>=H1276/G1276-1</f>
        <v>0.102439024390244</v>
      </c>
      <c r="B1276" s="20">
        <f>=F1276/12</f>
        <v>16.95</v>
      </c>
      <c r="C1276" s="20">
        <f>=J1276/3</f>
        <v>135.6</v>
      </c>
      <c r="D1276" s="20">
        <f>=K1276/3</f>
        <v>150.666666666667</v>
      </c>
      <c r="E1276" s="20">
        <f>=L1276/3</f>
        <v>158.2</v>
      </c>
      <c r="F1276" s="20">
        <f>=H1276*0.9</f>
        <v>203.4</v>
      </c>
      <c r="G1276" s="21">
        <v>205</v>
      </c>
      <c r="H1276" s="39">
        <v>226</v>
      </c>
      <c r="I1276" s="40">
        <f>=H1276*1.05</f>
        <v>237.3</v>
      </c>
      <c r="J1276" s="40">
        <f>=F1276*2</f>
        <v>406.8</v>
      </c>
      <c r="K1276" s="40">
        <f>=H1276*2</f>
        <v>452</v>
      </c>
      <c r="L1276" s="40">
        <f>=I1276*2</f>
        <v>474.6</v>
      </c>
      <c r="M1276" s="41" t="s">
        <v>1387</v>
      </c>
      <c r="N1276" s="41">
        <v>0.089</v>
      </c>
      <c r="O1276" s="41" t="s"/>
      <c r="P1276" s="41">
        <v>1</v>
      </c>
      <c r="Q1276" s="41">
        <v>2</v>
      </c>
      <c r="R1276" s="41" t="s">
        <v>16</v>
      </c>
      <c r="S1276" s="41" t="s">
        <v>17</v>
      </c>
      <c r="T1276" s="41" t="s">
        <v>639</v>
      </c>
      <c r="U1276" s="16" t="s">
        <v>13</v>
      </c>
      <c r="V1276" s="16" t="s">
        <v>1119</v>
      </c>
      <c r="W1276" s="38" t="s"/>
      <c r="X1276" s="26" t="s">
        <f>=M1276&amp;N1276&amp;P1276&amp;Q1276&amp;T1276&amp;V1276&amp;S1276</f>
        <v>1398</v>
      </c>
      <c r="Y1276" s="19" t="s"/>
      <c r="Z1276" s="19" t="s"/>
      <c r="AA1276" s="19" t="s"/>
      <c r="AB1276" s="19" t="s"/>
    </row>
    <row r="1277" spans="1:28" ht="14.4">
      <c r="A1277" s="4">
        <f>=H1277/G1277-1</f>
        <v>0.102439024390244</v>
      </c>
      <c r="B1277" s="20">
        <f>=F1277/12</f>
        <v>16.95</v>
      </c>
      <c r="C1277" s="20">
        <f>=J1277/3</f>
        <v>135.6</v>
      </c>
      <c r="D1277" s="20">
        <f>=K1277/3</f>
        <v>150.666666666667</v>
      </c>
      <c r="E1277" s="20">
        <f>=L1277/3</f>
        <v>158.2</v>
      </c>
      <c r="F1277" s="20">
        <f>=H1277*0.9</f>
        <v>203.4</v>
      </c>
      <c r="G1277" s="21">
        <v>205</v>
      </c>
      <c r="H1277" s="39">
        <v>226</v>
      </c>
      <c r="I1277" s="40">
        <f>=H1277*1.05</f>
        <v>237.3</v>
      </c>
      <c r="J1277" s="40">
        <f>=F1277*2</f>
        <v>406.8</v>
      </c>
      <c r="K1277" s="40">
        <f>=H1277*2</f>
        <v>452</v>
      </c>
      <c r="L1277" s="40">
        <f>=I1277*2</f>
        <v>474.6</v>
      </c>
      <c r="M1277" s="41" t="s">
        <v>1387</v>
      </c>
      <c r="N1277" s="41">
        <v>0.091</v>
      </c>
      <c r="O1277" s="41" t="s"/>
      <c r="P1277" s="41">
        <v>1</v>
      </c>
      <c r="Q1277" s="41">
        <v>2</v>
      </c>
      <c r="R1277" s="41" t="s">
        <v>16</v>
      </c>
      <c r="S1277" s="41" t="s">
        <v>17</v>
      </c>
      <c r="T1277" s="41" t="s">
        <v>639</v>
      </c>
      <c r="U1277" s="16" t="s">
        <v>13</v>
      </c>
      <c r="V1277" s="16" t="s">
        <v>1119</v>
      </c>
      <c r="W1277" s="56" t="s"/>
      <c r="X1277" s="26" t="s">
        <f>=M1277&amp;N1277&amp;P1277&amp;Q1277&amp;T1277&amp;V1277&amp;S1277</f>
        <v>1399</v>
      </c>
      <c r="Y1277" s="19" t="s"/>
      <c r="Z1277" s="19" t="s"/>
      <c r="AA1277" s="19" t="s"/>
      <c r="AB1277" s="19" t="s"/>
    </row>
    <row r="1278" spans="1:28" ht="14.4">
      <c r="A1278" s="4">
        <f>=H1278/G1278-1</f>
        <v>0.0988372093023256</v>
      </c>
      <c r="B1278" s="20">
        <f>=F1278/12</f>
        <v>14.175</v>
      </c>
      <c r="C1278" s="20">
        <f>=J1278/3</f>
        <v>113.4</v>
      </c>
      <c r="D1278" s="20">
        <f>=K1278/3</f>
        <v>126</v>
      </c>
      <c r="E1278" s="20">
        <f>=L1278/3</f>
        <v>132.3</v>
      </c>
      <c r="F1278" s="20">
        <f>=H1278*0.9</f>
        <v>170.1</v>
      </c>
      <c r="G1278" s="21">
        <v>172</v>
      </c>
      <c r="H1278" s="39">
        <v>189</v>
      </c>
      <c r="I1278" s="40">
        <f>=H1278*1.05</f>
        <v>198.45</v>
      </c>
      <c r="J1278" s="40">
        <f>=F1278*2</f>
        <v>340.2</v>
      </c>
      <c r="K1278" s="40">
        <f>=H1278*2</f>
        <v>378</v>
      </c>
      <c r="L1278" s="40">
        <f>=I1278*2</f>
        <v>396.9</v>
      </c>
      <c r="M1278" s="41" t="s">
        <v>1387</v>
      </c>
      <c r="N1278" s="41">
        <v>0.102</v>
      </c>
      <c r="O1278" s="41" t="s"/>
      <c r="P1278" s="41">
        <v>1</v>
      </c>
      <c r="Q1278" s="41">
        <v>1</v>
      </c>
      <c r="R1278" s="41" t="s">
        <v>16</v>
      </c>
      <c r="S1278" s="41" t="s">
        <v>17</v>
      </c>
      <c r="T1278" s="41" t="s">
        <v>654</v>
      </c>
      <c r="U1278" s="16" t="s">
        <v>13</v>
      </c>
      <c r="V1278" s="16" t="s">
        <v>1083</v>
      </c>
      <c r="W1278" s="19" t="s"/>
      <c r="X1278" s="26" t="s">
        <f>=M1278&amp;N1278&amp;P1278&amp;Q1278&amp;T1278&amp;V1278&amp;S1278</f>
        <v>1400</v>
      </c>
      <c r="Y1278" s="19" t="s"/>
      <c r="Z1278" s="19" t="s"/>
      <c r="AA1278" s="19" t="s"/>
      <c r="AB1278" s="19" t="s"/>
    </row>
    <row r="1279" spans="1:28" ht="14.4">
      <c r="A1279" s="4">
        <f>=H1279/G1279-1</f>
        <v>0.0984455958549222</v>
      </c>
      <c r="B1279" s="20">
        <f>=F1279/12</f>
        <v>15.9</v>
      </c>
      <c r="C1279" s="20">
        <f>=J1279/3</f>
        <v>127.2</v>
      </c>
      <c r="D1279" s="20">
        <f>=K1279/3</f>
        <v>141.333333333333</v>
      </c>
      <c r="E1279" s="20">
        <f>=L1279/3</f>
        <v>148.4</v>
      </c>
      <c r="F1279" s="20">
        <f>=H1279*0.9</f>
        <v>190.8</v>
      </c>
      <c r="G1279" s="21">
        <v>193</v>
      </c>
      <c r="H1279" s="39">
        <v>212</v>
      </c>
      <c r="I1279" s="40">
        <f>=H1279*1.05</f>
        <v>222.6</v>
      </c>
      <c r="J1279" s="40">
        <f>=F1279*2</f>
        <v>381.6</v>
      </c>
      <c r="K1279" s="40">
        <f>=H1279*2</f>
        <v>424</v>
      </c>
      <c r="L1279" s="40">
        <f>=I1279*2</f>
        <v>445.2</v>
      </c>
      <c r="M1279" s="41" t="s">
        <v>1387</v>
      </c>
      <c r="N1279" s="41">
        <v>0.102</v>
      </c>
      <c r="O1279" s="41" t="s"/>
      <c r="P1279" s="41">
        <v>1</v>
      </c>
      <c r="Q1279" s="41">
        <v>1</v>
      </c>
      <c r="R1279" s="41" t="s">
        <v>16</v>
      </c>
      <c r="S1279" s="41" t="s">
        <v>17</v>
      </c>
      <c r="T1279" s="41" t="s">
        <v>654</v>
      </c>
      <c r="U1279" s="16" t="s">
        <v>13</v>
      </c>
      <c r="V1279" s="16" t="s">
        <v>215</v>
      </c>
      <c r="W1279" s="19" t="s"/>
      <c r="X1279" s="26" t="s">
        <f>=M1279&amp;N1279&amp;P1279&amp;Q1279&amp;T1279&amp;V1279&amp;S1279</f>
        <v>1401</v>
      </c>
      <c r="Y1279" s="19" t="s"/>
      <c r="Z1279" s="19" t="s"/>
      <c r="AA1279" s="19" t="s"/>
      <c r="AB1279" s="19" t="s"/>
    </row>
    <row r="1280" spans="1:28" ht="14.4">
      <c r="A1280" s="42" t="e">
        <f>=H1280/G1280-1</f>
        <v>#DIV/0!</v>
      </c>
      <c r="B1280" s="43">
        <f>=F1280/12</f>
        <v>33.15</v>
      </c>
      <c r="C1280" s="43">
        <f>=J1280/3</f>
        <v>265.2</v>
      </c>
      <c r="D1280" s="43">
        <f>=K1280/3</f>
        <v>294.666666666667</v>
      </c>
      <c r="E1280" s="43">
        <f>=L1280/3</f>
        <v>309.4</v>
      </c>
      <c r="F1280" s="43">
        <f>=H1280*0.9</f>
        <v>397.8</v>
      </c>
      <c r="G1280" s="27" t="s"/>
      <c r="H1280" s="44">
        <v>442</v>
      </c>
      <c r="I1280" s="45">
        <f>=H1280*1.05</f>
        <v>464.1</v>
      </c>
      <c r="J1280" s="45">
        <f>=F1280*2</f>
        <v>795.6</v>
      </c>
      <c r="K1280" s="45">
        <f>=H1280*2</f>
        <v>884</v>
      </c>
      <c r="L1280" s="45">
        <f>=I1280*2</f>
        <v>928.2</v>
      </c>
      <c r="M1280" s="46" t="s">
        <v>1387</v>
      </c>
      <c r="N1280" s="46">
        <v>0.102</v>
      </c>
      <c r="O1280" s="46" t="s"/>
      <c r="P1280" s="12">
        <v>2</v>
      </c>
      <c r="Q1280" s="12">
        <v>2</v>
      </c>
      <c r="R1280" s="46" t="s">
        <v>16</v>
      </c>
      <c r="S1280" s="46" t="s">
        <v>17</v>
      </c>
      <c r="T1280" s="46" t="s">
        <v>654</v>
      </c>
      <c r="U1280" s="13" t="s">
        <v>13</v>
      </c>
      <c r="V1280" s="13" t="s">
        <v>215</v>
      </c>
      <c r="W1280" s="15" t="s"/>
      <c r="X1280" s="18" t="s">
        <f>=M1280&amp;N1280&amp;P1280&amp;Q1280&amp;T1280&amp;V1280&amp;S1280</f>
        <v>1402</v>
      </c>
      <c r="Y1280" s="15" t="s"/>
      <c r="Z1280" s="15" t="s"/>
      <c r="AA1280" s="15" t="s"/>
      <c r="AB1280" s="15" t="s"/>
    </row>
    <row r="1281" spans="1:28" ht="14.4">
      <c r="A1281" s="4">
        <f>=H1281/G1281-1</f>
        <v>0.102564102564103</v>
      </c>
      <c r="B1281" s="20">
        <f>=F1281/12</f>
        <v>16.125</v>
      </c>
      <c r="C1281" s="20">
        <f>=J1281/3</f>
        <v>129</v>
      </c>
      <c r="D1281" s="20">
        <f>=K1281/3</f>
        <v>143.333333333333</v>
      </c>
      <c r="E1281" s="20">
        <f>=L1281/3</f>
        <v>150.5</v>
      </c>
      <c r="F1281" s="20">
        <f>=H1281*0.9</f>
        <v>193.5</v>
      </c>
      <c r="G1281" s="21">
        <v>195</v>
      </c>
      <c r="H1281" s="39">
        <v>215</v>
      </c>
      <c r="I1281" s="40">
        <f>=H1281*1.05</f>
        <v>225.75</v>
      </c>
      <c r="J1281" s="40">
        <f>=F1281*2</f>
        <v>387</v>
      </c>
      <c r="K1281" s="40">
        <f>=H1281*2</f>
        <v>430</v>
      </c>
      <c r="L1281" s="40">
        <f>=I1281*2</f>
        <v>451.5</v>
      </c>
      <c r="M1281" s="41" t="s">
        <v>1387</v>
      </c>
      <c r="N1281" s="41">
        <v>0.102</v>
      </c>
      <c r="O1281" s="41" t="s"/>
      <c r="P1281" s="41">
        <v>1</v>
      </c>
      <c r="Q1281" s="41">
        <v>1</v>
      </c>
      <c r="R1281" s="41" t="s">
        <v>16</v>
      </c>
      <c r="S1281" s="41" t="s">
        <v>17</v>
      </c>
      <c r="T1281" s="41" t="s">
        <v>639</v>
      </c>
      <c r="U1281" s="16" t="s">
        <v>13</v>
      </c>
      <c r="V1281" s="16" t="s">
        <v>1083</v>
      </c>
      <c r="W1281" s="19" t="s"/>
      <c r="X1281" s="26" t="s">
        <f>=M1281&amp;N1281&amp;P1281&amp;Q1281&amp;T1281&amp;V1281&amp;S1281</f>
        <v>1403</v>
      </c>
      <c r="Y1281" s="19" t="s"/>
      <c r="Z1281" s="19" t="s"/>
      <c r="AA1281" s="19" t="s"/>
      <c r="AB1281" s="19" t="s"/>
    </row>
    <row r="1282" spans="1:28" ht="14.4">
      <c r="A1282" s="4">
        <f>=H1282/G1282-1</f>
        <v>0.102040816326531</v>
      </c>
      <c r="B1282" s="20">
        <f>=F1282/12</f>
        <v>12.15</v>
      </c>
      <c r="C1282" s="20">
        <f>=J1282/3</f>
        <v>97.2</v>
      </c>
      <c r="D1282" s="20">
        <f>=K1282/3</f>
        <v>108</v>
      </c>
      <c r="E1282" s="20">
        <f>=L1282/3</f>
        <v>113.4</v>
      </c>
      <c r="F1282" s="20">
        <f>=H1282*0.9</f>
        <v>145.8</v>
      </c>
      <c r="G1282" s="21">
        <v>147</v>
      </c>
      <c r="H1282" s="39">
        <v>162</v>
      </c>
      <c r="I1282" s="40">
        <f>=H1282*1.05</f>
        <v>170.1</v>
      </c>
      <c r="J1282" s="40">
        <f>=F1282*2</f>
        <v>291.6</v>
      </c>
      <c r="K1282" s="40">
        <f>=H1282*2</f>
        <v>324</v>
      </c>
      <c r="L1282" s="40">
        <f>=I1282*2</f>
        <v>340.2</v>
      </c>
      <c r="M1282" s="41" t="s">
        <v>1387</v>
      </c>
      <c r="N1282" s="41">
        <v>0.102</v>
      </c>
      <c r="O1282" s="41" t="s"/>
      <c r="P1282" s="41" t="s">
        <v>21</v>
      </c>
      <c r="Q1282" s="41" t="s">
        <v>21</v>
      </c>
      <c r="R1282" s="41" t="s">
        <v>16</v>
      </c>
      <c r="S1282" s="41" t="s">
        <v>17</v>
      </c>
      <c r="T1282" s="41" t="s">
        <v>654</v>
      </c>
      <c r="U1282" s="16" t="s">
        <v>13</v>
      </c>
      <c r="V1282" s="16" t="s">
        <v>1083</v>
      </c>
      <c r="W1282" s="19" t="s"/>
      <c r="X1282" s="26" t="s">
        <f>=M1282&amp;N1282&amp;P1282&amp;Q1282&amp;T1282&amp;V1282&amp;S1282</f>
        <v>1404</v>
      </c>
      <c r="Y1282" s="19" t="s"/>
      <c r="Z1282" s="19" t="s"/>
      <c r="AA1282" s="19" t="s"/>
      <c r="AB1282" s="19" t="s"/>
    </row>
    <row r="1283" spans="1:28" ht="14.4">
      <c r="A1283" s="4">
        <f>=H1283/G1283-1</f>
        <v>0.0993788819875776</v>
      </c>
      <c r="B1283" s="20">
        <f>=F1283/12</f>
        <v>13.275</v>
      </c>
      <c r="C1283" s="20">
        <f>=J1283/3</f>
        <v>106.2</v>
      </c>
      <c r="D1283" s="20">
        <f>=K1283/3</f>
        <v>118</v>
      </c>
      <c r="E1283" s="20">
        <f>=L1283/3</f>
        <v>123.9</v>
      </c>
      <c r="F1283" s="20">
        <f>=H1283*0.9</f>
        <v>159.3</v>
      </c>
      <c r="G1283" s="21">
        <v>161</v>
      </c>
      <c r="H1283" s="39">
        <v>177</v>
      </c>
      <c r="I1283" s="40">
        <f>=H1283*1.05</f>
        <v>185.85</v>
      </c>
      <c r="J1283" s="40">
        <f>=F1283*2</f>
        <v>318.6</v>
      </c>
      <c r="K1283" s="40">
        <f>=H1283*2</f>
        <v>354</v>
      </c>
      <c r="L1283" s="40">
        <f>=I1283*2</f>
        <v>371.7</v>
      </c>
      <c r="M1283" s="41" t="s">
        <v>1387</v>
      </c>
      <c r="N1283" s="41">
        <v>0.102</v>
      </c>
      <c r="O1283" s="41" t="s"/>
      <c r="P1283" s="41" t="s">
        <v>21</v>
      </c>
      <c r="Q1283" s="41" t="s">
        <v>21</v>
      </c>
      <c r="R1283" s="41" t="s">
        <v>16</v>
      </c>
      <c r="S1283" s="41" t="s">
        <v>17</v>
      </c>
      <c r="T1283" s="41" t="s">
        <v>654</v>
      </c>
      <c r="U1283" s="16" t="s">
        <v>13</v>
      </c>
      <c r="V1283" s="16" t="s">
        <v>215</v>
      </c>
      <c r="W1283" s="19" t="s"/>
      <c r="X1283" s="26" t="s">
        <f>=M1283&amp;N1283&amp;P1283&amp;Q1283&amp;T1283&amp;V1283&amp;S1283</f>
        <v>1405</v>
      </c>
      <c r="Y1283" s="19" t="s"/>
      <c r="Z1283" s="19" t="s"/>
      <c r="AA1283" s="19" t="s"/>
      <c r="AB1283" s="19" t="s"/>
    </row>
    <row r="1284" spans="1:28" ht="14.4">
      <c r="A1284" s="4">
        <f>=H1284/G1284-1</f>
        <v>0.0981595092024541</v>
      </c>
      <c r="B1284" s="20">
        <f>=F1284/12</f>
        <v>13.425</v>
      </c>
      <c r="C1284" s="20">
        <f>=J1284/3</f>
        <v>107.4</v>
      </c>
      <c r="D1284" s="20">
        <f>=K1284/3</f>
        <v>119.333333333333</v>
      </c>
      <c r="E1284" s="20">
        <f>=L1284/3</f>
        <v>125.3</v>
      </c>
      <c r="F1284" s="20">
        <f>=H1284*0.9</f>
        <v>161.1</v>
      </c>
      <c r="G1284" s="21">
        <v>163</v>
      </c>
      <c r="H1284" s="39">
        <v>179</v>
      </c>
      <c r="I1284" s="40">
        <f>=H1284*1.05</f>
        <v>187.95</v>
      </c>
      <c r="J1284" s="40">
        <f>=F1284*2</f>
        <v>322.2</v>
      </c>
      <c r="K1284" s="40">
        <f>=H1284*2</f>
        <v>358</v>
      </c>
      <c r="L1284" s="40">
        <f>=I1284*2</f>
        <v>375.9</v>
      </c>
      <c r="M1284" s="41" t="s">
        <v>1387</v>
      </c>
      <c r="N1284" s="41">
        <v>0.102</v>
      </c>
      <c r="O1284" s="41" t="s"/>
      <c r="P1284" s="41" t="s">
        <v>21</v>
      </c>
      <c r="Q1284" s="41">
        <v>1</v>
      </c>
      <c r="R1284" s="41" t="s">
        <v>16</v>
      </c>
      <c r="S1284" s="41" t="s">
        <v>17</v>
      </c>
      <c r="T1284" s="41" t="s">
        <v>654</v>
      </c>
      <c r="U1284" s="16" t="s">
        <v>13</v>
      </c>
      <c r="V1284" s="16" t="s">
        <v>215</v>
      </c>
      <c r="W1284" s="19" t="s"/>
      <c r="X1284" s="26" t="s">
        <f>=M1284&amp;N1284&amp;P1284&amp;Q1284&amp;T1284&amp;V1284&amp;S1284</f>
        <v>1406</v>
      </c>
      <c r="Y1284" s="19" t="s"/>
      <c r="Z1284" s="19" t="s"/>
      <c r="AA1284" s="19" t="s"/>
      <c r="AB1284" s="19" t="s"/>
    </row>
    <row r="1285" spans="1:29" ht="14.4">
      <c r="A1285" s="42">
        <f>=H1285/G1285-1</f>
        <v>0.0361990950226245</v>
      </c>
      <c r="B1285" s="43">
        <f>=F1285/12</f>
        <v>17.175</v>
      </c>
      <c r="C1285" s="43">
        <f>=J1285/3</f>
        <v>137.4</v>
      </c>
      <c r="D1285" s="43">
        <f>=K1285/3</f>
        <v>152.666666666667</v>
      </c>
      <c r="E1285" s="43">
        <f>=L1285/3</f>
        <v>160.3</v>
      </c>
      <c r="F1285" s="43">
        <f>=H1285*0.9</f>
        <v>206.1</v>
      </c>
      <c r="G1285" s="27">
        <v>221</v>
      </c>
      <c r="H1285" s="44">
        <v>229</v>
      </c>
      <c r="I1285" s="45">
        <f>=H1285*1.05</f>
        <v>240.45</v>
      </c>
      <c r="J1285" s="45">
        <f>=F1285*2</f>
        <v>412.2</v>
      </c>
      <c r="K1285" s="45">
        <f>=H1285*2</f>
        <v>458</v>
      </c>
      <c r="L1285" s="45">
        <f>=I1285*2</f>
        <v>480.9</v>
      </c>
      <c r="M1285" s="46" t="s">
        <v>1387</v>
      </c>
      <c r="N1285" s="46">
        <v>0.114</v>
      </c>
      <c r="O1285" s="46" t="s"/>
      <c r="P1285" s="46">
        <v>1</v>
      </c>
      <c r="Q1285" s="46">
        <v>1</v>
      </c>
      <c r="R1285" s="46" t="s">
        <v>16</v>
      </c>
      <c r="S1285" s="46" t="s">
        <v>17</v>
      </c>
      <c r="T1285" s="46" t="s">
        <v>23</v>
      </c>
      <c r="U1285" s="13" t="s">
        <v>13</v>
      </c>
      <c r="V1285" s="13" t="s">
        <v>215</v>
      </c>
      <c r="W1285" s="49">
        <v>46185</v>
      </c>
      <c r="X1285" s="18" t="s">
        <f>=M1285&amp;N1285&amp;P1285&amp;Q1285&amp;T1285&amp;V1285&amp;S1285</f>
        <v>1407</v>
      </c>
      <c r="Y1285" s="15" t="s"/>
      <c r="Z1285" s="15" t="s"/>
      <c r="AA1285" s="15" t="s"/>
      <c r="AB1285" s="15" t="s"/>
      <c r="AC1285" s="48" t="s"/>
    </row>
    <row r="1286" spans="1:28" ht="14.4">
      <c r="A1286" s="4">
        <f>=H1286/G1286-1</f>
        <v>0.0995475113122173</v>
      </c>
      <c r="B1286" s="20">
        <f>=F1286/12</f>
        <v>18.225</v>
      </c>
      <c r="C1286" s="20">
        <f>=J1286/3</f>
        <v>145.8</v>
      </c>
      <c r="D1286" s="20">
        <f>=K1286/3</f>
        <v>162</v>
      </c>
      <c r="E1286" s="20">
        <f>=L1286/3</f>
        <v>170.1</v>
      </c>
      <c r="F1286" s="20">
        <f>=H1286*0.9</f>
        <v>218.7</v>
      </c>
      <c r="G1286" s="21">
        <v>221</v>
      </c>
      <c r="H1286" s="39">
        <v>243</v>
      </c>
      <c r="I1286" s="40">
        <f>=H1286*1.05</f>
        <v>255.15</v>
      </c>
      <c r="J1286" s="40">
        <f>=F1286*2</f>
        <v>437.4</v>
      </c>
      <c r="K1286" s="40">
        <f>=H1286*2</f>
        <v>486</v>
      </c>
      <c r="L1286" s="40">
        <f>=I1286*2</f>
        <v>510.3</v>
      </c>
      <c r="M1286" s="41" t="s">
        <v>1387</v>
      </c>
      <c r="N1286" s="41">
        <v>0.114</v>
      </c>
      <c r="O1286" s="41" t="s"/>
      <c r="P1286" s="41">
        <v>1</v>
      </c>
      <c r="Q1286" s="41">
        <v>1</v>
      </c>
      <c r="R1286" s="41" t="s">
        <v>16</v>
      </c>
      <c r="S1286" s="41" t="s">
        <v>17</v>
      </c>
      <c r="T1286" s="41" t="s">
        <v>654</v>
      </c>
      <c r="U1286" s="16" t="s">
        <v>13</v>
      </c>
      <c r="V1286" s="16" t="s">
        <v>215</v>
      </c>
      <c r="W1286" s="19" t="s"/>
      <c r="X1286" s="26" t="s">
        <f>=M1286&amp;N1286&amp;P1286&amp;Q1286&amp;T1286&amp;V1286&amp;S1286</f>
        <v>1408</v>
      </c>
      <c r="Y1286" s="19" t="s"/>
      <c r="Z1286" s="19" t="s"/>
      <c r="AA1286" s="19" t="s"/>
      <c r="AB1286" s="19" t="s"/>
    </row>
    <row r="1287" spans="1:28" ht="14.4">
      <c r="A1287" s="4">
        <f>=H1287/G1287-1</f>
        <v>0.101190476190476</v>
      </c>
      <c r="B1287" s="20">
        <f>=F1287/12</f>
        <v>13.875</v>
      </c>
      <c r="C1287" s="20">
        <f>=J1287/3</f>
        <v>111</v>
      </c>
      <c r="D1287" s="20">
        <f>=K1287/3</f>
        <v>123.333333333333</v>
      </c>
      <c r="E1287" s="20">
        <f>=L1287/3</f>
        <v>129.5</v>
      </c>
      <c r="F1287" s="20">
        <f>=H1287*0.9</f>
        <v>166.5</v>
      </c>
      <c r="G1287" s="21">
        <v>168</v>
      </c>
      <c r="H1287" s="39">
        <v>185</v>
      </c>
      <c r="I1287" s="40">
        <f>=H1287*1.05</f>
        <v>194.25</v>
      </c>
      <c r="J1287" s="40">
        <f>=F1287*2</f>
        <v>333</v>
      </c>
      <c r="K1287" s="40">
        <f>=H1287*2</f>
        <v>370</v>
      </c>
      <c r="L1287" s="40">
        <f>=I1287*2</f>
        <v>388.5</v>
      </c>
      <c r="M1287" s="41" t="s">
        <v>1387</v>
      </c>
      <c r="N1287" s="41">
        <v>0.127</v>
      </c>
      <c r="O1287" s="41" t="s"/>
      <c r="P1287" s="41">
        <v>1</v>
      </c>
      <c r="Q1287" s="41">
        <v>1</v>
      </c>
      <c r="R1287" s="41" t="s">
        <v>16</v>
      </c>
      <c r="S1287" s="41" t="s">
        <v>17</v>
      </c>
      <c r="T1287" s="41" t="s">
        <v>1080</v>
      </c>
      <c r="U1287" s="16" t="s">
        <v>13</v>
      </c>
      <c r="V1287" s="16" t="s">
        <v>215</v>
      </c>
      <c r="W1287" s="19" t="s"/>
      <c r="X1287" s="26" t="s">
        <f>=M1287&amp;N1287&amp;P1287&amp;Q1287&amp;T1287&amp;V1287&amp;S1287</f>
        <v>1409</v>
      </c>
      <c r="Y1287" s="19" t="s"/>
      <c r="Z1287" s="19" t="s"/>
      <c r="AA1287" s="19" t="s"/>
      <c r="AB1287" s="19" t="s"/>
    </row>
    <row r="1288" spans="1:28" ht="14.4">
      <c r="A1288" s="4">
        <f>=H1288/G1288-1</f>
        <v>0.0982658959537573</v>
      </c>
      <c r="B1288" s="20">
        <f>=F1288/12</f>
        <v>14.25</v>
      </c>
      <c r="C1288" s="20">
        <f>=J1288/3</f>
        <v>114</v>
      </c>
      <c r="D1288" s="20">
        <f>=K1288/3</f>
        <v>126.666666666667</v>
      </c>
      <c r="E1288" s="20">
        <f>=L1288/3</f>
        <v>133</v>
      </c>
      <c r="F1288" s="20">
        <f>=H1288*0.9</f>
        <v>171</v>
      </c>
      <c r="G1288" s="21">
        <v>173</v>
      </c>
      <c r="H1288" s="39">
        <v>190</v>
      </c>
      <c r="I1288" s="40">
        <f>=H1288*1.05</f>
        <v>199.5</v>
      </c>
      <c r="J1288" s="40">
        <f>=F1288*2</f>
        <v>342</v>
      </c>
      <c r="K1288" s="40">
        <f>=H1288*2</f>
        <v>380</v>
      </c>
      <c r="L1288" s="40">
        <f>=I1288*2</f>
        <v>399</v>
      </c>
      <c r="M1288" s="41" t="s">
        <v>1387</v>
      </c>
      <c r="N1288" s="41">
        <v>0.127</v>
      </c>
      <c r="O1288" s="41" t="s"/>
      <c r="P1288" s="41">
        <v>1</v>
      </c>
      <c r="Q1288" s="41">
        <v>1</v>
      </c>
      <c r="R1288" s="41" t="s">
        <v>16</v>
      </c>
      <c r="S1288" s="41" t="s">
        <v>17</v>
      </c>
      <c r="T1288" s="41" t="s">
        <v>1080</v>
      </c>
      <c r="U1288" s="16" t="s">
        <v>13</v>
      </c>
      <c r="V1288" s="16" t="s">
        <v>1083</v>
      </c>
      <c r="W1288" s="19" t="s"/>
      <c r="X1288" s="26" t="s">
        <f>=M1288&amp;N1288&amp;P1288&amp;Q1288&amp;T1288&amp;V1288&amp;S1288</f>
        <v>1410</v>
      </c>
      <c r="Y1288" s="19" t="s"/>
      <c r="Z1288" s="19" t="s"/>
      <c r="AA1288" s="19" t="s"/>
      <c r="AB1288" s="19" t="s"/>
    </row>
    <row r="1289" spans="1:28" ht="14.4">
      <c r="A1289" s="4">
        <f>=H1289/G1289-1</f>
        <v>0.0988593155893536</v>
      </c>
      <c r="B1289" s="20">
        <f>=F1289/12</f>
        <v>21.675</v>
      </c>
      <c r="C1289" s="20">
        <f>=J1289/3</f>
        <v>173.4</v>
      </c>
      <c r="D1289" s="20">
        <f>=K1289/3</f>
        <v>192.666666666667</v>
      </c>
      <c r="E1289" s="20">
        <f>=L1289/3</f>
        <v>202.3</v>
      </c>
      <c r="F1289" s="20">
        <f>=H1289*0.9</f>
        <v>260.1</v>
      </c>
      <c r="G1289" s="21">
        <v>263</v>
      </c>
      <c r="H1289" s="39">
        <v>289</v>
      </c>
      <c r="I1289" s="40">
        <f>=H1289*1.05</f>
        <v>303.45</v>
      </c>
      <c r="J1289" s="40">
        <f>=F1289*2</f>
        <v>520.2</v>
      </c>
      <c r="K1289" s="40">
        <f>=H1289*2</f>
        <v>578</v>
      </c>
      <c r="L1289" s="40">
        <f>=I1289*2</f>
        <v>606.9</v>
      </c>
      <c r="M1289" s="41" t="s">
        <v>1387</v>
      </c>
      <c r="N1289" s="41">
        <v>0.127</v>
      </c>
      <c r="O1289" s="41" t="s"/>
      <c r="P1289" s="41">
        <v>2</v>
      </c>
      <c r="Q1289" s="41">
        <v>2</v>
      </c>
      <c r="R1289" s="41" t="s">
        <v>16</v>
      </c>
      <c r="S1289" s="41" t="s">
        <v>17</v>
      </c>
      <c r="T1289" s="41" t="s">
        <v>1080</v>
      </c>
      <c r="U1289" s="16" t="s">
        <v>13</v>
      </c>
      <c r="V1289" s="16" t="s">
        <v>215</v>
      </c>
      <c r="W1289" s="19" t="s"/>
      <c r="X1289" s="26" t="s">
        <f>=M1289&amp;N1289&amp;P1289&amp;Q1289&amp;T1289&amp;V1289&amp;S1289</f>
        <v>1411</v>
      </c>
      <c r="Y1289" s="56" t="s"/>
      <c r="Z1289" s="56" t="s"/>
      <c r="AA1289" s="56" t="s"/>
      <c r="AB1289" s="56" t="s"/>
    </row>
    <row r="1290" spans="1:28" ht="14.4">
      <c r="A1290" s="4">
        <f>=H1290/G1290-1</f>
        <v>0.100719424460432</v>
      </c>
      <c r="B1290" s="20">
        <f>=F1290/12</f>
        <v>11.475</v>
      </c>
      <c r="C1290" s="20">
        <f>=J1290/3</f>
        <v>91.8</v>
      </c>
      <c r="D1290" s="20">
        <f>=K1290/3</f>
        <v>102</v>
      </c>
      <c r="E1290" s="20">
        <f>=L1290/3</f>
        <v>107.1</v>
      </c>
      <c r="F1290" s="20">
        <f>=H1290*0.9</f>
        <v>137.7</v>
      </c>
      <c r="G1290" s="21">
        <v>139</v>
      </c>
      <c r="H1290" s="39">
        <v>153</v>
      </c>
      <c r="I1290" s="40">
        <f>=H1290*1.05</f>
        <v>160.65</v>
      </c>
      <c r="J1290" s="40">
        <f>=F1290*2</f>
        <v>275.4</v>
      </c>
      <c r="K1290" s="40">
        <f>=H1290*2</f>
        <v>306</v>
      </c>
      <c r="L1290" s="40">
        <f>=I1290*2</f>
        <v>321.3</v>
      </c>
      <c r="M1290" s="41" t="s">
        <v>1387</v>
      </c>
      <c r="N1290" s="41">
        <v>0.127</v>
      </c>
      <c r="O1290" s="41" t="s"/>
      <c r="P1290" s="41" t="s">
        <v>21</v>
      </c>
      <c r="Q1290" s="41" t="s">
        <v>21</v>
      </c>
      <c r="R1290" s="41" t="s">
        <v>16</v>
      </c>
      <c r="S1290" s="41" t="s">
        <v>17</v>
      </c>
      <c r="T1290" s="41" t="s">
        <v>1080</v>
      </c>
      <c r="U1290" s="16" t="s">
        <v>13</v>
      </c>
      <c r="V1290" s="16" t="s">
        <v>215</v>
      </c>
      <c r="W1290" s="19" t="s"/>
      <c r="X1290" s="26" t="s">
        <f>=M1290&amp;N1290&amp;P1290&amp;Q1290&amp;T1290&amp;V1290&amp;S1290</f>
        <v>1412</v>
      </c>
      <c r="Y1290" s="56" t="s"/>
      <c r="Z1290" s="56" t="s"/>
      <c r="AA1290" s="56" t="s"/>
      <c r="AB1290" s="56" t="s"/>
    </row>
    <row r="1291" spans="1:28" ht="14.4">
      <c r="A1291" s="4">
        <f>=H1291/G1291-1</f>
        <v>0.100671140939597</v>
      </c>
      <c r="B1291" s="20">
        <f>=F1291/12</f>
        <v>12.3</v>
      </c>
      <c r="C1291" s="20">
        <f>=J1291/3</f>
        <v>98.4</v>
      </c>
      <c r="D1291" s="20">
        <f>=K1291/3</f>
        <v>109.333333333333</v>
      </c>
      <c r="E1291" s="20">
        <f>=L1291/3</f>
        <v>114.8</v>
      </c>
      <c r="F1291" s="20">
        <f>=H1291*0.9</f>
        <v>147.6</v>
      </c>
      <c r="G1291" s="21">
        <v>149</v>
      </c>
      <c r="H1291" s="39">
        <v>164</v>
      </c>
      <c r="I1291" s="40">
        <f>=H1291*1.05</f>
        <v>172.2</v>
      </c>
      <c r="J1291" s="40">
        <f>=F1291*2</f>
        <v>295.2</v>
      </c>
      <c r="K1291" s="40">
        <f>=H1291*2</f>
        <v>328</v>
      </c>
      <c r="L1291" s="40">
        <f>=I1291*2</f>
        <v>344.4</v>
      </c>
      <c r="M1291" s="41" t="s">
        <v>1387</v>
      </c>
      <c r="N1291" s="41">
        <v>0.127</v>
      </c>
      <c r="O1291" s="41" t="s"/>
      <c r="P1291" s="41" t="s">
        <v>21</v>
      </c>
      <c r="Q1291" s="41" t="s">
        <v>21</v>
      </c>
      <c r="R1291" s="41" t="s">
        <v>16</v>
      </c>
      <c r="S1291" s="41" t="s">
        <v>17</v>
      </c>
      <c r="T1291" s="41" t="s">
        <v>1080</v>
      </c>
      <c r="U1291" s="16" t="s">
        <v>13</v>
      </c>
      <c r="V1291" s="16" t="s">
        <v>1083</v>
      </c>
      <c r="W1291" s="19" t="s"/>
      <c r="X1291" s="26" t="s">
        <f>=M1291&amp;N1291&amp;P1291&amp;Q1291&amp;T1291&amp;V1291&amp;S1291</f>
        <v>1413</v>
      </c>
      <c r="Y1291" s="56" t="s"/>
      <c r="Z1291" s="56" t="s"/>
      <c r="AA1291" s="56" t="s"/>
      <c r="AB1291" s="56" t="s"/>
    </row>
    <row r="1292" spans="1:29" ht="14.4">
      <c r="A1292" s="42">
        <f>=H1292/G1292-1</f>
        <v>0.342281879194631</v>
      </c>
      <c r="B1292" s="43">
        <f>=F1292/12</f>
        <v>15</v>
      </c>
      <c r="C1292" s="43">
        <f>=J1292/3</f>
        <v>120</v>
      </c>
      <c r="D1292" s="43">
        <f>=K1292/3</f>
        <v>133.333333333333</v>
      </c>
      <c r="E1292" s="43">
        <f>=L1292/3</f>
        <v>140</v>
      </c>
      <c r="F1292" s="43">
        <f>=H1292*0.9</f>
        <v>180</v>
      </c>
      <c r="G1292" s="27">
        <v>149</v>
      </c>
      <c r="H1292" s="44">
        <v>200</v>
      </c>
      <c r="I1292" s="45">
        <f>=H1292*1.05</f>
        <v>210</v>
      </c>
      <c r="J1292" s="45">
        <f>=F1292*2</f>
        <v>360</v>
      </c>
      <c r="K1292" s="45">
        <f>=H1292*2</f>
        <v>400</v>
      </c>
      <c r="L1292" s="45">
        <f>=I1292*2</f>
        <v>420</v>
      </c>
      <c r="M1292" s="46" t="s">
        <v>1387</v>
      </c>
      <c r="N1292" s="46">
        <v>0.127</v>
      </c>
      <c r="O1292" s="46" t="s"/>
      <c r="P1292" s="46" t="s">
        <v>21</v>
      </c>
      <c r="Q1292" s="46" t="s">
        <v>21</v>
      </c>
      <c r="R1292" s="46" t="s">
        <v>16</v>
      </c>
      <c r="S1292" s="46" t="s">
        <v>17</v>
      </c>
      <c r="T1292" s="46" t="s">
        <v>43</v>
      </c>
      <c r="U1292" s="13" t="s">
        <v>13</v>
      </c>
      <c r="V1292" s="11" t="s">
        <v>215</v>
      </c>
      <c r="W1292" s="49">
        <v>46185</v>
      </c>
      <c r="X1292" s="18" t="s">
        <f>=M1292&amp;N1292&amp;P1292&amp;Q1292&amp;T1292&amp;V1292&amp;S1292</f>
        <v>1414</v>
      </c>
      <c r="Y1292" s="128" t="s"/>
      <c r="Z1292" s="128" t="s"/>
      <c r="AA1292" s="128" t="s"/>
      <c r="AB1292" s="128" t="s"/>
      <c r="AC1292" s="48" t="s"/>
    </row>
    <row r="1293" spans="1:29" ht="14.4">
      <c r="A1293" s="42">
        <f>=H1293/G1293-1</f>
        <v>0.449664429530201</v>
      </c>
      <c r="B1293" s="43">
        <f>=F1293/12</f>
        <v>16.2</v>
      </c>
      <c r="C1293" s="43">
        <f>=J1293/3</f>
        <v>129.6</v>
      </c>
      <c r="D1293" s="43">
        <f>=K1293/3</f>
        <v>144</v>
      </c>
      <c r="E1293" s="43">
        <f>=L1293/3</f>
        <v>151.2</v>
      </c>
      <c r="F1293" s="43">
        <f>=H1293*0.9</f>
        <v>194.4</v>
      </c>
      <c r="G1293" s="27">
        <v>149</v>
      </c>
      <c r="H1293" s="44">
        <v>216</v>
      </c>
      <c r="I1293" s="45">
        <f>=H1293*1.05</f>
        <v>226.8</v>
      </c>
      <c r="J1293" s="45">
        <f>=F1293*2</f>
        <v>388.8</v>
      </c>
      <c r="K1293" s="45">
        <f>=H1293*2</f>
        <v>432</v>
      </c>
      <c r="L1293" s="45">
        <f>=I1293*2</f>
        <v>453.6</v>
      </c>
      <c r="M1293" s="46" t="s">
        <v>1387</v>
      </c>
      <c r="N1293" s="46">
        <v>0.127</v>
      </c>
      <c r="O1293" s="46" t="s"/>
      <c r="P1293" s="46" t="s">
        <v>21</v>
      </c>
      <c r="Q1293" s="46" t="s">
        <v>21</v>
      </c>
      <c r="R1293" s="46" t="s">
        <v>16</v>
      </c>
      <c r="S1293" s="46" t="s">
        <v>17</v>
      </c>
      <c r="T1293" s="46" t="s">
        <v>43</v>
      </c>
      <c r="U1293" s="13" t="s">
        <v>13</v>
      </c>
      <c r="V1293" s="11" t="s">
        <v>1083</v>
      </c>
      <c r="W1293" s="49">
        <v>46185</v>
      </c>
      <c r="X1293" s="18" t="s">
        <f>=M1293&amp;N1293&amp;P1293&amp;Q1293&amp;T1293&amp;V1293&amp;S1293</f>
        <v>1415</v>
      </c>
      <c r="Y1293" s="128" t="s"/>
      <c r="Z1293" s="128" t="s"/>
      <c r="AA1293" s="128" t="s"/>
      <c r="AB1293" s="128" t="s"/>
      <c r="AC1293" s="48" t="s"/>
    </row>
    <row r="1294" spans="1:29" ht="14.4">
      <c r="A1294" s="42">
        <f>=H1294/G1294-1</f>
        <v>0.644295302013423</v>
      </c>
      <c r="B1294" s="43">
        <f>=F1294/12</f>
        <v>18.375</v>
      </c>
      <c r="C1294" s="43">
        <f>=J1294/3</f>
        <v>147</v>
      </c>
      <c r="D1294" s="43">
        <f>=K1294/3</f>
        <v>163.333333333333</v>
      </c>
      <c r="E1294" s="43">
        <f>=L1294/3</f>
        <v>171.5</v>
      </c>
      <c r="F1294" s="43">
        <f>=H1294*0.9</f>
        <v>220.5</v>
      </c>
      <c r="G1294" s="27">
        <v>149</v>
      </c>
      <c r="H1294" s="44">
        <v>245</v>
      </c>
      <c r="I1294" s="45">
        <f>=H1294*1.05</f>
        <v>257.25</v>
      </c>
      <c r="J1294" s="45">
        <f>=F1294*2</f>
        <v>441</v>
      </c>
      <c r="K1294" s="45">
        <f>=H1294*2</f>
        <v>490</v>
      </c>
      <c r="L1294" s="45">
        <f>=I1294*2</f>
        <v>514.5</v>
      </c>
      <c r="M1294" s="46" t="s">
        <v>1387</v>
      </c>
      <c r="N1294" s="46">
        <v>0.127</v>
      </c>
      <c r="O1294" s="46" t="s"/>
      <c r="P1294" s="46">
        <v>1</v>
      </c>
      <c r="Q1294" s="46">
        <v>1</v>
      </c>
      <c r="R1294" s="46" t="s">
        <v>16</v>
      </c>
      <c r="S1294" s="46" t="s">
        <v>17</v>
      </c>
      <c r="T1294" s="46" t="s">
        <v>43</v>
      </c>
      <c r="U1294" s="13" t="s">
        <v>13</v>
      </c>
      <c r="V1294" s="13" t="s">
        <v>1083</v>
      </c>
      <c r="W1294" s="47">
        <v>46185</v>
      </c>
      <c r="X1294" s="18" t="s">
        <f>=M1294&amp;N1294&amp;P1294&amp;Q1294&amp;T1294&amp;V1294&amp;S1294</f>
        <v>1416</v>
      </c>
      <c r="Y1294" s="128" t="s"/>
      <c r="Z1294" s="128" t="s"/>
      <c r="AA1294" s="128" t="s"/>
      <c r="AB1294" s="128" t="s"/>
      <c r="AC1294" s="48" t="s"/>
    </row>
    <row r="1295" spans="1:28" ht="14.4">
      <c r="A1295" s="4">
        <f>=H1295/G1295-1</f>
        <v>0.0984848484848484</v>
      </c>
      <c r="B1295" s="20">
        <f>=F1295/12</f>
        <v>21.75</v>
      </c>
      <c r="C1295" s="20">
        <f>=J1295/3</f>
        <v>174</v>
      </c>
      <c r="D1295" s="20">
        <f>=K1295/3</f>
        <v>193.333333333333</v>
      </c>
      <c r="E1295" s="20">
        <f>=L1295/3</f>
        <v>203</v>
      </c>
      <c r="F1295" s="20">
        <f>=H1295*0.9</f>
        <v>261</v>
      </c>
      <c r="G1295" s="21">
        <v>264</v>
      </c>
      <c r="H1295" s="39">
        <v>290</v>
      </c>
      <c r="I1295" s="40">
        <f>=H1295*1.05</f>
        <v>304.5</v>
      </c>
      <c r="J1295" s="40">
        <f>=F1295*2</f>
        <v>522</v>
      </c>
      <c r="K1295" s="40">
        <f>=H1295*2</f>
        <v>580</v>
      </c>
      <c r="L1295" s="40">
        <f>=I1295*2</f>
        <v>609</v>
      </c>
      <c r="M1295" s="41" t="s">
        <v>1387</v>
      </c>
      <c r="N1295" s="41">
        <v>0.132</v>
      </c>
      <c r="O1295" s="41" t="s"/>
      <c r="P1295" s="41">
        <v>1</v>
      </c>
      <c r="Q1295" s="41">
        <v>1</v>
      </c>
      <c r="R1295" s="41" t="s">
        <v>16</v>
      </c>
      <c r="S1295" s="41" t="s">
        <v>17</v>
      </c>
      <c r="T1295" s="41" t="s">
        <v>43</v>
      </c>
      <c r="U1295" s="16" t="s">
        <v>13</v>
      </c>
      <c r="V1295" s="16" t="s">
        <v>215</v>
      </c>
      <c r="W1295" s="19" t="s"/>
      <c r="X1295" s="26" t="s">
        <f>=M1295&amp;N1295&amp;P1295&amp;Q1295&amp;T1295&amp;V1295&amp;S1295</f>
        <v>1417</v>
      </c>
      <c r="Y1295" s="56" t="s"/>
      <c r="Z1295" s="56" t="s"/>
      <c r="AA1295" s="56" t="s"/>
      <c r="AB1295" s="56" t="s"/>
    </row>
    <row r="1296" spans="1:28" ht="14.4">
      <c r="A1296" s="4">
        <f>=H1296/G1296-1</f>
        <v>0.100719424460432</v>
      </c>
      <c r="B1296" s="20">
        <f>=F1296/12</f>
        <v>22.95</v>
      </c>
      <c r="C1296" s="20">
        <f>=J1296/3</f>
        <v>183.6</v>
      </c>
      <c r="D1296" s="20">
        <f>=K1296/3</f>
        <v>204</v>
      </c>
      <c r="E1296" s="20">
        <f>=L1296/3</f>
        <v>214.2</v>
      </c>
      <c r="F1296" s="20">
        <f>=H1296*0.9</f>
        <v>275.4</v>
      </c>
      <c r="G1296" s="21">
        <v>278</v>
      </c>
      <c r="H1296" s="39">
        <v>306</v>
      </c>
      <c r="I1296" s="40">
        <f>=H1296*1.05</f>
        <v>321.3</v>
      </c>
      <c r="J1296" s="40">
        <f>=F1296*2</f>
        <v>550.8</v>
      </c>
      <c r="K1296" s="40">
        <f>=H1296*2</f>
        <v>612</v>
      </c>
      <c r="L1296" s="40">
        <f>=I1296*2</f>
        <v>642.6</v>
      </c>
      <c r="M1296" s="41" t="s">
        <v>1387</v>
      </c>
      <c r="N1296" s="41">
        <v>0.152</v>
      </c>
      <c r="O1296" s="41" t="s"/>
      <c r="P1296" s="41">
        <v>1</v>
      </c>
      <c r="Q1296" s="41">
        <v>1</v>
      </c>
      <c r="R1296" s="41" t="s">
        <v>16</v>
      </c>
      <c r="S1296" s="41" t="s">
        <v>17</v>
      </c>
      <c r="T1296" s="41" t="s">
        <v>43</v>
      </c>
      <c r="U1296" s="16" t="s">
        <v>13</v>
      </c>
      <c r="V1296" s="16" t="s">
        <v>1083</v>
      </c>
      <c r="W1296" s="56" t="s"/>
      <c r="X1296" s="26" t="s">
        <f>=M1296&amp;N1296&amp;P1296&amp;Q1296&amp;T1296&amp;V1296&amp;S1296</f>
        <v>1418</v>
      </c>
      <c r="Y1296" s="56" t="s"/>
      <c r="Z1296" s="56" t="s"/>
      <c r="AA1296" s="56" t="s"/>
      <c r="AB1296" s="56" t="s"/>
    </row>
    <row r="1297" spans="1:28" ht="14.4">
      <c r="A1297" s="4">
        <f>=H1297/G1297-1</f>
        <v>0.101818181818182</v>
      </c>
      <c r="B1297" s="20">
        <f>=F1297/12</f>
        <v>22.725</v>
      </c>
      <c r="C1297" s="20">
        <f>=J1297/3</f>
        <v>181.8</v>
      </c>
      <c r="D1297" s="20">
        <f>=K1297/3</f>
        <v>202</v>
      </c>
      <c r="E1297" s="20">
        <f>=L1297/3</f>
        <v>212.1</v>
      </c>
      <c r="F1297" s="20">
        <f>=H1297*0.9</f>
        <v>272.7</v>
      </c>
      <c r="G1297" s="21">
        <v>275</v>
      </c>
      <c r="H1297" s="39">
        <v>303</v>
      </c>
      <c r="I1297" s="40">
        <f>=H1297*1.05</f>
        <v>318.15</v>
      </c>
      <c r="J1297" s="40">
        <f>=F1297*2</f>
        <v>545.4</v>
      </c>
      <c r="K1297" s="40">
        <f>=H1297*2</f>
        <v>606</v>
      </c>
      <c r="L1297" s="40">
        <f>=I1297*2</f>
        <v>636.3</v>
      </c>
      <c r="M1297" s="41" t="s">
        <v>1387</v>
      </c>
      <c r="N1297" s="41">
        <v>0.152</v>
      </c>
      <c r="O1297" s="41" t="s"/>
      <c r="P1297" s="41">
        <v>1</v>
      </c>
      <c r="Q1297" s="41">
        <v>1</v>
      </c>
      <c r="R1297" s="41" t="s">
        <v>16</v>
      </c>
      <c r="S1297" s="41" t="s">
        <v>17</v>
      </c>
      <c r="T1297" s="41" t="s">
        <v>43</v>
      </c>
      <c r="U1297" s="16" t="s">
        <v>13</v>
      </c>
      <c r="V1297" s="16" t="s">
        <v>215</v>
      </c>
      <c r="W1297" s="56" t="s"/>
      <c r="X1297" s="26" t="s">
        <f>=M1297&amp;N1297&amp;P1297&amp;Q1297&amp;T1297&amp;V1297&amp;S1297</f>
        <v>1419</v>
      </c>
      <c r="Y1297" s="56" t="s"/>
      <c r="Z1297" s="56" t="s"/>
      <c r="AA1297" s="56" t="s"/>
      <c r="AB1297" s="56" t="s"/>
    </row>
    <row r="1298" spans="1:28" ht="14.4">
      <c r="A1298" s="4">
        <f>=H1298/G1298-1</f>
        <v>0.0981595092024541</v>
      </c>
      <c r="B1298" s="20">
        <f>=F1298/12</f>
        <v>13.425</v>
      </c>
      <c r="C1298" s="20">
        <f>=J1298/3</f>
        <v>107.4</v>
      </c>
      <c r="D1298" s="20">
        <f>=K1298/3</f>
        <v>119.333333333333</v>
      </c>
      <c r="E1298" s="20">
        <f>=L1298/3</f>
        <v>125.3</v>
      </c>
      <c r="F1298" s="20">
        <f>=H1298*0.9</f>
        <v>161.1</v>
      </c>
      <c r="G1298" s="21">
        <v>163</v>
      </c>
      <c r="H1298" s="39">
        <v>179</v>
      </c>
      <c r="I1298" s="40">
        <f>=H1298*1.05</f>
        <v>187.95</v>
      </c>
      <c r="J1298" s="40">
        <f>=F1298*2</f>
        <v>322.2</v>
      </c>
      <c r="K1298" s="40">
        <f>=H1298*2</f>
        <v>358</v>
      </c>
      <c r="L1298" s="40">
        <f>=I1298*2</f>
        <v>375.9</v>
      </c>
      <c r="M1298" s="41" t="s">
        <v>1387</v>
      </c>
      <c r="N1298" s="41">
        <v>0.152</v>
      </c>
      <c r="O1298" s="41" t="s"/>
      <c r="P1298" s="41" t="s">
        <v>21</v>
      </c>
      <c r="Q1298" s="41" t="s">
        <v>21</v>
      </c>
      <c r="R1298" s="41" t="s">
        <v>16</v>
      </c>
      <c r="S1298" s="41" t="s">
        <v>17</v>
      </c>
      <c r="T1298" s="41" t="s">
        <v>43</v>
      </c>
      <c r="U1298" s="16" t="s">
        <v>13</v>
      </c>
      <c r="V1298" s="16" t="s">
        <v>215</v>
      </c>
      <c r="W1298" s="56" t="s"/>
      <c r="X1298" s="26" t="s">
        <f>=M1298&amp;N1298&amp;P1298&amp;Q1298&amp;T1298&amp;V1298&amp;S1298</f>
        <v>1420</v>
      </c>
      <c r="Y1298" s="19" t="s"/>
      <c r="Z1298" s="19" t="s"/>
      <c r="AA1298" s="19" t="s"/>
      <c r="AB1298" s="19" t="s"/>
    </row>
    <row r="1299" spans="1:28" ht="14.4">
      <c r="A1299" s="4">
        <f>=H1299/G1299-1</f>
        <v>0.0996441281138789</v>
      </c>
      <c r="B1299" s="20">
        <f>=F1299/12</f>
        <v>23.175</v>
      </c>
      <c r="C1299" s="20">
        <f>=J1299/3</f>
        <v>185.4</v>
      </c>
      <c r="D1299" s="20">
        <f>=K1299/3</f>
        <v>206</v>
      </c>
      <c r="E1299" s="20">
        <f>=L1299/3</f>
        <v>216.3</v>
      </c>
      <c r="F1299" s="20">
        <f>=H1299*0.9</f>
        <v>278.1</v>
      </c>
      <c r="G1299" s="21">
        <v>281</v>
      </c>
      <c r="H1299" s="39">
        <v>309</v>
      </c>
      <c r="I1299" s="40">
        <f>=H1299*1.05</f>
        <v>324.45</v>
      </c>
      <c r="J1299" s="40">
        <f>=F1299*2</f>
        <v>556.2</v>
      </c>
      <c r="K1299" s="40">
        <f>=H1299*2</f>
        <v>618</v>
      </c>
      <c r="L1299" s="40">
        <f>=I1299*2</f>
        <v>648.9</v>
      </c>
      <c r="M1299" s="41" t="s">
        <v>1387</v>
      </c>
      <c r="N1299" s="41">
        <v>0.152</v>
      </c>
      <c r="O1299" s="41" t="s"/>
      <c r="P1299" s="41">
        <v>1</v>
      </c>
      <c r="Q1299" s="41">
        <v>1</v>
      </c>
      <c r="R1299" s="41" t="s">
        <v>16</v>
      </c>
      <c r="S1299" s="41" t="s">
        <v>17</v>
      </c>
      <c r="T1299" s="41" t="s">
        <v>1080</v>
      </c>
      <c r="U1299" s="16" t="s">
        <v>13</v>
      </c>
      <c r="V1299" s="131" t="s">
        <v>1083</v>
      </c>
      <c r="W1299" s="56" t="s"/>
      <c r="X1299" s="26" t="s">
        <f>=M1299&amp;N1299&amp;P1299&amp;Q1299&amp;T1299&amp;V1299&amp;S1299</f>
        <v>1421</v>
      </c>
      <c r="Y1299" s="19" t="s"/>
      <c r="Z1299" s="19" t="s"/>
      <c r="AA1299" s="19" t="s"/>
      <c r="AB1299" s="19" t="s"/>
    </row>
    <row r="1300" spans="1:28" ht="14.4">
      <c r="A1300" s="4">
        <f>=H1300/G1300-1</f>
        <v>0.0986394557823129</v>
      </c>
      <c r="B1300" s="20">
        <f>=F1300/12</f>
        <v>24.225</v>
      </c>
      <c r="C1300" s="20">
        <f>=J1300/3</f>
        <v>193.8</v>
      </c>
      <c r="D1300" s="20">
        <f>=K1300/3</f>
        <v>215.333333333333</v>
      </c>
      <c r="E1300" s="20">
        <f>=L1300/3</f>
        <v>226.1</v>
      </c>
      <c r="F1300" s="20">
        <f>=H1300*0.9</f>
        <v>290.7</v>
      </c>
      <c r="G1300" s="21">
        <v>294</v>
      </c>
      <c r="H1300" s="39">
        <v>323</v>
      </c>
      <c r="I1300" s="40">
        <f>=H1300*1.05</f>
        <v>339.15</v>
      </c>
      <c r="J1300" s="40">
        <f>=F1300*2</f>
        <v>581.4</v>
      </c>
      <c r="K1300" s="40">
        <f>=H1300*2</f>
        <v>646</v>
      </c>
      <c r="L1300" s="40">
        <f>=I1300*2</f>
        <v>678.3</v>
      </c>
      <c r="M1300" s="41" t="s">
        <v>1387</v>
      </c>
      <c r="N1300" s="41">
        <v>0.178</v>
      </c>
      <c r="O1300" s="41" t="s"/>
      <c r="P1300" s="41">
        <v>1</v>
      </c>
      <c r="Q1300" s="41">
        <v>1</v>
      </c>
      <c r="R1300" s="41" t="s">
        <v>16</v>
      </c>
      <c r="S1300" s="41" t="s">
        <v>17</v>
      </c>
      <c r="T1300" s="41" t="s">
        <v>689</v>
      </c>
      <c r="U1300" s="16" t="s">
        <v>13</v>
      </c>
      <c r="V1300" s="16" t="s">
        <v>215</v>
      </c>
      <c r="W1300" s="56" t="s"/>
      <c r="X1300" s="26" t="s">
        <f>=M1300&amp;N1300&amp;P1300&amp;Q1300&amp;T1300&amp;V1300&amp;S1300</f>
        <v>1422</v>
      </c>
      <c r="Y1300" s="19" t="s"/>
      <c r="Z1300" s="19" t="s"/>
      <c r="AA1300" s="19" t="s"/>
      <c r="AB1300" s="19" t="s"/>
    </row>
    <row r="1301" spans="1:28" ht="14.4">
      <c r="A1301" s="4">
        <f>=H1301/G1301-1</f>
        <v>0.0978260869565217</v>
      </c>
      <c r="B1301" s="20">
        <f>=F1301/12</f>
        <v>15.15</v>
      </c>
      <c r="C1301" s="20">
        <f>=J1301/3</f>
        <v>121.2</v>
      </c>
      <c r="D1301" s="20">
        <f>=K1301/3</f>
        <v>134.666666666667</v>
      </c>
      <c r="E1301" s="20">
        <f>=L1301/3</f>
        <v>141.4</v>
      </c>
      <c r="F1301" s="20">
        <f>=H1301*0.9</f>
        <v>181.8</v>
      </c>
      <c r="G1301" s="21">
        <v>184</v>
      </c>
      <c r="H1301" s="39">
        <v>202</v>
      </c>
      <c r="I1301" s="40">
        <f>=H1301*1.05</f>
        <v>212.1</v>
      </c>
      <c r="J1301" s="40">
        <f>=F1301*2</f>
        <v>363.6</v>
      </c>
      <c r="K1301" s="40">
        <f>=H1301*2</f>
        <v>404</v>
      </c>
      <c r="L1301" s="40">
        <f>=I1301*2</f>
        <v>424.2</v>
      </c>
      <c r="M1301" s="41" t="s">
        <v>1387</v>
      </c>
      <c r="N1301" s="41">
        <v>0.203</v>
      </c>
      <c r="O1301" s="41" t="s"/>
      <c r="P1301" s="41">
        <v>1</v>
      </c>
      <c r="Q1301" s="41">
        <v>1</v>
      </c>
      <c r="R1301" s="41" t="s">
        <v>16</v>
      </c>
      <c r="S1301" s="41" t="s">
        <v>17</v>
      </c>
      <c r="T1301" s="41" t="s">
        <v>689</v>
      </c>
      <c r="U1301" s="16" t="s">
        <v>13</v>
      </c>
      <c r="V1301" s="16" t="s">
        <v>19</v>
      </c>
      <c r="W1301" s="56" t="s"/>
      <c r="X1301" s="26" t="s">
        <f>=M1301&amp;N1301&amp;P1301&amp;Q1301&amp;T1301&amp;V1301&amp;S1301</f>
        <v>1423</v>
      </c>
      <c r="Y1301" s="19" t="s"/>
      <c r="Z1301" s="19" t="s"/>
      <c r="AA1301" s="19" t="s"/>
      <c r="AB1301" s="19" t="s"/>
    </row>
    <row r="1302" spans="1:28" ht="14.4">
      <c r="A1302" s="4">
        <f>=H1302/G1302-1</f>
        <v>0.101522842639594</v>
      </c>
      <c r="B1302" s="20">
        <f>=F1302/12</f>
        <v>16.275</v>
      </c>
      <c r="C1302" s="20">
        <f>=J1302/3</f>
        <v>130.2</v>
      </c>
      <c r="D1302" s="20">
        <f>=K1302/3</f>
        <v>144.666666666667</v>
      </c>
      <c r="E1302" s="20">
        <f>=L1302/3</f>
        <v>151.9</v>
      </c>
      <c r="F1302" s="20">
        <f>=H1302*0.9</f>
        <v>195.3</v>
      </c>
      <c r="G1302" s="21">
        <v>197</v>
      </c>
      <c r="H1302" s="39">
        <v>217</v>
      </c>
      <c r="I1302" s="40">
        <f>=H1302*1.05</f>
        <v>227.85</v>
      </c>
      <c r="J1302" s="40">
        <f>=F1302*2</f>
        <v>390.6</v>
      </c>
      <c r="K1302" s="40">
        <f>=H1302*2</f>
        <v>434</v>
      </c>
      <c r="L1302" s="40">
        <f>=I1302*2</f>
        <v>455.7</v>
      </c>
      <c r="M1302" s="41" t="s">
        <v>1387</v>
      </c>
      <c r="N1302" s="41">
        <v>0.203</v>
      </c>
      <c r="O1302" s="41" t="s"/>
      <c r="P1302" s="41">
        <v>1</v>
      </c>
      <c r="Q1302" s="41">
        <v>1</v>
      </c>
      <c r="R1302" s="41" t="s">
        <v>16</v>
      </c>
      <c r="S1302" s="41" t="s">
        <v>17</v>
      </c>
      <c r="T1302" s="41" t="s">
        <v>689</v>
      </c>
      <c r="U1302" s="16" t="s">
        <v>13</v>
      </c>
      <c r="V1302" s="16" t="s">
        <v>215</v>
      </c>
      <c r="W1302" s="19" t="s"/>
      <c r="X1302" s="26" t="s">
        <f>=M1302&amp;N1302&amp;P1302&amp;Q1302&amp;T1302&amp;V1302&amp;S1302</f>
        <v>1424</v>
      </c>
      <c r="Y1302" s="19" t="s"/>
      <c r="Z1302" s="19" t="s"/>
      <c r="AA1302" s="19" t="s"/>
      <c r="AB1302" s="19" t="s"/>
    </row>
    <row r="1303" spans="1:28" ht="14.4">
      <c r="A1303" s="4">
        <f>=H1303/G1303-1</f>
        <v>0.0990099009900991</v>
      </c>
      <c r="B1303" s="20">
        <f>=F1303/12</f>
        <v>16.65</v>
      </c>
      <c r="C1303" s="20">
        <f>=J1303/3</f>
        <v>133.2</v>
      </c>
      <c r="D1303" s="20">
        <f>=K1303/3</f>
        <v>148</v>
      </c>
      <c r="E1303" s="20">
        <f>=L1303/3</f>
        <v>155.4</v>
      </c>
      <c r="F1303" s="20">
        <f>=H1303*0.9</f>
        <v>199.8</v>
      </c>
      <c r="G1303" s="21">
        <v>202</v>
      </c>
      <c r="H1303" s="39">
        <v>222</v>
      </c>
      <c r="I1303" s="40">
        <f>=H1303*1.05</f>
        <v>233.1</v>
      </c>
      <c r="J1303" s="40">
        <f>=F1303*2</f>
        <v>399.6</v>
      </c>
      <c r="K1303" s="40">
        <f>=H1303*2</f>
        <v>444</v>
      </c>
      <c r="L1303" s="40">
        <f>=I1303*2</f>
        <v>466.2</v>
      </c>
      <c r="M1303" s="41" t="s">
        <v>1387</v>
      </c>
      <c r="N1303" s="41">
        <v>0.203</v>
      </c>
      <c r="O1303" s="41" t="s"/>
      <c r="P1303" s="41">
        <v>1</v>
      </c>
      <c r="Q1303" s="41">
        <v>1</v>
      </c>
      <c r="R1303" s="41" t="s">
        <v>16</v>
      </c>
      <c r="S1303" s="41" t="s">
        <v>17</v>
      </c>
      <c r="T1303" s="41" t="s">
        <v>689</v>
      </c>
      <c r="U1303" s="16" t="s">
        <v>13</v>
      </c>
      <c r="V1303" s="16" t="s">
        <v>1083</v>
      </c>
      <c r="W1303" s="19" t="s"/>
      <c r="X1303" s="26" t="s">
        <f>=M1303&amp;N1303&amp;P1303&amp;Q1303&amp;T1303&amp;V1303&amp;S1303</f>
        <v>1425</v>
      </c>
      <c r="Y1303" s="19" t="s"/>
      <c r="Z1303" s="19" t="s"/>
      <c r="AA1303" s="19" t="s"/>
      <c r="AB1303" s="19" t="s"/>
    </row>
    <row r="1304" spans="1:28" ht="14.4">
      <c r="A1304" s="4">
        <f>=H1304/G1304-1</f>
        <v>0</v>
      </c>
      <c r="B1304" s="20">
        <f>=F1304/12</f>
        <v>33.075</v>
      </c>
      <c r="C1304" s="20">
        <f>=J1304/3</f>
        <v>264.6</v>
      </c>
      <c r="D1304" s="20">
        <f>=K1304/3</f>
        <v>294</v>
      </c>
      <c r="E1304" s="20">
        <f>=L1304/3</f>
        <v>308.7</v>
      </c>
      <c r="F1304" s="20">
        <f>=H1304*0.9</f>
        <v>396.9</v>
      </c>
      <c r="G1304" s="21">
        <v>441</v>
      </c>
      <c r="H1304" s="39">
        <v>441</v>
      </c>
      <c r="I1304" s="40">
        <f>=H1304*1.05</f>
        <v>463.05</v>
      </c>
      <c r="J1304" s="40">
        <f>=F1304*2</f>
        <v>793.8</v>
      </c>
      <c r="K1304" s="40">
        <f>=H1304*2</f>
        <v>882</v>
      </c>
      <c r="L1304" s="40">
        <f>=I1304*2</f>
        <v>926.1</v>
      </c>
      <c r="M1304" s="41" t="s">
        <v>1387</v>
      </c>
      <c r="N1304" s="41">
        <v>0.203</v>
      </c>
      <c r="O1304" s="41" t="s"/>
      <c r="P1304" s="41">
        <v>2</v>
      </c>
      <c r="Q1304" s="41">
        <v>2</v>
      </c>
      <c r="R1304" s="41" t="s">
        <v>16</v>
      </c>
      <c r="S1304" s="41" t="s">
        <v>17</v>
      </c>
      <c r="T1304" s="41" t="s">
        <v>689</v>
      </c>
      <c r="U1304" s="16" t="s">
        <v>13</v>
      </c>
      <c r="V1304" s="16" t="s">
        <v>215</v>
      </c>
      <c r="W1304" s="54">
        <v>46154</v>
      </c>
      <c r="X1304" s="26" t="s">
        <f>=M1304&amp;N1304&amp;P1304&amp;Q1304&amp;T1304&amp;V1304&amp;S1304</f>
        <v>1426</v>
      </c>
      <c r="Y1304" s="19" t="s"/>
      <c r="Z1304" s="19" t="s"/>
      <c r="AA1304" s="19" t="s"/>
      <c r="AB1304" s="19" t="s"/>
    </row>
    <row r="1305" spans="1:28" ht="14.4">
      <c r="A1305" s="4">
        <f>=H1305/G1305-1</f>
        <v>0.0993589743589745</v>
      </c>
      <c r="B1305" s="20">
        <f>=F1305/12</f>
        <v>25.725</v>
      </c>
      <c r="C1305" s="20">
        <f>=J1305/3</f>
        <v>205.8</v>
      </c>
      <c r="D1305" s="20">
        <f>=K1305/3</f>
        <v>228.666666666667</v>
      </c>
      <c r="E1305" s="20">
        <f>=L1305/3</f>
        <v>240.1</v>
      </c>
      <c r="F1305" s="20">
        <f>=H1305*0.9</f>
        <v>308.7</v>
      </c>
      <c r="G1305" s="21">
        <v>312</v>
      </c>
      <c r="H1305" s="39">
        <v>343</v>
      </c>
      <c r="I1305" s="40">
        <f>=H1305*1.05</f>
        <v>360.15</v>
      </c>
      <c r="J1305" s="40">
        <f>=F1305*2</f>
        <v>617.4</v>
      </c>
      <c r="K1305" s="40">
        <f>=H1305*2</f>
        <v>686</v>
      </c>
      <c r="L1305" s="40">
        <f>=I1305*2</f>
        <v>720.3</v>
      </c>
      <c r="M1305" s="41" t="s">
        <v>1387</v>
      </c>
      <c r="N1305" s="41">
        <v>0.254</v>
      </c>
      <c r="O1305" s="41" t="s"/>
      <c r="P1305" s="41">
        <v>1</v>
      </c>
      <c r="Q1305" s="41">
        <v>1</v>
      </c>
      <c r="R1305" s="41" t="s">
        <v>16</v>
      </c>
      <c r="S1305" s="41" t="s">
        <v>17</v>
      </c>
      <c r="T1305" s="41" t="s">
        <v>52</v>
      </c>
      <c r="U1305" s="16" t="s">
        <v>13</v>
      </c>
      <c r="V1305" s="16" t="s">
        <v>1083</v>
      </c>
      <c r="W1305" s="19" t="s"/>
      <c r="X1305" s="26" t="s">
        <f>=M1305&amp;N1305&amp;P1305&amp;Q1305&amp;T1305&amp;V1305&amp;S1305</f>
        <v>1427</v>
      </c>
      <c r="Y1305" s="19" t="s"/>
      <c r="Z1305" s="19" t="s"/>
      <c r="AA1305" s="19" t="s"/>
      <c r="AB1305" s="19" t="s"/>
    </row>
    <row r="1306" spans="1:29" ht="14.4">
      <c r="A1306" s="49">
        <v>46178</v>
      </c>
      <c r="B1306" s="43">
        <f>=F1306/12</f>
        <v>23.475</v>
      </c>
      <c r="C1306" s="43">
        <f>=J1306/3</f>
        <v>187.8</v>
      </c>
      <c r="D1306" s="43">
        <f>=K1306/3</f>
        <v>208.666666666667</v>
      </c>
      <c r="E1306" s="43">
        <f>=L1306/3</f>
        <v>219.1</v>
      </c>
      <c r="F1306" s="43">
        <f>=H1306*0.9</f>
        <v>281.7</v>
      </c>
      <c r="G1306" s="27">
        <v>312</v>
      </c>
      <c r="H1306" s="44">
        <v>313</v>
      </c>
      <c r="I1306" s="45">
        <f>=H1306*1.05</f>
        <v>328.65</v>
      </c>
      <c r="J1306" s="45">
        <f>=F1306*2</f>
        <v>563.4</v>
      </c>
      <c r="K1306" s="45">
        <f>=H1306*2</f>
        <v>626</v>
      </c>
      <c r="L1306" s="45">
        <f>=I1306*2</f>
        <v>657.3</v>
      </c>
      <c r="M1306" s="46" t="s">
        <v>1387</v>
      </c>
      <c r="N1306" s="46">
        <v>0.254</v>
      </c>
      <c r="O1306" s="46" t="s"/>
      <c r="P1306" s="46">
        <v>1</v>
      </c>
      <c r="Q1306" s="46">
        <v>1</v>
      </c>
      <c r="R1306" s="46" t="s">
        <v>16</v>
      </c>
      <c r="S1306" s="46" t="s">
        <v>17</v>
      </c>
      <c r="T1306" s="46" t="s">
        <v>52</v>
      </c>
      <c r="U1306" s="13" t="s">
        <v>13</v>
      </c>
      <c r="V1306" s="11" t="s">
        <v>215</v>
      </c>
      <c r="W1306" s="15" t="s"/>
      <c r="X1306" s="18" t="s">
        <f>=M1306&amp;N1306&amp;P1306&amp;Q1306&amp;T1306&amp;V1306&amp;S1306</f>
        <v>1428</v>
      </c>
      <c r="Y1306" s="15" t="s"/>
      <c r="Z1306" s="15" t="s"/>
      <c r="AA1306" s="15" t="s"/>
      <c r="AB1306" s="15" t="s"/>
      <c r="AC1306" s="48" t="s"/>
    </row>
    <row r="1307" spans="1:28" ht="14.4">
      <c r="A1307" s="4">
        <f>=H1307/G1307-1</f>
        <v>0.0990712074303406</v>
      </c>
      <c r="B1307" s="20">
        <f>=F1307/12</f>
        <v>26.625</v>
      </c>
      <c r="C1307" s="20">
        <f>=J1307/3</f>
        <v>213</v>
      </c>
      <c r="D1307" s="20">
        <f>=K1307/3</f>
        <v>236.666666666667</v>
      </c>
      <c r="E1307" s="20">
        <f>=L1307/3</f>
        <v>248.5</v>
      </c>
      <c r="F1307" s="20">
        <f>=H1307*0.9</f>
        <v>319.5</v>
      </c>
      <c r="G1307" s="21">
        <v>323</v>
      </c>
      <c r="H1307" s="39">
        <v>355</v>
      </c>
      <c r="I1307" s="40">
        <f>=H1307*1.05</f>
        <v>372.75</v>
      </c>
      <c r="J1307" s="40">
        <f>=F1307*2</f>
        <v>639</v>
      </c>
      <c r="K1307" s="40">
        <f>=H1307*2</f>
        <v>710</v>
      </c>
      <c r="L1307" s="40">
        <f>=I1307*2</f>
        <v>745.5</v>
      </c>
      <c r="M1307" s="41" t="s">
        <v>1387</v>
      </c>
      <c r="N1307" s="41">
        <v>0.305</v>
      </c>
      <c r="O1307" s="41" t="s"/>
      <c r="P1307" s="41">
        <v>1</v>
      </c>
      <c r="Q1307" s="41">
        <v>1</v>
      </c>
      <c r="R1307" s="41" t="s">
        <v>16</v>
      </c>
      <c r="S1307" s="41" t="s">
        <v>17</v>
      </c>
      <c r="T1307" s="41" t="s">
        <v>1172</v>
      </c>
      <c r="U1307" s="16" t="s">
        <v>13</v>
      </c>
      <c r="V1307" s="16" t="s">
        <v>1083</v>
      </c>
      <c r="W1307" s="19" t="s"/>
      <c r="X1307" s="26" t="s">
        <f>=M1307&amp;N1307&amp;P1307&amp;Q1307&amp;T1307&amp;V1307&amp;S1307</f>
        <v>1429</v>
      </c>
      <c r="Y1307" s="19" t="s"/>
      <c r="Z1307" s="19" t="s"/>
      <c r="AA1307" s="19" t="s"/>
      <c r="AB1307" s="19" t="s"/>
    </row>
    <row r="1308" spans="1:28" ht="14.4">
      <c r="A1308" s="4">
        <f>=H1308/G1308-1</f>
        <v>0.0992647058823531</v>
      </c>
      <c r="B1308" s="20">
        <f>=F1308/12</f>
        <v>22.425</v>
      </c>
      <c r="C1308" s="20">
        <f>=J1308/3</f>
        <v>179.4</v>
      </c>
      <c r="D1308" s="20">
        <f>=K1308/3</f>
        <v>199.333333333333</v>
      </c>
      <c r="E1308" s="20">
        <f>=L1308/3</f>
        <v>209.3</v>
      </c>
      <c r="F1308" s="20">
        <f>=H1308*0.9</f>
        <v>269.1</v>
      </c>
      <c r="G1308" s="21">
        <v>272</v>
      </c>
      <c r="H1308" s="39">
        <v>299</v>
      </c>
      <c r="I1308" s="40">
        <f>=H1308*1.05</f>
        <v>313.95</v>
      </c>
      <c r="J1308" s="40">
        <f>=F1308*2</f>
        <v>538.2</v>
      </c>
      <c r="K1308" s="40">
        <f>=H1308*2</f>
        <v>598</v>
      </c>
      <c r="L1308" s="40">
        <f>=I1308*2</f>
        <v>627.9</v>
      </c>
      <c r="M1308" s="41" t="s">
        <v>1387</v>
      </c>
      <c r="N1308" s="41">
        <v>0.305</v>
      </c>
      <c r="O1308" s="41" t="s"/>
      <c r="P1308" s="41">
        <v>1</v>
      </c>
      <c r="Q1308" s="41">
        <v>1</v>
      </c>
      <c r="R1308" s="41" t="s">
        <v>16</v>
      </c>
      <c r="S1308" s="41" t="s">
        <v>17</v>
      </c>
      <c r="T1308" s="41" t="s">
        <v>1172</v>
      </c>
      <c r="U1308" s="16" t="s">
        <v>13</v>
      </c>
      <c r="V1308" s="16" t="s">
        <v>215</v>
      </c>
      <c r="W1308" s="19" t="s"/>
      <c r="X1308" s="26" t="s">
        <f>=M1308&amp;N1308&amp;P1308&amp;Q1308&amp;T1308&amp;V1308&amp;S1308</f>
        <v>1430</v>
      </c>
      <c r="Y1308" s="19" t="s"/>
      <c r="Z1308" s="19" t="s"/>
      <c r="AA1308" s="19" t="s"/>
      <c r="AB1308" s="19" t="s"/>
    </row>
    <row r="1309" spans="1:28" ht="14.4">
      <c r="A1309" s="4">
        <f>=H1309/G1309-1</f>
        <v>0.0988700564971752</v>
      </c>
      <c r="B1309" s="20">
        <f>=F1309/12</f>
        <v>29.175</v>
      </c>
      <c r="C1309" s="20">
        <f>=J1309/3</f>
        <v>233.4</v>
      </c>
      <c r="D1309" s="20">
        <f>=K1309/3</f>
        <v>259.333333333333</v>
      </c>
      <c r="E1309" s="20">
        <f>=L1309/3</f>
        <v>272.3</v>
      </c>
      <c r="F1309" s="20">
        <f>=H1309*0.9</f>
        <v>350.1</v>
      </c>
      <c r="G1309" s="21">
        <v>354</v>
      </c>
      <c r="H1309" s="39">
        <v>389</v>
      </c>
      <c r="I1309" s="40">
        <f>=H1309*1.05</f>
        <v>408.45</v>
      </c>
      <c r="J1309" s="40">
        <f>=F1309*2</f>
        <v>700.2</v>
      </c>
      <c r="K1309" s="40">
        <f>=H1309*2</f>
        <v>778</v>
      </c>
      <c r="L1309" s="40">
        <f>=I1309*2</f>
        <v>816.9</v>
      </c>
      <c r="M1309" s="41" t="s">
        <v>1387</v>
      </c>
      <c r="N1309" s="41">
        <v>0.305</v>
      </c>
      <c r="O1309" s="41" t="s"/>
      <c r="P1309" s="41">
        <v>2</v>
      </c>
      <c r="Q1309" s="41">
        <v>2</v>
      </c>
      <c r="R1309" s="41" t="s">
        <v>16</v>
      </c>
      <c r="S1309" s="41" t="s">
        <v>17</v>
      </c>
      <c r="T1309" s="41" t="s">
        <v>1172</v>
      </c>
      <c r="U1309" s="16" t="s">
        <v>13</v>
      </c>
      <c r="V1309" s="16" t="s">
        <v>215</v>
      </c>
      <c r="W1309" s="19" t="s"/>
      <c r="X1309" s="34" t="s">
        <f>=M1309&amp;N1309&amp;P1309&amp;Q1309&amp;T1309&amp;V1309&amp;S1309</f>
        <v>1431</v>
      </c>
      <c r="Y1309" s="19" t="s"/>
      <c r="Z1309" s="19" t="s"/>
      <c r="AA1309" s="19" t="s"/>
      <c r="AB1309" s="19" t="s"/>
    </row>
    <row r="1310" spans="1:28" ht="14.4">
      <c r="A1310" s="4">
        <f>=H1310/G1310-1</f>
        <v>0.101694915254237</v>
      </c>
      <c r="B1310" s="20">
        <f>=F1310/12</f>
        <v>19.5</v>
      </c>
      <c r="C1310" s="20">
        <f>=J1310/3</f>
        <v>156</v>
      </c>
      <c r="D1310" s="20">
        <f>=K1310/3</f>
        <v>173.333333333333</v>
      </c>
      <c r="E1310" s="20">
        <f>=L1310/3</f>
        <v>182</v>
      </c>
      <c r="F1310" s="20">
        <f>=H1310*0.9</f>
        <v>234</v>
      </c>
      <c r="G1310" s="21">
        <v>236</v>
      </c>
      <c r="H1310" s="39">
        <v>260</v>
      </c>
      <c r="I1310" s="40">
        <f>=H1310*1.05</f>
        <v>273</v>
      </c>
      <c r="J1310" s="40">
        <f>=F1310*2</f>
        <v>468</v>
      </c>
      <c r="K1310" s="40">
        <f>=H1310*2</f>
        <v>520</v>
      </c>
      <c r="L1310" s="40">
        <f>=I1310*2</f>
        <v>546</v>
      </c>
      <c r="M1310" s="41" t="s">
        <v>1387</v>
      </c>
      <c r="N1310" s="41">
        <v>0.457</v>
      </c>
      <c r="O1310" s="41" t="s"/>
      <c r="P1310" s="41" t="s">
        <v>21</v>
      </c>
      <c r="Q1310" s="41" t="s">
        <v>21</v>
      </c>
      <c r="R1310" s="41" t="s">
        <v>16</v>
      </c>
      <c r="S1310" s="41" t="s">
        <v>17</v>
      </c>
      <c r="T1310" s="41" t="s">
        <v>1186</v>
      </c>
      <c r="U1310" s="16" t="s">
        <v>13</v>
      </c>
      <c r="V1310" s="16" t="s">
        <v>215</v>
      </c>
      <c r="W1310" s="19" t="s"/>
      <c r="X1310" s="26" t="s">
        <f>=M1310&amp;N1310&amp;P1310&amp;Q1310&amp;T1310&amp;V1310&amp;S1310</f>
        <v>1432</v>
      </c>
      <c r="Y1310" s="19" t="s"/>
      <c r="Z1310" s="19" t="s"/>
      <c r="AA1310" s="19" t="s"/>
      <c r="AB1310" s="19" t="s"/>
    </row>
    <row r="1311" spans="1:28" ht="14.4">
      <c r="A1311" s="4">
        <f>=H1311/G1311-1</f>
        <v>0.10025706940874</v>
      </c>
      <c r="B1311" s="20">
        <f>=F1311/12</f>
        <v>32.1</v>
      </c>
      <c r="C1311" s="20">
        <f>=J1311/3</f>
        <v>256.8</v>
      </c>
      <c r="D1311" s="20">
        <f>=K1311/3</f>
        <v>285.333333333333</v>
      </c>
      <c r="E1311" s="20">
        <f>=L1311/3</f>
        <v>299.6</v>
      </c>
      <c r="F1311" s="20">
        <f>=H1311*0.9</f>
        <v>385.2</v>
      </c>
      <c r="G1311" s="21">
        <v>389</v>
      </c>
      <c r="H1311" s="39">
        <v>428</v>
      </c>
      <c r="I1311" s="40">
        <f>=H1311*1.05</f>
        <v>449.4</v>
      </c>
      <c r="J1311" s="40">
        <f>=F1311*2</f>
        <v>770.4</v>
      </c>
      <c r="K1311" s="40">
        <f>=H1311*2</f>
        <v>856</v>
      </c>
      <c r="L1311" s="40">
        <f>=I1311*2</f>
        <v>898.8</v>
      </c>
      <c r="M1311" s="41" t="s">
        <v>1387</v>
      </c>
      <c r="N1311" s="41">
        <v>0.508</v>
      </c>
      <c r="O1311" s="41" t="s"/>
      <c r="P1311" s="41">
        <v>1</v>
      </c>
      <c r="Q1311" s="41">
        <v>1</v>
      </c>
      <c r="R1311" s="41" t="s">
        <v>16</v>
      </c>
      <c r="S1311" s="41" t="s">
        <v>17</v>
      </c>
      <c r="T1311" s="41" t="s">
        <v>387</v>
      </c>
      <c r="U1311" s="16" t="s">
        <v>13</v>
      </c>
      <c r="V1311" s="16" t="s">
        <v>1083</v>
      </c>
      <c r="W1311" s="19" t="s"/>
      <c r="X1311" s="26" t="s">
        <f>=M1311&amp;N1311&amp;P1311&amp;Q1311&amp;T1311&amp;V1311&amp;S1311</f>
        <v>1433</v>
      </c>
      <c r="Y1311" s="19" t="s"/>
      <c r="Z1311" s="19" t="s"/>
      <c r="AA1311" s="19" t="s"/>
      <c r="AB1311" s="19" t="s"/>
    </row>
    <row r="1312" spans="1:28" ht="14.4">
      <c r="A1312" s="4">
        <f>=H1312/G1312-1</f>
        <v>0.10054347826087</v>
      </c>
      <c r="B1312" s="20">
        <f>=F1312/12</f>
        <v>30.375</v>
      </c>
      <c r="C1312" s="20">
        <f>=J1312/3</f>
        <v>243</v>
      </c>
      <c r="D1312" s="20">
        <f>=K1312/3</f>
        <v>270</v>
      </c>
      <c r="E1312" s="20">
        <f>=L1312/3</f>
        <v>283.5</v>
      </c>
      <c r="F1312" s="20">
        <f>=H1312*0.9</f>
        <v>364.5</v>
      </c>
      <c r="G1312" s="21">
        <v>368</v>
      </c>
      <c r="H1312" s="39">
        <v>405</v>
      </c>
      <c r="I1312" s="40">
        <f>=H1312*1.05</f>
        <v>425.25</v>
      </c>
      <c r="J1312" s="40">
        <f>=F1312*2</f>
        <v>729</v>
      </c>
      <c r="K1312" s="40">
        <f>=H1312*2</f>
        <v>810</v>
      </c>
      <c r="L1312" s="40">
        <f>=I1312*2</f>
        <v>850.5</v>
      </c>
      <c r="M1312" s="41" t="s">
        <v>1387</v>
      </c>
      <c r="N1312" s="41">
        <v>0.762</v>
      </c>
      <c r="O1312" s="41" t="s"/>
      <c r="P1312" s="41">
        <v>1</v>
      </c>
      <c r="Q1312" s="41">
        <v>1</v>
      </c>
      <c r="R1312" s="41" t="s">
        <v>16</v>
      </c>
      <c r="S1312" s="41" t="s">
        <v>17</v>
      </c>
      <c r="T1312" s="41" t="s">
        <v>784</v>
      </c>
      <c r="U1312" s="16" t="s">
        <v>13</v>
      </c>
      <c r="V1312" s="16" t="s">
        <v>215</v>
      </c>
      <c r="W1312" s="19" t="s"/>
      <c r="X1312" s="26" t="s">
        <f>=M1312&amp;N1312&amp;P1312&amp;Q1312&amp;T1312&amp;V1312&amp;S1312</f>
        <v>1434</v>
      </c>
      <c r="Y1312" s="19" t="s"/>
      <c r="Z1312" s="19" t="s"/>
      <c r="AA1312" s="19" t="s"/>
      <c r="AB1312" s="19" t="s"/>
    </row>
    <row r="1313" spans="1:28" ht="14.4">
      <c r="A1313" s="4">
        <f>=H1313/G1313-1</f>
        <v>0.1</v>
      </c>
      <c r="B1313" s="20">
        <f>=F1313/12</f>
        <v>34.65</v>
      </c>
      <c r="C1313" s="20">
        <f>=J1313/3</f>
        <v>277.2</v>
      </c>
      <c r="D1313" s="20">
        <f>=K1313/3</f>
        <v>308</v>
      </c>
      <c r="E1313" s="20">
        <f>=L1313/3</f>
        <v>323.4</v>
      </c>
      <c r="F1313" s="20">
        <f>=H1313*0.9</f>
        <v>415.8</v>
      </c>
      <c r="G1313" s="21">
        <v>420</v>
      </c>
      <c r="H1313" s="39">
        <v>462</v>
      </c>
      <c r="I1313" s="40">
        <f>=H1313*1.05</f>
        <v>485.1</v>
      </c>
      <c r="J1313" s="40">
        <f>=F1313*2</f>
        <v>831.6</v>
      </c>
      <c r="K1313" s="40">
        <f>=H1313*2</f>
        <v>924</v>
      </c>
      <c r="L1313" s="40">
        <f>=I1313*2</f>
        <v>970.2</v>
      </c>
      <c r="M1313" s="41" t="s">
        <v>1387</v>
      </c>
      <c r="N1313" s="41">
        <v>1.086</v>
      </c>
      <c r="O1313" s="41" t="s"/>
      <c r="P1313" s="41">
        <v>1</v>
      </c>
      <c r="Q1313" s="41">
        <v>1</v>
      </c>
      <c r="R1313" s="41" t="s">
        <v>16</v>
      </c>
      <c r="S1313" s="41" t="s">
        <v>137</v>
      </c>
      <c r="T1313" s="41" t="s">
        <v>801</v>
      </c>
      <c r="U1313" s="16" t="s">
        <v>13</v>
      </c>
      <c r="V1313" s="16" t="s">
        <v>215</v>
      </c>
      <c r="W1313" s="19" t="s"/>
      <c r="X1313" s="26" t="s">
        <f>=M1313&amp;N1313&amp;P1313&amp;Q1313&amp;T1313&amp;V1313&amp;S1313</f>
        <v>1435</v>
      </c>
      <c r="Y1313" s="19" t="s"/>
      <c r="Z1313" s="19" t="s"/>
      <c r="AA1313" s="19" t="s"/>
      <c r="AB1313" s="19" t="s"/>
    </row>
    <row r="1314" spans="1:28" ht="14.4">
      <c r="A1314" s="4">
        <f>=H1314/G1314-1</f>
        <v>0.1</v>
      </c>
      <c r="B1314" s="20">
        <f>=F1314/12</f>
        <v>50.325</v>
      </c>
      <c r="C1314" s="20">
        <f>=J1314/3</f>
        <v>402.6</v>
      </c>
      <c r="D1314" s="20">
        <f>=K1314/3</f>
        <v>447.333333333333</v>
      </c>
      <c r="E1314" s="20">
        <f>=L1314/3</f>
        <v>469.7</v>
      </c>
      <c r="F1314" s="20">
        <f>=H1314*0.9</f>
        <v>603.9</v>
      </c>
      <c r="G1314" s="21">
        <v>610</v>
      </c>
      <c r="H1314" s="39">
        <v>671</v>
      </c>
      <c r="I1314" s="40">
        <f>=H1314*1.05</f>
        <v>704.55</v>
      </c>
      <c r="J1314" s="40">
        <f>=F1314*2</f>
        <v>1207.8</v>
      </c>
      <c r="K1314" s="40">
        <f>=H1314*2</f>
        <v>1342</v>
      </c>
      <c r="L1314" s="40">
        <f>=I1314*2</f>
        <v>1409.1</v>
      </c>
      <c r="M1314" s="41" t="s">
        <v>1387</v>
      </c>
      <c r="N1314" s="41">
        <v>1.155</v>
      </c>
      <c r="O1314" s="41" t="s"/>
      <c r="P1314" s="41" t="s">
        <v>21</v>
      </c>
      <c r="Q1314" s="41" t="s">
        <v>21</v>
      </c>
      <c r="R1314" s="41" t="s">
        <v>16</v>
      </c>
      <c r="S1314" s="41" t="s">
        <v>137</v>
      </c>
      <c r="T1314" s="41" t="s">
        <v>1202</v>
      </c>
      <c r="U1314" s="16" t="s">
        <v>13</v>
      </c>
      <c r="V1314" s="16" t="s">
        <v>215</v>
      </c>
      <c r="W1314" s="19" t="s"/>
      <c r="X1314" s="26" t="s">
        <f>=M1314&amp;N1314&amp;P1314&amp;Q1314&amp;T1314&amp;V1314&amp;S1314</f>
        <v>1436</v>
      </c>
      <c r="Y1314" s="19" t="s"/>
      <c r="Z1314" s="19" t="s"/>
      <c r="AA1314" s="19" t="s"/>
      <c r="AB1314" s="19" t="s"/>
    </row>
    <row r="1315" spans="1:28" ht="14.4">
      <c r="A1315" s="4">
        <f>=H1315/G1315-1</f>
        <v>0.0994475138121547</v>
      </c>
      <c r="B1315" s="20">
        <f>=F1315/12</f>
        <v>14.925</v>
      </c>
      <c r="C1315" s="20">
        <f>=J1315/3</f>
        <v>119.4</v>
      </c>
      <c r="D1315" s="20">
        <f>=K1315/3</f>
        <v>132.666666666667</v>
      </c>
      <c r="E1315" s="20">
        <f>=L1315/3</f>
        <v>139.3</v>
      </c>
      <c r="F1315" s="20">
        <f>=H1315*0.9</f>
        <v>179.1</v>
      </c>
      <c r="G1315" s="21">
        <v>181</v>
      </c>
      <c r="H1315" s="39">
        <v>199</v>
      </c>
      <c r="I1315" s="40">
        <f>=H1315*1.05</f>
        <v>208.95</v>
      </c>
      <c r="J1315" s="40">
        <f>=F1315*2</f>
        <v>358.2</v>
      </c>
      <c r="K1315" s="40">
        <f>=H1315*2</f>
        <v>398</v>
      </c>
      <c r="L1315" s="40">
        <f>=I1315*2</f>
        <v>417.9</v>
      </c>
      <c r="M1315" s="41" t="s">
        <v>1437</v>
      </c>
      <c r="N1315" s="41">
        <v>0.089</v>
      </c>
      <c r="O1315" s="41" t="s"/>
      <c r="P1315" s="41" t="s">
        <v>21</v>
      </c>
      <c r="Q1315" s="41" t="s">
        <v>21</v>
      </c>
      <c r="R1315" s="41" t="s">
        <v>16</v>
      </c>
      <c r="S1315" s="41" t="s">
        <v>17</v>
      </c>
      <c r="T1315" s="41" t="s">
        <v>639</v>
      </c>
      <c r="U1315" s="16" t="s">
        <v>13</v>
      </c>
      <c r="V1315" s="16" t="s">
        <v>1083</v>
      </c>
      <c r="W1315" s="19" t="s"/>
      <c r="X1315" s="26" t="s">
        <f>=M1315&amp;N1315&amp;P1315&amp;Q1315&amp;T1315&amp;V1315&amp;S1315</f>
        <v>1438</v>
      </c>
      <c r="Y1315" s="19" t="s"/>
      <c r="Z1315" s="19" t="s"/>
      <c r="AA1315" s="19" t="s"/>
      <c r="AB1315" s="19" t="s"/>
    </row>
    <row r="1316" spans="1:28" ht="14.4">
      <c r="A1316" s="4">
        <f>=H1316/G1316-1</f>
        <v>0.1</v>
      </c>
      <c r="B1316" s="20">
        <f>=F1316/12</f>
        <v>16.5</v>
      </c>
      <c r="C1316" s="20">
        <f>=J1316/3</f>
        <v>132</v>
      </c>
      <c r="D1316" s="20">
        <f>=K1316/3</f>
        <v>146.666666666667</v>
      </c>
      <c r="E1316" s="20">
        <f>=L1316/3</f>
        <v>154</v>
      </c>
      <c r="F1316" s="20">
        <f>=H1316*0.9</f>
        <v>198</v>
      </c>
      <c r="G1316" s="21">
        <v>200</v>
      </c>
      <c r="H1316" s="39">
        <v>220</v>
      </c>
      <c r="I1316" s="40">
        <f>=H1316*1.05</f>
        <v>231</v>
      </c>
      <c r="J1316" s="40">
        <f>=F1316*2</f>
        <v>396</v>
      </c>
      <c r="K1316" s="40">
        <f>=H1316*2</f>
        <v>440</v>
      </c>
      <c r="L1316" s="40">
        <f>=I1316*2</f>
        <v>462</v>
      </c>
      <c r="M1316" s="41" t="s">
        <v>1437</v>
      </c>
      <c r="N1316" s="41">
        <v>0.102</v>
      </c>
      <c r="O1316" s="41" t="s"/>
      <c r="P1316" s="41" t="s">
        <v>21</v>
      </c>
      <c r="Q1316" s="41" t="s">
        <v>21</v>
      </c>
      <c r="R1316" s="41" t="s">
        <v>16</v>
      </c>
      <c r="S1316" s="41" t="s">
        <v>17</v>
      </c>
      <c r="T1316" s="41" t="s">
        <v>654</v>
      </c>
      <c r="U1316" s="16" t="s">
        <v>13</v>
      </c>
      <c r="V1316" s="16" t="s">
        <v>1083</v>
      </c>
      <c r="W1316" s="19" t="s"/>
      <c r="X1316" s="26" t="s">
        <f>=M1316&amp;N1316&amp;P1316&amp;Q1316&amp;T1316&amp;V1316&amp;S1316</f>
        <v>1439</v>
      </c>
      <c r="Y1316" s="19" t="s"/>
      <c r="Z1316" s="19" t="s"/>
      <c r="AA1316" s="19" t="s"/>
      <c r="AB1316" s="19" t="s"/>
    </row>
    <row r="1317" spans="1:28" ht="14.4">
      <c r="A1317" s="4">
        <f>=H1317/G1317-1</f>
        <v>0.1</v>
      </c>
      <c r="B1317" s="20">
        <f>=F1317/12</f>
        <v>18.975</v>
      </c>
      <c r="C1317" s="20">
        <f>=J1317/3</f>
        <v>151.8</v>
      </c>
      <c r="D1317" s="20">
        <f>=K1317/3</f>
        <v>168.666666666667</v>
      </c>
      <c r="E1317" s="20">
        <f>=L1317/3</f>
        <v>177.1</v>
      </c>
      <c r="F1317" s="20">
        <f>=H1317*0.9</f>
        <v>227.7</v>
      </c>
      <c r="G1317" s="21">
        <v>230</v>
      </c>
      <c r="H1317" s="39">
        <v>253</v>
      </c>
      <c r="I1317" s="40">
        <f>=H1317*1.05</f>
        <v>265.65</v>
      </c>
      <c r="J1317" s="40">
        <f>=F1317*2</f>
        <v>455.4</v>
      </c>
      <c r="K1317" s="40">
        <f>=H1317*2</f>
        <v>506</v>
      </c>
      <c r="L1317" s="40">
        <f>=I1317*2</f>
        <v>531.3</v>
      </c>
      <c r="M1317" s="41" t="s">
        <v>1437</v>
      </c>
      <c r="N1317" s="41">
        <v>0.152</v>
      </c>
      <c r="O1317" s="41" t="s"/>
      <c r="P1317" s="41">
        <v>2</v>
      </c>
      <c r="Q1317" s="41">
        <v>2</v>
      </c>
      <c r="R1317" s="41" t="s">
        <v>16</v>
      </c>
      <c r="S1317" s="41" t="s">
        <v>17</v>
      </c>
      <c r="T1317" s="41" t="s">
        <v>43</v>
      </c>
      <c r="U1317" s="16" t="s">
        <v>13</v>
      </c>
      <c r="V1317" s="16" t="s">
        <v>215</v>
      </c>
      <c r="W1317" s="19" t="s"/>
      <c r="X1317" s="26" t="s">
        <f>=M1317&amp;N1317&amp;P1317&amp;Q1317&amp;T1317&amp;V1317&amp;S1317</f>
        <v>1440</v>
      </c>
      <c r="Y1317" s="19" t="s"/>
      <c r="Z1317" s="19" t="s"/>
      <c r="AA1317" s="19" t="s"/>
      <c r="AB1317" s="19" t="s"/>
    </row>
    <row r="1318" spans="1:28" ht="14.4">
      <c r="A1318" s="4">
        <f>=H1318/G1318-1</f>
        <v>0.0985915492957748</v>
      </c>
      <c r="B1318" s="20">
        <f>=F1318/12</f>
        <v>23.4</v>
      </c>
      <c r="C1318" s="20">
        <f>=J1318/3</f>
        <v>187.2</v>
      </c>
      <c r="D1318" s="20">
        <f>=K1318/3</f>
        <v>208</v>
      </c>
      <c r="E1318" s="20">
        <f>=L1318/3</f>
        <v>218.4</v>
      </c>
      <c r="F1318" s="20">
        <f>=H1318*0.9</f>
        <v>280.8</v>
      </c>
      <c r="G1318" s="21">
        <v>284</v>
      </c>
      <c r="H1318" s="39">
        <v>312</v>
      </c>
      <c r="I1318" s="40">
        <f>=H1318*1.05</f>
        <v>327.6</v>
      </c>
      <c r="J1318" s="40">
        <f>=F1318*2</f>
        <v>561.6</v>
      </c>
      <c r="K1318" s="40">
        <f>=H1318*2</f>
        <v>624</v>
      </c>
      <c r="L1318" s="40">
        <f>=I1318*2</f>
        <v>655.2</v>
      </c>
      <c r="M1318" s="41" t="s">
        <v>1437</v>
      </c>
      <c r="N1318" s="41">
        <v>0.152</v>
      </c>
      <c r="O1318" s="41" t="s"/>
      <c r="P1318" s="41">
        <v>2</v>
      </c>
      <c r="Q1318" s="41">
        <v>2</v>
      </c>
      <c r="R1318" s="41" t="s">
        <v>16</v>
      </c>
      <c r="S1318" s="41" t="s">
        <v>17</v>
      </c>
      <c r="T1318" s="41" t="s">
        <v>43</v>
      </c>
      <c r="U1318" s="16" t="s">
        <v>13</v>
      </c>
      <c r="V1318" s="16" t="s">
        <v>1083</v>
      </c>
      <c r="W1318" s="19" t="s"/>
      <c r="X1318" s="26" t="s">
        <f>=M1318&amp;N1318&amp;P1318&amp;Q1318&amp;T1318&amp;V1318&amp;S1318</f>
        <v>1441</v>
      </c>
      <c r="Y1318" s="19" t="s"/>
      <c r="Z1318" s="19" t="s"/>
      <c r="AA1318" s="19" t="s"/>
      <c r="AB1318" s="19" t="s"/>
    </row>
    <row r="1319" spans="1:28" ht="14.4">
      <c r="A1319" s="4">
        <f>=H1319/G1319-1</f>
        <v>0.1005291005291</v>
      </c>
      <c r="B1319" s="20">
        <f>=F1319/12</f>
        <v>15.6</v>
      </c>
      <c r="C1319" s="20">
        <f>=J1319/3</f>
        <v>124.8</v>
      </c>
      <c r="D1319" s="20">
        <f>=K1319/3</f>
        <v>138.666666666667</v>
      </c>
      <c r="E1319" s="20">
        <f>=L1319/3</f>
        <v>145.6</v>
      </c>
      <c r="F1319" s="20">
        <f>=H1319*0.9</f>
        <v>187.2</v>
      </c>
      <c r="G1319" s="21">
        <v>189</v>
      </c>
      <c r="H1319" s="119">
        <v>208</v>
      </c>
      <c r="I1319" s="120">
        <f>=H1319*1.05</f>
        <v>218.4</v>
      </c>
      <c r="J1319" s="120">
        <f>=F1319*2</f>
        <v>374.4</v>
      </c>
      <c r="K1319" s="120">
        <f>=H1319*2</f>
        <v>416</v>
      </c>
      <c r="L1319" s="120">
        <f>=I1319*2</f>
        <v>436.8</v>
      </c>
      <c r="M1319" s="121" t="s">
        <v>1437</v>
      </c>
      <c r="N1319" s="121">
        <v>0.152</v>
      </c>
      <c r="O1319" s="41" t="s"/>
      <c r="P1319" s="121" t="s">
        <v>21</v>
      </c>
      <c r="Q1319" s="121" t="s">
        <v>21</v>
      </c>
      <c r="R1319" s="121" t="s">
        <v>16</v>
      </c>
      <c r="S1319" s="121" t="s">
        <v>17</v>
      </c>
      <c r="T1319" s="121" t="s">
        <v>43</v>
      </c>
      <c r="U1319" s="16" t="s">
        <v>13</v>
      </c>
      <c r="V1319" s="16" t="s">
        <v>1083</v>
      </c>
      <c r="W1319" s="19" t="s"/>
      <c r="X1319" s="26" t="s">
        <f>=M1319&amp;N1319&amp;P1319&amp;Q1319&amp;T1319&amp;V1319&amp;S1319</f>
        <v>1442</v>
      </c>
      <c r="Y1319" s="19" t="s"/>
      <c r="Z1319" s="19" t="s"/>
      <c r="AA1319" s="19" t="s"/>
      <c r="AB1319" s="19" t="s"/>
    </row>
    <row r="1320" spans="1:28" ht="14.4">
      <c r="A1320" s="4">
        <f>=H1320/G1320-1</f>
        <v>0.0978260869565217</v>
      </c>
      <c r="B1320" s="20">
        <f>=F1320/12</f>
        <v>15.15</v>
      </c>
      <c r="C1320" s="20">
        <f>=J1320/3</f>
        <v>121.2</v>
      </c>
      <c r="D1320" s="20">
        <f>=K1320/3</f>
        <v>134.666666666667</v>
      </c>
      <c r="E1320" s="20">
        <f>=L1320/3</f>
        <v>141.4</v>
      </c>
      <c r="F1320" s="20">
        <f>=H1320*0.9</f>
        <v>181.8</v>
      </c>
      <c r="G1320" s="21">
        <v>184</v>
      </c>
      <c r="H1320" s="119">
        <v>202</v>
      </c>
      <c r="I1320" s="120">
        <f>=H1320*1.05</f>
        <v>212.1</v>
      </c>
      <c r="J1320" s="120">
        <f>=F1320*2</f>
        <v>363.6</v>
      </c>
      <c r="K1320" s="120">
        <f>=H1320*2</f>
        <v>404</v>
      </c>
      <c r="L1320" s="120">
        <f>=I1320*2</f>
        <v>424.2</v>
      </c>
      <c r="M1320" s="121" t="s">
        <v>1437</v>
      </c>
      <c r="N1320" s="77" t="s"/>
      <c r="O1320" s="41" t="s"/>
      <c r="P1320" s="121" t="s">
        <v>21</v>
      </c>
      <c r="Q1320" s="121" t="s">
        <v>21</v>
      </c>
      <c r="R1320" s="121" t="s">
        <v>16</v>
      </c>
      <c r="S1320" s="121" t="s">
        <v>17</v>
      </c>
      <c r="T1320" s="121" t="s">
        <v>23</v>
      </c>
      <c r="U1320" s="16" t="s">
        <v>13</v>
      </c>
      <c r="V1320" s="16" t="s">
        <v>1083</v>
      </c>
      <c r="W1320" s="19" t="s"/>
      <c r="X1320" s="26" t="s">
        <f>=M1320&amp;N1320&amp;P1320&amp;Q1320&amp;T1320&amp;V1320&amp;S1320</f>
        <v>1443</v>
      </c>
      <c r="Y1320" s="19" t="s"/>
      <c r="Z1320" s="19" t="s"/>
      <c r="AA1320" s="19" t="s"/>
      <c r="AB1320" s="19" t="s"/>
    </row>
    <row r="1321" spans="1:28" ht="14.4">
      <c r="A1321" s="4">
        <f>=H1321/G1321-1</f>
        <v>0.101604278074866</v>
      </c>
      <c r="B1321" s="20">
        <f>=F1321/12</f>
        <v>15.45</v>
      </c>
      <c r="C1321" s="20">
        <f>=J1321/3</f>
        <v>123.6</v>
      </c>
      <c r="D1321" s="20">
        <f>=K1321/3</f>
        <v>137.333333333333</v>
      </c>
      <c r="E1321" s="20">
        <f>=L1321/3</f>
        <v>144.2</v>
      </c>
      <c r="F1321" s="20">
        <f>=H1321*0.9</f>
        <v>185.4</v>
      </c>
      <c r="G1321" s="21">
        <v>187</v>
      </c>
      <c r="H1321" s="39">
        <v>206</v>
      </c>
      <c r="I1321" s="40">
        <f>=H1321*1.05</f>
        <v>216.3</v>
      </c>
      <c r="J1321" s="40">
        <f>=F1321*2</f>
        <v>370.8</v>
      </c>
      <c r="K1321" s="40">
        <f>=H1321*2</f>
        <v>412</v>
      </c>
      <c r="L1321" s="40">
        <f>=I1321*2</f>
        <v>432.6</v>
      </c>
      <c r="M1321" s="41" t="s">
        <v>1437</v>
      </c>
      <c r="N1321" s="77" t="s"/>
      <c r="O1321" s="41" t="s"/>
      <c r="P1321" s="41" t="s">
        <v>21</v>
      </c>
      <c r="Q1321" s="41" t="s">
        <v>21</v>
      </c>
      <c r="R1321" s="41" t="s">
        <v>16</v>
      </c>
      <c r="S1321" s="41" t="s">
        <v>17</v>
      </c>
      <c r="T1321" s="41" t="s">
        <v>43</v>
      </c>
      <c r="U1321" s="16" t="s">
        <v>13</v>
      </c>
      <c r="V1321" s="16" t="s">
        <v>1083</v>
      </c>
      <c r="W1321" s="19" t="s"/>
      <c r="X1321" s="26" t="s">
        <f>=M1321&amp;N1321&amp;P1321&amp;Q1321&amp;T1321&amp;V1321&amp;S1321</f>
        <v>1444</v>
      </c>
      <c r="Y1321" s="19" t="s"/>
      <c r="Z1321" s="19" t="s"/>
      <c r="AA1321" s="19" t="s"/>
      <c r="AB1321" s="19" t="s"/>
    </row>
    <row r="1322" spans="1:28" ht="14.4">
      <c r="A1322" s="4">
        <f>=H1322/G1322-1</f>
        <v>0.0985221674876849</v>
      </c>
      <c r="B1322" s="20">
        <f>=F1322/12</f>
        <v>16.725</v>
      </c>
      <c r="C1322" s="20">
        <f>=J1322/3</f>
        <v>133.8</v>
      </c>
      <c r="D1322" s="20">
        <f>=K1322/3</f>
        <v>148.666666666667</v>
      </c>
      <c r="E1322" s="20">
        <f>=L1322/3</f>
        <v>156.1</v>
      </c>
      <c r="F1322" s="20">
        <f>=H1322*0.9</f>
        <v>200.7</v>
      </c>
      <c r="G1322" s="21">
        <v>203</v>
      </c>
      <c r="H1322" s="39">
        <v>223</v>
      </c>
      <c r="I1322" s="40">
        <f>=H1322*1.05</f>
        <v>234.15</v>
      </c>
      <c r="J1322" s="40">
        <f>=F1322*2</f>
        <v>401.4</v>
      </c>
      <c r="K1322" s="40">
        <f>=H1322*2</f>
        <v>446</v>
      </c>
      <c r="L1322" s="40">
        <f>=I1322*2</f>
        <v>468.3</v>
      </c>
      <c r="M1322" s="41" t="s">
        <v>1445</v>
      </c>
      <c r="N1322" s="41">
        <v>0.064</v>
      </c>
      <c r="O1322" s="41" t="s"/>
      <c r="P1322" s="41">
        <v>1</v>
      </c>
      <c r="Q1322" s="41">
        <v>1</v>
      </c>
      <c r="R1322" s="41" t="s">
        <v>16</v>
      </c>
      <c r="S1322" s="41" t="s">
        <v>17</v>
      </c>
      <c r="T1322" s="41" t="s">
        <v>1098</v>
      </c>
      <c r="U1322" s="16" t="s">
        <v>13</v>
      </c>
      <c r="V1322" s="16" t="s">
        <v>1446</v>
      </c>
      <c r="W1322" s="19" t="s"/>
      <c r="X1322" s="26" t="s">
        <f>=M1322&amp;N1322&amp;P1322&amp;Q1322&amp;T1322&amp;V1322&amp;S1322</f>
        <v>1447</v>
      </c>
      <c r="Y1322" s="19" t="s"/>
      <c r="Z1322" s="19" t="s"/>
      <c r="AA1322" s="19" t="s"/>
      <c r="AB1322" s="19" t="s"/>
    </row>
    <row r="1323" spans="1:28" ht="14.4">
      <c r="A1323" s="4">
        <f>=H1323/G1323-1</f>
        <v>0.100478468899522</v>
      </c>
      <c r="B1323" s="20">
        <f>=F1323/12</f>
        <v>17.25</v>
      </c>
      <c r="C1323" s="20">
        <f>=J1323/3</f>
        <v>138</v>
      </c>
      <c r="D1323" s="20">
        <f>=K1323/3</f>
        <v>153.333333333333</v>
      </c>
      <c r="E1323" s="20">
        <f>=L1323/3</f>
        <v>161</v>
      </c>
      <c r="F1323" s="20">
        <f>=H1323*0.9</f>
        <v>207</v>
      </c>
      <c r="G1323" s="21">
        <v>209</v>
      </c>
      <c r="H1323" s="39">
        <v>230</v>
      </c>
      <c r="I1323" s="40">
        <f>=H1323*1.05</f>
        <v>241.5</v>
      </c>
      <c r="J1323" s="40">
        <f>=F1323*2</f>
        <v>414</v>
      </c>
      <c r="K1323" s="40">
        <f>=H1323*2</f>
        <v>460</v>
      </c>
      <c r="L1323" s="40">
        <f>=I1323*2</f>
        <v>483</v>
      </c>
      <c r="M1323" s="41" t="s">
        <v>1445</v>
      </c>
      <c r="N1323" s="41">
        <v>0.076</v>
      </c>
      <c r="O1323" s="41" t="s"/>
      <c r="P1323" s="41">
        <v>1</v>
      </c>
      <c r="Q1323" s="41">
        <v>1</v>
      </c>
      <c r="R1323" s="41" t="s">
        <v>16</v>
      </c>
      <c r="S1323" s="41" t="s">
        <v>17</v>
      </c>
      <c r="T1323" s="41" t="s">
        <v>1098</v>
      </c>
      <c r="U1323" s="16" t="s">
        <v>13</v>
      </c>
      <c r="V1323" s="16" t="s">
        <v>1446</v>
      </c>
      <c r="W1323" s="19" t="s"/>
      <c r="X1323" s="26" t="s">
        <f>=M1323&amp;N1323&amp;P1323&amp;Q1323&amp;T1323&amp;V1323&amp;S1323</f>
        <v>1448</v>
      </c>
      <c r="Y1323" s="19" t="s"/>
      <c r="Z1323" s="19" t="s"/>
      <c r="AA1323" s="19" t="s"/>
      <c r="AB1323" s="19" t="s"/>
    </row>
    <row r="1324" spans="1:29" ht="14.4">
      <c r="A1324" s="49">
        <v>46177</v>
      </c>
      <c r="B1324" s="43">
        <f>=F1324/12</f>
        <v>19.5</v>
      </c>
      <c r="C1324" s="43">
        <f>=J1324/3</f>
        <v>156</v>
      </c>
      <c r="D1324" s="43">
        <f>=K1324/3</f>
        <v>173.333333333333</v>
      </c>
      <c r="E1324" s="43">
        <f>=L1324/3</f>
        <v>182</v>
      </c>
      <c r="F1324" s="43">
        <f>=H1324*0.9</f>
        <v>234</v>
      </c>
      <c r="G1324" s="27">
        <v>209</v>
      </c>
      <c r="H1324" s="44">
        <v>260</v>
      </c>
      <c r="I1324" s="45">
        <f>=H1324*1.05</f>
        <v>273</v>
      </c>
      <c r="J1324" s="45">
        <f>=F1324*2</f>
        <v>468</v>
      </c>
      <c r="K1324" s="45">
        <f>=H1324*2</f>
        <v>520</v>
      </c>
      <c r="L1324" s="45">
        <f>=I1324*2</f>
        <v>546</v>
      </c>
      <c r="M1324" s="46" t="s">
        <v>1445</v>
      </c>
      <c r="N1324" s="46">
        <v>0.076</v>
      </c>
      <c r="O1324" s="46" t="s"/>
      <c r="P1324" s="46">
        <v>1</v>
      </c>
      <c r="Q1324" s="46">
        <v>1</v>
      </c>
      <c r="R1324" s="46" t="s">
        <v>16</v>
      </c>
      <c r="S1324" s="46" t="s">
        <v>17</v>
      </c>
      <c r="T1324" s="46" t="s">
        <v>1098</v>
      </c>
      <c r="U1324" s="13" t="s">
        <v>13</v>
      </c>
      <c r="V1324" s="11" t="s">
        <v>1083</v>
      </c>
      <c r="W1324" s="15" t="s"/>
      <c r="X1324" s="18" t="s">
        <f>=M1324&amp;N1324&amp;P1324&amp;Q1324&amp;T1324&amp;V1324&amp;S1324</f>
        <v>1449</v>
      </c>
      <c r="Y1324" s="15" t="s"/>
      <c r="Z1324" s="15" t="s"/>
      <c r="AA1324" s="15" t="s"/>
      <c r="AB1324" s="15" t="s"/>
      <c r="AC1324" s="48" t="s"/>
    </row>
    <row r="1325" spans="1:28" ht="14.4">
      <c r="A1325" s="4">
        <f>=H1325/G1325-1</f>
        <v>0.0988593155893536</v>
      </c>
      <c r="B1325" s="20">
        <f>=F1325/12</f>
        <v>21.675</v>
      </c>
      <c r="C1325" s="20">
        <f>=J1325/3</f>
        <v>173.4</v>
      </c>
      <c r="D1325" s="20">
        <f>=K1325/3</f>
        <v>192.666666666667</v>
      </c>
      <c r="E1325" s="20">
        <f>=L1325/3</f>
        <v>202.3</v>
      </c>
      <c r="F1325" s="20">
        <f>=H1325*0.9</f>
        <v>260.1</v>
      </c>
      <c r="G1325" s="21">
        <v>263</v>
      </c>
      <c r="H1325" s="39">
        <v>289</v>
      </c>
      <c r="I1325" s="40">
        <f>=H1325*1.05</f>
        <v>303.45</v>
      </c>
      <c r="J1325" s="40">
        <f>=F1325*2</f>
        <v>520.2</v>
      </c>
      <c r="K1325" s="40">
        <f>=H1325*2</f>
        <v>578</v>
      </c>
      <c r="L1325" s="40">
        <f>=I1325*2</f>
        <v>606.9</v>
      </c>
      <c r="M1325" s="41" t="s">
        <v>1445</v>
      </c>
      <c r="N1325" s="41">
        <v>0.076</v>
      </c>
      <c r="O1325" s="41" t="s"/>
      <c r="P1325" s="41">
        <v>2</v>
      </c>
      <c r="Q1325" s="41">
        <v>2</v>
      </c>
      <c r="R1325" s="41" t="s">
        <v>16</v>
      </c>
      <c r="S1325" s="41" t="s">
        <v>17</v>
      </c>
      <c r="T1325" s="41" t="s">
        <v>18</v>
      </c>
      <c r="U1325" s="16" t="s">
        <v>13</v>
      </c>
      <c r="V1325" s="16" t="s">
        <v>215</v>
      </c>
      <c r="W1325" s="19" t="s"/>
      <c r="X1325" s="26" t="s">
        <f>=M1325&amp;N1325&amp;P1325&amp;Q1325&amp;T1325&amp;V1325&amp;S1325</f>
        <v>1450</v>
      </c>
      <c r="Y1325" s="19" t="s"/>
      <c r="Z1325" s="19" t="s"/>
      <c r="AA1325" s="19" t="s"/>
      <c r="AB1325" s="19" t="s"/>
    </row>
    <row r="1326" spans="1:28" ht="14.4">
      <c r="A1326" s="4">
        <f>=H1326/G1326-1</f>
        <v>0.101503759398496</v>
      </c>
      <c r="B1326" s="20">
        <f>=F1326/12</f>
        <v>21.975</v>
      </c>
      <c r="C1326" s="20">
        <f>=J1326/3</f>
        <v>175.8</v>
      </c>
      <c r="D1326" s="20">
        <f>=K1326/3</f>
        <v>195.333333333333</v>
      </c>
      <c r="E1326" s="20">
        <f>=L1326/3</f>
        <v>205.1</v>
      </c>
      <c r="F1326" s="20">
        <f>=H1326*0.9</f>
        <v>263.7</v>
      </c>
      <c r="G1326" s="21">
        <v>266</v>
      </c>
      <c r="H1326" s="39">
        <v>293</v>
      </c>
      <c r="I1326" s="40">
        <f>=H1326*1.05</f>
        <v>307.65</v>
      </c>
      <c r="J1326" s="40">
        <f>=F1326*2</f>
        <v>527.4</v>
      </c>
      <c r="K1326" s="40">
        <f>=H1326*2</f>
        <v>586</v>
      </c>
      <c r="L1326" s="40">
        <f>=I1326*2</f>
        <v>615.3</v>
      </c>
      <c r="M1326" s="41" t="s">
        <v>1445</v>
      </c>
      <c r="N1326" s="41">
        <v>0.076</v>
      </c>
      <c r="O1326" s="41" t="s"/>
      <c r="P1326" s="41">
        <v>2</v>
      </c>
      <c r="Q1326" s="41">
        <v>2</v>
      </c>
      <c r="R1326" s="41" t="s">
        <v>16</v>
      </c>
      <c r="S1326" s="41" t="s">
        <v>17</v>
      </c>
      <c r="T1326" s="41" t="s">
        <v>1098</v>
      </c>
      <c r="U1326" s="16" t="s">
        <v>13</v>
      </c>
      <c r="V1326" s="16" t="s">
        <v>215</v>
      </c>
      <c r="W1326" s="19" t="s"/>
      <c r="X1326" s="26" t="s">
        <f>=M1326&amp;N1326&amp;P1326&amp;Q1326&amp;T1326&amp;V1326&amp;S1326</f>
        <v>1451</v>
      </c>
      <c r="Y1326" s="19" t="s"/>
      <c r="Z1326" s="19" t="s"/>
      <c r="AA1326" s="19" t="s"/>
      <c r="AB1326" s="19" t="s"/>
    </row>
    <row r="1327" spans="1:28" ht="14.4">
      <c r="A1327" s="4">
        <f>=H1327/G1327-1</f>
        <v>0.1005291005291</v>
      </c>
      <c r="B1327" s="20">
        <f>=F1327/12</f>
        <v>15.6</v>
      </c>
      <c r="C1327" s="20">
        <f>=J1327/3</f>
        <v>124.8</v>
      </c>
      <c r="D1327" s="20">
        <f>=K1327/3</f>
        <v>138.666666666667</v>
      </c>
      <c r="E1327" s="20">
        <f>=L1327/3</f>
        <v>145.6</v>
      </c>
      <c r="F1327" s="20">
        <f>=H1327*0.9</f>
        <v>187.2</v>
      </c>
      <c r="G1327" s="21">
        <v>189</v>
      </c>
      <c r="H1327" s="39">
        <v>208</v>
      </c>
      <c r="I1327" s="40">
        <f>=H1327*1.05</f>
        <v>218.4</v>
      </c>
      <c r="J1327" s="40">
        <f>=F1327*2</f>
        <v>374.4</v>
      </c>
      <c r="K1327" s="40">
        <f>=H1327*2</f>
        <v>416</v>
      </c>
      <c r="L1327" s="40">
        <f>=I1327*2</f>
        <v>436.8</v>
      </c>
      <c r="M1327" s="41" t="s">
        <v>1445</v>
      </c>
      <c r="N1327" s="41">
        <v>0.076</v>
      </c>
      <c r="O1327" s="41" t="s"/>
      <c r="P1327" s="41" t="s">
        <v>21</v>
      </c>
      <c r="Q1327" s="41" t="s">
        <v>21</v>
      </c>
      <c r="R1327" s="41" t="s">
        <v>16</v>
      </c>
      <c r="S1327" s="41" t="s">
        <v>17</v>
      </c>
      <c r="T1327" s="41" t="s">
        <v>1098</v>
      </c>
      <c r="U1327" s="16" t="s">
        <v>13</v>
      </c>
      <c r="V1327" s="16" t="s">
        <v>1446</v>
      </c>
      <c r="W1327" s="19" t="s"/>
      <c r="X1327" s="26" t="s">
        <f>=M1327&amp;N1327&amp;P1327&amp;Q1327&amp;T1327&amp;V1327&amp;S1327</f>
        <v>1452</v>
      </c>
      <c r="Y1327" s="19" t="s"/>
      <c r="Z1327" s="19" t="s"/>
      <c r="AA1327" s="19" t="s"/>
      <c r="AB1327" s="19" t="s"/>
    </row>
    <row r="1328" spans="1:28" ht="14.4">
      <c r="A1328" s="4">
        <f>=H1328/G1328-1</f>
        <v>0.0985915492957748</v>
      </c>
      <c r="B1328" s="20">
        <f>=F1328/12</f>
        <v>17.55</v>
      </c>
      <c r="C1328" s="20">
        <f>=J1328/3</f>
        <v>140.4</v>
      </c>
      <c r="D1328" s="20">
        <f>=K1328/3</f>
        <v>156</v>
      </c>
      <c r="E1328" s="20">
        <f>=L1328/3</f>
        <v>163.8</v>
      </c>
      <c r="F1328" s="20">
        <f>=H1328*0.9</f>
        <v>210.6</v>
      </c>
      <c r="G1328" s="21">
        <v>213</v>
      </c>
      <c r="H1328" s="39">
        <v>234</v>
      </c>
      <c r="I1328" s="40">
        <f>=H1328*1.05</f>
        <v>245.7</v>
      </c>
      <c r="J1328" s="40">
        <f>=F1328*2</f>
        <v>421.2</v>
      </c>
      <c r="K1328" s="40">
        <f>=H1328*2</f>
        <v>468</v>
      </c>
      <c r="L1328" s="40">
        <f>=I1328*2</f>
        <v>491.4</v>
      </c>
      <c r="M1328" s="41" t="s">
        <v>1445</v>
      </c>
      <c r="N1328" s="41">
        <v>0.076</v>
      </c>
      <c r="O1328" s="41" t="s"/>
      <c r="P1328" s="41" t="s">
        <v>21</v>
      </c>
      <c r="Q1328" s="41">
        <v>1</v>
      </c>
      <c r="R1328" s="41" t="s">
        <v>16</v>
      </c>
      <c r="S1328" s="41" t="s">
        <v>17</v>
      </c>
      <c r="T1328" s="41" t="s">
        <v>1098</v>
      </c>
      <c r="U1328" s="16" t="s">
        <v>13</v>
      </c>
      <c r="V1328" s="16" t="s">
        <v>1446</v>
      </c>
      <c r="W1328" s="19" t="s"/>
      <c r="X1328" s="26" t="s">
        <f>=M1328&amp;N1328&amp;P1328&amp;Q1328&amp;T1328&amp;V1328&amp;S1328</f>
        <v>1453</v>
      </c>
      <c r="Y1328" s="19" t="s"/>
      <c r="Z1328" s="19" t="s"/>
      <c r="AA1328" s="19" t="s"/>
      <c r="AB1328" s="19" t="s"/>
    </row>
    <row r="1329" spans="1:28" ht="14.4">
      <c r="A1329" s="4">
        <f>=H1329/G1329-1</f>
        <v>0.100806451612903</v>
      </c>
      <c r="B1329" s="20">
        <f>=F1329/12</f>
        <v>20.475</v>
      </c>
      <c r="C1329" s="20">
        <f>=J1329/3</f>
        <v>163.8</v>
      </c>
      <c r="D1329" s="20">
        <f>=K1329/3</f>
        <v>182</v>
      </c>
      <c r="E1329" s="20">
        <f>=L1329/3</f>
        <v>191.1</v>
      </c>
      <c r="F1329" s="20">
        <f>=H1329*0.9</f>
        <v>245.7</v>
      </c>
      <c r="G1329" s="21">
        <v>248</v>
      </c>
      <c r="H1329" s="39">
        <v>273</v>
      </c>
      <c r="I1329" s="40">
        <f>=H1329*1.05</f>
        <v>286.65</v>
      </c>
      <c r="J1329" s="40">
        <f>=F1329*2</f>
        <v>491.4</v>
      </c>
      <c r="K1329" s="40">
        <f>=H1329*2</f>
        <v>546</v>
      </c>
      <c r="L1329" s="40">
        <f>=I1329*2</f>
        <v>573.3</v>
      </c>
      <c r="M1329" s="41" t="s">
        <v>1445</v>
      </c>
      <c r="N1329" s="41">
        <v>0.089</v>
      </c>
      <c r="O1329" s="41" t="s"/>
      <c r="P1329" s="41" t="s">
        <v>21</v>
      </c>
      <c r="Q1329" s="41" t="s">
        <v>21</v>
      </c>
      <c r="R1329" s="41" t="s">
        <v>16</v>
      </c>
      <c r="S1329" s="41" t="s">
        <v>17</v>
      </c>
      <c r="T1329" s="41" t="s">
        <v>1078</v>
      </c>
      <c r="U1329" s="16" t="s">
        <v>13</v>
      </c>
      <c r="V1329" s="16" t="s">
        <v>1446</v>
      </c>
      <c r="W1329" s="19" t="s"/>
      <c r="X1329" s="26" t="s">
        <f>=M1329&amp;N1329&amp;P1329&amp;Q1329&amp;T1329&amp;V1329&amp;S1329</f>
        <v>1454</v>
      </c>
      <c r="Y1329" s="19" t="s"/>
      <c r="Z1329" s="19" t="s"/>
      <c r="AA1329" s="19" t="s"/>
      <c r="AB1329" s="19" t="s"/>
    </row>
    <row r="1330" spans="1:28" ht="14.4">
      <c r="A1330" s="4">
        <f>=H1330/G1330-1</f>
        <v>0.0996884735202493</v>
      </c>
      <c r="B1330" s="20">
        <f>=F1330/12</f>
        <v>26.475</v>
      </c>
      <c r="C1330" s="20">
        <f>=J1330/3</f>
        <v>211.8</v>
      </c>
      <c r="D1330" s="20">
        <f>=K1330/3</f>
        <v>235.333333333333</v>
      </c>
      <c r="E1330" s="20">
        <f>=L1330/3</f>
        <v>247.1</v>
      </c>
      <c r="F1330" s="20">
        <f>=H1330*0.9</f>
        <v>317.7</v>
      </c>
      <c r="G1330" s="21">
        <v>321</v>
      </c>
      <c r="H1330" s="39">
        <v>353</v>
      </c>
      <c r="I1330" s="40">
        <f>=H1330*1.05</f>
        <v>370.65</v>
      </c>
      <c r="J1330" s="40">
        <f>=F1330*2</f>
        <v>635.4</v>
      </c>
      <c r="K1330" s="40">
        <f>=H1330*2</f>
        <v>706</v>
      </c>
      <c r="L1330" s="40">
        <f>=I1330*2</f>
        <v>741.3</v>
      </c>
      <c r="M1330" s="41" t="s">
        <v>1445</v>
      </c>
      <c r="N1330" s="41">
        <v>0.089</v>
      </c>
      <c r="O1330" s="41" t="s"/>
      <c r="P1330" s="41">
        <v>1</v>
      </c>
      <c r="Q1330" s="41">
        <v>1</v>
      </c>
      <c r="R1330" s="41" t="s">
        <v>16</v>
      </c>
      <c r="S1330" s="41" t="s">
        <v>17</v>
      </c>
      <c r="T1330" s="41" t="s">
        <v>1078</v>
      </c>
      <c r="U1330" s="16" t="s">
        <v>13</v>
      </c>
      <c r="V1330" s="16" t="s">
        <v>1446</v>
      </c>
      <c r="W1330" s="19" t="s"/>
      <c r="X1330" s="26" t="s">
        <f>=M1330&amp;N1330&amp;P1330&amp;Q1330&amp;T1330&amp;V1330&amp;S1330</f>
        <v>1455</v>
      </c>
      <c r="Y1330" s="19" t="s"/>
      <c r="Z1330" s="19" t="s"/>
      <c r="AA1330" s="19" t="s"/>
      <c r="AB1330" s="19" t="s"/>
    </row>
    <row r="1331" spans="1:28" ht="14.4">
      <c r="A1331" s="4">
        <f>=H1331/G1331-1</f>
        <v>0.099056603773585</v>
      </c>
      <c r="B1331" s="20">
        <f>=F1331/12</f>
        <v>34.95</v>
      </c>
      <c r="C1331" s="20">
        <f>=J1331/3</f>
        <v>279.6</v>
      </c>
      <c r="D1331" s="20">
        <f>=K1331/3</f>
        <v>310.666666666667</v>
      </c>
      <c r="E1331" s="20">
        <f>=L1331/3</f>
        <v>326.2</v>
      </c>
      <c r="F1331" s="20">
        <f>=H1331*0.9</f>
        <v>419.4</v>
      </c>
      <c r="G1331" s="21">
        <v>424</v>
      </c>
      <c r="H1331" s="39">
        <v>466</v>
      </c>
      <c r="I1331" s="40">
        <f>=H1331*1.05</f>
        <v>489.3</v>
      </c>
      <c r="J1331" s="40">
        <f>=F1331*2</f>
        <v>838.8</v>
      </c>
      <c r="K1331" s="40">
        <f>=H1331*2</f>
        <v>932</v>
      </c>
      <c r="L1331" s="40">
        <f>=I1331*2</f>
        <v>978.6</v>
      </c>
      <c r="M1331" s="41" t="s">
        <v>1445</v>
      </c>
      <c r="N1331" s="41">
        <v>0.089</v>
      </c>
      <c r="O1331" s="41" t="s"/>
      <c r="P1331" s="41">
        <v>2</v>
      </c>
      <c r="Q1331" s="41">
        <v>2</v>
      </c>
      <c r="R1331" s="41" t="s">
        <v>16</v>
      </c>
      <c r="S1331" s="41" t="s">
        <v>17</v>
      </c>
      <c r="T1331" s="41" t="s">
        <v>1078</v>
      </c>
      <c r="U1331" s="16" t="s">
        <v>13</v>
      </c>
      <c r="V1331" s="16" t="s">
        <v>215</v>
      </c>
      <c r="W1331" s="19" t="s"/>
      <c r="X1331" s="26" t="s">
        <f>=M1331&amp;N1331&amp;P1331&amp;Q1331&amp;T1331&amp;V1331&amp;S1331</f>
        <v>1456</v>
      </c>
      <c r="Y1331" s="19" t="s"/>
      <c r="Z1331" s="19" t="s"/>
      <c r="AA1331" s="19" t="s"/>
      <c r="AB1331" s="19" t="s"/>
    </row>
    <row r="1332" spans="1:28" ht="14.4">
      <c r="A1332" s="4">
        <f>=H1332/G1332-1</f>
        <v>0.1</v>
      </c>
      <c r="B1332" s="20">
        <f>=F1332/12</f>
        <v>17.325</v>
      </c>
      <c r="C1332" s="20">
        <f>=J1332/3</f>
        <v>138.6</v>
      </c>
      <c r="D1332" s="20">
        <f>=K1332/3</f>
        <v>154</v>
      </c>
      <c r="E1332" s="20">
        <f>=L1332/3</f>
        <v>161.7</v>
      </c>
      <c r="F1332" s="20">
        <f>=H1332*0.9</f>
        <v>207.9</v>
      </c>
      <c r="G1332" s="21">
        <v>210</v>
      </c>
      <c r="H1332" s="39">
        <v>231</v>
      </c>
      <c r="I1332" s="40">
        <f>=H1332*1.05</f>
        <v>242.55</v>
      </c>
      <c r="J1332" s="40">
        <f>=F1332*2</f>
        <v>415.8</v>
      </c>
      <c r="K1332" s="40">
        <f>=H1332*2</f>
        <v>462</v>
      </c>
      <c r="L1332" s="40">
        <f>=I1332*2</f>
        <v>485.1</v>
      </c>
      <c r="M1332" s="41" t="s">
        <v>1445</v>
      </c>
      <c r="N1332" s="41">
        <v>0.102</v>
      </c>
      <c r="O1332" s="41" t="s"/>
      <c r="P1332" s="41">
        <v>1</v>
      </c>
      <c r="Q1332" s="41">
        <v>1</v>
      </c>
      <c r="R1332" s="41" t="s">
        <v>16</v>
      </c>
      <c r="S1332" s="41" t="s">
        <v>17</v>
      </c>
      <c r="T1332" s="41" t="s">
        <v>639</v>
      </c>
      <c r="U1332" s="16" t="s">
        <v>13</v>
      </c>
      <c r="V1332" s="16" t="s">
        <v>1446</v>
      </c>
      <c r="W1332" s="19" t="s"/>
      <c r="X1332" s="26" t="s">
        <f>=M1332&amp;N1332&amp;P1332&amp;Q1332&amp;T1332&amp;V1332&amp;S1332</f>
        <v>1457</v>
      </c>
      <c r="Y1332" s="19" t="s"/>
      <c r="Z1332" s="19" t="s"/>
      <c r="AA1332" s="19" t="s"/>
      <c r="AB1332" s="19" t="s"/>
    </row>
    <row r="1333" spans="1:28" ht="14.4">
      <c r="A1333" s="4">
        <f>=H1333/G1333-1</f>
        <v>0.101754385964912</v>
      </c>
      <c r="B1333" s="20">
        <f>=F1333/12</f>
        <v>23.55</v>
      </c>
      <c r="C1333" s="20">
        <f>=J1333/3</f>
        <v>188.4</v>
      </c>
      <c r="D1333" s="20">
        <f>=K1333/3</f>
        <v>209.333333333333</v>
      </c>
      <c r="E1333" s="20">
        <f>=L1333/3</f>
        <v>219.8</v>
      </c>
      <c r="F1333" s="20">
        <f>=H1333*0.9</f>
        <v>282.6</v>
      </c>
      <c r="G1333" s="21">
        <v>285</v>
      </c>
      <c r="H1333" s="39">
        <v>314</v>
      </c>
      <c r="I1333" s="40">
        <f>=H1333*1.05</f>
        <v>329.7</v>
      </c>
      <c r="J1333" s="40">
        <f>=F1333*2</f>
        <v>565.2</v>
      </c>
      <c r="K1333" s="40">
        <f>=H1333*2</f>
        <v>628</v>
      </c>
      <c r="L1333" s="40">
        <f>=I1333*2</f>
        <v>659.4</v>
      </c>
      <c r="M1333" s="41" t="s">
        <v>1445</v>
      </c>
      <c r="N1333" s="41">
        <v>0.102</v>
      </c>
      <c r="O1333" s="41" t="s"/>
      <c r="P1333" s="41">
        <v>1</v>
      </c>
      <c r="Q1333" s="41">
        <v>1</v>
      </c>
      <c r="R1333" s="41" t="s">
        <v>16</v>
      </c>
      <c r="S1333" s="41" t="s">
        <v>17</v>
      </c>
      <c r="T1333" s="41" t="s">
        <v>1078</v>
      </c>
      <c r="U1333" s="16" t="s">
        <v>13</v>
      </c>
      <c r="V1333" s="16" t="s">
        <v>1083</v>
      </c>
      <c r="W1333" s="19" t="s"/>
      <c r="X1333" s="26" t="s">
        <f>=M1333&amp;N1333&amp;P1333&amp;Q1333&amp;T1333&amp;V1333&amp;S1333</f>
        <v>1458</v>
      </c>
      <c r="Y1333" s="19" t="s"/>
      <c r="Z1333" s="19" t="s"/>
      <c r="AA1333" s="19" t="s"/>
      <c r="AB1333" s="19" t="s"/>
    </row>
    <row r="1334" spans="1:28" ht="14.4">
      <c r="A1334" s="4">
        <f>=H1334/G1334-1</f>
        <v>0.0995670995670997</v>
      </c>
      <c r="B1334" s="20">
        <f>=F1334/12</f>
        <v>19.05</v>
      </c>
      <c r="C1334" s="20">
        <f>=J1334/3</f>
        <v>152.4</v>
      </c>
      <c r="D1334" s="20">
        <f>=K1334/3</f>
        <v>169.333333333333</v>
      </c>
      <c r="E1334" s="20">
        <f>=L1334/3</f>
        <v>177.8</v>
      </c>
      <c r="F1334" s="20">
        <f>=H1334*0.9</f>
        <v>228.6</v>
      </c>
      <c r="G1334" s="21">
        <v>231</v>
      </c>
      <c r="H1334" s="39">
        <v>254</v>
      </c>
      <c r="I1334" s="40">
        <f>=H1334*1.05</f>
        <v>266.7</v>
      </c>
      <c r="J1334" s="40">
        <f>=F1334*2</f>
        <v>457.2</v>
      </c>
      <c r="K1334" s="40">
        <f>=H1334*2</f>
        <v>508</v>
      </c>
      <c r="L1334" s="40">
        <f>=I1334*2</f>
        <v>533.4</v>
      </c>
      <c r="M1334" s="41" t="s">
        <v>1445</v>
      </c>
      <c r="N1334" s="41">
        <v>0.102</v>
      </c>
      <c r="O1334" s="41" t="s"/>
      <c r="P1334" s="41">
        <v>1</v>
      </c>
      <c r="Q1334" s="41">
        <v>1</v>
      </c>
      <c r="R1334" s="41" t="s">
        <v>16</v>
      </c>
      <c r="S1334" s="41" t="s">
        <v>17</v>
      </c>
      <c r="T1334" s="41" t="s">
        <v>1078</v>
      </c>
      <c r="U1334" s="16" t="s">
        <v>13</v>
      </c>
      <c r="V1334" s="16" t="s">
        <v>1446</v>
      </c>
      <c r="W1334" s="19" t="s"/>
      <c r="X1334" s="26" t="s">
        <f>=M1334&amp;N1334&amp;P1334&amp;Q1334&amp;T1334&amp;V1334&amp;S1334</f>
        <v>1459</v>
      </c>
      <c r="Y1334" s="19" t="s"/>
      <c r="Z1334" s="19" t="s"/>
      <c r="AA1334" s="19" t="s"/>
      <c r="AB1334" s="19" t="s"/>
    </row>
    <row r="1335" spans="1:28" ht="14.4">
      <c r="A1335" s="4">
        <f>=H1335/G1335-1</f>
        <v>0.0991379310344827</v>
      </c>
      <c r="B1335" s="20">
        <f>=F1335/12</f>
        <v>19.125</v>
      </c>
      <c r="C1335" s="20">
        <f>=J1335/3</f>
        <v>153</v>
      </c>
      <c r="D1335" s="20">
        <f>=K1335/3</f>
        <v>170</v>
      </c>
      <c r="E1335" s="20">
        <f>=L1335/3</f>
        <v>178.5</v>
      </c>
      <c r="F1335" s="20">
        <f>=H1335*0.9</f>
        <v>229.5</v>
      </c>
      <c r="G1335" s="21">
        <v>232</v>
      </c>
      <c r="H1335" s="39">
        <v>255</v>
      </c>
      <c r="I1335" s="40">
        <f>=H1335*1.05</f>
        <v>267.75</v>
      </c>
      <c r="J1335" s="40">
        <f>=F1335*2</f>
        <v>459</v>
      </c>
      <c r="K1335" s="40">
        <f>=H1335*2</f>
        <v>510</v>
      </c>
      <c r="L1335" s="40">
        <f>=I1335*2</f>
        <v>535.5</v>
      </c>
      <c r="M1335" s="41" t="s">
        <v>1445</v>
      </c>
      <c r="N1335" s="41">
        <v>0.102</v>
      </c>
      <c r="O1335" s="41" t="s"/>
      <c r="P1335" s="41">
        <v>1</v>
      </c>
      <c r="Q1335" s="41" t="s">
        <v>21</v>
      </c>
      <c r="R1335" s="41" t="s">
        <v>16</v>
      </c>
      <c r="S1335" s="41" t="s">
        <v>17</v>
      </c>
      <c r="T1335" s="41" t="s">
        <v>639</v>
      </c>
      <c r="U1335" s="16" t="s">
        <v>13</v>
      </c>
      <c r="V1335" s="16" t="s">
        <v>1446</v>
      </c>
      <c r="W1335" s="19" t="s"/>
      <c r="X1335" s="26" t="s">
        <f>=M1335&amp;N1335&amp;P1335&amp;Q1335&amp;T1335&amp;V1335&amp;S1335</f>
        <v>1460</v>
      </c>
      <c r="Y1335" s="19" t="s"/>
      <c r="Z1335" s="19" t="s"/>
      <c r="AA1335" s="19" t="s"/>
      <c r="AB1335" s="19" t="s"/>
    </row>
    <row r="1336" spans="1:28" ht="14.4">
      <c r="A1336" s="4">
        <f>=H1336/G1336-1</f>
        <v>0.0985915492957748</v>
      </c>
      <c r="B1336" s="20">
        <f>=F1336/12</f>
        <v>23.4</v>
      </c>
      <c r="C1336" s="20">
        <f>=J1336/3</f>
        <v>187.2</v>
      </c>
      <c r="D1336" s="20">
        <f>=K1336/3</f>
        <v>208</v>
      </c>
      <c r="E1336" s="20">
        <f>=L1336/3</f>
        <v>218.4</v>
      </c>
      <c r="F1336" s="20">
        <f>=H1336*0.9</f>
        <v>280.8</v>
      </c>
      <c r="G1336" s="21">
        <v>284</v>
      </c>
      <c r="H1336" s="39">
        <v>312</v>
      </c>
      <c r="I1336" s="40">
        <f>=H1336*1.05</f>
        <v>327.6</v>
      </c>
      <c r="J1336" s="40">
        <f>=F1336*2</f>
        <v>561.6</v>
      </c>
      <c r="K1336" s="40">
        <f>=H1336*2</f>
        <v>624</v>
      </c>
      <c r="L1336" s="40">
        <f>=I1336*2</f>
        <v>655.2</v>
      </c>
      <c r="M1336" s="41" t="s">
        <v>1445</v>
      </c>
      <c r="N1336" s="41">
        <v>0.102</v>
      </c>
      <c r="O1336" s="41" t="s"/>
      <c r="P1336" s="41">
        <v>1</v>
      </c>
      <c r="Q1336" s="41">
        <v>2</v>
      </c>
      <c r="R1336" s="41" t="s">
        <v>16</v>
      </c>
      <c r="S1336" s="41" t="s">
        <v>17</v>
      </c>
      <c r="T1336" s="41" t="s">
        <v>1078</v>
      </c>
      <c r="U1336" s="16" t="s">
        <v>13</v>
      </c>
      <c r="V1336" s="16" t="s">
        <v>1461</v>
      </c>
      <c r="W1336" s="19" t="s"/>
      <c r="X1336" s="26" t="s">
        <f>=M1336&amp;N1336&amp;P1336&amp;Q1336&amp;T1336&amp;V1336&amp;S1336</f>
        <v>1462</v>
      </c>
      <c r="Y1336" s="19" t="s"/>
      <c r="Z1336" s="19" t="s"/>
      <c r="AA1336" s="19" t="s"/>
      <c r="AB1336" s="19" t="s"/>
    </row>
    <row r="1337" spans="1:28" ht="14.4">
      <c r="A1337" s="4">
        <f>=H1337/G1337-1</f>
        <v>0.098901098901099</v>
      </c>
      <c r="B1337" s="20">
        <f>=F1337/12</f>
        <v>22.5</v>
      </c>
      <c r="C1337" s="20">
        <f>=J1337/3</f>
        <v>180</v>
      </c>
      <c r="D1337" s="20">
        <f>=K1337/3</f>
        <v>200</v>
      </c>
      <c r="E1337" s="20">
        <f>=L1337/3</f>
        <v>210</v>
      </c>
      <c r="F1337" s="20">
        <f>=H1337*0.9</f>
        <v>270</v>
      </c>
      <c r="G1337" s="21">
        <v>273</v>
      </c>
      <c r="H1337" s="39">
        <v>300</v>
      </c>
      <c r="I1337" s="40">
        <f>=H1337*1.05</f>
        <v>315</v>
      </c>
      <c r="J1337" s="40">
        <f>=F1337*2</f>
        <v>540</v>
      </c>
      <c r="K1337" s="40">
        <f>=H1337*2</f>
        <v>600</v>
      </c>
      <c r="L1337" s="40">
        <f>=I1337*2</f>
        <v>630</v>
      </c>
      <c r="M1337" s="41" t="s">
        <v>1445</v>
      </c>
      <c r="N1337" s="41">
        <v>0.102</v>
      </c>
      <c r="O1337" s="41" t="s"/>
      <c r="P1337" s="41">
        <v>2</v>
      </c>
      <c r="Q1337" s="41">
        <v>2</v>
      </c>
      <c r="R1337" s="41" t="s">
        <v>16</v>
      </c>
      <c r="S1337" s="41" t="s">
        <v>17</v>
      </c>
      <c r="T1337" s="41" t="s">
        <v>639</v>
      </c>
      <c r="U1337" s="16" t="s">
        <v>13</v>
      </c>
      <c r="V1337" s="16" t="s">
        <v>215</v>
      </c>
      <c r="W1337" s="19" t="s"/>
      <c r="X1337" s="26" t="s">
        <f>=M1337&amp;N1337&amp;P1337&amp;Q1337&amp;T1337&amp;V1337&amp;S1337</f>
        <v>1463</v>
      </c>
      <c r="Y1337" s="19" t="s"/>
      <c r="Z1337" s="19" t="s"/>
      <c r="AA1337" s="19" t="s"/>
      <c r="AB1337" s="19" t="s"/>
    </row>
    <row r="1338" spans="1:28" ht="14.4">
      <c r="A1338" s="4">
        <f>=H1338/G1338-1</f>
        <v>0.1</v>
      </c>
      <c r="B1338" s="20">
        <f>=F1338/12</f>
        <v>26.4</v>
      </c>
      <c r="C1338" s="20">
        <f>=J1338/3</f>
        <v>211.2</v>
      </c>
      <c r="D1338" s="20">
        <f>=K1338/3</f>
        <v>234.666666666667</v>
      </c>
      <c r="E1338" s="20">
        <f>=L1338/3</f>
        <v>246.4</v>
      </c>
      <c r="F1338" s="20">
        <f>=H1338*0.9</f>
        <v>316.8</v>
      </c>
      <c r="G1338" s="21">
        <v>320</v>
      </c>
      <c r="H1338" s="39">
        <v>352</v>
      </c>
      <c r="I1338" s="40">
        <f>=H1338*1.05</f>
        <v>369.6</v>
      </c>
      <c r="J1338" s="40">
        <f>=F1338*2</f>
        <v>633.6</v>
      </c>
      <c r="K1338" s="40">
        <f>=H1338*2</f>
        <v>704</v>
      </c>
      <c r="L1338" s="40">
        <f>=I1338*2</f>
        <v>739.2</v>
      </c>
      <c r="M1338" s="41" t="s">
        <v>1445</v>
      </c>
      <c r="N1338" s="41">
        <v>0.102</v>
      </c>
      <c r="O1338" s="41" t="s"/>
      <c r="P1338" s="41">
        <v>2</v>
      </c>
      <c r="Q1338" s="41">
        <v>2</v>
      </c>
      <c r="R1338" s="41" t="s">
        <v>16</v>
      </c>
      <c r="S1338" s="41" t="s">
        <v>17</v>
      </c>
      <c r="T1338" s="41" t="s">
        <v>1078</v>
      </c>
      <c r="U1338" s="16" t="s">
        <v>13</v>
      </c>
      <c r="V1338" s="16" t="s">
        <v>215</v>
      </c>
      <c r="W1338" s="19" t="s"/>
      <c r="X1338" s="26" t="s">
        <f>=M1338&amp;N1338&amp;P1338&amp;Q1338&amp;T1338&amp;V1338&amp;S1338</f>
        <v>1464</v>
      </c>
      <c r="Y1338" s="19" t="s"/>
      <c r="Z1338" s="19" t="s"/>
      <c r="AA1338" s="19" t="s"/>
      <c r="AB1338" s="19" t="s"/>
    </row>
    <row r="1339" spans="1:28" ht="14.4">
      <c r="A1339" s="4">
        <f>=H1339/G1339-1</f>
        <v>0.0981595092024541</v>
      </c>
      <c r="B1339" s="20">
        <f>=F1339/12</f>
        <v>13.425</v>
      </c>
      <c r="C1339" s="20">
        <f>=J1339/3</f>
        <v>107.4</v>
      </c>
      <c r="D1339" s="20">
        <f>=K1339/3</f>
        <v>119.333333333333</v>
      </c>
      <c r="E1339" s="20">
        <f>=L1339/3</f>
        <v>125.3</v>
      </c>
      <c r="F1339" s="20">
        <f>=H1339*0.9</f>
        <v>161.1</v>
      </c>
      <c r="G1339" s="21">
        <v>163</v>
      </c>
      <c r="H1339" s="39">
        <v>179</v>
      </c>
      <c r="I1339" s="40">
        <f>=H1339*1.05</f>
        <v>187.95</v>
      </c>
      <c r="J1339" s="40">
        <f>=F1339*2</f>
        <v>322.2</v>
      </c>
      <c r="K1339" s="40">
        <f>=H1339*2</f>
        <v>358</v>
      </c>
      <c r="L1339" s="40">
        <f>=I1339*2</f>
        <v>375.9</v>
      </c>
      <c r="M1339" s="41" t="s">
        <v>1445</v>
      </c>
      <c r="N1339" s="41">
        <v>0.102</v>
      </c>
      <c r="O1339" s="41" t="s"/>
      <c r="P1339" s="41" t="s">
        <v>21</v>
      </c>
      <c r="Q1339" s="41" t="s">
        <v>21</v>
      </c>
      <c r="R1339" s="41" t="s">
        <v>16</v>
      </c>
      <c r="S1339" s="41" t="s">
        <v>17</v>
      </c>
      <c r="T1339" s="41" t="s">
        <v>18</v>
      </c>
      <c r="U1339" s="16" t="s">
        <v>13</v>
      </c>
      <c r="V1339" s="16" t="s">
        <v>1446</v>
      </c>
      <c r="W1339" s="19" t="s"/>
      <c r="X1339" s="26" t="s">
        <f>=M1339&amp;N1339&amp;P1339&amp;Q1339&amp;T1339&amp;V1339&amp;S1339</f>
        <v>1465</v>
      </c>
      <c r="Y1339" s="19" t="s"/>
      <c r="Z1339" s="19" t="s"/>
      <c r="AA1339" s="19" t="s"/>
      <c r="AB1339" s="19" t="s"/>
    </row>
    <row r="1340" spans="1:28" ht="14.4">
      <c r="A1340" s="4">
        <f>=H1340/G1340-1</f>
        <v>0.101190476190476</v>
      </c>
      <c r="B1340" s="20">
        <f>=F1340/12</f>
        <v>13.875</v>
      </c>
      <c r="C1340" s="20">
        <f>=J1340/3</f>
        <v>111</v>
      </c>
      <c r="D1340" s="20">
        <f>=K1340/3</f>
        <v>123.333333333333</v>
      </c>
      <c r="E1340" s="20">
        <f>=L1340/3</f>
        <v>129.5</v>
      </c>
      <c r="F1340" s="20">
        <f>=H1340*0.9</f>
        <v>166.5</v>
      </c>
      <c r="G1340" s="21">
        <v>168</v>
      </c>
      <c r="H1340" s="39">
        <v>185</v>
      </c>
      <c r="I1340" s="40">
        <f>=H1340*1.05</f>
        <v>194.25</v>
      </c>
      <c r="J1340" s="40">
        <f>=F1340*2</f>
        <v>333</v>
      </c>
      <c r="K1340" s="40">
        <f>=H1340*2</f>
        <v>370</v>
      </c>
      <c r="L1340" s="40">
        <f>=I1340*2</f>
        <v>388.5</v>
      </c>
      <c r="M1340" s="41" t="s">
        <v>1445</v>
      </c>
      <c r="N1340" s="41">
        <v>0.102</v>
      </c>
      <c r="O1340" s="41" t="s"/>
      <c r="P1340" s="41" t="s">
        <v>21</v>
      </c>
      <c r="Q1340" s="41" t="s">
        <v>21</v>
      </c>
      <c r="R1340" s="41" t="s">
        <v>16</v>
      </c>
      <c r="S1340" s="41" t="s">
        <v>17</v>
      </c>
      <c r="T1340" s="41" t="s">
        <v>1466</v>
      </c>
      <c r="U1340" s="16" t="s">
        <v>13</v>
      </c>
      <c r="V1340" s="16" t="s">
        <v>1446</v>
      </c>
      <c r="W1340" s="19" t="s"/>
      <c r="X1340" s="26" t="s">
        <f>=M1340&amp;N1340&amp;P1340&amp;Q1340&amp;T1340&amp;V1340&amp;S1340</f>
        <v>1467</v>
      </c>
      <c r="Y1340" s="19" t="s"/>
      <c r="Z1340" s="19" t="s"/>
      <c r="AA1340" s="19" t="s"/>
      <c r="AB1340" s="19" t="s"/>
    </row>
    <row r="1341" spans="1:28" ht="14.4">
      <c r="A1341" s="4">
        <f>=H1341/G1341-1</f>
        <v>0.097938144329897</v>
      </c>
      <c r="B1341" s="20">
        <f>=F1341/12</f>
        <v>15.975</v>
      </c>
      <c r="C1341" s="20">
        <f>=J1341/3</f>
        <v>127.8</v>
      </c>
      <c r="D1341" s="20">
        <f>=K1341/3</f>
        <v>142</v>
      </c>
      <c r="E1341" s="20">
        <f>=L1341/3</f>
        <v>149.1</v>
      </c>
      <c r="F1341" s="20">
        <f>=H1341*0.9</f>
        <v>191.7</v>
      </c>
      <c r="G1341" s="21">
        <v>194</v>
      </c>
      <c r="H1341" s="39">
        <v>213</v>
      </c>
      <c r="I1341" s="40">
        <f>=H1341*1.05</f>
        <v>223.65</v>
      </c>
      <c r="J1341" s="40">
        <f>=F1341*2</f>
        <v>383.4</v>
      </c>
      <c r="K1341" s="40">
        <f>=H1341*2</f>
        <v>426</v>
      </c>
      <c r="L1341" s="40">
        <f>=I1341*2</f>
        <v>447.3</v>
      </c>
      <c r="M1341" s="41" t="s">
        <v>1445</v>
      </c>
      <c r="N1341" s="41">
        <v>0.102</v>
      </c>
      <c r="O1341" s="41" t="s"/>
      <c r="P1341" s="41" t="s">
        <v>21</v>
      </c>
      <c r="Q1341" s="41" t="s">
        <v>21</v>
      </c>
      <c r="R1341" s="41" t="s">
        <v>16</v>
      </c>
      <c r="S1341" s="41" t="s">
        <v>17</v>
      </c>
      <c r="T1341" s="41" t="s">
        <v>1078</v>
      </c>
      <c r="U1341" s="16" t="s">
        <v>13</v>
      </c>
      <c r="V1341" s="16" t="s">
        <v>1446</v>
      </c>
      <c r="W1341" s="19" t="s"/>
      <c r="X1341" s="26" t="s">
        <f>=M1341&amp;N1341&amp;P1341&amp;Q1341&amp;T1341&amp;V1341&amp;S1341</f>
        <v>1468</v>
      </c>
      <c r="Y1341" s="19" t="s"/>
      <c r="Z1341" s="19" t="s"/>
      <c r="AA1341" s="19" t="s"/>
      <c r="AB1341" s="19" t="s"/>
    </row>
    <row r="1342" spans="1:28" ht="14.4">
      <c r="A1342" s="4">
        <f>=H1342/G1342-1</f>
        <v>0.100436681222707</v>
      </c>
      <c r="B1342" s="20">
        <f>=F1342/12</f>
        <v>18.9</v>
      </c>
      <c r="C1342" s="20">
        <f>=J1342/3</f>
        <v>151.2</v>
      </c>
      <c r="D1342" s="20">
        <f>=K1342/3</f>
        <v>168</v>
      </c>
      <c r="E1342" s="20">
        <f>=L1342/3</f>
        <v>176.4</v>
      </c>
      <c r="F1342" s="20">
        <f>=H1342*0.9</f>
        <v>226.8</v>
      </c>
      <c r="G1342" s="21">
        <v>229</v>
      </c>
      <c r="H1342" s="39">
        <v>252</v>
      </c>
      <c r="I1342" s="40">
        <f>=H1342*1.05</f>
        <v>264.6</v>
      </c>
      <c r="J1342" s="40">
        <f>=F1342*2</f>
        <v>453.6</v>
      </c>
      <c r="K1342" s="40">
        <f>=H1342*2</f>
        <v>504</v>
      </c>
      <c r="L1342" s="40">
        <f>=I1342*2</f>
        <v>529.2</v>
      </c>
      <c r="M1342" s="41" t="s">
        <v>1445</v>
      </c>
      <c r="N1342" s="41">
        <v>0.102</v>
      </c>
      <c r="O1342" s="41" t="s"/>
      <c r="P1342" s="41" t="s">
        <v>21</v>
      </c>
      <c r="Q1342" s="41">
        <v>1</v>
      </c>
      <c r="R1342" s="41" t="s">
        <v>16</v>
      </c>
      <c r="S1342" s="41" t="s">
        <v>17</v>
      </c>
      <c r="T1342" s="41" t="s">
        <v>1078</v>
      </c>
      <c r="U1342" s="16" t="s">
        <v>13</v>
      </c>
      <c r="V1342" s="16" t="s">
        <v>1446</v>
      </c>
      <c r="W1342" s="19" t="s"/>
      <c r="X1342" s="26" t="s">
        <f>=M1342&amp;N1342&amp;P1342&amp;Q1342&amp;T1342&amp;V1342&amp;S1342</f>
        <v>1469</v>
      </c>
      <c r="Y1342" s="19" t="s"/>
      <c r="Z1342" s="19" t="s"/>
      <c r="AA1342" s="19" t="s"/>
      <c r="AB1342" s="19" t="s"/>
    </row>
    <row r="1343" spans="1:28" ht="14.4">
      <c r="A1343" s="4">
        <f>=H1343/G1343-1</f>
        <v>0.1</v>
      </c>
      <c r="B1343" s="20">
        <f>=F1343/12</f>
        <v>24.75</v>
      </c>
      <c r="C1343" s="20">
        <f>=J1343/3</f>
        <v>198</v>
      </c>
      <c r="D1343" s="20">
        <f>=K1343/3</f>
        <v>220</v>
      </c>
      <c r="E1343" s="20">
        <f>=L1343/3</f>
        <v>231</v>
      </c>
      <c r="F1343" s="20">
        <f>=H1343*0.9</f>
        <v>297</v>
      </c>
      <c r="G1343" s="21">
        <v>300</v>
      </c>
      <c r="H1343" s="39">
        <v>330</v>
      </c>
      <c r="I1343" s="40">
        <f>=H1343*1.05</f>
        <v>346.5</v>
      </c>
      <c r="J1343" s="40">
        <f>=F1343*2</f>
        <v>594</v>
      </c>
      <c r="K1343" s="40">
        <f>=H1343*2</f>
        <v>660</v>
      </c>
      <c r="L1343" s="40">
        <f>=I1343*2</f>
        <v>693</v>
      </c>
      <c r="M1343" s="41" t="s">
        <v>1445</v>
      </c>
      <c r="N1343" s="41">
        <v>0.114</v>
      </c>
      <c r="O1343" s="41" t="s"/>
      <c r="P1343" s="41">
        <v>1</v>
      </c>
      <c r="Q1343" s="41">
        <v>1</v>
      </c>
      <c r="R1343" s="41" t="s">
        <v>16</v>
      </c>
      <c r="S1343" s="41" t="s">
        <v>17</v>
      </c>
      <c r="T1343" s="41" t="s">
        <v>654</v>
      </c>
      <c r="U1343" s="16" t="s">
        <v>13</v>
      </c>
      <c r="V1343" s="16" t="s">
        <v>1446</v>
      </c>
      <c r="W1343" s="19" t="s"/>
      <c r="X1343" s="26" t="s">
        <f>=M1343&amp;N1343&amp;P1343&amp;Q1343&amp;T1343&amp;V1343&amp;S1343</f>
        <v>1470</v>
      </c>
      <c r="Y1343" s="56" t="s"/>
      <c r="Z1343" s="56" t="s"/>
      <c r="AA1343" s="56" t="s"/>
      <c r="AB1343" s="56" t="s"/>
    </row>
    <row r="1344" spans="1:28" ht="14.4">
      <c r="A1344" s="4">
        <f>=H1344/G1344-1</f>
        <v>0</v>
      </c>
      <c r="B1344" s="20">
        <f>=F1344/12</f>
        <v>23.1</v>
      </c>
      <c r="C1344" s="20">
        <f>=J1344/3</f>
        <v>184.8</v>
      </c>
      <c r="D1344" s="20">
        <f>=K1344/3</f>
        <v>205.333333333333</v>
      </c>
      <c r="E1344" s="20">
        <f>=L1344/3</f>
        <v>215.6</v>
      </c>
      <c r="F1344" s="20">
        <f>=H1344*0.9</f>
        <v>277.2</v>
      </c>
      <c r="G1344" s="21">
        <v>308</v>
      </c>
      <c r="H1344" s="39">
        <v>308</v>
      </c>
      <c r="I1344" s="40">
        <f>=H1344*1.05</f>
        <v>323.4</v>
      </c>
      <c r="J1344" s="40">
        <f>=F1344*2</f>
        <v>554.4</v>
      </c>
      <c r="K1344" s="40">
        <f>=H1344*2</f>
        <v>616</v>
      </c>
      <c r="L1344" s="40">
        <f>=I1344*2</f>
        <v>646.8</v>
      </c>
      <c r="M1344" s="41" t="s">
        <v>1445</v>
      </c>
      <c r="N1344" s="41">
        <v>0.127</v>
      </c>
      <c r="O1344" s="41" t="s"/>
      <c r="P1344" s="41">
        <v>1</v>
      </c>
      <c r="Q1344" s="41">
        <v>1</v>
      </c>
      <c r="R1344" s="41" t="s">
        <v>16</v>
      </c>
      <c r="S1344" s="41" t="s">
        <v>17</v>
      </c>
      <c r="T1344" s="41" t="s">
        <v>23</v>
      </c>
      <c r="U1344" s="16" t="s">
        <v>13</v>
      </c>
      <c r="V1344" s="16" t="s">
        <v>1446</v>
      </c>
      <c r="W1344" s="17" t="s">
        <v>352</v>
      </c>
      <c r="X1344" s="26" t="s">
        <f>=M1344&amp;N1344&amp;P1344&amp;Q1344&amp;T1344&amp;V1344&amp;S1344</f>
        <v>1471</v>
      </c>
      <c r="Y1344" s="19" t="s"/>
      <c r="Z1344" s="19" t="s"/>
      <c r="AA1344" s="19" t="s"/>
      <c r="AB1344" s="19" t="s"/>
    </row>
    <row r="1345" spans="1:28" ht="14.4">
      <c r="A1345" s="4">
        <f>=H1345/G1345-1</f>
        <v>0.0990990990990992</v>
      </c>
      <c r="B1345" s="20">
        <f>=F1345/12</f>
        <v>18.3</v>
      </c>
      <c r="C1345" s="20">
        <f>=J1345/3</f>
        <v>146.4</v>
      </c>
      <c r="D1345" s="20">
        <f>=K1345/3</f>
        <v>162.666666666667</v>
      </c>
      <c r="E1345" s="20">
        <f>=L1345/3</f>
        <v>170.8</v>
      </c>
      <c r="F1345" s="20">
        <f>=H1345*0.9</f>
        <v>219.6</v>
      </c>
      <c r="G1345" s="21">
        <v>222</v>
      </c>
      <c r="H1345" s="39">
        <v>244</v>
      </c>
      <c r="I1345" s="40">
        <f>=H1345*1.05</f>
        <v>256.2</v>
      </c>
      <c r="J1345" s="40">
        <f>=F1345*2</f>
        <v>439.2</v>
      </c>
      <c r="K1345" s="40">
        <f>=H1345*2</f>
        <v>488</v>
      </c>
      <c r="L1345" s="40">
        <f>=I1345*2</f>
        <v>512.4</v>
      </c>
      <c r="M1345" s="41" t="s">
        <v>1445</v>
      </c>
      <c r="N1345" s="41">
        <v>0.127</v>
      </c>
      <c r="O1345" s="41" t="s"/>
      <c r="P1345" s="41">
        <v>1</v>
      </c>
      <c r="Q1345" s="41">
        <v>1</v>
      </c>
      <c r="R1345" s="41" t="s">
        <v>16</v>
      </c>
      <c r="S1345" s="41" t="s">
        <v>17</v>
      </c>
      <c r="T1345" s="41" t="s">
        <v>1080</v>
      </c>
      <c r="U1345" s="16" t="s">
        <v>13</v>
      </c>
      <c r="V1345" s="16" t="s">
        <v>1446</v>
      </c>
      <c r="W1345" s="19" t="s"/>
      <c r="X1345" s="26" t="s">
        <f>=M1345&amp;N1345&amp;P1345&amp;Q1345&amp;T1345&amp;V1345&amp;S1345</f>
        <v>1472</v>
      </c>
      <c r="Y1345" s="19" t="s"/>
      <c r="Z1345" s="19" t="s"/>
      <c r="AA1345" s="19" t="s"/>
      <c r="AB1345" s="19" t="s"/>
    </row>
    <row r="1346" spans="1:28" ht="14.4">
      <c r="A1346" s="4">
        <f>=H1346/G1346-1</f>
        <v>0.0990990990990992</v>
      </c>
      <c r="B1346" s="20">
        <f>=F1346/12</f>
        <v>18.3</v>
      </c>
      <c r="C1346" s="20">
        <f>=J1346/3</f>
        <v>146.4</v>
      </c>
      <c r="D1346" s="20">
        <f>=K1346/3</f>
        <v>162.666666666667</v>
      </c>
      <c r="E1346" s="20">
        <f>=L1346/3</f>
        <v>170.8</v>
      </c>
      <c r="F1346" s="20">
        <f>=H1346*0.9</f>
        <v>219.6</v>
      </c>
      <c r="G1346" s="21">
        <v>222</v>
      </c>
      <c r="H1346" s="39">
        <v>244</v>
      </c>
      <c r="I1346" s="40">
        <f>=H1346*1.05</f>
        <v>256.2</v>
      </c>
      <c r="J1346" s="40">
        <f>=F1346*2</f>
        <v>439.2</v>
      </c>
      <c r="K1346" s="40">
        <f>=H1346*2</f>
        <v>488</v>
      </c>
      <c r="L1346" s="40">
        <f>=I1346*2</f>
        <v>512.4</v>
      </c>
      <c r="M1346" s="41" t="s">
        <v>1445</v>
      </c>
      <c r="N1346" s="41">
        <v>0.127</v>
      </c>
      <c r="O1346" s="41" t="s"/>
      <c r="P1346" s="41">
        <v>1</v>
      </c>
      <c r="Q1346" s="41">
        <v>1</v>
      </c>
      <c r="R1346" s="41" t="s">
        <v>16</v>
      </c>
      <c r="S1346" s="41" t="s">
        <v>17</v>
      </c>
      <c r="T1346" s="41" t="s">
        <v>43</v>
      </c>
      <c r="U1346" s="16" t="s">
        <v>13</v>
      </c>
      <c r="V1346" s="16" t="s">
        <v>1446</v>
      </c>
      <c r="W1346" s="19" t="s"/>
      <c r="X1346" s="26" t="s">
        <f>=M1346&amp;N1346&amp;P1346&amp;Q1346&amp;T1346&amp;V1346&amp;S1346</f>
        <v>1473</v>
      </c>
      <c r="Y1346" s="19" t="s"/>
      <c r="Z1346" s="19" t="s"/>
      <c r="AA1346" s="19" t="s"/>
      <c r="AB1346" s="19" t="s"/>
    </row>
    <row r="1347" spans="1:28" ht="14.4">
      <c r="A1347" s="4">
        <f>=H1347/G1347-1</f>
        <v>0.101045296167247</v>
      </c>
      <c r="B1347" s="20">
        <f>=F1347/12</f>
        <v>23.7</v>
      </c>
      <c r="C1347" s="20">
        <f>=J1347/3</f>
        <v>189.6</v>
      </c>
      <c r="D1347" s="20">
        <f>=K1347/3</f>
        <v>210.666666666667</v>
      </c>
      <c r="E1347" s="20">
        <f>=L1347/3</f>
        <v>221.2</v>
      </c>
      <c r="F1347" s="20">
        <f>=H1347*0.9</f>
        <v>284.4</v>
      </c>
      <c r="G1347" s="21">
        <v>287</v>
      </c>
      <c r="H1347" s="39">
        <v>316</v>
      </c>
      <c r="I1347" s="40">
        <f>=H1347*1.05</f>
        <v>331.8</v>
      </c>
      <c r="J1347" s="40">
        <f>=F1347*2</f>
        <v>568.8</v>
      </c>
      <c r="K1347" s="40">
        <f>=H1347*2</f>
        <v>632</v>
      </c>
      <c r="L1347" s="40">
        <f>=I1347*2</f>
        <v>663.6</v>
      </c>
      <c r="M1347" s="41" t="s">
        <v>1445</v>
      </c>
      <c r="N1347" s="41">
        <v>0.127</v>
      </c>
      <c r="O1347" s="41" t="s"/>
      <c r="P1347" s="41">
        <v>1</v>
      </c>
      <c r="Q1347" s="41">
        <v>2</v>
      </c>
      <c r="R1347" s="41" t="s">
        <v>16</v>
      </c>
      <c r="S1347" s="41" t="s">
        <v>17</v>
      </c>
      <c r="T1347" s="41" t="s">
        <v>1080</v>
      </c>
      <c r="U1347" s="16" t="s">
        <v>13</v>
      </c>
      <c r="V1347" s="16" t="s">
        <v>1474</v>
      </c>
      <c r="W1347" s="19" t="s"/>
      <c r="X1347" s="26" t="s">
        <f>=M1347&amp;N1347&amp;P1347&amp;Q1347&amp;T1347&amp;V1347&amp;S1347</f>
        <v>1475</v>
      </c>
      <c r="Y1347" s="19" t="s"/>
      <c r="Z1347" s="19" t="s"/>
      <c r="AA1347" s="19" t="s"/>
      <c r="AB1347" s="19" t="s"/>
    </row>
    <row r="1348" spans="1:28" ht="14.4">
      <c r="A1348" s="4">
        <f>=H1348/G1348-1</f>
        <v>0.0988700564971752</v>
      </c>
      <c r="B1348" s="20">
        <f>=F1348/12</f>
        <v>29.175</v>
      </c>
      <c r="C1348" s="20">
        <f>=J1348/3</f>
        <v>233.4</v>
      </c>
      <c r="D1348" s="20">
        <f>=K1348/3</f>
        <v>259.333333333333</v>
      </c>
      <c r="E1348" s="20">
        <f>=L1348/3</f>
        <v>272.3</v>
      </c>
      <c r="F1348" s="20">
        <f>=H1348*0.9</f>
        <v>350.1</v>
      </c>
      <c r="G1348" s="21">
        <v>354</v>
      </c>
      <c r="H1348" s="39">
        <v>389</v>
      </c>
      <c r="I1348" s="40">
        <f>=H1348*1.05</f>
        <v>408.45</v>
      </c>
      <c r="J1348" s="40">
        <f>=F1348*2</f>
        <v>700.2</v>
      </c>
      <c r="K1348" s="40">
        <f>=H1348*2</f>
        <v>778</v>
      </c>
      <c r="L1348" s="40">
        <f>=I1348*2</f>
        <v>816.9</v>
      </c>
      <c r="M1348" s="41" t="s">
        <v>1445</v>
      </c>
      <c r="N1348" s="41">
        <v>0.127</v>
      </c>
      <c r="O1348" s="41" t="s"/>
      <c r="P1348" s="41">
        <v>2</v>
      </c>
      <c r="Q1348" s="41">
        <v>2</v>
      </c>
      <c r="R1348" s="41" t="s">
        <v>16</v>
      </c>
      <c r="S1348" s="41" t="s">
        <v>17</v>
      </c>
      <c r="T1348" s="41" t="s">
        <v>1080</v>
      </c>
      <c r="U1348" s="16" t="s">
        <v>13</v>
      </c>
      <c r="V1348" s="16" t="s">
        <v>215</v>
      </c>
      <c r="W1348" s="19" t="s"/>
      <c r="X1348" s="26" t="s">
        <f>=M1348&amp;N1348&amp;P1348&amp;Q1348&amp;T1348&amp;V1348&amp;S1348</f>
        <v>1476</v>
      </c>
      <c r="Y1348" s="19" t="s"/>
      <c r="Z1348" s="19" t="s"/>
      <c r="AA1348" s="19" t="s"/>
      <c r="AB1348" s="19" t="s"/>
    </row>
    <row r="1349" spans="1:28" ht="14.4">
      <c r="A1349" s="4">
        <f>=H1349/G1349-1</f>
        <v>0.1</v>
      </c>
      <c r="B1349" s="20">
        <f>=F1349/12</f>
        <v>16.5</v>
      </c>
      <c r="C1349" s="20">
        <f>=J1349/3</f>
        <v>132</v>
      </c>
      <c r="D1349" s="20">
        <f>=K1349/3</f>
        <v>146.666666666667</v>
      </c>
      <c r="E1349" s="20">
        <f>=L1349/3</f>
        <v>154</v>
      </c>
      <c r="F1349" s="20">
        <f>=H1349*0.9</f>
        <v>198</v>
      </c>
      <c r="G1349" s="21">
        <v>200</v>
      </c>
      <c r="H1349" s="39">
        <v>220</v>
      </c>
      <c r="I1349" s="40">
        <f>=H1349*1.05</f>
        <v>231</v>
      </c>
      <c r="J1349" s="40">
        <f>=F1349*2</f>
        <v>396</v>
      </c>
      <c r="K1349" s="40">
        <f>=H1349*2</f>
        <v>440</v>
      </c>
      <c r="L1349" s="40">
        <f>=I1349*2</f>
        <v>462</v>
      </c>
      <c r="M1349" s="41" t="s">
        <v>1445</v>
      </c>
      <c r="N1349" s="41">
        <v>0.127</v>
      </c>
      <c r="O1349" s="41" t="s"/>
      <c r="P1349" s="41" t="s">
        <v>21</v>
      </c>
      <c r="Q1349" s="41" t="s">
        <v>21</v>
      </c>
      <c r="R1349" s="41" t="s">
        <v>16</v>
      </c>
      <c r="S1349" s="41" t="s">
        <v>17</v>
      </c>
      <c r="T1349" s="41" t="s">
        <v>23</v>
      </c>
      <c r="U1349" s="16" t="s">
        <v>13</v>
      </c>
      <c r="V1349" s="16" t="s">
        <v>1446</v>
      </c>
      <c r="W1349" s="19" t="s"/>
      <c r="X1349" s="26" t="s">
        <f>=M1349&amp;N1349&amp;P1349&amp;Q1349&amp;T1349&amp;V1349&amp;S1349</f>
        <v>1477</v>
      </c>
      <c r="Y1349" s="19" t="s"/>
      <c r="Z1349" s="19" t="s"/>
      <c r="AA1349" s="19" t="s"/>
      <c r="AB1349" s="19" t="s"/>
    </row>
    <row r="1350" spans="1:28" ht="14.4">
      <c r="A1350" s="4">
        <f>=H1350/G1350-1</f>
        <v>0.098360655737705</v>
      </c>
      <c r="B1350" s="20">
        <f>=F1350/12</f>
        <v>20.1</v>
      </c>
      <c r="C1350" s="20">
        <f>=J1350/3</f>
        <v>160.8</v>
      </c>
      <c r="D1350" s="20">
        <f>=K1350/3</f>
        <v>178.666666666667</v>
      </c>
      <c r="E1350" s="20">
        <f>=L1350/3</f>
        <v>187.6</v>
      </c>
      <c r="F1350" s="20">
        <f>=H1350*0.9</f>
        <v>241.2</v>
      </c>
      <c r="G1350" s="21">
        <v>244</v>
      </c>
      <c r="H1350" s="39">
        <v>268</v>
      </c>
      <c r="I1350" s="40">
        <f>=H1350*1.05</f>
        <v>281.4</v>
      </c>
      <c r="J1350" s="40">
        <f>=F1350*2</f>
        <v>482.4</v>
      </c>
      <c r="K1350" s="40">
        <f>=H1350*2</f>
        <v>536</v>
      </c>
      <c r="L1350" s="40">
        <f>=I1350*2</f>
        <v>562.8</v>
      </c>
      <c r="M1350" s="41" t="s">
        <v>1445</v>
      </c>
      <c r="N1350" s="41">
        <v>0.127</v>
      </c>
      <c r="O1350" s="41" t="s"/>
      <c r="P1350" s="41" t="s">
        <v>21</v>
      </c>
      <c r="Q1350" s="41" t="s">
        <v>21</v>
      </c>
      <c r="R1350" s="41" t="s">
        <v>16</v>
      </c>
      <c r="S1350" s="41" t="s">
        <v>17</v>
      </c>
      <c r="T1350" s="41" t="s">
        <v>43</v>
      </c>
      <c r="U1350" s="16" t="s">
        <v>13</v>
      </c>
      <c r="V1350" s="16" t="s">
        <v>1446</v>
      </c>
      <c r="W1350" s="19" t="s"/>
      <c r="X1350" s="26" t="s">
        <f>=M1350&amp;N1350&amp;P1350&amp;Q1350&amp;T1350&amp;V1350&amp;S1350</f>
        <v>1478</v>
      </c>
      <c r="Y1350" s="19" t="s"/>
      <c r="Z1350" s="19" t="s"/>
      <c r="AA1350" s="19" t="s"/>
      <c r="AB1350" s="19" t="s"/>
    </row>
    <row r="1351" spans="1:28" ht="14.4">
      <c r="A1351" s="4">
        <f>=H1351/G1351-1</f>
        <v>0.1</v>
      </c>
      <c r="B1351" s="20">
        <f>=F1351/12</f>
        <v>16.5</v>
      </c>
      <c r="C1351" s="20">
        <f>=J1351/3</f>
        <v>132</v>
      </c>
      <c r="D1351" s="20">
        <f>=K1351/3</f>
        <v>146.666666666667</v>
      </c>
      <c r="E1351" s="20">
        <f>=L1351/3</f>
        <v>154</v>
      </c>
      <c r="F1351" s="20">
        <f>=H1351*0.9</f>
        <v>198</v>
      </c>
      <c r="G1351" s="21">
        <v>200</v>
      </c>
      <c r="H1351" s="39">
        <v>220</v>
      </c>
      <c r="I1351" s="40">
        <f>=H1351*1.05</f>
        <v>231</v>
      </c>
      <c r="J1351" s="40">
        <f>=F1351*2</f>
        <v>396</v>
      </c>
      <c r="K1351" s="40">
        <f>=H1351*2</f>
        <v>440</v>
      </c>
      <c r="L1351" s="40">
        <f>=I1351*2</f>
        <v>462</v>
      </c>
      <c r="M1351" s="41" t="s">
        <v>1445</v>
      </c>
      <c r="N1351" s="41">
        <v>0.127</v>
      </c>
      <c r="O1351" s="41" t="s"/>
      <c r="P1351" s="41" t="s">
        <v>21</v>
      </c>
      <c r="Q1351" s="41" t="s">
        <v>21</v>
      </c>
      <c r="R1351" s="41" t="s">
        <v>16</v>
      </c>
      <c r="S1351" s="41" t="s">
        <v>17</v>
      </c>
      <c r="T1351" s="41" t="s">
        <v>1080</v>
      </c>
      <c r="U1351" s="16" t="s">
        <v>13</v>
      </c>
      <c r="V1351" s="16" t="s">
        <v>1446</v>
      </c>
      <c r="W1351" s="19" t="s"/>
      <c r="X1351" s="26" t="s">
        <f>=M1351&amp;N1351&amp;P1351&amp;Q1351&amp;T1351&amp;V1351&amp;S1351</f>
        <v>1479</v>
      </c>
      <c r="Y1351" s="19" t="s"/>
      <c r="Z1351" s="19" t="s"/>
      <c r="AA1351" s="19" t="s"/>
      <c r="AB1351" s="19" t="s"/>
    </row>
    <row r="1352" spans="1:28" ht="14.4">
      <c r="A1352" s="4">
        <f>=H1352/G1352-1</f>
        <v>0.0986547085201795</v>
      </c>
      <c r="B1352" s="20">
        <f>=F1352/12</f>
        <v>18.375</v>
      </c>
      <c r="C1352" s="20">
        <f>=J1352/3</f>
        <v>147</v>
      </c>
      <c r="D1352" s="20">
        <f>=K1352/3</f>
        <v>163.333333333333</v>
      </c>
      <c r="E1352" s="20">
        <f>=L1352/3</f>
        <v>171.5</v>
      </c>
      <c r="F1352" s="20">
        <f>=H1352*0.9</f>
        <v>220.5</v>
      </c>
      <c r="G1352" s="21">
        <v>223</v>
      </c>
      <c r="H1352" s="39">
        <v>245</v>
      </c>
      <c r="I1352" s="40">
        <f>=H1352*1.05</f>
        <v>257.25</v>
      </c>
      <c r="J1352" s="40">
        <f>=F1352*2</f>
        <v>441</v>
      </c>
      <c r="K1352" s="40">
        <f>=H1352*2</f>
        <v>490</v>
      </c>
      <c r="L1352" s="40">
        <f>=I1352*2</f>
        <v>514.5</v>
      </c>
      <c r="M1352" s="41" t="s">
        <v>1445</v>
      </c>
      <c r="N1352" s="41">
        <v>0.127</v>
      </c>
      <c r="O1352" s="41" t="s"/>
      <c r="P1352" s="41" t="s">
        <v>21</v>
      </c>
      <c r="Q1352" s="41">
        <v>1</v>
      </c>
      <c r="R1352" s="41" t="s">
        <v>16</v>
      </c>
      <c r="S1352" s="41" t="s">
        <v>17</v>
      </c>
      <c r="T1352" s="41" t="s">
        <v>1080</v>
      </c>
      <c r="U1352" s="16" t="s">
        <v>13</v>
      </c>
      <c r="V1352" s="16" t="s">
        <v>1446</v>
      </c>
      <c r="W1352" s="19" t="s"/>
      <c r="X1352" s="26" t="s">
        <f>=M1352&amp;N1352&amp;P1352&amp;Q1352&amp;T1352&amp;V1352&amp;S1352</f>
        <v>1480</v>
      </c>
      <c r="Y1352" s="19" t="s"/>
      <c r="Z1352" s="19" t="s"/>
      <c r="AA1352" s="19" t="s"/>
      <c r="AB1352" s="19" t="s"/>
    </row>
    <row r="1353" spans="1:28" ht="14.4">
      <c r="A1353" s="4">
        <f>=H1353/G1353-1</f>
        <v>0.100806451612903</v>
      </c>
      <c r="B1353" s="20">
        <f>=F1353/12</f>
        <v>20.475</v>
      </c>
      <c r="C1353" s="20">
        <f>=J1353/3</f>
        <v>163.8</v>
      </c>
      <c r="D1353" s="20">
        <f>=K1353/3</f>
        <v>182</v>
      </c>
      <c r="E1353" s="20">
        <f>=L1353/3</f>
        <v>191.1</v>
      </c>
      <c r="F1353" s="20">
        <f>=H1353*0.9</f>
        <v>245.7</v>
      </c>
      <c r="G1353" s="21">
        <v>248</v>
      </c>
      <c r="H1353" s="39">
        <v>273</v>
      </c>
      <c r="I1353" s="40">
        <f>=H1353*1.05</f>
        <v>286.65</v>
      </c>
      <c r="J1353" s="40">
        <f>=F1353*2</f>
        <v>491.4</v>
      </c>
      <c r="K1353" s="40">
        <f>=H1353*2</f>
        <v>546</v>
      </c>
      <c r="L1353" s="40">
        <f>=I1353*2</f>
        <v>573.3</v>
      </c>
      <c r="M1353" s="41" t="s">
        <v>1445</v>
      </c>
      <c r="N1353" s="41">
        <v>0.145</v>
      </c>
      <c r="O1353" s="41" t="s"/>
      <c r="P1353" s="41" t="s">
        <v>21</v>
      </c>
      <c r="Q1353" s="41" t="s">
        <v>21</v>
      </c>
      <c r="R1353" s="41" t="s">
        <v>16</v>
      </c>
      <c r="S1353" s="41" t="s">
        <v>17</v>
      </c>
      <c r="T1353" s="41" t="s">
        <v>1080</v>
      </c>
      <c r="U1353" s="16" t="s">
        <v>13</v>
      </c>
      <c r="V1353" s="16" t="s">
        <v>1446</v>
      </c>
      <c r="W1353" s="19" t="s"/>
      <c r="X1353" s="26" t="s">
        <f>=M1353&amp;N1353&amp;P1353&amp;Q1353&amp;T1353&amp;V1353&amp;S1353</f>
        <v>1481</v>
      </c>
      <c r="Y1353" s="19" t="s"/>
      <c r="Z1353" s="19" t="s"/>
      <c r="AA1353" s="19" t="s"/>
      <c r="AB1353" s="19" t="s"/>
    </row>
    <row r="1354" spans="1:28" ht="14.4">
      <c r="A1354" s="4">
        <f>=H1354/G1354-1</f>
        <v>0.10188679245283</v>
      </c>
      <c r="B1354" s="20">
        <f>=F1354/12</f>
        <v>21.9</v>
      </c>
      <c r="C1354" s="20">
        <f>=J1354/3</f>
        <v>175.2</v>
      </c>
      <c r="D1354" s="20">
        <f>=K1354/3</f>
        <v>194.666666666667</v>
      </c>
      <c r="E1354" s="20">
        <f>=L1354/3</f>
        <v>204.4</v>
      </c>
      <c r="F1354" s="20">
        <f>=H1354*0.9</f>
        <v>262.8</v>
      </c>
      <c r="G1354" s="21">
        <v>265</v>
      </c>
      <c r="H1354" s="39">
        <v>292</v>
      </c>
      <c r="I1354" s="40">
        <f>=H1354*1.05</f>
        <v>306.6</v>
      </c>
      <c r="J1354" s="40">
        <f>=F1354*2</f>
        <v>525.6</v>
      </c>
      <c r="K1354" s="40">
        <f>=H1354*2</f>
        <v>584</v>
      </c>
      <c r="L1354" s="40">
        <f>=I1354*2</f>
        <v>613.2</v>
      </c>
      <c r="M1354" s="41" t="s">
        <v>1445</v>
      </c>
      <c r="N1354" s="41">
        <v>0.145</v>
      </c>
      <c r="O1354" s="41" t="s"/>
      <c r="P1354" s="41">
        <v>1</v>
      </c>
      <c r="Q1354" s="41">
        <v>1</v>
      </c>
      <c r="R1354" s="41" t="s">
        <v>16</v>
      </c>
      <c r="S1354" s="41" t="s">
        <v>17</v>
      </c>
      <c r="T1354" s="41" t="s">
        <v>1080</v>
      </c>
      <c r="U1354" s="16" t="s">
        <v>13</v>
      </c>
      <c r="V1354" s="16" t="s">
        <v>1446</v>
      </c>
      <c r="W1354" s="19" t="s"/>
      <c r="X1354" s="26" t="s">
        <f>=M1354&amp;N1354&amp;P1354&amp;Q1354&amp;T1354&amp;V1354&amp;S1354</f>
        <v>1482</v>
      </c>
      <c r="Y1354" s="19" t="s"/>
      <c r="Z1354" s="19" t="s"/>
      <c r="AA1354" s="19" t="s"/>
      <c r="AB1354" s="19" t="s"/>
    </row>
    <row r="1355" spans="1:28" ht="14.4">
      <c r="A1355" s="4">
        <f>=H1355/G1355-1</f>
        <v>0.101307189542484</v>
      </c>
      <c r="B1355" s="20">
        <f>=F1355/12</f>
        <v>25.275</v>
      </c>
      <c r="C1355" s="20">
        <f>=J1355/3</f>
        <v>202.2</v>
      </c>
      <c r="D1355" s="20">
        <f>=K1355/3</f>
        <v>224.666666666667</v>
      </c>
      <c r="E1355" s="20">
        <f>=L1355/3</f>
        <v>235.9</v>
      </c>
      <c r="F1355" s="20">
        <f>=H1355*0.9</f>
        <v>303.3</v>
      </c>
      <c r="G1355" s="21">
        <v>306</v>
      </c>
      <c r="H1355" s="39">
        <v>337</v>
      </c>
      <c r="I1355" s="40">
        <f>=H1355*1.05</f>
        <v>353.85</v>
      </c>
      <c r="J1355" s="40">
        <f>=F1355*2</f>
        <v>606.6</v>
      </c>
      <c r="K1355" s="40">
        <f>=H1355*2</f>
        <v>674</v>
      </c>
      <c r="L1355" s="40">
        <f>=I1355*2</f>
        <v>707.7</v>
      </c>
      <c r="M1355" s="41" t="s">
        <v>1445</v>
      </c>
      <c r="N1355" s="41">
        <v>0.145</v>
      </c>
      <c r="O1355" s="41" t="s"/>
      <c r="P1355" s="41">
        <v>1</v>
      </c>
      <c r="Q1355" s="41">
        <v>2</v>
      </c>
      <c r="R1355" s="41" t="s">
        <v>16</v>
      </c>
      <c r="S1355" s="41" t="s">
        <v>17</v>
      </c>
      <c r="T1355" s="41" t="s">
        <v>1080</v>
      </c>
      <c r="U1355" s="16" t="s">
        <v>13</v>
      </c>
      <c r="V1355" s="16" t="s">
        <v>1474</v>
      </c>
      <c r="W1355" s="19" t="s"/>
      <c r="X1355" s="26" t="s">
        <f>=M1355&amp;N1355&amp;P1355&amp;Q1355&amp;T1355&amp;V1355&amp;S1355</f>
        <v>1483</v>
      </c>
      <c r="Y1355" s="19" t="s"/>
      <c r="Z1355" s="19" t="s"/>
      <c r="AA1355" s="19" t="s"/>
      <c r="AB1355" s="19" t="s"/>
    </row>
    <row r="1356" spans="1:28" ht="14.4">
      <c r="A1356" s="4">
        <f>=H1356/G1356-1</f>
        <v>0.1</v>
      </c>
      <c r="B1356" s="20">
        <f>=F1356/12</f>
        <v>18.975</v>
      </c>
      <c r="C1356" s="20">
        <f>=J1356/3</f>
        <v>151.8</v>
      </c>
      <c r="D1356" s="20">
        <f>=K1356/3</f>
        <v>168.666666666667</v>
      </c>
      <c r="E1356" s="20">
        <f>=L1356/3</f>
        <v>177.1</v>
      </c>
      <c r="F1356" s="20">
        <f>=H1356*0.9</f>
        <v>227.7</v>
      </c>
      <c r="G1356" s="21">
        <v>230</v>
      </c>
      <c r="H1356" s="39">
        <v>253</v>
      </c>
      <c r="I1356" s="40">
        <f>=H1356*1.05</f>
        <v>265.65</v>
      </c>
      <c r="J1356" s="40">
        <f>=F1356*2</f>
        <v>455.4</v>
      </c>
      <c r="K1356" s="40">
        <f>=H1356*2</f>
        <v>506</v>
      </c>
      <c r="L1356" s="40">
        <f>=I1356*2</f>
        <v>531.3</v>
      </c>
      <c r="M1356" s="41" t="s">
        <v>1445</v>
      </c>
      <c r="N1356" s="41">
        <v>0.145</v>
      </c>
      <c r="O1356" s="41" t="s"/>
      <c r="P1356" s="41" t="s">
        <v>21</v>
      </c>
      <c r="Q1356" s="41">
        <v>1</v>
      </c>
      <c r="R1356" s="41" t="s">
        <v>16</v>
      </c>
      <c r="S1356" s="41" t="s">
        <v>17</v>
      </c>
      <c r="T1356" s="41" t="s">
        <v>1080</v>
      </c>
      <c r="U1356" s="16" t="s">
        <v>13</v>
      </c>
      <c r="V1356" s="16" t="s">
        <v>1446</v>
      </c>
      <c r="W1356" s="19" t="s"/>
      <c r="X1356" s="26" t="s">
        <f>=M1356&amp;N1356&amp;P1356&amp;Q1356&amp;T1356&amp;V1356&amp;S1356</f>
        <v>1484</v>
      </c>
      <c r="Y1356" s="19" t="s"/>
      <c r="Z1356" s="19" t="s"/>
      <c r="AA1356" s="19" t="s"/>
      <c r="AB1356" s="19" t="s"/>
    </row>
    <row r="1357" spans="1:28" ht="14.4">
      <c r="A1357" s="4">
        <f>=H1357/G1357-1</f>
        <v>0</v>
      </c>
      <c r="B1357" s="20">
        <f>=F1357/12</f>
        <v>21.75</v>
      </c>
      <c r="C1357" s="20">
        <f>=J1357/3</f>
        <v>174</v>
      </c>
      <c r="D1357" s="20">
        <f>=K1357/3</f>
        <v>193.333333333333</v>
      </c>
      <c r="E1357" s="20">
        <f>=L1357/3</f>
        <v>203</v>
      </c>
      <c r="F1357" s="20">
        <f>=H1357*0.9</f>
        <v>261</v>
      </c>
      <c r="G1357" s="21">
        <v>290</v>
      </c>
      <c r="H1357" s="39">
        <v>290</v>
      </c>
      <c r="I1357" s="40">
        <f>=H1357*1.05</f>
        <v>304.5</v>
      </c>
      <c r="J1357" s="40">
        <f>=F1357*2</f>
        <v>522</v>
      </c>
      <c r="K1357" s="40">
        <f>=H1357*2</f>
        <v>580</v>
      </c>
      <c r="L1357" s="40">
        <f>=I1357*2</f>
        <v>609</v>
      </c>
      <c r="M1357" s="41" t="s">
        <v>1387</v>
      </c>
      <c r="N1357" s="41">
        <v>0.15</v>
      </c>
      <c r="O1357" s="41">
        <v>0.152</v>
      </c>
      <c r="P1357" s="41">
        <v>1</v>
      </c>
      <c r="Q1357" s="41">
        <v>1</v>
      </c>
      <c r="R1357" s="41" t="s">
        <v>16</v>
      </c>
      <c r="S1357" s="41" t="s">
        <v>17</v>
      </c>
      <c r="T1357" s="41" t="s">
        <v>1080</v>
      </c>
      <c r="U1357" s="16" t="s">
        <v>13</v>
      </c>
      <c r="V1357" s="16" t="s">
        <v>215</v>
      </c>
      <c r="W1357" s="17" t="s">
        <v>352</v>
      </c>
      <c r="X1357" s="26" t="s">
        <f>=M1357&amp;N1357&amp;P1357&amp;Q1357&amp;T1357&amp;V1357&amp;S1357</f>
        <v>1485</v>
      </c>
      <c r="Y1357" s="19" t="s"/>
      <c r="Z1357" s="19" t="s"/>
      <c r="AA1357" s="19" t="s"/>
      <c r="AB1357" s="19" t="s"/>
    </row>
    <row r="1358" spans="1:28" ht="14.4">
      <c r="A1358" s="4">
        <f>=H1358/G1358-1</f>
        <v>0.102127659574468</v>
      </c>
      <c r="B1358" s="20">
        <f>=F1358/12</f>
        <v>19.425</v>
      </c>
      <c r="C1358" s="20">
        <f>=J1358/3</f>
        <v>155.4</v>
      </c>
      <c r="D1358" s="20">
        <f>=K1358/3</f>
        <v>172.666666666667</v>
      </c>
      <c r="E1358" s="20">
        <f>=L1358/3</f>
        <v>181.3</v>
      </c>
      <c r="F1358" s="20">
        <f>=H1358*0.9</f>
        <v>233.1</v>
      </c>
      <c r="G1358" s="21">
        <v>235</v>
      </c>
      <c r="H1358" s="39">
        <v>259</v>
      </c>
      <c r="I1358" s="40">
        <f>=H1358*1.05</f>
        <v>271.95</v>
      </c>
      <c r="J1358" s="40">
        <f>=F1358*2</f>
        <v>466.2</v>
      </c>
      <c r="K1358" s="40">
        <f>=H1358*2</f>
        <v>518</v>
      </c>
      <c r="L1358" s="40">
        <f>=I1358*2</f>
        <v>543.9</v>
      </c>
      <c r="M1358" s="41" t="s">
        <v>1445</v>
      </c>
      <c r="N1358" s="41">
        <v>0.15</v>
      </c>
      <c r="O1358" s="41">
        <v>0.152</v>
      </c>
      <c r="P1358" s="41">
        <v>1</v>
      </c>
      <c r="Q1358" s="41">
        <v>1</v>
      </c>
      <c r="R1358" s="41" t="s">
        <v>16</v>
      </c>
      <c r="S1358" s="41" t="s">
        <v>17</v>
      </c>
      <c r="T1358" s="41" t="s">
        <v>1080</v>
      </c>
      <c r="U1358" s="16" t="s">
        <v>13</v>
      </c>
      <c r="V1358" s="16" t="s">
        <v>1446</v>
      </c>
      <c r="W1358" s="19" t="s"/>
      <c r="X1358" s="26" t="s">
        <f>=M1358&amp;N1358&amp;P1358&amp;Q1358&amp;T1358&amp;V1358&amp;S1358</f>
        <v>1486</v>
      </c>
      <c r="Y1358" s="19" t="s"/>
      <c r="Z1358" s="19" t="s"/>
      <c r="AA1358" s="19" t="s"/>
      <c r="AB1358" s="19" t="s"/>
    </row>
    <row r="1359" spans="1:28" ht="14.4">
      <c r="A1359" s="4">
        <f>=H1359/G1359-1</f>
        <v>0.1</v>
      </c>
      <c r="B1359" s="20">
        <f>=F1359/12</f>
        <v>29.7</v>
      </c>
      <c r="C1359" s="20">
        <f>=J1359/3</f>
        <v>237.6</v>
      </c>
      <c r="D1359" s="20">
        <f>=K1359/3</f>
        <v>264</v>
      </c>
      <c r="E1359" s="20">
        <f>=L1359/3</f>
        <v>277.2</v>
      </c>
      <c r="F1359" s="20">
        <f>=H1359*0.9</f>
        <v>356.4</v>
      </c>
      <c r="G1359" s="21">
        <v>360</v>
      </c>
      <c r="H1359" s="39">
        <v>396</v>
      </c>
      <c r="I1359" s="40">
        <f>=H1359*1.05</f>
        <v>415.8</v>
      </c>
      <c r="J1359" s="40">
        <f>=F1359*2</f>
        <v>712.8</v>
      </c>
      <c r="K1359" s="40">
        <f>=H1359*2</f>
        <v>792</v>
      </c>
      <c r="L1359" s="40">
        <f>=I1359*2</f>
        <v>831.6</v>
      </c>
      <c r="M1359" s="41" t="s">
        <v>1445</v>
      </c>
      <c r="N1359" s="41">
        <v>0.15</v>
      </c>
      <c r="O1359" s="41">
        <v>0.152</v>
      </c>
      <c r="P1359" s="41">
        <v>2</v>
      </c>
      <c r="Q1359" s="41">
        <v>2</v>
      </c>
      <c r="R1359" s="41" t="s">
        <v>16</v>
      </c>
      <c r="S1359" s="41" t="s">
        <v>17</v>
      </c>
      <c r="T1359" s="41" t="s">
        <v>1080</v>
      </c>
      <c r="U1359" s="16" t="s">
        <v>13</v>
      </c>
      <c r="V1359" s="16" t="s">
        <v>1446</v>
      </c>
      <c r="W1359" s="19" t="s"/>
      <c r="X1359" s="26" t="s">
        <f>=M1359&amp;N1359&amp;P1359&amp;Q1359&amp;T1359&amp;V1359&amp;S1359</f>
        <v>1487</v>
      </c>
      <c r="Y1359" s="19" t="s"/>
      <c r="Z1359" s="19" t="s"/>
      <c r="AA1359" s="19" t="s"/>
      <c r="AB1359" s="19" t="s"/>
    </row>
    <row r="1360" spans="1:28" ht="14.4">
      <c r="A1360" s="4">
        <f>=H1360/G1360-1</f>
        <v>0.1</v>
      </c>
      <c r="B1360" s="20">
        <f>=F1360/12</f>
        <v>35.475</v>
      </c>
      <c r="C1360" s="20">
        <f>=J1360/3</f>
        <v>283.8</v>
      </c>
      <c r="D1360" s="20">
        <f>=K1360/3</f>
        <v>315.333333333333</v>
      </c>
      <c r="E1360" s="20">
        <f>=L1360/3</f>
        <v>331.1</v>
      </c>
      <c r="F1360" s="20">
        <f>=H1360*0.9</f>
        <v>425.7</v>
      </c>
      <c r="G1360" s="139">
        <v>430</v>
      </c>
      <c r="H1360" s="39">
        <v>473</v>
      </c>
      <c r="I1360" s="40">
        <f>=H1360*1.05</f>
        <v>496.65</v>
      </c>
      <c r="J1360" s="40">
        <f>=F1360*2</f>
        <v>851.4</v>
      </c>
      <c r="K1360" s="40">
        <f>=H1360*2</f>
        <v>946</v>
      </c>
      <c r="L1360" s="40">
        <f>=I1360*2</f>
        <v>993.3</v>
      </c>
      <c r="M1360" s="41" t="s">
        <v>1445</v>
      </c>
      <c r="N1360" s="41">
        <v>0.152</v>
      </c>
      <c r="O1360" s="41" t="s"/>
      <c r="P1360" s="41">
        <v>2</v>
      </c>
      <c r="Q1360" s="41">
        <v>2</v>
      </c>
      <c r="R1360" s="41" t="s">
        <v>16</v>
      </c>
      <c r="S1360" s="41" t="s">
        <v>17</v>
      </c>
      <c r="T1360" s="41" t="s">
        <v>43</v>
      </c>
      <c r="U1360" s="16" t="s">
        <v>13</v>
      </c>
      <c r="V1360" s="16" t="s">
        <v>215</v>
      </c>
      <c r="W1360" s="19" t="s"/>
      <c r="X1360" s="26" t="s">
        <f>=M1360&amp;N1360&amp;P1360&amp;Q1360&amp;T1360&amp;V1360&amp;S1360</f>
        <v>1488</v>
      </c>
      <c r="Y1360" s="19" t="s"/>
      <c r="Z1360" s="19" t="s"/>
      <c r="AA1360" s="19" t="s"/>
      <c r="AB1360" s="19" t="s"/>
    </row>
    <row r="1361" spans="1:28" ht="14.4">
      <c r="A1361" s="42">
        <f>=H1361/G1361-1</f>
        <v>0.1</v>
      </c>
      <c r="B1361" s="43">
        <f>=F1361/12</f>
        <v>19.3875</v>
      </c>
      <c r="C1361" s="43">
        <f>=J1361/3</f>
        <v>155.1</v>
      </c>
      <c r="D1361" s="43">
        <f>=K1361/3</f>
        <v>172.333333333333</v>
      </c>
      <c r="E1361" s="43">
        <f>=L1361/3</f>
        <v>180.95</v>
      </c>
      <c r="F1361" s="43">
        <f>=H1361*0.9</f>
        <v>232.65</v>
      </c>
      <c r="G1361" s="140">
        <v>235</v>
      </c>
      <c r="H1361" s="44">
        <f>=G1361*1.1</f>
        <v>258.5</v>
      </c>
      <c r="I1361" s="45">
        <f>=H1361*1.05</f>
        <v>271.425</v>
      </c>
      <c r="J1361" s="45">
        <f>=F1361*2</f>
        <v>465.3</v>
      </c>
      <c r="K1361" s="45">
        <f>=H1361*2</f>
        <v>517</v>
      </c>
      <c r="L1361" s="45">
        <f>=I1361*2</f>
        <v>542.85</v>
      </c>
      <c r="M1361" s="46" t="s">
        <v>1445</v>
      </c>
      <c r="N1361" s="46">
        <v>0.152</v>
      </c>
      <c r="O1361" s="46" t="s"/>
      <c r="P1361" s="46">
        <v>1</v>
      </c>
      <c r="Q1361" s="46">
        <v>1</v>
      </c>
      <c r="R1361" s="46" t="s">
        <v>16</v>
      </c>
      <c r="S1361" s="46" t="s">
        <v>17</v>
      </c>
      <c r="T1361" s="12" t="s">
        <v>1080</v>
      </c>
      <c r="U1361" s="13" t="s">
        <v>13</v>
      </c>
      <c r="V1361" s="13" t="s">
        <v>1446</v>
      </c>
      <c r="W1361" s="15" t="s"/>
      <c r="X1361" s="18" t="s">
        <f>=M1361&amp;N1361&amp;P1361&amp;Q1361&amp;T1361&amp;V1361&amp;S1361</f>
        <v>1489</v>
      </c>
      <c r="Y1361" s="15" t="s"/>
      <c r="Z1361" s="15" t="s"/>
      <c r="AA1361" s="15" t="s"/>
      <c r="AB1361" s="15" t="s"/>
    </row>
    <row r="1362" spans="1:28" ht="14.4">
      <c r="A1362" s="4">
        <f>=H1362/G1362-1</f>
        <v>0.1</v>
      </c>
      <c r="B1362" s="20">
        <f>=F1362/12</f>
        <v>25.575</v>
      </c>
      <c r="C1362" s="20">
        <f>=J1362/3</f>
        <v>204.6</v>
      </c>
      <c r="D1362" s="20">
        <f>=K1362/3</f>
        <v>227.333333333333</v>
      </c>
      <c r="E1362" s="20">
        <f>=L1362/3</f>
        <v>238.7</v>
      </c>
      <c r="F1362" s="20">
        <f>=H1362*0.9</f>
        <v>306.9</v>
      </c>
      <c r="G1362" s="139">
        <v>310</v>
      </c>
      <c r="H1362" s="39">
        <v>341</v>
      </c>
      <c r="I1362" s="40">
        <f>=H1362*1.05</f>
        <v>358.05</v>
      </c>
      <c r="J1362" s="40">
        <f>=F1362*2</f>
        <v>613.8</v>
      </c>
      <c r="K1362" s="40">
        <f>=H1362*2</f>
        <v>682</v>
      </c>
      <c r="L1362" s="40">
        <f>=I1362*2</f>
        <v>716.1</v>
      </c>
      <c r="M1362" s="41" t="s">
        <v>1445</v>
      </c>
      <c r="N1362" s="41">
        <v>0.152</v>
      </c>
      <c r="O1362" s="41" t="s"/>
      <c r="P1362" s="41">
        <v>1</v>
      </c>
      <c r="Q1362" s="41">
        <v>1</v>
      </c>
      <c r="R1362" s="41" t="s">
        <v>16</v>
      </c>
      <c r="S1362" s="41" t="s">
        <v>17</v>
      </c>
      <c r="T1362" s="41" t="s">
        <v>43</v>
      </c>
      <c r="U1362" s="16" t="s">
        <v>13</v>
      </c>
      <c r="V1362" s="16" t="s">
        <v>1446</v>
      </c>
      <c r="W1362" s="19" t="s"/>
      <c r="X1362" s="26" t="s">
        <f>=M1362&amp;N1362&amp;P1362&amp;Q1362&amp;T1362&amp;V1362&amp;S1362</f>
        <v>1490</v>
      </c>
      <c r="Y1362" s="19" t="s"/>
      <c r="Z1362" s="19" t="s"/>
      <c r="AA1362" s="19" t="s"/>
      <c r="AB1362" s="19" t="s"/>
    </row>
    <row r="1363" spans="1:28" ht="14.4">
      <c r="A1363" s="4">
        <f>=H1363/G1363-1</f>
        <v>0.1005291005291</v>
      </c>
      <c r="B1363" s="20">
        <f>=F1363/12</f>
        <v>46.8</v>
      </c>
      <c r="C1363" s="20">
        <f>=J1363/3</f>
        <v>374.4</v>
      </c>
      <c r="D1363" s="20">
        <f>=K1363/3</f>
        <v>416</v>
      </c>
      <c r="E1363" s="20">
        <f>=L1363/3</f>
        <v>436.8</v>
      </c>
      <c r="F1363" s="20">
        <f>=H1363*0.9</f>
        <v>561.6</v>
      </c>
      <c r="G1363" s="141">
        <v>567</v>
      </c>
      <c r="H1363" s="39">
        <v>624</v>
      </c>
      <c r="I1363" s="40">
        <f>=H1363*1.05</f>
        <v>655.2</v>
      </c>
      <c r="J1363" s="40">
        <f>=F1363*2</f>
        <v>1123.2</v>
      </c>
      <c r="K1363" s="40">
        <f>=H1363*2</f>
        <v>1248</v>
      </c>
      <c r="L1363" s="40">
        <f>=I1363*2</f>
        <v>1310.4</v>
      </c>
      <c r="M1363" s="41" t="s">
        <v>1445</v>
      </c>
      <c r="N1363" s="41">
        <v>0.152</v>
      </c>
      <c r="O1363" s="41" t="s"/>
      <c r="P1363" s="41">
        <v>1</v>
      </c>
      <c r="Q1363" s="41">
        <v>2</v>
      </c>
      <c r="R1363" s="41" t="s">
        <v>16</v>
      </c>
      <c r="S1363" s="41" t="s">
        <v>17</v>
      </c>
      <c r="T1363" s="41" t="s">
        <v>43</v>
      </c>
      <c r="U1363" s="16" t="s">
        <v>13</v>
      </c>
      <c r="V1363" s="16" t="s">
        <v>215</v>
      </c>
      <c r="W1363" s="19" t="s"/>
      <c r="X1363" s="26" t="s">
        <f>=M1363&amp;N1363&amp;P1363&amp;Q1363&amp;T1363&amp;V1363&amp;S1363</f>
        <v>1491</v>
      </c>
      <c r="Y1363" s="19" t="s"/>
      <c r="Z1363" s="19" t="s"/>
      <c r="AA1363" s="19" t="s"/>
      <c r="AB1363" s="19" t="s"/>
    </row>
    <row r="1364" spans="1:28" ht="14.4">
      <c r="A1364" s="4">
        <f>=H1364/G1364-1</f>
        <v>0.098814229249012</v>
      </c>
      <c r="B1364" s="20">
        <f>=F1364/12</f>
        <v>20.85</v>
      </c>
      <c r="C1364" s="20">
        <f>=J1364/3</f>
        <v>166.8</v>
      </c>
      <c r="D1364" s="20">
        <f>=K1364/3</f>
        <v>185.333333333333</v>
      </c>
      <c r="E1364" s="20">
        <f>=L1364/3</f>
        <v>194.6</v>
      </c>
      <c r="F1364" s="20">
        <f>=H1364*0.9</f>
        <v>250.2</v>
      </c>
      <c r="G1364" s="139">
        <v>253</v>
      </c>
      <c r="H1364" s="39">
        <v>278</v>
      </c>
      <c r="I1364" s="40">
        <f>=H1364*1.05</f>
        <v>291.9</v>
      </c>
      <c r="J1364" s="40">
        <f>=F1364*2</f>
        <v>500.4</v>
      </c>
      <c r="K1364" s="40">
        <f>=H1364*2</f>
        <v>556</v>
      </c>
      <c r="L1364" s="40">
        <f>=I1364*2</f>
        <v>583.8</v>
      </c>
      <c r="M1364" s="41" t="s">
        <v>1445</v>
      </c>
      <c r="N1364" s="41">
        <v>0.152</v>
      </c>
      <c r="O1364" s="41" t="s"/>
      <c r="P1364" s="41" t="s">
        <v>21</v>
      </c>
      <c r="Q1364" s="41" t="s">
        <v>21</v>
      </c>
      <c r="R1364" s="41" t="s">
        <v>16</v>
      </c>
      <c r="S1364" s="41" t="s">
        <v>17</v>
      </c>
      <c r="T1364" s="41" t="s">
        <v>43</v>
      </c>
      <c r="U1364" s="16" t="s">
        <v>13</v>
      </c>
      <c r="V1364" s="16" t="s">
        <v>1446</v>
      </c>
      <c r="W1364" s="19" t="s"/>
      <c r="X1364" s="26" t="s">
        <f>=M1364&amp;N1364&amp;P1364&amp;Q1364&amp;T1364&amp;V1364&amp;S1364</f>
        <v>1492</v>
      </c>
      <c r="Y1364" s="19" t="s"/>
      <c r="Z1364" s="19" t="s"/>
      <c r="AA1364" s="19" t="s"/>
      <c r="AB1364" s="19" t="s"/>
    </row>
    <row r="1365" spans="1:28" ht="14.4">
      <c r="A1365" s="4">
        <f>=H1365/G1365-1</f>
        <v>0.1</v>
      </c>
      <c r="B1365" s="20">
        <f>=F1365/12</f>
        <v>15.675</v>
      </c>
      <c r="C1365" s="20">
        <f>=J1365/3</f>
        <v>125.4</v>
      </c>
      <c r="D1365" s="20">
        <f>=K1365/3</f>
        <v>139.333333333333</v>
      </c>
      <c r="E1365" s="20">
        <f>=L1365/3</f>
        <v>146.3</v>
      </c>
      <c r="F1365" s="20">
        <f>=H1365*0.9</f>
        <v>188.1</v>
      </c>
      <c r="G1365" s="21">
        <v>190</v>
      </c>
      <c r="H1365" s="39">
        <v>209</v>
      </c>
      <c r="I1365" s="40">
        <f>=H1365*1.05</f>
        <v>219.45</v>
      </c>
      <c r="J1365" s="40">
        <f>=F1365*2</f>
        <v>376.2</v>
      </c>
      <c r="K1365" s="40">
        <f>=H1365*2</f>
        <v>418</v>
      </c>
      <c r="L1365" s="40">
        <f>=I1365*2</f>
        <v>438.9</v>
      </c>
      <c r="M1365" s="41" t="s">
        <v>1445</v>
      </c>
      <c r="N1365" s="41">
        <v>0.152</v>
      </c>
      <c r="O1365" s="41" t="s"/>
      <c r="P1365" s="41" t="s">
        <v>21</v>
      </c>
      <c r="Q1365" s="41" t="s">
        <v>21</v>
      </c>
      <c r="R1365" s="41" t="s">
        <v>16</v>
      </c>
      <c r="S1365" s="41" t="s">
        <v>17</v>
      </c>
      <c r="T1365" s="41" t="s">
        <v>1080</v>
      </c>
      <c r="U1365" s="16" t="s">
        <v>13</v>
      </c>
      <c r="V1365" s="16" t="s">
        <v>1446</v>
      </c>
      <c r="W1365" s="19" t="s"/>
      <c r="X1365" s="26" t="s">
        <f>=M1365&amp;N1365&amp;P1365&amp;Q1365&amp;T1365&amp;V1365&amp;S1365</f>
        <v>1493</v>
      </c>
      <c r="Y1365" s="19" t="s"/>
      <c r="Z1365" s="19" t="s"/>
      <c r="AA1365" s="19" t="s"/>
      <c r="AB1365" s="19" t="s"/>
    </row>
    <row r="1366" spans="1:28" ht="14.4">
      <c r="A1366" s="4">
        <f>=H1366/G1366-1</f>
        <v>0.0992063492063493</v>
      </c>
      <c r="B1366" s="20">
        <f>=F1366/12</f>
        <v>20.775</v>
      </c>
      <c r="C1366" s="20">
        <f>=J1366/3</f>
        <v>166.2</v>
      </c>
      <c r="D1366" s="20">
        <f>=K1366/3</f>
        <v>184.666666666667</v>
      </c>
      <c r="E1366" s="20">
        <f>=L1366/3</f>
        <v>193.9</v>
      </c>
      <c r="F1366" s="20">
        <f>=H1366*0.9</f>
        <v>249.3</v>
      </c>
      <c r="G1366" s="21">
        <v>252</v>
      </c>
      <c r="H1366" s="39">
        <v>277</v>
      </c>
      <c r="I1366" s="40">
        <f>=H1366*1.05</f>
        <v>290.85</v>
      </c>
      <c r="J1366" s="40">
        <f>=F1366*2</f>
        <v>498.6</v>
      </c>
      <c r="K1366" s="40">
        <f>=H1366*2</f>
        <v>554</v>
      </c>
      <c r="L1366" s="40">
        <f>=I1366*2</f>
        <v>581.7</v>
      </c>
      <c r="M1366" s="41" t="s">
        <v>1445</v>
      </c>
      <c r="N1366" s="41">
        <v>0.178</v>
      </c>
      <c r="O1366" s="41" t="s"/>
      <c r="P1366" s="41">
        <v>1</v>
      </c>
      <c r="Q1366" s="41">
        <v>1</v>
      </c>
      <c r="R1366" s="41" t="s">
        <v>16</v>
      </c>
      <c r="S1366" s="41" t="s">
        <v>17</v>
      </c>
      <c r="T1366" s="41" t="s">
        <v>1080</v>
      </c>
      <c r="U1366" s="16" t="s">
        <v>13</v>
      </c>
      <c r="V1366" s="16" t="s">
        <v>1446</v>
      </c>
      <c r="W1366" s="19" t="s"/>
      <c r="X1366" s="26" t="s">
        <f>=M1366&amp;N1366&amp;P1366&amp;Q1366&amp;T1366&amp;V1366&amp;S1366</f>
        <v>1494</v>
      </c>
      <c r="Y1366" s="19" t="s"/>
      <c r="Z1366" s="19" t="s"/>
      <c r="AA1366" s="19" t="s"/>
      <c r="AB1366" s="19" t="s"/>
    </row>
    <row r="1367" spans="1:28" ht="14.4">
      <c r="A1367" s="4">
        <f>=H1367/G1367-1</f>
        <v>0.0992366412213741</v>
      </c>
      <c r="B1367" s="20">
        <f>=F1367/12</f>
        <v>21.6</v>
      </c>
      <c r="C1367" s="20">
        <f>=J1367/3</f>
        <v>172.8</v>
      </c>
      <c r="D1367" s="20">
        <f>=K1367/3</f>
        <v>192</v>
      </c>
      <c r="E1367" s="20">
        <f>=L1367/3</f>
        <v>201.6</v>
      </c>
      <c r="F1367" s="20">
        <f>=H1367*0.9</f>
        <v>259.2</v>
      </c>
      <c r="G1367" s="21">
        <v>262</v>
      </c>
      <c r="H1367" s="39">
        <v>288</v>
      </c>
      <c r="I1367" s="40">
        <f>=H1367*1.05</f>
        <v>302.4</v>
      </c>
      <c r="J1367" s="40">
        <f>=F1367*2</f>
        <v>518.4</v>
      </c>
      <c r="K1367" s="40">
        <f>=H1367*2</f>
        <v>576</v>
      </c>
      <c r="L1367" s="40">
        <f>=I1367*2</f>
        <v>604.8</v>
      </c>
      <c r="M1367" s="41" t="s">
        <v>1445</v>
      </c>
      <c r="N1367" s="41">
        <v>0.178</v>
      </c>
      <c r="O1367" s="41" t="s"/>
      <c r="P1367" s="41" t="s">
        <v>21</v>
      </c>
      <c r="Q1367" s="41" t="s">
        <v>21</v>
      </c>
      <c r="R1367" s="41" t="s">
        <v>16</v>
      </c>
      <c r="S1367" s="41" t="s">
        <v>17</v>
      </c>
      <c r="T1367" s="41" t="s">
        <v>1080</v>
      </c>
      <c r="U1367" s="16" t="s">
        <v>13</v>
      </c>
      <c r="V1367" s="16" t="s">
        <v>1446</v>
      </c>
      <c r="W1367" s="19" t="s"/>
      <c r="X1367" s="26" t="s">
        <f>=M1367&amp;N1367&amp;P1367&amp;Q1367&amp;T1367&amp;V1367&amp;S1367</f>
        <v>1495</v>
      </c>
      <c r="Y1367" s="19" t="s"/>
      <c r="Z1367" s="19" t="s"/>
      <c r="AA1367" s="19" t="s"/>
      <c r="AB1367" s="19" t="s"/>
    </row>
    <row r="1368" spans="1:28" ht="14.4">
      <c r="A1368" s="4">
        <f>=H1368/G1368-1</f>
        <v>0.1</v>
      </c>
      <c r="B1368" s="20">
        <f>=F1368/12</f>
        <v>25.575</v>
      </c>
      <c r="C1368" s="20">
        <f>=J1368/3</f>
        <v>204.6</v>
      </c>
      <c r="D1368" s="20">
        <f>=K1368/3</f>
        <v>227.333333333333</v>
      </c>
      <c r="E1368" s="20">
        <f>=L1368/3</f>
        <v>238.7</v>
      </c>
      <c r="F1368" s="20">
        <f>=H1368*0.9</f>
        <v>306.9</v>
      </c>
      <c r="G1368" s="21">
        <v>310</v>
      </c>
      <c r="H1368" s="39">
        <v>341</v>
      </c>
      <c r="I1368" s="40">
        <f>=H1368*1.05</f>
        <v>358.05</v>
      </c>
      <c r="J1368" s="40">
        <f>=F1368*2</f>
        <v>613.8</v>
      </c>
      <c r="K1368" s="40">
        <f>=H1368*2</f>
        <v>682</v>
      </c>
      <c r="L1368" s="40">
        <f>=I1368*2</f>
        <v>716.1</v>
      </c>
      <c r="M1368" s="41" t="s">
        <v>1445</v>
      </c>
      <c r="N1368" s="41">
        <v>0.203</v>
      </c>
      <c r="O1368" s="41" t="s"/>
      <c r="P1368" s="41">
        <v>1</v>
      </c>
      <c r="Q1368" s="41">
        <v>1</v>
      </c>
      <c r="R1368" s="41" t="s">
        <v>16</v>
      </c>
      <c r="S1368" s="41" t="s">
        <v>17</v>
      </c>
      <c r="T1368" s="41" t="s">
        <v>689</v>
      </c>
      <c r="U1368" s="16" t="s">
        <v>13</v>
      </c>
      <c r="V1368" s="16" t="s">
        <v>1446</v>
      </c>
      <c r="W1368" s="19" t="s"/>
      <c r="X1368" s="26" t="s">
        <f>=M1368&amp;N1368&amp;P1368&amp;Q1368&amp;T1368&amp;V1368&amp;S1368</f>
        <v>1496</v>
      </c>
      <c r="Y1368" s="19" t="s"/>
      <c r="Z1368" s="19" t="s"/>
      <c r="AA1368" s="19" t="s"/>
      <c r="AB1368" s="19" t="s"/>
    </row>
    <row r="1369" spans="1:28" ht="14.4">
      <c r="A1369" s="4">
        <f>=H1369/G1369-1</f>
        <v>0.101449275362319</v>
      </c>
      <c r="B1369" s="20">
        <f>=F1369/12</f>
        <v>22.8</v>
      </c>
      <c r="C1369" s="20">
        <f>=J1369/3</f>
        <v>182.4</v>
      </c>
      <c r="D1369" s="20">
        <f>=K1369/3</f>
        <v>202.666666666667</v>
      </c>
      <c r="E1369" s="20">
        <f>=L1369/3</f>
        <v>212.8</v>
      </c>
      <c r="F1369" s="20">
        <f>=H1369*0.9</f>
        <v>273.6</v>
      </c>
      <c r="G1369" s="21">
        <v>276</v>
      </c>
      <c r="H1369" s="39">
        <v>304</v>
      </c>
      <c r="I1369" s="40">
        <f>=H1369*1.05</f>
        <v>319.2</v>
      </c>
      <c r="J1369" s="40">
        <f>=F1369*2</f>
        <v>547.2</v>
      </c>
      <c r="K1369" s="40">
        <f>=H1369*2</f>
        <v>608</v>
      </c>
      <c r="L1369" s="40">
        <f>=I1369*2</f>
        <v>638.4</v>
      </c>
      <c r="M1369" s="41" t="s">
        <v>1445</v>
      </c>
      <c r="N1369" s="41">
        <v>0.203</v>
      </c>
      <c r="O1369" s="41" t="s"/>
      <c r="P1369" s="41" t="s">
        <v>21</v>
      </c>
      <c r="Q1369" s="41">
        <v>1</v>
      </c>
      <c r="R1369" s="41" t="s">
        <v>16</v>
      </c>
      <c r="S1369" s="41" t="s">
        <v>17</v>
      </c>
      <c r="T1369" s="41" t="s">
        <v>689</v>
      </c>
      <c r="U1369" s="16" t="s">
        <v>13</v>
      </c>
      <c r="V1369" s="16" t="s">
        <v>1446</v>
      </c>
      <c r="W1369" s="19" t="s"/>
      <c r="X1369" s="34" t="s">
        <f>=M1369&amp;N1369&amp;P1369&amp;Q1369&amp;T1369&amp;V1369&amp;S1369</f>
        <v>1497</v>
      </c>
      <c r="Y1369" s="19" t="s"/>
      <c r="Z1369" s="19" t="s"/>
      <c r="AA1369" s="19" t="s"/>
      <c r="AB1369" s="19" t="s"/>
    </row>
    <row r="1370" spans="1:28" ht="14.4">
      <c r="A1370" s="4">
        <f>=H1370/G1370-1</f>
        <v>0.1</v>
      </c>
      <c r="B1370" s="20">
        <f>=F1370/12</f>
        <v>18.975</v>
      </c>
      <c r="C1370" s="20">
        <f>=J1370/3</f>
        <v>151.8</v>
      </c>
      <c r="D1370" s="20">
        <f>=K1370/3</f>
        <v>168.666666666667</v>
      </c>
      <c r="E1370" s="20">
        <f>=L1370/3</f>
        <v>177.1</v>
      </c>
      <c r="F1370" s="20">
        <f>=H1370*0.9</f>
        <v>227.7</v>
      </c>
      <c r="G1370" s="21">
        <v>230</v>
      </c>
      <c r="H1370" s="39">
        <v>253</v>
      </c>
      <c r="I1370" s="40">
        <f>=H1370*1.05</f>
        <v>265.65</v>
      </c>
      <c r="J1370" s="40">
        <f>=F1370*2</f>
        <v>455.4</v>
      </c>
      <c r="K1370" s="40">
        <f>=H1370*2</f>
        <v>506</v>
      </c>
      <c r="L1370" s="40">
        <f>=I1370*2</f>
        <v>531.3</v>
      </c>
      <c r="M1370" s="41" t="s">
        <v>1445</v>
      </c>
      <c r="N1370" s="41">
        <v>0.203</v>
      </c>
      <c r="O1370" s="41" t="s"/>
      <c r="P1370" s="41" t="s">
        <v>21</v>
      </c>
      <c r="Q1370" s="41" t="s">
        <v>21</v>
      </c>
      <c r="R1370" s="41" t="s">
        <v>16</v>
      </c>
      <c r="S1370" s="41" t="s">
        <v>17</v>
      </c>
      <c r="T1370" s="41" t="s">
        <v>689</v>
      </c>
      <c r="U1370" s="16" t="s">
        <v>13</v>
      </c>
      <c r="V1370" s="16" t="s">
        <v>1446</v>
      </c>
      <c r="W1370" s="19" t="s"/>
      <c r="X1370" s="26" t="s">
        <f>=M1370&amp;N1370&amp;P1370&amp;Q1370&amp;T1370&amp;V1370&amp;S1370</f>
        <v>1498</v>
      </c>
      <c r="Y1370" s="19" t="s"/>
      <c r="Z1370" s="19" t="s"/>
      <c r="AA1370" s="19" t="s"/>
      <c r="AB1370" s="19" t="s"/>
    </row>
    <row r="1371" spans="1:29" ht="14.4">
      <c r="A1371" s="49">
        <v>46177</v>
      </c>
      <c r="B1371" s="43">
        <f>=F1371/12</f>
        <v>39</v>
      </c>
      <c r="C1371" s="43">
        <f>=J1371/3</f>
        <v>312</v>
      </c>
      <c r="D1371" s="43">
        <f>=K1371/3</f>
        <v>346.666666666667</v>
      </c>
      <c r="E1371" s="43">
        <f>=L1371/3</f>
        <v>364</v>
      </c>
      <c r="F1371" s="43">
        <f>=H1371*0.9</f>
        <v>468</v>
      </c>
      <c r="G1371" s="140">
        <v>540</v>
      </c>
      <c r="H1371" s="44">
        <v>520</v>
      </c>
      <c r="I1371" s="45">
        <f>=H1371*1.05</f>
        <v>546</v>
      </c>
      <c r="J1371" s="45">
        <f>=F1371*2</f>
        <v>936</v>
      </c>
      <c r="K1371" s="45">
        <f>=H1371*2</f>
        <v>1040</v>
      </c>
      <c r="L1371" s="45">
        <f>=I1371*2</f>
        <v>1092</v>
      </c>
      <c r="M1371" s="46" t="s">
        <v>1445</v>
      </c>
      <c r="N1371" s="12">
        <v>0.23</v>
      </c>
      <c r="O1371" s="46" t="s"/>
      <c r="P1371" s="46">
        <v>2</v>
      </c>
      <c r="Q1371" s="46">
        <v>2</v>
      </c>
      <c r="R1371" s="46" t="s">
        <v>16</v>
      </c>
      <c r="S1371" s="46" t="s">
        <v>17</v>
      </c>
      <c r="T1371" s="46" t="s">
        <v>52</v>
      </c>
      <c r="U1371" s="13" t="s">
        <v>13</v>
      </c>
      <c r="V1371" s="13" t="s">
        <v>215</v>
      </c>
      <c r="W1371" s="15" t="s"/>
      <c r="X1371" s="18" t="s">
        <f>=M1371&amp;N1371&amp;P1371&amp;Q1371&amp;T1371&amp;V1371&amp;S1371</f>
        <v>1499</v>
      </c>
      <c r="Y1371" s="15" t="s"/>
      <c r="Z1371" s="15" t="s"/>
      <c r="AA1371" s="15" t="s"/>
      <c r="AB1371" s="15" t="s"/>
      <c r="AC1371" s="48" t="s"/>
    </row>
    <row r="1372" spans="1:28" ht="14.4">
      <c r="A1372" s="52">
        <f>=H1372/G1372-1</f>
        <v>0.100671140939597</v>
      </c>
      <c r="B1372" s="53">
        <f>=F1372/12</f>
        <v>24.6</v>
      </c>
      <c r="C1372" s="53">
        <f>=J1372/3</f>
        <v>196.8</v>
      </c>
      <c r="D1372" s="53">
        <f>=K1372/3</f>
        <v>218.666666666667</v>
      </c>
      <c r="E1372" s="53">
        <f>=L1372/3</f>
        <v>229.6</v>
      </c>
      <c r="F1372" s="53">
        <f>=H1372*0.9</f>
        <v>295.2</v>
      </c>
      <c r="G1372" s="39">
        <v>298</v>
      </c>
      <c r="H1372" s="39">
        <v>328</v>
      </c>
      <c r="I1372" s="40">
        <f>=H1372*1.05</f>
        <v>344.4</v>
      </c>
      <c r="J1372" s="40">
        <f>=F1372*2</f>
        <v>590.4</v>
      </c>
      <c r="K1372" s="40">
        <f>=H1372*2</f>
        <v>656</v>
      </c>
      <c r="L1372" s="40">
        <f>=I1372*2</f>
        <v>688.8</v>
      </c>
      <c r="M1372" s="41" t="s">
        <v>1445</v>
      </c>
      <c r="N1372" s="41">
        <v>0.254</v>
      </c>
      <c r="O1372" s="41" t="s"/>
      <c r="P1372" s="41" t="s">
        <v>21</v>
      </c>
      <c r="Q1372" s="41" t="s">
        <v>21</v>
      </c>
      <c r="R1372" s="41" t="s">
        <v>16</v>
      </c>
      <c r="S1372" s="41" t="s">
        <v>17</v>
      </c>
      <c r="T1372" s="41" t="s">
        <v>52</v>
      </c>
      <c r="U1372" s="41" t="s">
        <v>13</v>
      </c>
      <c r="V1372" s="41" t="s">
        <v>1446</v>
      </c>
      <c r="W1372" s="29" t="s"/>
      <c r="X1372" s="26" t="s">
        <f>=M1372&amp;N1372&amp;P1372&amp;Q1372&amp;T1372&amp;V1372&amp;S1372</f>
        <v>1500</v>
      </c>
      <c r="Y1372" s="29" t="s"/>
      <c r="Z1372" s="29" t="s"/>
      <c r="AA1372" s="29" t="s"/>
      <c r="AB1372" s="29" t="s"/>
    </row>
    <row r="1373" spans="1:28" ht="14.4">
      <c r="A1373" s="4">
        <f>=H1373/G1373-1</f>
        <v>0.1</v>
      </c>
      <c r="B1373" s="20">
        <f>=F1373/12</f>
        <v>44.55</v>
      </c>
      <c r="C1373" s="20">
        <f>=J1373/3</f>
        <v>356.4</v>
      </c>
      <c r="D1373" s="20">
        <f>=K1373/3</f>
        <v>396</v>
      </c>
      <c r="E1373" s="20">
        <f>=L1373/3</f>
        <v>415.8</v>
      </c>
      <c r="F1373" s="20">
        <f>=H1373*0.9</f>
        <v>534.6</v>
      </c>
      <c r="G1373" s="139">
        <v>540</v>
      </c>
      <c r="H1373" s="39">
        <v>594</v>
      </c>
      <c r="I1373" s="40">
        <f>=H1373*1.05</f>
        <v>623.7</v>
      </c>
      <c r="J1373" s="40">
        <f>=F1373*2</f>
        <v>1069.2</v>
      </c>
      <c r="K1373" s="40">
        <f>=H1373*2</f>
        <v>1188</v>
      </c>
      <c r="L1373" s="40">
        <f>=I1373*2</f>
        <v>1247.4</v>
      </c>
      <c r="M1373" s="41" t="s">
        <v>1445</v>
      </c>
      <c r="N1373" s="41">
        <v>0.254</v>
      </c>
      <c r="O1373" s="41" t="s"/>
      <c r="P1373" s="41">
        <v>2</v>
      </c>
      <c r="Q1373" s="41">
        <v>2</v>
      </c>
      <c r="R1373" s="41" t="s">
        <v>16</v>
      </c>
      <c r="S1373" s="41" t="s">
        <v>17</v>
      </c>
      <c r="T1373" s="41" t="s">
        <v>52</v>
      </c>
      <c r="U1373" s="16" t="s">
        <v>13</v>
      </c>
      <c r="V1373" s="16" t="s">
        <v>215</v>
      </c>
      <c r="W1373" s="19" t="s"/>
      <c r="X1373" s="26" t="s">
        <f>=M1373&amp;N1373&amp;P1373&amp;Q1373&amp;T1373&amp;V1373&amp;S1373</f>
        <v>1501</v>
      </c>
      <c r="Y1373" s="19" t="s"/>
      <c r="Z1373" s="19" t="s"/>
      <c r="AA1373" s="19" t="s"/>
      <c r="AB1373" s="19" t="s"/>
    </row>
    <row r="1374" spans="1:28" ht="14.4">
      <c r="A1374" s="4">
        <f>=H1374/G1374-1</f>
        <v>0.1</v>
      </c>
      <c r="B1374" s="20">
        <f>=F1374/12</f>
        <v>25.575</v>
      </c>
      <c r="C1374" s="20">
        <f>=J1374/3</f>
        <v>204.6</v>
      </c>
      <c r="D1374" s="20">
        <f>=K1374/3</f>
        <v>227.333333333333</v>
      </c>
      <c r="E1374" s="20">
        <f>=L1374/3</f>
        <v>238.7</v>
      </c>
      <c r="F1374" s="20">
        <f>=H1374*0.9</f>
        <v>306.9</v>
      </c>
      <c r="G1374" s="21">
        <v>310</v>
      </c>
      <c r="H1374" s="39">
        <v>341</v>
      </c>
      <c r="I1374" s="40">
        <f>=H1374*1.05</f>
        <v>358.05</v>
      </c>
      <c r="J1374" s="40">
        <f>=F1374*2</f>
        <v>613.8</v>
      </c>
      <c r="K1374" s="40">
        <f>=H1374*2</f>
        <v>682</v>
      </c>
      <c r="L1374" s="40">
        <f>=I1374*2</f>
        <v>716.1</v>
      </c>
      <c r="M1374" s="41" t="s">
        <v>1445</v>
      </c>
      <c r="N1374" s="41">
        <v>0.305</v>
      </c>
      <c r="O1374" s="41" t="s"/>
      <c r="P1374" s="41" t="s">
        <v>21</v>
      </c>
      <c r="Q1374" s="41" t="s">
        <v>21</v>
      </c>
      <c r="R1374" s="41" t="s">
        <v>16</v>
      </c>
      <c r="S1374" s="41" t="s">
        <v>17</v>
      </c>
      <c r="T1374" s="41" t="s">
        <v>325</v>
      </c>
      <c r="U1374" s="16" t="s">
        <v>13</v>
      </c>
      <c r="V1374" s="16" t="s">
        <v>1446</v>
      </c>
      <c r="W1374" s="19" t="s"/>
      <c r="X1374" s="26" t="s">
        <f>=M1374&amp;N1374&amp;P1374&amp;Q1374&amp;T1374&amp;V1374&amp;S1374</f>
        <v>1502</v>
      </c>
      <c r="Y1374" s="19" t="s"/>
      <c r="Z1374" s="19" t="s"/>
      <c r="AA1374" s="19" t="s"/>
      <c r="AB1374" s="19" t="s"/>
    </row>
    <row r="1375" spans="1:28" ht="14.4">
      <c r="A1375" s="4">
        <f>=H1375/G1375-1</f>
        <v>0.1</v>
      </c>
      <c r="B1375" s="20">
        <f>=F1375/12</f>
        <v>31.35</v>
      </c>
      <c r="C1375" s="20">
        <f>=J1375/3</f>
        <v>250.8</v>
      </c>
      <c r="D1375" s="20">
        <f>=K1375/3</f>
        <v>278.666666666667</v>
      </c>
      <c r="E1375" s="20">
        <f>=L1375/3</f>
        <v>292.6</v>
      </c>
      <c r="F1375" s="20">
        <f>=H1375*0.9</f>
        <v>376.2</v>
      </c>
      <c r="G1375" s="21">
        <v>380</v>
      </c>
      <c r="H1375" s="39">
        <v>418</v>
      </c>
      <c r="I1375" s="40">
        <f>=H1375*1.05</f>
        <v>438.9</v>
      </c>
      <c r="J1375" s="40">
        <f>=F1375*2</f>
        <v>752.4</v>
      </c>
      <c r="K1375" s="40">
        <f>=H1375*2</f>
        <v>836</v>
      </c>
      <c r="L1375" s="40">
        <f>=I1375*2</f>
        <v>877.8</v>
      </c>
      <c r="M1375" s="41" t="s">
        <v>1445</v>
      </c>
      <c r="N1375" s="41">
        <v>0.356</v>
      </c>
      <c r="O1375" s="41" t="s"/>
      <c r="P1375" s="41" t="s">
        <v>21</v>
      </c>
      <c r="Q1375" s="41" t="s">
        <v>21</v>
      </c>
      <c r="R1375" s="41" t="s">
        <v>16</v>
      </c>
      <c r="S1375" s="41" t="s">
        <v>17</v>
      </c>
      <c r="T1375" s="41" t="s">
        <v>1172</v>
      </c>
      <c r="U1375" s="16" t="s">
        <v>13</v>
      </c>
      <c r="V1375" s="16" t="s">
        <v>1446</v>
      </c>
      <c r="W1375" s="19" t="s"/>
      <c r="X1375" s="26" t="s">
        <f>=M1375&amp;N1375&amp;P1375&amp;Q1375&amp;T1375&amp;V1375&amp;S1375</f>
        <v>1503</v>
      </c>
      <c r="Y1375" s="19" t="s"/>
      <c r="Z1375" s="19" t="s"/>
      <c r="AA1375" s="19" t="s"/>
      <c r="AB1375" s="19" t="s"/>
    </row>
    <row r="1376" spans="1:28" ht="14.4">
      <c r="A1376" s="4">
        <f>=H1376/G1376-1</f>
        <v>0.1</v>
      </c>
      <c r="B1376" s="20">
        <f>=F1376/12</f>
        <v>36.3</v>
      </c>
      <c r="C1376" s="20">
        <f>=J1376/3</f>
        <v>290.4</v>
      </c>
      <c r="D1376" s="20">
        <f>=K1376/3</f>
        <v>322.666666666667</v>
      </c>
      <c r="E1376" s="20">
        <f>=L1376/3</f>
        <v>338.8</v>
      </c>
      <c r="F1376" s="20">
        <f>=H1376*0.9</f>
        <v>435.6</v>
      </c>
      <c r="G1376" s="21">
        <v>440</v>
      </c>
      <c r="H1376" s="39">
        <v>484</v>
      </c>
      <c r="I1376" s="40">
        <f>=H1376*1.05</f>
        <v>508.2</v>
      </c>
      <c r="J1376" s="40">
        <f>=F1376*2</f>
        <v>871.2</v>
      </c>
      <c r="K1376" s="40">
        <f>=H1376*2</f>
        <v>968</v>
      </c>
      <c r="L1376" s="40">
        <f>=I1376*2</f>
        <v>1016.4</v>
      </c>
      <c r="M1376" s="41" t="s">
        <v>1445</v>
      </c>
      <c r="N1376" s="41">
        <v>0.356</v>
      </c>
      <c r="O1376" s="41" t="s"/>
      <c r="P1376" s="41">
        <v>1</v>
      </c>
      <c r="Q1376" s="41">
        <v>1</v>
      </c>
      <c r="R1376" s="41" t="s">
        <v>16</v>
      </c>
      <c r="S1376" s="41" t="s">
        <v>17</v>
      </c>
      <c r="T1376" s="41" t="s">
        <v>1172</v>
      </c>
      <c r="U1376" s="16" t="s">
        <v>13</v>
      </c>
      <c r="V1376" s="16" t="s">
        <v>1446</v>
      </c>
      <c r="W1376" s="19" t="s"/>
      <c r="X1376" s="26" t="s">
        <f>=M1376&amp;N1376&amp;P1376&amp;Q1376&amp;T1376&amp;V1376&amp;S1376</f>
        <v>1504</v>
      </c>
      <c r="Y1376" s="19" t="s"/>
      <c r="Z1376" s="19" t="s"/>
      <c r="AA1376" s="19" t="s"/>
      <c r="AB1376" s="19" t="s"/>
    </row>
    <row r="1377" spans="1:28" ht="14.4">
      <c r="A1377" s="4">
        <f>=H1377/G1377-1</f>
        <v>0.100427350427351</v>
      </c>
      <c r="B1377" s="20">
        <f>=F1377/12</f>
        <v>38.625</v>
      </c>
      <c r="C1377" s="20">
        <f>=J1377/3</f>
        <v>309</v>
      </c>
      <c r="D1377" s="20">
        <f>=K1377/3</f>
        <v>343.333333333333</v>
      </c>
      <c r="E1377" s="20">
        <f>=L1377/3</f>
        <v>360.5</v>
      </c>
      <c r="F1377" s="20">
        <f>=H1377*0.9</f>
        <v>463.5</v>
      </c>
      <c r="G1377" s="21">
        <v>468</v>
      </c>
      <c r="H1377" s="39">
        <v>515</v>
      </c>
      <c r="I1377" s="40">
        <f>=H1377*1.05</f>
        <v>540.75</v>
      </c>
      <c r="J1377" s="40">
        <f>=F1377*2</f>
        <v>927</v>
      </c>
      <c r="K1377" s="40">
        <f>=H1377*2</f>
        <v>1030</v>
      </c>
      <c r="L1377" s="40">
        <f>=I1377*2</f>
        <v>1081.5</v>
      </c>
      <c r="M1377" s="41" t="s">
        <v>1445</v>
      </c>
      <c r="N1377" s="41">
        <v>0.406</v>
      </c>
      <c r="O1377" s="41" t="s"/>
      <c r="P1377" s="41">
        <v>1</v>
      </c>
      <c r="Q1377" s="41">
        <v>1</v>
      </c>
      <c r="R1377" s="41" t="s">
        <v>16</v>
      </c>
      <c r="S1377" s="41" t="s">
        <v>17</v>
      </c>
      <c r="T1377" s="41" t="s">
        <v>1286</v>
      </c>
      <c r="U1377" s="16" t="s">
        <v>13</v>
      </c>
      <c r="V1377" s="16" t="s">
        <v>1446</v>
      </c>
      <c r="W1377" s="19" t="s"/>
      <c r="X1377" s="26" t="s">
        <f>=M1377&amp;N1377&amp;P1377&amp;Q1377&amp;T1377&amp;V1377&amp;S1377</f>
        <v>1505</v>
      </c>
      <c r="Y1377" s="19" t="s"/>
      <c r="Z1377" s="19" t="s"/>
      <c r="AA1377" s="19" t="s"/>
      <c r="AB1377" s="19" t="s"/>
    </row>
    <row r="1378" spans="1:28" ht="14.4">
      <c r="A1378" s="4">
        <f>=H1378/G1378-1</f>
        <v>0.1</v>
      </c>
      <c r="B1378" s="20">
        <f>=F1378/12</f>
        <v>32.175</v>
      </c>
      <c r="C1378" s="20">
        <f>=J1378/3</f>
        <v>257.4</v>
      </c>
      <c r="D1378" s="20">
        <f>=K1378/3</f>
        <v>286</v>
      </c>
      <c r="E1378" s="20">
        <f>=L1378/3</f>
        <v>300.3</v>
      </c>
      <c r="F1378" s="20">
        <f>=H1378*0.9</f>
        <v>386.1</v>
      </c>
      <c r="G1378" s="21">
        <v>390</v>
      </c>
      <c r="H1378" s="39">
        <v>429</v>
      </c>
      <c r="I1378" s="40">
        <f>=H1378*1.05</f>
        <v>450.45</v>
      </c>
      <c r="J1378" s="40">
        <f>=F1378*2</f>
        <v>772.2</v>
      </c>
      <c r="K1378" s="40">
        <f>=H1378*2</f>
        <v>858</v>
      </c>
      <c r="L1378" s="40">
        <f>=I1378*2</f>
        <v>900.9</v>
      </c>
      <c r="M1378" s="41" t="s">
        <v>1445</v>
      </c>
      <c r="N1378" s="41">
        <v>0.406</v>
      </c>
      <c r="O1378" s="41" t="s"/>
      <c r="P1378" s="41" t="s">
        <v>21</v>
      </c>
      <c r="Q1378" s="41" t="s">
        <v>21</v>
      </c>
      <c r="R1378" s="41" t="s">
        <v>16</v>
      </c>
      <c r="S1378" s="41" t="s">
        <v>17</v>
      </c>
      <c r="T1378" s="41" t="s">
        <v>1286</v>
      </c>
      <c r="U1378" s="16" t="s">
        <v>13</v>
      </c>
      <c r="V1378" s="16" t="s">
        <v>1446</v>
      </c>
      <c r="W1378" s="19" t="s"/>
      <c r="X1378" s="26" t="s">
        <f>=M1378&amp;N1378&amp;P1378&amp;Q1378&amp;T1378&amp;V1378&amp;S1378</f>
        <v>1506</v>
      </c>
      <c r="Y1378" s="19" t="s"/>
      <c r="Z1378" s="19" t="s"/>
      <c r="AA1378" s="19" t="s"/>
      <c r="AB1378" s="19" t="s"/>
    </row>
    <row r="1379" spans="1:28" ht="14.4">
      <c r="A1379" s="4">
        <f>=H1379/G1379-1</f>
        <v>0.099585062240664</v>
      </c>
      <c r="B1379" s="20">
        <f>=F1379/12</f>
        <v>39.75</v>
      </c>
      <c r="C1379" s="20">
        <f>=J1379/3</f>
        <v>318</v>
      </c>
      <c r="D1379" s="20">
        <f>=K1379/3</f>
        <v>353.333333333333</v>
      </c>
      <c r="E1379" s="20">
        <f>=L1379/3</f>
        <v>371</v>
      </c>
      <c r="F1379" s="20">
        <f>=H1379*0.9</f>
        <v>477</v>
      </c>
      <c r="G1379" s="21">
        <v>482</v>
      </c>
      <c r="H1379" s="39">
        <v>530</v>
      </c>
      <c r="I1379" s="40">
        <f>=H1379*1.05</f>
        <v>556.5</v>
      </c>
      <c r="J1379" s="40">
        <f>=F1379*2</f>
        <v>954</v>
      </c>
      <c r="K1379" s="40">
        <f>=H1379*2</f>
        <v>1060</v>
      </c>
      <c r="L1379" s="40">
        <f>=I1379*2</f>
        <v>1113</v>
      </c>
      <c r="M1379" s="41" t="s">
        <v>1445</v>
      </c>
      <c r="N1379" s="41">
        <v>0.508</v>
      </c>
      <c r="O1379" s="41" t="s"/>
      <c r="P1379" s="41">
        <v>1</v>
      </c>
      <c r="Q1379" s="41">
        <v>1</v>
      </c>
      <c r="R1379" s="41" t="s">
        <v>16</v>
      </c>
      <c r="S1379" s="41" t="s">
        <v>17</v>
      </c>
      <c r="T1379" s="41" t="s">
        <v>387</v>
      </c>
      <c r="U1379" s="16" t="s">
        <v>13</v>
      </c>
      <c r="V1379" s="16" t="s">
        <v>1446</v>
      </c>
      <c r="W1379" s="19" t="s"/>
      <c r="X1379" s="26" t="s">
        <f>=M1379&amp;N1379&amp;P1379&amp;Q1379&amp;T1379&amp;V1379&amp;S1379</f>
        <v>1507</v>
      </c>
      <c r="Y1379" s="19" t="s"/>
      <c r="Z1379" s="19" t="s"/>
      <c r="AA1379" s="19" t="s"/>
      <c r="AB1379" s="19" t="s"/>
    </row>
    <row r="1380" spans="1:28" ht="14.4">
      <c r="A1380" s="4">
        <f>=H1380/G1380-1</f>
        <v>0.1</v>
      </c>
      <c r="B1380" s="20">
        <f>=F1380/12</f>
        <v>36.3</v>
      </c>
      <c r="C1380" s="20">
        <f>=J1380/3</f>
        <v>290.4</v>
      </c>
      <c r="D1380" s="20">
        <f>=K1380/3</f>
        <v>322.666666666667</v>
      </c>
      <c r="E1380" s="20">
        <f>=L1380/3</f>
        <v>338.8</v>
      </c>
      <c r="F1380" s="20">
        <f>=H1380*0.9</f>
        <v>435.6</v>
      </c>
      <c r="G1380" s="21">
        <v>440</v>
      </c>
      <c r="H1380" s="39">
        <v>484</v>
      </c>
      <c r="I1380" s="40">
        <f>=H1380*1.05</f>
        <v>508.2</v>
      </c>
      <c r="J1380" s="40">
        <f>=F1380*2</f>
        <v>871.2</v>
      </c>
      <c r="K1380" s="40">
        <f>=H1380*2</f>
        <v>968</v>
      </c>
      <c r="L1380" s="40">
        <f>=I1380*2</f>
        <v>1016.4</v>
      </c>
      <c r="M1380" s="41" t="s">
        <v>1445</v>
      </c>
      <c r="N1380" s="41">
        <v>0.508</v>
      </c>
      <c r="O1380" s="41" t="s"/>
      <c r="P1380" s="41" t="s">
        <v>21</v>
      </c>
      <c r="Q1380" s="41" t="s">
        <v>21</v>
      </c>
      <c r="R1380" s="41" t="s">
        <v>16</v>
      </c>
      <c r="S1380" s="41" t="s">
        <v>17</v>
      </c>
      <c r="T1380" s="41" t="s">
        <v>387</v>
      </c>
      <c r="U1380" s="16" t="s">
        <v>13</v>
      </c>
      <c r="V1380" s="16" t="s">
        <v>1446</v>
      </c>
      <c r="W1380" s="19" t="s"/>
      <c r="X1380" s="26" t="s">
        <f>=M1380&amp;N1380&amp;P1380&amp;Q1380&amp;T1380&amp;V1380&amp;S1380</f>
        <v>1508</v>
      </c>
      <c r="Y1380" s="19" t="s"/>
      <c r="Z1380" s="19" t="s"/>
      <c r="AA1380" s="19" t="s"/>
      <c r="AB1380" s="19" t="s"/>
    </row>
    <row r="1381" spans="1:28" ht="14.4">
      <c r="A1381" s="4">
        <f>=H1381/G1381-1</f>
        <v>0.10036496350365</v>
      </c>
      <c r="B1381" s="20">
        <f>=F1381/12</f>
        <v>45.225</v>
      </c>
      <c r="C1381" s="20">
        <f>=J1381/3</f>
        <v>361.8</v>
      </c>
      <c r="D1381" s="20">
        <f>=K1381/3</f>
        <v>402</v>
      </c>
      <c r="E1381" s="20">
        <f>=L1381/3</f>
        <v>422.1</v>
      </c>
      <c r="F1381" s="20">
        <f>=H1381*0.9</f>
        <v>542.7</v>
      </c>
      <c r="G1381" s="21">
        <v>548</v>
      </c>
      <c r="H1381" s="39">
        <v>603</v>
      </c>
      <c r="I1381" s="40">
        <f>=H1381*1.05</f>
        <v>633.15</v>
      </c>
      <c r="J1381" s="40">
        <f>=F1381*2</f>
        <v>1085.4</v>
      </c>
      <c r="K1381" s="40">
        <f>=H1381*2</f>
        <v>1206</v>
      </c>
      <c r="L1381" s="40">
        <f>=I1381*2</f>
        <v>1266.3</v>
      </c>
      <c r="M1381" s="41" t="s">
        <v>1445</v>
      </c>
      <c r="N1381" s="41">
        <v>0.635</v>
      </c>
      <c r="O1381" s="41" t="s"/>
      <c r="P1381" s="41">
        <v>1</v>
      </c>
      <c r="Q1381" s="41">
        <v>1</v>
      </c>
      <c r="R1381" s="41" t="s">
        <v>16</v>
      </c>
      <c r="S1381" s="41" t="s">
        <v>17</v>
      </c>
      <c r="T1381" s="41" t="s">
        <v>413</v>
      </c>
      <c r="U1381" s="16" t="s">
        <v>13</v>
      </c>
      <c r="V1381" s="16" t="s">
        <v>1446</v>
      </c>
      <c r="W1381" s="19" t="s"/>
      <c r="X1381" s="26" t="s">
        <f>=M1381&amp;N1381&amp;P1381&amp;Q1381&amp;T1381&amp;V1381&amp;S1381</f>
        <v>1509</v>
      </c>
      <c r="Y1381" s="19" t="s"/>
      <c r="Z1381" s="19" t="s"/>
      <c r="AA1381" s="19" t="s"/>
      <c r="AB1381" s="19" t="s"/>
    </row>
    <row r="1382" spans="1:28" ht="14.4">
      <c r="A1382" s="4">
        <f>=H1382/G1382-1</f>
        <v>0.100569259962049</v>
      </c>
      <c r="B1382" s="20">
        <f>=F1382/12</f>
        <v>43.5</v>
      </c>
      <c r="C1382" s="20">
        <f>=J1382/3</f>
        <v>348</v>
      </c>
      <c r="D1382" s="20">
        <f>=K1382/3</f>
        <v>386.666666666667</v>
      </c>
      <c r="E1382" s="20">
        <f>=L1382/3</f>
        <v>406</v>
      </c>
      <c r="F1382" s="20">
        <f>=H1382*0.9</f>
        <v>522</v>
      </c>
      <c r="G1382" s="21">
        <v>527</v>
      </c>
      <c r="H1382" s="39">
        <v>580</v>
      </c>
      <c r="I1382" s="40">
        <f>=H1382*1.05</f>
        <v>609</v>
      </c>
      <c r="J1382" s="40">
        <f>=F1382*2</f>
        <v>1044</v>
      </c>
      <c r="K1382" s="40">
        <f>=H1382*2</f>
        <v>1160</v>
      </c>
      <c r="L1382" s="40">
        <f>=I1382*2</f>
        <v>1218</v>
      </c>
      <c r="M1382" s="41" t="s">
        <v>1445</v>
      </c>
      <c r="N1382" s="41">
        <v>0.635</v>
      </c>
      <c r="O1382" s="41" t="s"/>
      <c r="P1382" s="41" t="s">
        <v>21</v>
      </c>
      <c r="Q1382" s="41" t="s">
        <v>21</v>
      </c>
      <c r="R1382" s="41" t="s">
        <v>16</v>
      </c>
      <c r="S1382" s="41" t="s">
        <v>17</v>
      </c>
      <c r="T1382" s="41" t="s">
        <v>413</v>
      </c>
      <c r="U1382" s="16" t="s">
        <v>13</v>
      </c>
      <c r="V1382" s="16" t="s">
        <v>1446</v>
      </c>
      <c r="W1382" s="19" t="s"/>
      <c r="X1382" s="26" t="s">
        <f>=M1382&amp;N1382&amp;P1382&amp;Q1382&amp;T1382&amp;V1382&amp;S1382</f>
        <v>1510</v>
      </c>
      <c r="Y1382" s="19" t="s"/>
      <c r="Z1382" s="19" t="s"/>
      <c r="AA1382" s="19" t="s"/>
      <c r="AB1382" s="19" t="s"/>
    </row>
    <row r="1383" spans="1:28" ht="14.4">
      <c r="A1383" s="4">
        <f>=H1383/G1383-1</f>
        <v>0.1</v>
      </c>
      <c r="B1383" s="20">
        <f>=F1383/12</f>
        <v>53.625</v>
      </c>
      <c r="C1383" s="20">
        <f>=J1383/3</f>
        <v>429</v>
      </c>
      <c r="D1383" s="20">
        <f>=K1383/3</f>
        <v>476.666666666667</v>
      </c>
      <c r="E1383" s="20">
        <f>=L1383/3</f>
        <v>500.5</v>
      </c>
      <c r="F1383" s="20">
        <f>=H1383*0.9</f>
        <v>643.5</v>
      </c>
      <c r="G1383" s="21">
        <v>650</v>
      </c>
      <c r="H1383" s="39">
        <v>715</v>
      </c>
      <c r="I1383" s="40">
        <f>=H1383*1.05</f>
        <v>750.75</v>
      </c>
      <c r="J1383" s="40">
        <f>=F1383*2</f>
        <v>1287</v>
      </c>
      <c r="K1383" s="40">
        <f>=H1383*2</f>
        <v>1430</v>
      </c>
      <c r="L1383" s="40">
        <f>=I1383*2</f>
        <v>1501.5</v>
      </c>
      <c r="M1383" s="41" t="s">
        <v>1445</v>
      </c>
      <c r="N1383" s="41">
        <v>0.762</v>
      </c>
      <c r="O1383" s="41" t="s"/>
      <c r="P1383" s="41">
        <v>1</v>
      </c>
      <c r="Q1383" s="41">
        <v>1</v>
      </c>
      <c r="R1383" s="41" t="s">
        <v>16</v>
      </c>
      <c r="S1383" s="41" t="s">
        <v>17</v>
      </c>
      <c r="T1383" s="41" t="s">
        <v>784</v>
      </c>
      <c r="U1383" s="16" t="s">
        <v>13</v>
      </c>
      <c r="V1383" s="16" t="s">
        <v>1446</v>
      </c>
      <c r="W1383" s="19" t="s"/>
      <c r="X1383" s="26" t="s">
        <f>=M1383&amp;N1383&amp;P1383&amp;Q1383&amp;T1383&amp;V1383&amp;S1383</f>
        <v>1511</v>
      </c>
      <c r="Y1383" s="19" t="s"/>
      <c r="Z1383" s="19" t="s"/>
      <c r="AA1383" s="19" t="s"/>
      <c r="AB1383" s="19" t="s"/>
    </row>
    <row r="1384" spans="1:28" ht="14.4">
      <c r="A1384" s="4">
        <f>=H1384/G1384-1</f>
        <v>0.0994764397905759</v>
      </c>
      <c r="B1384" s="20">
        <f>=F1384/12</f>
        <v>47.25</v>
      </c>
      <c r="C1384" s="20">
        <f>=J1384/3</f>
        <v>378</v>
      </c>
      <c r="D1384" s="20">
        <f>=K1384/3</f>
        <v>420</v>
      </c>
      <c r="E1384" s="20">
        <f>=L1384/3</f>
        <v>441</v>
      </c>
      <c r="F1384" s="20">
        <f>=H1384*0.9</f>
        <v>567</v>
      </c>
      <c r="G1384" s="21">
        <v>573</v>
      </c>
      <c r="H1384" s="39">
        <v>630</v>
      </c>
      <c r="I1384" s="40">
        <f>=H1384*1.05</f>
        <v>661.5</v>
      </c>
      <c r="J1384" s="40">
        <f>=F1384*2</f>
        <v>1134</v>
      </c>
      <c r="K1384" s="40">
        <f>=H1384*2</f>
        <v>1260</v>
      </c>
      <c r="L1384" s="40">
        <f>=I1384*2</f>
        <v>1323</v>
      </c>
      <c r="M1384" s="41" t="s">
        <v>1445</v>
      </c>
      <c r="N1384" s="41">
        <v>0.762</v>
      </c>
      <c r="O1384" s="41" t="s"/>
      <c r="P1384" s="41" t="s">
        <v>21</v>
      </c>
      <c r="Q1384" s="41" t="s">
        <v>21</v>
      </c>
      <c r="R1384" s="41" t="s">
        <v>16</v>
      </c>
      <c r="S1384" s="41" t="s">
        <v>17</v>
      </c>
      <c r="T1384" s="41" t="s">
        <v>801</v>
      </c>
      <c r="U1384" s="16" t="s">
        <v>13</v>
      </c>
      <c r="V1384" s="16" t="s">
        <v>1446</v>
      </c>
      <c r="W1384" s="19" t="s"/>
      <c r="X1384" s="26" t="s">
        <f>=M1384&amp;N1384&amp;P1384&amp;Q1384&amp;T1384&amp;V1384&amp;S1384</f>
        <v>1512</v>
      </c>
      <c r="Y1384" s="19" t="s"/>
      <c r="Z1384" s="19" t="s"/>
      <c r="AA1384" s="19" t="s"/>
      <c r="AB1384" s="19" t="s"/>
    </row>
    <row r="1385" spans="1:28" ht="14.4">
      <c r="A1385" s="4">
        <f>=H1385/G1385-1</f>
        <v>0.10059880239521</v>
      </c>
      <c r="B1385" s="20">
        <f>=F1385/12</f>
        <v>68.925</v>
      </c>
      <c r="C1385" s="20">
        <f>=J1385/3</f>
        <v>551.4</v>
      </c>
      <c r="D1385" s="20">
        <f>=K1385/3</f>
        <v>612.666666666667</v>
      </c>
      <c r="E1385" s="20">
        <f>=L1385/3</f>
        <v>643.3</v>
      </c>
      <c r="F1385" s="20">
        <f>=H1385*0.9</f>
        <v>827.1</v>
      </c>
      <c r="G1385" s="21">
        <v>835</v>
      </c>
      <c r="H1385" s="39">
        <v>919</v>
      </c>
      <c r="I1385" s="40">
        <f>=H1385*1.05</f>
        <v>964.95</v>
      </c>
      <c r="J1385" s="40">
        <f>=F1385*2</f>
        <v>1654.2</v>
      </c>
      <c r="K1385" s="40">
        <f>=H1385*2</f>
        <v>1838</v>
      </c>
      <c r="L1385" s="40">
        <f>=I1385*2</f>
        <v>1929.9</v>
      </c>
      <c r="M1385" s="41" t="s">
        <v>1445</v>
      </c>
      <c r="N1385" s="41">
        <v>1.118</v>
      </c>
      <c r="O1385" s="41" t="s"/>
      <c r="P1385" s="41" t="s">
        <v>21</v>
      </c>
      <c r="Q1385" s="41" t="s">
        <v>21</v>
      </c>
      <c r="R1385" s="41" t="s">
        <v>16</v>
      </c>
      <c r="S1385" s="41" t="s">
        <v>17</v>
      </c>
      <c r="T1385" s="41" t="s">
        <v>1204</v>
      </c>
      <c r="U1385" s="16" t="s">
        <v>13</v>
      </c>
      <c r="V1385" s="16" t="s">
        <v>1446</v>
      </c>
      <c r="W1385" s="19" t="s"/>
      <c r="X1385" s="26" t="s">
        <f>=M1385&amp;N1385&amp;P1385&amp;Q1385&amp;T1385&amp;V1385&amp;S1385</f>
        <v>1513</v>
      </c>
      <c r="Y1385" s="19" t="s"/>
      <c r="Z1385" s="19" t="s"/>
      <c r="AA1385" s="19" t="s"/>
      <c r="AB1385" s="19" t="s"/>
    </row>
    <row r="1386" spans="1:28" ht="14.4">
      <c r="A1386" s="4">
        <f>=H1386/G1386-1</f>
        <v>0.100123609394314</v>
      </c>
      <c r="B1386" s="20">
        <f>=F1386/12</f>
        <v>66.75</v>
      </c>
      <c r="C1386" s="20">
        <f>=J1386/3</f>
        <v>534</v>
      </c>
      <c r="D1386" s="20">
        <f>=K1386/3</f>
        <v>593.333333333334</v>
      </c>
      <c r="E1386" s="20">
        <f>=L1386/3</f>
        <v>623</v>
      </c>
      <c r="F1386" s="20">
        <f>=H1386*0.9</f>
        <v>801</v>
      </c>
      <c r="G1386" s="21">
        <v>809</v>
      </c>
      <c r="H1386" s="39">
        <v>890</v>
      </c>
      <c r="I1386" s="40">
        <f>=H1386*1.05</f>
        <v>934.5</v>
      </c>
      <c r="J1386" s="40">
        <f>=F1386*2</f>
        <v>1602</v>
      </c>
      <c r="K1386" s="40">
        <f>=H1386*2</f>
        <v>1780</v>
      </c>
      <c r="L1386" s="40">
        <f>=I1386*2</f>
        <v>1869</v>
      </c>
      <c r="M1386" s="41" t="s">
        <v>1445</v>
      </c>
      <c r="N1386" s="41">
        <v>1.27</v>
      </c>
      <c r="O1386" s="41" t="s"/>
      <c r="P1386" s="41">
        <v>1</v>
      </c>
      <c r="Q1386" s="41">
        <v>1</v>
      </c>
      <c r="R1386" s="41" t="s">
        <v>16</v>
      </c>
      <c r="S1386" s="41" t="s">
        <v>17</v>
      </c>
      <c r="T1386" s="41" t="s">
        <v>1204</v>
      </c>
      <c r="U1386" s="16" t="s">
        <v>13</v>
      </c>
      <c r="V1386" s="16" t="s">
        <v>1446</v>
      </c>
      <c r="W1386" s="19" t="s"/>
      <c r="X1386" s="26" t="s">
        <f>=M1386&amp;N1386&amp;P1386&amp;Q1386&amp;T1386&amp;V1386&amp;S1386</f>
        <v>1514</v>
      </c>
      <c r="Y1386" s="19" t="s"/>
      <c r="Z1386" s="19" t="s"/>
      <c r="AA1386" s="19" t="s"/>
      <c r="AB1386" s="19" t="s"/>
    </row>
    <row r="1387" spans="1:28" ht="14.4">
      <c r="A1387" s="4">
        <f>=H1387/G1387-1</f>
        <v>0.1</v>
      </c>
      <c r="B1387" s="20">
        <f>=F1387/12</f>
        <v>70.125</v>
      </c>
      <c r="C1387" s="20">
        <f>=J1387/3</f>
        <v>561</v>
      </c>
      <c r="D1387" s="20">
        <f>=K1387/3</f>
        <v>623.333333333334</v>
      </c>
      <c r="E1387" s="20">
        <f>=L1387/3</f>
        <v>654.5</v>
      </c>
      <c r="F1387" s="20">
        <f>=H1387*0.9</f>
        <v>841.5</v>
      </c>
      <c r="G1387" s="21">
        <v>850</v>
      </c>
      <c r="H1387" s="39">
        <v>935</v>
      </c>
      <c r="I1387" s="40">
        <f>=H1387*1.05</f>
        <v>981.75</v>
      </c>
      <c r="J1387" s="40">
        <f>=F1387*2</f>
        <v>1683</v>
      </c>
      <c r="K1387" s="40">
        <f>=H1387*2</f>
        <v>1870</v>
      </c>
      <c r="L1387" s="40">
        <f>=I1387*2</f>
        <v>1963.5</v>
      </c>
      <c r="M1387" s="41" t="s">
        <v>1445</v>
      </c>
      <c r="N1387" s="41">
        <v>1.153</v>
      </c>
      <c r="O1387" s="41" t="s"/>
      <c r="P1387" s="41" t="s">
        <v>21</v>
      </c>
      <c r="Q1387" s="41" t="s">
        <v>21</v>
      </c>
      <c r="R1387" s="41" t="s">
        <v>16</v>
      </c>
      <c r="S1387" s="41" t="s">
        <v>137</v>
      </c>
      <c r="T1387" s="41" t="s">
        <v>1515</v>
      </c>
      <c r="U1387" s="16" t="s">
        <v>13</v>
      </c>
      <c r="V1387" s="16" t="s">
        <v>1446</v>
      </c>
      <c r="W1387" s="19" t="s"/>
      <c r="X1387" s="26" t="s">
        <f>=M1387&amp;N1387&amp;P1387&amp;Q1387&amp;T1387&amp;V1387&amp;S1387</f>
        <v>1516</v>
      </c>
      <c r="Y1387" s="19" t="s"/>
      <c r="Z1387" s="19" t="s"/>
      <c r="AA1387" s="19" t="s"/>
      <c r="AB1387" s="19" t="s"/>
    </row>
    <row r="1388" spans="1:28" ht="14.4">
      <c r="A1388" s="4">
        <f>=H1388/G1388-1</f>
        <v>0.1</v>
      </c>
      <c r="B1388" s="20">
        <f>=F1388/12</f>
        <v>82.5</v>
      </c>
      <c r="C1388" s="20">
        <f>=J1388/3</f>
        <v>660</v>
      </c>
      <c r="D1388" s="20">
        <f>=K1388/3</f>
        <v>733.333333333334</v>
      </c>
      <c r="E1388" s="20">
        <f>=L1388/3</f>
        <v>770</v>
      </c>
      <c r="F1388" s="20">
        <f>=H1388*0.9</f>
        <v>990</v>
      </c>
      <c r="G1388" s="21">
        <v>1000</v>
      </c>
      <c r="H1388" s="39">
        <v>1100</v>
      </c>
      <c r="I1388" s="40">
        <f>=H1388*1.05</f>
        <v>1155</v>
      </c>
      <c r="J1388" s="40">
        <f>=F1388*2</f>
        <v>1980</v>
      </c>
      <c r="K1388" s="40">
        <f>=H1388*2</f>
        <v>2200</v>
      </c>
      <c r="L1388" s="40">
        <f>=I1388*2</f>
        <v>2310</v>
      </c>
      <c r="M1388" s="41" t="s">
        <v>1445</v>
      </c>
      <c r="N1388" s="41">
        <v>1.5</v>
      </c>
      <c r="O1388" s="41" t="s"/>
      <c r="P1388" s="41">
        <v>1</v>
      </c>
      <c r="Q1388" s="41">
        <v>1</v>
      </c>
      <c r="R1388" s="41" t="s">
        <v>16</v>
      </c>
      <c r="S1388" s="41" t="s">
        <v>137</v>
      </c>
      <c r="T1388" s="41" t="s">
        <v>1517</v>
      </c>
      <c r="U1388" s="16" t="s">
        <v>13</v>
      </c>
      <c r="V1388" s="16" t="s">
        <v>1446</v>
      </c>
      <c r="W1388" s="19" t="s"/>
      <c r="X1388" s="26" t="s">
        <f>=M1388&amp;N1388&amp;P1388&amp;Q1388&amp;T1388&amp;V1388&amp;S1388</f>
        <v>1518</v>
      </c>
      <c r="Y1388" s="19" t="s"/>
      <c r="Z1388" s="19" t="s"/>
      <c r="AA1388" s="19" t="s"/>
      <c r="AB1388" s="19" t="s"/>
    </row>
    <row r="1389" spans="1:28" ht="14.4">
      <c r="A1389" s="4">
        <f>=H1389/G1389-1</f>
        <v>0.100346020761246</v>
      </c>
      <c r="B1389" s="20">
        <f>=F1389/12</f>
        <v>95.4</v>
      </c>
      <c r="C1389" s="20">
        <f>=J1389/3</f>
        <v>763.2</v>
      </c>
      <c r="D1389" s="20">
        <f>=K1389/3</f>
        <v>848</v>
      </c>
      <c r="E1389" s="20">
        <f>=L1389/3</f>
        <v>890.4</v>
      </c>
      <c r="F1389" s="20">
        <f>=H1389*0.9</f>
        <v>1144.8</v>
      </c>
      <c r="G1389" s="21">
        <v>1156</v>
      </c>
      <c r="H1389" s="39">
        <v>1272</v>
      </c>
      <c r="I1389" s="40">
        <f>=H1389*1.05</f>
        <v>1335.6</v>
      </c>
      <c r="J1389" s="40">
        <f>=F1389*2</f>
        <v>2289.6</v>
      </c>
      <c r="K1389" s="40">
        <f>=H1389*2</f>
        <v>2544</v>
      </c>
      <c r="L1389" s="40">
        <f>=I1389*2</f>
        <v>2671.2</v>
      </c>
      <c r="M1389" s="41" t="s">
        <v>1445</v>
      </c>
      <c r="N1389" s="41">
        <v>1.67</v>
      </c>
      <c r="O1389" s="41">
        <v>1.7</v>
      </c>
      <c r="P1389" s="41" t="s">
        <v>21</v>
      </c>
      <c r="Q1389" s="41" t="s">
        <v>21</v>
      </c>
      <c r="R1389" s="41" t="s">
        <v>16</v>
      </c>
      <c r="S1389" s="41" t="s">
        <v>17</v>
      </c>
      <c r="T1389" s="41" t="s">
        <v>1213</v>
      </c>
      <c r="U1389" s="16" t="s">
        <v>13</v>
      </c>
      <c r="V1389" s="16" t="s">
        <v>1446</v>
      </c>
      <c r="W1389" s="19" t="s"/>
      <c r="X1389" s="26" t="s">
        <f>=M1389&amp;N1389&amp;P1389&amp;Q1389&amp;T1389&amp;V1389&amp;S1389</f>
        <v>1519</v>
      </c>
      <c r="Y1389" s="19" t="s"/>
      <c r="Z1389" s="19" t="s"/>
      <c r="AA1389" s="19" t="s"/>
      <c r="AB1389" s="19" t="s"/>
    </row>
    <row r="1390" spans="1:28" ht="14.4">
      <c r="A1390" s="4">
        <f>=H1390/G1390-1</f>
        <v>0.100371747211896</v>
      </c>
      <c r="B1390" s="20">
        <f>=F1390/12</f>
        <v>44.4</v>
      </c>
      <c r="C1390" s="20">
        <f>=J1390/3</f>
        <v>355.2</v>
      </c>
      <c r="D1390" s="20">
        <f>=K1390/3</f>
        <v>394.666666666667</v>
      </c>
      <c r="E1390" s="20">
        <f>=L1390/3</f>
        <v>414.4</v>
      </c>
      <c r="F1390" s="20">
        <f>=H1390*0.9</f>
        <v>532.8</v>
      </c>
      <c r="G1390" s="21">
        <v>538</v>
      </c>
      <c r="H1390" s="39">
        <v>592</v>
      </c>
      <c r="I1390" s="40">
        <f>=H1390*1.05</f>
        <v>621.6</v>
      </c>
      <c r="J1390" s="40">
        <f>=F1390*2</f>
        <v>1065.6</v>
      </c>
      <c r="K1390" s="40">
        <f>=H1390*2</f>
        <v>1184</v>
      </c>
      <c r="L1390" s="40">
        <f>=I1390*2</f>
        <v>1243.2</v>
      </c>
      <c r="M1390" s="41" t="s">
        <v>1445</v>
      </c>
      <c r="N1390" s="41">
        <v>0.711</v>
      </c>
      <c r="O1390" s="41" t="s"/>
      <c r="P1390" s="41" t="s">
        <v>21</v>
      </c>
      <c r="Q1390" s="41" t="s">
        <v>21</v>
      </c>
      <c r="R1390" s="41" t="s">
        <v>16</v>
      </c>
      <c r="S1390" s="41" t="s">
        <v>17</v>
      </c>
      <c r="T1390" s="41" t="s">
        <v>413</v>
      </c>
      <c r="U1390" s="16" t="s">
        <v>13</v>
      </c>
      <c r="V1390" s="16" t="s">
        <v>1446</v>
      </c>
      <c r="W1390" s="19" t="s"/>
      <c r="X1390" s="26" t="s">
        <f>=M1390&amp;N1390&amp;P1390&amp;Q1390&amp;T1390&amp;V1390&amp;S1390</f>
        <v>1520</v>
      </c>
      <c r="Y1390" s="19" t="s"/>
      <c r="Z1390" s="19" t="s"/>
      <c r="AA1390" s="19" t="s"/>
      <c r="AB1390" s="19" t="s"/>
    </row>
    <row r="1391" spans="1:28" ht="14.4">
      <c r="A1391" s="4">
        <f>=H1391/G1391-1</f>
        <v>0.101503759398496</v>
      </c>
      <c r="B1391" s="20">
        <f>=F1391/12</f>
        <v>21.975</v>
      </c>
      <c r="C1391" s="20">
        <f>=J1391/3</f>
        <v>175.8</v>
      </c>
      <c r="D1391" s="20">
        <f>=K1391/3</f>
        <v>195.333333333333</v>
      </c>
      <c r="E1391" s="20">
        <f>=L1391/3</f>
        <v>205.1</v>
      </c>
      <c r="F1391" s="20">
        <f>=H1391*0.9</f>
        <v>263.7</v>
      </c>
      <c r="G1391" s="21">
        <v>266</v>
      </c>
      <c r="H1391" s="39">
        <v>293</v>
      </c>
      <c r="I1391" s="40">
        <f>=H1391*1.05</f>
        <v>307.65</v>
      </c>
      <c r="J1391" s="40">
        <f>=F1391*2</f>
        <v>527.4</v>
      </c>
      <c r="K1391" s="40">
        <f>=H1391*2</f>
        <v>586</v>
      </c>
      <c r="L1391" s="40">
        <f>=I1391*2</f>
        <v>615.3</v>
      </c>
      <c r="M1391" s="41" t="s">
        <v>1445</v>
      </c>
      <c r="N1391" s="41">
        <v>0.102</v>
      </c>
      <c r="O1391" s="41" t="s"/>
      <c r="P1391" s="41">
        <v>1</v>
      </c>
      <c r="Q1391" s="41">
        <v>1</v>
      </c>
      <c r="R1391" s="41" t="s">
        <v>16</v>
      </c>
      <c r="S1391" s="41" t="s">
        <v>17</v>
      </c>
      <c r="T1391" s="41" t="s">
        <v>654</v>
      </c>
      <c r="U1391" s="16" t="s">
        <v>13</v>
      </c>
      <c r="V1391" s="16" t="s">
        <v>1446</v>
      </c>
      <c r="W1391" s="19" t="s"/>
      <c r="X1391" s="26" t="s">
        <f>=M1391&amp;N1391&amp;P1391&amp;Q1391&amp;T1391&amp;V1391&amp;S1391</f>
        <v>1521</v>
      </c>
      <c r="Y1391" s="19" t="s"/>
      <c r="Z1391" s="19" t="s"/>
      <c r="AA1391" s="19" t="s"/>
      <c r="AB1391" s="19" t="s"/>
    </row>
    <row r="1392" spans="1:28" ht="14.4">
      <c r="A1392" s="4">
        <f>=H1392/G1392-1</f>
        <v>0.1</v>
      </c>
      <c r="B1392" s="20">
        <f>=F1392/12</f>
        <v>21.45</v>
      </c>
      <c r="C1392" s="20">
        <f>=J1392/3</f>
        <v>171.6</v>
      </c>
      <c r="D1392" s="20">
        <f>=K1392/3</f>
        <v>190.666666666667</v>
      </c>
      <c r="E1392" s="20">
        <f>=L1392/3</f>
        <v>200.2</v>
      </c>
      <c r="F1392" s="20">
        <f>=H1392*0.9</f>
        <v>257.4</v>
      </c>
      <c r="G1392" s="21">
        <v>260</v>
      </c>
      <c r="H1392" s="39">
        <v>286</v>
      </c>
      <c r="I1392" s="40">
        <f>=H1392*1.05</f>
        <v>300.3</v>
      </c>
      <c r="J1392" s="40">
        <f>=F1392*2</f>
        <v>514.8</v>
      </c>
      <c r="K1392" s="40">
        <f>=H1392*2</f>
        <v>572</v>
      </c>
      <c r="L1392" s="40">
        <f>=I1392*2</f>
        <v>600.6</v>
      </c>
      <c r="M1392" s="41" t="s">
        <v>1522</v>
      </c>
      <c r="N1392" s="41">
        <v>0.051</v>
      </c>
      <c r="O1392" s="41" t="s"/>
      <c r="P1392" s="41">
        <v>1</v>
      </c>
      <c r="Q1392" s="41">
        <v>1</v>
      </c>
      <c r="R1392" s="41" t="s">
        <v>16</v>
      </c>
      <c r="S1392" s="41" t="s">
        <v>17</v>
      </c>
      <c r="T1392" s="41" t="s">
        <v>212</v>
      </c>
      <c r="U1392" s="16" t="s">
        <v>13</v>
      </c>
      <c r="V1392" s="16" t="s">
        <v>1083</v>
      </c>
      <c r="W1392" s="19" t="s"/>
      <c r="X1392" s="26" t="s">
        <f>=M1392&amp;N1392&amp;P1392&amp;Q1392&amp;T1392&amp;V1392&amp;S1392</f>
        <v>1523</v>
      </c>
      <c r="Y1392" s="19" t="s"/>
      <c r="Z1392" s="19" t="s"/>
      <c r="AA1392" s="19" t="s"/>
      <c r="AB1392" s="19" t="s"/>
    </row>
    <row r="1393" spans="1:28" ht="14.4">
      <c r="A1393" s="4">
        <f>=H1393/G1393-1</f>
        <v>0.101190476190476</v>
      </c>
      <c r="B1393" s="20">
        <f>=F1393/12</f>
        <v>13.875</v>
      </c>
      <c r="C1393" s="20">
        <f>=J1393/3</f>
        <v>111</v>
      </c>
      <c r="D1393" s="20">
        <f>=K1393/3</f>
        <v>123.333333333333</v>
      </c>
      <c r="E1393" s="20">
        <f>=L1393/3</f>
        <v>129.5</v>
      </c>
      <c r="F1393" s="20">
        <f>=H1393*0.9</f>
        <v>166.5</v>
      </c>
      <c r="G1393" s="21">
        <v>168</v>
      </c>
      <c r="H1393" s="39">
        <v>185</v>
      </c>
      <c r="I1393" s="40">
        <f>=H1393*1.05</f>
        <v>194.25</v>
      </c>
      <c r="J1393" s="40">
        <f>=F1393*2</f>
        <v>333</v>
      </c>
      <c r="K1393" s="40">
        <f>=H1393*2</f>
        <v>370</v>
      </c>
      <c r="L1393" s="40">
        <f>=I1393*2</f>
        <v>388.5</v>
      </c>
      <c r="M1393" s="41" t="s">
        <v>1522</v>
      </c>
      <c r="N1393" s="41">
        <v>0.051</v>
      </c>
      <c r="O1393" s="41" t="s"/>
      <c r="P1393" s="41" t="s">
        <v>21</v>
      </c>
      <c r="Q1393" s="41" t="s">
        <v>21</v>
      </c>
      <c r="R1393" s="41" t="s">
        <v>16</v>
      </c>
      <c r="S1393" s="41" t="s">
        <v>17</v>
      </c>
      <c r="T1393" s="41" t="s">
        <v>1098</v>
      </c>
      <c r="U1393" s="16" t="s">
        <v>13</v>
      </c>
      <c r="V1393" s="16" t="s">
        <v>1083</v>
      </c>
      <c r="W1393" s="19" t="s"/>
      <c r="X1393" s="26" t="s">
        <f>=M1393&amp;N1393&amp;P1393&amp;Q1393&amp;T1393&amp;V1393&amp;S1393</f>
        <v>1524</v>
      </c>
      <c r="Y1393" s="19" t="s"/>
      <c r="Z1393" s="19" t="s"/>
      <c r="AA1393" s="19" t="s"/>
      <c r="AB1393" s="19" t="s"/>
    </row>
    <row r="1394" spans="1:28" ht="14.4">
      <c r="A1394" s="42">
        <f>=H1394/G1394-1</f>
        <v>1.19411764705882</v>
      </c>
      <c r="B1394" s="43">
        <f>=F1394/12</f>
        <v>27.975</v>
      </c>
      <c r="C1394" s="43">
        <f>=J1394/3</f>
        <v>223.8</v>
      </c>
      <c r="D1394" s="43">
        <f>=K1394/3</f>
        <v>248.666666666667</v>
      </c>
      <c r="E1394" s="43">
        <f>=L1394/3</f>
        <v>261.1</v>
      </c>
      <c r="F1394" s="43">
        <f>=H1394*0.9</f>
        <v>335.7</v>
      </c>
      <c r="G1394" s="27">
        <v>170</v>
      </c>
      <c r="H1394" s="44">
        <v>373</v>
      </c>
      <c r="I1394" s="45">
        <f>=H1394*1.05</f>
        <v>391.65</v>
      </c>
      <c r="J1394" s="45">
        <f>=F1394*2</f>
        <v>671.4</v>
      </c>
      <c r="K1394" s="45">
        <f>=H1394*2</f>
        <v>746</v>
      </c>
      <c r="L1394" s="45">
        <f>=I1394*2</f>
        <v>783.3</v>
      </c>
      <c r="M1394" s="46" t="s">
        <v>1522</v>
      </c>
      <c r="N1394" s="46">
        <v>0.064</v>
      </c>
      <c r="O1394" s="46" t="s"/>
      <c r="P1394" s="12">
        <v>2</v>
      </c>
      <c r="Q1394" s="12">
        <v>2</v>
      </c>
      <c r="R1394" s="46" t="s">
        <v>16</v>
      </c>
      <c r="S1394" s="46" t="s">
        <v>17</v>
      </c>
      <c r="T1394" s="46" t="s">
        <v>1098</v>
      </c>
      <c r="U1394" s="13" t="s">
        <v>13</v>
      </c>
      <c r="V1394" s="11" t="s">
        <v>215</v>
      </c>
      <c r="W1394" s="49">
        <v>46157</v>
      </c>
      <c r="X1394" s="18" t="s">
        <f>=M1394&amp;N1394&amp;P1394&amp;Q1394&amp;T1394&amp;V1394&amp;S1394</f>
        <v>1525</v>
      </c>
      <c r="Y1394" s="15" t="s"/>
      <c r="Z1394" s="15" t="s"/>
      <c r="AA1394" s="15" t="s"/>
      <c r="AB1394" s="15" t="s"/>
    </row>
    <row r="1395" spans="1:29" ht="14.4">
      <c r="A1395" s="42">
        <f>=H1395/G1395-1</f>
        <v>0.594117647058824</v>
      </c>
      <c r="B1395" s="43">
        <f>=F1395/12</f>
        <v>20.325</v>
      </c>
      <c r="C1395" s="43">
        <f>=J1395/3</f>
        <v>162.6</v>
      </c>
      <c r="D1395" s="43">
        <f>=K1395/3</f>
        <v>180.666666666667</v>
      </c>
      <c r="E1395" s="43">
        <f>=L1395/3</f>
        <v>189.7</v>
      </c>
      <c r="F1395" s="43">
        <f>=H1395*0.9</f>
        <v>243.9</v>
      </c>
      <c r="G1395" s="27">
        <v>170</v>
      </c>
      <c r="H1395" s="44">
        <v>271</v>
      </c>
      <c r="I1395" s="45">
        <f>=H1395*1.05</f>
        <v>284.55</v>
      </c>
      <c r="J1395" s="45">
        <f>=F1395*2</f>
        <v>487.8</v>
      </c>
      <c r="K1395" s="45">
        <f>=H1395*2</f>
        <v>542</v>
      </c>
      <c r="L1395" s="45">
        <f>=I1395*2</f>
        <v>569.1</v>
      </c>
      <c r="M1395" s="46" t="s">
        <v>1522</v>
      </c>
      <c r="N1395" s="46">
        <v>0.064</v>
      </c>
      <c r="O1395" s="46" t="s"/>
      <c r="P1395" s="12">
        <v>1</v>
      </c>
      <c r="Q1395" s="12">
        <v>1</v>
      </c>
      <c r="R1395" s="46" t="s">
        <v>16</v>
      </c>
      <c r="S1395" s="46" t="s">
        <v>17</v>
      </c>
      <c r="T1395" s="46" t="s">
        <v>1098</v>
      </c>
      <c r="U1395" s="13" t="s">
        <v>13</v>
      </c>
      <c r="V1395" s="11" t="s">
        <v>1083</v>
      </c>
      <c r="W1395" s="15" t="s"/>
      <c r="X1395" s="18" t="s">
        <f>=M1395&amp;N1395&amp;P1395&amp;Q1395&amp;T1395&amp;V1395&amp;S1395</f>
        <v>1526</v>
      </c>
      <c r="Y1395" s="15" t="s"/>
      <c r="Z1395" s="15" t="s"/>
      <c r="AA1395" s="15" t="s"/>
      <c r="AB1395" s="15" t="s"/>
      <c r="AC1395" s="48" t="s"/>
    </row>
    <row r="1396" spans="1:28" ht="14.4">
      <c r="A1396" s="42">
        <f>=H1396/G1396-1</f>
        <v>0.670588235294118</v>
      </c>
      <c r="B1396" s="43">
        <f>=F1396/12</f>
        <v>21.3</v>
      </c>
      <c r="C1396" s="43">
        <f>=J1396/3</f>
        <v>170.4</v>
      </c>
      <c r="D1396" s="43">
        <f>=K1396/3</f>
        <v>189.333333333333</v>
      </c>
      <c r="E1396" s="43">
        <f>=L1396/3</f>
        <v>198.8</v>
      </c>
      <c r="F1396" s="43">
        <f>=H1396*0.9</f>
        <v>255.6</v>
      </c>
      <c r="G1396" s="27">
        <v>170</v>
      </c>
      <c r="H1396" s="44">
        <v>284</v>
      </c>
      <c r="I1396" s="45">
        <f>=H1396*1.05</f>
        <v>298.2</v>
      </c>
      <c r="J1396" s="45">
        <f>=F1396*2</f>
        <v>511.2</v>
      </c>
      <c r="K1396" s="45">
        <f>=H1396*2</f>
        <v>568</v>
      </c>
      <c r="L1396" s="45">
        <f>=I1396*2</f>
        <v>596.4</v>
      </c>
      <c r="M1396" s="46" t="s">
        <v>1522</v>
      </c>
      <c r="N1396" s="46">
        <v>0.064</v>
      </c>
      <c r="O1396" s="46" t="s"/>
      <c r="P1396" s="12">
        <v>1</v>
      </c>
      <c r="Q1396" s="12">
        <v>2</v>
      </c>
      <c r="R1396" s="46" t="s">
        <v>16</v>
      </c>
      <c r="S1396" s="46" t="s">
        <v>17</v>
      </c>
      <c r="T1396" s="46" t="s">
        <v>1098</v>
      </c>
      <c r="U1396" s="13" t="s">
        <v>13</v>
      </c>
      <c r="V1396" s="11" t="s">
        <v>215</v>
      </c>
      <c r="W1396" s="47">
        <v>46157</v>
      </c>
      <c r="X1396" s="18" t="s">
        <f>=M1396&amp;N1396&amp;P1396&amp;Q1396&amp;T1396&amp;V1396&amp;S1396</f>
        <v>1527</v>
      </c>
      <c r="Y1396" s="15" t="s"/>
      <c r="Z1396" s="15" t="s"/>
      <c r="AA1396" s="15" t="s"/>
      <c r="AB1396" s="15" t="s"/>
    </row>
    <row r="1397" spans="1:28" ht="14.4">
      <c r="A1397" s="42">
        <f>=H1397/G1397-1</f>
        <v>0.629411764705883</v>
      </c>
      <c r="B1397" s="43">
        <f>=F1397/12</f>
        <v>20.775</v>
      </c>
      <c r="C1397" s="43">
        <f>=J1397/3</f>
        <v>166.2</v>
      </c>
      <c r="D1397" s="43">
        <f>=K1397/3</f>
        <v>184.666666666667</v>
      </c>
      <c r="E1397" s="43">
        <f>=L1397/3</f>
        <v>193.9</v>
      </c>
      <c r="F1397" s="43">
        <f>=H1397*0.9</f>
        <v>249.3</v>
      </c>
      <c r="G1397" s="27">
        <v>170</v>
      </c>
      <c r="H1397" s="44">
        <v>277</v>
      </c>
      <c r="I1397" s="45">
        <f>=H1397*1.05</f>
        <v>290.85</v>
      </c>
      <c r="J1397" s="45">
        <f>=F1397*2</f>
        <v>498.6</v>
      </c>
      <c r="K1397" s="45">
        <f>=H1397*2</f>
        <v>554</v>
      </c>
      <c r="L1397" s="45">
        <f>=I1397*2</f>
        <v>581.7</v>
      </c>
      <c r="M1397" s="46" t="s">
        <v>1522</v>
      </c>
      <c r="N1397" s="46">
        <v>0.064</v>
      </c>
      <c r="O1397" s="46" t="s"/>
      <c r="P1397" s="12">
        <v>1</v>
      </c>
      <c r="Q1397" s="12">
        <v>1</v>
      </c>
      <c r="R1397" s="46" t="s">
        <v>16</v>
      </c>
      <c r="S1397" s="46" t="s">
        <v>17</v>
      </c>
      <c r="T1397" s="46" t="s">
        <v>1098</v>
      </c>
      <c r="U1397" s="13" t="s">
        <v>13</v>
      </c>
      <c r="V1397" s="13" t="s">
        <v>1227</v>
      </c>
      <c r="W1397" s="15" t="s"/>
      <c r="X1397" s="18" t="s">
        <f>=M1397&amp;N1397&amp;P1397&amp;Q1397&amp;T1397&amp;V1397&amp;S1397</f>
        <v>1528</v>
      </c>
      <c r="Y1397" s="15" t="s"/>
      <c r="Z1397" s="15" t="s"/>
      <c r="AA1397" s="15" t="s"/>
      <c r="AB1397" s="15" t="s"/>
    </row>
    <row r="1398" spans="1:28" ht="14.4">
      <c r="A1398" s="4">
        <f>=H1398/G1398-1</f>
        <v>0.1</v>
      </c>
      <c r="B1398" s="20">
        <f>=F1398/12</f>
        <v>14.025</v>
      </c>
      <c r="C1398" s="20">
        <f>=J1398/3</f>
        <v>112.2</v>
      </c>
      <c r="D1398" s="20">
        <f>=K1398/3</f>
        <v>124.666666666667</v>
      </c>
      <c r="E1398" s="20">
        <f>=L1398/3</f>
        <v>130.9</v>
      </c>
      <c r="F1398" s="20">
        <f>=H1398*0.9</f>
        <v>168.3</v>
      </c>
      <c r="G1398" s="21">
        <v>170</v>
      </c>
      <c r="H1398" s="39">
        <v>187</v>
      </c>
      <c r="I1398" s="40">
        <f>=H1398*1.05</f>
        <v>196.35</v>
      </c>
      <c r="J1398" s="40">
        <f>=F1398*2</f>
        <v>336.6</v>
      </c>
      <c r="K1398" s="40">
        <f>=H1398*2</f>
        <v>374</v>
      </c>
      <c r="L1398" s="40">
        <f>=I1398*2</f>
        <v>392.7</v>
      </c>
      <c r="M1398" s="41" t="s">
        <v>1522</v>
      </c>
      <c r="N1398" s="41">
        <v>0.064</v>
      </c>
      <c r="O1398" s="41" t="s"/>
      <c r="P1398" s="41" t="s">
        <v>21</v>
      </c>
      <c r="Q1398" s="41" t="s">
        <v>21</v>
      </c>
      <c r="R1398" s="41" t="s">
        <v>16</v>
      </c>
      <c r="S1398" s="41" t="s">
        <v>17</v>
      </c>
      <c r="T1398" s="41" t="s">
        <v>1098</v>
      </c>
      <c r="U1398" s="16" t="s">
        <v>13</v>
      </c>
      <c r="V1398" s="16" t="s">
        <v>1227</v>
      </c>
      <c r="W1398" s="19" t="s"/>
      <c r="X1398" s="26" t="s">
        <f>=M1398&amp;N1398&amp;P1398&amp;Q1398&amp;T1398&amp;V1398&amp;S1398</f>
        <v>1529</v>
      </c>
      <c r="Y1398" s="19" t="s"/>
      <c r="Z1398" s="19" t="s"/>
      <c r="AA1398" s="19" t="s"/>
      <c r="AB1398" s="19" t="s"/>
    </row>
    <row r="1399" spans="1:29" ht="14.4">
      <c r="A1399" s="42">
        <f>=H1399/G1399-1</f>
        <v>0</v>
      </c>
      <c r="B1399" s="43">
        <f>=F1399/12</f>
        <v>12.75</v>
      </c>
      <c r="C1399" s="43">
        <f>=J1399/3</f>
        <v>102</v>
      </c>
      <c r="D1399" s="43">
        <f>=K1399/3</f>
        <v>113.333333333333</v>
      </c>
      <c r="E1399" s="43">
        <f>=L1399/3</f>
        <v>119</v>
      </c>
      <c r="F1399" s="43">
        <f>=H1399*0.9</f>
        <v>153</v>
      </c>
      <c r="G1399" s="27">
        <v>170</v>
      </c>
      <c r="H1399" s="44">
        <v>170</v>
      </c>
      <c r="I1399" s="45">
        <f>=H1399*1.05</f>
        <v>178.5</v>
      </c>
      <c r="J1399" s="45">
        <f>=F1399*2</f>
        <v>306</v>
      </c>
      <c r="K1399" s="45">
        <f>=H1399*2</f>
        <v>340</v>
      </c>
      <c r="L1399" s="45">
        <f>=I1399*2</f>
        <v>357</v>
      </c>
      <c r="M1399" s="46" t="s">
        <v>1522</v>
      </c>
      <c r="N1399" s="46">
        <v>0.064</v>
      </c>
      <c r="O1399" s="46" t="s"/>
      <c r="P1399" s="46" t="s">
        <v>21</v>
      </c>
      <c r="Q1399" s="46" t="s">
        <v>21</v>
      </c>
      <c r="R1399" s="46" t="s">
        <v>16</v>
      </c>
      <c r="S1399" s="46" t="s">
        <v>17</v>
      </c>
      <c r="T1399" s="46" t="s">
        <v>1098</v>
      </c>
      <c r="U1399" s="13" t="s">
        <v>13</v>
      </c>
      <c r="V1399" s="11" t="s">
        <v>215</v>
      </c>
      <c r="W1399" s="15" t="s"/>
      <c r="X1399" s="18" t="s">
        <f>=M1399&amp;N1399&amp;P1399&amp;Q1399&amp;T1399&amp;V1399&amp;S1399</f>
        <v>1530</v>
      </c>
      <c r="Y1399" s="15" t="s"/>
      <c r="Z1399" s="15" t="s"/>
      <c r="AA1399" s="15" t="s"/>
      <c r="AB1399" s="15" t="s"/>
      <c r="AC1399" s="48" t="s"/>
    </row>
    <row r="1400" spans="1:28" ht="14.4">
      <c r="A1400" s="51">
        <v>46181</v>
      </c>
      <c r="B1400" s="20">
        <f>=F1400/12</f>
        <v>16.2</v>
      </c>
      <c r="C1400" s="20">
        <f>=J1400/3</f>
        <v>129.6</v>
      </c>
      <c r="D1400" s="20">
        <f>=K1400/3</f>
        <v>144</v>
      </c>
      <c r="E1400" s="20">
        <f>=L1400/3</f>
        <v>151.2</v>
      </c>
      <c r="F1400" s="20">
        <f>=H1400*0.9</f>
        <v>194.4</v>
      </c>
      <c r="G1400" s="21">
        <v>209</v>
      </c>
      <c r="H1400" s="39">
        <v>216</v>
      </c>
      <c r="I1400" s="40">
        <f>=H1400*1.05</f>
        <v>226.8</v>
      </c>
      <c r="J1400" s="40">
        <f>=F1400*2</f>
        <v>388.8</v>
      </c>
      <c r="K1400" s="40">
        <f>=H1400*2</f>
        <v>432</v>
      </c>
      <c r="L1400" s="40">
        <f>=I1400*2</f>
        <v>453.6</v>
      </c>
      <c r="M1400" s="41" t="s">
        <v>1522</v>
      </c>
      <c r="N1400" s="41">
        <v>0.076</v>
      </c>
      <c r="O1400" s="41" t="s"/>
      <c r="P1400" s="41" t="s">
        <v>21</v>
      </c>
      <c r="Q1400" s="41">
        <v>1</v>
      </c>
      <c r="R1400" s="41" t="s">
        <v>16</v>
      </c>
      <c r="S1400" s="41" t="s">
        <v>17</v>
      </c>
      <c r="T1400" s="41" t="s">
        <v>1098</v>
      </c>
      <c r="U1400" s="16" t="s">
        <v>13</v>
      </c>
      <c r="V1400" s="131" t="s">
        <v>1083</v>
      </c>
      <c r="W1400" s="19" t="s"/>
      <c r="X1400" s="26" t="s">
        <f>=M1400&amp;N1400&amp;P1400&amp;Q1400&amp;T1400&amp;V1400&amp;S1400</f>
        <v>1531</v>
      </c>
      <c r="Y1400" s="19" t="s"/>
      <c r="Z1400" s="19" t="s"/>
      <c r="AA1400" s="19" t="s"/>
      <c r="AB1400" s="19" t="s"/>
    </row>
    <row r="1401" spans="1:29" ht="14.4">
      <c r="A1401" s="42">
        <f>=H1401/G1401-1</f>
        <v>0.100478468899522</v>
      </c>
      <c r="B1401" s="43">
        <f>=F1401/12</f>
        <v>17.25</v>
      </c>
      <c r="C1401" s="43">
        <f>=J1401/3</f>
        <v>138</v>
      </c>
      <c r="D1401" s="43">
        <f>=K1401/3</f>
        <v>153.333333333333</v>
      </c>
      <c r="E1401" s="43">
        <f>=L1401/3</f>
        <v>161</v>
      </c>
      <c r="F1401" s="43">
        <f>=H1401*0.9</f>
        <v>207</v>
      </c>
      <c r="G1401" s="27">
        <v>209</v>
      </c>
      <c r="H1401" s="44">
        <v>230</v>
      </c>
      <c r="I1401" s="45">
        <f>=H1401*1.05</f>
        <v>241.5</v>
      </c>
      <c r="J1401" s="45">
        <f>=F1401*2</f>
        <v>414</v>
      </c>
      <c r="K1401" s="45">
        <f>=H1401*2</f>
        <v>460</v>
      </c>
      <c r="L1401" s="45">
        <f>=I1401*2</f>
        <v>483</v>
      </c>
      <c r="M1401" s="46" t="s">
        <v>1522</v>
      </c>
      <c r="N1401" s="46">
        <v>0.076</v>
      </c>
      <c r="O1401" s="46" t="s"/>
      <c r="P1401" s="46" t="s">
        <v>21</v>
      </c>
      <c r="Q1401" s="46">
        <v>1</v>
      </c>
      <c r="R1401" s="46" t="s">
        <v>16</v>
      </c>
      <c r="S1401" s="46" t="s">
        <v>17</v>
      </c>
      <c r="T1401" s="46" t="s">
        <v>1098</v>
      </c>
      <c r="U1401" s="13" t="s">
        <v>13</v>
      </c>
      <c r="V1401" s="11" t="s">
        <v>1083</v>
      </c>
      <c r="W1401" s="15" t="s"/>
      <c r="X1401" s="18" t="s">
        <f>=M1401&amp;N1401&amp;P1401&amp;Q1401&amp;T1401&amp;V1401&amp;S1401</f>
        <v>1531</v>
      </c>
      <c r="Y1401" s="15" t="s"/>
      <c r="Z1401" s="15" t="s"/>
      <c r="AA1401" s="15" t="s"/>
      <c r="AB1401" s="15" t="s"/>
      <c r="AC1401" s="48" t="s"/>
    </row>
    <row r="1402" spans="1:28" ht="14.4">
      <c r="A1402" s="4">
        <f>=H1402/G1402-1</f>
        <v>0.102040816326531</v>
      </c>
      <c r="B1402" s="20">
        <f>=F1402/12</f>
        <v>20.25</v>
      </c>
      <c r="C1402" s="20">
        <f>=J1402/3</f>
        <v>162</v>
      </c>
      <c r="D1402" s="20">
        <f>=K1402/3</f>
        <v>180</v>
      </c>
      <c r="E1402" s="20">
        <f>=L1402/3</f>
        <v>189</v>
      </c>
      <c r="F1402" s="20">
        <f>=H1402*0.9</f>
        <v>243</v>
      </c>
      <c r="G1402" s="21">
        <v>245</v>
      </c>
      <c r="H1402" s="39">
        <v>270</v>
      </c>
      <c r="I1402" s="40">
        <f>=H1402*1.05</f>
        <v>283.5</v>
      </c>
      <c r="J1402" s="40">
        <f>=F1402*2</f>
        <v>486</v>
      </c>
      <c r="K1402" s="40">
        <f>=H1402*2</f>
        <v>540</v>
      </c>
      <c r="L1402" s="40">
        <f>=I1402*2</f>
        <v>567</v>
      </c>
      <c r="M1402" s="41" t="s">
        <v>1522</v>
      </c>
      <c r="N1402" s="41">
        <v>0.075</v>
      </c>
      <c r="O1402" s="41" t="s"/>
      <c r="P1402" s="41">
        <v>2</v>
      </c>
      <c r="Q1402" s="41">
        <v>2</v>
      </c>
      <c r="R1402" s="41" t="s">
        <v>16</v>
      </c>
      <c r="S1402" s="41" t="s">
        <v>17</v>
      </c>
      <c r="T1402" s="41" t="s">
        <v>18</v>
      </c>
      <c r="U1402" s="16" t="s">
        <v>13</v>
      </c>
      <c r="V1402" s="16" t="s">
        <v>215</v>
      </c>
      <c r="W1402" s="19" t="s"/>
      <c r="X1402" s="26" t="s">
        <f>=M1402&amp;N1402&amp;P1402&amp;Q1402&amp;T1402&amp;V1402&amp;S1402</f>
        <v>1532</v>
      </c>
      <c r="Y1402" s="19" t="s"/>
      <c r="Z1402" s="19" t="s"/>
      <c r="AA1402" s="19" t="s"/>
      <c r="AB1402" s="19" t="s"/>
    </row>
    <row r="1403" spans="1:28" ht="14.4">
      <c r="A1403" s="4">
        <f>=H1403/G1403-1</f>
        <v>0.0994475138121547</v>
      </c>
      <c r="B1403" s="20">
        <f>=F1403/12</f>
        <v>14.925</v>
      </c>
      <c r="C1403" s="20">
        <f>=J1403/3</f>
        <v>119.4</v>
      </c>
      <c r="D1403" s="20">
        <f>=K1403/3</f>
        <v>132.666666666667</v>
      </c>
      <c r="E1403" s="20">
        <f>=L1403/3</f>
        <v>139.3</v>
      </c>
      <c r="F1403" s="20">
        <f>=H1403*0.9</f>
        <v>179.1</v>
      </c>
      <c r="G1403" s="21">
        <v>181</v>
      </c>
      <c r="H1403" s="39">
        <v>199</v>
      </c>
      <c r="I1403" s="40">
        <f>=H1403*1.05</f>
        <v>208.95</v>
      </c>
      <c r="J1403" s="40">
        <f>=F1403*2</f>
        <v>358.2</v>
      </c>
      <c r="K1403" s="40">
        <f>=H1403*2</f>
        <v>398</v>
      </c>
      <c r="L1403" s="40">
        <f>=I1403*2</f>
        <v>417.9</v>
      </c>
      <c r="M1403" s="41" t="s">
        <v>1522</v>
      </c>
      <c r="N1403" s="41">
        <v>0.076</v>
      </c>
      <c r="O1403" s="41" t="s"/>
      <c r="P1403" s="41">
        <v>1</v>
      </c>
      <c r="Q1403" s="41">
        <v>1</v>
      </c>
      <c r="R1403" s="41" t="s">
        <v>16</v>
      </c>
      <c r="S1403" s="41" t="s">
        <v>17</v>
      </c>
      <c r="T1403" s="41" t="s">
        <v>1098</v>
      </c>
      <c r="U1403" s="16" t="s">
        <v>13</v>
      </c>
      <c r="V1403" s="16" t="s">
        <v>1083</v>
      </c>
      <c r="W1403" s="19" t="s"/>
      <c r="X1403" s="26" t="s">
        <f>=M1403&amp;N1403&amp;P1403&amp;Q1403&amp;T1403&amp;V1403&amp;S1403</f>
        <v>1533</v>
      </c>
      <c r="Y1403" s="19" t="s"/>
      <c r="Z1403" s="19" t="s"/>
      <c r="AA1403" s="19" t="s"/>
      <c r="AB1403" s="19" t="s"/>
    </row>
    <row r="1404" spans="1:28" ht="14.4">
      <c r="A1404" s="42" t="s">
        <v>1534</v>
      </c>
      <c r="B1404" s="43">
        <f>=F1404/12</f>
        <v>14.625</v>
      </c>
      <c r="C1404" s="43">
        <f>=J1404/3</f>
        <v>117</v>
      </c>
      <c r="D1404" s="43">
        <f>=K1404/3</f>
        <v>130</v>
      </c>
      <c r="E1404" s="43">
        <f>=L1404/3</f>
        <v>136.5</v>
      </c>
      <c r="F1404" s="43">
        <f>=H1404*0.9</f>
        <v>175.5</v>
      </c>
      <c r="G1404" s="27" t="s"/>
      <c r="H1404" s="44">
        <v>195</v>
      </c>
      <c r="I1404" s="45">
        <f>=H1404*1.05</f>
        <v>204.75</v>
      </c>
      <c r="J1404" s="45">
        <f>=F1404*2</f>
        <v>351</v>
      </c>
      <c r="K1404" s="45">
        <f>=H1404*2</f>
        <v>390</v>
      </c>
      <c r="L1404" s="45">
        <f>=I1404*2</f>
        <v>409.5</v>
      </c>
      <c r="M1404" s="46" t="s">
        <v>1522</v>
      </c>
      <c r="N1404" s="46">
        <v>0.076</v>
      </c>
      <c r="O1404" s="46" t="s"/>
      <c r="P1404" s="46">
        <v>1</v>
      </c>
      <c r="Q1404" s="46">
        <v>1</v>
      </c>
      <c r="R1404" s="46" t="s">
        <v>16</v>
      </c>
      <c r="S1404" s="46" t="s">
        <v>17</v>
      </c>
      <c r="T1404" s="46" t="s">
        <v>1098</v>
      </c>
      <c r="U1404" s="13" t="s">
        <v>13</v>
      </c>
      <c r="V1404" s="11" t="s">
        <v>215</v>
      </c>
      <c r="W1404" s="15" t="s"/>
      <c r="X1404" s="18" t="s">
        <f>=M1404&amp;N1404&amp;P1404&amp;Q1404&amp;T1404&amp;V1404&amp;S1404</f>
        <v>1535</v>
      </c>
      <c r="Y1404" s="15" t="s"/>
      <c r="Z1404" s="15" t="s"/>
      <c r="AA1404" s="15" t="s"/>
      <c r="AB1404" s="15" t="s"/>
    </row>
    <row r="1405" spans="1:28" ht="14.4">
      <c r="A1405" s="4">
        <f>=H1405/G1405-1</f>
        <v>0.101063829787234</v>
      </c>
      <c r="B1405" s="20">
        <f>=F1405/12</f>
        <v>15.525</v>
      </c>
      <c r="C1405" s="20">
        <f>=J1405/3</f>
        <v>124.2</v>
      </c>
      <c r="D1405" s="20">
        <f>=K1405/3</f>
        <v>138</v>
      </c>
      <c r="E1405" s="20">
        <f>=L1405/3</f>
        <v>144.9</v>
      </c>
      <c r="F1405" s="20">
        <f>=H1405*0.9</f>
        <v>186.3</v>
      </c>
      <c r="G1405" s="21">
        <v>188</v>
      </c>
      <c r="H1405" s="39">
        <v>207</v>
      </c>
      <c r="I1405" s="40">
        <f>=H1405*1.05</f>
        <v>217.35</v>
      </c>
      <c r="J1405" s="40">
        <f>=F1405*2</f>
        <v>372.6</v>
      </c>
      <c r="K1405" s="40">
        <f>=H1405*2</f>
        <v>414</v>
      </c>
      <c r="L1405" s="40">
        <f>=I1405*2</f>
        <v>434.7</v>
      </c>
      <c r="M1405" s="41" t="s">
        <v>1522</v>
      </c>
      <c r="N1405" s="41">
        <v>0.076</v>
      </c>
      <c r="O1405" s="41" t="s"/>
      <c r="P1405" s="41">
        <v>1</v>
      </c>
      <c r="Q1405" s="41">
        <v>1</v>
      </c>
      <c r="R1405" s="41" t="s">
        <v>16</v>
      </c>
      <c r="S1405" s="41" t="s">
        <v>17</v>
      </c>
      <c r="T1405" s="41" t="s">
        <v>1098</v>
      </c>
      <c r="U1405" s="16" t="s">
        <v>13</v>
      </c>
      <c r="V1405" s="16" t="s">
        <v>1227</v>
      </c>
      <c r="W1405" s="19" t="s"/>
      <c r="X1405" s="26" t="s">
        <f>=M1405&amp;N1405&amp;P1405&amp;Q1405&amp;T1405&amp;V1405&amp;S1405</f>
        <v>1536</v>
      </c>
      <c r="Y1405" s="19" t="s"/>
      <c r="Z1405" s="19" t="s"/>
      <c r="AA1405" s="19" t="s"/>
      <c r="AB1405" s="19" t="s"/>
    </row>
    <row r="1406" spans="1:28" ht="14.4">
      <c r="A1406" s="4" t="s"/>
      <c r="B1406" s="20">
        <f>=F1406/12</f>
        <v>17.7375</v>
      </c>
      <c r="C1406" s="20">
        <f>=J1406/3</f>
        <v>141.9</v>
      </c>
      <c r="D1406" s="20">
        <f>=K1406/3</f>
        <v>157.666666666667</v>
      </c>
      <c r="E1406" s="20">
        <f>=L1406/3</f>
        <v>165.55</v>
      </c>
      <c r="F1406" s="20">
        <f>=H1406*0.9</f>
        <v>212.85</v>
      </c>
      <c r="G1406" s="21">
        <v>215</v>
      </c>
      <c r="H1406" s="39">
        <f>=G1406*1.1</f>
        <v>236.5</v>
      </c>
      <c r="I1406" s="40">
        <f>=H1406*1.05</f>
        <v>248.325</v>
      </c>
      <c r="J1406" s="40">
        <f>=F1406*2</f>
        <v>425.7</v>
      </c>
      <c r="K1406" s="40">
        <f>=H1406*2</f>
        <v>473</v>
      </c>
      <c r="L1406" s="40">
        <f>=I1406*2</f>
        <v>496.65</v>
      </c>
      <c r="M1406" s="41" t="s">
        <v>1522</v>
      </c>
      <c r="N1406" s="41">
        <v>0.076</v>
      </c>
      <c r="O1406" s="41" t="s"/>
      <c r="P1406" s="41">
        <v>1</v>
      </c>
      <c r="Q1406" s="41">
        <v>2</v>
      </c>
      <c r="R1406" s="41" t="s">
        <v>16</v>
      </c>
      <c r="S1406" s="41" t="s">
        <v>17</v>
      </c>
      <c r="T1406" s="41" t="s">
        <v>1098</v>
      </c>
      <c r="U1406" s="16" t="s">
        <v>13</v>
      </c>
      <c r="V1406" s="16" t="s">
        <v>215</v>
      </c>
      <c r="W1406" s="19" t="s"/>
      <c r="X1406" s="26" t="s">
        <f>=M1406&amp;N1406&amp;P1406&amp;Q1406&amp;T1406&amp;V1406&amp;S1406</f>
        <v>1537</v>
      </c>
      <c r="Y1406" s="19" t="s"/>
      <c r="Z1406" s="19" t="s"/>
      <c r="AA1406" s="19" t="s"/>
      <c r="AB1406" s="19" t="s"/>
    </row>
    <row r="1407" spans="1:28" ht="14.4">
      <c r="A1407" s="4">
        <f>=H1407/G1407-1</f>
        <v>0.0991735537190082</v>
      </c>
      <c r="B1407" s="20">
        <f>=F1407/12</f>
        <v>19.95</v>
      </c>
      <c r="C1407" s="20">
        <f>=J1407/3</f>
        <v>159.6</v>
      </c>
      <c r="D1407" s="20">
        <f>=K1407/3</f>
        <v>177.333333333333</v>
      </c>
      <c r="E1407" s="20">
        <f>=L1407/3</f>
        <v>186.2</v>
      </c>
      <c r="F1407" s="20">
        <f>=H1407*0.9</f>
        <v>239.4</v>
      </c>
      <c r="G1407" s="21">
        <v>242</v>
      </c>
      <c r="H1407" s="39">
        <v>266</v>
      </c>
      <c r="I1407" s="40">
        <f>=H1407*1.05</f>
        <v>279.3</v>
      </c>
      <c r="J1407" s="40">
        <f>=F1407*2</f>
        <v>478.8</v>
      </c>
      <c r="K1407" s="40">
        <f>=H1407*2</f>
        <v>532</v>
      </c>
      <c r="L1407" s="40">
        <f>=I1407*2</f>
        <v>558.6</v>
      </c>
      <c r="M1407" s="41" t="s">
        <v>1522</v>
      </c>
      <c r="N1407" s="41">
        <v>0.076</v>
      </c>
      <c r="O1407" s="41" t="s"/>
      <c r="P1407" s="41">
        <v>1</v>
      </c>
      <c r="Q1407" s="41">
        <v>2</v>
      </c>
      <c r="R1407" s="41" t="s">
        <v>16</v>
      </c>
      <c r="S1407" s="41" t="s">
        <v>17</v>
      </c>
      <c r="T1407" s="41" t="s">
        <v>1098</v>
      </c>
      <c r="U1407" s="16" t="s">
        <v>13</v>
      </c>
      <c r="V1407" s="16" t="s">
        <v>1474</v>
      </c>
      <c r="W1407" s="19" t="s"/>
      <c r="X1407" s="26" t="s">
        <f>=M1407&amp;N1407&amp;P1407&amp;Q1407&amp;T1407&amp;V1407&amp;S1407</f>
        <v>1538</v>
      </c>
      <c r="Y1407" s="19" t="s"/>
      <c r="Z1407" s="19" t="s"/>
      <c r="AA1407" s="19" t="s"/>
      <c r="AB1407" s="19" t="s"/>
    </row>
    <row r="1408" spans="1:28" ht="14.4">
      <c r="A1408" s="4">
        <f>=H1408/G1408-1</f>
        <v>0.0995670995670997</v>
      </c>
      <c r="B1408" s="20">
        <f>=F1408/12</f>
        <v>19.05</v>
      </c>
      <c r="C1408" s="20">
        <f>=J1408/3</f>
        <v>152.4</v>
      </c>
      <c r="D1408" s="20">
        <f>=K1408/3</f>
        <v>169.333333333333</v>
      </c>
      <c r="E1408" s="20">
        <f>=L1408/3</f>
        <v>177.8</v>
      </c>
      <c r="F1408" s="20">
        <f>=H1408*0.9</f>
        <v>228.6</v>
      </c>
      <c r="G1408" s="21">
        <v>231</v>
      </c>
      <c r="H1408" s="39">
        <v>254</v>
      </c>
      <c r="I1408" s="40">
        <f>=H1408*1.05</f>
        <v>266.7</v>
      </c>
      <c r="J1408" s="40">
        <f>=F1408*2</f>
        <v>457.2</v>
      </c>
      <c r="K1408" s="40">
        <f>=H1408*2</f>
        <v>508</v>
      </c>
      <c r="L1408" s="40">
        <f>=I1408*2</f>
        <v>533.4</v>
      </c>
      <c r="M1408" s="41" t="s">
        <v>1522</v>
      </c>
      <c r="N1408" s="41">
        <v>0.076</v>
      </c>
      <c r="O1408" s="41" t="s"/>
      <c r="P1408" s="41">
        <v>1</v>
      </c>
      <c r="Q1408" s="41">
        <v>2</v>
      </c>
      <c r="R1408" s="41" t="s">
        <v>16</v>
      </c>
      <c r="S1408" s="41" t="s">
        <v>17</v>
      </c>
      <c r="T1408" s="41" t="s">
        <v>1098</v>
      </c>
      <c r="U1408" s="16" t="s">
        <v>13</v>
      </c>
      <c r="V1408" s="16" t="s">
        <v>1119</v>
      </c>
      <c r="W1408" s="19" t="s"/>
      <c r="X1408" s="142" t="s">
        <f>=M1408&amp;N1408&amp;P1408&amp;Q1408&amp;T1408&amp;V1408&amp;S1408</f>
        <v>1539</v>
      </c>
      <c r="Y1408" s="143" t="s"/>
      <c r="Z1408" s="143" t="s"/>
      <c r="AA1408" s="143" t="s"/>
      <c r="AB1408" s="143" t="s"/>
    </row>
    <row r="1409" spans="1:28" ht="14.4">
      <c r="A1409" s="4">
        <f>=H1409/G1409-1</f>
        <v>0.101694915254237</v>
      </c>
      <c r="B1409" s="20">
        <f>=F1409/12</f>
        <v>19.5</v>
      </c>
      <c r="C1409" s="20">
        <f>=J1409/3</f>
        <v>156</v>
      </c>
      <c r="D1409" s="20">
        <f>=K1409/3</f>
        <v>173.333333333333</v>
      </c>
      <c r="E1409" s="20">
        <f>=L1409/3</f>
        <v>182</v>
      </c>
      <c r="F1409" s="20">
        <f>=H1409*0.9</f>
        <v>234</v>
      </c>
      <c r="G1409" s="21">
        <v>236</v>
      </c>
      <c r="H1409" s="39">
        <v>260</v>
      </c>
      <c r="I1409" s="40">
        <f>=H1409*1.05</f>
        <v>273</v>
      </c>
      <c r="J1409" s="40">
        <f>=F1409*2</f>
        <v>468</v>
      </c>
      <c r="K1409" s="40">
        <f>=H1409*2</f>
        <v>520</v>
      </c>
      <c r="L1409" s="40">
        <f>=I1409*2</f>
        <v>546</v>
      </c>
      <c r="M1409" s="41" t="s">
        <v>1522</v>
      </c>
      <c r="N1409" s="41">
        <v>0.076</v>
      </c>
      <c r="O1409" s="41" t="s"/>
      <c r="P1409" s="41">
        <v>1</v>
      </c>
      <c r="Q1409" s="41">
        <v>1</v>
      </c>
      <c r="R1409" s="41" t="s">
        <v>16</v>
      </c>
      <c r="S1409" s="41" t="s">
        <v>17</v>
      </c>
      <c r="T1409" s="41" t="s">
        <v>1098</v>
      </c>
      <c r="U1409" s="16" t="s">
        <v>13</v>
      </c>
      <c r="V1409" s="16" t="s">
        <v>1446</v>
      </c>
      <c r="W1409" s="19" t="s"/>
      <c r="X1409" s="142" t="s">
        <f>=M1409&amp;N1409&amp;P1409&amp;Q1409&amp;T1409&amp;V1409&amp;S1409</f>
        <v>1540</v>
      </c>
      <c r="Y1409" s="143" t="s"/>
      <c r="Z1409" s="143" t="s"/>
      <c r="AA1409" s="143" t="s"/>
      <c r="AB1409" s="143" t="s"/>
    </row>
    <row r="1410" spans="1:28" ht="14.4">
      <c r="A1410" s="4">
        <f>=H1410/G1410-1</f>
        <v>0.101167315175097</v>
      </c>
      <c r="B1410" s="20">
        <f>=F1410/12</f>
        <v>21.225</v>
      </c>
      <c r="C1410" s="20">
        <f>=J1410/3</f>
        <v>169.8</v>
      </c>
      <c r="D1410" s="20">
        <f>=K1410/3</f>
        <v>188.666666666667</v>
      </c>
      <c r="E1410" s="20">
        <f>=L1410/3</f>
        <v>198.1</v>
      </c>
      <c r="F1410" s="20">
        <f>=H1410*0.9</f>
        <v>254.7</v>
      </c>
      <c r="G1410" s="21">
        <v>257</v>
      </c>
      <c r="H1410" s="39">
        <v>283</v>
      </c>
      <c r="I1410" s="40">
        <f>=H1410*1.05</f>
        <v>297.15</v>
      </c>
      <c r="J1410" s="40">
        <f>=F1410*2</f>
        <v>509.4</v>
      </c>
      <c r="K1410" s="40">
        <f>=H1410*2</f>
        <v>566</v>
      </c>
      <c r="L1410" s="40">
        <f>=I1410*2</f>
        <v>594.3</v>
      </c>
      <c r="M1410" s="41" t="s">
        <v>1522</v>
      </c>
      <c r="N1410" s="41">
        <v>0.076</v>
      </c>
      <c r="O1410" s="41" t="s"/>
      <c r="P1410" s="41">
        <v>1</v>
      </c>
      <c r="Q1410" s="41">
        <v>2</v>
      </c>
      <c r="R1410" s="41" t="s">
        <v>16</v>
      </c>
      <c r="S1410" s="41" t="s">
        <v>17</v>
      </c>
      <c r="T1410" s="41" t="s">
        <v>1098</v>
      </c>
      <c r="U1410" s="16" t="s">
        <v>13</v>
      </c>
      <c r="V1410" s="16" t="s">
        <v>1541</v>
      </c>
      <c r="W1410" s="19" t="s"/>
      <c r="X1410" s="26" t="s">
        <f>=M1410&amp;N1410&amp;P1410&amp;Q1410&amp;T1410&amp;V1410&amp;S1410</f>
        <v>1542</v>
      </c>
      <c r="Y1410" s="19" t="s"/>
      <c r="Z1410" s="19" t="s"/>
      <c r="AA1410" s="19" t="s"/>
      <c r="AB1410" s="19" t="s"/>
    </row>
    <row r="1411" spans="1:28" ht="14.4">
      <c r="A1411" s="4">
        <f>=H1411/G1411-1</f>
        <v>0.100746268656716</v>
      </c>
      <c r="B1411" s="20">
        <f>=F1411/12</f>
        <v>22.125</v>
      </c>
      <c r="C1411" s="20">
        <f>=J1411/3</f>
        <v>177</v>
      </c>
      <c r="D1411" s="20">
        <f>=K1411/3</f>
        <v>196.666666666667</v>
      </c>
      <c r="E1411" s="20">
        <f>=L1411/3</f>
        <v>206.5</v>
      </c>
      <c r="F1411" s="20">
        <f>=H1411*0.9</f>
        <v>265.5</v>
      </c>
      <c r="G1411" s="21">
        <v>268</v>
      </c>
      <c r="H1411" s="39">
        <v>295</v>
      </c>
      <c r="I1411" s="40">
        <f>=H1411*1.05</f>
        <v>309.75</v>
      </c>
      <c r="J1411" s="40">
        <f>=F1411*2</f>
        <v>531</v>
      </c>
      <c r="K1411" s="40">
        <f>=H1411*2</f>
        <v>590</v>
      </c>
      <c r="L1411" s="40">
        <f>=I1411*2</f>
        <v>619.5</v>
      </c>
      <c r="M1411" s="41" t="s">
        <v>1522</v>
      </c>
      <c r="N1411" s="41">
        <v>0.076</v>
      </c>
      <c r="O1411" s="41" t="s"/>
      <c r="P1411" s="41">
        <v>1</v>
      </c>
      <c r="Q1411" s="41">
        <v>2</v>
      </c>
      <c r="R1411" s="41" t="s">
        <v>16</v>
      </c>
      <c r="S1411" s="41" t="s">
        <v>17</v>
      </c>
      <c r="T1411" s="41" t="s">
        <v>1106</v>
      </c>
      <c r="U1411" s="16" t="s">
        <v>13</v>
      </c>
      <c r="V1411" s="16" t="s">
        <v>1119</v>
      </c>
      <c r="W1411" s="19" t="s"/>
      <c r="X1411" s="26" t="s">
        <f>=M1411&amp;N1411&amp;P1411&amp;Q1411&amp;T1411&amp;V1411&amp;S1411</f>
        <v>1543</v>
      </c>
      <c r="Y1411" s="19" t="s"/>
      <c r="Z1411" s="19" t="s"/>
      <c r="AA1411" s="19" t="s"/>
      <c r="AB1411" s="19" t="s"/>
    </row>
    <row r="1412" spans="1:28" ht="14.4">
      <c r="A1412" s="4">
        <f>=H1412/G1412-1</f>
        <v>0.1</v>
      </c>
      <c r="B1412" s="20">
        <f>=F1412/12</f>
        <v>21.45</v>
      </c>
      <c r="C1412" s="20">
        <f>=J1412/3</f>
        <v>171.6</v>
      </c>
      <c r="D1412" s="20">
        <f>=K1412/3</f>
        <v>190.666666666667</v>
      </c>
      <c r="E1412" s="20">
        <f>=L1412/3</f>
        <v>200.2</v>
      </c>
      <c r="F1412" s="20">
        <f>=H1412*0.9</f>
        <v>257.4</v>
      </c>
      <c r="G1412" s="21">
        <v>260</v>
      </c>
      <c r="H1412" s="39">
        <v>286</v>
      </c>
      <c r="I1412" s="40">
        <f>=H1412*1.05</f>
        <v>300.3</v>
      </c>
      <c r="J1412" s="40">
        <f>=F1412*2</f>
        <v>514.8</v>
      </c>
      <c r="K1412" s="40">
        <f>=H1412*2</f>
        <v>572</v>
      </c>
      <c r="L1412" s="40">
        <f>=I1412*2</f>
        <v>600.6</v>
      </c>
      <c r="M1412" s="41" t="s">
        <v>1522</v>
      </c>
      <c r="N1412" s="41">
        <v>0.076</v>
      </c>
      <c r="O1412" s="41" t="s"/>
      <c r="P1412" s="41">
        <v>1</v>
      </c>
      <c r="Q1412" s="41">
        <v>2</v>
      </c>
      <c r="R1412" s="41" t="s">
        <v>16</v>
      </c>
      <c r="S1412" s="41" t="s">
        <v>17</v>
      </c>
      <c r="T1412" s="41" t="s">
        <v>1106</v>
      </c>
      <c r="U1412" s="16" t="s">
        <v>13</v>
      </c>
      <c r="V1412" s="16" t="s">
        <v>215</v>
      </c>
      <c r="W1412" s="19" t="s"/>
      <c r="X1412" s="26" t="s">
        <f>=M1412&amp;N1412&amp;P1412&amp;Q1412&amp;T1412&amp;V1412&amp;S1412</f>
        <v>1544</v>
      </c>
      <c r="Y1412" s="19" t="s"/>
      <c r="Z1412" s="19" t="s"/>
      <c r="AA1412" s="19" t="s"/>
      <c r="AB1412" s="19" t="s"/>
    </row>
    <row r="1413" spans="1:28" ht="14.4">
      <c r="A1413" s="4">
        <f>=H1413/G1413-1</f>
        <v>0.101960784313726</v>
      </c>
      <c r="B1413" s="20">
        <f>=F1413/12</f>
        <v>21.075</v>
      </c>
      <c r="C1413" s="20">
        <f>=J1413/3</f>
        <v>168.6</v>
      </c>
      <c r="D1413" s="20">
        <f>=K1413/3</f>
        <v>187.333333333333</v>
      </c>
      <c r="E1413" s="20">
        <f>=L1413/3</f>
        <v>196.7</v>
      </c>
      <c r="F1413" s="20">
        <f>=H1413*0.9</f>
        <v>252.9</v>
      </c>
      <c r="G1413" s="21">
        <v>255</v>
      </c>
      <c r="H1413" s="39">
        <v>281</v>
      </c>
      <c r="I1413" s="40">
        <f>=H1413*1.05</f>
        <v>295.05</v>
      </c>
      <c r="J1413" s="40">
        <f>=F1413*2</f>
        <v>505.8</v>
      </c>
      <c r="K1413" s="40">
        <f>=H1413*2</f>
        <v>562</v>
      </c>
      <c r="L1413" s="40">
        <f>=I1413*2</f>
        <v>590.1</v>
      </c>
      <c r="M1413" s="41" t="s">
        <v>1522</v>
      </c>
      <c r="N1413" s="41">
        <v>0.076</v>
      </c>
      <c r="O1413" s="41" t="s"/>
      <c r="P1413" s="41">
        <v>1</v>
      </c>
      <c r="Q1413" s="41">
        <v>1</v>
      </c>
      <c r="R1413" s="41" t="s">
        <v>16</v>
      </c>
      <c r="S1413" s="41" t="s">
        <v>17</v>
      </c>
      <c r="T1413" s="41" t="s">
        <v>1388</v>
      </c>
      <c r="U1413" s="16" t="s">
        <v>13</v>
      </c>
      <c r="V1413" s="16" t="s">
        <v>1545</v>
      </c>
      <c r="W1413" s="19" t="s"/>
      <c r="X1413" s="26" t="s">
        <f>=M1413&amp;N1413&amp;P1413&amp;Q1413&amp;T1413&amp;V1413&amp;S1413</f>
        <v>1546</v>
      </c>
      <c r="Y1413" s="19" t="s"/>
      <c r="Z1413" s="19" t="s"/>
      <c r="AA1413" s="19" t="s"/>
      <c r="AB1413" s="19" t="s"/>
    </row>
    <row r="1414" spans="1:28" ht="14.4">
      <c r="A1414" s="4">
        <f>=H1414/G1414-1</f>
        <v>0.101960784313726</v>
      </c>
      <c r="B1414" s="20">
        <f>=F1414/12</f>
        <v>21.075</v>
      </c>
      <c r="C1414" s="20">
        <f>=J1414/3</f>
        <v>168.6</v>
      </c>
      <c r="D1414" s="20">
        <f>=K1414/3</f>
        <v>187.333333333333</v>
      </c>
      <c r="E1414" s="20">
        <f>=L1414/3</f>
        <v>196.7</v>
      </c>
      <c r="F1414" s="20">
        <f>=H1414*0.9</f>
        <v>252.9</v>
      </c>
      <c r="G1414" s="21">
        <v>255</v>
      </c>
      <c r="H1414" s="39">
        <v>281</v>
      </c>
      <c r="I1414" s="40">
        <f>=H1414*1.05</f>
        <v>295.05</v>
      </c>
      <c r="J1414" s="40">
        <f>=F1414*2</f>
        <v>505.8</v>
      </c>
      <c r="K1414" s="40">
        <f>=H1414*2</f>
        <v>562</v>
      </c>
      <c r="L1414" s="40">
        <f>=I1414*2</f>
        <v>590.1</v>
      </c>
      <c r="M1414" s="73" t="s">
        <v>1522</v>
      </c>
      <c r="N1414" s="73">
        <v>0.076</v>
      </c>
      <c r="O1414" s="73" t="s"/>
      <c r="P1414" s="73">
        <v>2</v>
      </c>
      <c r="Q1414" s="73">
        <v>2</v>
      </c>
      <c r="R1414" s="73" t="s">
        <v>16</v>
      </c>
      <c r="S1414" s="73" t="s">
        <v>17</v>
      </c>
      <c r="T1414" s="73" t="s">
        <v>1098</v>
      </c>
      <c r="U1414" s="74" t="s">
        <v>13</v>
      </c>
      <c r="V1414" s="74" t="s">
        <v>215</v>
      </c>
      <c r="W1414" s="143" t="s"/>
      <c r="X1414" s="26" t="s">
        <f>=M1414&amp;N1414&amp;P1414&amp;Q1414&amp;T1414&amp;V1414&amp;S1414</f>
        <v>1547</v>
      </c>
      <c r="Y1414" s="19" t="s"/>
      <c r="Z1414" s="19" t="s"/>
      <c r="AA1414" s="19" t="s"/>
      <c r="AB1414" s="19" t="s"/>
    </row>
    <row r="1415" spans="1:28" ht="14.4">
      <c r="A1415" s="4">
        <f>=H1415/G1415-1</f>
        <v>0.101503759398496</v>
      </c>
      <c r="B1415" s="20">
        <f>=F1415/12</f>
        <v>21.975</v>
      </c>
      <c r="C1415" s="20">
        <f>=J1415/3</f>
        <v>175.8</v>
      </c>
      <c r="D1415" s="20">
        <f>=K1415/3</f>
        <v>195.333333333333</v>
      </c>
      <c r="E1415" s="20">
        <f>=L1415/3</f>
        <v>205.1</v>
      </c>
      <c r="F1415" s="20">
        <f>=H1415*0.9</f>
        <v>263.7</v>
      </c>
      <c r="G1415" s="21">
        <v>266</v>
      </c>
      <c r="H1415" s="39">
        <v>293</v>
      </c>
      <c r="I1415" s="40">
        <f>=H1415*1.05</f>
        <v>307.65</v>
      </c>
      <c r="J1415" s="40">
        <f>=F1415*2</f>
        <v>527.4</v>
      </c>
      <c r="K1415" s="40">
        <f>=H1415*2</f>
        <v>586</v>
      </c>
      <c r="L1415" s="40">
        <f>=I1415*2</f>
        <v>615.3</v>
      </c>
      <c r="M1415" s="73" t="s">
        <v>1522</v>
      </c>
      <c r="N1415" s="73">
        <v>0.076</v>
      </c>
      <c r="O1415" s="73" t="s"/>
      <c r="P1415" s="73">
        <v>2</v>
      </c>
      <c r="Q1415" s="73">
        <v>2</v>
      </c>
      <c r="R1415" s="73" t="s">
        <v>16</v>
      </c>
      <c r="S1415" s="73" t="s">
        <v>17</v>
      </c>
      <c r="T1415" s="73" t="s">
        <v>1106</v>
      </c>
      <c r="U1415" s="74" t="s">
        <v>13</v>
      </c>
      <c r="V1415" s="74" t="s">
        <v>215</v>
      </c>
      <c r="W1415" s="143" t="s"/>
      <c r="X1415" s="26" t="s">
        <f>=M1415&amp;N1415&amp;P1415&amp;Q1415&amp;T1415&amp;V1415&amp;S1415</f>
        <v>1548</v>
      </c>
      <c r="Y1415" s="19" t="s"/>
      <c r="Z1415" s="19" t="s"/>
      <c r="AA1415" s="19" t="s"/>
      <c r="AB1415" s="19" t="s"/>
    </row>
    <row r="1416" spans="1:28" ht="14.4">
      <c r="A1416" s="4">
        <f>=H1416/G1416-1</f>
        <v>0.101449275362319</v>
      </c>
      <c r="B1416" s="20">
        <f>=F1416/12</f>
        <v>17.1</v>
      </c>
      <c r="C1416" s="20">
        <f>=J1416/3</f>
        <v>136.8</v>
      </c>
      <c r="D1416" s="20">
        <f>=K1416/3</f>
        <v>152</v>
      </c>
      <c r="E1416" s="20">
        <f>=L1416/3</f>
        <v>159.6</v>
      </c>
      <c r="F1416" s="20">
        <f>=H1416*0.9</f>
        <v>205.2</v>
      </c>
      <c r="G1416" s="21">
        <v>207</v>
      </c>
      <c r="H1416" s="39">
        <v>228</v>
      </c>
      <c r="I1416" s="40">
        <f>=H1416*1.05</f>
        <v>239.4</v>
      </c>
      <c r="J1416" s="40">
        <f>=F1416*2</f>
        <v>410.4</v>
      </c>
      <c r="K1416" s="40">
        <f>=H1416*2</f>
        <v>456</v>
      </c>
      <c r="L1416" s="40">
        <f>=I1416*2</f>
        <v>478.8</v>
      </c>
      <c r="M1416" s="41" t="s">
        <v>1522</v>
      </c>
      <c r="N1416" s="41">
        <v>0.089</v>
      </c>
      <c r="O1416" s="41" t="s"/>
      <c r="P1416" s="41">
        <v>1</v>
      </c>
      <c r="Q1416" s="41">
        <v>1</v>
      </c>
      <c r="R1416" s="41" t="s">
        <v>16</v>
      </c>
      <c r="S1416" s="41" t="s">
        <v>17</v>
      </c>
      <c r="T1416" s="41" t="s">
        <v>1098</v>
      </c>
      <c r="U1416" s="16" t="s">
        <v>13</v>
      </c>
      <c r="V1416" s="16" t="s">
        <v>1083</v>
      </c>
      <c r="W1416" s="19" t="s"/>
      <c r="X1416" s="26" t="s">
        <f>=M1416&amp;N1416&amp;P1416&amp;Q1416&amp;T1416&amp;V1416&amp;S1416</f>
        <v>1549</v>
      </c>
      <c r="Y1416" s="19" t="s"/>
      <c r="Z1416" s="19" t="s"/>
      <c r="AA1416" s="19" t="s"/>
      <c r="AB1416" s="19" t="s"/>
    </row>
    <row r="1417" spans="1:28" ht="14.4">
      <c r="A1417" s="4">
        <f>=H1417/G1417-1</f>
        <v>0.1</v>
      </c>
      <c r="B1417" s="20">
        <f>=F1417/12</f>
        <v>26.4</v>
      </c>
      <c r="C1417" s="20">
        <f>=J1417/3</f>
        <v>211.2</v>
      </c>
      <c r="D1417" s="20">
        <f>=K1417/3</f>
        <v>234.666666666667</v>
      </c>
      <c r="E1417" s="20">
        <f>=L1417/3</f>
        <v>246.4</v>
      </c>
      <c r="F1417" s="20">
        <f>=H1417*0.9</f>
        <v>316.8</v>
      </c>
      <c r="G1417" s="21">
        <v>320</v>
      </c>
      <c r="H1417" s="39">
        <v>352</v>
      </c>
      <c r="I1417" s="40">
        <f>=H1417*1.05</f>
        <v>369.6</v>
      </c>
      <c r="J1417" s="40">
        <f>=F1417*2</f>
        <v>633.6</v>
      </c>
      <c r="K1417" s="40">
        <f>=H1417*2</f>
        <v>704</v>
      </c>
      <c r="L1417" s="40">
        <f>=I1417*2</f>
        <v>739.2</v>
      </c>
      <c r="M1417" s="41" t="s">
        <v>1522</v>
      </c>
      <c r="N1417" s="41">
        <v>0.089</v>
      </c>
      <c r="O1417" s="41" t="s"/>
      <c r="P1417" s="41">
        <v>1</v>
      </c>
      <c r="Q1417" s="41">
        <v>2</v>
      </c>
      <c r="R1417" s="41" t="s">
        <v>16</v>
      </c>
      <c r="S1417" s="41" t="s">
        <v>17</v>
      </c>
      <c r="T1417" s="41" t="s">
        <v>18</v>
      </c>
      <c r="U1417" s="16" t="s">
        <v>13</v>
      </c>
      <c r="V1417" s="16" t="s">
        <v>1541</v>
      </c>
      <c r="W1417" s="19" t="s"/>
      <c r="X1417" s="26" t="s">
        <f>=M1417&amp;N1417&amp;P1417&amp;Q1417&amp;T1417&amp;V1417&amp;S1417</f>
        <v>1550</v>
      </c>
      <c r="Y1417" s="19" t="s"/>
      <c r="Z1417" s="19" t="s"/>
      <c r="AA1417" s="19" t="s"/>
      <c r="AB1417" s="19" t="s"/>
    </row>
    <row r="1418" spans="1:28" ht="14.4">
      <c r="A1418" s="4">
        <f>=H1418/G1418-1</f>
        <v>0.1</v>
      </c>
      <c r="B1418" s="20">
        <f>=F1418/12</f>
        <v>25.575</v>
      </c>
      <c r="C1418" s="20">
        <f>=J1418/3</f>
        <v>204.6</v>
      </c>
      <c r="D1418" s="20">
        <f>=K1418/3</f>
        <v>227.333333333333</v>
      </c>
      <c r="E1418" s="20">
        <f>=L1418/3</f>
        <v>238.7</v>
      </c>
      <c r="F1418" s="20">
        <f>=H1418*0.9</f>
        <v>306.9</v>
      </c>
      <c r="G1418" s="21">
        <v>310</v>
      </c>
      <c r="H1418" s="39">
        <v>341</v>
      </c>
      <c r="I1418" s="40">
        <f>=H1418*1.05</f>
        <v>358.05</v>
      </c>
      <c r="J1418" s="40">
        <f>=F1418*2</f>
        <v>613.8</v>
      </c>
      <c r="K1418" s="40">
        <f>=H1418*2</f>
        <v>682</v>
      </c>
      <c r="L1418" s="40">
        <f>=I1418*2</f>
        <v>716.1</v>
      </c>
      <c r="M1418" s="41" t="s">
        <v>1522</v>
      </c>
      <c r="N1418" s="41">
        <v>0.089</v>
      </c>
      <c r="O1418" s="41" t="s"/>
      <c r="P1418" s="41">
        <v>1</v>
      </c>
      <c r="Q1418" s="41">
        <v>2</v>
      </c>
      <c r="R1418" s="41" t="s">
        <v>16</v>
      </c>
      <c r="S1418" s="41" t="s">
        <v>17</v>
      </c>
      <c r="T1418" s="41" t="s">
        <v>1098</v>
      </c>
      <c r="U1418" s="16" t="s">
        <v>13</v>
      </c>
      <c r="V1418" s="16" t="s">
        <v>1541</v>
      </c>
      <c r="W1418" s="19" t="s"/>
      <c r="X1418" s="26" t="s">
        <f>=M1418&amp;N1418&amp;P1418&amp;Q1418&amp;T1418&amp;V1418&amp;S1418</f>
        <v>1551</v>
      </c>
      <c r="Y1418" s="19" t="s"/>
      <c r="Z1418" s="19" t="s"/>
      <c r="AA1418" s="19" t="s"/>
      <c r="AB1418" s="19" t="s"/>
    </row>
    <row r="1419" spans="1:28" ht="14.4">
      <c r="A1419" s="4">
        <f>=H1419/G1419-1</f>
        <v>0.1</v>
      </c>
      <c r="B1419" s="20">
        <f>=F1419/12</f>
        <v>24.75</v>
      </c>
      <c r="C1419" s="20">
        <f>=J1419/3</f>
        <v>198</v>
      </c>
      <c r="D1419" s="20">
        <f>=K1419/3</f>
        <v>220</v>
      </c>
      <c r="E1419" s="20">
        <f>=L1419/3</f>
        <v>231</v>
      </c>
      <c r="F1419" s="20">
        <f>=H1419*0.9</f>
        <v>297</v>
      </c>
      <c r="G1419" s="21">
        <v>300</v>
      </c>
      <c r="H1419" s="39">
        <v>330</v>
      </c>
      <c r="I1419" s="40">
        <f>=H1419*1.05</f>
        <v>346.5</v>
      </c>
      <c r="J1419" s="40">
        <f>=F1419*2</f>
        <v>594</v>
      </c>
      <c r="K1419" s="40">
        <f>=H1419*2</f>
        <v>660</v>
      </c>
      <c r="L1419" s="40">
        <f>=I1419*2</f>
        <v>693</v>
      </c>
      <c r="M1419" s="41" t="s">
        <v>1522</v>
      </c>
      <c r="N1419" s="41">
        <v>0.089</v>
      </c>
      <c r="O1419" s="41" t="s"/>
      <c r="P1419" s="41">
        <v>2</v>
      </c>
      <c r="Q1419" s="41">
        <v>2</v>
      </c>
      <c r="R1419" s="41" t="s">
        <v>16</v>
      </c>
      <c r="S1419" s="41" t="s">
        <v>17</v>
      </c>
      <c r="T1419" s="41" t="s">
        <v>1098</v>
      </c>
      <c r="U1419" s="16" t="s">
        <v>13</v>
      </c>
      <c r="V1419" s="16" t="s">
        <v>215</v>
      </c>
      <c r="W1419" s="19" t="s"/>
      <c r="X1419" s="26" t="s">
        <f>=M1419&amp;N1419&amp;P1419&amp;Q1419&amp;T1419&amp;V1419&amp;S1419</f>
        <v>1552</v>
      </c>
      <c r="Y1419" s="19" t="s"/>
      <c r="Z1419" s="19" t="s"/>
      <c r="AA1419" s="19" t="s"/>
      <c r="AB1419" s="19" t="s"/>
    </row>
    <row r="1420" spans="1:28" ht="14.4">
      <c r="A1420" s="4">
        <f>=H1420/G1420-1</f>
        <v>0.0977011494252873</v>
      </c>
      <c r="B1420" s="20">
        <f>=F1420/12</f>
        <v>14.325</v>
      </c>
      <c r="C1420" s="20">
        <f>=J1420/3</f>
        <v>114.6</v>
      </c>
      <c r="D1420" s="20">
        <f>=K1420/3</f>
        <v>127.333333333333</v>
      </c>
      <c r="E1420" s="20">
        <f>=L1420/3</f>
        <v>133.7</v>
      </c>
      <c r="F1420" s="20">
        <f>=H1420*0.9</f>
        <v>171.9</v>
      </c>
      <c r="G1420" s="21">
        <v>174</v>
      </c>
      <c r="H1420" s="39">
        <v>191</v>
      </c>
      <c r="I1420" s="40">
        <f>=H1420*1.05</f>
        <v>200.55</v>
      </c>
      <c r="J1420" s="40">
        <f>=F1420*2</f>
        <v>343.8</v>
      </c>
      <c r="K1420" s="40">
        <f>=H1420*2</f>
        <v>382</v>
      </c>
      <c r="L1420" s="40">
        <f>=I1420*2</f>
        <v>401.1</v>
      </c>
      <c r="M1420" s="41" t="s">
        <v>1522</v>
      </c>
      <c r="N1420" s="41">
        <v>0.076</v>
      </c>
      <c r="O1420" s="41" t="s"/>
      <c r="P1420" s="41" t="s">
        <v>21</v>
      </c>
      <c r="Q1420" s="41" t="s">
        <v>21</v>
      </c>
      <c r="R1420" s="41" t="s">
        <v>16</v>
      </c>
      <c r="S1420" s="41" t="s">
        <v>17</v>
      </c>
      <c r="T1420" s="41" t="s">
        <v>1388</v>
      </c>
      <c r="U1420" s="16" t="s">
        <v>13</v>
      </c>
      <c r="V1420" s="16" t="s">
        <v>1446</v>
      </c>
      <c r="W1420" s="19" t="s"/>
      <c r="X1420" s="142" t="s">
        <f>=M1420&amp;N1420&amp;P1420&amp;Q1420&amp;T1420&amp;V1420&amp;S1420</f>
        <v>1553</v>
      </c>
      <c r="Y1420" s="143" t="s"/>
      <c r="Z1420" s="143" t="s"/>
      <c r="AA1420" s="143" t="s"/>
      <c r="AB1420" s="143" t="s"/>
    </row>
    <row r="1421" spans="1:28" ht="14.4">
      <c r="A1421" s="4">
        <f>=H1421/G1421-1</f>
        <v>0.103030303030303</v>
      </c>
      <c r="B1421" s="20">
        <f>=F1421/12</f>
        <v>13.65</v>
      </c>
      <c r="C1421" s="20">
        <f>=J1421/3</f>
        <v>109.2</v>
      </c>
      <c r="D1421" s="20">
        <f>=K1421/3</f>
        <v>121.333333333333</v>
      </c>
      <c r="E1421" s="20">
        <f>=L1421/3</f>
        <v>127.4</v>
      </c>
      <c r="F1421" s="20">
        <f>=H1421*0.9</f>
        <v>163.8</v>
      </c>
      <c r="G1421" s="21">
        <v>165</v>
      </c>
      <c r="H1421" s="39">
        <v>182</v>
      </c>
      <c r="I1421" s="40">
        <f>=H1421*1.05</f>
        <v>191.1</v>
      </c>
      <c r="J1421" s="40">
        <f>=F1421*2</f>
        <v>327.6</v>
      </c>
      <c r="K1421" s="40">
        <f>=H1421*2</f>
        <v>364</v>
      </c>
      <c r="L1421" s="40">
        <f>=I1421*2</f>
        <v>382.2</v>
      </c>
      <c r="M1421" s="41" t="s">
        <v>1522</v>
      </c>
      <c r="N1421" s="41">
        <v>0.076</v>
      </c>
      <c r="O1421" s="41" t="s"/>
      <c r="P1421" s="41" t="s">
        <v>21</v>
      </c>
      <c r="Q1421" s="41" t="s">
        <v>21</v>
      </c>
      <c r="R1421" s="41" t="s">
        <v>16</v>
      </c>
      <c r="S1421" s="41" t="s">
        <v>17</v>
      </c>
      <c r="T1421" s="41" t="s">
        <v>1098</v>
      </c>
      <c r="U1421" s="16" t="s">
        <v>13</v>
      </c>
      <c r="V1421" s="16" t="s">
        <v>1227</v>
      </c>
      <c r="W1421" s="19" t="s"/>
      <c r="X1421" s="26" t="s">
        <f>=M1421&amp;N1421&amp;P1421&amp;Q1421&amp;T1421&amp;V1421&amp;S1421</f>
        <v>1554</v>
      </c>
      <c r="Y1421" s="19" t="s"/>
      <c r="Z1421" s="19" t="s"/>
      <c r="AA1421" s="19" t="s"/>
      <c r="AB1421" s="19" t="s"/>
    </row>
    <row r="1422" spans="1:28" ht="14.4">
      <c r="A1422" s="4" t="s">
        <v>1555</v>
      </c>
      <c r="B1422" s="20">
        <f>=F1422/12</f>
        <v>12</v>
      </c>
      <c r="C1422" s="20">
        <f>=J1422/3</f>
        <v>96</v>
      </c>
      <c r="D1422" s="20">
        <f>=K1422/3</f>
        <v>106.666666666667</v>
      </c>
      <c r="E1422" s="20">
        <f>=L1422/3</f>
        <v>112</v>
      </c>
      <c r="F1422" s="20">
        <f>=H1422*0.9</f>
        <v>144</v>
      </c>
      <c r="G1422" s="21">
        <v>159</v>
      </c>
      <c r="H1422" s="39">
        <v>160</v>
      </c>
      <c r="I1422" s="40">
        <f>=H1422*1.05</f>
        <v>168</v>
      </c>
      <c r="J1422" s="40">
        <f>=F1422*2</f>
        <v>288</v>
      </c>
      <c r="K1422" s="40">
        <f>=H1422*2</f>
        <v>320</v>
      </c>
      <c r="L1422" s="40">
        <f>=I1422*2</f>
        <v>336</v>
      </c>
      <c r="M1422" s="41" t="s">
        <v>1522</v>
      </c>
      <c r="N1422" s="41">
        <v>0.076</v>
      </c>
      <c r="O1422" s="41" t="s"/>
      <c r="P1422" s="41" t="s">
        <v>21</v>
      </c>
      <c r="Q1422" s="41" t="s">
        <v>21</v>
      </c>
      <c r="R1422" s="41" t="s">
        <v>16</v>
      </c>
      <c r="S1422" s="41" t="s">
        <v>17</v>
      </c>
      <c r="T1422" s="41" t="s">
        <v>1098</v>
      </c>
      <c r="U1422" s="16" t="s">
        <v>13</v>
      </c>
      <c r="V1422" s="16" t="s">
        <v>1083</v>
      </c>
      <c r="W1422" s="19" t="s"/>
      <c r="X1422" s="26" t="s">
        <f>=M1422&amp;N1422&amp;P1422&amp;Q1422&amp;T1422&amp;V1422&amp;S1422</f>
        <v>1556</v>
      </c>
      <c r="Y1422" s="19" t="s"/>
      <c r="Z1422" s="19" t="s"/>
      <c r="AA1422" s="19" t="s"/>
      <c r="AB1422" s="19" t="s"/>
    </row>
    <row r="1423" spans="1:28" ht="14.4">
      <c r="A1423" s="4">
        <f>=H1423/G1423-1</f>
        <v>0.1</v>
      </c>
      <c r="B1423" s="20">
        <f>=F1423/12</f>
        <v>27.225</v>
      </c>
      <c r="C1423" s="20">
        <f>=J1423/3</f>
        <v>217.8</v>
      </c>
      <c r="D1423" s="20">
        <f>=K1423/3</f>
        <v>242</v>
      </c>
      <c r="E1423" s="20">
        <f>=L1423/3</f>
        <v>254.1</v>
      </c>
      <c r="F1423" s="20">
        <f>=H1423*0.9</f>
        <v>326.7</v>
      </c>
      <c r="G1423" s="21">
        <v>330</v>
      </c>
      <c r="H1423" s="39">
        <v>363</v>
      </c>
      <c r="I1423" s="40">
        <f>=H1423*1.05</f>
        <v>381.15</v>
      </c>
      <c r="J1423" s="40">
        <f>=F1423*2</f>
        <v>653.4</v>
      </c>
      <c r="K1423" s="40">
        <f>=H1423*2</f>
        <v>726</v>
      </c>
      <c r="L1423" s="40">
        <f>=I1423*2</f>
        <v>762.3</v>
      </c>
      <c r="M1423" s="41" t="s">
        <v>1522</v>
      </c>
      <c r="N1423" s="41">
        <v>0.102</v>
      </c>
      <c r="O1423" s="41" t="s"/>
      <c r="P1423" s="41">
        <v>1</v>
      </c>
      <c r="Q1423" s="41">
        <v>1</v>
      </c>
      <c r="R1423" s="41" t="s">
        <v>16</v>
      </c>
      <c r="S1423" s="41" t="s">
        <v>17</v>
      </c>
      <c r="T1423" s="41" t="s">
        <v>639</v>
      </c>
      <c r="U1423" s="16" t="s">
        <v>13</v>
      </c>
      <c r="V1423" s="16" t="s">
        <v>1557</v>
      </c>
      <c r="W1423" s="19" t="s"/>
      <c r="X1423" s="26" t="s">
        <f>=M1423&amp;N1423&amp;P1423&amp;Q1423&amp;T1423&amp;V1423&amp;S1423</f>
        <v>1558</v>
      </c>
      <c r="Y1423" s="19" t="s"/>
      <c r="Z1423" s="19" t="s"/>
      <c r="AA1423" s="19" t="s"/>
      <c r="AB1423" s="19" t="s"/>
    </row>
    <row r="1424" spans="1:28" ht="14.4">
      <c r="A1424" s="4">
        <f>=H1424/G1424-1</f>
        <v>0.0996015936254979</v>
      </c>
      <c r="B1424" s="20">
        <f>=F1424/12</f>
        <v>20.7</v>
      </c>
      <c r="C1424" s="20">
        <f>=J1424/3</f>
        <v>165.6</v>
      </c>
      <c r="D1424" s="20">
        <f>=K1424/3</f>
        <v>184</v>
      </c>
      <c r="E1424" s="20">
        <f>=L1424/3</f>
        <v>193.2</v>
      </c>
      <c r="F1424" s="20">
        <f>=H1424*0.9</f>
        <v>248.4</v>
      </c>
      <c r="G1424" s="21">
        <v>251</v>
      </c>
      <c r="H1424" s="39">
        <v>276</v>
      </c>
      <c r="I1424" s="40">
        <f>=H1424*1.05</f>
        <v>289.8</v>
      </c>
      <c r="J1424" s="40">
        <f>=F1424*2</f>
        <v>496.8</v>
      </c>
      <c r="K1424" s="40">
        <f>=H1424*2</f>
        <v>552</v>
      </c>
      <c r="L1424" s="40">
        <f>=I1424*2</f>
        <v>579.6</v>
      </c>
      <c r="M1424" s="41" t="s">
        <v>1522</v>
      </c>
      <c r="N1424" s="41">
        <v>0.102</v>
      </c>
      <c r="O1424" s="41" t="s"/>
      <c r="P1424" s="41">
        <v>1</v>
      </c>
      <c r="Q1424" s="41">
        <v>1</v>
      </c>
      <c r="R1424" s="41" t="s">
        <v>16</v>
      </c>
      <c r="S1424" s="41" t="s">
        <v>17</v>
      </c>
      <c r="T1424" s="41" t="s">
        <v>639</v>
      </c>
      <c r="U1424" s="16" t="s">
        <v>13</v>
      </c>
      <c r="V1424" s="16" t="s">
        <v>1227</v>
      </c>
      <c r="W1424" s="19" t="s"/>
      <c r="X1424" s="26" t="s">
        <f>=M1424&amp;N1424&amp;P1424&amp;Q1424&amp;T1424&amp;V1424&amp;S1424</f>
        <v>1559</v>
      </c>
      <c r="Y1424" s="19" t="s"/>
      <c r="Z1424" s="19" t="s"/>
      <c r="AA1424" s="19" t="s"/>
      <c r="AB1424" s="19" t="s"/>
    </row>
    <row r="1425" spans="1:28" ht="14.4">
      <c r="A1425" s="4">
        <f>=H1425/G1425-1</f>
        <v>0.100840336134454</v>
      </c>
      <c r="B1425" s="20">
        <f>=F1425/12</f>
        <v>19.65</v>
      </c>
      <c r="C1425" s="20">
        <f>=J1425/3</f>
        <v>157.2</v>
      </c>
      <c r="D1425" s="20">
        <f>=K1425/3</f>
        <v>174.666666666667</v>
      </c>
      <c r="E1425" s="20">
        <f>=L1425/3</f>
        <v>183.4</v>
      </c>
      <c r="F1425" s="20">
        <f>=H1425*0.9</f>
        <v>235.8</v>
      </c>
      <c r="G1425" s="21">
        <v>238</v>
      </c>
      <c r="H1425" s="39">
        <v>262</v>
      </c>
      <c r="I1425" s="40">
        <f>=H1425*1.05</f>
        <v>275.1</v>
      </c>
      <c r="J1425" s="40">
        <f>=F1425*2</f>
        <v>471.6</v>
      </c>
      <c r="K1425" s="40">
        <f>=H1425*2</f>
        <v>524</v>
      </c>
      <c r="L1425" s="40">
        <f>=I1425*2</f>
        <v>550.2</v>
      </c>
      <c r="M1425" s="41" t="s">
        <v>1522</v>
      </c>
      <c r="N1425" s="41">
        <v>0.102</v>
      </c>
      <c r="O1425" s="41" t="s"/>
      <c r="P1425" s="41">
        <v>1</v>
      </c>
      <c r="Q1425" s="41">
        <v>2</v>
      </c>
      <c r="R1425" s="41" t="s">
        <v>16</v>
      </c>
      <c r="S1425" s="41" t="s">
        <v>17</v>
      </c>
      <c r="T1425" s="41" t="s">
        <v>639</v>
      </c>
      <c r="U1425" s="16" t="s">
        <v>13</v>
      </c>
      <c r="V1425" s="16" t="s">
        <v>1541</v>
      </c>
      <c r="W1425" s="19" t="s"/>
      <c r="X1425" s="26" t="s">
        <f>=M1425&amp;N1425&amp;P1425&amp;Q1425&amp;T1425&amp;V1425&amp;S1425</f>
        <v>1560</v>
      </c>
      <c r="Y1425" s="56" t="s"/>
      <c r="Z1425" s="56" t="s"/>
      <c r="AA1425" s="56" t="s"/>
      <c r="AB1425" s="56" t="s"/>
    </row>
    <row r="1426" spans="1:28" ht="14.4">
      <c r="A1426" s="4">
        <f>=H1426/G1426-1</f>
        <v>0.102857142857143</v>
      </c>
      <c r="B1426" s="20">
        <f>=F1426/12</f>
        <v>14.475</v>
      </c>
      <c r="C1426" s="20">
        <f>=J1426/3</f>
        <v>115.8</v>
      </c>
      <c r="D1426" s="20">
        <f>=K1426/3</f>
        <v>128.666666666667</v>
      </c>
      <c r="E1426" s="20">
        <f>=L1426/3</f>
        <v>135.1</v>
      </c>
      <c r="F1426" s="20">
        <f>=H1426*0.9</f>
        <v>173.7</v>
      </c>
      <c r="G1426" s="21">
        <v>175</v>
      </c>
      <c r="H1426" s="39">
        <v>193</v>
      </c>
      <c r="I1426" s="40">
        <f>=H1426*1.05</f>
        <v>202.65</v>
      </c>
      <c r="J1426" s="40">
        <f>=F1426*2</f>
        <v>347.4</v>
      </c>
      <c r="K1426" s="40">
        <f>=H1426*2</f>
        <v>386</v>
      </c>
      <c r="L1426" s="40">
        <f>=I1426*2</f>
        <v>405.3</v>
      </c>
      <c r="M1426" s="73" t="s">
        <v>1522</v>
      </c>
      <c r="N1426" s="73">
        <v>0.102</v>
      </c>
      <c r="O1426" s="73" t="s"/>
      <c r="P1426" s="73">
        <v>1</v>
      </c>
      <c r="Q1426" s="73">
        <v>1</v>
      </c>
      <c r="R1426" s="73" t="s">
        <v>16</v>
      </c>
      <c r="S1426" s="73" t="s">
        <v>17</v>
      </c>
      <c r="T1426" s="73" t="s">
        <v>639</v>
      </c>
      <c r="U1426" s="74" t="s">
        <v>13</v>
      </c>
      <c r="V1426" s="74" t="s">
        <v>1083</v>
      </c>
      <c r="W1426" s="143" t="s"/>
      <c r="X1426" s="26" t="s">
        <f>=M1426&amp;N1426&amp;P1426&amp;Q1426&amp;T1426&amp;V1426&amp;S1426</f>
        <v>1561</v>
      </c>
      <c r="Y1426" s="19" t="s"/>
      <c r="Z1426" s="19" t="s"/>
      <c r="AA1426" s="19" t="s"/>
      <c r="AB1426" s="19" t="s"/>
    </row>
    <row r="1427" spans="1:28" ht="14.4">
      <c r="A1427" s="4">
        <f>=H1427/G1427-1</f>
        <v>0.100917431192661</v>
      </c>
      <c r="B1427" s="20">
        <f>=F1427/12</f>
        <v>18</v>
      </c>
      <c r="C1427" s="20">
        <f>=J1427/3</f>
        <v>144</v>
      </c>
      <c r="D1427" s="20">
        <f>=K1427/3</f>
        <v>160</v>
      </c>
      <c r="E1427" s="20">
        <f>=L1427/3</f>
        <v>168</v>
      </c>
      <c r="F1427" s="20">
        <f>=H1427*0.9</f>
        <v>216</v>
      </c>
      <c r="G1427" s="21">
        <v>218</v>
      </c>
      <c r="H1427" s="39">
        <v>240</v>
      </c>
      <c r="I1427" s="40">
        <f>=H1427*1.05</f>
        <v>252</v>
      </c>
      <c r="J1427" s="40">
        <f>=F1427*2</f>
        <v>432</v>
      </c>
      <c r="K1427" s="40">
        <f>=H1427*2</f>
        <v>480</v>
      </c>
      <c r="L1427" s="40">
        <f>=I1427*2</f>
        <v>504</v>
      </c>
      <c r="M1427" s="41" t="s">
        <v>1522</v>
      </c>
      <c r="N1427" s="41">
        <v>0.102</v>
      </c>
      <c r="O1427" s="41" t="s"/>
      <c r="P1427" s="41">
        <v>1</v>
      </c>
      <c r="Q1427" s="41" t="s">
        <v>21</v>
      </c>
      <c r="R1427" s="41" t="s">
        <v>16</v>
      </c>
      <c r="S1427" s="41" t="s">
        <v>17</v>
      </c>
      <c r="T1427" s="41" t="s">
        <v>639</v>
      </c>
      <c r="U1427" s="16" t="s">
        <v>13</v>
      </c>
      <c r="V1427" s="16" t="s">
        <v>1446</v>
      </c>
      <c r="W1427" s="19" t="s"/>
      <c r="X1427" s="26" t="s">
        <f>=M1427&amp;N1427&amp;P1427&amp;Q1427&amp;T1427&amp;V1427&amp;S1427</f>
        <v>1562</v>
      </c>
      <c r="Y1427" s="19" t="s"/>
      <c r="Z1427" s="19" t="s"/>
      <c r="AA1427" s="19" t="s"/>
      <c r="AB1427" s="19" t="s"/>
    </row>
    <row r="1428" spans="1:28" ht="14.4">
      <c r="A1428" s="4">
        <f>=H1428/G1428-1</f>
        <v>0.0990099009900991</v>
      </c>
      <c r="B1428" s="20">
        <f>=F1428/12</f>
        <v>33.3</v>
      </c>
      <c r="C1428" s="20">
        <f>=J1428/3</f>
        <v>266.4</v>
      </c>
      <c r="D1428" s="20">
        <f>=K1428/3</f>
        <v>296</v>
      </c>
      <c r="E1428" s="20">
        <f>=L1428/3</f>
        <v>310.8</v>
      </c>
      <c r="F1428" s="20">
        <f>=H1428*0.9</f>
        <v>399.6</v>
      </c>
      <c r="G1428" s="21">
        <v>404</v>
      </c>
      <c r="H1428" s="39">
        <v>444</v>
      </c>
      <c r="I1428" s="40">
        <f>=H1428*1.05</f>
        <v>466.2</v>
      </c>
      <c r="J1428" s="40">
        <f>=F1428*2</f>
        <v>799.2</v>
      </c>
      <c r="K1428" s="40">
        <f>=H1428*2</f>
        <v>888</v>
      </c>
      <c r="L1428" s="40">
        <f>=I1428*2</f>
        <v>932.4</v>
      </c>
      <c r="M1428" s="41" t="s">
        <v>1522</v>
      </c>
      <c r="N1428" s="41">
        <v>0.102</v>
      </c>
      <c r="O1428" s="41" t="s"/>
      <c r="P1428" s="41">
        <v>2</v>
      </c>
      <c r="Q1428" s="41">
        <v>2</v>
      </c>
      <c r="R1428" s="41" t="s">
        <v>16</v>
      </c>
      <c r="S1428" s="41" t="s">
        <v>17</v>
      </c>
      <c r="T1428" s="41" t="s">
        <v>1098</v>
      </c>
      <c r="U1428" s="16" t="s">
        <v>13</v>
      </c>
      <c r="V1428" s="16" t="s">
        <v>215</v>
      </c>
      <c r="W1428" s="19" t="s"/>
      <c r="X1428" s="26" t="s">
        <f>=M1428&amp;N1428&amp;P1428&amp;Q1428&amp;T1428&amp;V1428&amp;S1428</f>
        <v>1563</v>
      </c>
      <c r="Y1428" s="19" t="s"/>
      <c r="Z1428" s="19" t="s"/>
      <c r="AA1428" s="19" t="s"/>
      <c r="AB1428" s="19" t="s"/>
    </row>
    <row r="1429" spans="1:28" ht="14.4">
      <c r="A1429" s="4">
        <f>=H1429/G1429-1</f>
        <v>0.101190476190476</v>
      </c>
      <c r="B1429" s="20">
        <f>=F1429/12</f>
        <v>13.875</v>
      </c>
      <c r="C1429" s="20">
        <f>=J1429/3</f>
        <v>111</v>
      </c>
      <c r="D1429" s="20">
        <f>=K1429/3</f>
        <v>123.333333333333</v>
      </c>
      <c r="E1429" s="20">
        <f>=L1429/3</f>
        <v>129.5</v>
      </c>
      <c r="F1429" s="20">
        <f>=H1429*0.9</f>
        <v>166.5</v>
      </c>
      <c r="G1429" s="21">
        <v>168</v>
      </c>
      <c r="H1429" s="39">
        <v>185</v>
      </c>
      <c r="I1429" s="40">
        <f>=H1429*1.05</f>
        <v>194.25</v>
      </c>
      <c r="J1429" s="40">
        <f>=F1429*2</f>
        <v>333</v>
      </c>
      <c r="K1429" s="40">
        <f>=H1429*2</f>
        <v>370</v>
      </c>
      <c r="L1429" s="40">
        <f>=I1429*2</f>
        <v>388.5</v>
      </c>
      <c r="M1429" s="41" t="s">
        <v>1522</v>
      </c>
      <c r="N1429" s="41">
        <v>0.102</v>
      </c>
      <c r="O1429" s="41" t="s"/>
      <c r="P1429" s="41">
        <v>1</v>
      </c>
      <c r="Q1429" s="41" t="s">
        <v>21</v>
      </c>
      <c r="R1429" s="41" t="s">
        <v>16</v>
      </c>
      <c r="S1429" s="41" t="s">
        <v>17</v>
      </c>
      <c r="T1429" s="41" t="s">
        <v>1098</v>
      </c>
      <c r="U1429" s="16" t="s">
        <v>13</v>
      </c>
      <c r="V1429" s="16" t="s">
        <v>215</v>
      </c>
      <c r="W1429" s="19" t="s"/>
      <c r="X1429" s="26" t="s">
        <f>=M1429&amp;N1429&amp;P1429&amp;Q1429&amp;T1429&amp;V1429&amp;S1429</f>
        <v>1564</v>
      </c>
      <c r="Y1429" s="19" t="s"/>
      <c r="Z1429" s="19" t="s"/>
      <c r="AA1429" s="19" t="s"/>
      <c r="AB1429" s="19" t="s"/>
    </row>
    <row r="1430" spans="1:28" ht="14.4">
      <c r="A1430" s="4">
        <f>=H1430/G1430-1</f>
        <v>0.100591715976331</v>
      </c>
      <c r="B1430" s="20">
        <f>=F1430/12</f>
        <v>13.95</v>
      </c>
      <c r="C1430" s="20">
        <f>=J1430/3</f>
        <v>111.6</v>
      </c>
      <c r="D1430" s="20">
        <f>=K1430/3</f>
        <v>124</v>
      </c>
      <c r="E1430" s="20">
        <f>=L1430/3</f>
        <v>130.2</v>
      </c>
      <c r="F1430" s="20">
        <f>=H1430*0.9</f>
        <v>167.4</v>
      </c>
      <c r="G1430" s="21">
        <v>169</v>
      </c>
      <c r="H1430" s="39">
        <v>186</v>
      </c>
      <c r="I1430" s="40">
        <f>=H1430*1.05</f>
        <v>195.3</v>
      </c>
      <c r="J1430" s="40">
        <f>=F1430*2</f>
        <v>334.8</v>
      </c>
      <c r="K1430" s="40">
        <f>=H1430*2</f>
        <v>372</v>
      </c>
      <c r="L1430" s="40">
        <f>=I1430*2</f>
        <v>390.6</v>
      </c>
      <c r="M1430" s="41" t="s">
        <v>1522</v>
      </c>
      <c r="N1430" s="41">
        <v>0.102</v>
      </c>
      <c r="O1430" s="41" t="s"/>
      <c r="P1430" s="41">
        <v>1</v>
      </c>
      <c r="Q1430" s="41" t="s">
        <v>21</v>
      </c>
      <c r="R1430" s="41" t="s">
        <v>16</v>
      </c>
      <c r="S1430" s="41" t="s">
        <v>17</v>
      </c>
      <c r="T1430" s="41" t="s">
        <v>1098</v>
      </c>
      <c r="U1430" s="16" t="s">
        <v>13</v>
      </c>
      <c r="V1430" s="16" t="s">
        <v>1083</v>
      </c>
      <c r="W1430" s="19" t="s"/>
      <c r="X1430" s="26" t="s">
        <f>=M1430&amp;N1430&amp;P1430&amp;Q1430&amp;T1430&amp;V1430&amp;S1430</f>
        <v>1565</v>
      </c>
      <c r="Y1430" s="19" t="s"/>
      <c r="Z1430" s="19" t="s"/>
      <c r="AA1430" s="19" t="s"/>
      <c r="AB1430" s="19" t="s"/>
    </row>
    <row r="1431" spans="1:28" ht="14.4">
      <c r="A1431" s="4">
        <f>=H1431/G1431-1</f>
        <v>0.0980392156862746</v>
      </c>
      <c r="B1431" s="20">
        <f>=F1431/12</f>
        <v>16.8</v>
      </c>
      <c r="C1431" s="20">
        <f>=J1431/3</f>
        <v>134.4</v>
      </c>
      <c r="D1431" s="20">
        <f>=K1431/3</f>
        <v>149.333333333333</v>
      </c>
      <c r="E1431" s="20">
        <f>=L1431/3</f>
        <v>156.8</v>
      </c>
      <c r="F1431" s="20">
        <f>=H1431*0.9</f>
        <v>201.6</v>
      </c>
      <c r="G1431" s="21">
        <v>204</v>
      </c>
      <c r="H1431" s="39">
        <v>224</v>
      </c>
      <c r="I1431" s="40">
        <f>=H1431*1.05</f>
        <v>235.2</v>
      </c>
      <c r="J1431" s="40">
        <f>=F1431*2</f>
        <v>403.2</v>
      </c>
      <c r="K1431" s="40">
        <f>=H1431*2</f>
        <v>448</v>
      </c>
      <c r="L1431" s="40">
        <f>=I1431*2</f>
        <v>470.4</v>
      </c>
      <c r="M1431" s="41" t="s">
        <v>1522</v>
      </c>
      <c r="N1431" s="41">
        <v>0.102</v>
      </c>
      <c r="O1431" s="41" t="s"/>
      <c r="P1431" s="41">
        <v>1</v>
      </c>
      <c r="Q1431" s="41" t="s">
        <v>21</v>
      </c>
      <c r="R1431" s="41" t="s">
        <v>16</v>
      </c>
      <c r="S1431" s="41" t="s">
        <v>17</v>
      </c>
      <c r="T1431" s="41" t="s">
        <v>1098</v>
      </c>
      <c r="U1431" s="16" t="s">
        <v>13</v>
      </c>
      <c r="V1431" s="16" t="s">
        <v>1227</v>
      </c>
      <c r="W1431" s="19" t="s"/>
      <c r="X1431" s="26" t="s">
        <f>=M1431&amp;N1431&amp;P1431&amp;Q1431&amp;T1431&amp;V1431&amp;S1431</f>
        <v>1566</v>
      </c>
      <c r="Y1431" s="19" t="s"/>
      <c r="Z1431" s="19" t="s"/>
      <c r="AA1431" s="19" t="s"/>
      <c r="AB1431" s="19" t="s"/>
    </row>
    <row r="1432" spans="1:28" ht="14.4">
      <c r="A1432" s="4">
        <f>=H1432/G1432-1</f>
        <v>0.0995024875621891</v>
      </c>
      <c r="B1432" s="20">
        <f>=F1432/12</f>
        <v>16.575</v>
      </c>
      <c r="C1432" s="20">
        <f>=J1432/3</f>
        <v>132.6</v>
      </c>
      <c r="D1432" s="20">
        <f>=K1432/3</f>
        <v>147.333333333333</v>
      </c>
      <c r="E1432" s="20">
        <f>=L1432/3</f>
        <v>154.7</v>
      </c>
      <c r="F1432" s="20">
        <f>=H1432*0.9</f>
        <v>198.9</v>
      </c>
      <c r="G1432" s="21">
        <v>201</v>
      </c>
      <c r="H1432" s="39">
        <v>221</v>
      </c>
      <c r="I1432" s="40">
        <f>=H1432*1.05</f>
        <v>232.05</v>
      </c>
      <c r="J1432" s="40">
        <f>=F1432*2</f>
        <v>397.8</v>
      </c>
      <c r="K1432" s="40">
        <f>=H1432*2</f>
        <v>442</v>
      </c>
      <c r="L1432" s="40">
        <f>=I1432*2</f>
        <v>464.1</v>
      </c>
      <c r="M1432" s="41" t="s">
        <v>1522</v>
      </c>
      <c r="N1432" s="41">
        <v>0.102</v>
      </c>
      <c r="O1432" s="41" t="s"/>
      <c r="P1432" s="41">
        <v>1</v>
      </c>
      <c r="Q1432" s="41">
        <v>1</v>
      </c>
      <c r="R1432" s="41" t="s">
        <v>16</v>
      </c>
      <c r="S1432" s="41" t="s">
        <v>17</v>
      </c>
      <c r="T1432" s="41" t="s">
        <v>1078</v>
      </c>
      <c r="U1432" s="16" t="s">
        <v>13</v>
      </c>
      <c r="V1432" s="16" t="s">
        <v>1083</v>
      </c>
      <c r="W1432" s="56" t="s"/>
      <c r="X1432" s="26" t="s">
        <f>=M1432&amp;N1432&amp;P1432&amp;Q1432&amp;T1432&amp;V1432&amp;S1432</f>
        <v>1567</v>
      </c>
      <c r="Y1432" s="19" t="s"/>
      <c r="Z1432" s="19" t="s"/>
      <c r="AA1432" s="19" t="s"/>
      <c r="AB1432" s="19" t="s"/>
    </row>
    <row r="1433" spans="1:28" ht="14.4">
      <c r="A1433" s="4" t="s">
        <v>1568</v>
      </c>
      <c r="B1433" s="20">
        <f>=F1433/12</f>
        <v>17.475</v>
      </c>
      <c r="C1433" s="20">
        <f>=J1433/3</f>
        <v>139.8</v>
      </c>
      <c r="D1433" s="20">
        <f>=K1433/3</f>
        <v>155.333333333333</v>
      </c>
      <c r="E1433" s="20">
        <f>=L1433/3</f>
        <v>163.1</v>
      </c>
      <c r="F1433" s="20">
        <f>=H1433*0.9</f>
        <v>209.7</v>
      </c>
      <c r="G1433" s="21">
        <v>212</v>
      </c>
      <c r="H1433" s="39">
        <v>233</v>
      </c>
      <c r="I1433" s="40">
        <f>=H1433*1.05</f>
        <v>244.65</v>
      </c>
      <c r="J1433" s="40">
        <f>=F1433*2</f>
        <v>419.4</v>
      </c>
      <c r="K1433" s="40">
        <f>=H1433*2</f>
        <v>466</v>
      </c>
      <c r="L1433" s="40">
        <f>=I1433*2</f>
        <v>489.3</v>
      </c>
      <c r="M1433" s="41" t="s">
        <v>1522</v>
      </c>
      <c r="N1433" s="41">
        <v>0.102</v>
      </c>
      <c r="O1433" s="41" t="s"/>
      <c r="P1433" s="41">
        <v>1</v>
      </c>
      <c r="Q1433" s="41">
        <v>1</v>
      </c>
      <c r="R1433" s="41" t="s">
        <v>16</v>
      </c>
      <c r="S1433" s="41" t="s">
        <v>17</v>
      </c>
      <c r="T1433" s="41" t="s">
        <v>1098</v>
      </c>
      <c r="U1433" s="16" t="s">
        <v>13</v>
      </c>
      <c r="V1433" s="16" t="s">
        <v>1083</v>
      </c>
      <c r="W1433" s="19" t="s"/>
      <c r="X1433" s="26" t="s">
        <f>=M1433&amp;N1433&amp;P1433&amp;Q1433&amp;T1433&amp;V1433&amp;S1433</f>
        <v>1569</v>
      </c>
      <c r="Y1433" s="19" t="s"/>
      <c r="Z1433" s="19" t="s"/>
      <c r="AA1433" s="19" t="s"/>
      <c r="AB1433" s="19" t="s"/>
    </row>
    <row r="1434" spans="1:28" ht="14.4">
      <c r="A1434" s="51" t="s">
        <v>1570</v>
      </c>
      <c r="B1434" s="20">
        <f>=F1434/12</f>
        <v>19.875</v>
      </c>
      <c r="C1434" s="20">
        <f>=J1434/3</f>
        <v>159</v>
      </c>
      <c r="D1434" s="20">
        <f>=K1434/3</f>
        <v>176.666666666667</v>
      </c>
      <c r="E1434" s="20">
        <f>=L1434/3</f>
        <v>185.5</v>
      </c>
      <c r="F1434" s="20">
        <f>=H1434*0.9</f>
        <v>238.5</v>
      </c>
      <c r="G1434" s="21">
        <v>241</v>
      </c>
      <c r="H1434" s="39">
        <v>265</v>
      </c>
      <c r="I1434" s="40">
        <f>=H1434*1.05</f>
        <v>278.25</v>
      </c>
      <c r="J1434" s="40">
        <f>=F1434*2</f>
        <v>477</v>
      </c>
      <c r="K1434" s="40">
        <f>=H1434*2</f>
        <v>530</v>
      </c>
      <c r="L1434" s="40">
        <f>=I1434*2</f>
        <v>556.5</v>
      </c>
      <c r="M1434" s="41" t="s">
        <v>1522</v>
      </c>
      <c r="N1434" s="41">
        <v>0.102</v>
      </c>
      <c r="O1434" s="41" t="s"/>
      <c r="P1434" s="41">
        <v>1</v>
      </c>
      <c r="Q1434" s="41">
        <v>2</v>
      </c>
      <c r="R1434" s="41" t="s">
        <v>16</v>
      </c>
      <c r="S1434" s="41" t="s">
        <v>17</v>
      </c>
      <c r="T1434" s="41" t="s">
        <v>639</v>
      </c>
      <c r="U1434" s="16" t="s">
        <v>13</v>
      </c>
      <c r="V1434" s="16" t="s">
        <v>215</v>
      </c>
      <c r="W1434" s="19" t="s"/>
      <c r="X1434" s="26" t="s">
        <f>=M1434&amp;N1434&amp;P1434&amp;Q1434&amp;T1434&amp;V1434&amp;S1434</f>
        <v>1571</v>
      </c>
      <c r="Y1434" s="19" t="s"/>
      <c r="Z1434" s="19" t="s"/>
      <c r="AA1434" s="19" t="s"/>
      <c r="AB1434" s="19" t="s"/>
    </row>
    <row r="1435" spans="1:28" ht="14.4">
      <c r="A1435" s="4">
        <f>=H1435/G1435-1</f>
        <v>0.098360655737705</v>
      </c>
      <c r="B1435" s="20">
        <f>=F1435/12</f>
        <v>20.1</v>
      </c>
      <c r="C1435" s="20">
        <f>=J1435/3</f>
        <v>160.8</v>
      </c>
      <c r="D1435" s="20">
        <f>=K1435/3</f>
        <v>178.666666666667</v>
      </c>
      <c r="E1435" s="20">
        <f>=L1435/3</f>
        <v>187.6</v>
      </c>
      <c r="F1435" s="20">
        <f>=H1435*0.9</f>
        <v>241.2</v>
      </c>
      <c r="G1435" s="21">
        <v>244</v>
      </c>
      <c r="H1435" s="39">
        <v>268</v>
      </c>
      <c r="I1435" s="40">
        <f>=H1435*1.05</f>
        <v>281.4</v>
      </c>
      <c r="J1435" s="40">
        <f>=F1435*2</f>
        <v>482.4</v>
      </c>
      <c r="K1435" s="40">
        <f>=H1435*2</f>
        <v>536</v>
      </c>
      <c r="L1435" s="40">
        <f>=I1435*2</f>
        <v>562.8</v>
      </c>
      <c r="M1435" s="41" t="s">
        <v>1522</v>
      </c>
      <c r="N1435" s="41">
        <v>0.102</v>
      </c>
      <c r="O1435" s="41" t="s"/>
      <c r="P1435" s="41">
        <v>1</v>
      </c>
      <c r="Q1435" s="41">
        <v>1</v>
      </c>
      <c r="R1435" s="41" t="s">
        <v>16</v>
      </c>
      <c r="S1435" s="41" t="s">
        <v>17</v>
      </c>
      <c r="T1435" s="41" t="s">
        <v>1098</v>
      </c>
      <c r="U1435" s="16" t="s">
        <v>13</v>
      </c>
      <c r="V1435" s="16" t="s">
        <v>1227</v>
      </c>
      <c r="W1435" s="19" t="s"/>
      <c r="X1435" s="26" t="s">
        <f>=M1435&amp;N1435&amp;P1435&amp;Q1435&amp;T1435&amp;V1435&amp;S1435</f>
        <v>1572</v>
      </c>
      <c r="Y1435" s="19" t="s"/>
      <c r="Z1435" s="19" t="s"/>
      <c r="AA1435" s="19" t="s"/>
      <c r="AB1435" s="19" t="s"/>
    </row>
    <row r="1436" spans="1:28" ht="14.4">
      <c r="A1436" s="4">
        <f>=H1436/G1436-1</f>
        <v>0.100719424460432</v>
      </c>
      <c r="B1436" s="20">
        <f>=F1436/12</f>
        <v>22.95</v>
      </c>
      <c r="C1436" s="20">
        <f>=J1436/3</f>
        <v>183.6</v>
      </c>
      <c r="D1436" s="20">
        <f>=K1436/3</f>
        <v>204</v>
      </c>
      <c r="E1436" s="20">
        <f>=L1436/3</f>
        <v>214.2</v>
      </c>
      <c r="F1436" s="20">
        <f>=H1436*0.9</f>
        <v>275.4</v>
      </c>
      <c r="G1436" s="21">
        <v>278</v>
      </c>
      <c r="H1436" s="39">
        <v>306</v>
      </c>
      <c r="I1436" s="40">
        <f>=H1436*1.05</f>
        <v>321.3</v>
      </c>
      <c r="J1436" s="40">
        <f>=F1436*2</f>
        <v>550.8</v>
      </c>
      <c r="K1436" s="40">
        <f>=H1436*2</f>
        <v>612</v>
      </c>
      <c r="L1436" s="40">
        <f>=I1436*2</f>
        <v>642.6</v>
      </c>
      <c r="M1436" s="41" t="s">
        <v>1522</v>
      </c>
      <c r="N1436" s="41">
        <v>0.102</v>
      </c>
      <c r="O1436" s="41" t="s"/>
      <c r="P1436" s="41">
        <v>1</v>
      </c>
      <c r="Q1436" s="41">
        <v>1</v>
      </c>
      <c r="R1436" s="41" t="s">
        <v>16</v>
      </c>
      <c r="S1436" s="41" t="s">
        <v>17</v>
      </c>
      <c r="T1436" s="41" t="s">
        <v>1078</v>
      </c>
      <c r="U1436" s="16" t="s">
        <v>13</v>
      </c>
      <c r="V1436" s="16" t="s">
        <v>1573</v>
      </c>
      <c r="W1436" s="19" t="s"/>
      <c r="X1436" s="26" t="s">
        <f>=M1436&amp;N1436&amp;P1436&amp;Q1436&amp;T1436&amp;V1436&amp;S1436</f>
        <v>1574</v>
      </c>
      <c r="Y1436" s="19" t="s"/>
      <c r="Z1436" s="19" t="s"/>
      <c r="AA1436" s="19" t="s"/>
      <c r="AB1436" s="19" t="s"/>
    </row>
    <row r="1437" spans="1:28" ht="14.4">
      <c r="A1437" s="4">
        <f>=H1437/G1437-1</f>
        <v>0.101960784313726</v>
      </c>
      <c r="B1437" s="20">
        <f>=F1437/12</f>
        <v>21.075</v>
      </c>
      <c r="C1437" s="20">
        <f>=J1437/3</f>
        <v>168.6</v>
      </c>
      <c r="D1437" s="20">
        <f>=K1437/3</f>
        <v>187.333333333333</v>
      </c>
      <c r="E1437" s="20">
        <f>=L1437/3</f>
        <v>196.7</v>
      </c>
      <c r="F1437" s="20">
        <f>=H1437*0.9</f>
        <v>252.9</v>
      </c>
      <c r="G1437" s="21">
        <v>255</v>
      </c>
      <c r="H1437" s="39">
        <v>281</v>
      </c>
      <c r="I1437" s="40">
        <f>=H1437*1.05</f>
        <v>295.05</v>
      </c>
      <c r="J1437" s="40">
        <f>=F1437*2</f>
        <v>505.8</v>
      </c>
      <c r="K1437" s="40">
        <f>=H1437*2</f>
        <v>562</v>
      </c>
      <c r="L1437" s="40">
        <f>=I1437*2</f>
        <v>590.1</v>
      </c>
      <c r="M1437" s="41" t="s">
        <v>1522</v>
      </c>
      <c r="N1437" s="41">
        <v>0.102</v>
      </c>
      <c r="O1437" s="41" t="s"/>
      <c r="P1437" s="41">
        <v>1</v>
      </c>
      <c r="Q1437" s="41">
        <v>1</v>
      </c>
      <c r="R1437" s="41" t="s">
        <v>16</v>
      </c>
      <c r="S1437" s="41" t="s">
        <v>17</v>
      </c>
      <c r="T1437" s="41" t="s">
        <v>1078</v>
      </c>
      <c r="U1437" s="16" t="s">
        <v>13</v>
      </c>
      <c r="V1437" s="16" t="s">
        <v>1545</v>
      </c>
      <c r="W1437" s="19" t="s"/>
      <c r="X1437" s="26" t="s">
        <f>=M1437&amp;N1437&amp;P1437&amp;Q1437&amp;T1437&amp;V1437&amp;S1437</f>
        <v>1575</v>
      </c>
      <c r="Y1437" s="19" t="s"/>
      <c r="Z1437" s="19" t="s"/>
      <c r="AA1437" s="19" t="s"/>
      <c r="AB1437" s="19" t="s"/>
    </row>
    <row r="1438" spans="1:29" s="274" customFormat="true" ht="14.4">
      <c r="A1438" s="144">
        <f>=H1438/G1438-1</f>
        <v>-0.0438247011952191</v>
      </c>
      <c r="B1438" s="145">
        <f>=F1438/12</f>
        <v>18</v>
      </c>
      <c r="C1438" s="145">
        <f>=J1438/3</f>
        <v>144</v>
      </c>
      <c r="D1438" s="145">
        <f>=K1438/3</f>
        <v>160</v>
      </c>
      <c r="E1438" s="145">
        <f>=L1438/3</f>
        <v>168</v>
      </c>
      <c r="F1438" s="145">
        <f>=H1438*0.9</f>
        <v>216</v>
      </c>
      <c r="G1438" s="146">
        <v>251</v>
      </c>
      <c r="H1438" s="147">
        <v>240</v>
      </c>
      <c r="I1438" s="148">
        <f>=H1438*1.05</f>
        <v>252</v>
      </c>
      <c r="J1438" s="148">
        <f>=F1438*2</f>
        <v>432</v>
      </c>
      <c r="K1438" s="148">
        <f>=H1438*2</f>
        <v>480</v>
      </c>
      <c r="L1438" s="148">
        <f>=I1438*2</f>
        <v>504</v>
      </c>
      <c r="M1438" s="149" t="s">
        <v>1522</v>
      </c>
      <c r="N1438" s="149">
        <v>0.102</v>
      </c>
      <c r="O1438" s="149" t="s"/>
      <c r="P1438" s="149">
        <v>1</v>
      </c>
      <c r="Q1438" s="149">
        <v>1</v>
      </c>
      <c r="R1438" s="149" t="s">
        <v>16</v>
      </c>
      <c r="S1438" s="149" t="s">
        <v>17</v>
      </c>
      <c r="T1438" s="149" t="s">
        <v>1098</v>
      </c>
      <c r="U1438" s="150" t="s">
        <v>13</v>
      </c>
      <c r="V1438" s="150" t="s">
        <v>215</v>
      </c>
      <c r="W1438" s="151" t="s">
        <v>1122</v>
      </c>
      <c r="X1438" s="26" t="s">
        <f>=M1438&amp;N1438&amp;P1438&amp;Q1438&amp;T1438&amp;V1438&amp;S1438</f>
        <v>1576</v>
      </c>
      <c r="Y1438" s="151" t="s"/>
      <c r="Z1438" s="151" t="s"/>
      <c r="AA1438" s="151" t="s"/>
      <c r="AB1438" s="151" t="s"/>
      <c r="AC1438" s="152" t="s"/>
    </row>
    <row r="1439" spans="1:28" ht="14.4">
      <c r="A1439" s="4">
        <f>=H1439/G1439-1</f>
        <v>0.0988593155893536</v>
      </c>
      <c r="B1439" s="20">
        <f>=F1439/12</f>
        <v>21.675</v>
      </c>
      <c r="C1439" s="20">
        <f>=J1439/3</f>
        <v>173.4</v>
      </c>
      <c r="D1439" s="20">
        <f>=K1439/3</f>
        <v>192.666666666667</v>
      </c>
      <c r="E1439" s="20">
        <f>=L1439/3</f>
        <v>202.3</v>
      </c>
      <c r="F1439" s="20">
        <f>=H1439*0.9</f>
        <v>260.1</v>
      </c>
      <c r="G1439" s="21">
        <v>263</v>
      </c>
      <c r="H1439" s="39">
        <v>289</v>
      </c>
      <c r="I1439" s="40">
        <f>=H1439*1.05</f>
        <v>303.45</v>
      </c>
      <c r="J1439" s="40">
        <f>=F1439*2</f>
        <v>520.2</v>
      </c>
      <c r="K1439" s="40">
        <f>=H1439*2</f>
        <v>578</v>
      </c>
      <c r="L1439" s="40">
        <f>=I1439*2</f>
        <v>606.9</v>
      </c>
      <c r="M1439" s="41" t="s">
        <v>1522</v>
      </c>
      <c r="N1439" s="41">
        <v>0.102</v>
      </c>
      <c r="O1439" s="41" t="s"/>
      <c r="P1439" s="41">
        <v>1</v>
      </c>
      <c r="Q1439" s="41">
        <v>2</v>
      </c>
      <c r="R1439" s="41" t="s">
        <v>16</v>
      </c>
      <c r="S1439" s="41" t="s">
        <v>17</v>
      </c>
      <c r="T1439" s="41" t="s">
        <v>1078</v>
      </c>
      <c r="U1439" s="16" t="s">
        <v>13</v>
      </c>
      <c r="V1439" s="16" t="s">
        <v>215</v>
      </c>
      <c r="W1439" s="19" t="s"/>
      <c r="X1439" s="26" t="s">
        <f>=M1439&amp;N1439&amp;P1439&amp;Q1439&amp;T1439&amp;V1439&amp;S1439</f>
        <v>1577</v>
      </c>
      <c r="Y1439" s="19" t="s"/>
      <c r="Z1439" s="19" t="s"/>
      <c r="AA1439" s="19" t="s"/>
      <c r="AB1439" s="19" t="s"/>
    </row>
    <row r="1440" spans="1:28" ht="14.4">
      <c r="A1440" s="4">
        <f>=H1440/G1440-1</f>
        <v>0.0984848484848484</v>
      </c>
      <c r="B1440" s="20">
        <f>=F1440/12</f>
        <v>21.75</v>
      </c>
      <c r="C1440" s="20">
        <f>=J1440/3</f>
        <v>174</v>
      </c>
      <c r="D1440" s="20">
        <f>=K1440/3</f>
        <v>193.333333333333</v>
      </c>
      <c r="E1440" s="20">
        <f>=L1440/3</f>
        <v>203</v>
      </c>
      <c r="F1440" s="20">
        <f>=H1440*0.9</f>
        <v>261</v>
      </c>
      <c r="G1440" s="21">
        <v>264</v>
      </c>
      <c r="H1440" s="39">
        <v>290</v>
      </c>
      <c r="I1440" s="40">
        <f>=H1440*1.05</f>
        <v>304.5</v>
      </c>
      <c r="J1440" s="40">
        <f>=F1440*2</f>
        <v>522</v>
      </c>
      <c r="K1440" s="40">
        <f>=H1440*2</f>
        <v>580</v>
      </c>
      <c r="L1440" s="40">
        <f>=I1440*2</f>
        <v>609</v>
      </c>
      <c r="M1440" s="41" t="s">
        <v>1522</v>
      </c>
      <c r="N1440" s="41">
        <v>0.102</v>
      </c>
      <c r="O1440" s="41" t="s"/>
      <c r="P1440" s="41">
        <v>1</v>
      </c>
      <c r="Q1440" s="41">
        <v>1</v>
      </c>
      <c r="R1440" s="41" t="s">
        <v>16</v>
      </c>
      <c r="S1440" s="41" t="s">
        <v>17</v>
      </c>
      <c r="T1440" s="41" t="s">
        <v>1078</v>
      </c>
      <c r="U1440" s="16" t="s">
        <v>13</v>
      </c>
      <c r="V1440" s="16" t="s">
        <v>1227</v>
      </c>
      <c r="W1440" s="19" t="s"/>
      <c r="X1440" s="26" t="s">
        <f>=M1440&amp;N1440&amp;P1440&amp;Q1440&amp;T1440&amp;V1440&amp;S1440</f>
        <v>1578</v>
      </c>
      <c r="Y1440" s="19" t="s"/>
      <c r="Z1440" s="19" t="s"/>
      <c r="AA1440" s="19" t="s"/>
      <c r="AB1440" s="19" t="s"/>
    </row>
    <row r="1441" spans="1:28" ht="14.4">
      <c r="A1441" s="4">
        <f>=H1441/G1441-1</f>
        <v>0.0984848484848484</v>
      </c>
      <c r="B1441" s="20">
        <f>=F1441/12</f>
        <v>21.75</v>
      </c>
      <c r="C1441" s="20">
        <f>=J1441/3</f>
        <v>174</v>
      </c>
      <c r="D1441" s="20">
        <f>=K1441/3</f>
        <v>193.333333333333</v>
      </c>
      <c r="E1441" s="20">
        <f>=L1441/3</f>
        <v>203</v>
      </c>
      <c r="F1441" s="20">
        <f>=H1441*0.9</f>
        <v>261</v>
      </c>
      <c r="G1441" s="21">
        <v>264</v>
      </c>
      <c r="H1441" s="39">
        <v>290</v>
      </c>
      <c r="I1441" s="40">
        <f>=H1441*1.05</f>
        <v>304.5</v>
      </c>
      <c r="J1441" s="40">
        <f>=F1441*2</f>
        <v>522</v>
      </c>
      <c r="K1441" s="40">
        <f>=H1441*2</f>
        <v>580</v>
      </c>
      <c r="L1441" s="40">
        <f>=I1441*2</f>
        <v>609</v>
      </c>
      <c r="M1441" s="41" t="s">
        <v>1522</v>
      </c>
      <c r="N1441" s="41">
        <v>0.102</v>
      </c>
      <c r="O1441" s="41" t="s"/>
      <c r="P1441" s="41">
        <v>1</v>
      </c>
      <c r="Q1441" s="41">
        <v>2</v>
      </c>
      <c r="R1441" s="41" t="s">
        <v>16</v>
      </c>
      <c r="S1441" s="41" t="s">
        <v>17</v>
      </c>
      <c r="T1441" s="41" t="s">
        <v>1098</v>
      </c>
      <c r="U1441" s="16" t="s">
        <v>13</v>
      </c>
      <c r="V1441" s="16" t="s">
        <v>215</v>
      </c>
      <c r="W1441" s="19" t="s"/>
      <c r="X1441" s="26" t="s">
        <f>=M1441&amp;N1441&amp;P1441&amp;Q1441&amp;T1441&amp;V1441&amp;S1441</f>
        <v>1579</v>
      </c>
      <c r="Y1441" s="19" t="s"/>
      <c r="Z1441" s="19" t="s"/>
      <c r="AA1441" s="19" t="s"/>
      <c r="AB1441" s="19" t="s"/>
    </row>
    <row r="1442" spans="1:28" ht="14.4">
      <c r="A1442" s="4">
        <f>=H1442/G1442-1</f>
        <v>0.1</v>
      </c>
      <c r="B1442" s="20">
        <f>=F1442/12</f>
        <v>21.45</v>
      </c>
      <c r="C1442" s="20">
        <f>=J1442/3</f>
        <v>171.6</v>
      </c>
      <c r="D1442" s="20">
        <f>=K1442/3</f>
        <v>190.666666666667</v>
      </c>
      <c r="E1442" s="20">
        <f>=L1442/3</f>
        <v>200.2</v>
      </c>
      <c r="F1442" s="20">
        <f>=H1442*0.9</f>
        <v>257.4</v>
      </c>
      <c r="G1442" s="21">
        <v>260</v>
      </c>
      <c r="H1442" s="39">
        <v>286</v>
      </c>
      <c r="I1442" s="40">
        <f>=H1442*1.05</f>
        <v>300.3</v>
      </c>
      <c r="J1442" s="40">
        <f>=F1442*2</f>
        <v>514.8</v>
      </c>
      <c r="K1442" s="40">
        <f>=H1442*2</f>
        <v>572</v>
      </c>
      <c r="L1442" s="40">
        <f>=I1442*2</f>
        <v>600.6</v>
      </c>
      <c r="M1442" s="41" t="s">
        <v>1522</v>
      </c>
      <c r="N1442" s="41">
        <v>0.102</v>
      </c>
      <c r="O1442" s="41" t="s"/>
      <c r="P1442" s="41">
        <v>1</v>
      </c>
      <c r="Q1442" s="41">
        <v>2</v>
      </c>
      <c r="R1442" s="41" t="s">
        <v>16</v>
      </c>
      <c r="S1442" s="41" t="s">
        <v>17</v>
      </c>
      <c r="T1442" s="41" t="s">
        <v>1098</v>
      </c>
      <c r="U1442" s="16" t="s">
        <v>13</v>
      </c>
      <c r="V1442" s="16" t="s">
        <v>1541</v>
      </c>
      <c r="W1442" s="19" t="s"/>
      <c r="X1442" s="26" t="s">
        <f>=M1442&amp;N1442&amp;P1442&amp;Q1442&amp;T1442&amp;V1442&amp;S1442</f>
        <v>1580</v>
      </c>
      <c r="Y1442" s="19" t="s"/>
      <c r="Z1442" s="19" t="s"/>
      <c r="AA1442" s="19" t="s"/>
      <c r="AB1442" s="19" t="s"/>
    </row>
    <row r="1443" spans="1:28" ht="14.4">
      <c r="A1443" s="4">
        <f>=H1443/G1443-1</f>
        <v>0.098814229249012</v>
      </c>
      <c r="B1443" s="20">
        <f>=F1443/12</f>
        <v>20.85</v>
      </c>
      <c r="C1443" s="20">
        <f>=J1443/3</f>
        <v>166.8</v>
      </c>
      <c r="D1443" s="20">
        <f>=K1443/3</f>
        <v>185.333333333333</v>
      </c>
      <c r="E1443" s="20">
        <f>=L1443/3</f>
        <v>194.6</v>
      </c>
      <c r="F1443" s="20">
        <f>=H1443*0.9</f>
        <v>250.2</v>
      </c>
      <c r="G1443" s="21">
        <v>253</v>
      </c>
      <c r="H1443" s="39">
        <v>278</v>
      </c>
      <c r="I1443" s="40">
        <f>=H1443*1.05</f>
        <v>291.9</v>
      </c>
      <c r="J1443" s="40">
        <f>=F1443*2</f>
        <v>500.4</v>
      </c>
      <c r="K1443" s="40">
        <f>=H1443*2</f>
        <v>556</v>
      </c>
      <c r="L1443" s="40">
        <f>=I1443*2</f>
        <v>583.8</v>
      </c>
      <c r="M1443" s="41" t="s">
        <v>1522</v>
      </c>
      <c r="N1443" s="41">
        <v>0.102</v>
      </c>
      <c r="O1443" s="41" t="s"/>
      <c r="P1443" s="41">
        <v>1</v>
      </c>
      <c r="Q1443" s="41">
        <v>2</v>
      </c>
      <c r="R1443" s="41" t="s">
        <v>16</v>
      </c>
      <c r="S1443" s="41" t="s">
        <v>17</v>
      </c>
      <c r="T1443" s="41" t="s">
        <v>1098</v>
      </c>
      <c r="U1443" s="16" t="s">
        <v>13</v>
      </c>
      <c r="V1443" s="16" t="s">
        <v>1119</v>
      </c>
      <c r="W1443" s="19" t="s"/>
      <c r="X1443" s="26" t="s">
        <f>=M1443&amp;N1443&amp;P1443&amp;Q1443&amp;T1443&amp;V1443&amp;S1443</f>
        <v>1581</v>
      </c>
      <c r="Y1443" s="19" t="s"/>
      <c r="Z1443" s="19" t="s"/>
      <c r="AA1443" s="19" t="s"/>
      <c r="AB1443" s="19" t="s"/>
    </row>
    <row r="1444" spans="1:28" ht="14.4">
      <c r="A1444" s="4">
        <f>=H1444/G1444-1</f>
        <v>0.098814229249012</v>
      </c>
      <c r="B1444" s="20">
        <f>=F1444/12</f>
        <v>20.85</v>
      </c>
      <c r="C1444" s="20">
        <f>=J1444/3</f>
        <v>166.8</v>
      </c>
      <c r="D1444" s="20">
        <f>=K1444/3</f>
        <v>185.333333333333</v>
      </c>
      <c r="E1444" s="20">
        <f>=L1444/3</f>
        <v>194.6</v>
      </c>
      <c r="F1444" s="20">
        <f>=H1444*0.9</f>
        <v>250.2</v>
      </c>
      <c r="G1444" s="21">
        <v>253</v>
      </c>
      <c r="H1444" s="39">
        <v>278</v>
      </c>
      <c r="I1444" s="40">
        <f>=H1444*1.05</f>
        <v>291.9</v>
      </c>
      <c r="J1444" s="40">
        <f>=F1444*2</f>
        <v>500.4</v>
      </c>
      <c r="K1444" s="40">
        <f>=H1444*2</f>
        <v>556</v>
      </c>
      <c r="L1444" s="40">
        <f>=I1444*2</f>
        <v>583.8</v>
      </c>
      <c r="M1444" s="41" t="s">
        <v>1522</v>
      </c>
      <c r="N1444" s="41">
        <v>0.102</v>
      </c>
      <c r="O1444" s="41" t="s"/>
      <c r="P1444" s="41">
        <v>1</v>
      </c>
      <c r="Q1444" s="41">
        <v>2</v>
      </c>
      <c r="R1444" s="41" t="s">
        <v>16</v>
      </c>
      <c r="S1444" s="41" t="s">
        <v>17</v>
      </c>
      <c r="T1444" s="41" t="s">
        <v>639</v>
      </c>
      <c r="U1444" s="16" t="s">
        <v>13</v>
      </c>
      <c r="V1444" s="16" t="s">
        <v>1119</v>
      </c>
      <c r="W1444" s="19" t="s"/>
      <c r="X1444" s="26" t="s">
        <f>=M1444&amp;N1444&amp;P1444&amp;Q1444&amp;T1444&amp;V1444&amp;S1444</f>
        <v>1582</v>
      </c>
      <c r="Y1444" s="19" t="s"/>
      <c r="Z1444" s="19" t="s"/>
      <c r="AA1444" s="19" t="s"/>
      <c r="AB1444" s="19" t="s"/>
    </row>
    <row r="1445" spans="1:28" ht="14.4">
      <c r="A1445" s="4">
        <f>=H1445/G1445-1</f>
        <v>0.0996168582375479</v>
      </c>
      <c r="B1445" s="20">
        <f>=F1445/12</f>
        <v>21.525</v>
      </c>
      <c r="C1445" s="20">
        <f>=J1445/3</f>
        <v>172.2</v>
      </c>
      <c r="D1445" s="20">
        <f>=K1445/3</f>
        <v>191.333333333333</v>
      </c>
      <c r="E1445" s="20">
        <f>=L1445/3</f>
        <v>200.9</v>
      </c>
      <c r="F1445" s="20">
        <f>=H1445*0.9</f>
        <v>258.3</v>
      </c>
      <c r="G1445" s="21">
        <v>261</v>
      </c>
      <c r="H1445" s="39">
        <v>287</v>
      </c>
      <c r="I1445" s="40">
        <f>=H1445*1.05</f>
        <v>301.35</v>
      </c>
      <c r="J1445" s="40">
        <f>=F1445*2</f>
        <v>516.6</v>
      </c>
      <c r="K1445" s="40">
        <f>=H1445*2</f>
        <v>574</v>
      </c>
      <c r="L1445" s="40">
        <f>=I1445*2</f>
        <v>602.7</v>
      </c>
      <c r="M1445" s="41" t="s">
        <v>1522</v>
      </c>
      <c r="N1445" s="41">
        <v>0.102</v>
      </c>
      <c r="O1445" s="41" t="s"/>
      <c r="P1445" s="41">
        <v>1</v>
      </c>
      <c r="Q1445" s="31">
        <v>2</v>
      </c>
      <c r="R1445" s="41" t="s">
        <v>16</v>
      </c>
      <c r="S1445" s="41" t="s">
        <v>17</v>
      </c>
      <c r="T1445" s="41" t="s">
        <v>1078</v>
      </c>
      <c r="U1445" s="16" t="s">
        <v>13</v>
      </c>
      <c r="V1445" s="16" t="s">
        <v>1119</v>
      </c>
      <c r="W1445" s="19" t="s"/>
      <c r="X1445" s="37" t="s">
        <f>=M1445&amp;N1445&amp;P1445&amp;Q1445&amp;T1445&amp;V1445&amp;S1445</f>
        <v>1583</v>
      </c>
      <c r="Y1445" s="19" t="s"/>
      <c r="Z1445" s="19" t="s"/>
      <c r="AA1445" s="19" t="s"/>
      <c r="AB1445" s="19" t="s"/>
    </row>
    <row r="1446" spans="1:28" ht="14.4">
      <c r="A1446" s="4">
        <f>=H1446/G1446-1</f>
        <v>0.101123595505618</v>
      </c>
      <c r="B1446" s="20">
        <f>=F1446/12</f>
        <v>22.05</v>
      </c>
      <c r="C1446" s="20">
        <f>=J1446/3</f>
        <v>176.4</v>
      </c>
      <c r="D1446" s="20">
        <f>=K1446/3</f>
        <v>196</v>
      </c>
      <c r="E1446" s="20">
        <f>=L1446/3</f>
        <v>205.8</v>
      </c>
      <c r="F1446" s="20">
        <f>=H1446*0.9</f>
        <v>264.6</v>
      </c>
      <c r="G1446" s="21">
        <v>267</v>
      </c>
      <c r="H1446" s="39">
        <v>294</v>
      </c>
      <c r="I1446" s="40">
        <f>=H1446*1.05</f>
        <v>308.7</v>
      </c>
      <c r="J1446" s="40">
        <f>=F1446*2</f>
        <v>529.2</v>
      </c>
      <c r="K1446" s="40">
        <f>=H1446*2</f>
        <v>588</v>
      </c>
      <c r="L1446" s="40">
        <f>=I1446*2</f>
        <v>617.4</v>
      </c>
      <c r="M1446" s="41" t="s">
        <v>1522</v>
      </c>
      <c r="N1446" s="41">
        <v>0.102</v>
      </c>
      <c r="O1446" s="41" t="s"/>
      <c r="P1446" s="41">
        <v>1</v>
      </c>
      <c r="Q1446" s="41">
        <v>1</v>
      </c>
      <c r="R1446" s="41" t="s">
        <v>16</v>
      </c>
      <c r="S1446" s="41" t="s">
        <v>17</v>
      </c>
      <c r="T1446" s="41" t="s">
        <v>1098</v>
      </c>
      <c r="U1446" s="16" t="s">
        <v>13</v>
      </c>
      <c r="V1446" s="16" t="s">
        <v>1545</v>
      </c>
      <c r="W1446" s="19" t="s"/>
      <c r="X1446" s="26" t="s">
        <f>=M1446&amp;N1446&amp;P1446&amp;Q1446&amp;T1446&amp;V1446&amp;S1446</f>
        <v>1584</v>
      </c>
      <c r="Y1446" s="19" t="s"/>
      <c r="Z1446" s="19" t="s"/>
      <c r="AA1446" s="19" t="s"/>
      <c r="AB1446" s="19" t="s"/>
    </row>
    <row r="1447" spans="1:28" ht="14.4">
      <c r="A1447" s="4">
        <f>=H1447/G1447-1</f>
        <v>0.101083032490975</v>
      </c>
      <c r="B1447" s="20">
        <f>=F1447/12</f>
        <v>22.875</v>
      </c>
      <c r="C1447" s="20">
        <f>=J1447/3</f>
        <v>183</v>
      </c>
      <c r="D1447" s="20">
        <f>=K1447/3</f>
        <v>203.333333333333</v>
      </c>
      <c r="E1447" s="20">
        <f>=L1447/3</f>
        <v>213.5</v>
      </c>
      <c r="F1447" s="20">
        <f>=H1447*0.9</f>
        <v>274.5</v>
      </c>
      <c r="G1447" s="21">
        <v>277</v>
      </c>
      <c r="H1447" s="39">
        <v>305</v>
      </c>
      <c r="I1447" s="40">
        <f>=H1447*1.05</f>
        <v>320.25</v>
      </c>
      <c r="J1447" s="40">
        <f>=F1447*2</f>
        <v>549</v>
      </c>
      <c r="K1447" s="40">
        <f>=H1447*2</f>
        <v>610</v>
      </c>
      <c r="L1447" s="40">
        <f>=I1447*2</f>
        <v>640.5</v>
      </c>
      <c r="M1447" s="41" t="s">
        <v>1522</v>
      </c>
      <c r="N1447" s="41">
        <v>0.102</v>
      </c>
      <c r="O1447" s="41" t="s"/>
      <c r="P1447" s="41">
        <v>1</v>
      </c>
      <c r="Q1447" s="41">
        <v>2</v>
      </c>
      <c r="R1447" s="41" t="s">
        <v>16</v>
      </c>
      <c r="S1447" s="41" t="s">
        <v>17</v>
      </c>
      <c r="T1447" s="41" t="s">
        <v>1078</v>
      </c>
      <c r="U1447" s="16" t="s">
        <v>13</v>
      </c>
      <c r="V1447" s="16" t="s">
        <v>1541</v>
      </c>
      <c r="W1447" s="19" t="s"/>
      <c r="X1447" s="26" t="s">
        <f>=M1447&amp;N1447&amp;P1447&amp;Q1447&amp;T1447&amp;V1447&amp;S1447</f>
        <v>1585</v>
      </c>
      <c r="Y1447" s="19" t="s"/>
      <c r="Z1447" s="19" t="s"/>
      <c r="AA1447" s="19" t="s"/>
      <c r="AB1447" s="19" t="s"/>
    </row>
    <row r="1448" spans="1:28" ht="14.4">
      <c r="A1448" s="4">
        <f>=H1448/G1448-1</f>
        <v>0.0992647058823531</v>
      </c>
      <c r="B1448" s="20">
        <f>=F1448/12</f>
        <v>22.425</v>
      </c>
      <c r="C1448" s="20">
        <f>=J1448/3</f>
        <v>179.4</v>
      </c>
      <c r="D1448" s="20">
        <f>=K1448/3</f>
        <v>199.333333333333</v>
      </c>
      <c r="E1448" s="20">
        <f>=L1448/3</f>
        <v>209.3</v>
      </c>
      <c r="F1448" s="20">
        <f>=H1448*0.9</f>
        <v>269.1</v>
      </c>
      <c r="G1448" s="21">
        <v>272</v>
      </c>
      <c r="H1448" s="39">
        <v>299</v>
      </c>
      <c r="I1448" s="40">
        <f>=H1448*1.05</f>
        <v>313.95</v>
      </c>
      <c r="J1448" s="40">
        <f>=F1448*2</f>
        <v>538.2</v>
      </c>
      <c r="K1448" s="40">
        <f>=H1448*2</f>
        <v>598</v>
      </c>
      <c r="L1448" s="40">
        <f>=I1448*2</f>
        <v>627.9</v>
      </c>
      <c r="M1448" s="41" t="s">
        <v>1522</v>
      </c>
      <c r="N1448" s="41">
        <v>0.102</v>
      </c>
      <c r="O1448" s="41" t="s"/>
      <c r="P1448" s="41">
        <v>2</v>
      </c>
      <c r="Q1448" s="41">
        <v>2</v>
      </c>
      <c r="R1448" s="41" t="s">
        <v>16</v>
      </c>
      <c r="S1448" s="41" t="s">
        <v>17</v>
      </c>
      <c r="T1448" s="41" t="s">
        <v>1078</v>
      </c>
      <c r="U1448" s="16" t="s">
        <v>13</v>
      </c>
      <c r="V1448" s="16" t="s">
        <v>215</v>
      </c>
      <c r="W1448" s="19" t="s"/>
      <c r="X1448" s="142" t="s">
        <f>=M1448&amp;N1448&amp;P1448&amp;Q1448&amp;T1448&amp;V1448&amp;S1448</f>
        <v>1586</v>
      </c>
      <c r="Y1448" s="143" t="s"/>
      <c r="Z1448" s="143" t="s"/>
      <c r="AA1448" s="143" t="s"/>
      <c r="AB1448" s="143" t="s"/>
    </row>
    <row r="1449" spans="1:28" ht="14.4">
      <c r="A1449" s="4">
        <f>=H1449/G1449-1</f>
        <v>0.098976109215017</v>
      </c>
      <c r="B1449" s="20">
        <f>=F1449/12</f>
        <v>24.15</v>
      </c>
      <c r="C1449" s="20">
        <f>=J1449/3</f>
        <v>193.2</v>
      </c>
      <c r="D1449" s="20">
        <f>=K1449/3</f>
        <v>214.666666666667</v>
      </c>
      <c r="E1449" s="20">
        <f>=L1449/3</f>
        <v>225.4</v>
      </c>
      <c r="F1449" s="20">
        <f>=H1449*0.9</f>
        <v>289.8</v>
      </c>
      <c r="G1449" s="21">
        <v>293</v>
      </c>
      <c r="H1449" s="39">
        <v>322</v>
      </c>
      <c r="I1449" s="40">
        <f>=H1449*1.05</f>
        <v>338.1</v>
      </c>
      <c r="J1449" s="40">
        <f>=F1449*2</f>
        <v>579.6</v>
      </c>
      <c r="K1449" s="40">
        <f>=H1449*2</f>
        <v>644</v>
      </c>
      <c r="L1449" s="40">
        <f>=I1449*2</f>
        <v>676.2</v>
      </c>
      <c r="M1449" s="41" t="s">
        <v>1522</v>
      </c>
      <c r="N1449" s="41">
        <v>0.102</v>
      </c>
      <c r="O1449" s="41" t="s"/>
      <c r="P1449" s="41">
        <v>2</v>
      </c>
      <c r="Q1449" s="41">
        <v>2</v>
      </c>
      <c r="R1449" s="41" t="s">
        <v>16</v>
      </c>
      <c r="S1449" s="41" t="s">
        <v>17</v>
      </c>
      <c r="T1449" s="41" t="s">
        <v>639</v>
      </c>
      <c r="U1449" s="16" t="s">
        <v>13</v>
      </c>
      <c r="V1449" s="16" t="s">
        <v>215</v>
      </c>
      <c r="W1449" s="19" t="s"/>
      <c r="X1449" s="26" t="s">
        <f>=M1449&amp;N1449&amp;P1449&amp;Q1449&amp;T1449&amp;V1449&amp;S1449</f>
        <v>1587</v>
      </c>
      <c r="Y1449" s="19" t="s"/>
      <c r="Z1449" s="19" t="s"/>
      <c r="AA1449" s="19" t="s"/>
      <c r="AB1449" s="19" t="s"/>
    </row>
    <row r="1450" spans="1:28" ht="14.4">
      <c r="A1450" s="4">
        <f>=H1450/G1450-1</f>
        <v>0.1</v>
      </c>
      <c r="B1450" s="20">
        <f>=F1450/12</f>
        <v>35.475</v>
      </c>
      <c r="C1450" s="20">
        <f>=J1450/3</f>
        <v>283.8</v>
      </c>
      <c r="D1450" s="20">
        <f>=K1450/3</f>
        <v>315.333333333333</v>
      </c>
      <c r="E1450" s="20">
        <f>=L1450/3</f>
        <v>331.1</v>
      </c>
      <c r="F1450" s="20">
        <f>=H1450*0.9</f>
        <v>425.7</v>
      </c>
      <c r="G1450" s="21">
        <v>430</v>
      </c>
      <c r="H1450" s="39">
        <v>473</v>
      </c>
      <c r="I1450" s="40">
        <f>=H1450*1.05</f>
        <v>496.65</v>
      </c>
      <c r="J1450" s="40">
        <f>=F1450*2</f>
        <v>851.4</v>
      </c>
      <c r="K1450" s="40">
        <f>=H1450*2</f>
        <v>946</v>
      </c>
      <c r="L1450" s="40">
        <f>=I1450*2</f>
        <v>993.3</v>
      </c>
      <c r="M1450" s="41" t="s">
        <v>1522</v>
      </c>
      <c r="N1450" s="41">
        <v>0.102</v>
      </c>
      <c r="O1450" s="41" t="s"/>
      <c r="P1450" s="41">
        <v>2</v>
      </c>
      <c r="Q1450" s="41">
        <v>2</v>
      </c>
      <c r="R1450" s="41" t="s">
        <v>16</v>
      </c>
      <c r="S1450" s="41" t="s">
        <v>17</v>
      </c>
      <c r="T1450" s="41" t="s">
        <v>654</v>
      </c>
      <c r="U1450" s="16" t="s">
        <v>13</v>
      </c>
      <c r="V1450" s="16" t="s">
        <v>215</v>
      </c>
      <c r="W1450" s="19" t="s"/>
      <c r="X1450" s="26" t="s">
        <f>=M1450&amp;N1450&amp;P1450&amp;Q1450&amp;T1450&amp;V1450&amp;S1450</f>
        <v>1588</v>
      </c>
      <c r="Y1450" s="19" t="s"/>
      <c r="Z1450" s="19" t="s"/>
      <c r="AA1450" s="19" t="s"/>
      <c r="AB1450" s="19" t="s"/>
    </row>
    <row r="1451" spans="1:28" ht="14.4">
      <c r="A1451" s="4">
        <f>=H1451/G1451-1</f>
        <v>0.1</v>
      </c>
      <c r="B1451" s="20">
        <f>=F1451/12</f>
        <v>37.125</v>
      </c>
      <c r="C1451" s="20">
        <f>=J1451/3</f>
        <v>297</v>
      </c>
      <c r="D1451" s="20">
        <f>=K1451/3</f>
        <v>330</v>
      </c>
      <c r="E1451" s="20">
        <f>=L1451/3</f>
        <v>346.5</v>
      </c>
      <c r="F1451" s="20">
        <f>=H1451*0.9</f>
        <v>445.5</v>
      </c>
      <c r="G1451" s="21">
        <v>450</v>
      </c>
      <c r="H1451" s="39">
        <v>495</v>
      </c>
      <c r="I1451" s="40">
        <f>=H1451*1.05</f>
        <v>519.75</v>
      </c>
      <c r="J1451" s="40">
        <f>=F1451*2</f>
        <v>891</v>
      </c>
      <c r="K1451" s="40">
        <f>=H1451*2</f>
        <v>990</v>
      </c>
      <c r="L1451" s="40">
        <f>=I1451*2</f>
        <v>1039.5</v>
      </c>
      <c r="M1451" s="41" t="s">
        <v>1522</v>
      </c>
      <c r="N1451" s="41">
        <v>0.102</v>
      </c>
      <c r="O1451" s="41" t="s"/>
      <c r="P1451" s="41">
        <v>2</v>
      </c>
      <c r="Q1451" s="77">
        <v>3</v>
      </c>
      <c r="R1451" s="41" t="s">
        <v>16</v>
      </c>
      <c r="S1451" s="41" t="s">
        <v>17</v>
      </c>
      <c r="T1451" s="41" t="s">
        <v>654</v>
      </c>
      <c r="U1451" s="16" t="s">
        <v>13</v>
      </c>
      <c r="V1451" s="16" t="s">
        <v>215</v>
      </c>
      <c r="W1451" s="19" t="s"/>
      <c r="X1451" s="26" t="s">
        <f>=M1451&amp;N1451&amp;P1451&amp;Q1451&amp;T1451&amp;V1451&amp;S1451</f>
        <v>1589</v>
      </c>
      <c r="Y1451" s="19" t="s"/>
      <c r="Z1451" s="19" t="s"/>
      <c r="AA1451" s="19" t="s"/>
      <c r="AB1451" s="19" t="s"/>
    </row>
    <row r="1452" spans="1:29" ht="14.4">
      <c r="A1452" s="49">
        <v>46177</v>
      </c>
      <c r="B1452" s="43">
        <f>=F1452/12</f>
        <v>21.12</v>
      </c>
      <c r="C1452" s="43">
        <f>=J1452/3</f>
        <v>168.96</v>
      </c>
      <c r="D1452" s="43">
        <f>=K1452/3</f>
        <v>187.733333333333</v>
      </c>
      <c r="E1452" s="43">
        <f>=L1452/3</f>
        <v>197.12</v>
      </c>
      <c r="F1452" s="43">
        <f>=H1452*0.9</f>
        <v>253.44</v>
      </c>
      <c r="G1452" s="27">
        <v>233</v>
      </c>
      <c r="H1452" s="44">
        <f>=H1453*1.1</f>
        <v>281.6</v>
      </c>
      <c r="I1452" s="45">
        <f>=H1452*1.05</f>
        <v>295.68</v>
      </c>
      <c r="J1452" s="45">
        <f>=F1452*2</f>
        <v>506.88</v>
      </c>
      <c r="K1452" s="45">
        <f>=H1452*2</f>
        <v>563.2</v>
      </c>
      <c r="L1452" s="45">
        <f>=I1452*2</f>
        <v>591.36</v>
      </c>
      <c r="M1452" s="46" t="s">
        <v>1522</v>
      </c>
      <c r="N1452" s="46">
        <v>0.102</v>
      </c>
      <c r="O1452" s="46" t="s"/>
      <c r="P1452" s="46" t="s">
        <v>21</v>
      </c>
      <c r="Q1452" s="46" t="s">
        <v>21</v>
      </c>
      <c r="R1452" s="46" t="s">
        <v>16</v>
      </c>
      <c r="S1452" s="46" t="s">
        <v>17</v>
      </c>
      <c r="T1452" s="46" t="s">
        <v>639</v>
      </c>
      <c r="U1452" s="13" t="s">
        <v>13</v>
      </c>
      <c r="V1452" s="11" t="s">
        <v>1446</v>
      </c>
      <c r="W1452" s="15" t="s"/>
      <c r="X1452" s="18" t="s">
        <f>=M1452&amp;N1452&amp;P1452&amp;Q1452&amp;T1452&amp;V1452&amp;S1452</f>
        <v>1590</v>
      </c>
      <c r="Y1452" s="15" t="s"/>
      <c r="Z1452" s="15" t="s"/>
      <c r="AA1452" s="15" t="s"/>
      <c r="AB1452" s="15" t="s"/>
      <c r="AC1452" s="48" t="s"/>
    </row>
    <row r="1453" spans="1:28" ht="14.4">
      <c r="A1453" s="4">
        <f>=H1453/G1453-1</f>
        <v>0.0987124463519313</v>
      </c>
      <c r="B1453" s="20">
        <f>=F1453/12</f>
        <v>19.2</v>
      </c>
      <c r="C1453" s="20">
        <f>=J1453/3</f>
        <v>153.6</v>
      </c>
      <c r="D1453" s="20">
        <f>=K1453/3</f>
        <v>170.666666666667</v>
      </c>
      <c r="E1453" s="20">
        <f>=L1453/3</f>
        <v>179.2</v>
      </c>
      <c r="F1453" s="20">
        <f>=H1453*0.9</f>
        <v>230.4</v>
      </c>
      <c r="G1453" s="21">
        <v>233</v>
      </c>
      <c r="H1453" s="39">
        <v>256</v>
      </c>
      <c r="I1453" s="40">
        <f>=H1453*1.05</f>
        <v>268.8</v>
      </c>
      <c r="J1453" s="40">
        <f>=F1453*2</f>
        <v>460.8</v>
      </c>
      <c r="K1453" s="40">
        <f>=H1453*2</f>
        <v>512</v>
      </c>
      <c r="L1453" s="40">
        <f>=I1453*2</f>
        <v>537.6</v>
      </c>
      <c r="M1453" s="41" t="s">
        <v>1522</v>
      </c>
      <c r="N1453" s="41">
        <v>0.102</v>
      </c>
      <c r="O1453" s="41" t="s"/>
      <c r="P1453" s="41" t="s">
        <v>21</v>
      </c>
      <c r="Q1453" s="41" t="s">
        <v>21</v>
      </c>
      <c r="R1453" s="41" t="s">
        <v>16</v>
      </c>
      <c r="S1453" s="41" t="s">
        <v>17</v>
      </c>
      <c r="T1453" s="41" t="s">
        <v>639</v>
      </c>
      <c r="U1453" s="16" t="s">
        <v>13</v>
      </c>
      <c r="V1453" s="16" t="s">
        <v>215</v>
      </c>
      <c r="W1453" s="19" t="s"/>
      <c r="X1453" s="26" t="s">
        <f>=M1453&amp;N1453&amp;P1453&amp;Q1453&amp;T1453&amp;V1453&amp;S1453</f>
        <v>1591</v>
      </c>
      <c r="Y1453" s="19" t="s"/>
      <c r="Z1453" s="19" t="s"/>
      <c r="AA1453" s="19" t="s"/>
      <c r="AB1453" s="19" t="s"/>
    </row>
    <row r="1454" spans="1:28" ht="14.4">
      <c r="A1454" s="4">
        <f>=H1454/G1454-1</f>
        <v>0.098360655737705</v>
      </c>
      <c r="B1454" s="20">
        <f>=F1454/12</f>
        <v>15.075</v>
      </c>
      <c r="C1454" s="20">
        <f>=J1454/3</f>
        <v>120.6</v>
      </c>
      <c r="D1454" s="20">
        <f>=K1454/3</f>
        <v>134</v>
      </c>
      <c r="E1454" s="20">
        <f>=L1454/3</f>
        <v>140.7</v>
      </c>
      <c r="F1454" s="20">
        <f>=H1454*0.9</f>
        <v>180.9</v>
      </c>
      <c r="G1454" s="21">
        <v>183</v>
      </c>
      <c r="H1454" s="39">
        <v>201</v>
      </c>
      <c r="I1454" s="40">
        <f>=H1454*1.05</f>
        <v>211.05</v>
      </c>
      <c r="J1454" s="40">
        <f>=F1454*2</f>
        <v>361.8</v>
      </c>
      <c r="K1454" s="40">
        <f>=H1454*2</f>
        <v>402</v>
      </c>
      <c r="L1454" s="40">
        <f>=I1454*2</f>
        <v>422.1</v>
      </c>
      <c r="M1454" s="41" t="s">
        <v>1522</v>
      </c>
      <c r="N1454" s="41">
        <v>0.102</v>
      </c>
      <c r="O1454" s="41" t="s"/>
      <c r="P1454" s="41" t="s">
        <v>21</v>
      </c>
      <c r="Q1454" s="41" t="s">
        <v>21</v>
      </c>
      <c r="R1454" s="41" t="s">
        <v>16</v>
      </c>
      <c r="S1454" s="41" t="s">
        <v>17</v>
      </c>
      <c r="T1454" s="41" t="s">
        <v>1098</v>
      </c>
      <c r="U1454" s="16" t="s">
        <v>13</v>
      </c>
      <c r="V1454" s="16" t="s">
        <v>1227</v>
      </c>
      <c r="W1454" s="19" t="s"/>
      <c r="X1454" s="26" t="s">
        <f>=M1454&amp;N1454&amp;P1454&amp;Q1454&amp;T1454&amp;V1454&amp;S1454</f>
        <v>1592</v>
      </c>
      <c r="Y1454" s="19" t="s"/>
      <c r="Z1454" s="19" t="s"/>
      <c r="AA1454" s="19" t="s"/>
      <c r="AB1454" s="19" t="s"/>
    </row>
    <row r="1455" spans="1:28" ht="14.4">
      <c r="A1455" s="4">
        <f>=H1455/G1455-1</f>
        <v>0.100591715976331</v>
      </c>
      <c r="B1455" s="20">
        <f>=F1455/12</f>
        <v>13.95</v>
      </c>
      <c r="C1455" s="20">
        <f>=J1455/3</f>
        <v>111.6</v>
      </c>
      <c r="D1455" s="20">
        <f>=K1455/3</f>
        <v>124</v>
      </c>
      <c r="E1455" s="20">
        <f>=L1455/3</f>
        <v>130.2</v>
      </c>
      <c r="F1455" s="20">
        <f>=H1455*0.9</f>
        <v>167.4</v>
      </c>
      <c r="G1455" s="21">
        <v>169</v>
      </c>
      <c r="H1455" s="39">
        <v>186</v>
      </c>
      <c r="I1455" s="40">
        <f>=H1455*1.05</f>
        <v>195.3</v>
      </c>
      <c r="J1455" s="40">
        <f>=F1455*2</f>
        <v>334.8</v>
      </c>
      <c r="K1455" s="40">
        <f>=H1455*2</f>
        <v>372</v>
      </c>
      <c r="L1455" s="40">
        <f>=I1455*2</f>
        <v>390.6</v>
      </c>
      <c r="M1455" s="73" t="s">
        <v>1522</v>
      </c>
      <c r="N1455" s="73">
        <v>0.102</v>
      </c>
      <c r="O1455" s="73" t="s"/>
      <c r="P1455" s="73" t="s">
        <v>21</v>
      </c>
      <c r="Q1455" s="73" t="s">
        <v>21</v>
      </c>
      <c r="R1455" s="73" t="s">
        <v>16</v>
      </c>
      <c r="S1455" s="73" t="s">
        <v>17</v>
      </c>
      <c r="T1455" s="73" t="s">
        <v>1098</v>
      </c>
      <c r="U1455" s="74" t="s">
        <v>13</v>
      </c>
      <c r="V1455" s="74" t="s">
        <v>1083</v>
      </c>
      <c r="W1455" s="143" t="s"/>
      <c r="X1455" s="26" t="s">
        <f>=M1455&amp;N1455&amp;P1455&amp;Q1455&amp;T1455&amp;V1455&amp;S1455</f>
        <v>1593</v>
      </c>
      <c r="Y1455" s="19" t="s"/>
      <c r="Z1455" s="19" t="s"/>
      <c r="AA1455" s="19" t="s"/>
      <c r="AB1455" s="19" t="s"/>
    </row>
    <row r="1456" spans="1:28" ht="14.4">
      <c r="A1456" s="4">
        <f>=H1456/G1456-1</f>
        <v>0.101010101010101</v>
      </c>
      <c r="B1456" s="20">
        <f>=F1456/12</f>
        <v>16.35</v>
      </c>
      <c r="C1456" s="20">
        <f>=J1456/3</f>
        <v>130.8</v>
      </c>
      <c r="D1456" s="20">
        <f>=K1456/3</f>
        <v>145.333333333333</v>
      </c>
      <c r="E1456" s="20">
        <f>=L1456/3</f>
        <v>152.6</v>
      </c>
      <c r="F1456" s="20">
        <f>=H1456*0.9</f>
        <v>196.2</v>
      </c>
      <c r="G1456" s="21">
        <v>198</v>
      </c>
      <c r="H1456" s="39">
        <v>218</v>
      </c>
      <c r="I1456" s="40">
        <f>=H1456*1.05</f>
        <v>228.9</v>
      </c>
      <c r="J1456" s="40">
        <f>=F1456*2</f>
        <v>392.4</v>
      </c>
      <c r="K1456" s="40">
        <f>=H1456*2</f>
        <v>436</v>
      </c>
      <c r="L1456" s="40">
        <f>=I1456*2</f>
        <v>457.8</v>
      </c>
      <c r="M1456" s="41" t="s">
        <v>1522</v>
      </c>
      <c r="N1456" s="41">
        <v>0.102</v>
      </c>
      <c r="O1456" s="41" t="s"/>
      <c r="P1456" s="41" t="s">
        <v>21</v>
      </c>
      <c r="Q1456" s="41" t="s">
        <v>21</v>
      </c>
      <c r="R1456" s="41" t="s">
        <v>16</v>
      </c>
      <c r="S1456" s="41" t="s">
        <v>17</v>
      </c>
      <c r="T1456" s="41" t="s">
        <v>1078</v>
      </c>
      <c r="U1456" s="16" t="s">
        <v>13</v>
      </c>
      <c r="V1456" s="16" t="s">
        <v>1227</v>
      </c>
      <c r="W1456" s="19" t="s"/>
      <c r="X1456" s="26" t="s">
        <f>=M1456&amp;N1456&amp;P1456&amp;Q1456&amp;T1456&amp;V1456&amp;S1456</f>
        <v>1594</v>
      </c>
      <c r="Y1456" s="19" t="s"/>
      <c r="Z1456" s="19" t="s"/>
      <c r="AA1456" s="19" t="s"/>
      <c r="AB1456" s="19" t="s"/>
    </row>
    <row r="1457" spans="1:28" ht="14.4">
      <c r="A1457" s="4">
        <f>=H1457/G1457-1</f>
        <v>0.101449275362319</v>
      </c>
      <c r="B1457" s="20">
        <f>=F1457/12</f>
        <v>17.1</v>
      </c>
      <c r="C1457" s="20">
        <f>=J1457/3</f>
        <v>136.8</v>
      </c>
      <c r="D1457" s="20">
        <f>=K1457/3</f>
        <v>152</v>
      </c>
      <c r="E1457" s="20">
        <f>=L1457/3</f>
        <v>159.6</v>
      </c>
      <c r="F1457" s="20">
        <f>=H1457*0.9</f>
        <v>205.2</v>
      </c>
      <c r="G1457" s="21">
        <v>207</v>
      </c>
      <c r="H1457" s="39">
        <v>228</v>
      </c>
      <c r="I1457" s="40">
        <f>=H1457*1.05</f>
        <v>239.4</v>
      </c>
      <c r="J1457" s="40">
        <f>=F1457*2</f>
        <v>410.4</v>
      </c>
      <c r="K1457" s="40">
        <f>=H1457*2</f>
        <v>456</v>
      </c>
      <c r="L1457" s="40">
        <f>=I1457*2</f>
        <v>478.8</v>
      </c>
      <c r="M1457" s="41" t="s">
        <v>1522</v>
      </c>
      <c r="N1457" s="41">
        <v>0.102</v>
      </c>
      <c r="O1457" s="41" t="s"/>
      <c r="P1457" s="41" t="s">
        <v>21</v>
      </c>
      <c r="Q1457" s="41" t="s">
        <v>21</v>
      </c>
      <c r="R1457" s="41" t="s">
        <v>16</v>
      </c>
      <c r="S1457" s="41" t="s">
        <v>17</v>
      </c>
      <c r="T1457" s="41" t="s">
        <v>1078</v>
      </c>
      <c r="U1457" s="16" t="s">
        <v>13</v>
      </c>
      <c r="V1457" s="16" t="s">
        <v>1446</v>
      </c>
      <c r="W1457" s="19" t="s"/>
      <c r="X1457" s="26" t="s">
        <f>=M1457&amp;N1457&amp;P1457&amp;Q1457&amp;T1457&amp;V1457&amp;S1457</f>
        <v>1595</v>
      </c>
      <c r="Y1457" s="19" t="s"/>
      <c r="Z1457" s="19" t="s"/>
      <c r="AA1457" s="19" t="s"/>
      <c r="AB1457" s="19" t="s"/>
    </row>
    <row r="1458" spans="1:28" ht="14.4">
      <c r="A1458" s="4">
        <f>=H1458/G1458-1</f>
        <v>0.098901098901099</v>
      </c>
      <c r="B1458" s="20">
        <f>=F1458/12</f>
        <v>15</v>
      </c>
      <c r="C1458" s="20">
        <f>=J1458/3</f>
        <v>120</v>
      </c>
      <c r="D1458" s="20">
        <f>=K1458/3</f>
        <v>133.333333333333</v>
      </c>
      <c r="E1458" s="20">
        <f>=L1458/3</f>
        <v>140</v>
      </c>
      <c r="F1458" s="20">
        <f>=H1458*0.9</f>
        <v>180</v>
      </c>
      <c r="G1458" s="21">
        <v>182</v>
      </c>
      <c r="H1458" s="39">
        <v>200</v>
      </c>
      <c r="I1458" s="40">
        <f>=H1458*1.05</f>
        <v>210</v>
      </c>
      <c r="J1458" s="40">
        <f>=F1458*2</f>
        <v>360</v>
      </c>
      <c r="K1458" s="40">
        <f>=H1458*2</f>
        <v>400</v>
      </c>
      <c r="L1458" s="40">
        <f>=I1458*2</f>
        <v>420</v>
      </c>
      <c r="M1458" s="41" t="s">
        <v>1522</v>
      </c>
      <c r="N1458" s="41">
        <v>0.102</v>
      </c>
      <c r="O1458" s="41" t="s"/>
      <c r="P1458" s="41" t="s">
        <v>21</v>
      </c>
      <c r="Q1458" s="41" t="s">
        <v>21</v>
      </c>
      <c r="R1458" s="41" t="s">
        <v>16</v>
      </c>
      <c r="S1458" s="41" t="s">
        <v>17</v>
      </c>
      <c r="T1458" s="41" t="s">
        <v>1078</v>
      </c>
      <c r="U1458" s="16" t="s">
        <v>13</v>
      </c>
      <c r="V1458" s="16" t="s">
        <v>1083</v>
      </c>
      <c r="W1458" s="19" t="s"/>
      <c r="X1458" s="26" t="s">
        <f>=M1458&amp;N1458&amp;P1458&amp;Q1458&amp;T1458&amp;V1458&amp;S1458</f>
        <v>1596</v>
      </c>
      <c r="Y1458" s="19" t="s"/>
      <c r="Z1458" s="19" t="s"/>
      <c r="AA1458" s="19" t="s"/>
      <c r="AB1458" s="19" t="s"/>
    </row>
    <row r="1459" spans="1:28" ht="14.4">
      <c r="A1459" s="4">
        <f>=H1459/G1459-1</f>
        <v>0.1</v>
      </c>
      <c r="B1459" s="20">
        <f>=F1459/12</f>
        <v>27.225</v>
      </c>
      <c r="C1459" s="20">
        <f>=J1459/3</f>
        <v>217.8</v>
      </c>
      <c r="D1459" s="20">
        <f>=K1459/3</f>
        <v>242</v>
      </c>
      <c r="E1459" s="20">
        <f>=L1459/3</f>
        <v>254.1</v>
      </c>
      <c r="F1459" s="20">
        <f>=H1459*0.9</f>
        <v>326.7</v>
      </c>
      <c r="G1459" s="21">
        <v>330</v>
      </c>
      <c r="H1459" s="39">
        <v>363</v>
      </c>
      <c r="I1459" s="40">
        <f>=H1459*1.05</f>
        <v>381.15</v>
      </c>
      <c r="J1459" s="40">
        <f>=F1459*2</f>
        <v>653.4</v>
      </c>
      <c r="K1459" s="40">
        <f>=H1459*2</f>
        <v>726</v>
      </c>
      <c r="L1459" s="40">
        <f>=I1459*2</f>
        <v>762.3</v>
      </c>
      <c r="M1459" s="41" t="s">
        <v>1522</v>
      </c>
      <c r="N1459" s="41">
        <v>0.089</v>
      </c>
      <c r="O1459" s="41" t="s"/>
      <c r="P1459" s="41">
        <v>2</v>
      </c>
      <c r="Q1459" s="41">
        <v>2</v>
      </c>
      <c r="R1459" s="41" t="s">
        <v>16</v>
      </c>
      <c r="S1459" s="41" t="s">
        <v>17</v>
      </c>
      <c r="T1459" s="41" t="s">
        <v>225</v>
      </c>
      <c r="U1459" s="16" t="s">
        <v>13</v>
      </c>
      <c r="V1459" s="16" t="s">
        <v>215</v>
      </c>
      <c r="W1459" s="19" t="s"/>
      <c r="X1459" s="142" t="s">
        <f>=M1459&amp;N1459&amp;P1459&amp;Q1459&amp;T1459&amp;V1459&amp;S1459</f>
        <v>1597</v>
      </c>
      <c r="Y1459" s="143" t="s"/>
      <c r="Z1459" s="143" t="s"/>
      <c r="AA1459" s="143" t="s"/>
      <c r="AB1459" s="143" t="s"/>
    </row>
    <row r="1460" spans="1:28" ht="14.4">
      <c r="A1460" s="4">
        <f>=H1460/G1460-1</f>
        <v>0.0990099009900991</v>
      </c>
      <c r="B1460" s="20">
        <f>=F1460/12</f>
        <v>24.975</v>
      </c>
      <c r="C1460" s="20">
        <f>=J1460/3</f>
        <v>199.8</v>
      </c>
      <c r="D1460" s="20">
        <f>=K1460/3</f>
        <v>222</v>
      </c>
      <c r="E1460" s="20">
        <f>=L1460/3</f>
        <v>233.1</v>
      </c>
      <c r="F1460" s="20">
        <f>=H1460*0.9</f>
        <v>299.7</v>
      </c>
      <c r="G1460" s="21">
        <v>303</v>
      </c>
      <c r="H1460" s="39">
        <v>333</v>
      </c>
      <c r="I1460" s="40">
        <f>=H1460*1.05</f>
        <v>349.65</v>
      </c>
      <c r="J1460" s="40">
        <f>=F1460*2</f>
        <v>599.4</v>
      </c>
      <c r="K1460" s="40">
        <f>=H1460*2</f>
        <v>666</v>
      </c>
      <c r="L1460" s="40">
        <f>=I1460*2</f>
        <v>699.3</v>
      </c>
      <c r="M1460" s="41" t="s">
        <v>1522</v>
      </c>
      <c r="N1460" s="41">
        <v>0.127</v>
      </c>
      <c r="O1460" s="41">
        <v>0.127</v>
      </c>
      <c r="P1460" s="41">
        <v>1</v>
      </c>
      <c r="Q1460" s="41">
        <v>1</v>
      </c>
      <c r="R1460" s="41" t="s">
        <v>16</v>
      </c>
      <c r="S1460" s="41" t="s">
        <v>17</v>
      </c>
      <c r="T1460" s="41" t="s">
        <v>23</v>
      </c>
      <c r="U1460" s="16" t="s">
        <v>13</v>
      </c>
      <c r="V1460" s="16" t="s">
        <v>1446</v>
      </c>
      <c r="W1460" s="19" t="s"/>
      <c r="X1460" s="37" t="s">
        <f>=M1460&amp;N1460&amp;P1460&amp;Q1460&amp;T1460&amp;V1460&amp;S1460</f>
        <v>1598</v>
      </c>
      <c r="Y1460" s="38" t="s"/>
      <c r="Z1460" s="38" t="s"/>
      <c r="AA1460" s="38" t="s"/>
      <c r="AB1460" s="38" t="s"/>
    </row>
    <row r="1461" spans="1:28" ht="14.4">
      <c r="A1461" s="4">
        <f>=H1461/G1461-1</f>
        <v>0.10079575596817</v>
      </c>
      <c r="B1461" s="20">
        <f>=F1461/12</f>
        <v>31.125</v>
      </c>
      <c r="C1461" s="20">
        <f>=J1461/3</f>
        <v>249</v>
      </c>
      <c r="D1461" s="20">
        <f>=K1461/3</f>
        <v>276.666666666667</v>
      </c>
      <c r="E1461" s="20">
        <f>=L1461/3</f>
        <v>290.5</v>
      </c>
      <c r="F1461" s="20">
        <f>=H1461*0.9</f>
        <v>373.5</v>
      </c>
      <c r="G1461" s="21">
        <v>377</v>
      </c>
      <c r="H1461" s="39">
        <v>415</v>
      </c>
      <c r="I1461" s="40">
        <f>=H1461*1.05</f>
        <v>435.75</v>
      </c>
      <c r="J1461" s="40">
        <f>=F1461*2</f>
        <v>747</v>
      </c>
      <c r="K1461" s="40">
        <f>=H1461*2</f>
        <v>830</v>
      </c>
      <c r="L1461" s="40">
        <f>=I1461*2</f>
        <v>871.5</v>
      </c>
      <c r="M1461" s="41" t="s">
        <v>1522</v>
      </c>
      <c r="N1461" s="41">
        <v>0.127</v>
      </c>
      <c r="O1461" s="41">
        <v>0.127</v>
      </c>
      <c r="P1461" s="41">
        <v>1</v>
      </c>
      <c r="Q1461" s="41">
        <v>2</v>
      </c>
      <c r="R1461" s="41" t="s">
        <v>16</v>
      </c>
      <c r="S1461" s="41" t="s">
        <v>17</v>
      </c>
      <c r="T1461" s="41" t="s">
        <v>43</v>
      </c>
      <c r="U1461" s="16" t="s">
        <v>13</v>
      </c>
      <c r="V1461" s="16" t="s">
        <v>1474</v>
      </c>
      <c r="W1461" s="19" t="s"/>
      <c r="X1461" s="26" t="s">
        <f>=M1461&amp;N1461&amp;P1461&amp;Q1461&amp;T1461&amp;V1461&amp;S1461</f>
        <v>1599</v>
      </c>
      <c r="Y1461" s="19" t="s"/>
      <c r="Z1461" s="19" t="s"/>
      <c r="AA1461" s="19" t="s"/>
      <c r="AB1461" s="19" t="s"/>
    </row>
    <row r="1462" spans="1:28" ht="14.4">
      <c r="A1462" s="4">
        <f>=H1462/G1462-1</f>
        <v>0.100574712643678</v>
      </c>
      <c r="B1462" s="20">
        <f>=F1462/12</f>
        <v>28.725</v>
      </c>
      <c r="C1462" s="20">
        <f>=J1462/3</f>
        <v>229.8</v>
      </c>
      <c r="D1462" s="20">
        <f>=K1462/3</f>
        <v>255.333333333333</v>
      </c>
      <c r="E1462" s="20">
        <f>=L1462/3</f>
        <v>268.1</v>
      </c>
      <c r="F1462" s="20">
        <f>=H1462*0.9</f>
        <v>344.7</v>
      </c>
      <c r="G1462" s="21">
        <v>348</v>
      </c>
      <c r="H1462" s="39">
        <v>383</v>
      </c>
      <c r="I1462" s="40">
        <f>=H1462*1.05</f>
        <v>402.15</v>
      </c>
      <c r="J1462" s="40">
        <f>=F1462*2</f>
        <v>689.4</v>
      </c>
      <c r="K1462" s="40">
        <f>=H1462*2</f>
        <v>766</v>
      </c>
      <c r="L1462" s="40">
        <f>=I1462*2</f>
        <v>804.3</v>
      </c>
      <c r="M1462" s="41" t="s">
        <v>1522</v>
      </c>
      <c r="N1462" s="41">
        <v>0.127</v>
      </c>
      <c r="O1462" s="41">
        <v>0.127</v>
      </c>
      <c r="P1462" s="41">
        <v>1</v>
      </c>
      <c r="Q1462" s="41">
        <v>2</v>
      </c>
      <c r="R1462" s="41" t="s">
        <v>16</v>
      </c>
      <c r="S1462" s="41" t="s">
        <v>17</v>
      </c>
      <c r="T1462" s="41" t="s">
        <v>1080</v>
      </c>
      <c r="U1462" s="16" t="s">
        <v>13</v>
      </c>
      <c r="V1462" s="16" t="s">
        <v>1474</v>
      </c>
      <c r="W1462" s="19" t="s"/>
      <c r="X1462" s="26" t="s">
        <f>=M1462&amp;N1462&amp;P1462&amp;Q1462&amp;T1462&amp;V1462&amp;S1462</f>
        <v>1600</v>
      </c>
      <c r="Y1462" s="19" t="s"/>
      <c r="Z1462" s="19" t="s"/>
      <c r="AA1462" s="19" t="s"/>
      <c r="AB1462" s="19" t="s"/>
    </row>
    <row r="1463" spans="1:28" ht="14.4">
      <c r="A1463" s="4">
        <f>=H1463/G1463-1</f>
        <v>0.0988700564971752</v>
      </c>
      <c r="B1463" s="20">
        <f>=F1463/12</f>
        <v>29.175</v>
      </c>
      <c r="C1463" s="20">
        <f>=J1463/3</f>
        <v>233.4</v>
      </c>
      <c r="D1463" s="20">
        <f>=K1463/3</f>
        <v>259.333333333333</v>
      </c>
      <c r="E1463" s="20">
        <f>=L1463/3</f>
        <v>272.3</v>
      </c>
      <c r="F1463" s="20">
        <f>=H1463*0.9</f>
        <v>350.1</v>
      </c>
      <c r="G1463" s="21">
        <v>354</v>
      </c>
      <c r="H1463" s="39">
        <v>389</v>
      </c>
      <c r="I1463" s="40">
        <f>=H1463*1.05</f>
        <v>408.45</v>
      </c>
      <c r="J1463" s="40">
        <f>=F1463*2</f>
        <v>700.2</v>
      </c>
      <c r="K1463" s="40">
        <f>=H1463*2</f>
        <v>778</v>
      </c>
      <c r="L1463" s="40">
        <f>=I1463*2</f>
        <v>816.9</v>
      </c>
      <c r="M1463" s="41" t="s">
        <v>1522</v>
      </c>
      <c r="N1463" s="41">
        <v>0.127</v>
      </c>
      <c r="O1463" s="41">
        <v>0.127</v>
      </c>
      <c r="P1463" s="41">
        <v>1</v>
      </c>
      <c r="Q1463" s="41">
        <v>2</v>
      </c>
      <c r="R1463" s="41" t="s">
        <v>16</v>
      </c>
      <c r="S1463" s="41" t="s">
        <v>17</v>
      </c>
      <c r="T1463" s="41" t="s">
        <v>23</v>
      </c>
      <c r="U1463" s="16" t="s">
        <v>13</v>
      </c>
      <c r="V1463" s="16" t="s">
        <v>1474</v>
      </c>
      <c r="W1463" s="19" t="s"/>
      <c r="X1463" s="26" t="s">
        <f>=M1463&amp;N1463&amp;P1463&amp;Q1463&amp;T1463&amp;V1463&amp;S1463</f>
        <v>1601</v>
      </c>
      <c r="Y1463" s="19" t="s"/>
      <c r="Z1463" s="19" t="s"/>
      <c r="AA1463" s="19" t="s"/>
      <c r="AB1463" s="19" t="s"/>
    </row>
    <row r="1464" spans="1:28" ht="14.4">
      <c r="A1464" s="4">
        <f>=H1464/G1464-1</f>
        <v>0.0984848484848484</v>
      </c>
      <c r="B1464" s="20">
        <f>=F1464/12</f>
        <v>21.75</v>
      </c>
      <c r="C1464" s="20">
        <f>=J1464/3</f>
        <v>174</v>
      </c>
      <c r="D1464" s="20">
        <f>=K1464/3</f>
        <v>193.333333333333</v>
      </c>
      <c r="E1464" s="20">
        <f>=L1464/3</f>
        <v>203</v>
      </c>
      <c r="F1464" s="20">
        <f>=H1464*0.9</f>
        <v>261</v>
      </c>
      <c r="G1464" s="21">
        <v>264</v>
      </c>
      <c r="H1464" s="39">
        <v>290</v>
      </c>
      <c r="I1464" s="40">
        <f>=H1464*1.05</f>
        <v>304.5</v>
      </c>
      <c r="J1464" s="40">
        <f>=F1464*2</f>
        <v>522</v>
      </c>
      <c r="K1464" s="40">
        <f>=H1464*2</f>
        <v>580</v>
      </c>
      <c r="L1464" s="40">
        <f>=I1464*2</f>
        <v>609</v>
      </c>
      <c r="M1464" s="41" t="s">
        <v>1522</v>
      </c>
      <c r="N1464" s="41">
        <v>0.127</v>
      </c>
      <c r="O1464" s="41">
        <v>0.127</v>
      </c>
      <c r="P1464" s="41">
        <v>1</v>
      </c>
      <c r="Q1464" s="41">
        <v>1</v>
      </c>
      <c r="R1464" s="41" t="s">
        <v>16</v>
      </c>
      <c r="S1464" s="41" t="s">
        <v>17</v>
      </c>
      <c r="T1464" s="41" t="s">
        <v>43</v>
      </c>
      <c r="U1464" s="16" t="s">
        <v>13</v>
      </c>
      <c r="V1464" s="16" t="s">
        <v>1083</v>
      </c>
      <c r="W1464" s="19" t="s"/>
      <c r="X1464" s="26" t="s">
        <f>=M1464&amp;N1464&amp;P1464&amp;Q1464&amp;T1464&amp;V1464&amp;S1464</f>
        <v>1602</v>
      </c>
      <c r="Y1464" s="19" t="s"/>
      <c r="Z1464" s="19" t="s"/>
      <c r="AA1464" s="19" t="s"/>
      <c r="AB1464" s="19" t="s"/>
    </row>
    <row r="1465" spans="1:28" ht="14.4">
      <c r="A1465" s="4">
        <f>=H1465/G1465-1</f>
        <v>0.101123595505618</v>
      </c>
      <c r="B1465" s="20">
        <f>=F1465/12</f>
        <v>22.05</v>
      </c>
      <c r="C1465" s="20">
        <f>=J1465/3</f>
        <v>176.4</v>
      </c>
      <c r="D1465" s="20">
        <f>=K1465/3</f>
        <v>196</v>
      </c>
      <c r="E1465" s="20">
        <f>=L1465/3</f>
        <v>205.8</v>
      </c>
      <c r="F1465" s="20">
        <f>=H1465*0.9</f>
        <v>264.6</v>
      </c>
      <c r="G1465" s="21">
        <v>267</v>
      </c>
      <c r="H1465" s="39">
        <v>294</v>
      </c>
      <c r="I1465" s="40">
        <f>=H1465*1.05</f>
        <v>308.7</v>
      </c>
      <c r="J1465" s="40">
        <f>=F1465*2</f>
        <v>529.2</v>
      </c>
      <c r="K1465" s="40">
        <f>=H1465*2</f>
        <v>588</v>
      </c>
      <c r="L1465" s="40">
        <f>=I1465*2</f>
        <v>617.4</v>
      </c>
      <c r="M1465" s="73" t="s">
        <v>1522</v>
      </c>
      <c r="N1465" s="73">
        <v>0.127</v>
      </c>
      <c r="O1465" s="73" t="s"/>
      <c r="P1465" s="73">
        <v>1</v>
      </c>
      <c r="Q1465" s="73">
        <v>1</v>
      </c>
      <c r="R1465" s="73" t="s">
        <v>16</v>
      </c>
      <c r="S1465" s="73" t="s">
        <v>17</v>
      </c>
      <c r="T1465" s="73" t="s">
        <v>1080</v>
      </c>
      <c r="U1465" s="74" t="s">
        <v>13</v>
      </c>
      <c r="V1465" s="74" t="s">
        <v>1083</v>
      </c>
      <c r="W1465" s="153" t="s"/>
      <c r="X1465" s="26" t="s">
        <f>=M1465&amp;N1465&amp;P1465&amp;Q1465&amp;T1465&amp;V1465&amp;S1465</f>
        <v>1603</v>
      </c>
      <c r="Y1465" s="19" t="s"/>
      <c r="Z1465" s="19" t="s"/>
      <c r="AA1465" s="19" t="s"/>
      <c r="AB1465" s="19" t="s"/>
    </row>
    <row r="1466" spans="1:28" ht="14.4">
      <c r="A1466" s="4">
        <f>=H1466/G1466-1</f>
        <v>0.101083032490975</v>
      </c>
      <c r="B1466" s="20">
        <f>=F1466/12</f>
        <v>22.875</v>
      </c>
      <c r="C1466" s="20">
        <f>=J1466/3</f>
        <v>183</v>
      </c>
      <c r="D1466" s="20">
        <f>=K1466/3</f>
        <v>203.333333333333</v>
      </c>
      <c r="E1466" s="20">
        <f>=L1466/3</f>
        <v>213.5</v>
      </c>
      <c r="F1466" s="20">
        <f>=H1466*0.9</f>
        <v>274.5</v>
      </c>
      <c r="G1466" s="21">
        <v>277</v>
      </c>
      <c r="H1466" s="39">
        <v>305</v>
      </c>
      <c r="I1466" s="40">
        <f>=H1466*1.05</f>
        <v>320.25</v>
      </c>
      <c r="J1466" s="40">
        <f>=F1466*2</f>
        <v>549</v>
      </c>
      <c r="K1466" s="40">
        <f>=H1466*2</f>
        <v>610</v>
      </c>
      <c r="L1466" s="40">
        <f>=I1466*2</f>
        <v>640.5</v>
      </c>
      <c r="M1466" s="41" t="s">
        <v>1522</v>
      </c>
      <c r="N1466" s="41">
        <v>0.127</v>
      </c>
      <c r="O1466" s="41" t="s"/>
      <c r="P1466" s="41">
        <v>1</v>
      </c>
      <c r="Q1466" s="41">
        <v>2</v>
      </c>
      <c r="R1466" s="41" t="s">
        <v>16</v>
      </c>
      <c r="S1466" s="41" t="s">
        <v>17</v>
      </c>
      <c r="T1466" s="41" t="s">
        <v>1080</v>
      </c>
      <c r="U1466" s="16" t="s">
        <v>13</v>
      </c>
      <c r="V1466" s="16" t="s">
        <v>1604</v>
      </c>
      <c r="W1466" s="154" t="s"/>
      <c r="X1466" s="26" t="s">
        <f>=M1466&amp;N1466&amp;P1466&amp;Q1466&amp;T1466&amp;V1466&amp;S1466</f>
        <v>1605</v>
      </c>
      <c r="Y1466" s="19" t="s"/>
      <c r="Z1466" s="19" t="s"/>
      <c r="AA1466" s="19" t="s"/>
      <c r="AB1466" s="19" t="s"/>
    </row>
    <row r="1467" spans="1:28" ht="14.4">
      <c r="A1467" s="4">
        <f>=H1467/G1467-1</f>
        <v>0.1</v>
      </c>
      <c r="B1467" s="20">
        <f>=F1467/12</f>
        <v>22.275</v>
      </c>
      <c r="C1467" s="20">
        <f>=J1467/3</f>
        <v>178.2</v>
      </c>
      <c r="D1467" s="20">
        <f>=K1467/3</f>
        <v>198</v>
      </c>
      <c r="E1467" s="20">
        <f>=L1467/3</f>
        <v>207.9</v>
      </c>
      <c r="F1467" s="20">
        <f>=H1467*0.9</f>
        <v>267.3</v>
      </c>
      <c r="G1467" s="21">
        <v>270</v>
      </c>
      <c r="H1467" s="39">
        <v>297</v>
      </c>
      <c r="I1467" s="40">
        <f>=H1467*1.05</f>
        <v>311.85</v>
      </c>
      <c r="J1467" s="40">
        <f>=F1467*2</f>
        <v>534.6</v>
      </c>
      <c r="K1467" s="40">
        <f>=H1467*2</f>
        <v>594</v>
      </c>
      <c r="L1467" s="40">
        <f>=I1467*2</f>
        <v>623.7</v>
      </c>
      <c r="M1467" s="41" t="s">
        <v>1522</v>
      </c>
      <c r="N1467" s="41">
        <v>0.127</v>
      </c>
      <c r="O1467" s="41" t="s"/>
      <c r="P1467" s="41">
        <v>1</v>
      </c>
      <c r="Q1467" s="41">
        <v>1</v>
      </c>
      <c r="R1467" s="41" t="s">
        <v>16</v>
      </c>
      <c r="S1467" s="41" t="s">
        <v>17</v>
      </c>
      <c r="T1467" s="41" t="s">
        <v>23</v>
      </c>
      <c r="U1467" s="16" t="s">
        <v>13</v>
      </c>
      <c r="V1467" s="16" t="s">
        <v>1083</v>
      </c>
      <c r="W1467" s="5" t="s"/>
      <c r="X1467" s="26" t="s">
        <f>=M1467&amp;N1467&amp;P1467&amp;Q1467&amp;T1467&amp;V1467&amp;S1467</f>
        <v>1606</v>
      </c>
      <c r="Y1467" s="19" t="s"/>
      <c r="Z1467" s="19" t="s"/>
      <c r="AA1467" s="19" t="s"/>
      <c r="AB1467" s="19" t="s"/>
    </row>
    <row r="1468" spans="1:28" ht="14.4">
      <c r="A1468" s="4">
        <f>=H1468/G1468-1</f>
        <v>0.100217864923747</v>
      </c>
      <c r="B1468" s="20">
        <f>=F1468/12</f>
        <v>37.875</v>
      </c>
      <c r="C1468" s="20">
        <f>=J1468/3</f>
        <v>303</v>
      </c>
      <c r="D1468" s="20">
        <f>=K1468/3</f>
        <v>336.666666666667</v>
      </c>
      <c r="E1468" s="20">
        <f>=L1468/3</f>
        <v>353.5</v>
      </c>
      <c r="F1468" s="20">
        <f>=H1468*0.9</f>
        <v>454.5</v>
      </c>
      <c r="G1468" s="21">
        <v>459</v>
      </c>
      <c r="H1468" s="39">
        <v>505</v>
      </c>
      <c r="I1468" s="40">
        <f>=H1468*1.05</f>
        <v>530.25</v>
      </c>
      <c r="J1468" s="40">
        <f>=F1468*2</f>
        <v>909</v>
      </c>
      <c r="K1468" s="40">
        <f>=H1468*2</f>
        <v>1010</v>
      </c>
      <c r="L1468" s="40">
        <f>=I1468*2</f>
        <v>1060.5</v>
      </c>
      <c r="M1468" s="41" t="s">
        <v>1522</v>
      </c>
      <c r="N1468" s="41">
        <v>0.127</v>
      </c>
      <c r="O1468" s="41" t="s"/>
      <c r="P1468" s="41">
        <v>2</v>
      </c>
      <c r="Q1468" s="41">
        <v>2</v>
      </c>
      <c r="R1468" s="41" t="s">
        <v>16</v>
      </c>
      <c r="S1468" s="41" t="s">
        <v>17</v>
      </c>
      <c r="T1468" s="41" t="s">
        <v>654</v>
      </c>
      <c r="U1468" s="16" t="s">
        <v>13</v>
      </c>
      <c r="V1468" s="16" t="s">
        <v>215</v>
      </c>
      <c r="W1468" s="155">
        <v>46112</v>
      </c>
      <c r="X1468" s="26" t="s">
        <f>=M1468&amp;N1468&amp;P1468&amp;Q1468&amp;T1468&amp;V1468&amp;S1468</f>
        <v>1607</v>
      </c>
      <c r="Y1468" s="19" t="s"/>
      <c r="Z1468" s="19" t="s"/>
      <c r="AA1468" s="19" t="s"/>
      <c r="AB1468" s="19" t="s"/>
    </row>
    <row r="1469" spans="1:28" ht="14.4">
      <c r="A1469" s="4">
        <f>=H1469/G1469-1</f>
        <v>0.100278551532033</v>
      </c>
      <c r="B1469" s="20">
        <f>=F1469/12</f>
        <v>29.625</v>
      </c>
      <c r="C1469" s="20">
        <f>=J1469/3</f>
        <v>237</v>
      </c>
      <c r="D1469" s="20">
        <f>=K1469/3</f>
        <v>263.333333333333</v>
      </c>
      <c r="E1469" s="20">
        <f>=L1469/3</f>
        <v>276.5</v>
      </c>
      <c r="F1469" s="20">
        <f>=H1469*0.9</f>
        <v>355.5</v>
      </c>
      <c r="G1469" s="21">
        <v>359</v>
      </c>
      <c r="H1469" s="39">
        <v>395</v>
      </c>
      <c r="I1469" s="40">
        <f>=H1469*1.05</f>
        <v>414.75</v>
      </c>
      <c r="J1469" s="40">
        <f>=F1469*2</f>
        <v>711</v>
      </c>
      <c r="K1469" s="40">
        <f>=H1469*2</f>
        <v>790</v>
      </c>
      <c r="L1469" s="40">
        <f>=I1469*2</f>
        <v>829.5</v>
      </c>
      <c r="M1469" s="41" t="s">
        <v>1522</v>
      </c>
      <c r="N1469" s="41">
        <v>0.127</v>
      </c>
      <c r="O1469" s="41" t="s"/>
      <c r="P1469" s="41">
        <v>2</v>
      </c>
      <c r="Q1469" s="41">
        <v>2</v>
      </c>
      <c r="R1469" s="41" t="s">
        <v>16</v>
      </c>
      <c r="S1469" s="41" t="s">
        <v>17</v>
      </c>
      <c r="T1469" s="41" t="s">
        <v>1080</v>
      </c>
      <c r="U1469" s="16" t="s">
        <v>13</v>
      </c>
      <c r="V1469" s="16" t="s">
        <v>215</v>
      </c>
      <c r="W1469" s="5" t="s"/>
      <c r="X1469" s="26" t="s">
        <f>=M1469&amp;N1469&amp;P1469&amp;Q1469&amp;T1469&amp;V1469&amp;S1469</f>
        <v>1608</v>
      </c>
      <c r="Y1469" s="19" t="s"/>
      <c r="Z1469" s="19" t="s"/>
      <c r="AA1469" s="19" t="s"/>
      <c r="AB1469" s="19" t="s"/>
    </row>
    <row r="1470" spans="1:28" ht="14.4">
      <c r="A1470" s="4">
        <f>=H1470/G1470-1</f>
        <v>0.1</v>
      </c>
      <c r="B1470" s="20">
        <f>=F1470/12</f>
        <v>28.05</v>
      </c>
      <c r="C1470" s="20">
        <f>=J1470/3</f>
        <v>224.4</v>
      </c>
      <c r="D1470" s="20">
        <f>=K1470/3</f>
        <v>249.333333333333</v>
      </c>
      <c r="E1470" s="20">
        <f>=L1470/3</f>
        <v>261.8</v>
      </c>
      <c r="F1470" s="20">
        <f>=H1470*0.9</f>
        <v>336.6</v>
      </c>
      <c r="G1470" s="21">
        <v>340</v>
      </c>
      <c r="H1470" s="39">
        <v>374</v>
      </c>
      <c r="I1470" s="40">
        <f>=H1470*1.05</f>
        <v>392.7</v>
      </c>
      <c r="J1470" s="40">
        <f>=F1470*2</f>
        <v>673.2</v>
      </c>
      <c r="K1470" s="40">
        <f>=H1470*2</f>
        <v>748</v>
      </c>
      <c r="L1470" s="40">
        <f>=I1470*2</f>
        <v>785.4</v>
      </c>
      <c r="M1470" s="41" t="s">
        <v>1522</v>
      </c>
      <c r="N1470" s="41">
        <v>0.127</v>
      </c>
      <c r="O1470" s="41" t="s"/>
      <c r="P1470" s="41">
        <v>2</v>
      </c>
      <c r="Q1470" s="41">
        <v>2</v>
      </c>
      <c r="R1470" s="41" t="s">
        <v>16</v>
      </c>
      <c r="S1470" s="41" t="s">
        <v>17</v>
      </c>
      <c r="T1470" s="41" t="s">
        <v>23</v>
      </c>
      <c r="U1470" s="16" t="s">
        <v>13</v>
      </c>
      <c r="V1470" s="16" t="s">
        <v>215</v>
      </c>
      <c r="W1470" s="5" t="s"/>
      <c r="X1470" s="26" t="s">
        <f>=M1470&amp;N1470&amp;P1470&amp;Q1470&amp;T1470&amp;V1470&amp;S1470</f>
        <v>1609</v>
      </c>
      <c r="Y1470" s="19" t="s"/>
      <c r="Z1470" s="19" t="s"/>
      <c r="AA1470" s="19" t="s"/>
      <c r="AB1470" s="19" t="s"/>
    </row>
    <row r="1471" spans="1:28" ht="14.4">
      <c r="A1471" s="4">
        <f>=H1471/G1471-1</f>
        <v>0.098901098901099</v>
      </c>
      <c r="B1471" s="20">
        <f>=F1471/12</f>
        <v>22.5</v>
      </c>
      <c r="C1471" s="20">
        <f>=J1471/3</f>
        <v>180</v>
      </c>
      <c r="D1471" s="20">
        <f>=K1471/3</f>
        <v>200</v>
      </c>
      <c r="E1471" s="20">
        <f>=L1471/3</f>
        <v>210</v>
      </c>
      <c r="F1471" s="20">
        <f>=H1471*0.9</f>
        <v>270</v>
      </c>
      <c r="G1471" s="21">
        <v>273</v>
      </c>
      <c r="H1471" s="39">
        <v>300</v>
      </c>
      <c r="I1471" s="40">
        <f>=H1471*1.05</f>
        <v>315</v>
      </c>
      <c r="J1471" s="40">
        <f>=F1471*2</f>
        <v>540</v>
      </c>
      <c r="K1471" s="40">
        <f>=H1471*2</f>
        <v>600</v>
      </c>
      <c r="L1471" s="40">
        <f>=I1471*2</f>
        <v>630</v>
      </c>
      <c r="M1471" s="41" t="s">
        <v>1522</v>
      </c>
      <c r="N1471" s="41">
        <v>0.127</v>
      </c>
      <c r="O1471" s="41" t="s"/>
      <c r="P1471" s="41">
        <v>1</v>
      </c>
      <c r="Q1471" s="41">
        <v>1</v>
      </c>
      <c r="R1471" s="41" t="s">
        <v>16</v>
      </c>
      <c r="S1471" s="41" t="s">
        <v>17</v>
      </c>
      <c r="T1471" s="41" t="s">
        <v>639</v>
      </c>
      <c r="U1471" s="16" t="s">
        <v>13</v>
      </c>
      <c r="V1471" s="16" t="s">
        <v>1083</v>
      </c>
      <c r="W1471" s="5" t="s"/>
      <c r="X1471" s="26" t="s">
        <f>=M1471&amp;N1471&amp;P1471&amp;Q1471&amp;T1471&amp;V1471&amp;S1471</f>
        <v>1610</v>
      </c>
      <c r="Y1471" s="19" t="s"/>
      <c r="Z1471" s="19" t="s"/>
      <c r="AA1471" s="19" t="s"/>
      <c r="AB1471" s="19" t="s"/>
    </row>
    <row r="1472" spans="1:28" ht="14.4">
      <c r="A1472" s="4">
        <f>=H1472/G1472-1</f>
        <v>0.101307189542484</v>
      </c>
      <c r="B1472" s="20">
        <f>=F1472/12</f>
        <v>25.275</v>
      </c>
      <c r="C1472" s="20">
        <f>=J1472/3</f>
        <v>202.2</v>
      </c>
      <c r="D1472" s="20">
        <f>=K1472/3</f>
        <v>224.666666666667</v>
      </c>
      <c r="E1472" s="20">
        <f>=L1472/3</f>
        <v>235.9</v>
      </c>
      <c r="F1472" s="20">
        <f>=H1472*0.9</f>
        <v>303.3</v>
      </c>
      <c r="G1472" s="21">
        <v>306</v>
      </c>
      <c r="H1472" s="39">
        <v>337</v>
      </c>
      <c r="I1472" s="40">
        <f>=H1472*1.05</f>
        <v>353.85</v>
      </c>
      <c r="J1472" s="40">
        <f>=F1472*2</f>
        <v>606.6</v>
      </c>
      <c r="K1472" s="40">
        <f>=H1472*2</f>
        <v>674</v>
      </c>
      <c r="L1472" s="40">
        <f>=I1472*2</f>
        <v>707.7</v>
      </c>
      <c r="M1472" s="41" t="s">
        <v>1522</v>
      </c>
      <c r="N1472" s="41">
        <v>0.127</v>
      </c>
      <c r="O1472" s="41" t="s"/>
      <c r="P1472" s="41">
        <v>1</v>
      </c>
      <c r="Q1472" s="41">
        <v>1</v>
      </c>
      <c r="R1472" s="41" t="s">
        <v>16</v>
      </c>
      <c r="S1472" s="41" t="s">
        <v>17</v>
      </c>
      <c r="T1472" s="41" t="s">
        <v>654</v>
      </c>
      <c r="U1472" s="16" t="s">
        <v>13</v>
      </c>
      <c r="V1472" s="16" t="s">
        <v>1227</v>
      </c>
      <c r="W1472" s="155">
        <v>46112</v>
      </c>
      <c r="X1472" s="26" t="s">
        <f>=M1472&amp;N1472&amp;P1472&amp;Q1472&amp;T1472&amp;V1472&amp;S1472</f>
        <v>1611</v>
      </c>
      <c r="Y1472" s="19" t="s"/>
      <c r="Z1472" s="19" t="s"/>
      <c r="AA1472" s="19" t="s"/>
      <c r="AB1472" s="19" t="s"/>
    </row>
    <row r="1473" spans="1:28" ht="14.4">
      <c r="A1473" s="4">
        <f>=H1473/G1473-1</f>
        <v>0.101818181818182</v>
      </c>
      <c r="B1473" s="20">
        <f>=F1473/12</f>
        <v>22.725</v>
      </c>
      <c r="C1473" s="20">
        <f>=J1473/3</f>
        <v>181.8</v>
      </c>
      <c r="D1473" s="20">
        <f>=K1473/3</f>
        <v>202</v>
      </c>
      <c r="E1473" s="20">
        <f>=L1473/3</f>
        <v>212.1</v>
      </c>
      <c r="F1473" s="20">
        <f>=H1473*0.9</f>
        <v>272.7</v>
      </c>
      <c r="G1473" s="21">
        <v>275</v>
      </c>
      <c r="H1473" s="39">
        <v>303</v>
      </c>
      <c r="I1473" s="40">
        <f>=H1473*1.05</f>
        <v>318.15</v>
      </c>
      <c r="J1473" s="40">
        <f>=F1473*2</f>
        <v>545.4</v>
      </c>
      <c r="K1473" s="40">
        <f>=H1473*2</f>
        <v>606</v>
      </c>
      <c r="L1473" s="40">
        <f>=I1473*2</f>
        <v>636.3</v>
      </c>
      <c r="M1473" s="41" t="s">
        <v>1522</v>
      </c>
      <c r="N1473" s="41">
        <v>0.127</v>
      </c>
      <c r="O1473" s="41" t="s"/>
      <c r="P1473" s="41">
        <v>1</v>
      </c>
      <c r="Q1473" s="41">
        <v>1</v>
      </c>
      <c r="R1473" s="41" t="s">
        <v>16</v>
      </c>
      <c r="S1473" s="41" t="s">
        <v>17</v>
      </c>
      <c r="T1473" s="41" t="s">
        <v>1080</v>
      </c>
      <c r="U1473" s="16" t="s">
        <v>13</v>
      </c>
      <c r="V1473" s="16" t="s">
        <v>1545</v>
      </c>
      <c r="W1473" s="5" t="s"/>
      <c r="X1473" s="26" t="s">
        <f>=M1473&amp;N1473&amp;P1473&amp;Q1473&amp;T1473&amp;V1473&amp;S1473</f>
        <v>1612</v>
      </c>
      <c r="Y1473" s="19" t="s"/>
      <c r="Z1473" s="19" t="s"/>
      <c r="AA1473" s="19" t="s"/>
      <c r="AB1473" s="19" t="s"/>
    </row>
    <row r="1474" spans="1:28" ht="14.4">
      <c r="A1474" s="4">
        <f>=H1474/G1474-1</f>
        <v>0.101522842639594</v>
      </c>
      <c r="B1474" s="20">
        <f>=F1474/12</f>
        <v>16.275</v>
      </c>
      <c r="C1474" s="20">
        <f>=J1474/3</f>
        <v>130.2</v>
      </c>
      <c r="D1474" s="20">
        <f>=K1474/3</f>
        <v>144.666666666667</v>
      </c>
      <c r="E1474" s="20">
        <f>=L1474/3</f>
        <v>151.9</v>
      </c>
      <c r="F1474" s="20">
        <f>=H1474*0.9</f>
        <v>195.3</v>
      </c>
      <c r="G1474" s="21">
        <v>197</v>
      </c>
      <c r="H1474" s="39">
        <v>217</v>
      </c>
      <c r="I1474" s="40">
        <f>=H1474*1.05</f>
        <v>227.85</v>
      </c>
      <c r="J1474" s="40">
        <f>=F1474*2</f>
        <v>390.6</v>
      </c>
      <c r="K1474" s="40">
        <f>=H1474*2</f>
        <v>434</v>
      </c>
      <c r="L1474" s="40">
        <f>=I1474*2</f>
        <v>455.7</v>
      </c>
      <c r="M1474" s="41" t="s">
        <v>1522</v>
      </c>
      <c r="N1474" s="41">
        <v>0.127</v>
      </c>
      <c r="O1474" s="41">
        <v>0.13</v>
      </c>
      <c r="P1474" s="41" t="s">
        <v>21</v>
      </c>
      <c r="Q1474" s="41" t="s">
        <v>21</v>
      </c>
      <c r="R1474" s="41" t="s">
        <v>16</v>
      </c>
      <c r="S1474" s="41" t="s">
        <v>17</v>
      </c>
      <c r="T1474" s="41" t="s">
        <v>23</v>
      </c>
      <c r="U1474" s="16" t="s">
        <v>13</v>
      </c>
      <c r="V1474" s="16" t="s">
        <v>1083</v>
      </c>
      <c r="W1474" s="5" t="s"/>
      <c r="X1474" s="26" t="s">
        <f>=M1474&amp;N1474&amp;P1474&amp;Q1474&amp;T1474&amp;V1474&amp;S1474</f>
        <v>1613</v>
      </c>
      <c r="Y1474" s="19" t="s"/>
      <c r="Z1474" s="19" t="s"/>
      <c r="AA1474" s="19" t="s"/>
      <c r="AB1474" s="19" t="s"/>
    </row>
    <row r="1475" spans="1:28" ht="14.4">
      <c r="A1475" s="4">
        <f>=H1475/G1475-1</f>
        <v>0.100877192982456</v>
      </c>
      <c r="B1475" s="20">
        <f>=F1475/12</f>
        <v>18.825</v>
      </c>
      <c r="C1475" s="20">
        <f>=J1475/3</f>
        <v>150.6</v>
      </c>
      <c r="D1475" s="20">
        <f>=K1475/3</f>
        <v>167.333333333333</v>
      </c>
      <c r="E1475" s="20">
        <f>=L1475/3</f>
        <v>175.7</v>
      </c>
      <c r="F1475" s="20">
        <f>=H1475*0.9</f>
        <v>225.9</v>
      </c>
      <c r="G1475" s="21">
        <v>228</v>
      </c>
      <c r="H1475" s="39">
        <v>251</v>
      </c>
      <c r="I1475" s="40">
        <f>=H1475*1.05</f>
        <v>263.55</v>
      </c>
      <c r="J1475" s="40">
        <f>=F1475*2</f>
        <v>451.8</v>
      </c>
      <c r="K1475" s="40">
        <f>=H1475*2</f>
        <v>502</v>
      </c>
      <c r="L1475" s="40">
        <f>=I1475*2</f>
        <v>527.1</v>
      </c>
      <c r="M1475" s="41" t="s">
        <v>1522</v>
      </c>
      <c r="N1475" s="41">
        <v>0.127</v>
      </c>
      <c r="O1475" s="41">
        <v>0.13</v>
      </c>
      <c r="P1475" s="41" t="s">
        <v>21</v>
      </c>
      <c r="Q1475" s="41">
        <v>1</v>
      </c>
      <c r="R1475" s="41" t="s">
        <v>16</v>
      </c>
      <c r="S1475" s="41" t="s">
        <v>17</v>
      </c>
      <c r="T1475" s="41" t="s">
        <v>23</v>
      </c>
      <c r="U1475" s="16" t="s">
        <v>13</v>
      </c>
      <c r="V1475" s="16" t="s">
        <v>1083</v>
      </c>
      <c r="W1475" s="19" t="s"/>
      <c r="X1475" s="26" t="s">
        <f>=M1475&amp;N1475&amp;P1475&amp;Q1475&amp;T1475&amp;V1475&amp;S1475</f>
        <v>1614</v>
      </c>
      <c r="Y1475" s="19" t="s"/>
      <c r="Z1475" s="19" t="s"/>
      <c r="AA1475" s="19" t="s"/>
      <c r="AB1475" s="19" t="s"/>
    </row>
    <row r="1476" spans="1:28" ht="14.4">
      <c r="A1476" s="4">
        <f>=H1476/G1476-1</f>
        <v>0.102040816326531</v>
      </c>
      <c r="B1476" s="20">
        <f>=F1476/12</f>
        <v>20.25</v>
      </c>
      <c r="C1476" s="20">
        <f>=J1476/3</f>
        <v>162</v>
      </c>
      <c r="D1476" s="20">
        <f>=K1476/3</f>
        <v>180</v>
      </c>
      <c r="E1476" s="20">
        <f>=L1476/3</f>
        <v>189</v>
      </c>
      <c r="F1476" s="20">
        <f>=H1476*0.9</f>
        <v>243</v>
      </c>
      <c r="G1476" s="21">
        <v>245</v>
      </c>
      <c r="H1476" s="39">
        <v>270</v>
      </c>
      <c r="I1476" s="40">
        <f>=H1476*1.05</f>
        <v>283.5</v>
      </c>
      <c r="J1476" s="40">
        <f>=F1476*2</f>
        <v>486</v>
      </c>
      <c r="K1476" s="40">
        <f>=H1476*2</f>
        <v>540</v>
      </c>
      <c r="L1476" s="40">
        <f>=I1476*2</f>
        <v>567</v>
      </c>
      <c r="M1476" s="41" t="s">
        <v>1522</v>
      </c>
      <c r="N1476" s="41">
        <v>0.127</v>
      </c>
      <c r="O1476" s="41">
        <v>0.13</v>
      </c>
      <c r="P1476" s="41" t="s">
        <v>21</v>
      </c>
      <c r="Q1476" s="41">
        <v>1</v>
      </c>
      <c r="R1476" s="41" t="s">
        <v>16</v>
      </c>
      <c r="S1476" s="41" t="s">
        <v>17</v>
      </c>
      <c r="T1476" s="41" t="s">
        <v>23</v>
      </c>
      <c r="U1476" s="16" t="s">
        <v>13</v>
      </c>
      <c r="V1476" s="16" t="s">
        <v>1446</v>
      </c>
      <c r="W1476" s="19" t="s"/>
      <c r="X1476" s="26" t="s">
        <f>=M1476&amp;N1476&amp;P1476&amp;Q1476&amp;T1476&amp;V1476&amp;S1476</f>
        <v>1615</v>
      </c>
      <c r="Y1476" s="19" t="s"/>
      <c r="Z1476" s="19" t="s"/>
      <c r="AA1476" s="19" t="s"/>
      <c r="AB1476" s="19" t="s"/>
    </row>
    <row r="1477" spans="1:28" ht="14.4">
      <c r="A1477" s="4">
        <f>=H1477/G1477-1</f>
        <v>0.0995024875621891</v>
      </c>
      <c r="B1477" s="20">
        <f>=F1477/12</f>
        <v>16.575</v>
      </c>
      <c r="C1477" s="20">
        <f>=J1477/3</f>
        <v>132.6</v>
      </c>
      <c r="D1477" s="20">
        <f>=K1477/3</f>
        <v>147.333333333333</v>
      </c>
      <c r="E1477" s="20">
        <f>=L1477/3</f>
        <v>154.7</v>
      </c>
      <c r="F1477" s="20">
        <f>=H1477*0.9</f>
        <v>198.9</v>
      </c>
      <c r="G1477" s="21">
        <v>201</v>
      </c>
      <c r="H1477" s="39">
        <v>221</v>
      </c>
      <c r="I1477" s="40">
        <f>=H1477*1.05</f>
        <v>232.05</v>
      </c>
      <c r="J1477" s="40">
        <f>=F1477*2</f>
        <v>397.8</v>
      </c>
      <c r="K1477" s="40">
        <f>=H1477*2</f>
        <v>442</v>
      </c>
      <c r="L1477" s="40">
        <f>=I1477*2</f>
        <v>464.1</v>
      </c>
      <c r="M1477" s="41" t="s">
        <v>1522</v>
      </c>
      <c r="N1477" s="41">
        <v>0.127</v>
      </c>
      <c r="O1477" s="41">
        <v>0.13</v>
      </c>
      <c r="P1477" s="41" t="s">
        <v>21</v>
      </c>
      <c r="Q1477" s="41" t="s">
        <v>21</v>
      </c>
      <c r="R1477" s="41" t="s">
        <v>16</v>
      </c>
      <c r="S1477" s="41" t="s">
        <v>17</v>
      </c>
      <c r="T1477" s="41" t="s">
        <v>1080</v>
      </c>
      <c r="U1477" s="16" t="s">
        <v>13</v>
      </c>
      <c r="V1477" s="16" t="s">
        <v>1083</v>
      </c>
      <c r="W1477" s="19" t="s"/>
      <c r="X1477" s="26" t="s">
        <f>=M1477&amp;N1477&amp;P1477&amp;Q1477&amp;T1477&amp;V1477&amp;S1477</f>
        <v>1616</v>
      </c>
      <c r="Y1477" s="19" t="s"/>
      <c r="Z1477" s="19" t="s"/>
      <c r="AA1477" s="19" t="s"/>
      <c r="AB1477" s="19" t="s"/>
    </row>
    <row r="1478" spans="1:28" ht="14.4">
      <c r="A1478" s="4">
        <f>=H1478/G1478-1</f>
        <v>0.098814229249012</v>
      </c>
      <c r="B1478" s="20">
        <f>=F1478/12</f>
        <v>20.85</v>
      </c>
      <c r="C1478" s="20">
        <f>=J1478/3</f>
        <v>166.8</v>
      </c>
      <c r="D1478" s="20">
        <f>=K1478/3</f>
        <v>185.333333333333</v>
      </c>
      <c r="E1478" s="20">
        <f>=L1478/3</f>
        <v>194.6</v>
      </c>
      <c r="F1478" s="20">
        <f>=H1478*0.9</f>
        <v>250.2</v>
      </c>
      <c r="G1478" s="21">
        <v>253</v>
      </c>
      <c r="H1478" s="39">
        <v>278</v>
      </c>
      <c r="I1478" s="40">
        <f>=H1478*1.05</f>
        <v>291.9</v>
      </c>
      <c r="J1478" s="40">
        <f>=F1478*2</f>
        <v>500.4</v>
      </c>
      <c r="K1478" s="40">
        <f>=H1478*2</f>
        <v>556</v>
      </c>
      <c r="L1478" s="40">
        <f>=I1478*2</f>
        <v>583.8</v>
      </c>
      <c r="M1478" s="41" t="s">
        <v>1522</v>
      </c>
      <c r="N1478" s="41">
        <v>0.152</v>
      </c>
      <c r="O1478" s="41" t="s"/>
      <c r="P1478" s="41">
        <v>1</v>
      </c>
      <c r="Q1478" s="41">
        <v>1</v>
      </c>
      <c r="R1478" s="41" t="s">
        <v>16</v>
      </c>
      <c r="S1478" s="41" t="s">
        <v>17</v>
      </c>
      <c r="T1478" s="41" t="s">
        <v>1080</v>
      </c>
      <c r="U1478" s="16" t="s">
        <v>13</v>
      </c>
      <c r="V1478" s="16" t="s">
        <v>1227</v>
      </c>
      <c r="W1478" s="19" t="s"/>
      <c r="X1478" s="26" t="s">
        <f>=M1478&amp;N1478&amp;P1478&amp;Q1478&amp;T1478&amp;V1478&amp;S1478</f>
        <v>1617</v>
      </c>
      <c r="Y1478" s="19" t="s"/>
      <c r="Z1478" s="19" t="s"/>
      <c r="AA1478" s="19" t="s"/>
      <c r="AB1478" s="19" t="s"/>
    </row>
    <row r="1479" spans="1:28" ht="14.4">
      <c r="A1479" s="4">
        <f>=H1479/G1479-1</f>
        <v>0.098901098901099</v>
      </c>
      <c r="B1479" s="20">
        <f>=F1479/12</f>
        <v>22.5</v>
      </c>
      <c r="C1479" s="20">
        <f>=J1479/3</f>
        <v>180</v>
      </c>
      <c r="D1479" s="20">
        <f>=K1479/3</f>
        <v>200</v>
      </c>
      <c r="E1479" s="20">
        <f>=L1479/3</f>
        <v>210</v>
      </c>
      <c r="F1479" s="20">
        <f>=H1479*0.9</f>
        <v>270</v>
      </c>
      <c r="G1479" s="21">
        <v>273</v>
      </c>
      <c r="H1479" s="39">
        <v>300</v>
      </c>
      <c r="I1479" s="40">
        <f>=H1479*1.05</f>
        <v>315</v>
      </c>
      <c r="J1479" s="40">
        <f>=F1479*2</f>
        <v>540</v>
      </c>
      <c r="K1479" s="40">
        <f>=H1479*2</f>
        <v>600</v>
      </c>
      <c r="L1479" s="40">
        <f>=I1479*2</f>
        <v>630</v>
      </c>
      <c r="M1479" s="41" t="s">
        <v>1522</v>
      </c>
      <c r="N1479" s="41">
        <v>0.152</v>
      </c>
      <c r="O1479" s="41" t="s"/>
      <c r="P1479" s="41">
        <v>1</v>
      </c>
      <c r="Q1479" s="41">
        <v>1</v>
      </c>
      <c r="R1479" s="41" t="s">
        <v>16</v>
      </c>
      <c r="S1479" s="41" t="s">
        <v>17</v>
      </c>
      <c r="T1479" s="41" t="s">
        <v>1080</v>
      </c>
      <c r="U1479" s="16" t="s">
        <v>13</v>
      </c>
      <c r="V1479" s="16" t="s">
        <v>1446</v>
      </c>
      <c r="W1479" s="5" t="s"/>
      <c r="X1479" s="26" t="s">
        <f>=M1479&amp;N1479&amp;P1479&amp;Q1479&amp;T1479&amp;V1479&amp;S1479</f>
        <v>1618</v>
      </c>
      <c r="Y1479" s="19" t="s"/>
      <c r="Z1479" s="19" t="s"/>
      <c r="AA1479" s="19" t="s"/>
      <c r="AB1479" s="19" t="s"/>
    </row>
    <row r="1480" spans="1:28" ht="14.4">
      <c r="A1480" s="4">
        <f>=H1480/G1480-1</f>
        <v>0.0992063492063493</v>
      </c>
      <c r="B1480" s="20">
        <f>=F1480/12</f>
        <v>20.775</v>
      </c>
      <c r="C1480" s="20">
        <f>=J1480/3</f>
        <v>166.2</v>
      </c>
      <c r="D1480" s="20">
        <f>=K1480/3</f>
        <v>184.666666666667</v>
      </c>
      <c r="E1480" s="20">
        <f>=L1480/3</f>
        <v>193.9</v>
      </c>
      <c r="F1480" s="20">
        <f>=H1480*0.9</f>
        <v>249.3</v>
      </c>
      <c r="G1480" s="21">
        <v>252</v>
      </c>
      <c r="H1480" s="39">
        <v>277</v>
      </c>
      <c r="I1480" s="40">
        <f>=H1480*1.05</f>
        <v>290.85</v>
      </c>
      <c r="J1480" s="40">
        <f>=F1480*2</f>
        <v>498.6</v>
      </c>
      <c r="K1480" s="40">
        <f>=H1480*2</f>
        <v>554</v>
      </c>
      <c r="L1480" s="40">
        <f>=I1480*2</f>
        <v>581.7</v>
      </c>
      <c r="M1480" s="41" t="s">
        <v>1522</v>
      </c>
      <c r="N1480" s="41">
        <v>0.152</v>
      </c>
      <c r="O1480" s="41" t="s"/>
      <c r="P1480" s="41">
        <v>1</v>
      </c>
      <c r="Q1480" s="41">
        <v>1</v>
      </c>
      <c r="R1480" s="41" t="s">
        <v>16</v>
      </c>
      <c r="S1480" s="41" t="s">
        <v>17</v>
      </c>
      <c r="T1480" s="41" t="s">
        <v>1080</v>
      </c>
      <c r="U1480" s="16" t="s">
        <v>13</v>
      </c>
      <c r="V1480" s="16" t="s">
        <v>1083</v>
      </c>
      <c r="W1480" s="5" t="s"/>
      <c r="X1480" s="26" t="s">
        <f>=M1480&amp;N1480&amp;P1480&amp;Q1480&amp;T1480&amp;V1480&amp;S1480</f>
        <v>1619</v>
      </c>
      <c r="Y1480" s="19" t="s"/>
      <c r="Z1480" s="19" t="s"/>
      <c r="AA1480" s="19" t="s"/>
      <c r="AB1480" s="19" t="s"/>
    </row>
    <row r="1481" spans="1:28" ht="14.4">
      <c r="A1481" s="4">
        <f>=H1481/G1481-1</f>
        <v>0.1</v>
      </c>
      <c r="B1481" s="20">
        <f>=F1481/12</f>
        <v>29.7</v>
      </c>
      <c r="C1481" s="20">
        <f>=J1481/3</f>
        <v>237.6</v>
      </c>
      <c r="D1481" s="20">
        <f>=K1481/3</f>
        <v>264</v>
      </c>
      <c r="E1481" s="20">
        <f>=L1481/3</f>
        <v>277.2</v>
      </c>
      <c r="F1481" s="20">
        <f>=H1481*0.9</f>
        <v>356.4</v>
      </c>
      <c r="G1481" s="21">
        <v>360</v>
      </c>
      <c r="H1481" s="39">
        <v>396</v>
      </c>
      <c r="I1481" s="40">
        <f>=H1481*1.05</f>
        <v>415.8</v>
      </c>
      <c r="J1481" s="40">
        <f>=F1481*2</f>
        <v>712.8</v>
      </c>
      <c r="K1481" s="40">
        <f>=H1481*2</f>
        <v>792</v>
      </c>
      <c r="L1481" s="40">
        <f>=I1481*2</f>
        <v>831.6</v>
      </c>
      <c r="M1481" s="41" t="s">
        <v>1522</v>
      </c>
      <c r="N1481" s="41">
        <v>0.152</v>
      </c>
      <c r="O1481" s="41" t="s"/>
      <c r="P1481" s="41">
        <v>1</v>
      </c>
      <c r="Q1481" s="41">
        <v>1</v>
      </c>
      <c r="R1481" s="41" t="s">
        <v>16</v>
      </c>
      <c r="S1481" s="41" t="s">
        <v>17</v>
      </c>
      <c r="T1481" s="41" t="s">
        <v>43</v>
      </c>
      <c r="U1481" s="16" t="s">
        <v>13</v>
      </c>
      <c r="V1481" s="16" t="s">
        <v>1557</v>
      </c>
      <c r="W1481" s="5" t="s"/>
      <c r="X1481" s="26" t="s">
        <f>=M1481&amp;N1481&amp;P1481&amp;Q1481&amp;T1481&amp;V1481&amp;S1481</f>
        <v>1620</v>
      </c>
      <c r="Y1481" s="19" t="s"/>
      <c r="Z1481" s="19" t="s"/>
      <c r="AA1481" s="19" t="s"/>
      <c r="AB1481" s="19" t="s"/>
    </row>
    <row r="1482" spans="1:28" ht="14.4">
      <c r="A1482" s="4">
        <f>=H1482/G1482-1</f>
        <v>0.1</v>
      </c>
      <c r="B1482" s="20">
        <f>=F1482/12</f>
        <v>23.925</v>
      </c>
      <c r="C1482" s="20">
        <f>=J1482/3</f>
        <v>191.4</v>
      </c>
      <c r="D1482" s="20">
        <f>=K1482/3</f>
        <v>212.666666666667</v>
      </c>
      <c r="E1482" s="20">
        <f>=L1482/3</f>
        <v>223.3</v>
      </c>
      <c r="F1482" s="20">
        <f>=H1482*0.9</f>
        <v>287.1</v>
      </c>
      <c r="G1482" s="21">
        <v>290</v>
      </c>
      <c r="H1482" s="39">
        <v>319</v>
      </c>
      <c r="I1482" s="40">
        <f>=H1482*1.05</f>
        <v>334.95</v>
      </c>
      <c r="J1482" s="40">
        <f>=F1482*2</f>
        <v>574.2</v>
      </c>
      <c r="K1482" s="40">
        <f>=H1482*2</f>
        <v>638</v>
      </c>
      <c r="L1482" s="40">
        <f>=I1482*2</f>
        <v>669.9</v>
      </c>
      <c r="M1482" s="41" t="s">
        <v>1522</v>
      </c>
      <c r="N1482" s="41">
        <v>0.152</v>
      </c>
      <c r="O1482" s="41" t="s"/>
      <c r="P1482" s="41">
        <v>1</v>
      </c>
      <c r="Q1482" s="41">
        <v>1</v>
      </c>
      <c r="R1482" s="41" t="s">
        <v>16</v>
      </c>
      <c r="S1482" s="41" t="s">
        <v>17</v>
      </c>
      <c r="T1482" s="41" t="s">
        <v>1080</v>
      </c>
      <c r="U1482" s="16" t="s">
        <v>13</v>
      </c>
      <c r="V1482" s="16" t="s">
        <v>1545</v>
      </c>
      <c r="W1482" s="5" t="s"/>
      <c r="X1482" s="26" t="s">
        <f>=M1482&amp;N1482&amp;P1482&amp;Q1482&amp;T1482&amp;V1482&amp;S1482</f>
        <v>1621</v>
      </c>
      <c r="Y1482" s="19" t="s"/>
      <c r="Z1482" s="19" t="s"/>
      <c r="AA1482" s="19" t="s"/>
      <c r="AB1482" s="19" t="s"/>
    </row>
    <row r="1483" spans="1:29" ht="14.4">
      <c r="A1483" s="47">
        <v>46175</v>
      </c>
      <c r="B1483" s="67">
        <f>=F1483/12</f>
        <v>35.25</v>
      </c>
      <c r="C1483" s="67">
        <f>=J1483/3</f>
        <v>282</v>
      </c>
      <c r="D1483" s="67">
        <f>=K1483/3</f>
        <v>313.333333333333</v>
      </c>
      <c r="E1483" s="67">
        <f>=L1483/3</f>
        <v>329</v>
      </c>
      <c r="F1483" s="67">
        <f>=H1483*0.9</f>
        <v>423</v>
      </c>
      <c r="G1483" s="44">
        <v>356</v>
      </c>
      <c r="H1483" s="44">
        <v>470</v>
      </c>
      <c r="I1483" s="45">
        <f>=H1483*1.05</f>
        <v>493.5</v>
      </c>
      <c r="J1483" s="45">
        <f>=F1483*2</f>
        <v>846</v>
      </c>
      <c r="K1483" s="45">
        <f>=H1483*2</f>
        <v>940</v>
      </c>
      <c r="L1483" s="45">
        <f>=I1483*2</f>
        <v>987</v>
      </c>
      <c r="M1483" s="46" t="s">
        <v>1522</v>
      </c>
      <c r="N1483" s="46">
        <v>0.152</v>
      </c>
      <c r="O1483" s="46" t="s"/>
      <c r="P1483" s="46">
        <v>2</v>
      </c>
      <c r="Q1483" s="46">
        <v>2</v>
      </c>
      <c r="R1483" s="46" t="s">
        <v>16</v>
      </c>
      <c r="S1483" s="46" t="s">
        <v>17</v>
      </c>
      <c r="T1483" s="46" t="s">
        <v>43</v>
      </c>
      <c r="U1483" s="46" t="s">
        <v>13</v>
      </c>
      <c r="V1483" s="46" t="s">
        <v>215</v>
      </c>
      <c r="W1483" s="50" t="s"/>
      <c r="X1483" s="18" t="s">
        <f>=M1483&amp;N1483&amp;P1483&amp;Q1483&amp;T1483&amp;V1483&amp;S1483</f>
        <v>1622</v>
      </c>
      <c r="Y1483" s="50" t="s"/>
      <c r="Z1483" s="50" t="s"/>
      <c r="AA1483" s="50" t="s"/>
      <c r="AB1483" s="50" t="s"/>
      <c r="AC1483" s="48" t="s"/>
    </row>
    <row r="1484" spans="1:28" ht="14.4">
      <c r="A1484" s="52">
        <f>=H1484/G1484-1</f>
        <v>0.101123595505618</v>
      </c>
      <c r="B1484" s="53">
        <f>=F1484/12</f>
        <v>29.4</v>
      </c>
      <c r="C1484" s="53">
        <f>=J1484/3</f>
        <v>235.2</v>
      </c>
      <c r="D1484" s="53">
        <f>=K1484/3</f>
        <v>261.333333333333</v>
      </c>
      <c r="E1484" s="53">
        <f>=L1484/3</f>
        <v>274.4</v>
      </c>
      <c r="F1484" s="53">
        <f>=H1484*0.9</f>
        <v>352.8</v>
      </c>
      <c r="G1484" s="39">
        <v>356</v>
      </c>
      <c r="H1484" s="39">
        <v>392</v>
      </c>
      <c r="I1484" s="40">
        <f>=H1484*1.05</f>
        <v>411.6</v>
      </c>
      <c r="J1484" s="40">
        <f>=F1484*2</f>
        <v>705.6</v>
      </c>
      <c r="K1484" s="40">
        <f>=H1484*2</f>
        <v>784</v>
      </c>
      <c r="L1484" s="40">
        <f>=I1484*2</f>
        <v>823.2</v>
      </c>
      <c r="M1484" s="41" t="s">
        <v>1522</v>
      </c>
      <c r="N1484" s="41">
        <v>0.152</v>
      </c>
      <c r="O1484" s="41" t="s"/>
      <c r="P1484" s="41">
        <v>2</v>
      </c>
      <c r="Q1484" s="41">
        <v>2</v>
      </c>
      <c r="R1484" s="41" t="s">
        <v>16</v>
      </c>
      <c r="S1484" s="41" t="s">
        <v>17</v>
      </c>
      <c r="T1484" s="41" t="s">
        <v>1080</v>
      </c>
      <c r="U1484" s="41" t="s">
        <v>13</v>
      </c>
      <c r="V1484" s="41" t="s">
        <v>215</v>
      </c>
      <c r="W1484" s="77" t="s"/>
      <c r="X1484" s="26" t="s">
        <f>=M1484&amp;N1484&amp;P1484&amp;Q1484&amp;T1484&amp;V1484&amp;S1484</f>
        <v>1623</v>
      </c>
      <c r="Y1484" s="29" t="s"/>
      <c r="Z1484" s="29" t="s"/>
      <c r="AA1484" s="29" t="s"/>
      <c r="AB1484" s="29" t="s"/>
    </row>
    <row r="1485" spans="1:28" ht="14.4">
      <c r="A1485" s="4">
        <f>=H1485/G1485-1</f>
        <v>0.1</v>
      </c>
      <c r="B1485" s="20">
        <f>=F1485/12</f>
        <v>25.575</v>
      </c>
      <c r="C1485" s="20">
        <f>=J1485/3</f>
        <v>204.6</v>
      </c>
      <c r="D1485" s="20">
        <f>=K1485/3</f>
        <v>227.333333333333</v>
      </c>
      <c r="E1485" s="20">
        <f>=L1485/3</f>
        <v>238.7</v>
      </c>
      <c r="F1485" s="20">
        <f>=H1485*0.9</f>
        <v>306.9</v>
      </c>
      <c r="G1485" s="21">
        <v>310</v>
      </c>
      <c r="H1485" s="39">
        <v>341</v>
      </c>
      <c r="I1485" s="40">
        <f>=H1485*1.05</f>
        <v>358.05</v>
      </c>
      <c r="J1485" s="40">
        <f>=F1485*2</f>
        <v>613.8</v>
      </c>
      <c r="K1485" s="40">
        <f>=H1485*2</f>
        <v>682</v>
      </c>
      <c r="L1485" s="40">
        <f>=I1485*2</f>
        <v>716.1</v>
      </c>
      <c r="M1485" s="41" t="s">
        <v>1522</v>
      </c>
      <c r="N1485" s="41">
        <v>0.152</v>
      </c>
      <c r="O1485" s="41" t="s"/>
      <c r="P1485" s="41">
        <v>1</v>
      </c>
      <c r="Q1485" s="41">
        <v>2</v>
      </c>
      <c r="R1485" s="41" t="s">
        <v>16</v>
      </c>
      <c r="S1485" s="41" t="s">
        <v>17</v>
      </c>
      <c r="T1485" s="41" t="s">
        <v>43</v>
      </c>
      <c r="U1485" s="16" t="s">
        <v>13</v>
      </c>
      <c r="V1485" s="16" t="s">
        <v>1119</v>
      </c>
      <c r="W1485" s="19" t="s"/>
      <c r="X1485" s="26" t="s">
        <f>=M1485&amp;N1485&amp;P1485&amp;Q1485&amp;T1485&amp;V1485&amp;S1485</f>
        <v>1624</v>
      </c>
      <c r="Y1485" s="19" t="s"/>
      <c r="Z1485" s="19" t="s"/>
      <c r="AA1485" s="19" t="s"/>
      <c r="AB1485" s="19" t="s"/>
    </row>
    <row r="1486" spans="1:28" ht="14.4">
      <c r="A1486" s="4">
        <f>=H1486/G1486-1</f>
        <v>0.1</v>
      </c>
      <c r="B1486" s="20">
        <f>=F1486/12</f>
        <v>28.875</v>
      </c>
      <c r="C1486" s="20">
        <f>=J1486/3</f>
        <v>231</v>
      </c>
      <c r="D1486" s="20">
        <f>=K1486/3</f>
        <v>256.666666666667</v>
      </c>
      <c r="E1486" s="20">
        <f>=L1486/3</f>
        <v>269.5</v>
      </c>
      <c r="F1486" s="20">
        <f>=H1486*0.9</f>
        <v>346.5</v>
      </c>
      <c r="G1486" s="21">
        <v>350</v>
      </c>
      <c r="H1486" s="39">
        <v>385</v>
      </c>
      <c r="I1486" s="40">
        <f>=H1486*1.05</f>
        <v>404.25</v>
      </c>
      <c r="J1486" s="40">
        <f>=F1486*2</f>
        <v>693</v>
      </c>
      <c r="K1486" s="40">
        <f>=H1486*2</f>
        <v>770</v>
      </c>
      <c r="L1486" s="40">
        <f>=I1486*2</f>
        <v>808.5</v>
      </c>
      <c r="M1486" s="41" t="s">
        <v>1522</v>
      </c>
      <c r="N1486" s="41">
        <v>0.178</v>
      </c>
      <c r="O1486" s="41" t="s"/>
      <c r="P1486" s="41">
        <v>1</v>
      </c>
      <c r="Q1486" s="41">
        <v>2</v>
      </c>
      <c r="R1486" s="41" t="s">
        <v>16</v>
      </c>
      <c r="S1486" s="41" t="s">
        <v>17</v>
      </c>
      <c r="T1486" s="41" t="s">
        <v>1080</v>
      </c>
      <c r="U1486" s="16" t="s">
        <v>13</v>
      </c>
      <c r="V1486" s="16" t="s">
        <v>1119</v>
      </c>
      <c r="W1486" s="19" t="s"/>
      <c r="X1486" s="26" t="s">
        <f>=M1486&amp;N1486&amp;P1486&amp;Q1486&amp;T1486&amp;V1486&amp;S1486</f>
        <v>1625</v>
      </c>
      <c r="Y1486" s="19" t="s"/>
      <c r="Z1486" s="19" t="s"/>
      <c r="AA1486" s="19" t="s"/>
      <c r="AB1486" s="19" t="s"/>
    </row>
    <row r="1487" spans="1:28" ht="14.4">
      <c r="A1487" s="4">
        <f>=H1487/G1487-1</f>
        <v>0.100694444444444</v>
      </c>
      <c r="B1487" s="20">
        <f>=F1487/12</f>
        <v>23.775</v>
      </c>
      <c r="C1487" s="20">
        <f>=J1487/3</f>
        <v>190.2</v>
      </c>
      <c r="D1487" s="20">
        <f>=K1487/3</f>
        <v>211.333333333333</v>
      </c>
      <c r="E1487" s="20">
        <f>=L1487/3</f>
        <v>221.9</v>
      </c>
      <c r="F1487" s="20">
        <f>=H1487*0.9</f>
        <v>285.3</v>
      </c>
      <c r="G1487" s="21">
        <v>288</v>
      </c>
      <c r="H1487" s="39">
        <v>317</v>
      </c>
      <c r="I1487" s="40">
        <f>=H1487*1.05</f>
        <v>332.85</v>
      </c>
      <c r="J1487" s="40">
        <f>=F1487*2</f>
        <v>570.6</v>
      </c>
      <c r="K1487" s="40">
        <f>=H1487*2</f>
        <v>634</v>
      </c>
      <c r="L1487" s="40">
        <f>=I1487*2</f>
        <v>665.7</v>
      </c>
      <c r="M1487" s="41" t="s">
        <v>1522</v>
      </c>
      <c r="N1487" s="41">
        <v>0.178</v>
      </c>
      <c r="O1487" s="41" t="s"/>
      <c r="P1487" s="41">
        <v>1</v>
      </c>
      <c r="Q1487" s="41">
        <v>1</v>
      </c>
      <c r="R1487" s="41" t="s">
        <v>16</v>
      </c>
      <c r="S1487" s="41" t="s">
        <v>17</v>
      </c>
      <c r="T1487" s="41" t="s">
        <v>1080</v>
      </c>
      <c r="U1487" s="16" t="s">
        <v>13</v>
      </c>
      <c r="V1487" s="16" t="s">
        <v>1227</v>
      </c>
      <c r="W1487" s="5" t="s"/>
      <c r="X1487" s="26" t="s">
        <f>=M1487&amp;N1487&amp;P1487&amp;Q1487&amp;T1487&amp;V1487&amp;S1487</f>
        <v>1626</v>
      </c>
      <c r="Y1487" s="19" t="s"/>
      <c r="Z1487" s="19" t="s"/>
      <c r="AA1487" s="19" t="s"/>
      <c r="AB1487" s="19" t="s"/>
    </row>
    <row r="1488" spans="1:28" ht="14.4">
      <c r="A1488" s="4">
        <f>=H1488/G1488-1</f>
        <v>0.1</v>
      </c>
      <c r="B1488" s="20">
        <f>=F1488/12</f>
        <v>23.1</v>
      </c>
      <c r="C1488" s="20">
        <f>=J1488/3</f>
        <v>184.8</v>
      </c>
      <c r="D1488" s="20">
        <f>=K1488/3</f>
        <v>205.333333333333</v>
      </c>
      <c r="E1488" s="20">
        <f>=L1488/3</f>
        <v>215.6</v>
      </c>
      <c r="F1488" s="20">
        <f>=H1488*0.9</f>
        <v>277.2</v>
      </c>
      <c r="G1488" s="21">
        <v>280</v>
      </c>
      <c r="H1488" s="39">
        <v>308</v>
      </c>
      <c r="I1488" s="40">
        <f>=H1488*1.05</f>
        <v>323.4</v>
      </c>
      <c r="J1488" s="40">
        <f>=F1488*2</f>
        <v>554.4</v>
      </c>
      <c r="K1488" s="40">
        <f>=H1488*2</f>
        <v>616</v>
      </c>
      <c r="L1488" s="40">
        <f>=I1488*2</f>
        <v>646.8</v>
      </c>
      <c r="M1488" s="41" t="s">
        <v>1522</v>
      </c>
      <c r="N1488" s="41">
        <v>0.178</v>
      </c>
      <c r="O1488" s="41" t="s"/>
      <c r="P1488" s="41">
        <v>1</v>
      </c>
      <c r="Q1488" s="41">
        <v>1</v>
      </c>
      <c r="R1488" s="41" t="s">
        <v>16</v>
      </c>
      <c r="S1488" s="41" t="s">
        <v>17</v>
      </c>
      <c r="T1488" s="41" t="s">
        <v>1080</v>
      </c>
      <c r="U1488" s="16" t="s">
        <v>13</v>
      </c>
      <c r="V1488" s="16" t="s">
        <v>1083</v>
      </c>
      <c r="W1488" s="19" t="s"/>
      <c r="X1488" s="26" t="s">
        <f>=M1488&amp;N1488&amp;P1488&amp;Q1488&amp;T1488&amp;V1488&amp;S1488</f>
        <v>1627</v>
      </c>
      <c r="Y1488" s="19" t="s"/>
      <c r="Z1488" s="19" t="s"/>
      <c r="AA1488" s="19" t="s"/>
      <c r="AB1488" s="19" t="s"/>
    </row>
    <row r="1489" spans="1:28" ht="14.4">
      <c r="A1489" s="4">
        <f>=H1489/G1489-1</f>
        <v>0.0993788819875776</v>
      </c>
      <c r="B1489" s="20">
        <f>=F1489/12</f>
        <v>26.55</v>
      </c>
      <c r="C1489" s="20">
        <f>=J1489/3</f>
        <v>212.4</v>
      </c>
      <c r="D1489" s="20">
        <f>=K1489/3</f>
        <v>236</v>
      </c>
      <c r="E1489" s="20">
        <f>=L1489/3</f>
        <v>247.8</v>
      </c>
      <c r="F1489" s="20">
        <f>=H1489*0.9</f>
        <v>318.6</v>
      </c>
      <c r="G1489" s="21">
        <v>322</v>
      </c>
      <c r="H1489" s="39">
        <v>354</v>
      </c>
      <c r="I1489" s="40">
        <f>=H1489*1.05</f>
        <v>371.7</v>
      </c>
      <c r="J1489" s="40">
        <f>=F1489*2</f>
        <v>637.2</v>
      </c>
      <c r="K1489" s="40">
        <f>=H1489*2</f>
        <v>708</v>
      </c>
      <c r="L1489" s="40">
        <f>=I1489*2</f>
        <v>743.4</v>
      </c>
      <c r="M1489" s="41" t="s">
        <v>1522</v>
      </c>
      <c r="N1489" s="41">
        <v>0.178</v>
      </c>
      <c r="O1489" s="41" t="s"/>
      <c r="P1489" s="41">
        <v>2</v>
      </c>
      <c r="Q1489" s="41">
        <v>2</v>
      </c>
      <c r="R1489" s="41" t="s">
        <v>16</v>
      </c>
      <c r="S1489" s="41" t="s">
        <v>17</v>
      </c>
      <c r="T1489" s="41" t="s">
        <v>1080</v>
      </c>
      <c r="U1489" s="16" t="s">
        <v>13</v>
      </c>
      <c r="V1489" s="16" t="s">
        <v>215</v>
      </c>
      <c r="W1489" s="19" t="s"/>
      <c r="X1489" s="26" t="s">
        <f>=M1489&amp;N1489&amp;P1489&amp;Q1489&amp;T1489&amp;V1489&amp;S1489</f>
        <v>1628</v>
      </c>
      <c r="Y1489" s="19" t="s"/>
      <c r="Z1489" s="19" t="s"/>
      <c r="AA1489" s="19" t="s"/>
      <c r="AB1489" s="19" t="s"/>
    </row>
    <row r="1490" spans="1:28" ht="14.4">
      <c r="A1490" s="4">
        <f>=H1490/G1490-1</f>
        <v>0.0996563573883163</v>
      </c>
      <c r="B1490" s="20">
        <f>=F1490/12</f>
        <v>24</v>
      </c>
      <c r="C1490" s="20">
        <f>=J1490/3</f>
        <v>192</v>
      </c>
      <c r="D1490" s="20">
        <f>=K1490/3</f>
        <v>213.333333333333</v>
      </c>
      <c r="E1490" s="20">
        <f>=L1490/3</f>
        <v>224</v>
      </c>
      <c r="F1490" s="20">
        <f>=H1490*0.9</f>
        <v>288</v>
      </c>
      <c r="G1490" s="21">
        <v>291</v>
      </c>
      <c r="H1490" s="39">
        <v>320</v>
      </c>
      <c r="I1490" s="40">
        <f>=H1490*1.05</f>
        <v>336</v>
      </c>
      <c r="J1490" s="40">
        <f>=F1490*2</f>
        <v>576</v>
      </c>
      <c r="K1490" s="40">
        <f>=H1490*2</f>
        <v>640</v>
      </c>
      <c r="L1490" s="40">
        <f>=I1490*2</f>
        <v>672</v>
      </c>
      <c r="M1490" s="41" t="s">
        <v>1522</v>
      </c>
      <c r="N1490" s="41">
        <v>0.2</v>
      </c>
      <c r="O1490" s="41" t="s"/>
      <c r="P1490" s="41" t="s">
        <v>21</v>
      </c>
      <c r="Q1490" s="41" t="s">
        <v>21</v>
      </c>
      <c r="R1490" s="41" t="s">
        <v>16</v>
      </c>
      <c r="S1490" s="41" t="s">
        <v>17</v>
      </c>
      <c r="T1490" s="41" t="s">
        <v>689</v>
      </c>
      <c r="U1490" s="16" t="s">
        <v>13</v>
      </c>
      <c r="V1490" s="16" t="s">
        <v>1083</v>
      </c>
      <c r="W1490" s="19" t="s"/>
      <c r="X1490" s="26" t="s">
        <f>=M1490&amp;N1490&amp;P1490&amp;Q1490&amp;T1490&amp;V1490&amp;S1490</f>
        <v>1629</v>
      </c>
      <c r="Y1490" s="19" t="s"/>
      <c r="Z1490" s="19" t="s"/>
      <c r="AA1490" s="19" t="s"/>
      <c r="AB1490" s="19" t="s"/>
    </row>
    <row r="1491" spans="1:28" ht="14.4">
      <c r="A1491" s="4">
        <f>=H1491/G1491-1</f>
        <v>0.101333333333333</v>
      </c>
      <c r="B1491" s="20">
        <f>=F1491/12</f>
        <v>30.975</v>
      </c>
      <c r="C1491" s="20">
        <f>=J1491/3</f>
        <v>247.8</v>
      </c>
      <c r="D1491" s="20">
        <f>=K1491/3</f>
        <v>275.333333333333</v>
      </c>
      <c r="E1491" s="20">
        <f>=L1491/3</f>
        <v>289.1</v>
      </c>
      <c r="F1491" s="20">
        <f>=H1491*0.9</f>
        <v>371.7</v>
      </c>
      <c r="G1491" s="21">
        <v>375</v>
      </c>
      <c r="H1491" s="39">
        <v>413</v>
      </c>
      <c r="I1491" s="40">
        <f>=H1491*1.05</f>
        <v>433.65</v>
      </c>
      <c r="J1491" s="40">
        <f>=F1491*2</f>
        <v>743.4</v>
      </c>
      <c r="K1491" s="40">
        <f>=H1491*2</f>
        <v>826</v>
      </c>
      <c r="L1491" s="40">
        <f>=I1491*2</f>
        <v>867.3</v>
      </c>
      <c r="M1491" s="41" t="s">
        <v>1522</v>
      </c>
      <c r="N1491" s="41">
        <v>0.203</v>
      </c>
      <c r="O1491" s="41" t="s"/>
      <c r="P1491" s="41">
        <v>2</v>
      </c>
      <c r="Q1491" s="41">
        <v>2</v>
      </c>
      <c r="R1491" s="41" t="s">
        <v>16</v>
      </c>
      <c r="S1491" s="41" t="s">
        <v>17</v>
      </c>
      <c r="T1491" s="41" t="s">
        <v>689</v>
      </c>
      <c r="U1491" s="16" t="s">
        <v>13</v>
      </c>
      <c r="V1491" s="16" t="s">
        <v>215</v>
      </c>
      <c r="W1491" s="19" t="s"/>
      <c r="X1491" s="26" t="s">
        <f>=M1491&amp;N1491&amp;P1491&amp;Q1491&amp;T1491&amp;V1491&amp;S1491</f>
        <v>1630</v>
      </c>
      <c r="Y1491" s="19" t="s"/>
      <c r="Z1491" s="19" t="s"/>
      <c r="AA1491" s="19" t="s"/>
      <c r="AB1491" s="19" t="s"/>
    </row>
    <row r="1492" spans="1:28" ht="14.4">
      <c r="A1492" s="4">
        <f>=H1492/G1492-1</f>
        <v>0.101123595505618</v>
      </c>
      <c r="B1492" s="20">
        <f>=F1492/12</f>
        <v>22.05</v>
      </c>
      <c r="C1492" s="20">
        <f>=J1492/3</f>
        <v>176.4</v>
      </c>
      <c r="D1492" s="20">
        <f>=K1492/3</f>
        <v>196</v>
      </c>
      <c r="E1492" s="20">
        <f>=L1492/3</f>
        <v>205.8</v>
      </c>
      <c r="F1492" s="20">
        <f>=H1492*0.9</f>
        <v>264.6</v>
      </c>
      <c r="G1492" s="21">
        <v>267</v>
      </c>
      <c r="H1492" s="39">
        <v>294</v>
      </c>
      <c r="I1492" s="40">
        <f>=H1492*1.05</f>
        <v>308.7</v>
      </c>
      <c r="J1492" s="40">
        <f>=F1492*2</f>
        <v>529.2</v>
      </c>
      <c r="K1492" s="40">
        <f>=H1492*2</f>
        <v>588</v>
      </c>
      <c r="L1492" s="40">
        <f>=I1492*2</f>
        <v>617.4</v>
      </c>
      <c r="M1492" s="41" t="s">
        <v>1522</v>
      </c>
      <c r="N1492" s="41">
        <v>0.203</v>
      </c>
      <c r="O1492" s="41" t="s"/>
      <c r="P1492" s="41">
        <v>1</v>
      </c>
      <c r="Q1492" s="41">
        <v>1</v>
      </c>
      <c r="R1492" s="41" t="s">
        <v>16</v>
      </c>
      <c r="S1492" s="41" t="s">
        <v>17</v>
      </c>
      <c r="T1492" s="41" t="s">
        <v>689</v>
      </c>
      <c r="U1492" s="16" t="s">
        <v>13</v>
      </c>
      <c r="V1492" s="16" t="s">
        <v>215</v>
      </c>
      <c r="W1492" s="19" t="s"/>
      <c r="X1492" s="26" t="s">
        <f>=M1492&amp;N1492&amp;P1492&amp;Q1492&amp;T1492&amp;V1492&amp;S1492</f>
        <v>1631</v>
      </c>
      <c r="Y1492" s="19" t="s"/>
      <c r="Z1492" s="19" t="s"/>
      <c r="AA1492" s="19" t="s"/>
      <c r="AB1492" s="19" t="s"/>
    </row>
    <row r="1493" spans="1:28" ht="14.4">
      <c r="A1493" s="4">
        <f>=H1493/G1493-1</f>
        <v>0.098901098901099</v>
      </c>
      <c r="B1493" s="20">
        <f>=F1493/12</f>
        <v>22.5</v>
      </c>
      <c r="C1493" s="20">
        <f>=J1493/3</f>
        <v>180</v>
      </c>
      <c r="D1493" s="20">
        <f>=K1493/3</f>
        <v>200</v>
      </c>
      <c r="E1493" s="20">
        <f>=L1493/3</f>
        <v>210</v>
      </c>
      <c r="F1493" s="20">
        <f>=H1493*0.9</f>
        <v>270</v>
      </c>
      <c r="G1493" s="21">
        <v>273</v>
      </c>
      <c r="H1493" s="39">
        <v>300</v>
      </c>
      <c r="I1493" s="40">
        <f>=H1493*1.05</f>
        <v>315</v>
      </c>
      <c r="J1493" s="40">
        <f>=F1493*2</f>
        <v>540</v>
      </c>
      <c r="K1493" s="40">
        <f>=H1493*2</f>
        <v>600</v>
      </c>
      <c r="L1493" s="40">
        <f>=I1493*2</f>
        <v>630</v>
      </c>
      <c r="M1493" s="41" t="s">
        <v>1522</v>
      </c>
      <c r="N1493" s="41">
        <v>0.203</v>
      </c>
      <c r="O1493" s="41" t="s"/>
      <c r="P1493" s="41">
        <v>1</v>
      </c>
      <c r="Q1493" s="41">
        <v>1</v>
      </c>
      <c r="R1493" s="41" t="s">
        <v>16</v>
      </c>
      <c r="S1493" s="41" t="s">
        <v>17</v>
      </c>
      <c r="T1493" s="41" t="s">
        <v>689</v>
      </c>
      <c r="U1493" s="16" t="s">
        <v>13</v>
      </c>
      <c r="V1493" s="16" t="s">
        <v>1083</v>
      </c>
      <c r="W1493" s="19" t="s"/>
      <c r="X1493" s="26" t="s">
        <f>=M1493&amp;N1493&amp;P1493&amp;Q1493&amp;T1493&amp;V1493&amp;S1493</f>
        <v>1632</v>
      </c>
      <c r="Y1493" s="19" t="s"/>
      <c r="Z1493" s="19" t="s"/>
      <c r="AA1493" s="19" t="s"/>
      <c r="AB1493" s="19" t="s"/>
    </row>
    <row r="1494" spans="1:28" ht="14.4">
      <c r="A1494" s="4">
        <f>=H1494/G1494-1</f>
        <v>0.100574712643678</v>
      </c>
      <c r="B1494" s="20">
        <f>=F1494/12</f>
        <v>28.725</v>
      </c>
      <c r="C1494" s="20">
        <f>=J1494/3</f>
        <v>229.8</v>
      </c>
      <c r="D1494" s="20">
        <f>=K1494/3</f>
        <v>255.333333333333</v>
      </c>
      <c r="E1494" s="20">
        <f>=L1494/3</f>
        <v>268.1</v>
      </c>
      <c r="F1494" s="20">
        <f>=H1494*0.9</f>
        <v>344.7</v>
      </c>
      <c r="G1494" s="21">
        <v>348</v>
      </c>
      <c r="H1494" s="39">
        <v>383</v>
      </c>
      <c r="I1494" s="40">
        <f>=H1494*1.05</f>
        <v>402.15</v>
      </c>
      <c r="J1494" s="40">
        <f>=F1494*2</f>
        <v>689.4</v>
      </c>
      <c r="K1494" s="40">
        <f>=H1494*2</f>
        <v>766</v>
      </c>
      <c r="L1494" s="40">
        <f>=I1494*2</f>
        <v>804.3</v>
      </c>
      <c r="M1494" s="41" t="s">
        <v>1522</v>
      </c>
      <c r="N1494" s="41">
        <v>0.203</v>
      </c>
      <c r="O1494" s="41" t="s"/>
      <c r="P1494" s="41">
        <v>1</v>
      </c>
      <c r="Q1494" s="41">
        <v>2</v>
      </c>
      <c r="R1494" s="41" t="s">
        <v>16</v>
      </c>
      <c r="S1494" s="41" t="s">
        <v>17</v>
      </c>
      <c r="T1494" s="41" t="s">
        <v>689</v>
      </c>
      <c r="U1494" s="16" t="s">
        <v>13</v>
      </c>
      <c r="V1494" s="16" t="s">
        <v>1119</v>
      </c>
      <c r="W1494" s="19" t="s"/>
      <c r="X1494" s="26" t="s">
        <f>=M1494&amp;N1494&amp;P1494&amp;Q1494&amp;T1494&amp;V1494&amp;S1494</f>
        <v>1633</v>
      </c>
      <c r="Y1494" s="19" t="s"/>
      <c r="Z1494" s="19" t="s"/>
      <c r="AA1494" s="19" t="s"/>
      <c r="AB1494" s="19" t="s"/>
    </row>
    <row r="1495" spans="1:28" ht="14.4">
      <c r="A1495" s="4">
        <f>=H1495/G1495-1</f>
        <v>0.0984251968503938</v>
      </c>
      <c r="B1495" s="20">
        <f>=F1495/12</f>
        <v>20.925</v>
      </c>
      <c r="C1495" s="20">
        <f>=J1495/3</f>
        <v>167.4</v>
      </c>
      <c r="D1495" s="20">
        <f>=K1495/3</f>
        <v>186</v>
      </c>
      <c r="E1495" s="20">
        <f>=L1495/3</f>
        <v>195.3</v>
      </c>
      <c r="F1495" s="20">
        <f>=H1495*0.9</f>
        <v>251.1</v>
      </c>
      <c r="G1495" s="21">
        <v>254</v>
      </c>
      <c r="H1495" s="39">
        <v>279</v>
      </c>
      <c r="I1495" s="40">
        <f>=H1495*1.05</f>
        <v>292.95</v>
      </c>
      <c r="J1495" s="40">
        <f>=F1495*2</f>
        <v>502.2</v>
      </c>
      <c r="K1495" s="40">
        <f>=H1495*2</f>
        <v>558</v>
      </c>
      <c r="L1495" s="40">
        <f>=I1495*2</f>
        <v>585.9</v>
      </c>
      <c r="M1495" s="41" t="s">
        <v>1522</v>
      </c>
      <c r="N1495" s="41">
        <v>0.203</v>
      </c>
      <c r="O1495" s="41" t="s"/>
      <c r="P1495" s="41" t="s">
        <v>21</v>
      </c>
      <c r="Q1495" s="41" t="s">
        <v>21</v>
      </c>
      <c r="R1495" s="41" t="s">
        <v>16</v>
      </c>
      <c r="S1495" s="41" t="s">
        <v>17</v>
      </c>
      <c r="T1495" s="41" t="s">
        <v>689</v>
      </c>
      <c r="U1495" s="16" t="s">
        <v>13</v>
      </c>
      <c r="V1495" s="16" t="s">
        <v>215</v>
      </c>
      <c r="W1495" s="19" t="s"/>
      <c r="X1495" s="26" t="s">
        <f>=M1495&amp;N1495&amp;P1495&amp;Q1495&amp;T1495&amp;V1495&amp;S1495</f>
        <v>1634</v>
      </c>
      <c r="Y1495" s="19" t="s"/>
      <c r="Z1495" s="19" t="s"/>
      <c r="AA1495" s="19" t="s"/>
      <c r="AB1495" s="19" t="s"/>
    </row>
    <row r="1496" spans="1:28" ht="14.4">
      <c r="A1496" s="4">
        <f>=H1496/G1496-1</f>
        <v>0.0988593155893536</v>
      </c>
      <c r="B1496" s="20">
        <f>=F1496/12</f>
        <v>21.675</v>
      </c>
      <c r="C1496" s="20">
        <f>=J1496/3</f>
        <v>173.4</v>
      </c>
      <c r="D1496" s="20">
        <f>=K1496/3</f>
        <v>192.666666666667</v>
      </c>
      <c r="E1496" s="20">
        <f>=L1496/3</f>
        <v>202.3</v>
      </c>
      <c r="F1496" s="20">
        <f>=H1496*0.9</f>
        <v>260.1</v>
      </c>
      <c r="G1496" s="21">
        <v>263</v>
      </c>
      <c r="H1496" s="39">
        <v>289</v>
      </c>
      <c r="I1496" s="40">
        <f>=H1496*1.05</f>
        <v>303.45</v>
      </c>
      <c r="J1496" s="40">
        <f>=F1496*2</f>
        <v>520.2</v>
      </c>
      <c r="K1496" s="40">
        <f>=H1496*2</f>
        <v>578</v>
      </c>
      <c r="L1496" s="40">
        <f>=I1496*2</f>
        <v>606.9</v>
      </c>
      <c r="M1496" s="41" t="s">
        <v>1522</v>
      </c>
      <c r="N1496" s="41">
        <v>0.203</v>
      </c>
      <c r="O1496" s="41" t="s"/>
      <c r="P1496" s="41" t="s">
        <v>21</v>
      </c>
      <c r="Q1496" s="41" t="s">
        <v>21</v>
      </c>
      <c r="R1496" s="41" t="s">
        <v>16</v>
      </c>
      <c r="S1496" s="41" t="s">
        <v>17</v>
      </c>
      <c r="T1496" s="41" t="s">
        <v>689</v>
      </c>
      <c r="U1496" s="16" t="s">
        <v>13</v>
      </c>
      <c r="V1496" s="16" t="s">
        <v>1083</v>
      </c>
      <c r="W1496" s="19" t="s"/>
      <c r="X1496" s="26" t="s">
        <f>=M1496&amp;N1496&amp;P1496&amp;Q1496&amp;T1496&amp;V1496&amp;S1496</f>
        <v>1635</v>
      </c>
      <c r="Y1496" s="19" t="s"/>
      <c r="Z1496" s="19" t="s"/>
      <c r="AA1496" s="19" t="s"/>
      <c r="AB1496" s="19" t="s"/>
    </row>
    <row r="1497" spans="1:29" ht="14.4">
      <c r="A1497" s="49">
        <v>46177</v>
      </c>
      <c r="B1497" s="43">
        <f>=F1497/12</f>
        <v>25.5</v>
      </c>
      <c r="C1497" s="43">
        <f>=J1497/3</f>
        <v>204</v>
      </c>
      <c r="D1497" s="43">
        <f>=K1497/3</f>
        <v>226.666666666667</v>
      </c>
      <c r="E1497" s="43">
        <f>=L1497/3</f>
        <v>238</v>
      </c>
      <c r="F1497" s="43">
        <f>=H1497*0.9</f>
        <v>306</v>
      </c>
      <c r="G1497" s="27">
        <v>263</v>
      </c>
      <c r="H1497" s="44">
        <v>340</v>
      </c>
      <c r="I1497" s="45">
        <f>=H1497*1.05</f>
        <v>357</v>
      </c>
      <c r="J1497" s="45">
        <f>=F1497*2</f>
        <v>612</v>
      </c>
      <c r="K1497" s="45">
        <f>=H1497*2</f>
        <v>680</v>
      </c>
      <c r="L1497" s="45">
        <f>=I1497*2</f>
        <v>714</v>
      </c>
      <c r="M1497" s="46" t="s">
        <v>1522</v>
      </c>
      <c r="N1497" s="46">
        <v>0.203</v>
      </c>
      <c r="O1497" s="46" t="s"/>
      <c r="P1497" s="46" t="s">
        <v>21</v>
      </c>
      <c r="Q1497" s="46" t="s">
        <v>21</v>
      </c>
      <c r="R1497" s="46" t="s">
        <v>16</v>
      </c>
      <c r="S1497" s="46" t="s">
        <v>17</v>
      </c>
      <c r="T1497" s="46" t="s">
        <v>689</v>
      </c>
      <c r="U1497" s="13" t="s">
        <v>13</v>
      </c>
      <c r="V1497" s="11" t="s">
        <v>1446</v>
      </c>
      <c r="W1497" s="15" t="s"/>
      <c r="X1497" s="18" t="s">
        <f>=M1497&amp;N1497&amp;P1497&amp;Q1497&amp;T1497&amp;V1497&amp;S1497</f>
        <v>1636</v>
      </c>
      <c r="Y1497" s="15" t="s"/>
      <c r="Z1497" s="15" t="s"/>
      <c r="AA1497" s="15" t="s"/>
      <c r="AB1497" s="15" t="s"/>
      <c r="AC1497" s="48" t="s"/>
    </row>
    <row r="1498" spans="1:28" ht="14.4">
      <c r="A1498" s="4">
        <f>=H1498/G1498-1</f>
        <v>0.0992647058823531</v>
      </c>
      <c r="B1498" s="20">
        <f>=F1498/12</f>
        <v>22.425</v>
      </c>
      <c r="C1498" s="20">
        <f>=J1498/3</f>
        <v>179.4</v>
      </c>
      <c r="D1498" s="20">
        <f>=K1498/3</f>
        <v>199.333333333333</v>
      </c>
      <c r="E1498" s="20">
        <f>=L1498/3</f>
        <v>209.3</v>
      </c>
      <c r="F1498" s="20">
        <f>=H1498*0.9</f>
        <v>269.1</v>
      </c>
      <c r="G1498" s="21">
        <v>272</v>
      </c>
      <c r="H1498" s="39">
        <v>299</v>
      </c>
      <c r="I1498" s="40">
        <f>=H1498*1.05</f>
        <v>313.95</v>
      </c>
      <c r="J1498" s="40">
        <f>=F1498*2</f>
        <v>538.2</v>
      </c>
      <c r="K1498" s="40">
        <f>=H1498*2</f>
        <v>598</v>
      </c>
      <c r="L1498" s="40">
        <f>=I1498*2</f>
        <v>627.9</v>
      </c>
      <c r="M1498" s="41" t="s">
        <v>1522</v>
      </c>
      <c r="N1498" s="41">
        <v>0.203</v>
      </c>
      <c r="O1498" s="41" t="s"/>
      <c r="P1498" s="41" t="s">
        <v>21</v>
      </c>
      <c r="Q1498" s="41">
        <v>1</v>
      </c>
      <c r="R1498" s="41" t="s">
        <v>16</v>
      </c>
      <c r="S1498" s="41" t="s">
        <v>17</v>
      </c>
      <c r="T1498" s="41" t="s">
        <v>689</v>
      </c>
      <c r="U1498" s="16" t="s">
        <v>13</v>
      </c>
      <c r="V1498" s="16" t="s">
        <v>1083</v>
      </c>
      <c r="W1498" s="19" t="s"/>
      <c r="X1498" s="26" t="s">
        <f>=M1498&amp;N1498&amp;P1498&amp;Q1498&amp;T1498&amp;V1498&amp;S1498</f>
        <v>1637</v>
      </c>
      <c r="Y1498" s="19" t="s"/>
      <c r="Z1498" s="19" t="s"/>
      <c r="AA1498" s="19" t="s"/>
      <c r="AB1498" s="19" t="s"/>
    </row>
    <row r="1499" spans="1:28" ht="14.4">
      <c r="A1499" s="4">
        <f>=H1499/G1499-1</f>
        <v>0.1</v>
      </c>
      <c r="B1499" s="20">
        <f>=F1499/12</f>
        <v>27.225</v>
      </c>
      <c r="C1499" s="20">
        <f>=J1499/3</f>
        <v>217.8</v>
      </c>
      <c r="D1499" s="20">
        <f>=K1499/3</f>
        <v>242</v>
      </c>
      <c r="E1499" s="20">
        <f>=L1499/3</f>
        <v>254.1</v>
      </c>
      <c r="F1499" s="20">
        <f>=H1499*0.9</f>
        <v>326.7</v>
      </c>
      <c r="G1499" s="21">
        <v>330</v>
      </c>
      <c r="H1499" s="39">
        <v>363</v>
      </c>
      <c r="I1499" s="40">
        <f>=H1499*1.05</f>
        <v>381.15</v>
      </c>
      <c r="J1499" s="40">
        <f>=F1499*2</f>
        <v>653.4</v>
      </c>
      <c r="K1499" s="40">
        <f>=H1499*2</f>
        <v>726</v>
      </c>
      <c r="L1499" s="40">
        <f>=I1499*2</f>
        <v>762.3</v>
      </c>
      <c r="M1499" s="41" t="s">
        <v>1522</v>
      </c>
      <c r="N1499" s="41">
        <v>0.254</v>
      </c>
      <c r="O1499" s="41" t="s"/>
      <c r="P1499" s="41">
        <v>2</v>
      </c>
      <c r="Q1499" s="41">
        <v>1</v>
      </c>
      <c r="R1499" s="41" t="s">
        <v>16</v>
      </c>
      <c r="S1499" s="41" t="s">
        <v>17</v>
      </c>
      <c r="T1499" s="41" t="s">
        <v>43</v>
      </c>
      <c r="U1499" s="16" t="s">
        <v>13</v>
      </c>
      <c r="V1499" s="16" t="s">
        <v>1119</v>
      </c>
      <c r="W1499" s="19" t="s"/>
      <c r="X1499" s="26" t="s">
        <f>=M1499&amp;N1499&amp;P1499&amp;Q1499&amp;T1499&amp;V1499&amp;S1499</f>
        <v>1638</v>
      </c>
      <c r="Y1499" s="19" t="s"/>
      <c r="Z1499" s="19" t="s"/>
      <c r="AA1499" s="19" t="s"/>
      <c r="AB1499" s="19" t="s"/>
    </row>
    <row r="1500" spans="1:28" ht="14.4">
      <c r="A1500" s="4">
        <f>=H1500/G1500-1</f>
        <v>0.1</v>
      </c>
      <c r="B1500" s="20">
        <f>=F1500/12</f>
        <v>32.175</v>
      </c>
      <c r="C1500" s="20">
        <f>=J1500/3</f>
        <v>257.4</v>
      </c>
      <c r="D1500" s="20">
        <f>=K1500/3</f>
        <v>286</v>
      </c>
      <c r="E1500" s="20">
        <f>=L1500/3</f>
        <v>300.3</v>
      </c>
      <c r="F1500" s="20">
        <f>=H1500*0.9</f>
        <v>386.1</v>
      </c>
      <c r="G1500" s="21">
        <v>390</v>
      </c>
      <c r="H1500" s="39">
        <v>429</v>
      </c>
      <c r="I1500" s="40">
        <f>=H1500*1.05</f>
        <v>450.45</v>
      </c>
      <c r="J1500" s="40">
        <f>=F1500*2</f>
        <v>772.2</v>
      </c>
      <c r="K1500" s="40">
        <f>=H1500*2</f>
        <v>858</v>
      </c>
      <c r="L1500" s="40">
        <f>=I1500*2</f>
        <v>900.9</v>
      </c>
      <c r="M1500" s="41" t="s">
        <v>1522</v>
      </c>
      <c r="N1500" s="41">
        <v>0.254</v>
      </c>
      <c r="O1500" s="41" t="s"/>
      <c r="P1500" s="41">
        <v>2</v>
      </c>
      <c r="Q1500" s="41">
        <v>1</v>
      </c>
      <c r="R1500" s="41" t="s">
        <v>16</v>
      </c>
      <c r="S1500" s="41" t="s">
        <v>17</v>
      </c>
      <c r="T1500" s="41" t="s">
        <v>52</v>
      </c>
      <c r="U1500" s="16" t="s">
        <v>13</v>
      </c>
      <c r="V1500" s="16" t="s">
        <v>215</v>
      </c>
      <c r="W1500" s="5" t="s"/>
      <c r="X1500" s="26" t="s">
        <f>=M1500&amp;N1500&amp;P1500&amp;Q1500&amp;T1500&amp;V1500&amp;S1500</f>
        <v>1639</v>
      </c>
      <c r="Y1500" s="19" t="s"/>
      <c r="Z1500" s="19" t="s"/>
      <c r="AA1500" s="19" t="s"/>
      <c r="AB1500" s="19" t="s"/>
    </row>
    <row r="1501" spans="1:28" ht="14.4">
      <c r="A1501" s="4">
        <f>=H1501/G1501-1</f>
        <v>0.101333333333333</v>
      </c>
      <c r="B1501" s="20">
        <f>=F1501/12</f>
        <v>30.975</v>
      </c>
      <c r="C1501" s="20">
        <f>=J1501/3</f>
        <v>247.8</v>
      </c>
      <c r="D1501" s="20">
        <f>=K1501/3</f>
        <v>275.333333333333</v>
      </c>
      <c r="E1501" s="20">
        <f>=L1501/3</f>
        <v>289.1</v>
      </c>
      <c r="F1501" s="20">
        <f>=H1501*0.9</f>
        <v>371.7</v>
      </c>
      <c r="G1501" s="21">
        <v>375</v>
      </c>
      <c r="H1501" s="39">
        <v>413</v>
      </c>
      <c r="I1501" s="40">
        <f>=H1501*1.05</f>
        <v>433.65</v>
      </c>
      <c r="J1501" s="40">
        <f>=F1501*2</f>
        <v>743.4</v>
      </c>
      <c r="K1501" s="40">
        <f>=H1501*2</f>
        <v>826</v>
      </c>
      <c r="L1501" s="40">
        <f>=I1501*2</f>
        <v>867.3</v>
      </c>
      <c r="M1501" s="41" t="s">
        <v>1522</v>
      </c>
      <c r="N1501" s="41">
        <v>0.305</v>
      </c>
      <c r="O1501" s="41" t="s"/>
      <c r="P1501" s="41">
        <v>1</v>
      </c>
      <c r="Q1501" s="41">
        <v>1</v>
      </c>
      <c r="R1501" s="41" t="s">
        <v>16</v>
      </c>
      <c r="S1501" s="41" t="s">
        <v>17</v>
      </c>
      <c r="T1501" s="41" t="s">
        <v>325</v>
      </c>
      <c r="U1501" s="16" t="s">
        <v>13</v>
      </c>
      <c r="V1501" s="16" t="s">
        <v>1083</v>
      </c>
      <c r="W1501" s="5" t="s"/>
      <c r="X1501" s="26" t="s">
        <f>=M1501&amp;N1501&amp;P1501&amp;Q1501&amp;T1501&amp;V1501&amp;S1501</f>
        <v>1640</v>
      </c>
      <c r="Y1501" s="5" t="s"/>
      <c r="Z1501" s="5" t="s"/>
      <c r="AA1501" s="5" t="s"/>
      <c r="AB1501" s="5" t="s"/>
    </row>
    <row r="1502" spans="1:28" ht="14.4">
      <c r="A1502" s="4">
        <f>=H1502/G1502-1</f>
        <v>0.1</v>
      </c>
      <c r="B1502" s="20">
        <f>=F1502/12</f>
        <v>37.125</v>
      </c>
      <c r="C1502" s="20">
        <f>=J1502/3</f>
        <v>297</v>
      </c>
      <c r="D1502" s="20">
        <f>=K1502/3</f>
        <v>330</v>
      </c>
      <c r="E1502" s="20">
        <f>=L1502/3</f>
        <v>346.5</v>
      </c>
      <c r="F1502" s="20">
        <f>=H1502*0.9</f>
        <v>445.5</v>
      </c>
      <c r="G1502" s="21">
        <v>450</v>
      </c>
      <c r="H1502" s="39">
        <v>495</v>
      </c>
      <c r="I1502" s="40">
        <f>=H1502*1.05</f>
        <v>519.75</v>
      </c>
      <c r="J1502" s="40">
        <f>=F1502*2</f>
        <v>891</v>
      </c>
      <c r="K1502" s="40">
        <f>=H1502*2</f>
        <v>990</v>
      </c>
      <c r="L1502" s="40">
        <f>=I1502*2</f>
        <v>1039.5</v>
      </c>
      <c r="M1502" s="41" t="s">
        <v>1522</v>
      </c>
      <c r="N1502" s="41">
        <v>0.305</v>
      </c>
      <c r="O1502" s="41" t="s"/>
      <c r="P1502" s="41">
        <v>1</v>
      </c>
      <c r="Q1502" s="41">
        <v>2</v>
      </c>
      <c r="R1502" s="41" t="s">
        <v>16</v>
      </c>
      <c r="S1502" s="41" t="s">
        <v>17</v>
      </c>
      <c r="T1502" s="41" t="s">
        <v>325</v>
      </c>
      <c r="U1502" s="16" t="s">
        <v>13</v>
      </c>
      <c r="V1502" s="16" t="s">
        <v>1119</v>
      </c>
      <c r="W1502" s="5" t="s"/>
      <c r="X1502" s="26" t="s">
        <f>=M1502&amp;N1502&amp;P1502&amp;Q1502&amp;T1502&amp;V1502&amp;S1502</f>
        <v>1641</v>
      </c>
      <c r="Y1502" s="5" t="s"/>
      <c r="Z1502" s="5" t="s"/>
      <c r="AA1502" s="5" t="s"/>
      <c r="AB1502" s="5" t="s"/>
    </row>
    <row r="1503" spans="1:28" ht="14.4">
      <c r="A1503" s="4">
        <f>=H1503/G1503-1</f>
        <v>0.100294985250738</v>
      </c>
      <c r="B1503" s="20">
        <f>=F1503/12</f>
        <v>27.975</v>
      </c>
      <c r="C1503" s="20">
        <f>=J1503/3</f>
        <v>223.8</v>
      </c>
      <c r="D1503" s="20">
        <f>=K1503/3</f>
        <v>248.666666666667</v>
      </c>
      <c r="E1503" s="20">
        <f>=L1503/3</f>
        <v>261.1</v>
      </c>
      <c r="F1503" s="20">
        <f>=H1503*0.9</f>
        <v>335.7</v>
      </c>
      <c r="G1503" s="21">
        <v>339</v>
      </c>
      <c r="H1503" s="39">
        <v>373</v>
      </c>
      <c r="I1503" s="40">
        <f>=H1503*1.05</f>
        <v>391.65</v>
      </c>
      <c r="J1503" s="40">
        <f>=F1503*2</f>
        <v>671.4</v>
      </c>
      <c r="K1503" s="40">
        <f>=H1503*2</f>
        <v>746</v>
      </c>
      <c r="L1503" s="40">
        <f>=I1503*2</f>
        <v>783.3</v>
      </c>
      <c r="M1503" s="41" t="s">
        <v>1522</v>
      </c>
      <c r="N1503" s="41">
        <v>0.305</v>
      </c>
      <c r="O1503" s="41" t="s"/>
      <c r="P1503" s="41" t="s">
        <v>21</v>
      </c>
      <c r="Q1503" s="41" t="s">
        <v>21</v>
      </c>
      <c r="R1503" s="41" t="s">
        <v>16</v>
      </c>
      <c r="S1503" s="41" t="s">
        <v>17</v>
      </c>
      <c r="T1503" s="41" t="s">
        <v>325</v>
      </c>
      <c r="U1503" s="16" t="s">
        <v>13</v>
      </c>
      <c r="V1503" s="16" t="s">
        <v>215</v>
      </c>
      <c r="W1503" s="5" t="s"/>
      <c r="X1503" s="26" t="s">
        <f>=M1503&amp;N1503&amp;P1503&amp;Q1503&amp;T1503&amp;V1503&amp;S1503</f>
        <v>1642</v>
      </c>
      <c r="Y1503" s="5" t="s"/>
      <c r="Z1503" s="5" t="s"/>
      <c r="AA1503" s="5" t="s"/>
      <c r="AB1503" s="5" t="s"/>
    </row>
    <row r="1504" spans="1:28" ht="14.4">
      <c r="A1504" s="4">
        <f>=H1504/G1504-1</f>
        <v>0.101010101010101</v>
      </c>
      <c r="B1504" s="20">
        <f>=F1504/12</f>
        <v>40.875</v>
      </c>
      <c r="C1504" s="20">
        <f>=J1504/3</f>
        <v>327</v>
      </c>
      <c r="D1504" s="20">
        <f>=K1504/3</f>
        <v>363.333333333333</v>
      </c>
      <c r="E1504" s="20">
        <f>=L1504/3</f>
        <v>381.5</v>
      </c>
      <c r="F1504" s="20">
        <f>=H1504*0.9</f>
        <v>490.5</v>
      </c>
      <c r="G1504" s="21">
        <v>495</v>
      </c>
      <c r="H1504" s="39">
        <v>545</v>
      </c>
      <c r="I1504" s="40">
        <f>=H1504*1.05</f>
        <v>572.25</v>
      </c>
      <c r="J1504" s="40">
        <f>=F1504*2</f>
        <v>981</v>
      </c>
      <c r="K1504" s="40">
        <f>=H1504*2</f>
        <v>1090</v>
      </c>
      <c r="L1504" s="40">
        <f>=I1504*2</f>
        <v>1144.5</v>
      </c>
      <c r="M1504" s="41" t="s">
        <v>1522</v>
      </c>
      <c r="N1504" s="41">
        <v>0.305</v>
      </c>
      <c r="O1504" s="41" t="s"/>
      <c r="P1504" s="41">
        <v>2</v>
      </c>
      <c r="Q1504" s="41">
        <v>2</v>
      </c>
      <c r="R1504" s="41" t="s">
        <v>16</v>
      </c>
      <c r="S1504" s="41" t="s">
        <v>17</v>
      </c>
      <c r="T1504" s="41" t="s">
        <v>325</v>
      </c>
      <c r="U1504" s="16" t="s">
        <v>13</v>
      </c>
      <c r="V1504" s="16" t="s">
        <v>215</v>
      </c>
      <c r="W1504" s="19" t="s"/>
      <c r="X1504" s="26" t="s">
        <f>=M1504&amp;N1504&amp;P1504&amp;Q1504&amp;T1504&amp;V1504&amp;S1504</f>
        <v>1643</v>
      </c>
      <c r="Y1504" s="19" t="s"/>
      <c r="Z1504" s="19" t="s"/>
      <c r="AA1504" s="19" t="s"/>
      <c r="AB1504" s="19" t="s"/>
    </row>
    <row r="1505" spans="1:28" ht="14.4">
      <c r="A1505" s="4">
        <f>=H1505/G1505-1</f>
        <v>0.100286532951289</v>
      </c>
      <c r="B1505" s="20">
        <f>=F1505/12</f>
        <v>28.8</v>
      </c>
      <c r="C1505" s="20">
        <f>=J1505/3</f>
        <v>230.4</v>
      </c>
      <c r="D1505" s="20">
        <f>=K1505/3</f>
        <v>256</v>
      </c>
      <c r="E1505" s="20">
        <f>=L1505/3</f>
        <v>268.8</v>
      </c>
      <c r="F1505" s="20">
        <f>=H1505*0.9</f>
        <v>345.6</v>
      </c>
      <c r="G1505" s="21">
        <v>349</v>
      </c>
      <c r="H1505" s="39">
        <v>384</v>
      </c>
      <c r="I1505" s="40">
        <f>=H1505*1.05</f>
        <v>403.2</v>
      </c>
      <c r="J1505" s="40">
        <f>=F1505*2</f>
        <v>691.2</v>
      </c>
      <c r="K1505" s="40">
        <f>=H1505*2</f>
        <v>768</v>
      </c>
      <c r="L1505" s="40">
        <f>=I1505*2</f>
        <v>806.4</v>
      </c>
      <c r="M1505" s="41" t="s">
        <v>1522</v>
      </c>
      <c r="N1505" s="41">
        <v>0.305</v>
      </c>
      <c r="O1505" s="41" t="s"/>
      <c r="P1505" s="41" t="s">
        <v>21</v>
      </c>
      <c r="Q1505" s="41" t="s">
        <v>21</v>
      </c>
      <c r="R1505" s="41" t="s">
        <v>16</v>
      </c>
      <c r="S1505" s="41" t="s">
        <v>17</v>
      </c>
      <c r="T1505" s="41" t="s">
        <v>325</v>
      </c>
      <c r="U1505" s="16" t="s">
        <v>13</v>
      </c>
      <c r="V1505" s="16" t="s">
        <v>1083</v>
      </c>
      <c r="W1505" s="5" t="s"/>
      <c r="X1505" s="26" t="s">
        <f>=M1505&amp;N1505&amp;P1505&amp;Q1505&amp;T1505&amp;V1505&amp;S1505</f>
        <v>1644</v>
      </c>
      <c r="Y1505" s="5" t="s"/>
      <c r="Z1505" s="5" t="s"/>
      <c r="AA1505" s="5" t="s"/>
      <c r="AB1505" s="5" t="s"/>
    </row>
    <row r="1506" spans="1:28" ht="14.4">
      <c r="A1506" s="4">
        <f>=H1506/G1506-1</f>
        <v>0.0790378006872852</v>
      </c>
      <c r="B1506" s="20">
        <f>=F1506/12</f>
        <v>23.55</v>
      </c>
      <c r="C1506" s="20">
        <f>=J1506/3</f>
        <v>188.4</v>
      </c>
      <c r="D1506" s="20">
        <f>=K1506/3</f>
        <v>209.333333333333</v>
      </c>
      <c r="E1506" s="20">
        <f>=L1506/3</f>
        <v>219.8</v>
      </c>
      <c r="F1506" s="20">
        <f>=H1506*0.9</f>
        <v>282.6</v>
      </c>
      <c r="G1506" s="21">
        <v>291</v>
      </c>
      <c r="H1506" s="39">
        <v>314</v>
      </c>
      <c r="I1506" s="40">
        <f>=H1506*1.05</f>
        <v>329.7</v>
      </c>
      <c r="J1506" s="40">
        <f>=F1506*2</f>
        <v>565.2</v>
      </c>
      <c r="K1506" s="40">
        <f>=H1506*2</f>
        <v>628</v>
      </c>
      <c r="L1506" s="40">
        <f>=I1506*2</f>
        <v>659.4</v>
      </c>
      <c r="M1506" s="41" t="s">
        <v>1522</v>
      </c>
      <c r="N1506" s="41">
        <v>0.254</v>
      </c>
      <c r="O1506" s="41" t="s"/>
      <c r="P1506" s="41">
        <v>1</v>
      </c>
      <c r="Q1506" s="41">
        <v>1</v>
      </c>
      <c r="R1506" s="41" t="s">
        <v>16</v>
      </c>
      <c r="S1506" s="41" t="s">
        <v>17</v>
      </c>
      <c r="T1506" s="41" t="s">
        <v>52</v>
      </c>
      <c r="U1506" s="16" t="s">
        <v>13</v>
      </c>
      <c r="V1506" s="16" t="s">
        <v>1083</v>
      </c>
      <c r="W1506" s="19" t="s"/>
      <c r="X1506" s="26" t="s">
        <f>=M1506&amp;N1506&amp;P1506&amp;Q1506&amp;T1506&amp;V1506&amp;S1506</f>
        <v>1645</v>
      </c>
      <c r="Y1506" s="19" t="s"/>
      <c r="Z1506" s="19" t="s"/>
      <c r="AA1506" s="19" t="s"/>
      <c r="AB1506" s="19" t="s"/>
    </row>
    <row r="1507" spans="1:28" ht="14.4">
      <c r="A1507" s="4">
        <f>=H1507/G1507-1</f>
        <v>0.0988700564971752</v>
      </c>
      <c r="B1507" s="20">
        <f>=F1507/12</f>
        <v>29.175</v>
      </c>
      <c r="C1507" s="20">
        <f>=J1507/3</f>
        <v>233.4</v>
      </c>
      <c r="D1507" s="20">
        <f>=K1507/3</f>
        <v>259.333333333333</v>
      </c>
      <c r="E1507" s="20">
        <f>=L1507/3</f>
        <v>272.3</v>
      </c>
      <c r="F1507" s="20">
        <f>=H1507*0.9</f>
        <v>350.1</v>
      </c>
      <c r="G1507" s="21">
        <v>354</v>
      </c>
      <c r="H1507" s="39">
        <v>389</v>
      </c>
      <c r="I1507" s="40">
        <f>=H1507*1.05</f>
        <v>408.45</v>
      </c>
      <c r="J1507" s="40">
        <f>=F1507*2</f>
        <v>700.2</v>
      </c>
      <c r="K1507" s="40">
        <f>=H1507*2</f>
        <v>778</v>
      </c>
      <c r="L1507" s="40">
        <f>=I1507*2</f>
        <v>816.9</v>
      </c>
      <c r="M1507" s="41" t="s">
        <v>1522</v>
      </c>
      <c r="N1507" s="41">
        <v>0.36</v>
      </c>
      <c r="O1507" s="41" t="s"/>
      <c r="P1507" s="41">
        <v>1</v>
      </c>
      <c r="Q1507" s="41">
        <v>1</v>
      </c>
      <c r="R1507" s="41" t="s">
        <v>16</v>
      </c>
      <c r="S1507" s="41" t="s">
        <v>17</v>
      </c>
      <c r="T1507" s="41" t="s">
        <v>1172</v>
      </c>
      <c r="U1507" s="16" t="s">
        <v>13</v>
      </c>
      <c r="V1507" s="16" t="s">
        <v>215</v>
      </c>
      <c r="W1507" s="19" t="s"/>
      <c r="X1507" s="26" t="s">
        <f>=M1507&amp;N1507&amp;P1507&amp;Q1507&amp;T1507&amp;V1507&amp;S1507</f>
        <v>1646</v>
      </c>
      <c r="Y1507" s="19" t="s"/>
      <c r="Z1507" s="19" t="s"/>
      <c r="AA1507" s="19" t="s"/>
      <c r="AB1507" s="19" t="s"/>
    </row>
    <row r="1508" spans="1:29" ht="14.4">
      <c r="A1508" s="49">
        <v>46175</v>
      </c>
      <c r="B1508" s="43">
        <f>=F1508/12</f>
        <v>42.75</v>
      </c>
      <c r="C1508" s="43">
        <f>=J1508/3</f>
        <v>342</v>
      </c>
      <c r="D1508" s="43">
        <f>=K1508/3</f>
        <v>380</v>
      </c>
      <c r="E1508" s="43">
        <f>=L1508/3</f>
        <v>399</v>
      </c>
      <c r="F1508" s="43">
        <f>=H1508*0.9</f>
        <v>513</v>
      </c>
      <c r="G1508" s="27">
        <v>391</v>
      </c>
      <c r="H1508" s="44">
        <v>570</v>
      </c>
      <c r="I1508" s="45">
        <f>=H1508*1.05</f>
        <v>598.5</v>
      </c>
      <c r="J1508" s="45">
        <f>=F1508*2</f>
        <v>1026</v>
      </c>
      <c r="K1508" s="45">
        <f>=H1508*2</f>
        <v>1140</v>
      </c>
      <c r="L1508" s="45">
        <f>=I1508*2</f>
        <v>1197</v>
      </c>
      <c r="M1508" s="46" t="s">
        <v>1522</v>
      </c>
      <c r="N1508" s="46">
        <v>0.381</v>
      </c>
      <c r="O1508" s="46" t="s"/>
      <c r="P1508" s="12">
        <v>2</v>
      </c>
      <c r="Q1508" s="12">
        <v>2</v>
      </c>
      <c r="R1508" s="46" t="s">
        <v>16</v>
      </c>
      <c r="S1508" s="46" t="s">
        <v>17</v>
      </c>
      <c r="T1508" s="46" t="s">
        <v>1286</v>
      </c>
      <c r="U1508" s="13" t="s">
        <v>13</v>
      </c>
      <c r="V1508" s="11" t="s">
        <v>215</v>
      </c>
      <c r="W1508" s="15" t="s"/>
      <c r="X1508" s="18" t="s">
        <f>=M1508&amp;N1508&amp;P1508&amp;Q1508&amp;T1508&amp;V1508&amp;S1508</f>
        <v>1647</v>
      </c>
      <c r="Y1508" s="15" t="s"/>
      <c r="Z1508" s="15" t="s"/>
      <c r="AA1508" s="15" t="s"/>
      <c r="AB1508" s="15" t="s"/>
      <c r="AC1508" s="48" t="s"/>
    </row>
    <row r="1509" spans="1:28" ht="14.4">
      <c r="A1509" s="4">
        <f>=H1509/G1509-1</f>
        <v>0.0997442455242967</v>
      </c>
      <c r="B1509" s="20">
        <f>=F1509/12</f>
        <v>32.25</v>
      </c>
      <c r="C1509" s="20">
        <f>=J1509/3</f>
        <v>258</v>
      </c>
      <c r="D1509" s="20">
        <f>=K1509/3</f>
        <v>286.666666666667</v>
      </c>
      <c r="E1509" s="20">
        <f>=L1509/3</f>
        <v>301</v>
      </c>
      <c r="F1509" s="20">
        <f>=H1509*0.9</f>
        <v>387</v>
      </c>
      <c r="G1509" s="21">
        <v>391</v>
      </c>
      <c r="H1509" s="39">
        <v>430</v>
      </c>
      <c r="I1509" s="40">
        <f>=H1509*1.05</f>
        <v>451.5</v>
      </c>
      <c r="J1509" s="40">
        <f>=F1509*2</f>
        <v>774</v>
      </c>
      <c r="K1509" s="40">
        <f>=H1509*2</f>
        <v>860</v>
      </c>
      <c r="L1509" s="40">
        <f>=I1509*2</f>
        <v>903</v>
      </c>
      <c r="M1509" s="41" t="s">
        <v>1522</v>
      </c>
      <c r="N1509" s="41">
        <v>0.381</v>
      </c>
      <c r="O1509" s="41" t="s"/>
      <c r="P1509" s="41">
        <v>1</v>
      </c>
      <c r="Q1509" s="41">
        <v>1</v>
      </c>
      <c r="R1509" s="41" t="s">
        <v>16</v>
      </c>
      <c r="S1509" s="41" t="s">
        <v>17</v>
      </c>
      <c r="T1509" s="41" t="s">
        <v>1286</v>
      </c>
      <c r="U1509" s="16" t="s">
        <v>13</v>
      </c>
      <c r="V1509" s="16" t="s">
        <v>1227</v>
      </c>
      <c r="W1509" s="19" t="s"/>
      <c r="X1509" s="26" t="s">
        <f>=M1509&amp;N1509&amp;P1509&amp;Q1509&amp;T1509&amp;V1509&amp;S1509</f>
        <v>1648</v>
      </c>
      <c r="Y1509" s="19" t="s"/>
      <c r="Z1509" s="19" t="s"/>
      <c r="AA1509" s="19" t="s"/>
      <c r="AB1509" s="19" t="s"/>
    </row>
    <row r="1510" spans="1:28" ht="14.4">
      <c r="A1510" s="4">
        <f>=H1510/G1510-1</f>
        <v>0.10126582278481</v>
      </c>
      <c r="B1510" s="20">
        <f>=F1510/12</f>
        <v>32.625</v>
      </c>
      <c r="C1510" s="20">
        <f>=J1510/3</f>
        <v>261</v>
      </c>
      <c r="D1510" s="20">
        <f>=K1510/3</f>
        <v>290</v>
      </c>
      <c r="E1510" s="20">
        <f>=L1510/3</f>
        <v>304.5</v>
      </c>
      <c r="F1510" s="20">
        <f>=H1510*0.9</f>
        <v>391.5</v>
      </c>
      <c r="G1510" s="21">
        <v>395</v>
      </c>
      <c r="H1510" s="39">
        <v>435</v>
      </c>
      <c r="I1510" s="40">
        <f>=H1510*1.05</f>
        <v>456.75</v>
      </c>
      <c r="J1510" s="40">
        <f>=F1510*2</f>
        <v>783</v>
      </c>
      <c r="K1510" s="40">
        <f>=H1510*2</f>
        <v>870</v>
      </c>
      <c r="L1510" s="40">
        <f>=I1510*2</f>
        <v>913.5</v>
      </c>
      <c r="M1510" s="41" t="s">
        <v>1522</v>
      </c>
      <c r="N1510" s="41">
        <v>0.406</v>
      </c>
      <c r="O1510" s="41" t="s"/>
      <c r="P1510" s="41">
        <v>1</v>
      </c>
      <c r="Q1510" s="41">
        <v>1</v>
      </c>
      <c r="R1510" s="41" t="s">
        <v>16</v>
      </c>
      <c r="S1510" s="41" t="s">
        <v>17</v>
      </c>
      <c r="T1510" s="41" t="s">
        <v>1286</v>
      </c>
      <c r="U1510" s="16" t="s">
        <v>13</v>
      </c>
      <c r="V1510" s="16" t="s">
        <v>1083</v>
      </c>
      <c r="W1510" s="19" t="s"/>
      <c r="X1510" s="26" t="s">
        <f>=M1510&amp;N1510&amp;P1510&amp;Q1510&amp;T1510&amp;V1510&amp;S1510</f>
        <v>1649</v>
      </c>
      <c r="Y1510" s="19" t="s"/>
      <c r="Z1510" s="19" t="s"/>
      <c r="AA1510" s="19" t="s"/>
      <c r="AB1510" s="19" t="s"/>
    </row>
    <row r="1511" spans="1:29" ht="14.4">
      <c r="A1511" s="42">
        <f>=H1511/G1511-1</f>
        <v>0.0430379746835443</v>
      </c>
      <c r="B1511" s="43">
        <f>=F1511/12</f>
        <v>30.9</v>
      </c>
      <c r="C1511" s="43">
        <f>=J1511/3</f>
        <v>247.2</v>
      </c>
      <c r="D1511" s="43">
        <f>=K1511/3</f>
        <v>274.666666666667</v>
      </c>
      <c r="E1511" s="43">
        <f>=L1511/3</f>
        <v>288.4</v>
      </c>
      <c r="F1511" s="43">
        <f>=H1511*0.9</f>
        <v>370.8</v>
      </c>
      <c r="G1511" s="27">
        <v>395</v>
      </c>
      <c r="H1511" s="44">
        <v>412</v>
      </c>
      <c r="I1511" s="45">
        <f>=H1511*1.05</f>
        <v>432.6</v>
      </c>
      <c r="J1511" s="45">
        <f>=F1511*2</f>
        <v>741.6</v>
      </c>
      <c r="K1511" s="45">
        <f>=H1511*2</f>
        <v>824</v>
      </c>
      <c r="L1511" s="45">
        <f>=I1511*2</f>
        <v>865.2</v>
      </c>
      <c r="M1511" s="46" t="s">
        <v>1522</v>
      </c>
      <c r="N1511" s="46">
        <v>0.406</v>
      </c>
      <c r="O1511" s="46" t="s"/>
      <c r="P1511" s="12" t="s">
        <v>21</v>
      </c>
      <c r="Q1511" s="46">
        <v>1</v>
      </c>
      <c r="R1511" s="46" t="s">
        <v>16</v>
      </c>
      <c r="S1511" s="46" t="s">
        <v>17</v>
      </c>
      <c r="T1511" s="46" t="s">
        <v>1286</v>
      </c>
      <c r="U1511" s="13" t="s">
        <v>13</v>
      </c>
      <c r="V1511" s="13" t="s">
        <v>1083</v>
      </c>
      <c r="W1511" s="15" t="s"/>
      <c r="X1511" s="18" t="s">
        <f>=M1511&amp;N1511&amp;P1511&amp;Q1511&amp;T1511&amp;V1511&amp;S1511</f>
        <v>1650</v>
      </c>
      <c r="Y1511" s="15" t="s"/>
      <c r="Z1511" s="15" t="s"/>
      <c r="AA1511" s="15" t="s"/>
      <c r="AB1511" s="15" t="s"/>
      <c r="AC1511" s="48" t="s"/>
    </row>
    <row r="1512" spans="1:28" ht="14.4">
      <c r="A1512" s="4">
        <f>=H1512/G1512-1</f>
        <v>0.100719424460432</v>
      </c>
      <c r="B1512" s="20">
        <f>=F1512/12</f>
        <v>34.425</v>
      </c>
      <c r="C1512" s="20">
        <f>=J1512/3</f>
        <v>275.4</v>
      </c>
      <c r="D1512" s="20">
        <f>=K1512/3</f>
        <v>306</v>
      </c>
      <c r="E1512" s="20">
        <f>=L1512/3</f>
        <v>321.3</v>
      </c>
      <c r="F1512" s="20">
        <f>=H1512*0.9</f>
        <v>413.1</v>
      </c>
      <c r="G1512" s="21">
        <v>417</v>
      </c>
      <c r="H1512" s="39">
        <v>459</v>
      </c>
      <c r="I1512" s="40">
        <f>=H1512*1.05</f>
        <v>481.95</v>
      </c>
      <c r="J1512" s="40">
        <f>=F1512*2</f>
        <v>826.2</v>
      </c>
      <c r="K1512" s="40">
        <f>=H1512*2</f>
        <v>918</v>
      </c>
      <c r="L1512" s="40">
        <f>=I1512*2</f>
        <v>963.9</v>
      </c>
      <c r="M1512" s="41" t="s">
        <v>1522</v>
      </c>
      <c r="N1512" s="41">
        <v>0.406</v>
      </c>
      <c r="O1512" s="41" t="s"/>
      <c r="P1512" s="41">
        <v>1</v>
      </c>
      <c r="Q1512" s="41">
        <v>2</v>
      </c>
      <c r="R1512" s="41" t="s">
        <v>16</v>
      </c>
      <c r="S1512" s="41" t="s">
        <v>17</v>
      </c>
      <c r="T1512" s="41" t="s">
        <v>1286</v>
      </c>
      <c r="U1512" s="16" t="s">
        <v>13</v>
      </c>
      <c r="V1512" s="16" t="s">
        <v>1083</v>
      </c>
      <c r="W1512" s="19" t="s"/>
      <c r="X1512" s="26" t="s">
        <f>=M1512&amp;N1512&amp;P1512&amp;Q1512&amp;T1512&amp;V1512&amp;S1512</f>
        <v>1651</v>
      </c>
      <c r="Y1512" s="19" t="s"/>
      <c r="Z1512" s="19" t="s"/>
      <c r="AA1512" s="19" t="s"/>
      <c r="AB1512" s="19" t="s"/>
    </row>
    <row r="1513" spans="1:29" ht="14.4">
      <c r="A1513" s="49">
        <v>46177</v>
      </c>
      <c r="B1513" s="43">
        <f>=F1513/12</f>
        <v>30.75</v>
      </c>
      <c r="C1513" s="43">
        <f>=J1513/3</f>
        <v>246</v>
      </c>
      <c r="D1513" s="43">
        <f>=K1513/3</f>
        <v>273.333333333333</v>
      </c>
      <c r="E1513" s="43">
        <f>=L1513/3</f>
        <v>287</v>
      </c>
      <c r="F1513" s="43">
        <f>=H1513*0.9</f>
        <v>369</v>
      </c>
      <c r="G1513" s="27">
        <v>360</v>
      </c>
      <c r="H1513" s="44">
        <v>410</v>
      </c>
      <c r="I1513" s="45">
        <f>=H1513*1.05</f>
        <v>430.5</v>
      </c>
      <c r="J1513" s="45">
        <f>=F1513*2</f>
        <v>738</v>
      </c>
      <c r="K1513" s="45">
        <f>=H1513*2</f>
        <v>820</v>
      </c>
      <c r="L1513" s="45">
        <f>=I1513*2</f>
        <v>861</v>
      </c>
      <c r="M1513" s="46" t="s">
        <v>1522</v>
      </c>
      <c r="N1513" s="46">
        <v>0.406</v>
      </c>
      <c r="O1513" s="46" t="s"/>
      <c r="P1513" s="46" t="s">
        <v>21</v>
      </c>
      <c r="Q1513" s="46" t="s">
        <v>21</v>
      </c>
      <c r="R1513" s="46" t="s">
        <v>16</v>
      </c>
      <c r="S1513" s="46" t="s">
        <v>17</v>
      </c>
      <c r="T1513" s="46" t="s">
        <v>1286</v>
      </c>
      <c r="U1513" s="13" t="s">
        <v>13</v>
      </c>
      <c r="V1513" s="11" t="s">
        <v>1446</v>
      </c>
      <c r="W1513" s="15" t="s"/>
      <c r="X1513" s="18" t="s">
        <f>=M1513&amp;N1513&amp;P1513&amp;Q1513&amp;T1513&amp;V1513&amp;S1513</f>
        <v>1652</v>
      </c>
      <c r="Y1513" s="15" t="s"/>
      <c r="Z1513" s="15" t="s"/>
      <c r="AA1513" s="15" t="s"/>
      <c r="AB1513" s="15" t="s"/>
      <c r="AC1513" s="48" t="s"/>
    </row>
    <row r="1514" spans="1:28" ht="14.4">
      <c r="A1514" s="4">
        <f>=H1514/G1514-1</f>
        <v>0.1</v>
      </c>
      <c r="B1514" s="20">
        <f>=F1514/12</f>
        <v>29.7</v>
      </c>
      <c r="C1514" s="20">
        <f>=J1514/3</f>
        <v>237.6</v>
      </c>
      <c r="D1514" s="20">
        <f>=K1514/3</f>
        <v>264</v>
      </c>
      <c r="E1514" s="20">
        <f>=L1514/3</f>
        <v>277.2</v>
      </c>
      <c r="F1514" s="20">
        <f>=H1514*0.9</f>
        <v>356.4</v>
      </c>
      <c r="G1514" s="21">
        <v>360</v>
      </c>
      <c r="H1514" s="39">
        <v>396</v>
      </c>
      <c r="I1514" s="40">
        <f>=H1514*1.05</f>
        <v>415.8</v>
      </c>
      <c r="J1514" s="40">
        <f>=F1514*2</f>
        <v>712.8</v>
      </c>
      <c r="K1514" s="40">
        <f>=H1514*2</f>
        <v>792</v>
      </c>
      <c r="L1514" s="40">
        <f>=I1514*2</f>
        <v>831.6</v>
      </c>
      <c r="M1514" s="41" t="s">
        <v>1522</v>
      </c>
      <c r="N1514" s="41">
        <v>0.406</v>
      </c>
      <c r="O1514" s="41" t="s"/>
      <c r="P1514" s="41" t="s">
        <v>21</v>
      </c>
      <c r="Q1514" s="41" t="s">
        <v>21</v>
      </c>
      <c r="R1514" s="41" t="s">
        <v>16</v>
      </c>
      <c r="S1514" s="41" t="s">
        <v>17</v>
      </c>
      <c r="T1514" s="41" t="s">
        <v>1286</v>
      </c>
      <c r="U1514" s="16" t="s">
        <v>13</v>
      </c>
      <c r="V1514" s="16" t="s">
        <v>1083</v>
      </c>
      <c r="W1514" s="19" t="s"/>
      <c r="X1514" s="26" t="s">
        <f>=M1514&amp;N1514&amp;P1514&amp;Q1514&amp;T1514&amp;V1514&amp;S1514</f>
        <v>1653</v>
      </c>
      <c r="Y1514" s="19" t="s"/>
      <c r="Z1514" s="19" t="s"/>
      <c r="AA1514" s="19" t="s"/>
      <c r="AB1514" s="19" t="s"/>
    </row>
    <row r="1515" spans="1:28" ht="14.4">
      <c r="A1515" s="4">
        <f>=H1515/G1515-1</f>
        <v>0.0990338164251208</v>
      </c>
      <c r="B1515" s="20">
        <f>=F1515/12</f>
        <v>34.125</v>
      </c>
      <c r="C1515" s="20">
        <f>=J1515/3</f>
        <v>273</v>
      </c>
      <c r="D1515" s="20">
        <f>=K1515/3</f>
        <v>303.333333333333</v>
      </c>
      <c r="E1515" s="20">
        <f>=L1515/3</f>
        <v>318.5</v>
      </c>
      <c r="F1515" s="20">
        <f>=H1515*0.9</f>
        <v>409.5</v>
      </c>
      <c r="G1515" s="21">
        <v>414</v>
      </c>
      <c r="H1515" s="39">
        <v>455</v>
      </c>
      <c r="I1515" s="40">
        <f>=H1515*1.05</f>
        <v>477.75</v>
      </c>
      <c r="J1515" s="40">
        <f>=F1515*2</f>
        <v>819</v>
      </c>
      <c r="K1515" s="40">
        <f>=H1515*2</f>
        <v>910</v>
      </c>
      <c r="L1515" s="40">
        <f>=I1515*2</f>
        <v>955.5</v>
      </c>
      <c r="M1515" s="41" t="s">
        <v>1522</v>
      </c>
      <c r="N1515" s="41">
        <v>0.508</v>
      </c>
      <c r="O1515" s="41" t="s"/>
      <c r="P1515" s="41" t="s">
        <v>21</v>
      </c>
      <c r="Q1515" s="41" t="s">
        <v>21</v>
      </c>
      <c r="R1515" s="41" t="s">
        <v>16</v>
      </c>
      <c r="S1515" s="41" t="s">
        <v>17</v>
      </c>
      <c r="T1515" s="41" t="s">
        <v>387</v>
      </c>
      <c r="U1515" s="16" t="s">
        <v>13</v>
      </c>
      <c r="V1515" s="16" t="s">
        <v>1083</v>
      </c>
      <c r="W1515" s="19" t="s"/>
      <c r="X1515" s="26" t="s">
        <f>=M1515&amp;N1515&amp;P1515&amp;Q1515&amp;T1515&amp;V1515&amp;S1515</f>
        <v>1654</v>
      </c>
      <c r="Y1515" s="19" t="s"/>
      <c r="Z1515" s="19" t="s"/>
      <c r="AA1515" s="19" t="s"/>
      <c r="AB1515" s="19" t="s"/>
    </row>
    <row r="1516" spans="1:28" ht="14.4">
      <c r="A1516" s="4">
        <f>=H1516/G1516-1</f>
        <v>0.1</v>
      </c>
      <c r="B1516" s="20">
        <f>=F1516/12</f>
        <v>36.3</v>
      </c>
      <c r="C1516" s="20">
        <f>=J1516/3</f>
        <v>290.4</v>
      </c>
      <c r="D1516" s="20">
        <f>=K1516/3</f>
        <v>322.666666666667</v>
      </c>
      <c r="E1516" s="20">
        <f>=L1516/3</f>
        <v>338.8</v>
      </c>
      <c r="F1516" s="20">
        <f>=H1516*0.9</f>
        <v>435.6</v>
      </c>
      <c r="G1516" s="21">
        <v>440</v>
      </c>
      <c r="H1516" s="39">
        <v>484</v>
      </c>
      <c r="I1516" s="40">
        <f>=H1516*1.05</f>
        <v>508.2</v>
      </c>
      <c r="J1516" s="40">
        <f>=F1516*2</f>
        <v>871.2</v>
      </c>
      <c r="K1516" s="40">
        <f>=H1516*2</f>
        <v>968</v>
      </c>
      <c r="L1516" s="40">
        <f>=I1516*2</f>
        <v>1016.4</v>
      </c>
      <c r="M1516" s="41" t="s">
        <v>1522</v>
      </c>
      <c r="N1516" s="41">
        <v>0.508</v>
      </c>
      <c r="O1516" s="41" t="s"/>
      <c r="P1516" s="41">
        <v>1</v>
      </c>
      <c r="Q1516" s="41">
        <v>1</v>
      </c>
      <c r="R1516" s="41" t="s">
        <v>16</v>
      </c>
      <c r="S1516" s="41" t="s">
        <v>17</v>
      </c>
      <c r="T1516" s="41" t="s">
        <v>1186</v>
      </c>
      <c r="U1516" s="16" t="s">
        <v>13</v>
      </c>
      <c r="V1516" s="16" t="s">
        <v>1083</v>
      </c>
      <c r="W1516" s="19" t="s"/>
      <c r="X1516" s="26" t="s">
        <f>=M1516&amp;N1516&amp;P1516&amp;Q1516&amp;T1516&amp;V1516&amp;S1516</f>
        <v>1655</v>
      </c>
      <c r="Y1516" s="19" t="s"/>
      <c r="Z1516" s="19" t="s"/>
      <c r="AA1516" s="19" t="s"/>
      <c r="AB1516" s="19" t="s"/>
    </row>
    <row r="1517" spans="1:28" ht="14.4">
      <c r="A1517" s="4">
        <f>=H1517/G1517-1</f>
        <v>0.0993485342019545</v>
      </c>
      <c r="B1517" s="20">
        <f>=F1517/12</f>
        <v>50.625</v>
      </c>
      <c r="C1517" s="20">
        <f>=J1517/3</f>
        <v>405</v>
      </c>
      <c r="D1517" s="20">
        <f>=K1517/3</f>
        <v>450</v>
      </c>
      <c r="E1517" s="20">
        <f>=L1517/3</f>
        <v>472.5</v>
      </c>
      <c r="F1517" s="20">
        <f>=H1517*0.9</f>
        <v>607.5</v>
      </c>
      <c r="G1517" s="21">
        <v>614</v>
      </c>
      <c r="H1517" s="39">
        <v>675</v>
      </c>
      <c r="I1517" s="40">
        <f>=H1517*1.05</f>
        <v>708.75</v>
      </c>
      <c r="J1517" s="40">
        <f>=F1517*2</f>
        <v>1215</v>
      </c>
      <c r="K1517" s="40">
        <f>=H1517*2</f>
        <v>1350</v>
      </c>
      <c r="L1517" s="40">
        <f>=I1517*2</f>
        <v>1417.5</v>
      </c>
      <c r="M1517" s="41" t="s">
        <v>1522</v>
      </c>
      <c r="N1517" s="41">
        <v>0.508</v>
      </c>
      <c r="O1517" s="41" t="s"/>
      <c r="P1517" s="41">
        <v>2</v>
      </c>
      <c r="Q1517" s="41">
        <v>2</v>
      </c>
      <c r="R1517" s="41" t="s">
        <v>16</v>
      </c>
      <c r="S1517" s="41" t="s">
        <v>17</v>
      </c>
      <c r="T1517" s="41" t="s">
        <v>387</v>
      </c>
      <c r="U1517" s="16" t="s">
        <v>13</v>
      </c>
      <c r="V1517" s="16" t="s">
        <v>215</v>
      </c>
      <c r="W1517" s="19" t="s"/>
      <c r="X1517" s="26" t="s">
        <f>=M1517&amp;N1517&amp;P1517&amp;Q1517&amp;T1517&amp;V1517&amp;S1517</f>
        <v>1656</v>
      </c>
      <c r="Y1517" s="19" t="s"/>
      <c r="Z1517" s="19" t="s"/>
      <c r="AA1517" s="19" t="s"/>
      <c r="AB1517" s="19" t="s"/>
    </row>
    <row r="1518" spans="1:28" ht="14.4">
      <c r="A1518" s="4">
        <f>=H1518/G1518-1</f>
        <v>0.0995670995670997</v>
      </c>
      <c r="B1518" s="20">
        <f>=F1518/12</f>
        <v>38.1</v>
      </c>
      <c r="C1518" s="20">
        <f>=J1518/3</f>
        <v>304.8</v>
      </c>
      <c r="D1518" s="20">
        <f>=K1518/3</f>
        <v>338.666666666667</v>
      </c>
      <c r="E1518" s="20">
        <f>=L1518/3</f>
        <v>355.6</v>
      </c>
      <c r="F1518" s="20">
        <f>=H1518*0.9</f>
        <v>457.2</v>
      </c>
      <c r="G1518" s="21">
        <v>462</v>
      </c>
      <c r="H1518" s="39">
        <v>508</v>
      </c>
      <c r="I1518" s="40">
        <f>=H1518*1.05</f>
        <v>533.4</v>
      </c>
      <c r="J1518" s="40">
        <f>=F1518*2</f>
        <v>914.4</v>
      </c>
      <c r="K1518" s="40">
        <f>=H1518*2</f>
        <v>1016</v>
      </c>
      <c r="L1518" s="40">
        <f>=I1518*2</f>
        <v>1066.8</v>
      </c>
      <c r="M1518" s="41" t="s">
        <v>1522</v>
      </c>
      <c r="N1518" s="41">
        <v>0.508</v>
      </c>
      <c r="O1518" s="41" t="s"/>
      <c r="P1518" s="41">
        <v>1</v>
      </c>
      <c r="Q1518" s="41">
        <v>1</v>
      </c>
      <c r="R1518" s="41" t="s">
        <v>16</v>
      </c>
      <c r="S1518" s="41" t="s">
        <v>17</v>
      </c>
      <c r="T1518" s="41" t="s">
        <v>387</v>
      </c>
      <c r="U1518" s="16" t="s">
        <v>13</v>
      </c>
      <c r="V1518" s="16" t="s">
        <v>1227</v>
      </c>
      <c r="W1518" s="19" t="s"/>
      <c r="X1518" s="26" t="s">
        <f>=M1518&amp;N1518&amp;P1518&amp;Q1518&amp;T1518&amp;V1518&amp;S1518</f>
        <v>1657</v>
      </c>
      <c r="Y1518" s="19" t="s"/>
      <c r="Z1518" s="19" t="s"/>
      <c r="AA1518" s="19" t="s"/>
      <c r="AB1518" s="19" t="s"/>
    </row>
    <row r="1519" spans="1:28" ht="14.4">
      <c r="A1519" s="4">
        <f>=H1519/G1519-1</f>
        <v>0.1</v>
      </c>
      <c r="B1519" s="20">
        <f>=F1519/12</f>
        <v>36.3</v>
      </c>
      <c r="C1519" s="20">
        <f>=J1519/3</f>
        <v>290.4</v>
      </c>
      <c r="D1519" s="20">
        <f>=K1519/3</f>
        <v>322.666666666667</v>
      </c>
      <c r="E1519" s="20">
        <f>=L1519/3</f>
        <v>338.8</v>
      </c>
      <c r="F1519" s="20">
        <f>=H1519*0.9</f>
        <v>435.6</v>
      </c>
      <c r="G1519" s="21">
        <v>440</v>
      </c>
      <c r="H1519" s="39">
        <v>484</v>
      </c>
      <c r="I1519" s="40">
        <f>=H1519*1.05</f>
        <v>508.2</v>
      </c>
      <c r="J1519" s="40">
        <f>=F1519*2</f>
        <v>871.2</v>
      </c>
      <c r="K1519" s="40">
        <f>=H1519*2</f>
        <v>968</v>
      </c>
      <c r="L1519" s="40">
        <f>=I1519*2</f>
        <v>1016.4</v>
      </c>
      <c r="M1519" s="41" t="s">
        <v>1522</v>
      </c>
      <c r="N1519" s="41">
        <v>0.508</v>
      </c>
      <c r="O1519" s="41" t="s"/>
      <c r="P1519" s="41">
        <v>1</v>
      </c>
      <c r="Q1519" s="41">
        <v>1</v>
      </c>
      <c r="R1519" s="41" t="s">
        <v>16</v>
      </c>
      <c r="S1519" s="41" t="s">
        <v>17</v>
      </c>
      <c r="T1519" s="41" t="s">
        <v>387</v>
      </c>
      <c r="U1519" s="16" t="s">
        <v>13</v>
      </c>
      <c r="V1519" s="16" t="s">
        <v>1083</v>
      </c>
      <c r="W1519" s="19" t="s"/>
      <c r="X1519" s="34" t="s">
        <f>=M1519&amp;N1519&amp;P1519&amp;Q1519&amp;T1519&amp;V1519&amp;S1519</f>
        <v>1658</v>
      </c>
      <c r="Y1519" s="19" t="s"/>
      <c r="Z1519" s="19" t="s"/>
      <c r="AA1519" s="19" t="s"/>
      <c r="AB1519" s="19" t="s"/>
    </row>
    <row r="1520" spans="1:28" ht="14.4">
      <c r="A1520" s="4">
        <f>=H1520/G1520-1</f>
        <v>0.1</v>
      </c>
      <c r="B1520" s="20">
        <f>=F1520/12</f>
        <v>53.625</v>
      </c>
      <c r="C1520" s="20">
        <f>=J1520/3</f>
        <v>429</v>
      </c>
      <c r="D1520" s="20">
        <f>=K1520/3</f>
        <v>476.666666666667</v>
      </c>
      <c r="E1520" s="20">
        <f>=L1520/3</f>
        <v>500.5</v>
      </c>
      <c r="F1520" s="20">
        <f>=H1520*0.9</f>
        <v>643.5</v>
      </c>
      <c r="G1520" s="21">
        <v>650</v>
      </c>
      <c r="H1520" s="39">
        <v>715</v>
      </c>
      <c r="I1520" s="40">
        <f>=H1520*1.05</f>
        <v>750.75</v>
      </c>
      <c r="J1520" s="40">
        <f>=F1520*2</f>
        <v>1287</v>
      </c>
      <c r="K1520" s="40">
        <f>=H1520*2</f>
        <v>1430</v>
      </c>
      <c r="L1520" s="40">
        <f>=I1520*2</f>
        <v>1501.5</v>
      </c>
      <c r="M1520" s="41" t="s">
        <v>1522</v>
      </c>
      <c r="N1520" s="41">
        <v>1.035</v>
      </c>
      <c r="O1520" s="41" t="s"/>
      <c r="P1520" s="41">
        <v>1</v>
      </c>
      <c r="Q1520" s="41">
        <v>1</v>
      </c>
      <c r="R1520" s="41" t="s">
        <v>16</v>
      </c>
      <c r="S1520" s="73" t="s">
        <v>137</v>
      </c>
      <c r="T1520" s="41" t="s">
        <v>795</v>
      </c>
      <c r="U1520" s="16" t="s">
        <v>13</v>
      </c>
      <c r="V1520" s="16" t="s">
        <v>1083</v>
      </c>
      <c r="W1520" s="19" t="s"/>
      <c r="X1520" s="34" t="s">
        <f>=M1520&amp;N1520&amp;P1520&amp;Q1520&amp;T1520&amp;V1520&amp;S1520</f>
        <v>1659</v>
      </c>
      <c r="Y1520" s="19" t="s"/>
      <c r="Z1520" s="19" t="s"/>
      <c r="AA1520" s="19" t="s"/>
      <c r="AB1520" s="19" t="s"/>
    </row>
    <row r="1521" spans="1:28" ht="14.4">
      <c r="A1521" s="4">
        <f>=H1521/G1521-1</f>
        <v>0.0995575221238938</v>
      </c>
      <c r="B1521" s="20">
        <f>=F1521/12</f>
        <v>37.275</v>
      </c>
      <c r="C1521" s="20">
        <f>=J1521/3</f>
        <v>298.2</v>
      </c>
      <c r="D1521" s="20">
        <f>=K1521/3</f>
        <v>331.333333333333</v>
      </c>
      <c r="E1521" s="20">
        <f>=L1521/3</f>
        <v>347.9</v>
      </c>
      <c r="F1521" s="20">
        <f>=H1521*0.9</f>
        <v>447.3</v>
      </c>
      <c r="G1521" s="21">
        <v>452</v>
      </c>
      <c r="H1521" s="39">
        <v>497</v>
      </c>
      <c r="I1521" s="40">
        <f>=H1521*1.05</f>
        <v>521.85</v>
      </c>
      <c r="J1521" s="40">
        <f>=F1521*2</f>
        <v>894.6</v>
      </c>
      <c r="K1521" s="40">
        <f>=H1521*2</f>
        <v>994</v>
      </c>
      <c r="L1521" s="40">
        <f>=I1521*2</f>
        <v>1043.7</v>
      </c>
      <c r="M1521" s="41" t="s">
        <v>1522</v>
      </c>
      <c r="N1521" s="41">
        <v>0.61</v>
      </c>
      <c r="O1521" s="41" t="s"/>
      <c r="P1521" s="41">
        <v>1</v>
      </c>
      <c r="Q1521" s="41">
        <v>1</v>
      </c>
      <c r="R1521" s="41" t="s">
        <v>16</v>
      </c>
      <c r="S1521" s="41" t="s">
        <v>17</v>
      </c>
      <c r="T1521" s="41" t="s">
        <v>387</v>
      </c>
      <c r="U1521" s="16" t="s">
        <v>13</v>
      </c>
      <c r="V1521" s="16" t="s">
        <v>1083</v>
      </c>
      <c r="W1521" s="19" t="s"/>
      <c r="X1521" s="34" t="s">
        <f>=M1521&amp;N1521&amp;P1521&amp;Q1521&amp;T1521&amp;V1521&amp;S1521</f>
        <v>1660</v>
      </c>
      <c r="Y1521" s="19" t="s"/>
      <c r="Z1521" s="19" t="s"/>
      <c r="AA1521" s="19" t="s"/>
      <c r="AB1521" s="19" t="s"/>
    </row>
    <row r="1522" spans="1:28" ht="14.4">
      <c r="A1522" s="4">
        <f>=H1522/G1522-1</f>
        <v>0.1</v>
      </c>
      <c r="B1522" s="20">
        <f>=F1522/12</f>
        <v>51.975</v>
      </c>
      <c r="C1522" s="20">
        <f>=J1522/3</f>
        <v>415.8</v>
      </c>
      <c r="D1522" s="20">
        <f>=K1522/3</f>
        <v>462</v>
      </c>
      <c r="E1522" s="20">
        <f>=L1522/3</f>
        <v>485.1</v>
      </c>
      <c r="F1522" s="20">
        <f>=H1522*0.9</f>
        <v>623.7</v>
      </c>
      <c r="G1522" s="21">
        <v>630</v>
      </c>
      <c r="H1522" s="39">
        <v>693</v>
      </c>
      <c r="I1522" s="40">
        <f>=H1522*1.05</f>
        <v>727.65</v>
      </c>
      <c r="J1522" s="40">
        <f>=F1522*2</f>
        <v>1247.4</v>
      </c>
      <c r="K1522" s="40">
        <f>=H1522*2</f>
        <v>1386</v>
      </c>
      <c r="L1522" s="40">
        <f>=I1522*2</f>
        <v>1455.3</v>
      </c>
      <c r="M1522" s="41" t="s">
        <v>1522</v>
      </c>
      <c r="N1522" s="41">
        <v>0.66</v>
      </c>
      <c r="O1522" s="41" t="s"/>
      <c r="P1522" s="41">
        <v>2</v>
      </c>
      <c r="Q1522" s="41">
        <v>2</v>
      </c>
      <c r="R1522" s="41" t="s">
        <v>16</v>
      </c>
      <c r="S1522" s="41" t="s">
        <v>17</v>
      </c>
      <c r="T1522" s="41" t="s">
        <v>413</v>
      </c>
      <c r="U1522" s="16" t="s">
        <v>13</v>
      </c>
      <c r="V1522" s="16" t="s">
        <v>215</v>
      </c>
      <c r="W1522" s="19" t="s"/>
      <c r="X1522" s="26" t="s">
        <f>=M1522&amp;N1522&amp;P1522&amp;Q1522&amp;T1522&amp;V1522&amp;S1522</f>
        <v>1661</v>
      </c>
      <c r="Y1522" s="19" t="s"/>
      <c r="Z1522" s="19" t="s"/>
      <c r="AA1522" s="19" t="s"/>
      <c r="AB1522" s="19" t="s"/>
    </row>
    <row r="1523" spans="1:28" ht="14.4">
      <c r="A1523" s="4">
        <f>=H1523/G1523-1</f>
        <v>0.1</v>
      </c>
      <c r="B1523" s="20">
        <f>=F1523/12</f>
        <v>51.975</v>
      </c>
      <c r="C1523" s="20">
        <f>=J1523/3</f>
        <v>415.8</v>
      </c>
      <c r="D1523" s="20">
        <f>=K1523/3</f>
        <v>462</v>
      </c>
      <c r="E1523" s="20">
        <f>=L1523/3</f>
        <v>485.1</v>
      </c>
      <c r="F1523" s="20">
        <f>=H1523*0.9</f>
        <v>623.7</v>
      </c>
      <c r="G1523" s="21">
        <v>630</v>
      </c>
      <c r="H1523" s="39">
        <v>693</v>
      </c>
      <c r="I1523" s="40">
        <f>=H1523*1.05</f>
        <v>727.65</v>
      </c>
      <c r="J1523" s="40">
        <f>=F1523*2</f>
        <v>1247.4</v>
      </c>
      <c r="K1523" s="40">
        <f>=H1523*2</f>
        <v>1386</v>
      </c>
      <c r="L1523" s="40">
        <f>=I1523*2</f>
        <v>1455.3</v>
      </c>
      <c r="M1523" s="41" t="s">
        <v>1522</v>
      </c>
      <c r="N1523" s="41">
        <v>0.762</v>
      </c>
      <c r="O1523" s="41" t="s"/>
      <c r="P1523" s="41">
        <v>2</v>
      </c>
      <c r="Q1523" s="41">
        <v>2</v>
      </c>
      <c r="R1523" s="41" t="s">
        <v>16</v>
      </c>
      <c r="S1523" s="41" t="s">
        <v>17</v>
      </c>
      <c r="T1523" s="41" t="s">
        <v>413</v>
      </c>
      <c r="U1523" s="16" t="s">
        <v>13</v>
      </c>
      <c r="V1523" s="16" t="s">
        <v>215</v>
      </c>
      <c r="W1523" s="19" t="s"/>
      <c r="X1523" s="26" t="s">
        <f>=M1523&amp;N1523&amp;P1523&amp;Q1523&amp;T1523&amp;V1523&amp;S1523</f>
        <v>1662</v>
      </c>
      <c r="Y1523" s="19" t="s"/>
      <c r="Z1523" s="19" t="s"/>
      <c r="AA1523" s="19" t="s"/>
      <c r="AB1523" s="19" t="s"/>
    </row>
    <row r="1524" spans="1:28" ht="14.4">
      <c r="A1524" s="4">
        <f>=H1524/G1524-1</f>
        <v>0.0995670995670997</v>
      </c>
      <c r="B1524" s="20">
        <f>=F1524/12</f>
        <v>57.15</v>
      </c>
      <c r="C1524" s="20">
        <f>=J1524/3</f>
        <v>457.2</v>
      </c>
      <c r="D1524" s="20">
        <f>=K1524/3</f>
        <v>508</v>
      </c>
      <c r="E1524" s="20">
        <f>=L1524/3</f>
        <v>533.4</v>
      </c>
      <c r="F1524" s="20">
        <f>=H1524*0.9</f>
        <v>685.8</v>
      </c>
      <c r="G1524" s="21">
        <v>693</v>
      </c>
      <c r="H1524" s="39">
        <v>762</v>
      </c>
      <c r="I1524" s="40">
        <f>=H1524*1.05</f>
        <v>800.1</v>
      </c>
      <c r="J1524" s="40">
        <f>=F1524*2</f>
        <v>1371.6</v>
      </c>
      <c r="K1524" s="40">
        <f>=H1524*2</f>
        <v>1524</v>
      </c>
      <c r="L1524" s="40">
        <f>=I1524*2</f>
        <v>1600.2</v>
      </c>
      <c r="M1524" s="41" t="s">
        <v>1522</v>
      </c>
      <c r="N1524" s="41">
        <v>0.762</v>
      </c>
      <c r="O1524" s="41" t="s"/>
      <c r="P1524" s="41">
        <v>2</v>
      </c>
      <c r="Q1524" s="41">
        <v>2</v>
      </c>
      <c r="R1524" s="41" t="s">
        <v>16</v>
      </c>
      <c r="S1524" s="41" t="s">
        <v>17</v>
      </c>
      <c r="T1524" s="41" t="s">
        <v>784</v>
      </c>
      <c r="U1524" s="16" t="s">
        <v>13</v>
      </c>
      <c r="V1524" s="16" t="s">
        <v>215</v>
      </c>
      <c r="W1524" s="19" t="s"/>
      <c r="X1524" s="26" t="s">
        <f>=M1524&amp;N1524&amp;P1524&amp;Q1524&amp;T1524&amp;V1524&amp;S1524</f>
        <v>1663</v>
      </c>
      <c r="Y1524" s="19" t="s"/>
      <c r="Z1524" s="19" t="s"/>
      <c r="AA1524" s="19" t="s"/>
      <c r="AB1524" s="19" t="s"/>
    </row>
    <row r="1525" spans="1:28" ht="14.4">
      <c r="A1525" s="4">
        <f>=H1525/G1525-1</f>
        <v>0.100826446280992</v>
      </c>
      <c r="B1525" s="20">
        <f>=F1525/12</f>
        <v>49.95</v>
      </c>
      <c r="C1525" s="20">
        <f>=J1525/3</f>
        <v>399.6</v>
      </c>
      <c r="D1525" s="20">
        <f>=K1525/3</f>
        <v>444</v>
      </c>
      <c r="E1525" s="20">
        <f>=L1525/3</f>
        <v>466.2</v>
      </c>
      <c r="F1525" s="20">
        <f>=H1525*0.9</f>
        <v>599.4</v>
      </c>
      <c r="G1525" s="21">
        <v>605</v>
      </c>
      <c r="H1525" s="39">
        <v>666</v>
      </c>
      <c r="I1525" s="40">
        <f>=H1525*1.05</f>
        <v>699.3</v>
      </c>
      <c r="J1525" s="40">
        <f>=F1525*2</f>
        <v>1198.8</v>
      </c>
      <c r="K1525" s="40">
        <f>=H1525*2</f>
        <v>1332</v>
      </c>
      <c r="L1525" s="40">
        <f>=I1525*2</f>
        <v>1398.6</v>
      </c>
      <c r="M1525" s="41" t="s">
        <v>1522</v>
      </c>
      <c r="N1525" s="41">
        <v>0.838</v>
      </c>
      <c r="O1525" s="41" t="s"/>
      <c r="P1525" s="41">
        <v>1</v>
      </c>
      <c r="Q1525" s="41">
        <v>1</v>
      </c>
      <c r="R1525" s="41" t="s">
        <v>16</v>
      </c>
      <c r="S1525" s="41" t="s">
        <v>17</v>
      </c>
      <c r="T1525" s="41" t="s">
        <v>795</v>
      </c>
      <c r="U1525" s="16" t="s">
        <v>13</v>
      </c>
      <c r="V1525" s="16" t="s">
        <v>1227</v>
      </c>
      <c r="W1525" s="19" t="s"/>
      <c r="X1525" s="26" t="s">
        <f>=M1525&amp;N1525&amp;P1525&amp;Q1525&amp;T1525&amp;V1525&amp;S1525</f>
        <v>1664</v>
      </c>
      <c r="Y1525" s="19" t="s"/>
      <c r="Z1525" s="19" t="s"/>
      <c r="AA1525" s="19" t="s"/>
      <c r="AB1525" s="19" t="s"/>
    </row>
    <row r="1526" spans="1:29" ht="14.4">
      <c r="A1526" s="42">
        <f>=H1526/G1526-1</f>
        <v>-0.38125</v>
      </c>
      <c r="B1526" s="43">
        <f>=F1526/12</f>
        <v>14.85</v>
      </c>
      <c r="C1526" s="43">
        <f>=J1526/3</f>
        <v>118.8</v>
      </c>
      <c r="D1526" s="43">
        <f>=K1526/3</f>
        <v>132</v>
      </c>
      <c r="E1526" s="43">
        <f>=L1526/3</f>
        <v>138.6</v>
      </c>
      <c r="F1526" s="43">
        <f>=H1526*0.9</f>
        <v>178.2</v>
      </c>
      <c r="G1526" s="27">
        <v>320</v>
      </c>
      <c r="H1526" s="44">
        <v>198</v>
      </c>
      <c r="I1526" s="45">
        <f>=H1526*1.05</f>
        <v>207.9</v>
      </c>
      <c r="J1526" s="45">
        <f>=F1526*2</f>
        <v>356.4</v>
      </c>
      <c r="K1526" s="45">
        <f>=H1526*2</f>
        <v>396</v>
      </c>
      <c r="L1526" s="45">
        <f>=I1526*2</f>
        <v>415.8</v>
      </c>
      <c r="M1526" s="46" t="s">
        <v>1665</v>
      </c>
      <c r="N1526" s="12">
        <v>0.064</v>
      </c>
      <c r="O1526" s="46" t="s"/>
      <c r="P1526" s="12" t="s">
        <v>21</v>
      </c>
      <c r="Q1526" s="12" t="s">
        <v>21</v>
      </c>
      <c r="R1526" s="46" t="s">
        <v>16</v>
      </c>
      <c r="S1526" s="46" t="s">
        <v>17</v>
      </c>
      <c r="T1526" s="46" t="s">
        <v>1098</v>
      </c>
      <c r="U1526" s="13" t="s">
        <v>13</v>
      </c>
      <c r="V1526" s="13" t="s">
        <v>1227</v>
      </c>
      <c r="W1526" s="15" t="s"/>
      <c r="X1526" s="18" t="s">
        <f>=M1526&amp;N1526&amp;P1526&amp;Q1526&amp;T1526&amp;V1526&amp;S1526</f>
        <v>1666</v>
      </c>
      <c r="Y1526" s="15" t="s"/>
      <c r="Z1526" s="15" t="s"/>
      <c r="AA1526" s="15" t="s"/>
      <c r="AB1526" s="15" t="s"/>
      <c r="AC1526" s="48" t="s"/>
    </row>
    <row r="1527" spans="1:29" ht="14.4">
      <c r="A1527" s="42">
        <f>=H1527/G1527-1</f>
        <v>-0.248979591836735</v>
      </c>
      <c r="B1527" s="43">
        <f>=F1527/12</f>
        <v>13.8</v>
      </c>
      <c r="C1527" s="43">
        <f>=J1527/3</f>
        <v>110.4</v>
      </c>
      <c r="D1527" s="43">
        <f>=K1527/3</f>
        <v>122.666666666667</v>
      </c>
      <c r="E1527" s="43">
        <f>=L1527/3</f>
        <v>128.8</v>
      </c>
      <c r="F1527" s="43">
        <f>=H1527*0.9</f>
        <v>165.6</v>
      </c>
      <c r="G1527" s="27">
        <v>245</v>
      </c>
      <c r="H1527" s="44">
        <v>184</v>
      </c>
      <c r="I1527" s="45">
        <f>=H1527*1.05</f>
        <v>193.2</v>
      </c>
      <c r="J1527" s="45">
        <f>=F1527*2</f>
        <v>331.2</v>
      </c>
      <c r="K1527" s="45">
        <f>=H1527*2</f>
        <v>368</v>
      </c>
      <c r="L1527" s="45">
        <f>=I1527*2</f>
        <v>386.4</v>
      </c>
      <c r="M1527" s="46" t="s">
        <v>1665</v>
      </c>
      <c r="N1527" s="12">
        <v>0.064</v>
      </c>
      <c r="O1527" s="46" t="s"/>
      <c r="P1527" s="12" t="s">
        <v>21</v>
      </c>
      <c r="Q1527" s="12" t="s">
        <v>21</v>
      </c>
      <c r="R1527" s="46" t="s">
        <v>16</v>
      </c>
      <c r="S1527" s="46" t="s">
        <v>17</v>
      </c>
      <c r="T1527" s="46" t="s">
        <v>1098</v>
      </c>
      <c r="U1527" s="13" t="s">
        <v>13</v>
      </c>
      <c r="V1527" s="13" t="s">
        <v>215</v>
      </c>
      <c r="W1527" s="15" t="s"/>
      <c r="X1527" s="18" t="s">
        <f>=M1527&amp;N1527&amp;P1527&amp;Q1527&amp;T1527&amp;V1527&amp;S1527</f>
        <v>1667</v>
      </c>
      <c r="Y1527" s="15" t="s"/>
      <c r="Z1527" s="15" t="s"/>
      <c r="AA1527" s="15" t="s"/>
      <c r="AB1527" s="15" t="s"/>
      <c r="AC1527" s="48" t="s"/>
    </row>
    <row r="1528" spans="1:28" ht="14.4">
      <c r="A1528" s="4">
        <f>=H1528/G1528-1</f>
        <v>0.1</v>
      </c>
      <c r="B1528" s="20">
        <f>=F1528/12</f>
        <v>26.4</v>
      </c>
      <c r="C1528" s="20">
        <f>=J1528/3</f>
        <v>211.2</v>
      </c>
      <c r="D1528" s="20">
        <f>=K1528/3</f>
        <v>234.666666666667</v>
      </c>
      <c r="E1528" s="20">
        <f>=L1528/3</f>
        <v>246.4</v>
      </c>
      <c r="F1528" s="20">
        <f>=H1528*0.9</f>
        <v>316.8</v>
      </c>
      <c r="G1528" s="21">
        <v>320</v>
      </c>
      <c r="H1528" s="39">
        <v>352</v>
      </c>
      <c r="I1528" s="40">
        <f>=H1528*1.05</f>
        <v>369.6</v>
      </c>
      <c r="J1528" s="40">
        <f>=F1528*2</f>
        <v>633.6</v>
      </c>
      <c r="K1528" s="40">
        <f>=H1528*2</f>
        <v>704</v>
      </c>
      <c r="L1528" s="40">
        <f>=I1528*2</f>
        <v>739.2</v>
      </c>
      <c r="M1528" s="41" t="s">
        <v>1665</v>
      </c>
      <c r="N1528" s="41">
        <v>0.076</v>
      </c>
      <c r="O1528" s="41" t="s"/>
      <c r="P1528" s="41">
        <v>1</v>
      </c>
      <c r="Q1528" s="41">
        <v>1</v>
      </c>
      <c r="R1528" s="41" t="s">
        <v>16</v>
      </c>
      <c r="S1528" s="41" t="s">
        <v>17</v>
      </c>
      <c r="T1528" s="41" t="s">
        <v>1388</v>
      </c>
      <c r="U1528" s="16" t="s">
        <v>13</v>
      </c>
      <c r="V1528" s="16" t="s">
        <v>1227</v>
      </c>
      <c r="W1528" s="19" t="s"/>
      <c r="X1528" s="26" t="s">
        <f>=M1528&amp;N1528&amp;P1528&amp;Q1528&amp;T1528&amp;V1528&amp;S1528</f>
        <v>1668</v>
      </c>
      <c r="Y1528" s="19" t="s"/>
      <c r="Z1528" s="19" t="s"/>
      <c r="AA1528" s="19" t="s"/>
      <c r="AB1528" s="19" t="s"/>
    </row>
    <row r="1529" spans="1:28" ht="14.4">
      <c r="A1529" s="4">
        <f>=H1529/G1529-1</f>
        <v>0.102040816326531</v>
      </c>
      <c r="B1529" s="20">
        <f>=F1529/12</f>
        <v>20.25</v>
      </c>
      <c r="C1529" s="20">
        <f>=J1529/3</f>
        <v>162</v>
      </c>
      <c r="D1529" s="20">
        <f>=K1529/3</f>
        <v>180</v>
      </c>
      <c r="E1529" s="20">
        <f>=L1529/3</f>
        <v>189</v>
      </c>
      <c r="F1529" s="20">
        <f>=H1529*0.9</f>
        <v>243</v>
      </c>
      <c r="G1529" s="21">
        <v>245</v>
      </c>
      <c r="H1529" s="39">
        <v>270</v>
      </c>
      <c r="I1529" s="40">
        <f>=H1529*1.05</f>
        <v>283.5</v>
      </c>
      <c r="J1529" s="40">
        <f>=F1529*2</f>
        <v>486</v>
      </c>
      <c r="K1529" s="40">
        <f>=H1529*2</f>
        <v>540</v>
      </c>
      <c r="L1529" s="40">
        <f>=I1529*2</f>
        <v>567</v>
      </c>
      <c r="M1529" s="41" t="s">
        <v>1665</v>
      </c>
      <c r="N1529" s="41">
        <v>0.076</v>
      </c>
      <c r="O1529" s="41" t="s"/>
      <c r="P1529" s="41">
        <v>1</v>
      </c>
      <c r="Q1529" s="41">
        <v>1</v>
      </c>
      <c r="R1529" s="41" t="s">
        <v>16</v>
      </c>
      <c r="S1529" s="41" t="s">
        <v>17</v>
      </c>
      <c r="T1529" s="41" t="s">
        <v>1098</v>
      </c>
      <c r="U1529" s="16" t="s">
        <v>13</v>
      </c>
      <c r="V1529" s="16" t="s">
        <v>215</v>
      </c>
      <c r="W1529" s="19" t="s"/>
      <c r="X1529" s="26" t="s">
        <f>=M1529&amp;N1529&amp;P1529&amp;Q1529&amp;T1529&amp;V1529&amp;S1529</f>
        <v>1669</v>
      </c>
      <c r="Y1529" s="19" t="s"/>
      <c r="Z1529" s="19" t="s"/>
      <c r="AA1529" s="19" t="s"/>
      <c r="AB1529" s="19" t="s"/>
    </row>
    <row r="1530" spans="1:28" ht="14.4">
      <c r="A1530" s="4">
        <f>=H1530/G1530-1</f>
        <v>0.102040816326531</v>
      </c>
      <c r="B1530" s="20">
        <f>=F1530/12</f>
        <v>20.25</v>
      </c>
      <c r="C1530" s="20">
        <f>=J1530/3</f>
        <v>162</v>
      </c>
      <c r="D1530" s="20">
        <f>=K1530/3</f>
        <v>180</v>
      </c>
      <c r="E1530" s="20">
        <f>=L1530/3</f>
        <v>189</v>
      </c>
      <c r="F1530" s="20">
        <f>=H1530*0.9</f>
        <v>243</v>
      </c>
      <c r="G1530" s="21">
        <v>245</v>
      </c>
      <c r="H1530" s="39">
        <v>270</v>
      </c>
      <c r="I1530" s="40">
        <f>=H1530*1.05</f>
        <v>283.5</v>
      </c>
      <c r="J1530" s="40">
        <f>=F1530*2</f>
        <v>486</v>
      </c>
      <c r="K1530" s="40">
        <f>=H1530*2</f>
        <v>540</v>
      </c>
      <c r="L1530" s="40">
        <f>=I1530*2</f>
        <v>567</v>
      </c>
      <c r="M1530" s="41" t="s">
        <v>1665</v>
      </c>
      <c r="N1530" s="41">
        <v>0.076</v>
      </c>
      <c r="O1530" s="41" t="s"/>
      <c r="P1530" s="41">
        <v>1</v>
      </c>
      <c r="Q1530" s="41">
        <v>1</v>
      </c>
      <c r="R1530" s="41" t="s">
        <v>16</v>
      </c>
      <c r="S1530" s="41" t="s">
        <v>17</v>
      </c>
      <c r="T1530" s="41" t="s">
        <v>1098</v>
      </c>
      <c r="U1530" s="16" t="s">
        <v>13</v>
      </c>
      <c r="V1530" s="16" t="s">
        <v>215</v>
      </c>
      <c r="W1530" s="19" t="s"/>
      <c r="X1530" s="26" t="s">
        <f>=M1530&amp;N1530&amp;P1530&amp;Q1530&amp;T1530&amp;V1530&amp;S1530</f>
        <v>1669</v>
      </c>
      <c r="Y1530" s="19" t="s"/>
      <c r="Z1530" s="19" t="s"/>
      <c r="AA1530" s="19" t="s"/>
      <c r="AB1530" s="19" t="s"/>
    </row>
    <row r="1531" spans="1:28" ht="14.4">
      <c r="A1531" s="4">
        <f>=H1531/G1531-1</f>
        <v>0.1</v>
      </c>
      <c r="B1531" s="20">
        <f>=F1531/12</f>
        <v>28.05</v>
      </c>
      <c r="C1531" s="20">
        <f>=J1531/3</f>
        <v>224.4</v>
      </c>
      <c r="D1531" s="20">
        <f>=K1531/3</f>
        <v>249.333333333333</v>
      </c>
      <c r="E1531" s="20">
        <f>=L1531/3</f>
        <v>261.8</v>
      </c>
      <c r="F1531" s="20">
        <f>=H1531*0.9</f>
        <v>336.6</v>
      </c>
      <c r="G1531" s="21">
        <v>340</v>
      </c>
      <c r="H1531" s="39">
        <v>374</v>
      </c>
      <c r="I1531" s="40">
        <f>=H1531*1.05</f>
        <v>392.7</v>
      </c>
      <c r="J1531" s="40">
        <f>=F1531*2</f>
        <v>673.2</v>
      </c>
      <c r="K1531" s="40">
        <f>=H1531*2</f>
        <v>748</v>
      </c>
      <c r="L1531" s="40">
        <f>=I1531*2</f>
        <v>785.4</v>
      </c>
      <c r="M1531" s="41" t="s">
        <v>1665</v>
      </c>
      <c r="N1531" s="41">
        <v>0.076</v>
      </c>
      <c r="O1531" s="41" t="s"/>
      <c r="P1531" s="41">
        <v>1</v>
      </c>
      <c r="Q1531" s="41">
        <v>1</v>
      </c>
      <c r="R1531" s="41" t="s">
        <v>16</v>
      </c>
      <c r="S1531" s="41" t="s">
        <v>17</v>
      </c>
      <c r="T1531" s="41" t="s">
        <v>1098</v>
      </c>
      <c r="U1531" s="16" t="s">
        <v>13</v>
      </c>
      <c r="V1531" s="16" t="s">
        <v>1545</v>
      </c>
      <c r="W1531" s="19" t="s"/>
      <c r="X1531" s="26" t="s">
        <f>=M1531&amp;N1531&amp;P1531&amp;Q1531&amp;T1531&amp;V1531&amp;S1531</f>
        <v>1670</v>
      </c>
      <c r="Y1531" s="19" t="s"/>
      <c r="Z1531" s="19" t="s"/>
      <c r="AA1531" s="19" t="s"/>
      <c r="AB1531" s="19" t="s"/>
    </row>
    <row r="1532" spans="1:28" ht="14.4">
      <c r="A1532" s="4">
        <f>=H1532/G1532-1</f>
        <v>0.098814229249012</v>
      </c>
      <c r="B1532" s="20">
        <f>=F1532/12</f>
        <v>20.85</v>
      </c>
      <c r="C1532" s="20">
        <f>=J1532/3</f>
        <v>166.8</v>
      </c>
      <c r="D1532" s="20">
        <f>=K1532/3</f>
        <v>185.333333333333</v>
      </c>
      <c r="E1532" s="20">
        <f>=L1532/3</f>
        <v>194.6</v>
      </c>
      <c r="F1532" s="20">
        <f>=H1532*0.9</f>
        <v>250.2</v>
      </c>
      <c r="G1532" s="21">
        <v>253</v>
      </c>
      <c r="H1532" s="39">
        <v>278</v>
      </c>
      <c r="I1532" s="40">
        <f>=H1532*1.05</f>
        <v>291.9</v>
      </c>
      <c r="J1532" s="40">
        <f>=F1532*2</f>
        <v>500.4</v>
      </c>
      <c r="K1532" s="40">
        <f>=H1532*2</f>
        <v>556</v>
      </c>
      <c r="L1532" s="40">
        <f>=I1532*2</f>
        <v>583.8</v>
      </c>
      <c r="M1532" s="41" t="s">
        <v>1665</v>
      </c>
      <c r="N1532" s="41">
        <v>0.076</v>
      </c>
      <c r="O1532" s="41" t="s"/>
      <c r="P1532" s="41">
        <v>1</v>
      </c>
      <c r="Q1532" s="41">
        <v>1</v>
      </c>
      <c r="R1532" s="41" t="s">
        <v>16</v>
      </c>
      <c r="S1532" s="41" t="s">
        <v>17</v>
      </c>
      <c r="T1532" s="41" t="s">
        <v>1098</v>
      </c>
      <c r="U1532" s="16" t="s">
        <v>13</v>
      </c>
      <c r="V1532" s="16" t="s">
        <v>1227</v>
      </c>
      <c r="W1532" s="19" t="s"/>
      <c r="X1532" s="26" t="s">
        <f>=M1532&amp;N1532&amp;P1532&amp;Q1532&amp;T1532&amp;V1532&amp;S1532</f>
        <v>1671</v>
      </c>
      <c r="Y1532" s="19" t="s"/>
      <c r="Z1532" s="19" t="s"/>
      <c r="AA1532" s="19" t="s"/>
      <c r="AB1532" s="19" t="s"/>
    </row>
    <row r="1533" spans="1:28" ht="14.4">
      <c r="A1533" s="4">
        <f>=H1533/G1533-1</f>
        <v>0.1</v>
      </c>
      <c r="B1533" s="20">
        <f>=F1533/12</f>
        <v>25.575</v>
      </c>
      <c r="C1533" s="20">
        <f>=J1533/3</f>
        <v>204.6</v>
      </c>
      <c r="D1533" s="20">
        <f>=K1533/3</f>
        <v>227.333333333333</v>
      </c>
      <c r="E1533" s="20">
        <f>=L1533/3</f>
        <v>238.7</v>
      </c>
      <c r="F1533" s="20">
        <f>=H1533*0.9</f>
        <v>306.9</v>
      </c>
      <c r="G1533" s="21">
        <v>310</v>
      </c>
      <c r="H1533" s="39">
        <v>341</v>
      </c>
      <c r="I1533" s="40">
        <f>=H1533*1.05</f>
        <v>358.05</v>
      </c>
      <c r="J1533" s="40">
        <f>=F1533*2</f>
        <v>613.8</v>
      </c>
      <c r="K1533" s="40">
        <f>=H1533*2</f>
        <v>682</v>
      </c>
      <c r="L1533" s="40">
        <f>=I1533*2</f>
        <v>716.1</v>
      </c>
      <c r="M1533" s="41" t="s">
        <v>1665</v>
      </c>
      <c r="N1533" s="41">
        <v>0.076</v>
      </c>
      <c r="O1533" s="41" t="s"/>
      <c r="P1533" s="41">
        <v>1</v>
      </c>
      <c r="Q1533" s="41">
        <v>2</v>
      </c>
      <c r="R1533" s="41" t="s">
        <v>16</v>
      </c>
      <c r="S1533" s="41" t="s">
        <v>17</v>
      </c>
      <c r="T1533" s="41" t="s">
        <v>1098</v>
      </c>
      <c r="U1533" s="16" t="s">
        <v>13</v>
      </c>
      <c r="V1533" s="16" t="s">
        <v>215</v>
      </c>
      <c r="W1533" s="19" t="s"/>
      <c r="X1533" s="26" t="s">
        <f>=M1533&amp;N1533&amp;P1533&amp;Q1533&amp;T1533&amp;V1533&amp;S1533</f>
        <v>1672</v>
      </c>
      <c r="Y1533" s="19" t="s"/>
      <c r="Z1533" s="19" t="s"/>
      <c r="AA1533" s="19" t="s"/>
      <c r="AB1533" s="19" t="s"/>
    </row>
    <row r="1534" spans="1:28" ht="14.4">
      <c r="A1534" s="4">
        <f>=H1534/G1534-1</f>
        <v>0.101587301587302</v>
      </c>
      <c r="B1534" s="20">
        <f>=F1534/12</f>
        <v>26.025</v>
      </c>
      <c r="C1534" s="20">
        <f>=J1534/3</f>
        <v>208.2</v>
      </c>
      <c r="D1534" s="20">
        <f>=K1534/3</f>
        <v>231.333333333333</v>
      </c>
      <c r="E1534" s="20">
        <f>=L1534/3</f>
        <v>242.9</v>
      </c>
      <c r="F1534" s="20">
        <f>=H1534*0.9</f>
        <v>312.3</v>
      </c>
      <c r="G1534" s="21">
        <v>315</v>
      </c>
      <c r="H1534" s="39">
        <v>347</v>
      </c>
      <c r="I1534" s="40">
        <f>=H1534*1.05</f>
        <v>364.35</v>
      </c>
      <c r="J1534" s="40">
        <f>=F1534*2</f>
        <v>624.6</v>
      </c>
      <c r="K1534" s="40">
        <f>=H1534*2</f>
        <v>694</v>
      </c>
      <c r="L1534" s="40">
        <f>=I1534*2</f>
        <v>728.7</v>
      </c>
      <c r="M1534" s="41" t="s">
        <v>1665</v>
      </c>
      <c r="N1534" s="41">
        <v>0.076</v>
      </c>
      <c r="O1534" s="41" t="s"/>
      <c r="P1534" s="41">
        <v>1</v>
      </c>
      <c r="Q1534" s="41">
        <v>2</v>
      </c>
      <c r="R1534" s="41" t="s">
        <v>16</v>
      </c>
      <c r="S1534" s="41" t="s">
        <v>17</v>
      </c>
      <c r="T1534" s="41" t="s">
        <v>1098</v>
      </c>
      <c r="U1534" s="16" t="s">
        <v>13</v>
      </c>
      <c r="V1534" s="16" t="s">
        <v>1541</v>
      </c>
      <c r="W1534" s="19" t="s"/>
      <c r="X1534" s="26" t="s">
        <f>=M1534&amp;N1534&amp;P1534&amp;Q1534&amp;T1534&amp;V1534&amp;S1534</f>
        <v>1673</v>
      </c>
      <c r="Y1534" s="19" t="s"/>
      <c r="Z1534" s="19" t="s"/>
      <c r="AA1534" s="19" t="s"/>
      <c r="AB1534" s="19" t="s"/>
    </row>
    <row r="1535" spans="1:28" ht="14.4">
      <c r="A1535" s="4">
        <f>=H1535/G1535-1</f>
        <v>0.1</v>
      </c>
      <c r="B1535" s="20">
        <f>=F1535/12</f>
        <v>23.925</v>
      </c>
      <c r="C1535" s="20">
        <f>=J1535/3</f>
        <v>191.4</v>
      </c>
      <c r="D1535" s="20">
        <f>=K1535/3</f>
        <v>212.666666666667</v>
      </c>
      <c r="E1535" s="20">
        <f>=L1535/3</f>
        <v>223.3</v>
      </c>
      <c r="F1535" s="20">
        <f>=H1535*0.9</f>
        <v>287.1</v>
      </c>
      <c r="G1535" s="21">
        <v>290</v>
      </c>
      <c r="H1535" s="39">
        <v>319</v>
      </c>
      <c r="I1535" s="40">
        <f>=H1535*1.05</f>
        <v>334.95</v>
      </c>
      <c r="J1535" s="40">
        <f>=F1535*2</f>
        <v>574.2</v>
      </c>
      <c r="K1535" s="40">
        <f>=H1535*2</f>
        <v>638</v>
      </c>
      <c r="L1535" s="40">
        <f>=I1535*2</f>
        <v>669.9</v>
      </c>
      <c r="M1535" s="41" t="s">
        <v>1665</v>
      </c>
      <c r="N1535" s="41">
        <v>0.076</v>
      </c>
      <c r="O1535" s="41" t="s"/>
      <c r="P1535" s="41">
        <v>1</v>
      </c>
      <c r="Q1535" s="41" t="s">
        <v>21</v>
      </c>
      <c r="R1535" s="41" t="s">
        <v>16</v>
      </c>
      <c r="S1535" s="41" t="s">
        <v>17</v>
      </c>
      <c r="T1535" s="41" t="s">
        <v>1388</v>
      </c>
      <c r="U1535" s="16" t="s">
        <v>13</v>
      </c>
      <c r="V1535" s="16" t="s">
        <v>1227</v>
      </c>
      <c r="W1535" s="19" t="s"/>
      <c r="X1535" s="26" t="s">
        <f>=M1535&amp;N1535&amp;P1535&amp;Q1535&amp;T1535&amp;V1535&amp;S1535</f>
        <v>1674</v>
      </c>
      <c r="Y1535" s="19" t="s"/>
      <c r="Z1535" s="19" t="s"/>
      <c r="AA1535" s="19" t="s"/>
      <c r="AB1535" s="19" t="s"/>
    </row>
    <row r="1536" spans="1:28" ht="14.4">
      <c r="A1536" s="4">
        <f>=H1536/G1536-1</f>
        <v>0.100671140939597</v>
      </c>
      <c r="B1536" s="20">
        <f>=F1536/12</f>
        <v>24.6</v>
      </c>
      <c r="C1536" s="20">
        <f>=J1536/3</f>
        <v>196.8</v>
      </c>
      <c r="D1536" s="20">
        <f>=K1536/3</f>
        <v>218.666666666667</v>
      </c>
      <c r="E1536" s="20">
        <f>=L1536/3</f>
        <v>229.6</v>
      </c>
      <c r="F1536" s="20">
        <f>=H1536*0.9</f>
        <v>295.2</v>
      </c>
      <c r="G1536" s="21">
        <v>298</v>
      </c>
      <c r="H1536" s="39">
        <v>328</v>
      </c>
      <c r="I1536" s="40">
        <f>=H1536*1.05</f>
        <v>344.4</v>
      </c>
      <c r="J1536" s="40">
        <f>=F1536*2</f>
        <v>590.4</v>
      </c>
      <c r="K1536" s="40">
        <f>=H1536*2</f>
        <v>656</v>
      </c>
      <c r="L1536" s="40">
        <f>=I1536*2</f>
        <v>688.8</v>
      </c>
      <c r="M1536" s="41" t="s">
        <v>1665</v>
      </c>
      <c r="N1536" s="41">
        <v>0.076</v>
      </c>
      <c r="O1536" s="41" t="s"/>
      <c r="P1536" s="41">
        <v>1</v>
      </c>
      <c r="Q1536" s="41" t="s">
        <v>21</v>
      </c>
      <c r="R1536" s="41" t="s">
        <v>16</v>
      </c>
      <c r="S1536" s="41" t="s">
        <v>17</v>
      </c>
      <c r="T1536" s="41" t="s">
        <v>1098</v>
      </c>
      <c r="U1536" s="16" t="s">
        <v>13</v>
      </c>
      <c r="V1536" s="16" t="s">
        <v>1227</v>
      </c>
      <c r="W1536" s="19" t="s"/>
      <c r="X1536" s="26" t="s">
        <f>=M1536&amp;N1536&amp;P1536&amp;Q1536&amp;T1536&amp;V1536&amp;S1536</f>
        <v>1675</v>
      </c>
      <c r="Y1536" s="19" t="s"/>
      <c r="Z1536" s="19" t="s"/>
      <c r="AA1536" s="19" t="s"/>
      <c r="AB1536" s="19" t="s"/>
    </row>
    <row r="1537" spans="1:28" ht="14.4">
      <c r="A1537" s="4">
        <f>=H1537/G1537-1</f>
        <v>0.102040816326531</v>
      </c>
      <c r="B1537" s="20">
        <f>=F1537/12</f>
        <v>20.25</v>
      </c>
      <c r="C1537" s="20">
        <f>=J1537/3</f>
        <v>162</v>
      </c>
      <c r="D1537" s="20">
        <f>=K1537/3</f>
        <v>180</v>
      </c>
      <c r="E1537" s="20">
        <f>=L1537/3</f>
        <v>189</v>
      </c>
      <c r="F1537" s="20">
        <f>=H1537*0.9</f>
        <v>243</v>
      </c>
      <c r="G1537" s="21">
        <v>245</v>
      </c>
      <c r="H1537" s="39">
        <v>270</v>
      </c>
      <c r="I1537" s="40">
        <f>=H1537*1.05</f>
        <v>283.5</v>
      </c>
      <c r="J1537" s="40">
        <f>=F1537*2</f>
        <v>486</v>
      </c>
      <c r="K1537" s="40">
        <f>=H1537*2</f>
        <v>540</v>
      </c>
      <c r="L1537" s="40">
        <f>=I1537*2</f>
        <v>567</v>
      </c>
      <c r="M1537" s="41" t="s">
        <v>1665</v>
      </c>
      <c r="N1537" s="41">
        <v>0.076</v>
      </c>
      <c r="O1537" s="41" t="s"/>
      <c r="P1537" s="41">
        <v>1</v>
      </c>
      <c r="Q1537" s="41">
        <v>1</v>
      </c>
      <c r="R1537" s="41" t="s">
        <v>16</v>
      </c>
      <c r="S1537" s="41" t="s">
        <v>17</v>
      </c>
      <c r="T1537" s="41" t="s">
        <v>1098</v>
      </c>
      <c r="U1537" s="16" t="s">
        <v>13</v>
      </c>
      <c r="V1537" s="16" t="s">
        <v>215</v>
      </c>
      <c r="W1537" s="19" t="s"/>
      <c r="X1537" s="26" t="s">
        <f>=M1537&amp;N1537&amp;P1537&amp;Q1537&amp;T1537&amp;V1537&amp;S1537</f>
        <v>1669</v>
      </c>
      <c r="Y1537" s="19" t="s"/>
      <c r="Z1537" s="19" t="s"/>
      <c r="AA1537" s="19" t="s"/>
      <c r="AB1537" s="19" t="s"/>
    </row>
    <row r="1538" spans="1:28" ht="14.4">
      <c r="A1538" s="4">
        <f>=H1538/G1538-1</f>
        <v>0.101538461538462</v>
      </c>
      <c r="B1538" s="20">
        <f>=F1538/12</f>
        <v>26.85</v>
      </c>
      <c r="C1538" s="20">
        <f>=J1538/3</f>
        <v>214.8</v>
      </c>
      <c r="D1538" s="20">
        <f>=K1538/3</f>
        <v>238.666666666667</v>
      </c>
      <c r="E1538" s="20">
        <f>=L1538/3</f>
        <v>250.6</v>
      </c>
      <c r="F1538" s="20">
        <f>=H1538*0.9</f>
        <v>322.2</v>
      </c>
      <c r="G1538" s="21">
        <v>325</v>
      </c>
      <c r="H1538" s="39">
        <v>358</v>
      </c>
      <c r="I1538" s="40">
        <f>=H1538*1.05</f>
        <v>375.9</v>
      </c>
      <c r="J1538" s="40">
        <f>=F1538*2</f>
        <v>644.4</v>
      </c>
      <c r="K1538" s="40">
        <f>=H1538*2</f>
        <v>716</v>
      </c>
      <c r="L1538" s="40">
        <f>=I1538*2</f>
        <v>751.8</v>
      </c>
      <c r="M1538" s="41" t="s">
        <v>1665</v>
      </c>
      <c r="N1538" s="41">
        <v>0.076</v>
      </c>
      <c r="O1538" s="41" t="s"/>
      <c r="P1538" s="41">
        <v>1</v>
      </c>
      <c r="Q1538" s="41">
        <v>1</v>
      </c>
      <c r="R1538" s="41" t="s">
        <v>16</v>
      </c>
      <c r="S1538" s="41" t="s">
        <v>17</v>
      </c>
      <c r="T1538" s="41" t="s">
        <v>1092</v>
      </c>
      <c r="U1538" s="16" t="s">
        <v>13</v>
      </c>
      <c r="V1538" s="16" t="s">
        <v>1227</v>
      </c>
      <c r="W1538" s="19" t="s"/>
      <c r="X1538" s="26" t="s">
        <f>=M1538&amp;N1538&amp;P1538&amp;Q1538&amp;T1538&amp;V1538&amp;S1538</f>
        <v>1676</v>
      </c>
      <c r="Y1538" s="19" t="s"/>
      <c r="Z1538" s="19" t="s"/>
      <c r="AA1538" s="19" t="s"/>
      <c r="AB1538" s="19" t="s"/>
    </row>
    <row r="1539" spans="1:28" ht="14.4">
      <c r="A1539" s="4">
        <f>=H1539/G1539-1</f>
        <v>0.1</v>
      </c>
      <c r="B1539" s="20">
        <f>=F1539/12</f>
        <v>27.225</v>
      </c>
      <c r="C1539" s="20">
        <f>=J1539/3</f>
        <v>217.8</v>
      </c>
      <c r="D1539" s="20">
        <f>=K1539/3</f>
        <v>242</v>
      </c>
      <c r="E1539" s="20">
        <f>=L1539/3</f>
        <v>254.1</v>
      </c>
      <c r="F1539" s="20">
        <f>=H1539*0.9</f>
        <v>326.7</v>
      </c>
      <c r="G1539" s="21">
        <v>330</v>
      </c>
      <c r="H1539" s="39">
        <v>363</v>
      </c>
      <c r="I1539" s="40">
        <f>=H1539*1.05</f>
        <v>381.15</v>
      </c>
      <c r="J1539" s="40">
        <f>=F1539*2</f>
        <v>653.4</v>
      </c>
      <c r="K1539" s="40">
        <f>=H1539*2</f>
        <v>726</v>
      </c>
      <c r="L1539" s="40">
        <f>=I1539*2</f>
        <v>762.3</v>
      </c>
      <c r="M1539" s="41" t="s">
        <v>1665</v>
      </c>
      <c r="N1539" s="41">
        <v>0.076</v>
      </c>
      <c r="O1539" s="41" t="s"/>
      <c r="P1539" s="41">
        <v>1</v>
      </c>
      <c r="Q1539" s="41">
        <v>2</v>
      </c>
      <c r="R1539" s="41" t="s">
        <v>16</v>
      </c>
      <c r="S1539" s="41" t="s">
        <v>17</v>
      </c>
      <c r="T1539" s="41" t="s">
        <v>1098</v>
      </c>
      <c r="U1539" s="16" t="s">
        <v>13</v>
      </c>
      <c r="V1539" s="16" t="s">
        <v>1677</v>
      </c>
      <c r="W1539" s="19" t="s"/>
      <c r="X1539" s="26" t="s">
        <f>=M1539&amp;N1539&amp;P1539&amp;Q1539&amp;T1539&amp;V1539&amp;S1539</f>
        <v>1678</v>
      </c>
      <c r="Y1539" s="19" t="s"/>
      <c r="Z1539" s="19" t="s"/>
      <c r="AA1539" s="19" t="s"/>
      <c r="AB1539" s="19" t="s"/>
    </row>
    <row r="1540" spans="1:28" ht="14.4">
      <c r="A1540" s="4">
        <f>=H1540/G1540-1</f>
        <v>0.100890207715133</v>
      </c>
      <c r="B1540" s="20">
        <f>=F1540/12</f>
        <v>27.825</v>
      </c>
      <c r="C1540" s="20">
        <f>=J1540/3</f>
        <v>222.6</v>
      </c>
      <c r="D1540" s="20">
        <f>=K1540/3</f>
        <v>247.333333333333</v>
      </c>
      <c r="E1540" s="20">
        <f>=L1540/3</f>
        <v>259.7</v>
      </c>
      <c r="F1540" s="20">
        <f>=H1540*0.9</f>
        <v>333.9</v>
      </c>
      <c r="G1540" s="21">
        <v>337</v>
      </c>
      <c r="H1540" s="39">
        <v>371</v>
      </c>
      <c r="I1540" s="40">
        <f>=H1540*1.05</f>
        <v>389.55</v>
      </c>
      <c r="J1540" s="40">
        <f>=F1540*2</f>
        <v>667.8</v>
      </c>
      <c r="K1540" s="40">
        <f>=H1540*2</f>
        <v>742</v>
      </c>
      <c r="L1540" s="40">
        <f>=I1540*2</f>
        <v>779.1</v>
      </c>
      <c r="M1540" s="41" t="s">
        <v>1665</v>
      </c>
      <c r="N1540" s="41">
        <v>0.076</v>
      </c>
      <c r="O1540" s="41" t="s"/>
      <c r="P1540" s="41">
        <v>1</v>
      </c>
      <c r="Q1540" s="41">
        <v>2</v>
      </c>
      <c r="R1540" s="41" t="s">
        <v>16</v>
      </c>
      <c r="S1540" s="41" t="s">
        <v>17</v>
      </c>
      <c r="T1540" s="41" t="s">
        <v>1092</v>
      </c>
      <c r="U1540" s="16" t="s">
        <v>13</v>
      </c>
      <c r="V1540" s="16" t="s">
        <v>1541</v>
      </c>
      <c r="W1540" s="19" t="s"/>
      <c r="X1540" s="26" t="s">
        <f>=M1540&amp;N1540&amp;P1540&amp;Q1540&amp;T1540&amp;V1540&amp;S1540</f>
        <v>1679</v>
      </c>
      <c r="Y1540" s="19" t="s"/>
      <c r="Z1540" s="19" t="s"/>
      <c r="AA1540" s="19" t="s"/>
      <c r="AB1540" s="19" t="s"/>
    </row>
    <row r="1541" spans="1:28" ht="14.4">
      <c r="A1541" s="4">
        <f>=H1541/G1541-1</f>
        <v>0.0990099009900991</v>
      </c>
      <c r="B1541" s="20">
        <f>=F1541/12</f>
        <v>33.3</v>
      </c>
      <c r="C1541" s="20">
        <f>=J1541/3</f>
        <v>266.4</v>
      </c>
      <c r="D1541" s="20">
        <f>=K1541/3</f>
        <v>296</v>
      </c>
      <c r="E1541" s="20">
        <f>=L1541/3</f>
        <v>310.8</v>
      </c>
      <c r="F1541" s="20">
        <f>=H1541*0.9</f>
        <v>399.6</v>
      </c>
      <c r="G1541" s="21">
        <v>404</v>
      </c>
      <c r="H1541" s="39">
        <v>444</v>
      </c>
      <c r="I1541" s="40">
        <f>=H1541*1.05</f>
        <v>466.2</v>
      </c>
      <c r="J1541" s="40">
        <f>=F1541*2</f>
        <v>799.2</v>
      </c>
      <c r="K1541" s="40">
        <f>=H1541*2</f>
        <v>888</v>
      </c>
      <c r="L1541" s="40">
        <f>=I1541*2</f>
        <v>932.4</v>
      </c>
      <c r="M1541" s="41" t="s">
        <v>1665</v>
      </c>
      <c r="N1541" s="41">
        <v>0.076</v>
      </c>
      <c r="O1541" s="41" t="s"/>
      <c r="P1541" s="41">
        <v>1</v>
      </c>
      <c r="Q1541" s="41">
        <v>2</v>
      </c>
      <c r="R1541" s="41" t="s">
        <v>16</v>
      </c>
      <c r="S1541" s="41" t="s">
        <v>17</v>
      </c>
      <c r="T1541" s="41" t="s">
        <v>1098</v>
      </c>
      <c r="U1541" s="16" t="s">
        <v>13</v>
      </c>
      <c r="V1541" s="16" t="s">
        <v>1474</v>
      </c>
      <c r="W1541" s="19" t="s"/>
      <c r="X1541" s="26" t="s">
        <f>=M1541&amp;N1541&amp;P1541&amp;Q1541&amp;T1541&amp;V1541&amp;S1541</f>
        <v>1680</v>
      </c>
      <c r="Y1541" s="19" t="s"/>
      <c r="Z1541" s="19" t="s"/>
      <c r="AA1541" s="19" t="s"/>
      <c r="AB1541" s="19" t="s"/>
    </row>
    <row r="1542" spans="1:28" ht="14.4">
      <c r="A1542" s="4">
        <f>=H1542/G1542-1</f>
        <v>0.101694915254237</v>
      </c>
      <c r="B1542" s="20">
        <f>=F1542/12</f>
        <v>24.375</v>
      </c>
      <c r="C1542" s="20">
        <f>=J1542/3</f>
        <v>195</v>
      </c>
      <c r="D1542" s="20">
        <f>=K1542/3</f>
        <v>216.666666666667</v>
      </c>
      <c r="E1542" s="20">
        <f>=L1542/3</f>
        <v>227.5</v>
      </c>
      <c r="F1542" s="20">
        <f>=H1542*0.9</f>
        <v>292.5</v>
      </c>
      <c r="G1542" s="21">
        <v>295</v>
      </c>
      <c r="H1542" s="39">
        <v>325</v>
      </c>
      <c r="I1542" s="40">
        <f>=H1542*1.05</f>
        <v>341.25</v>
      </c>
      <c r="J1542" s="40">
        <f>=F1542*2</f>
        <v>585</v>
      </c>
      <c r="K1542" s="40">
        <f>=H1542*2</f>
        <v>650</v>
      </c>
      <c r="L1542" s="40">
        <f>=I1542*2</f>
        <v>682.5</v>
      </c>
      <c r="M1542" s="41" t="s">
        <v>1665</v>
      </c>
      <c r="N1542" s="41">
        <v>0.076</v>
      </c>
      <c r="O1542" s="41" t="s"/>
      <c r="P1542" s="41">
        <v>2</v>
      </c>
      <c r="Q1542" s="41">
        <v>2</v>
      </c>
      <c r="R1542" s="41" t="s">
        <v>16</v>
      </c>
      <c r="S1542" s="41" t="s">
        <v>17</v>
      </c>
      <c r="T1542" s="41" t="s">
        <v>1388</v>
      </c>
      <c r="U1542" s="16" t="s">
        <v>13</v>
      </c>
      <c r="V1542" s="16" t="s">
        <v>215</v>
      </c>
      <c r="W1542" s="19" t="s"/>
      <c r="X1542" s="26" t="s">
        <f>=M1542&amp;N1542&amp;P1542&amp;Q1542&amp;T1542&amp;V1542&amp;S1542</f>
        <v>1681</v>
      </c>
      <c r="Y1542" s="19" t="s"/>
      <c r="Z1542" s="19" t="s"/>
      <c r="AA1542" s="19" t="s"/>
      <c r="AB1542" s="19" t="s"/>
    </row>
    <row r="1543" spans="1:28" ht="14.4">
      <c r="A1543" s="4">
        <f>=H1543/G1543-1</f>
        <v>0.100890207715133</v>
      </c>
      <c r="B1543" s="20">
        <f>=F1543/12</f>
        <v>27.825</v>
      </c>
      <c r="C1543" s="20">
        <f>=J1543/3</f>
        <v>222.6</v>
      </c>
      <c r="D1543" s="20">
        <f>=K1543/3</f>
        <v>247.333333333333</v>
      </c>
      <c r="E1543" s="20">
        <f>=L1543/3</f>
        <v>259.7</v>
      </c>
      <c r="F1543" s="20">
        <f>=H1543*0.9</f>
        <v>333.9</v>
      </c>
      <c r="G1543" s="21">
        <v>337</v>
      </c>
      <c r="H1543" s="39">
        <v>371</v>
      </c>
      <c r="I1543" s="40">
        <f>=H1543*1.05</f>
        <v>389.55</v>
      </c>
      <c r="J1543" s="40">
        <f>=F1543*2</f>
        <v>667.8</v>
      </c>
      <c r="K1543" s="40">
        <f>=H1543*2</f>
        <v>742</v>
      </c>
      <c r="L1543" s="40">
        <f>=I1543*2</f>
        <v>779.1</v>
      </c>
      <c r="M1543" s="41" t="s">
        <v>1665</v>
      </c>
      <c r="N1543" s="41">
        <v>0.076</v>
      </c>
      <c r="O1543" s="41" t="s"/>
      <c r="P1543" s="41">
        <v>2</v>
      </c>
      <c r="Q1543" s="41">
        <v>2</v>
      </c>
      <c r="R1543" s="41" t="s">
        <v>16</v>
      </c>
      <c r="S1543" s="41" t="s">
        <v>17</v>
      </c>
      <c r="T1543" s="41" t="s">
        <v>1098</v>
      </c>
      <c r="U1543" s="16" t="s">
        <v>13</v>
      </c>
      <c r="V1543" s="16" t="s">
        <v>215</v>
      </c>
      <c r="W1543" s="19" t="s"/>
      <c r="X1543" s="26" t="s">
        <f>=M1543&amp;N1543&amp;P1543&amp;Q1543&amp;T1543&amp;V1543&amp;S1543</f>
        <v>1682</v>
      </c>
      <c r="Y1543" s="19" t="s"/>
      <c r="Z1543" s="19" t="s"/>
      <c r="AA1543" s="19" t="s"/>
      <c r="AB1543" s="19" t="s"/>
    </row>
    <row r="1544" spans="1:28" ht="14.4">
      <c r="A1544" s="4">
        <f>=H1544/G1544-1</f>
        <v>0.1</v>
      </c>
      <c r="B1544" s="20">
        <f>=F1544/12</f>
        <v>27.225</v>
      </c>
      <c r="C1544" s="20">
        <f>=J1544/3</f>
        <v>217.8</v>
      </c>
      <c r="D1544" s="20">
        <f>=K1544/3</f>
        <v>242</v>
      </c>
      <c r="E1544" s="20">
        <f>=L1544/3</f>
        <v>254.1</v>
      </c>
      <c r="F1544" s="20">
        <f>=H1544*0.9</f>
        <v>326.7</v>
      </c>
      <c r="G1544" s="21">
        <v>330</v>
      </c>
      <c r="H1544" s="39">
        <v>363</v>
      </c>
      <c r="I1544" s="40">
        <f>=H1544*1.05</f>
        <v>381.15</v>
      </c>
      <c r="J1544" s="40">
        <f>=F1544*2</f>
        <v>653.4</v>
      </c>
      <c r="K1544" s="40">
        <f>=H1544*2</f>
        <v>726</v>
      </c>
      <c r="L1544" s="40">
        <f>=I1544*2</f>
        <v>762.3</v>
      </c>
      <c r="M1544" s="41" t="s">
        <v>1665</v>
      </c>
      <c r="N1544" s="41">
        <v>0.089</v>
      </c>
      <c r="O1544" s="41" t="s"/>
      <c r="P1544" s="41">
        <v>1</v>
      </c>
      <c r="Q1544" s="41">
        <v>2</v>
      </c>
      <c r="R1544" s="41" t="s">
        <v>16</v>
      </c>
      <c r="S1544" s="41" t="s">
        <v>17</v>
      </c>
      <c r="T1544" s="41" t="s">
        <v>1078</v>
      </c>
      <c r="U1544" s="16" t="s">
        <v>13</v>
      </c>
      <c r="V1544" s="16" t="s">
        <v>1541</v>
      </c>
      <c r="W1544" s="19" t="s"/>
      <c r="X1544" s="26" t="s">
        <f>=M1544&amp;N1544&amp;P1544&amp;Q1544&amp;T1544&amp;V1544&amp;S1544</f>
        <v>1683</v>
      </c>
      <c r="Y1544" s="19" t="s"/>
      <c r="Z1544" s="19" t="s"/>
      <c r="AA1544" s="19" t="s"/>
      <c r="AB1544" s="19" t="s"/>
    </row>
    <row r="1545" spans="1:28" ht="14.4">
      <c r="A1545" s="4">
        <f>=H1545/G1545-1</f>
        <v>0.0993589743589745</v>
      </c>
      <c r="B1545" s="20">
        <f>=F1545/12</f>
        <v>25.725</v>
      </c>
      <c r="C1545" s="20">
        <f>=J1545/3</f>
        <v>205.8</v>
      </c>
      <c r="D1545" s="20">
        <f>=K1545/3</f>
        <v>228.666666666667</v>
      </c>
      <c r="E1545" s="20">
        <f>=L1545/3</f>
        <v>240.1</v>
      </c>
      <c r="F1545" s="20">
        <f>=H1545*0.9</f>
        <v>308.7</v>
      </c>
      <c r="G1545" s="21">
        <v>312</v>
      </c>
      <c r="H1545" s="39">
        <v>343</v>
      </c>
      <c r="I1545" s="40">
        <f>=H1545*1.05</f>
        <v>360.15</v>
      </c>
      <c r="J1545" s="40">
        <f>=F1545*2</f>
        <v>617.4</v>
      </c>
      <c r="K1545" s="40">
        <f>=H1545*2</f>
        <v>686</v>
      </c>
      <c r="L1545" s="40">
        <f>=I1545*2</f>
        <v>720.3</v>
      </c>
      <c r="M1545" s="41" t="s">
        <v>1665</v>
      </c>
      <c r="N1545" s="41">
        <v>0.102</v>
      </c>
      <c r="O1545" s="41" t="s"/>
      <c r="P1545" s="41">
        <v>1</v>
      </c>
      <c r="Q1545" s="41">
        <v>1</v>
      </c>
      <c r="R1545" s="41" t="s">
        <v>16</v>
      </c>
      <c r="S1545" s="41" t="s">
        <v>17</v>
      </c>
      <c r="T1545" s="41" t="s">
        <v>639</v>
      </c>
      <c r="U1545" s="16" t="s">
        <v>13</v>
      </c>
      <c r="V1545" s="16" t="s">
        <v>1227</v>
      </c>
      <c r="W1545" s="19" t="s"/>
      <c r="X1545" s="26" t="s">
        <f>=M1545&amp;N1545&amp;P1545&amp;Q1545&amp;T1545&amp;V1545&amp;S1545</f>
        <v>1684</v>
      </c>
      <c r="Y1545" s="19" t="s"/>
      <c r="Z1545" s="19" t="s"/>
      <c r="AA1545" s="19" t="s"/>
      <c r="AB1545" s="19" t="s"/>
    </row>
    <row r="1546" spans="1:28" ht="14.4">
      <c r="A1546" s="4">
        <f>=H1546/G1546-1</f>
        <v>0.0992647058823531</v>
      </c>
      <c r="B1546" s="20">
        <f>=F1546/12</f>
        <v>22.425</v>
      </c>
      <c r="C1546" s="20">
        <f>=J1546/3</f>
        <v>179.4</v>
      </c>
      <c r="D1546" s="20">
        <f>=K1546/3</f>
        <v>199.333333333333</v>
      </c>
      <c r="E1546" s="20">
        <f>=L1546/3</f>
        <v>209.3</v>
      </c>
      <c r="F1546" s="20">
        <f>=H1546*0.9</f>
        <v>269.1</v>
      </c>
      <c r="G1546" s="21">
        <v>272</v>
      </c>
      <c r="H1546" s="39">
        <v>299</v>
      </c>
      <c r="I1546" s="40">
        <f>=H1546*1.05</f>
        <v>313.95</v>
      </c>
      <c r="J1546" s="40">
        <f>=F1546*2</f>
        <v>538.2</v>
      </c>
      <c r="K1546" s="40">
        <f>=H1546*2</f>
        <v>598</v>
      </c>
      <c r="L1546" s="40">
        <f>=I1546*2</f>
        <v>627.9</v>
      </c>
      <c r="M1546" s="41" t="s">
        <v>1665</v>
      </c>
      <c r="N1546" s="41">
        <v>0.102</v>
      </c>
      <c r="O1546" s="41" t="s"/>
      <c r="P1546" s="41">
        <v>1</v>
      </c>
      <c r="Q1546" s="41">
        <v>1</v>
      </c>
      <c r="R1546" s="41" t="s">
        <v>16</v>
      </c>
      <c r="S1546" s="41" t="s">
        <v>17</v>
      </c>
      <c r="T1546" s="41" t="s">
        <v>1098</v>
      </c>
      <c r="U1546" s="16" t="s">
        <v>13</v>
      </c>
      <c r="V1546" s="16" t="s">
        <v>1227</v>
      </c>
      <c r="W1546" s="19" t="s"/>
      <c r="X1546" s="26" t="s">
        <f>=M1546&amp;N1546&amp;P1546&amp;Q1546&amp;T1546&amp;V1546&amp;S1546</f>
        <v>1685</v>
      </c>
      <c r="Y1546" s="19" t="s"/>
      <c r="Z1546" s="19" t="s"/>
      <c r="AA1546" s="19" t="s"/>
      <c r="AB1546" s="19" t="s"/>
    </row>
    <row r="1547" spans="1:28" ht="14.4">
      <c r="A1547" s="4">
        <f>=H1547/G1547-1</f>
        <v>0.101083032490975</v>
      </c>
      <c r="B1547" s="20">
        <f>=F1547/12</f>
        <v>22.875</v>
      </c>
      <c r="C1547" s="20">
        <f>=J1547/3</f>
        <v>183</v>
      </c>
      <c r="D1547" s="20">
        <f>=K1547/3</f>
        <v>203.333333333333</v>
      </c>
      <c r="E1547" s="20">
        <f>=L1547/3</f>
        <v>213.5</v>
      </c>
      <c r="F1547" s="20">
        <f>=H1547*0.9</f>
        <v>274.5</v>
      </c>
      <c r="G1547" s="21">
        <v>277</v>
      </c>
      <c r="H1547" s="39">
        <v>305</v>
      </c>
      <c r="I1547" s="40">
        <f>=H1547*1.05</f>
        <v>320.25</v>
      </c>
      <c r="J1547" s="40">
        <f>=F1547*2</f>
        <v>549</v>
      </c>
      <c r="K1547" s="40">
        <f>=H1547*2</f>
        <v>610</v>
      </c>
      <c r="L1547" s="40">
        <f>=I1547*2</f>
        <v>640.5</v>
      </c>
      <c r="M1547" s="41" t="s">
        <v>1665</v>
      </c>
      <c r="N1547" s="41">
        <v>0.102</v>
      </c>
      <c r="O1547" s="41" t="s"/>
      <c r="P1547" s="41">
        <v>1</v>
      </c>
      <c r="Q1547" s="41">
        <v>2</v>
      </c>
      <c r="R1547" s="41" t="s">
        <v>16</v>
      </c>
      <c r="S1547" s="41" t="s">
        <v>17</v>
      </c>
      <c r="T1547" s="41" t="s">
        <v>624</v>
      </c>
      <c r="U1547" s="16" t="s">
        <v>13</v>
      </c>
      <c r="V1547" s="16" t="s">
        <v>1227</v>
      </c>
      <c r="W1547" s="19" t="s"/>
      <c r="X1547" s="26" t="s">
        <f>=M1547&amp;N1547&amp;P1547&amp;Q1547&amp;T1547&amp;V1547&amp;S1547</f>
        <v>1686</v>
      </c>
      <c r="Y1547" s="19" t="s"/>
      <c r="Z1547" s="19" t="s"/>
      <c r="AA1547" s="19" t="s"/>
      <c r="AB1547" s="19" t="s"/>
    </row>
    <row r="1548" spans="1:28" ht="14.4">
      <c r="A1548" s="4">
        <f>=H1548/G1548-1</f>
        <v>0.1</v>
      </c>
      <c r="B1548" s="20">
        <f>=F1548/12</f>
        <v>18.975</v>
      </c>
      <c r="C1548" s="20">
        <f>=J1548/3</f>
        <v>151.8</v>
      </c>
      <c r="D1548" s="20">
        <f>=K1548/3</f>
        <v>168.666666666667</v>
      </c>
      <c r="E1548" s="20">
        <f>=L1548/3</f>
        <v>177.1</v>
      </c>
      <c r="F1548" s="20">
        <f>=H1548*0.9</f>
        <v>227.7</v>
      </c>
      <c r="G1548" s="21">
        <v>230</v>
      </c>
      <c r="H1548" s="39">
        <v>253</v>
      </c>
      <c r="I1548" s="40">
        <f>=H1548*1.05</f>
        <v>265.65</v>
      </c>
      <c r="J1548" s="40">
        <f>=F1548*2</f>
        <v>455.4</v>
      </c>
      <c r="K1548" s="40">
        <f>=H1548*2</f>
        <v>506</v>
      </c>
      <c r="L1548" s="40">
        <f>=I1548*2</f>
        <v>531.3</v>
      </c>
      <c r="M1548" s="41" t="s">
        <v>1665</v>
      </c>
      <c r="N1548" s="41">
        <v>0.102</v>
      </c>
      <c r="O1548" s="41" t="s"/>
      <c r="P1548" s="41" t="s">
        <v>21</v>
      </c>
      <c r="Q1548" s="41" t="s">
        <v>21</v>
      </c>
      <c r="R1548" s="41" t="s">
        <v>16</v>
      </c>
      <c r="S1548" s="41" t="s">
        <v>17</v>
      </c>
      <c r="T1548" s="41" t="s">
        <v>1098</v>
      </c>
      <c r="U1548" s="16" t="s">
        <v>13</v>
      </c>
      <c r="V1548" s="16" t="s">
        <v>1545</v>
      </c>
      <c r="W1548" s="19" t="s"/>
      <c r="X1548" s="26" t="s">
        <f>=M1548&amp;N1548&amp;P1548&amp;Q1548&amp;T1548&amp;V1548&amp;S1548</f>
        <v>1687</v>
      </c>
      <c r="Y1548" s="19" t="s"/>
      <c r="Z1548" s="19" t="s"/>
      <c r="AA1548" s="19" t="s"/>
      <c r="AB1548" s="19" t="s"/>
    </row>
    <row r="1549" spans="1:28" ht="14.4">
      <c r="A1549" s="4">
        <f>=H1549/G1549-1</f>
        <v>0.101010101010101</v>
      </c>
      <c r="B1549" s="20">
        <f>=F1549/12</f>
        <v>24.525</v>
      </c>
      <c r="C1549" s="20">
        <f>=J1549/3</f>
        <v>196.2</v>
      </c>
      <c r="D1549" s="20">
        <f>=K1549/3</f>
        <v>218</v>
      </c>
      <c r="E1549" s="20">
        <f>=L1549/3</f>
        <v>228.9</v>
      </c>
      <c r="F1549" s="20">
        <f>=H1549*0.9</f>
        <v>294.3</v>
      </c>
      <c r="G1549" s="21">
        <v>297</v>
      </c>
      <c r="H1549" s="39">
        <v>327</v>
      </c>
      <c r="I1549" s="40">
        <f>=H1549*1.05</f>
        <v>343.35</v>
      </c>
      <c r="J1549" s="40">
        <f>=F1549*2</f>
        <v>588.6</v>
      </c>
      <c r="K1549" s="40">
        <f>=H1549*2</f>
        <v>654</v>
      </c>
      <c r="L1549" s="40">
        <f>=I1549*2</f>
        <v>686.7</v>
      </c>
      <c r="M1549" s="41" t="s">
        <v>1665</v>
      </c>
      <c r="N1549" s="41">
        <v>0.102</v>
      </c>
      <c r="O1549" s="41" t="s"/>
      <c r="P1549" s="41">
        <v>1</v>
      </c>
      <c r="Q1549" s="41">
        <v>1</v>
      </c>
      <c r="R1549" s="41" t="s">
        <v>16</v>
      </c>
      <c r="S1549" s="41" t="s">
        <v>17</v>
      </c>
      <c r="T1549" s="41" t="s">
        <v>1092</v>
      </c>
      <c r="U1549" s="16" t="s">
        <v>13</v>
      </c>
      <c r="V1549" s="16" t="s">
        <v>1227</v>
      </c>
      <c r="W1549" s="19" t="s"/>
      <c r="X1549" s="26" t="s">
        <f>=M1549&amp;N1549&amp;P1549&amp;Q1549&amp;T1549&amp;V1549&amp;S1549</f>
        <v>1688</v>
      </c>
      <c r="Y1549" s="19" t="s"/>
      <c r="Z1549" s="19" t="s"/>
      <c r="AA1549" s="19" t="s"/>
      <c r="AB1549" s="19" t="s"/>
    </row>
    <row r="1550" spans="1:28" ht="14.4">
      <c r="A1550" s="4">
        <f>=H1550/G1550-1</f>
        <v>0.101010101010101</v>
      </c>
      <c r="B1550" s="20">
        <f>=F1550/12</f>
        <v>24.525</v>
      </c>
      <c r="C1550" s="20">
        <f>=J1550/3</f>
        <v>196.2</v>
      </c>
      <c r="D1550" s="20">
        <f>=K1550/3</f>
        <v>218</v>
      </c>
      <c r="E1550" s="20">
        <f>=L1550/3</f>
        <v>228.9</v>
      </c>
      <c r="F1550" s="20">
        <f>=H1550*0.9</f>
        <v>294.3</v>
      </c>
      <c r="G1550" s="21">
        <v>297</v>
      </c>
      <c r="H1550" s="39">
        <v>327</v>
      </c>
      <c r="I1550" s="40">
        <f>=H1550*1.05</f>
        <v>343.35</v>
      </c>
      <c r="J1550" s="40">
        <f>=F1550*2</f>
        <v>588.6</v>
      </c>
      <c r="K1550" s="40">
        <f>=H1550*2</f>
        <v>654</v>
      </c>
      <c r="L1550" s="40">
        <f>=I1550*2</f>
        <v>686.7</v>
      </c>
      <c r="M1550" s="41" t="s">
        <v>1665</v>
      </c>
      <c r="N1550" s="41">
        <v>0.102</v>
      </c>
      <c r="O1550" s="41" t="s"/>
      <c r="P1550" s="41">
        <v>1</v>
      </c>
      <c r="Q1550" s="41">
        <v>1</v>
      </c>
      <c r="R1550" s="41" t="s">
        <v>16</v>
      </c>
      <c r="S1550" s="41" t="s">
        <v>17</v>
      </c>
      <c r="T1550" s="41" t="s">
        <v>624</v>
      </c>
      <c r="U1550" s="16" t="s">
        <v>13</v>
      </c>
      <c r="V1550" s="16" t="s">
        <v>1227</v>
      </c>
      <c r="W1550" s="19" t="s"/>
      <c r="X1550" s="26" t="s">
        <f>=M1550&amp;N1550&amp;P1550&amp;Q1550&amp;T1550&amp;V1550&amp;S1550</f>
        <v>1689</v>
      </c>
      <c r="Y1550" s="19" t="s"/>
      <c r="Z1550" s="19" t="s"/>
      <c r="AA1550" s="19" t="s"/>
      <c r="AB1550" s="19" t="s"/>
    </row>
    <row r="1551" spans="1:28" ht="14.4">
      <c r="A1551" s="4">
        <f>=H1551/G1551-1</f>
        <v>0.101075268817204</v>
      </c>
      <c r="B1551" s="20">
        <f>=F1551/12</f>
        <v>38.4</v>
      </c>
      <c r="C1551" s="20">
        <f>=J1551/3</f>
        <v>307.2</v>
      </c>
      <c r="D1551" s="20">
        <f>=K1551/3</f>
        <v>341.333333333333</v>
      </c>
      <c r="E1551" s="20">
        <f>=L1551/3</f>
        <v>358.4</v>
      </c>
      <c r="F1551" s="20">
        <f>=H1551*0.9</f>
        <v>460.8</v>
      </c>
      <c r="G1551" s="21">
        <v>465</v>
      </c>
      <c r="H1551" s="39">
        <v>512</v>
      </c>
      <c r="I1551" s="40">
        <f>=H1551*1.05</f>
        <v>537.6</v>
      </c>
      <c r="J1551" s="40">
        <f>=F1551*2</f>
        <v>921.6</v>
      </c>
      <c r="K1551" s="40">
        <f>=H1551*2</f>
        <v>1024</v>
      </c>
      <c r="L1551" s="40">
        <f>=I1551*2</f>
        <v>1075.2</v>
      </c>
      <c r="M1551" s="41" t="s">
        <v>1665</v>
      </c>
      <c r="N1551" s="41">
        <v>0.102</v>
      </c>
      <c r="O1551" s="41" t="s"/>
      <c r="P1551" s="41">
        <v>2</v>
      </c>
      <c r="Q1551" s="41">
        <v>2</v>
      </c>
      <c r="R1551" s="41" t="s">
        <v>16</v>
      </c>
      <c r="S1551" s="41" t="s">
        <v>17</v>
      </c>
      <c r="T1551" s="41" t="s">
        <v>1078</v>
      </c>
      <c r="U1551" s="16" t="s">
        <v>13</v>
      </c>
      <c r="V1551" s="16" t="s">
        <v>215</v>
      </c>
      <c r="W1551" s="19" t="s"/>
      <c r="X1551" s="26" t="s">
        <f>=M1551&amp;N1551&amp;P1551&amp;Q1551&amp;T1551&amp;V1551&amp;S1551</f>
        <v>1690</v>
      </c>
      <c r="Y1551" s="19" t="s"/>
      <c r="Z1551" s="19" t="s"/>
      <c r="AA1551" s="19" t="s"/>
      <c r="AB1551" s="19" t="s"/>
    </row>
    <row r="1552" spans="1:29" ht="14.4">
      <c r="A1552" s="42">
        <f>=H1552/G1552-1</f>
        <v>0.11587982832618</v>
      </c>
      <c r="B1552" s="43">
        <f>=F1552/12</f>
        <v>19.5</v>
      </c>
      <c r="C1552" s="43">
        <f>=J1552/3</f>
        <v>156</v>
      </c>
      <c r="D1552" s="43">
        <f>=K1552/3</f>
        <v>173.333333333333</v>
      </c>
      <c r="E1552" s="43">
        <f>=L1552/3</f>
        <v>182</v>
      </c>
      <c r="F1552" s="43">
        <f>=H1552*0.9</f>
        <v>234</v>
      </c>
      <c r="G1552" s="27">
        <v>233</v>
      </c>
      <c r="H1552" s="44">
        <v>260</v>
      </c>
      <c r="I1552" s="45">
        <f>=H1552*1.05</f>
        <v>273</v>
      </c>
      <c r="J1552" s="45">
        <f>=F1552*2</f>
        <v>468</v>
      </c>
      <c r="K1552" s="45">
        <f>=H1552*2</f>
        <v>520</v>
      </c>
      <c r="L1552" s="45">
        <f>=I1552*2</f>
        <v>546</v>
      </c>
      <c r="M1552" s="46" t="s">
        <v>1522</v>
      </c>
      <c r="N1552" s="46">
        <v>0.102</v>
      </c>
      <c r="O1552" s="46" t="s"/>
      <c r="P1552" s="46" t="s">
        <v>21</v>
      </c>
      <c r="Q1552" s="46" t="s">
        <v>21</v>
      </c>
      <c r="R1552" s="46" t="s">
        <v>16</v>
      </c>
      <c r="S1552" s="46" t="s">
        <v>17</v>
      </c>
      <c r="T1552" s="46" t="s">
        <v>639</v>
      </c>
      <c r="U1552" s="13" t="s">
        <v>13</v>
      </c>
      <c r="V1552" s="11" t="s">
        <v>1083</v>
      </c>
      <c r="W1552" s="15" t="s"/>
      <c r="X1552" s="18" t="s">
        <f>=M1552&amp;N1552&amp;P1552&amp;Q1552&amp;T1552&amp;V1552&amp;S1552</f>
        <v>1691</v>
      </c>
      <c r="Y1552" s="15" t="s"/>
      <c r="Z1552" s="15" t="s"/>
      <c r="AA1552" s="15" t="s"/>
      <c r="AB1552" s="15" t="s"/>
      <c r="AC1552" s="48" t="s"/>
    </row>
    <row r="1553" spans="1:28" ht="14.4">
      <c r="A1553" s="42">
        <f>=H1553/G1553-1</f>
        <v>0.0490566037735849</v>
      </c>
      <c r="B1553" s="43">
        <f>=F1553/12</f>
        <v>20.85</v>
      </c>
      <c r="C1553" s="43">
        <f>=J1553/3</f>
        <v>166.8</v>
      </c>
      <c r="D1553" s="43">
        <f>=K1553/3</f>
        <v>185.333333333333</v>
      </c>
      <c r="E1553" s="43">
        <f>=L1553/3</f>
        <v>194.6</v>
      </c>
      <c r="F1553" s="43">
        <f>=H1553*0.9</f>
        <v>250.2</v>
      </c>
      <c r="G1553" s="27">
        <v>265</v>
      </c>
      <c r="H1553" s="44">
        <v>278</v>
      </c>
      <c r="I1553" s="45">
        <f>=H1553*1.05</f>
        <v>291.9</v>
      </c>
      <c r="J1553" s="45">
        <f>=F1553*2</f>
        <v>500.4</v>
      </c>
      <c r="K1553" s="45">
        <f>=H1553*2</f>
        <v>556</v>
      </c>
      <c r="L1553" s="45">
        <f>=I1553*2</f>
        <v>583.8</v>
      </c>
      <c r="M1553" s="12" t="s">
        <v>1522</v>
      </c>
      <c r="N1553" s="46">
        <v>0.102</v>
      </c>
      <c r="O1553" s="46" t="s"/>
      <c r="P1553" s="46" t="s">
        <v>21</v>
      </c>
      <c r="Q1553" s="46" t="s">
        <v>21</v>
      </c>
      <c r="R1553" s="46" t="s">
        <v>16</v>
      </c>
      <c r="S1553" s="46" t="s">
        <v>17</v>
      </c>
      <c r="T1553" s="46" t="s">
        <v>639</v>
      </c>
      <c r="U1553" s="13" t="s">
        <v>13</v>
      </c>
      <c r="V1553" s="46" t="s">
        <v>1227</v>
      </c>
      <c r="W1553" s="15" t="s"/>
      <c r="X1553" s="18" t="s">
        <f>=M1553&amp;N1553&amp;P1553&amp;Q1553&amp;T1553&amp;V1553&amp;S1553</f>
        <v>1692</v>
      </c>
      <c r="Y1553" s="15" t="s"/>
      <c r="Z1553" s="15" t="s"/>
      <c r="AA1553" s="15" t="s"/>
      <c r="AB1553" s="15" t="s"/>
    </row>
    <row r="1554" spans="1:28" ht="14.4">
      <c r="A1554" s="4">
        <f>=H1554/G1554-1</f>
        <v>0.10188679245283</v>
      </c>
      <c r="B1554" s="20">
        <f>=F1554/12</f>
        <v>21.9</v>
      </c>
      <c r="C1554" s="20">
        <f>=J1554/3</f>
        <v>175.2</v>
      </c>
      <c r="D1554" s="20">
        <f>=K1554/3</f>
        <v>194.666666666667</v>
      </c>
      <c r="E1554" s="20">
        <f>=L1554/3</f>
        <v>204.4</v>
      </c>
      <c r="F1554" s="20">
        <f>=H1554*0.9</f>
        <v>262.8</v>
      </c>
      <c r="G1554" s="21">
        <v>265</v>
      </c>
      <c r="H1554" s="39">
        <v>292</v>
      </c>
      <c r="I1554" s="40">
        <f>=H1554*1.05</f>
        <v>306.6</v>
      </c>
      <c r="J1554" s="40">
        <f>=F1554*2</f>
        <v>525.6</v>
      </c>
      <c r="K1554" s="40">
        <f>=H1554*2</f>
        <v>584</v>
      </c>
      <c r="L1554" s="40">
        <f>=I1554*2</f>
        <v>613.2</v>
      </c>
      <c r="M1554" s="75" t="s">
        <v>1522</v>
      </c>
      <c r="N1554" s="41">
        <v>0.102</v>
      </c>
      <c r="O1554" s="41" t="s"/>
      <c r="P1554" s="41" t="s">
        <v>21</v>
      </c>
      <c r="Q1554" s="41" t="s">
        <v>21</v>
      </c>
      <c r="R1554" s="41" t="s">
        <v>16</v>
      </c>
      <c r="S1554" s="41" t="s">
        <v>17</v>
      </c>
      <c r="T1554" s="41" t="s">
        <v>639</v>
      </c>
      <c r="U1554" s="16" t="s">
        <v>13</v>
      </c>
      <c r="V1554" s="131" t="s">
        <v>1693</v>
      </c>
      <c r="W1554" s="19" t="s"/>
      <c r="X1554" s="26" t="s">
        <f>=M1554&amp;N1554&amp;P1554&amp;Q1554&amp;T1554&amp;V1554&amp;S1554</f>
        <v>1694</v>
      </c>
      <c r="Y1554" s="19" t="s"/>
      <c r="Z1554" s="19" t="s"/>
      <c r="AA1554" s="19" t="s"/>
      <c r="AB1554" s="19" t="s"/>
    </row>
    <row r="1555" spans="1:28" ht="14.4">
      <c r="A1555" s="4">
        <f>=H1555/G1555-1</f>
        <v>0.0993788819875776</v>
      </c>
      <c r="B1555" s="20">
        <f>=F1555/12</f>
        <v>26.55</v>
      </c>
      <c r="C1555" s="20">
        <f>=J1555/3</f>
        <v>212.4</v>
      </c>
      <c r="D1555" s="20">
        <f>=K1555/3</f>
        <v>236</v>
      </c>
      <c r="E1555" s="20">
        <f>=L1555/3</f>
        <v>247.8</v>
      </c>
      <c r="F1555" s="20">
        <f>=H1555*0.9</f>
        <v>318.6</v>
      </c>
      <c r="G1555" s="21">
        <v>322</v>
      </c>
      <c r="H1555" s="39">
        <v>354</v>
      </c>
      <c r="I1555" s="40">
        <f>=H1555*1.05</f>
        <v>371.7</v>
      </c>
      <c r="J1555" s="40">
        <f>=F1555*2</f>
        <v>637.2</v>
      </c>
      <c r="K1555" s="40">
        <f>=H1555*2</f>
        <v>708</v>
      </c>
      <c r="L1555" s="40">
        <f>=I1555*2</f>
        <v>743.4</v>
      </c>
      <c r="M1555" s="41" t="s">
        <v>1665</v>
      </c>
      <c r="N1555" s="41">
        <v>0.102</v>
      </c>
      <c r="O1555" s="41" t="s"/>
      <c r="P1555" s="41" t="s">
        <v>21</v>
      </c>
      <c r="Q1555" s="41">
        <v>1</v>
      </c>
      <c r="R1555" s="41" t="s">
        <v>16</v>
      </c>
      <c r="S1555" s="41" t="s">
        <v>17</v>
      </c>
      <c r="T1555" s="41" t="s">
        <v>639</v>
      </c>
      <c r="U1555" s="16" t="s">
        <v>13</v>
      </c>
      <c r="V1555" s="16" t="s">
        <v>215</v>
      </c>
      <c r="W1555" s="19" t="s"/>
      <c r="X1555" s="26" t="s">
        <f>=M1555&amp;N1555&amp;P1555&amp;Q1555&amp;T1555&amp;V1555&amp;S1555</f>
        <v>1695</v>
      </c>
      <c r="Y1555" s="19" t="s"/>
      <c r="Z1555" s="19" t="s"/>
      <c r="AA1555" s="19" t="s"/>
      <c r="AB1555" s="19" t="s"/>
    </row>
    <row r="1556" spans="1:28" ht="14.4">
      <c r="A1556" s="4">
        <f>=H1556/G1556-1</f>
        <v>0.100490196078431</v>
      </c>
      <c r="B1556" s="20">
        <f>=F1556/12</f>
        <v>33.675</v>
      </c>
      <c r="C1556" s="20">
        <f>=J1556/3</f>
        <v>269.4</v>
      </c>
      <c r="D1556" s="20">
        <f>=K1556/3</f>
        <v>299.333333333333</v>
      </c>
      <c r="E1556" s="20">
        <f>=L1556/3</f>
        <v>314.3</v>
      </c>
      <c r="F1556" s="20">
        <f>=H1556*0.9</f>
        <v>404.1</v>
      </c>
      <c r="G1556" s="21">
        <v>408</v>
      </c>
      <c r="H1556" s="39">
        <v>449</v>
      </c>
      <c r="I1556" s="40">
        <f>=H1556*1.05</f>
        <v>471.45</v>
      </c>
      <c r="J1556" s="40">
        <f>=F1556*2</f>
        <v>808.2</v>
      </c>
      <c r="K1556" s="40">
        <f>=H1556*2</f>
        <v>898</v>
      </c>
      <c r="L1556" s="40">
        <f>=I1556*2</f>
        <v>942.9</v>
      </c>
      <c r="M1556" s="41" t="s">
        <v>1665</v>
      </c>
      <c r="N1556" s="41">
        <v>0.102</v>
      </c>
      <c r="O1556" s="41" t="s"/>
      <c r="P1556" s="41">
        <v>2</v>
      </c>
      <c r="Q1556" s="41">
        <v>2</v>
      </c>
      <c r="R1556" s="41" t="s">
        <v>16</v>
      </c>
      <c r="S1556" s="41" t="s">
        <v>17</v>
      </c>
      <c r="T1556" s="41" t="s">
        <v>639</v>
      </c>
      <c r="U1556" s="16" t="s">
        <v>13</v>
      </c>
      <c r="V1556" s="16" t="s">
        <v>215</v>
      </c>
      <c r="W1556" s="19" t="s"/>
      <c r="X1556" s="26" t="s">
        <f>=M1556&amp;N1556&amp;P1556&amp;Q1556&amp;T1556&amp;V1556&amp;S1556</f>
        <v>1696</v>
      </c>
      <c r="Y1556" s="19" t="s"/>
      <c r="Z1556" s="19" t="s"/>
      <c r="AA1556" s="19" t="s"/>
      <c r="AB1556" s="19" t="s"/>
    </row>
    <row r="1557" spans="1:28" ht="14.4">
      <c r="A1557" s="4">
        <f>=H1557/G1557-1</f>
        <v>0.099041533546326</v>
      </c>
      <c r="B1557" s="20">
        <f>=F1557/12</f>
        <v>25.8</v>
      </c>
      <c r="C1557" s="20">
        <f>=J1557/3</f>
        <v>206.4</v>
      </c>
      <c r="D1557" s="20">
        <f>=K1557/3</f>
        <v>229.333333333333</v>
      </c>
      <c r="E1557" s="20">
        <f>=L1557/3</f>
        <v>240.8</v>
      </c>
      <c r="F1557" s="20">
        <f>=H1557*0.9</f>
        <v>309.6</v>
      </c>
      <c r="G1557" s="21">
        <v>313</v>
      </c>
      <c r="H1557" s="39">
        <v>344</v>
      </c>
      <c r="I1557" s="40">
        <f>=H1557*1.05</f>
        <v>361.2</v>
      </c>
      <c r="J1557" s="40">
        <f>=F1557*2</f>
        <v>619.2</v>
      </c>
      <c r="K1557" s="40">
        <f>=H1557*2</f>
        <v>688</v>
      </c>
      <c r="L1557" s="40">
        <f>=I1557*2</f>
        <v>722.4</v>
      </c>
      <c r="M1557" s="41" t="s">
        <v>1665</v>
      </c>
      <c r="N1557" s="41">
        <v>0.102</v>
      </c>
      <c r="O1557" s="41" t="s"/>
      <c r="P1557" s="41">
        <v>1</v>
      </c>
      <c r="Q1557" s="41">
        <v>2</v>
      </c>
      <c r="R1557" s="41" t="s">
        <v>16</v>
      </c>
      <c r="S1557" s="41" t="s">
        <v>17</v>
      </c>
      <c r="T1557" s="41" t="s">
        <v>639</v>
      </c>
      <c r="U1557" s="16" t="s">
        <v>13</v>
      </c>
      <c r="V1557" s="16" t="s">
        <v>215</v>
      </c>
      <c r="W1557" s="19" t="s"/>
      <c r="X1557" s="26" t="s">
        <f>=M1557&amp;N1557&amp;P1557&amp;Q1557&amp;T1557&amp;V1557&amp;S1557</f>
        <v>1697</v>
      </c>
      <c r="Y1557" s="19" t="s"/>
      <c r="Z1557" s="19" t="s"/>
      <c r="AA1557" s="19" t="s"/>
      <c r="AB1557" s="19" t="s"/>
    </row>
    <row r="1558" spans="1:28" ht="14.4">
      <c r="A1558" s="4">
        <f>=H1558/G1558-1</f>
        <v>0.101492537313433</v>
      </c>
      <c r="B1558" s="20">
        <f>=F1558/12</f>
        <v>27.675</v>
      </c>
      <c r="C1558" s="20">
        <f>=J1558/3</f>
        <v>221.4</v>
      </c>
      <c r="D1558" s="20">
        <f>=K1558/3</f>
        <v>246</v>
      </c>
      <c r="E1558" s="20">
        <f>=L1558/3</f>
        <v>258.3</v>
      </c>
      <c r="F1558" s="20">
        <f>=H1558*0.9</f>
        <v>332.1</v>
      </c>
      <c r="G1558" s="21">
        <v>335</v>
      </c>
      <c r="H1558" s="39">
        <v>369</v>
      </c>
      <c r="I1558" s="40">
        <f>=H1558*1.05</f>
        <v>387.45</v>
      </c>
      <c r="J1558" s="40">
        <f>=F1558*2</f>
        <v>664.2</v>
      </c>
      <c r="K1558" s="40">
        <f>=H1558*2</f>
        <v>738</v>
      </c>
      <c r="L1558" s="40">
        <f>=I1558*2</f>
        <v>774.9</v>
      </c>
      <c r="M1558" s="41" t="s">
        <v>1665</v>
      </c>
      <c r="N1558" s="41">
        <v>0.102</v>
      </c>
      <c r="O1558" s="41" t="s"/>
      <c r="P1558" s="41">
        <v>1</v>
      </c>
      <c r="Q1558" s="41">
        <v>2</v>
      </c>
      <c r="R1558" s="41" t="s">
        <v>16</v>
      </c>
      <c r="S1558" s="41" t="s">
        <v>17</v>
      </c>
      <c r="T1558" s="41" t="s">
        <v>1078</v>
      </c>
      <c r="U1558" s="16" t="s">
        <v>13</v>
      </c>
      <c r="V1558" s="16" t="s">
        <v>1541</v>
      </c>
      <c r="W1558" s="19" t="s"/>
      <c r="X1558" s="26" t="s">
        <f>=M1558&amp;N1558&amp;P1558&amp;Q1558&amp;T1558&amp;V1558&amp;S1558</f>
        <v>1698</v>
      </c>
      <c r="Y1558" s="19" t="s"/>
      <c r="Z1558" s="19" t="s"/>
      <c r="AA1558" s="19" t="s"/>
      <c r="AB1558" s="19" t="s"/>
    </row>
    <row r="1559" spans="1:28" ht="14.4">
      <c r="A1559" s="4">
        <f>=H1559/G1559-1</f>
        <v>0.101587301587302</v>
      </c>
      <c r="B1559" s="20">
        <f>=F1559/12</f>
        <v>26.025</v>
      </c>
      <c r="C1559" s="20">
        <f>=J1559/3</f>
        <v>208.2</v>
      </c>
      <c r="D1559" s="20">
        <f>=K1559/3</f>
        <v>231.333333333333</v>
      </c>
      <c r="E1559" s="20">
        <f>=L1559/3</f>
        <v>242.9</v>
      </c>
      <c r="F1559" s="20">
        <f>=H1559*0.9</f>
        <v>312.3</v>
      </c>
      <c r="G1559" s="21">
        <v>315</v>
      </c>
      <c r="H1559" s="39">
        <v>347</v>
      </c>
      <c r="I1559" s="40">
        <f>=H1559*1.05</f>
        <v>364.35</v>
      </c>
      <c r="J1559" s="40">
        <f>=F1559*2</f>
        <v>624.6</v>
      </c>
      <c r="K1559" s="40">
        <f>=H1559*2</f>
        <v>694</v>
      </c>
      <c r="L1559" s="40">
        <f>=I1559*2</f>
        <v>728.7</v>
      </c>
      <c r="M1559" s="41" t="s">
        <v>1665</v>
      </c>
      <c r="N1559" s="41">
        <v>0.102</v>
      </c>
      <c r="O1559" s="41" t="s"/>
      <c r="P1559" s="41">
        <v>1</v>
      </c>
      <c r="Q1559" s="41">
        <v>2</v>
      </c>
      <c r="R1559" s="41" t="s">
        <v>16</v>
      </c>
      <c r="S1559" s="41" t="s">
        <v>17</v>
      </c>
      <c r="T1559" s="41" t="s">
        <v>1098</v>
      </c>
      <c r="U1559" s="16" t="s">
        <v>13</v>
      </c>
      <c r="V1559" s="16" t="s">
        <v>1541</v>
      </c>
      <c r="W1559" s="19" t="s"/>
      <c r="X1559" s="26" t="s">
        <f>=M1559&amp;N1559&amp;P1559&amp;Q1559&amp;T1559&amp;V1559&amp;S1559</f>
        <v>1699</v>
      </c>
      <c r="Y1559" s="19" t="s"/>
      <c r="Z1559" s="19" t="s"/>
      <c r="AA1559" s="19" t="s"/>
      <c r="AB1559" s="19" t="s"/>
    </row>
    <row r="1560" spans="1:28" ht="14.4">
      <c r="A1560" s="4">
        <f>=H1560/G1560-1</f>
        <v>0.1</v>
      </c>
      <c r="B1560" s="20">
        <f>=F1560/12</f>
        <v>24.75</v>
      </c>
      <c r="C1560" s="20">
        <f>=J1560/3</f>
        <v>198</v>
      </c>
      <c r="D1560" s="20">
        <f>=K1560/3</f>
        <v>220</v>
      </c>
      <c r="E1560" s="20">
        <f>=L1560/3</f>
        <v>231</v>
      </c>
      <c r="F1560" s="20">
        <f>=H1560*0.9</f>
        <v>297</v>
      </c>
      <c r="G1560" s="21">
        <v>300</v>
      </c>
      <c r="H1560" s="39">
        <v>330</v>
      </c>
      <c r="I1560" s="40">
        <f>=H1560*1.05</f>
        <v>346.5</v>
      </c>
      <c r="J1560" s="40">
        <f>=F1560*2</f>
        <v>594</v>
      </c>
      <c r="K1560" s="40">
        <f>=H1560*2</f>
        <v>660</v>
      </c>
      <c r="L1560" s="40">
        <f>=I1560*2</f>
        <v>693</v>
      </c>
      <c r="M1560" s="41" t="s">
        <v>1665</v>
      </c>
      <c r="N1560" s="41">
        <v>0.102</v>
      </c>
      <c r="O1560" s="41" t="s"/>
      <c r="P1560" s="41">
        <v>1</v>
      </c>
      <c r="Q1560" s="41">
        <v>1</v>
      </c>
      <c r="R1560" s="41" t="s">
        <v>16</v>
      </c>
      <c r="S1560" s="41" t="s">
        <v>17</v>
      </c>
      <c r="T1560" s="41" t="s">
        <v>1078</v>
      </c>
      <c r="U1560" s="16" t="s">
        <v>13</v>
      </c>
      <c r="V1560" s="16" t="s">
        <v>1083</v>
      </c>
      <c r="W1560" s="19" t="s"/>
      <c r="X1560" s="26" t="s">
        <f>=M1560&amp;N1560&amp;P1560&amp;Q1560&amp;T1560&amp;V1560&amp;S1560</f>
        <v>1700</v>
      </c>
      <c r="Y1560" s="19" t="s"/>
      <c r="Z1560" s="19" t="s"/>
      <c r="AA1560" s="19" t="s"/>
      <c r="AB1560" s="19" t="s"/>
    </row>
    <row r="1561" spans="1:28" ht="14.4">
      <c r="A1561" s="4">
        <f>=H1561/G1561-1</f>
        <v>0.1</v>
      </c>
      <c r="B1561" s="20">
        <f>=F1561/12</f>
        <v>26.4</v>
      </c>
      <c r="C1561" s="20">
        <f>=J1561/3</f>
        <v>211.2</v>
      </c>
      <c r="D1561" s="20">
        <f>=K1561/3</f>
        <v>234.666666666667</v>
      </c>
      <c r="E1561" s="20">
        <f>=L1561/3</f>
        <v>246.4</v>
      </c>
      <c r="F1561" s="20">
        <f>=H1561*0.9</f>
        <v>316.8</v>
      </c>
      <c r="G1561" s="21">
        <v>320</v>
      </c>
      <c r="H1561" s="39">
        <v>352</v>
      </c>
      <c r="I1561" s="40">
        <f>=H1561*1.05</f>
        <v>369.6</v>
      </c>
      <c r="J1561" s="40">
        <f>=F1561*2</f>
        <v>633.6</v>
      </c>
      <c r="K1561" s="40">
        <f>=H1561*2</f>
        <v>704</v>
      </c>
      <c r="L1561" s="40">
        <f>=I1561*2</f>
        <v>739.2</v>
      </c>
      <c r="M1561" s="41" t="s">
        <v>1665</v>
      </c>
      <c r="N1561" s="41">
        <v>0.102</v>
      </c>
      <c r="O1561" s="41" t="s"/>
      <c r="P1561" s="41">
        <v>1</v>
      </c>
      <c r="Q1561" s="41">
        <v>1</v>
      </c>
      <c r="R1561" s="41" t="s">
        <v>16</v>
      </c>
      <c r="S1561" s="41" t="s">
        <v>17</v>
      </c>
      <c r="T1561" s="41" t="s">
        <v>1078</v>
      </c>
      <c r="U1561" s="16" t="s">
        <v>13</v>
      </c>
      <c r="V1561" s="16" t="s">
        <v>1227</v>
      </c>
      <c r="W1561" s="19" t="s"/>
      <c r="X1561" s="26" t="s">
        <f>=M1561&amp;N1561&amp;P1561&amp;Q1561&amp;T1561&amp;V1561&amp;S1561</f>
        <v>1701</v>
      </c>
      <c r="Y1561" s="19" t="s"/>
      <c r="Z1561" s="19" t="s"/>
      <c r="AA1561" s="19" t="s"/>
      <c r="AB1561" s="19" t="s"/>
    </row>
    <row r="1562" spans="1:28" ht="14.4">
      <c r="A1562" s="4">
        <f>=H1562/G1562-1</f>
        <v>0.100609756097561</v>
      </c>
      <c r="B1562" s="20">
        <f>=F1562/12</f>
        <v>27.075</v>
      </c>
      <c r="C1562" s="20">
        <f>=J1562/3</f>
        <v>216.6</v>
      </c>
      <c r="D1562" s="20">
        <f>=K1562/3</f>
        <v>240.666666666667</v>
      </c>
      <c r="E1562" s="20">
        <f>=L1562/3</f>
        <v>252.7</v>
      </c>
      <c r="F1562" s="20">
        <f>=H1562*0.9</f>
        <v>324.9</v>
      </c>
      <c r="G1562" s="21">
        <v>328</v>
      </c>
      <c r="H1562" s="39">
        <v>361</v>
      </c>
      <c r="I1562" s="40">
        <f>=H1562*1.05</f>
        <v>379.05</v>
      </c>
      <c r="J1562" s="40">
        <f>=F1562*2</f>
        <v>649.8</v>
      </c>
      <c r="K1562" s="40">
        <f>=H1562*2</f>
        <v>722</v>
      </c>
      <c r="L1562" s="40">
        <f>=I1562*2</f>
        <v>758.1</v>
      </c>
      <c r="M1562" s="41" t="s">
        <v>1665</v>
      </c>
      <c r="N1562" s="41">
        <v>0.102</v>
      </c>
      <c r="O1562" s="41" t="s"/>
      <c r="P1562" s="41">
        <v>1</v>
      </c>
      <c r="Q1562" s="41">
        <v>2</v>
      </c>
      <c r="R1562" s="41" t="s">
        <v>16</v>
      </c>
      <c r="S1562" s="41" t="s">
        <v>17</v>
      </c>
      <c r="T1562" s="41" t="s">
        <v>1098</v>
      </c>
      <c r="U1562" s="16" t="s">
        <v>13</v>
      </c>
      <c r="V1562" s="16" t="s">
        <v>1677</v>
      </c>
      <c r="W1562" s="19" t="s"/>
      <c r="X1562" s="26" t="s">
        <f>=M1562&amp;N1562&amp;P1562&amp;Q1562&amp;T1562&amp;V1562&amp;S1562</f>
        <v>1702</v>
      </c>
      <c r="Y1562" s="19" t="s"/>
      <c r="Z1562" s="19" t="s"/>
      <c r="AA1562" s="19" t="s"/>
      <c r="AB1562" s="19" t="s"/>
    </row>
    <row r="1563" spans="1:28" ht="14.4">
      <c r="A1563" s="4">
        <f>=H1563/G1563-1</f>
        <v>0.1</v>
      </c>
      <c r="B1563" s="20">
        <f>=F1563/12</f>
        <v>27.225</v>
      </c>
      <c r="C1563" s="20">
        <f>=J1563/3</f>
        <v>217.8</v>
      </c>
      <c r="D1563" s="20">
        <f>=K1563/3</f>
        <v>242</v>
      </c>
      <c r="E1563" s="20">
        <f>=L1563/3</f>
        <v>254.1</v>
      </c>
      <c r="F1563" s="20">
        <f>=H1563*0.9</f>
        <v>326.7</v>
      </c>
      <c r="G1563" s="21">
        <v>330</v>
      </c>
      <c r="H1563" s="39">
        <v>363</v>
      </c>
      <c r="I1563" s="40">
        <f>=H1563*1.05</f>
        <v>381.15</v>
      </c>
      <c r="J1563" s="40">
        <f>=F1563*2</f>
        <v>653.4</v>
      </c>
      <c r="K1563" s="40">
        <f>=H1563*2</f>
        <v>726</v>
      </c>
      <c r="L1563" s="40">
        <f>=I1563*2</f>
        <v>762.3</v>
      </c>
      <c r="M1563" s="41" t="s">
        <v>1665</v>
      </c>
      <c r="N1563" s="41">
        <v>0.102</v>
      </c>
      <c r="O1563" s="41" t="s"/>
      <c r="P1563" s="41">
        <v>1</v>
      </c>
      <c r="Q1563" s="41">
        <v>1</v>
      </c>
      <c r="R1563" s="41" t="s">
        <v>16</v>
      </c>
      <c r="S1563" s="41" t="s">
        <v>17</v>
      </c>
      <c r="T1563" s="41" t="s">
        <v>1078</v>
      </c>
      <c r="U1563" s="16" t="s">
        <v>13</v>
      </c>
      <c r="V1563" s="16" t="s">
        <v>1545</v>
      </c>
      <c r="W1563" s="19" t="s"/>
      <c r="X1563" s="26" t="s">
        <f>=M1563&amp;N1563&amp;P1563&amp;Q1563&amp;T1563&amp;V1563&amp;S1563</f>
        <v>1703</v>
      </c>
      <c r="Y1563" s="19" t="s"/>
      <c r="Z1563" s="19" t="s"/>
      <c r="AA1563" s="19" t="s"/>
      <c r="AB1563" s="19" t="s"/>
    </row>
    <row r="1564" spans="1:28" ht="14.4">
      <c r="A1564" s="4">
        <f>=H1564/G1564-1</f>
        <v>0.1</v>
      </c>
      <c r="B1564" s="20">
        <f>=F1564/12</f>
        <v>27.225</v>
      </c>
      <c r="C1564" s="20">
        <f>=J1564/3</f>
        <v>217.8</v>
      </c>
      <c r="D1564" s="20">
        <f>=K1564/3</f>
        <v>242</v>
      </c>
      <c r="E1564" s="20">
        <f>=L1564/3</f>
        <v>254.1</v>
      </c>
      <c r="F1564" s="20">
        <f>=H1564*0.9</f>
        <v>326.7</v>
      </c>
      <c r="G1564" s="21">
        <v>330</v>
      </c>
      <c r="H1564" s="39">
        <v>363</v>
      </c>
      <c r="I1564" s="40">
        <f>=H1564*1.05</f>
        <v>381.15</v>
      </c>
      <c r="J1564" s="40">
        <f>=F1564*2</f>
        <v>653.4</v>
      </c>
      <c r="K1564" s="40">
        <f>=H1564*2</f>
        <v>726</v>
      </c>
      <c r="L1564" s="40">
        <f>=I1564*2</f>
        <v>762.3</v>
      </c>
      <c r="M1564" s="41" t="s">
        <v>1665</v>
      </c>
      <c r="N1564" s="41">
        <v>0.102</v>
      </c>
      <c r="O1564" s="41" t="s"/>
      <c r="P1564" s="41">
        <v>1</v>
      </c>
      <c r="Q1564" s="41">
        <v>2</v>
      </c>
      <c r="R1564" s="41" t="s">
        <v>16</v>
      </c>
      <c r="S1564" s="41" t="s">
        <v>17</v>
      </c>
      <c r="T1564" s="41" t="s">
        <v>639</v>
      </c>
      <c r="U1564" s="16" t="s">
        <v>13</v>
      </c>
      <c r="V1564" s="16" t="s">
        <v>1677</v>
      </c>
      <c r="W1564" s="19" t="s"/>
      <c r="X1564" s="26" t="s">
        <f>=M1564&amp;N1564&amp;P1564&amp;Q1564&amp;T1564&amp;V1564&amp;S1564</f>
        <v>1704</v>
      </c>
      <c r="Y1564" s="19" t="s"/>
      <c r="Z1564" s="19" t="s"/>
      <c r="AA1564" s="19" t="s"/>
      <c r="AB1564" s="19" t="s"/>
    </row>
    <row r="1565" spans="1:28" ht="14.4">
      <c r="A1565" s="4">
        <f>=H1565/G1565-1</f>
        <v>0.0991501416430596</v>
      </c>
      <c r="B1565" s="20">
        <f>=F1565/12</f>
        <v>29.1</v>
      </c>
      <c r="C1565" s="20">
        <f>=J1565/3</f>
        <v>232.8</v>
      </c>
      <c r="D1565" s="20">
        <f>=K1565/3</f>
        <v>258.666666666667</v>
      </c>
      <c r="E1565" s="20">
        <f>=L1565/3</f>
        <v>271.6</v>
      </c>
      <c r="F1565" s="20">
        <f>=H1565*0.9</f>
        <v>349.2</v>
      </c>
      <c r="G1565" s="21">
        <v>353</v>
      </c>
      <c r="H1565" s="39">
        <v>388</v>
      </c>
      <c r="I1565" s="40">
        <f>=H1565*1.05</f>
        <v>407.4</v>
      </c>
      <c r="J1565" s="40">
        <f>=F1565*2</f>
        <v>698.4</v>
      </c>
      <c r="K1565" s="40">
        <f>=H1565*2</f>
        <v>776</v>
      </c>
      <c r="L1565" s="40">
        <f>=I1565*2</f>
        <v>814.8</v>
      </c>
      <c r="M1565" s="41" t="s">
        <v>1665</v>
      </c>
      <c r="N1565" s="41">
        <v>0.102</v>
      </c>
      <c r="O1565" s="41" t="s"/>
      <c r="P1565" s="41">
        <v>1</v>
      </c>
      <c r="Q1565" s="41">
        <v>1</v>
      </c>
      <c r="R1565" s="41" t="s">
        <v>16</v>
      </c>
      <c r="S1565" s="41" t="s">
        <v>17</v>
      </c>
      <c r="T1565" s="41" t="s">
        <v>1078</v>
      </c>
      <c r="U1565" s="16" t="s">
        <v>13</v>
      </c>
      <c r="V1565" s="16" t="s">
        <v>1693</v>
      </c>
      <c r="W1565" s="19" t="s"/>
      <c r="X1565" s="26" t="s">
        <f>=M1565&amp;N1565&amp;P1565&amp;Q1565&amp;T1565&amp;V1565&amp;S1565</f>
        <v>1705</v>
      </c>
      <c r="Y1565" s="19" t="s"/>
      <c r="Z1565" s="19" t="s"/>
      <c r="AA1565" s="19" t="s"/>
      <c r="AB1565" s="19" t="s"/>
    </row>
    <row r="1566" spans="1:28" ht="14.4">
      <c r="A1566" s="4">
        <f>=H1566/G1566-1</f>
        <v>0.100515463917526</v>
      </c>
      <c r="B1566" s="20">
        <f>=F1566/12</f>
        <v>32.025</v>
      </c>
      <c r="C1566" s="20">
        <f>=J1566/3</f>
        <v>256.2</v>
      </c>
      <c r="D1566" s="20">
        <f>=K1566/3</f>
        <v>284.666666666667</v>
      </c>
      <c r="E1566" s="20">
        <f>=L1566/3</f>
        <v>298.9</v>
      </c>
      <c r="F1566" s="20">
        <f>=H1566*0.9</f>
        <v>384.3</v>
      </c>
      <c r="G1566" s="21">
        <v>388</v>
      </c>
      <c r="H1566" s="39">
        <v>427</v>
      </c>
      <c r="I1566" s="40">
        <f>=H1566*1.05</f>
        <v>448.35</v>
      </c>
      <c r="J1566" s="40">
        <f>=F1566*2</f>
        <v>768.6</v>
      </c>
      <c r="K1566" s="40">
        <f>=H1566*2</f>
        <v>854</v>
      </c>
      <c r="L1566" s="40">
        <f>=I1566*2</f>
        <v>896.7</v>
      </c>
      <c r="M1566" s="41" t="s">
        <v>1665</v>
      </c>
      <c r="N1566" s="41">
        <v>0.102</v>
      </c>
      <c r="O1566" s="41" t="s"/>
      <c r="P1566" s="41">
        <v>1</v>
      </c>
      <c r="Q1566" s="41">
        <v>1</v>
      </c>
      <c r="R1566" s="41" t="s">
        <v>16</v>
      </c>
      <c r="S1566" s="41" t="s">
        <v>17</v>
      </c>
      <c r="T1566" s="41" t="s">
        <v>1078</v>
      </c>
      <c r="U1566" s="16" t="s">
        <v>13</v>
      </c>
      <c r="V1566" s="16" t="s">
        <v>1446</v>
      </c>
      <c r="W1566" s="19" t="s"/>
      <c r="X1566" s="34" t="s">
        <f>=M1566&amp;N1566&amp;P1566&amp;Q1566&amp;T1566&amp;V1566&amp;S1566</f>
        <v>1706</v>
      </c>
      <c r="Y1566" s="19" t="s"/>
      <c r="Z1566" s="19" t="s"/>
      <c r="AA1566" s="19" t="s"/>
      <c r="AB1566" s="19" t="s"/>
    </row>
    <row r="1567" spans="1:28" ht="14.4">
      <c r="A1567" s="4">
        <f>=H1567/G1567-1</f>
        <v>0.1</v>
      </c>
      <c r="B1567" s="20">
        <f>=F1567/12</f>
        <v>23.925</v>
      </c>
      <c r="C1567" s="20">
        <f>=J1567/3</f>
        <v>191.4</v>
      </c>
      <c r="D1567" s="20">
        <f>=K1567/3</f>
        <v>212.666666666667</v>
      </c>
      <c r="E1567" s="20">
        <f>=L1567/3</f>
        <v>223.3</v>
      </c>
      <c r="F1567" s="20">
        <f>=H1567*0.9</f>
        <v>287.1</v>
      </c>
      <c r="G1567" s="21">
        <v>290</v>
      </c>
      <c r="H1567" s="39">
        <v>319</v>
      </c>
      <c r="I1567" s="40">
        <f>=H1567*1.05</f>
        <v>334.95</v>
      </c>
      <c r="J1567" s="40">
        <f>=F1567*2</f>
        <v>574.2</v>
      </c>
      <c r="K1567" s="40">
        <f>=H1567*2</f>
        <v>638</v>
      </c>
      <c r="L1567" s="40">
        <f>=I1567*2</f>
        <v>669.9</v>
      </c>
      <c r="M1567" s="41" t="s">
        <v>1665</v>
      </c>
      <c r="N1567" s="41">
        <v>0.076</v>
      </c>
      <c r="O1567" s="41" t="s"/>
      <c r="P1567" s="41" t="s">
        <v>21</v>
      </c>
      <c r="Q1567" s="41" t="s">
        <v>21</v>
      </c>
      <c r="R1567" s="41" t="s">
        <v>16</v>
      </c>
      <c r="S1567" s="41" t="s">
        <v>17</v>
      </c>
      <c r="T1567" s="41" t="s">
        <v>1388</v>
      </c>
      <c r="U1567" s="16" t="s">
        <v>13</v>
      </c>
      <c r="V1567" s="16" t="s">
        <v>1446</v>
      </c>
      <c r="W1567" s="19" t="s"/>
      <c r="X1567" s="26" t="s">
        <f>=M1567&amp;N1567&amp;P1567&amp;Q1567&amp;T1567&amp;V1567&amp;S1567</f>
        <v>1707</v>
      </c>
      <c r="Y1567" s="19" t="s"/>
      <c r="Z1567" s="19" t="s"/>
      <c r="AA1567" s="19" t="s"/>
      <c r="AB1567" s="19" t="s"/>
    </row>
    <row r="1568" spans="1:28" ht="14.4">
      <c r="A1568" s="4">
        <f>=H1568/G1568-1</f>
        <v>0.1</v>
      </c>
      <c r="B1568" s="20">
        <f>=F1568/12</f>
        <v>23.925</v>
      </c>
      <c r="C1568" s="20">
        <f>=J1568/3</f>
        <v>191.4</v>
      </c>
      <c r="D1568" s="20">
        <f>=K1568/3</f>
        <v>212.666666666667</v>
      </c>
      <c r="E1568" s="20">
        <f>=L1568/3</f>
        <v>223.3</v>
      </c>
      <c r="F1568" s="20">
        <f>=H1568*0.9</f>
        <v>287.1</v>
      </c>
      <c r="G1568" s="21">
        <v>290</v>
      </c>
      <c r="H1568" s="39">
        <v>319</v>
      </c>
      <c r="I1568" s="40">
        <f>=H1568*1.05</f>
        <v>334.95</v>
      </c>
      <c r="J1568" s="40">
        <f>=F1568*2</f>
        <v>574.2</v>
      </c>
      <c r="K1568" s="40">
        <f>=H1568*2</f>
        <v>638</v>
      </c>
      <c r="L1568" s="40">
        <f>=I1568*2</f>
        <v>669.9</v>
      </c>
      <c r="M1568" s="41" t="s">
        <v>1665</v>
      </c>
      <c r="N1568" s="41">
        <v>0.076</v>
      </c>
      <c r="O1568" s="41" t="s"/>
      <c r="P1568" s="41" t="s">
        <v>21</v>
      </c>
      <c r="Q1568" s="41" t="s">
        <v>21</v>
      </c>
      <c r="R1568" s="41" t="s">
        <v>16</v>
      </c>
      <c r="S1568" s="41" t="s">
        <v>17</v>
      </c>
      <c r="T1568" s="41" t="s">
        <v>1098</v>
      </c>
      <c r="U1568" s="16" t="s">
        <v>13</v>
      </c>
      <c r="V1568" s="16" t="s">
        <v>1446</v>
      </c>
      <c r="W1568" s="19" t="s"/>
      <c r="X1568" s="26" t="s">
        <f>=M1568&amp;N1568&amp;P1568&amp;Q1568&amp;T1568&amp;V1568&amp;S1568</f>
        <v>1708</v>
      </c>
      <c r="Y1568" s="19" t="s"/>
      <c r="Z1568" s="19" t="s"/>
      <c r="AA1568" s="19" t="s"/>
      <c r="AB1568" s="19" t="s"/>
    </row>
    <row r="1569" spans="1:28" ht="14.4">
      <c r="A1569" s="4">
        <f>=H1569/G1569-1</f>
        <v>0.1</v>
      </c>
      <c r="B1569" s="20">
        <f>=F1569/12</f>
        <v>24.75</v>
      </c>
      <c r="C1569" s="20">
        <f>=J1569/3</f>
        <v>198</v>
      </c>
      <c r="D1569" s="20">
        <f>=K1569/3</f>
        <v>220</v>
      </c>
      <c r="E1569" s="20">
        <f>=L1569/3</f>
        <v>231</v>
      </c>
      <c r="F1569" s="20">
        <f>=H1569*0.9</f>
        <v>297</v>
      </c>
      <c r="G1569" s="21">
        <v>300</v>
      </c>
      <c r="H1569" s="39">
        <v>330</v>
      </c>
      <c r="I1569" s="40">
        <f>=H1569*1.05</f>
        <v>346.5</v>
      </c>
      <c r="J1569" s="40">
        <f>=F1569*2</f>
        <v>594</v>
      </c>
      <c r="K1569" s="40">
        <f>=H1569*2</f>
        <v>660</v>
      </c>
      <c r="L1569" s="40">
        <f>=I1569*2</f>
        <v>693</v>
      </c>
      <c r="M1569" s="41" t="s">
        <v>1665</v>
      </c>
      <c r="N1569" s="41">
        <v>0.102</v>
      </c>
      <c r="O1569" s="41" t="s"/>
      <c r="P1569" s="41" t="s">
        <v>21</v>
      </c>
      <c r="Q1569" s="41" t="s">
        <v>21</v>
      </c>
      <c r="R1569" s="41" t="s">
        <v>16</v>
      </c>
      <c r="S1569" s="41" t="s">
        <v>17</v>
      </c>
      <c r="T1569" s="41" t="s">
        <v>1078</v>
      </c>
      <c r="U1569" s="16" t="s">
        <v>13</v>
      </c>
      <c r="V1569" s="16" t="s">
        <v>1446</v>
      </c>
      <c r="W1569" s="19" t="s"/>
      <c r="X1569" s="26" t="s">
        <f>=M1569&amp;N1569&amp;P1569&amp;Q1569&amp;T1569&amp;V1569&amp;S1569</f>
        <v>1709</v>
      </c>
      <c r="Y1569" s="19" t="s"/>
      <c r="Z1569" s="19" t="s"/>
      <c r="AA1569" s="19" t="s"/>
      <c r="AB1569" s="19" t="s"/>
    </row>
    <row r="1570" spans="1:28" ht="14.4">
      <c r="A1570" s="4">
        <f>=H1570/G1570-1</f>
        <v>0.1</v>
      </c>
      <c r="B1570" s="20">
        <f>=F1570/12</f>
        <v>28.05</v>
      </c>
      <c r="C1570" s="20">
        <f>=J1570/3</f>
        <v>224.4</v>
      </c>
      <c r="D1570" s="20">
        <f>=K1570/3</f>
        <v>249.333333333333</v>
      </c>
      <c r="E1570" s="20">
        <f>=L1570/3</f>
        <v>261.8</v>
      </c>
      <c r="F1570" s="20">
        <f>=H1570*0.9</f>
        <v>336.6</v>
      </c>
      <c r="G1570" s="21">
        <v>340</v>
      </c>
      <c r="H1570" s="39">
        <v>374</v>
      </c>
      <c r="I1570" s="40">
        <f>=H1570*1.05</f>
        <v>392.7</v>
      </c>
      <c r="J1570" s="40">
        <f>=F1570*2</f>
        <v>673.2</v>
      </c>
      <c r="K1570" s="40">
        <f>=H1570*2</f>
        <v>748</v>
      </c>
      <c r="L1570" s="40">
        <f>=I1570*2</f>
        <v>785.4</v>
      </c>
      <c r="M1570" s="41" t="s">
        <v>1665</v>
      </c>
      <c r="N1570" s="41">
        <v>0.127</v>
      </c>
      <c r="O1570" s="41" t="s"/>
      <c r="P1570" s="41">
        <v>1</v>
      </c>
      <c r="Q1570" s="41">
        <v>1</v>
      </c>
      <c r="R1570" s="41" t="s">
        <v>16</v>
      </c>
      <c r="S1570" s="41" t="s">
        <v>17</v>
      </c>
      <c r="T1570" s="41" t="s">
        <v>23</v>
      </c>
      <c r="U1570" s="16" t="s">
        <v>13</v>
      </c>
      <c r="V1570" s="16" t="s">
        <v>215</v>
      </c>
      <c r="W1570" s="19" t="s"/>
      <c r="X1570" s="26" t="s">
        <f>=M1570&amp;N1570&amp;P1570&amp;Q1570&amp;T1570&amp;V1570&amp;S1570</f>
        <v>1710</v>
      </c>
      <c r="Y1570" s="19" t="s"/>
      <c r="Z1570" s="19" t="s"/>
      <c r="AA1570" s="19" t="s"/>
      <c r="AB1570" s="19" t="s"/>
    </row>
    <row r="1571" spans="1:28" ht="14.4">
      <c r="A1571" s="4">
        <f>=H1571/G1571-1</f>
        <v>0.1</v>
      </c>
      <c r="B1571" s="20">
        <f>=F1571/12</f>
        <v>29.7</v>
      </c>
      <c r="C1571" s="20">
        <f>=J1571/3</f>
        <v>237.6</v>
      </c>
      <c r="D1571" s="20">
        <f>=K1571/3</f>
        <v>264</v>
      </c>
      <c r="E1571" s="20">
        <f>=L1571/3</f>
        <v>277.2</v>
      </c>
      <c r="F1571" s="20">
        <f>=H1571*0.9</f>
        <v>356.4</v>
      </c>
      <c r="G1571" s="21">
        <v>360</v>
      </c>
      <c r="H1571" s="39">
        <v>396</v>
      </c>
      <c r="I1571" s="40">
        <f>=H1571*1.05</f>
        <v>415.8</v>
      </c>
      <c r="J1571" s="40">
        <f>=F1571*2</f>
        <v>712.8</v>
      </c>
      <c r="K1571" s="40">
        <f>=H1571*2</f>
        <v>792</v>
      </c>
      <c r="L1571" s="40">
        <f>=I1571*2</f>
        <v>831.6</v>
      </c>
      <c r="M1571" s="41" t="s">
        <v>1665</v>
      </c>
      <c r="N1571" s="41">
        <v>0.127</v>
      </c>
      <c r="O1571" s="41" t="s"/>
      <c r="P1571" s="41">
        <v>1</v>
      </c>
      <c r="Q1571" s="41">
        <v>1</v>
      </c>
      <c r="R1571" s="41" t="s">
        <v>16</v>
      </c>
      <c r="S1571" s="41" t="s">
        <v>17</v>
      </c>
      <c r="T1571" s="41" t="s">
        <v>1080</v>
      </c>
      <c r="U1571" s="16" t="s">
        <v>13</v>
      </c>
      <c r="V1571" s="16" t="s">
        <v>1083</v>
      </c>
      <c r="W1571" s="19" t="s"/>
      <c r="X1571" s="26" t="s">
        <f>=M1571&amp;N1571&amp;P1571&amp;Q1571&amp;T1571&amp;V1571&amp;S1571</f>
        <v>1711</v>
      </c>
      <c r="Y1571" s="19" t="s"/>
      <c r="Z1571" s="19" t="s"/>
      <c r="AA1571" s="19" t="s"/>
      <c r="AB1571" s="19" t="s"/>
    </row>
    <row r="1572" spans="1:28" ht="14.4">
      <c r="A1572" s="4">
        <f>=H1572/G1572-1</f>
        <v>0.101369863013699</v>
      </c>
      <c r="B1572" s="20">
        <f>=F1572/12</f>
        <v>30.15</v>
      </c>
      <c r="C1572" s="20">
        <f>=J1572/3</f>
        <v>241.2</v>
      </c>
      <c r="D1572" s="20">
        <f>=K1572/3</f>
        <v>268</v>
      </c>
      <c r="E1572" s="20">
        <f>=L1572/3</f>
        <v>281.4</v>
      </c>
      <c r="F1572" s="20">
        <f>=H1572*0.9</f>
        <v>361.8</v>
      </c>
      <c r="G1572" s="21">
        <v>365</v>
      </c>
      <c r="H1572" s="39">
        <v>402</v>
      </c>
      <c r="I1572" s="40">
        <f>=H1572*1.05</f>
        <v>422.1</v>
      </c>
      <c r="J1572" s="40">
        <f>=F1572*2</f>
        <v>723.6</v>
      </c>
      <c r="K1572" s="40">
        <f>=H1572*2</f>
        <v>804</v>
      </c>
      <c r="L1572" s="40">
        <f>=I1572*2</f>
        <v>844.2</v>
      </c>
      <c r="M1572" s="41" t="s">
        <v>1665</v>
      </c>
      <c r="N1572" s="41">
        <v>0.127</v>
      </c>
      <c r="O1572" s="41" t="s"/>
      <c r="P1572" s="41">
        <v>1</v>
      </c>
      <c r="Q1572" s="41">
        <v>1</v>
      </c>
      <c r="R1572" s="41" t="s">
        <v>16</v>
      </c>
      <c r="S1572" s="41" t="s">
        <v>17</v>
      </c>
      <c r="T1572" s="41" t="s">
        <v>1080</v>
      </c>
      <c r="U1572" s="16" t="s">
        <v>13</v>
      </c>
      <c r="V1572" s="16" t="s">
        <v>1227</v>
      </c>
      <c r="W1572" s="19" t="s"/>
      <c r="X1572" s="26" t="s">
        <f>=M1572&amp;N1572&amp;P1572&amp;Q1572&amp;T1572&amp;V1572&amp;S1572</f>
        <v>1712</v>
      </c>
      <c r="Y1572" s="19" t="s"/>
      <c r="Z1572" s="19" t="s"/>
      <c r="AA1572" s="19" t="s"/>
      <c r="AB1572" s="19" t="s"/>
    </row>
    <row r="1573" spans="1:28" ht="14.4">
      <c r="A1573" s="4">
        <f>=H1573/G1573-1</f>
        <v>0.1005291005291</v>
      </c>
      <c r="B1573" s="20">
        <f>=F1573/12</f>
        <v>31.2</v>
      </c>
      <c r="C1573" s="20">
        <f>=J1573/3</f>
        <v>249.6</v>
      </c>
      <c r="D1573" s="20">
        <f>=K1573/3</f>
        <v>277.333333333333</v>
      </c>
      <c r="E1573" s="20">
        <f>=L1573/3</f>
        <v>291.2</v>
      </c>
      <c r="F1573" s="20">
        <f>=H1573*0.9</f>
        <v>374.4</v>
      </c>
      <c r="G1573" s="21">
        <v>378</v>
      </c>
      <c r="H1573" s="39">
        <v>416</v>
      </c>
      <c r="I1573" s="40">
        <f>=H1573*1.05</f>
        <v>436.8</v>
      </c>
      <c r="J1573" s="40">
        <f>=F1573*2</f>
        <v>748.8</v>
      </c>
      <c r="K1573" s="40">
        <f>=H1573*2</f>
        <v>832</v>
      </c>
      <c r="L1573" s="40">
        <f>=I1573*2</f>
        <v>873.6</v>
      </c>
      <c r="M1573" s="41" t="s">
        <v>1665</v>
      </c>
      <c r="N1573" s="41">
        <v>0.127</v>
      </c>
      <c r="O1573" s="41" t="s"/>
      <c r="P1573" s="41">
        <v>1</v>
      </c>
      <c r="Q1573" s="41">
        <v>1</v>
      </c>
      <c r="R1573" s="41" t="s">
        <v>16</v>
      </c>
      <c r="S1573" s="41" t="s">
        <v>17</v>
      </c>
      <c r="T1573" s="41" t="s">
        <v>1078</v>
      </c>
      <c r="U1573" s="16" t="s">
        <v>13</v>
      </c>
      <c r="V1573" s="16" t="s">
        <v>1227</v>
      </c>
      <c r="W1573" s="19" t="s"/>
      <c r="X1573" s="26" t="s">
        <f>=M1573&amp;N1573&amp;P1573&amp;Q1573&amp;T1573&amp;V1573&amp;S1573</f>
        <v>1713</v>
      </c>
      <c r="Y1573" s="19" t="s"/>
      <c r="Z1573" s="19" t="s"/>
      <c r="AA1573" s="19" t="s"/>
      <c r="AB1573" s="19" t="s"/>
    </row>
    <row r="1574" spans="1:28" ht="14.4">
      <c r="A1574" s="4">
        <f>=H1574/G1574-1</f>
        <v>0.0997506234413965</v>
      </c>
      <c r="B1574" s="20">
        <f>=F1574/12</f>
        <v>33.075</v>
      </c>
      <c r="C1574" s="20">
        <f>=J1574/3</f>
        <v>264.6</v>
      </c>
      <c r="D1574" s="20">
        <f>=K1574/3</f>
        <v>294</v>
      </c>
      <c r="E1574" s="20">
        <f>=L1574/3</f>
        <v>308.7</v>
      </c>
      <c r="F1574" s="20">
        <f>=H1574*0.9</f>
        <v>396.9</v>
      </c>
      <c r="G1574" s="21">
        <v>401</v>
      </c>
      <c r="H1574" s="39">
        <v>441</v>
      </c>
      <c r="I1574" s="40">
        <f>=H1574*1.05</f>
        <v>463.05</v>
      </c>
      <c r="J1574" s="40">
        <f>=F1574*2</f>
        <v>793.8</v>
      </c>
      <c r="K1574" s="40">
        <f>=H1574*2</f>
        <v>882</v>
      </c>
      <c r="L1574" s="40">
        <f>=I1574*2</f>
        <v>926.1</v>
      </c>
      <c r="M1574" s="41" t="s">
        <v>1665</v>
      </c>
      <c r="N1574" s="41">
        <v>0.127</v>
      </c>
      <c r="O1574" s="41" t="s"/>
      <c r="P1574" s="41">
        <v>1</v>
      </c>
      <c r="Q1574" s="41">
        <v>1</v>
      </c>
      <c r="R1574" s="41" t="s">
        <v>16</v>
      </c>
      <c r="S1574" s="41" t="s">
        <v>17</v>
      </c>
      <c r="T1574" s="41" t="s">
        <v>1078</v>
      </c>
      <c r="U1574" s="16" t="s">
        <v>13</v>
      </c>
      <c r="V1574" s="16" t="s">
        <v>1545</v>
      </c>
      <c r="W1574" s="19" t="s"/>
      <c r="X1574" s="26" t="s">
        <f>=M1574&amp;N1574&amp;P1574&amp;Q1574&amp;T1574&amp;V1574&amp;S1574</f>
        <v>1714</v>
      </c>
      <c r="Y1574" s="19" t="s"/>
      <c r="Z1574" s="19" t="s"/>
      <c r="AA1574" s="19" t="s"/>
      <c r="AB1574" s="19" t="s"/>
    </row>
    <row r="1575" spans="1:28" ht="14.4">
      <c r="A1575" s="4">
        <f>=H1575/G1575-1</f>
        <v>0.100719424460432</v>
      </c>
      <c r="B1575" s="20">
        <f>=F1575/12</f>
        <v>34.425</v>
      </c>
      <c r="C1575" s="20">
        <f>=J1575/3</f>
        <v>275.4</v>
      </c>
      <c r="D1575" s="20">
        <f>=K1575/3</f>
        <v>306</v>
      </c>
      <c r="E1575" s="20">
        <f>=L1575/3</f>
        <v>321.3</v>
      </c>
      <c r="F1575" s="20">
        <f>=H1575*0.9</f>
        <v>413.1</v>
      </c>
      <c r="G1575" s="21">
        <v>417</v>
      </c>
      <c r="H1575" s="39">
        <v>459</v>
      </c>
      <c r="I1575" s="40">
        <f>=H1575*1.05</f>
        <v>481.95</v>
      </c>
      <c r="J1575" s="40">
        <f>=F1575*2</f>
        <v>826.2</v>
      </c>
      <c r="K1575" s="40">
        <f>=H1575*2</f>
        <v>918</v>
      </c>
      <c r="L1575" s="40">
        <f>=I1575*2</f>
        <v>963.9</v>
      </c>
      <c r="M1575" s="41" t="s">
        <v>1665</v>
      </c>
      <c r="N1575" s="41">
        <v>0.127</v>
      </c>
      <c r="O1575" s="41" t="s"/>
      <c r="P1575" s="41">
        <v>2</v>
      </c>
      <c r="Q1575" s="41">
        <v>2</v>
      </c>
      <c r="R1575" s="41" t="s">
        <v>16</v>
      </c>
      <c r="S1575" s="41" t="s">
        <v>17</v>
      </c>
      <c r="T1575" s="41" t="s">
        <v>1078</v>
      </c>
      <c r="U1575" s="16" t="s">
        <v>13</v>
      </c>
      <c r="V1575" s="16" t="s">
        <v>215</v>
      </c>
      <c r="W1575" s="19" t="s"/>
      <c r="X1575" s="26" t="s">
        <f>=M1575&amp;N1575&amp;P1575&amp;Q1575&amp;T1575&amp;V1575&amp;S1575</f>
        <v>1715</v>
      </c>
      <c r="Y1575" s="19" t="s"/>
      <c r="Z1575" s="19" t="s"/>
      <c r="AA1575" s="19" t="s"/>
      <c r="AB1575" s="19" t="s"/>
    </row>
    <row r="1576" spans="1:29" s="272" customFormat="true" ht="14.4">
      <c r="A1576" s="4">
        <f>=H1576/G1576-1</f>
        <v>0.0995260663507109</v>
      </c>
      <c r="B1576" s="20">
        <f>=F1576/12</f>
        <v>34.8</v>
      </c>
      <c r="C1576" s="20">
        <f>=J1576/3</f>
        <v>278.4</v>
      </c>
      <c r="D1576" s="20">
        <f>=K1576/3</f>
        <v>309.333333333333</v>
      </c>
      <c r="E1576" s="20">
        <f>=L1576/3</f>
        <v>324.8</v>
      </c>
      <c r="F1576" s="20">
        <f>=H1576*0.9</f>
        <v>417.6</v>
      </c>
      <c r="G1576" s="21">
        <v>422</v>
      </c>
      <c r="H1576" s="39">
        <v>464</v>
      </c>
      <c r="I1576" s="40">
        <f>=H1576*1.05</f>
        <v>487.2</v>
      </c>
      <c r="J1576" s="40">
        <f>=F1576*2</f>
        <v>835.2</v>
      </c>
      <c r="K1576" s="40">
        <f>=H1576*2</f>
        <v>928</v>
      </c>
      <c r="L1576" s="40">
        <f>=I1576*2</f>
        <v>974.4</v>
      </c>
      <c r="M1576" s="41" t="s">
        <v>1665</v>
      </c>
      <c r="N1576" s="41">
        <v>0.127</v>
      </c>
      <c r="O1576" s="41" t="s"/>
      <c r="P1576" s="41">
        <v>2</v>
      </c>
      <c r="Q1576" s="41">
        <v>2</v>
      </c>
      <c r="R1576" s="41" t="s">
        <v>16</v>
      </c>
      <c r="S1576" s="41" t="s">
        <v>17</v>
      </c>
      <c r="T1576" s="41" t="s">
        <v>1080</v>
      </c>
      <c r="U1576" s="16" t="s">
        <v>13</v>
      </c>
      <c r="V1576" s="16" t="s">
        <v>215</v>
      </c>
      <c r="W1576" s="19" t="s"/>
      <c r="X1576" s="26" t="s">
        <f>=M1576&amp;N1576&amp;P1576&amp;Q1576&amp;T1576&amp;V1576&amp;S1576</f>
        <v>1716</v>
      </c>
      <c r="Y1576" s="70" t="s"/>
      <c r="Z1576" s="70" t="s"/>
      <c r="AA1576" s="70" t="s"/>
      <c r="AB1576" s="70" t="s"/>
      <c r="AC1576" s="71" t="s"/>
    </row>
    <row r="1577" spans="1:29" s="272" customFormat="true" ht="14.4">
      <c r="A1577" s="4">
        <f>=H1577/G1577-1</f>
        <v>0.100694444444444</v>
      </c>
      <c r="B1577" s="20">
        <f>=F1577/12</f>
        <v>23.775</v>
      </c>
      <c r="C1577" s="20">
        <f>=J1577/3</f>
        <v>190.2</v>
      </c>
      <c r="D1577" s="20">
        <f>=K1577/3</f>
        <v>211.333333333333</v>
      </c>
      <c r="E1577" s="20">
        <f>=L1577/3</f>
        <v>221.9</v>
      </c>
      <c r="F1577" s="20">
        <f>=H1577*0.9</f>
        <v>285.3</v>
      </c>
      <c r="G1577" s="21">
        <v>288</v>
      </c>
      <c r="H1577" s="39">
        <v>317</v>
      </c>
      <c r="I1577" s="40">
        <f>=H1577*1.05</f>
        <v>332.85</v>
      </c>
      <c r="J1577" s="40">
        <f>=F1577*2</f>
        <v>570.6</v>
      </c>
      <c r="K1577" s="40">
        <f>=H1577*2</f>
        <v>634</v>
      </c>
      <c r="L1577" s="40">
        <f>=I1577*2</f>
        <v>665.7</v>
      </c>
      <c r="M1577" s="41" t="s">
        <v>1665</v>
      </c>
      <c r="N1577" s="41">
        <v>0.127</v>
      </c>
      <c r="O1577" s="41" t="s"/>
      <c r="P1577" s="41" t="s">
        <v>21</v>
      </c>
      <c r="Q1577" s="41" t="s">
        <v>21</v>
      </c>
      <c r="R1577" s="41" t="s">
        <v>16</v>
      </c>
      <c r="S1577" s="41" t="s">
        <v>17</v>
      </c>
      <c r="T1577" s="41" t="s">
        <v>1080</v>
      </c>
      <c r="U1577" s="16" t="s">
        <v>13</v>
      </c>
      <c r="V1577" s="16" t="s">
        <v>1227</v>
      </c>
      <c r="W1577" s="19" t="s"/>
      <c r="X1577" s="26" t="s">
        <f>=M1577&amp;N1577&amp;P1577&amp;Q1577&amp;T1577&amp;V1577&amp;S1577</f>
        <v>1717</v>
      </c>
      <c r="Y1577" s="70" t="s"/>
      <c r="Z1577" s="70" t="s"/>
      <c r="AA1577" s="70" t="s"/>
      <c r="AB1577" s="70" t="s"/>
      <c r="AC1577" s="71" t="s"/>
    </row>
    <row r="1578" spans="1:29" s="272" customFormat="true" ht="14.4">
      <c r="A1578" s="4">
        <f>=H1578/G1578-1</f>
        <v>0.100694444444444</v>
      </c>
      <c r="B1578" s="20">
        <f>=F1578/12</f>
        <v>23.775</v>
      </c>
      <c r="C1578" s="20">
        <f>=J1578/3</f>
        <v>190.2</v>
      </c>
      <c r="D1578" s="20">
        <f>=K1578/3</f>
        <v>211.333333333333</v>
      </c>
      <c r="E1578" s="20">
        <f>=L1578/3</f>
        <v>221.9</v>
      </c>
      <c r="F1578" s="20">
        <f>=H1578*0.9</f>
        <v>285.3</v>
      </c>
      <c r="G1578" s="21">
        <v>288</v>
      </c>
      <c r="H1578" s="39">
        <v>317</v>
      </c>
      <c r="I1578" s="40">
        <f>=H1578*1.05</f>
        <v>332.85</v>
      </c>
      <c r="J1578" s="40">
        <f>=F1578*2</f>
        <v>570.6</v>
      </c>
      <c r="K1578" s="40">
        <f>=H1578*2</f>
        <v>634</v>
      </c>
      <c r="L1578" s="40">
        <f>=I1578*2</f>
        <v>665.7</v>
      </c>
      <c r="M1578" s="41" t="s">
        <v>1665</v>
      </c>
      <c r="N1578" s="41">
        <v>0.127</v>
      </c>
      <c r="O1578" s="41" t="s"/>
      <c r="P1578" s="41" t="s">
        <v>21</v>
      </c>
      <c r="Q1578" s="41" t="s">
        <v>21</v>
      </c>
      <c r="R1578" s="41" t="s">
        <v>16</v>
      </c>
      <c r="S1578" s="41" t="s">
        <v>17</v>
      </c>
      <c r="T1578" s="41" t="s">
        <v>1078</v>
      </c>
      <c r="U1578" s="16" t="s">
        <v>13</v>
      </c>
      <c r="V1578" s="16" t="s">
        <v>1227</v>
      </c>
      <c r="W1578" s="19" t="s"/>
      <c r="X1578" s="26" t="s">
        <f>=M1578&amp;N1578&amp;P1578&amp;Q1578&amp;T1578&amp;V1578&amp;S1578</f>
        <v>1718</v>
      </c>
      <c r="Y1578" s="70" t="s"/>
      <c r="Z1578" s="70" t="s"/>
      <c r="AA1578" s="70" t="s"/>
      <c r="AB1578" s="70" t="s"/>
      <c r="AC1578" s="71" t="s"/>
    </row>
    <row r="1579" spans="1:29" ht="13.5" customHeight="true">
      <c r="A1579" s="156">
        <v>46175</v>
      </c>
      <c r="B1579" s="79">
        <f>=F1579/12</f>
        <v>45</v>
      </c>
      <c r="C1579" s="79">
        <f>=J1579/3</f>
        <v>360</v>
      </c>
      <c r="D1579" s="79">
        <f>=K1579/3</f>
        <v>400</v>
      </c>
      <c r="E1579" s="79">
        <f>=L1579/3</f>
        <v>420</v>
      </c>
      <c r="F1579" s="79">
        <f>=H1579*0.9</f>
        <v>540</v>
      </c>
      <c r="G1579" s="80">
        <v>362</v>
      </c>
      <c r="H1579" s="81">
        <v>600</v>
      </c>
      <c r="I1579" s="82">
        <f>=H1579*1.05</f>
        <v>630</v>
      </c>
      <c r="J1579" s="82">
        <f>=F1579*2</f>
        <v>1080</v>
      </c>
      <c r="K1579" s="82">
        <f>=H1579*2</f>
        <v>1200</v>
      </c>
      <c r="L1579" s="82">
        <f>=I1579*2</f>
        <v>1260</v>
      </c>
      <c r="M1579" s="83" t="s">
        <v>1665</v>
      </c>
      <c r="N1579" s="83">
        <v>0.152</v>
      </c>
      <c r="O1579" s="84" t="s"/>
      <c r="P1579" s="83">
        <v>2</v>
      </c>
      <c r="Q1579" s="83">
        <v>2</v>
      </c>
      <c r="R1579" s="83" t="s">
        <v>16</v>
      </c>
      <c r="S1579" s="83" t="s">
        <v>17</v>
      </c>
      <c r="T1579" s="83" t="s">
        <v>43</v>
      </c>
      <c r="U1579" s="85" t="s">
        <v>13</v>
      </c>
      <c r="V1579" s="85" t="s">
        <v>215</v>
      </c>
      <c r="W1579" s="86" t="s"/>
      <c r="X1579" s="18" t="s">
        <f>=M1579&amp;N1579&amp;P1579&amp;Q1579&amp;T1579&amp;V1579&amp;S1579</f>
        <v>1719</v>
      </c>
      <c r="Y1579" s="86" t="s"/>
      <c r="Z1579" s="86" t="s"/>
      <c r="AA1579" s="86" t="s"/>
      <c r="AB1579" s="86" t="s"/>
      <c r="AC1579" s="87" t="s"/>
    </row>
    <row r="1580" spans="1:29" ht="14.4">
      <c r="A1580" s="42">
        <f>=H1580/G1580-1</f>
        <v>0.546961325966851</v>
      </c>
      <c r="B1580" s="43">
        <f>=F1580/12</f>
        <v>42</v>
      </c>
      <c r="C1580" s="43">
        <f>=J1580/3</f>
        <v>336</v>
      </c>
      <c r="D1580" s="43">
        <f>=K1580/3</f>
        <v>373.333333333333</v>
      </c>
      <c r="E1580" s="43">
        <f>=L1580/3</f>
        <v>392</v>
      </c>
      <c r="F1580" s="43">
        <f>=H1580*0.9</f>
        <v>504</v>
      </c>
      <c r="G1580" s="27">
        <v>362</v>
      </c>
      <c r="H1580" s="44">
        <v>560</v>
      </c>
      <c r="I1580" s="45">
        <f>=H1580*1.05</f>
        <v>588</v>
      </c>
      <c r="J1580" s="45">
        <f>=F1580*2</f>
        <v>1008</v>
      </c>
      <c r="K1580" s="45">
        <f>=H1580*2</f>
        <v>1120</v>
      </c>
      <c r="L1580" s="45">
        <f>=I1580*2</f>
        <v>1176</v>
      </c>
      <c r="M1580" s="46" t="s">
        <v>1665</v>
      </c>
      <c r="N1580" s="46">
        <v>0.152</v>
      </c>
      <c r="O1580" s="46" t="s"/>
      <c r="P1580" s="12">
        <v>1</v>
      </c>
      <c r="Q1580" s="12">
        <v>2</v>
      </c>
      <c r="R1580" s="46" t="s">
        <v>16</v>
      </c>
      <c r="S1580" s="46" t="s">
        <v>17</v>
      </c>
      <c r="T1580" s="46" t="s">
        <v>1080</v>
      </c>
      <c r="U1580" s="13" t="s">
        <v>13</v>
      </c>
      <c r="V1580" s="11" t="s">
        <v>215</v>
      </c>
      <c r="W1580" s="15" t="s"/>
      <c r="X1580" s="18" t="s">
        <f>=M1580&amp;N1580&amp;P1580&amp;Q1580&amp;T1580&amp;V1580&amp;S1580</f>
        <v>1720</v>
      </c>
      <c r="Y1580" s="15" t="s"/>
      <c r="Z1580" s="15" t="s"/>
      <c r="AA1580" s="15" t="s"/>
      <c r="AB1580" s="15" t="s"/>
      <c r="AC1580" s="48" t="s"/>
    </row>
    <row r="1581" spans="1:29" ht="14.4">
      <c r="A1581" s="42">
        <f>=H1581/G1581-1</f>
        <v>0.574585635359116</v>
      </c>
      <c r="B1581" s="43">
        <f>=F1581/12</f>
        <v>42.75</v>
      </c>
      <c r="C1581" s="43">
        <f>=J1581/3</f>
        <v>342</v>
      </c>
      <c r="D1581" s="43">
        <f>=K1581/3</f>
        <v>380</v>
      </c>
      <c r="E1581" s="43">
        <f>=L1581/3</f>
        <v>399</v>
      </c>
      <c r="F1581" s="43">
        <f>=H1581*0.9</f>
        <v>513</v>
      </c>
      <c r="G1581" s="27">
        <v>362</v>
      </c>
      <c r="H1581" s="44">
        <v>570</v>
      </c>
      <c r="I1581" s="45">
        <f>=H1581*1.05</f>
        <v>598.5</v>
      </c>
      <c r="J1581" s="45">
        <f>=F1581*2</f>
        <v>1026</v>
      </c>
      <c r="K1581" s="45">
        <f>=H1581*2</f>
        <v>1140</v>
      </c>
      <c r="L1581" s="45">
        <f>=I1581*2</f>
        <v>1197</v>
      </c>
      <c r="M1581" s="46" t="s">
        <v>1665</v>
      </c>
      <c r="N1581" s="46">
        <v>0.152</v>
      </c>
      <c r="O1581" s="46" t="s"/>
      <c r="P1581" s="12">
        <v>1</v>
      </c>
      <c r="Q1581" s="12">
        <v>2</v>
      </c>
      <c r="R1581" s="46" t="s">
        <v>16</v>
      </c>
      <c r="S1581" s="46" t="s">
        <v>17</v>
      </c>
      <c r="T1581" s="12" t="s">
        <v>43</v>
      </c>
      <c r="U1581" s="13" t="s">
        <v>13</v>
      </c>
      <c r="V1581" s="11" t="s">
        <v>215</v>
      </c>
      <c r="W1581" s="15" t="s"/>
      <c r="X1581" s="18" t="s">
        <f>=M1581&amp;N1581&amp;P1581&amp;Q1581&amp;T1581&amp;V1581&amp;S1581</f>
        <v>1721</v>
      </c>
      <c r="Y1581" s="15" t="s"/>
      <c r="Z1581" s="15" t="s"/>
      <c r="AA1581" s="15" t="s"/>
      <c r="AB1581" s="15" t="s"/>
      <c r="AC1581" s="48" t="s"/>
    </row>
    <row r="1582" spans="1:29" ht="14.4">
      <c r="A1582" s="42">
        <f>=H1582/G1582-1</f>
        <v>0.43646408839779</v>
      </c>
      <c r="B1582" s="43">
        <f>=F1582/12</f>
        <v>39</v>
      </c>
      <c r="C1582" s="43">
        <f>=J1582/3</f>
        <v>312</v>
      </c>
      <c r="D1582" s="43">
        <f>=K1582/3</f>
        <v>346.666666666667</v>
      </c>
      <c r="E1582" s="43">
        <f>=L1582/3</f>
        <v>364</v>
      </c>
      <c r="F1582" s="43">
        <f>=H1582*0.9</f>
        <v>468</v>
      </c>
      <c r="G1582" s="27">
        <v>362</v>
      </c>
      <c r="H1582" s="44">
        <v>520</v>
      </c>
      <c r="I1582" s="45">
        <f>=H1582*1.05</f>
        <v>546</v>
      </c>
      <c r="J1582" s="45">
        <f>=F1582*2</f>
        <v>936</v>
      </c>
      <c r="K1582" s="45">
        <f>=H1582*2</f>
        <v>1040</v>
      </c>
      <c r="L1582" s="45">
        <f>=I1582*2</f>
        <v>1092</v>
      </c>
      <c r="M1582" s="46" t="s">
        <v>1665</v>
      </c>
      <c r="N1582" s="46">
        <v>0.152</v>
      </c>
      <c r="O1582" s="46" t="s"/>
      <c r="P1582" s="12">
        <v>1</v>
      </c>
      <c r="Q1582" s="46">
        <v>1</v>
      </c>
      <c r="R1582" s="46" t="s">
        <v>16</v>
      </c>
      <c r="S1582" s="46" t="s">
        <v>17</v>
      </c>
      <c r="T1582" s="46" t="s">
        <v>1080</v>
      </c>
      <c r="U1582" s="13" t="s">
        <v>13</v>
      </c>
      <c r="V1582" s="11" t="s">
        <v>1693</v>
      </c>
      <c r="W1582" s="15" t="s"/>
      <c r="X1582" s="18" t="s">
        <f>=M1582&amp;N1582&amp;P1582&amp;Q1582&amp;T1582&amp;V1582&amp;S1582</f>
        <v>1722</v>
      </c>
      <c r="Y1582" s="15" t="s"/>
      <c r="Z1582" s="15" t="s"/>
      <c r="AA1582" s="15" t="s"/>
      <c r="AB1582" s="15" t="s"/>
      <c r="AC1582" s="48" t="s"/>
    </row>
    <row r="1583" spans="1:29" ht="14.4">
      <c r="A1583" s="42">
        <f>=H1583/G1583-1</f>
        <v>0.290055248618785</v>
      </c>
      <c r="B1583" s="43">
        <f>=F1583/12</f>
        <v>35.025</v>
      </c>
      <c r="C1583" s="43">
        <f>=J1583/3</f>
        <v>280.2</v>
      </c>
      <c r="D1583" s="43">
        <f>=K1583/3</f>
        <v>311.333333333333</v>
      </c>
      <c r="E1583" s="43">
        <f>=L1583/3</f>
        <v>326.9</v>
      </c>
      <c r="F1583" s="43">
        <f>=H1583*0.9</f>
        <v>420.3</v>
      </c>
      <c r="G1583" s="27">
        <v>362</v>
      </c>
      <c r="H1583" s="44">
        <v>467</v>
      </c>
      <c r="I1583" s="45">
        <f>=H1583*1.05</f>
        <v>490.35</v>
      </c>
      <c r="J1583" s="45">
        <f>=F1583*2</f>
        <v>840.6</v>
      </c>
      <c r="K1583" s="45">
        <f>=H1583*2</f>
        <v>934</v>
      </c>
      <c r="L1583" s="45">
        <f>=I1583*2</f>
        <v>980.7</v>
      </c>
      <c r="M1583" s="46" t="s">
        <v>1665</v>
      </c>
      <c r="N1583" s="46">
        <v>0.152</v>
      </c>
      <c r="O1583" s="46" t="s"/>
      <c r="P1583" s="12" t="s">
        <v>21</v>
      </c>
      <c r="Q1583" s="12">
        <v>1</v>
      </c>
      <c r="R1583" s="46" t="s">
        <v>16</v>
      </c>
      <c r="S1583" s="46" t="s">
        <v>17</v>
      </c>
      <c r="T1583" s="46" t="s">
        <v>1080</v>
      </c>
      <c r="U1583" s="13" t="s">
        <v>13</v>
      </c>
      <c r="V1583" s="12" t="s">
        <v>1693</v>
      </c>
      <c r="W1583" s="15" t="s"/>
      <c r="X1583" s="18" t="s">
        <f>=M1583&amp;N1583&amp;P1583&amp;Q1583&amp;T1583&amp;V1583&amp;S1583</f>
        <v>1723</v>
      </c>
      <c r="Y1583" s="15" t="s"/>
      <c r="Z1583" s="15" t="s"/>
      <c r="AA1583" s="15" t="s"/>
      <c r="AB1583" s="15" t="s"/>
      <c r="AC1583" s="48" t="s"/>
    </row>
    <row r="1584" spans="1:28" ht="14.4">
      <c r="A1584" s="4">
        <f>=H1584/G1584-1</f>
        <v>0.0994475138121547</v>
      </c>
      <c r="B1584" s="20">
        <f>=F1584/12</f>
        <v>29.85</v>
      </c>
      <c r="C1584" s="20">
        <f>=J1584/3</f>
        <v>238.8</v>
      </c>
      <c r="D1584" s="20">
        <f>=K1584/3</f>
        <v>265.333333333333</v>
      </c>
      <c r="E1584" s="20">
        <f>=L1584/3</f>
        <v>278.6</v>
      </c>
      <c r="F1584" s="20">
        <f>=H1584*0.9</f>
        <v>358.2</v>
      </c>
      <c r="G1584" s="21">
        <v>362</v>
      </c>
      <c r="H1584" s="39">
        <v>398</v>
      </c>
      <c r="I1584" s="40">
        <f>=H1584*1.05</f>
        <v>417.9</v>
      </c>
      <c r="J1584" s="40">
        <f>=F1584*2</f>
        <v>716.4</v>
      </c>
      <c r="K1584" s="40">
        <f>=H1584*2</f>
        <v>796</v>
      </c>
      <c r="L1584" s="40">
        <f>=I1584*2</f>
        <v>835.8</v>
      </c>
      <c r="M1584" s="41" t="s">
        <v>1665</v>
      </c>
      <c r="N1584" s="41">
        <v>0.152</v>
      </c>
      <c r="O1584" s="41" t="s"/>
      <c r="P1584" s="41">
        <v>1</v>
      </c>
      <c r="Q1584" s="41">
        <v>1</v>
      </c>
      <c r="R1584" s="41" t="s">
        <v>16</v>
      </c>
      <c r="S1584" s="41" t="s">
        <v>17</v>
      </c>
      <c r="T1584" s="41" t="s">
        <v>1080</v>
      </c>
      <c r="U1584" s="16" t="s">
        <v>13</v>
      </c>
      <c r="V1584" s="16" t="s">
        <v>1227</v>
      </c>
      <c r="W1584" s="19" t="s"/>
      <c r="X1584" s="26" t="s">
        <f>=M1584&amp;N1584&amp;P1584&amp;Q1584&amp;T1584&amp;V1584&amp;S1584</f>
        <v>1724</v>
      </c>
      <c r="Y1584" s="19" t="s"/>
      <c r="Z1584" s="19" t="s"/>
      <c r="AA1584" s="19" t="s"/>
      <c r="AB1584" s="19" t="s"/>
    </row>
    <row r="1585" spans="1:28" ht="14.4">
      <c r="A1585" s="49">
        <v>46162</v>
      </c>
      <c r="B1585" s="43">
        <f>=F1585/12</f>
        <v>37.5</v>
      </c>
      <c r="C1585" s="43">
        <f>=J1585/3</f>
        <v>300</v>
      </c>
      <c r="D1585" s="43">
        <f>=K1585/3</f>
        <v>333.333333333333</v>
      </c>
      <c r="E1585" s="43">
        <f>=L1585/3</f>
        <v>350</v>
      </c>
      <c r="F1585" s="43">
        <f>=H1585*0.9</f>
        <v>450</v>
      </c>
      <c r="G1585" s="27">
        <v>362</v>
      </c>
      <c r="H1585" s="44">
        <v>500</v>
      </c>
      <c r="I1585" s="45">
        <f>=H1585*1.05</f>
        <v>525</v>
      </c>
      <c r="J1585" s="45">
        <f>=F1585*2</f>
        <v>900</v>
      </c>
      <c r="K1585" s="45">
        <f>=H1585*2</f>
        <v>1000</v>
      </c>
      <c r="L1585" s="45">
        <f>=I1585*2</f>
        <v>1050</v>
      </c>
      <c r="M1585" s="46" t="s">
        <v>1665</v>
      </c>
      <c r="N1585" s="12">
        <v>0.18</v>
      </c>
      <c r="O1585" s="46" t="s"/>
      <c r="P1585" s="46">
        <v>1</v>
      </c>
      <c r="Q1585" s="46">
        <v>1</v>
      </c>
      <c r="R1585" s="46" t="s">
        <v>16</v>
      </c>
      <c r="S1585" s="46" t="s">
        <v>17</v>
      </c>
      <c r="T1585" s="46" t="s">
        <v>1080</v>
      </c>
      <c r="U1585" s="13" t="s">
        <v>13</v>
      </c>
      <c r="V1585" s="85" t="s">
        <v>1557</v>
      </c>
      <c r="W1585" s="15" t="s"/>
      <c r="X1585" s="18" t="s">
        <f>=M1585&amp;N1585&amp;P1585&amp;Q1585&amp;T1585&amp;V1585&amp;S1585</f>
        <v>1725</v>
      </c>
      <c r="Y1585" s="15" t="s"/>
      <c r="Z1585" s="15" t="s"/>
      <c r="AA1585" s="15" t="s"/>
      <c r="AB1585" s="15" t="s"/>
    </row>
    <row r="1586" spans="1:28" ht="14.4">
      <c r="A1586" s="4">
        <f>=H1586/G1586-1</f>
        <v>0.1</v>
      </c>
      <c r="B1586" s="20">
        <f>=F1586/12</f>
        <v>36.3</v>
      </c>
      <c r="C1586" s="20">
        <f>=J1586/3</f>
        <v>290.4</v>
      </c>
      <c r="D1586" s="20">
        <f>=K1586/3</f>
        <v>322.666666666667</v>
      </c>
      <c r="E1586" s="20">
        <f>=L1586/3</f>
        <v>338.8</v>
      </c>
      <c r="F1586" s="20">
        <f>=H1586*0.9</f>
        <v>435.6</v>
      </c>
      <c r="G1586" s="21">
        <v>440</v>
      </c>
      <c r="H1586" s="39">
        <v>484</v>
      </c>
      <c r="I1586" s="40">
        <f>=H1586*1.05</f>
        <v>508.2</v>
      </c>
      <c r="J1586" s="40">
        <f>=F1586*2</f>
        <v>871.2</v>
      </c>
      <c r="K1586" s="40">
        <f>=H1586*2</f>
        <v>968</v>
      </c>
      <c r="L1586" s="40">
        <f>=I1586*2</f>
        <v>1016.4</v>
      </c>
      <c r="M1586" s="41" t="s">
        <v>1665</v>
      </c>
      <c r="N1586" s="41">
        <v>0.203</v>
      </c>
      <c r="O1586" s="41" t="s"/>
      <c r="P1586" s="41">
        <v>2</v>
      </c>
      <c r="Q1586" s="41">
        <v>2</v>
      </c>
      <c r="R1586" s="41" t="s">
        <v>16</v>
      </c>
      <c r="S1586" s="41" t="s">
        <v>17</v>
      </c>
      <c r="T1586" s="41" t="s">
        <v>689</v>
      </c>
      <c r="U1586" s="16" t="s">
        <v>13</v>
      </c>
      <c r="V1586" s="16" t="s">
        <v>215</v>
      </c>
      <c r="W1586" s="19" t="s"/>
      <c r="X1586" s="26" t="s">
        <f>=M1586&amp;N1586&amp;P1586&amp;Q1586&amp;T1586&amp;V1586&amp;S1586</f>
        <v>1726</v>
      </c>
      <c r="Y1586" s="19" t="s"/>
      <c r="Z1586" s="19" t="s"/>
      <c r="AA1586" s="19" t="s"/>
      <c r="AB1586" s="19" t="s"/>
    </row>
    <row r="1587" spans="1:28" ht="14.4">
      <c r="A1587" s="4">
        <f>=H1587/G1587-1</f>
        <v>0.100409836065574</v>
      </c>
      <c r="B1587" s="20">
        <f>=F1587/12</f>
        <v>40.275</v>
      </c>
      <c r="C1587" s="20">
        <f>=J1587/3</f>
        <v>322.2</v>
      </c>
      <c r="D1587" s="20">
        <f>=K1587/3</f>
        <v>358</v>
      </c>
      <c r="E1587" s="20">
        <f>=L1587/3</f>
        <v>375.9</v>
      </c>
      <c r="F1587" s="20">
        <f>=H1587*0.9</f>
        <v>483.3</v>
      </c>
      <c r="G1587" s="21">
        <v>488</v>
      </c>
      <c r="H1587" s="39">
        <v>537</v>
      </c>
      <c r="I1587" s="40">
        <f>=H1587*1.05</f>
        <v>563.85</v>
      </c>
      <c r="J1587" s="40">
        <f>=F1587*2</f>
        <v>966.6</v>
      </c>
      <c r="K1587" s="40">
        <f>=H1587*2</f>
        <v>1074</v>
      </c>
      <c r="L1587" s="40">
        <f>=I1587*2</f>
        <v>1127.7</v>
      </c>
      <c r="M1587" s="41" t="s">
        <v>1665</v>
      </c>
      <c r="N1587" s="41">
        <v>0.305</v>
      </c>
      <c r="O1587" s="41" t="s"/>
      <c r="P1587" s="41" t="s">
        <v>21</v>
      </c>
      <c r="Q1587" s="41">
        <v>1</v>
      </c>
      <c r="R1587" s="41" t="s">
        <v>16</v>
      </c>
      <c r="S1587" s="41" t="s">
        <v>17</v>
      </c>
      <c r="T1587" s="41" t="s">
        <v>325</v>
      </c>
      <c r="U1587" s="16" t="s">
        <v>13</v>
      </c>
      <c r="V1587" s="16" t="s">
        <v>1545</v>
      </c>
      <c r="W1587" s="19" t="s"/>
      <c r="X1587" s="26" t="s">
        <f>=M1587&amp;N1587&amp;P1587&amp;Q1587&amp;T1587&amp;V1587&amp;S1587</f>
        <v>1727</v>
      </c>
      <c r="Y1587" s="19" t="s"/>
      <c r="Z1587" s="19" t="s"/>
      <c r="AA1587" s="19" t="s"/>
      <c r="AB1587" s="19" t="s"/>
    </row>
    <row r="1588" spans="1:28" ht="14.4">
      <c r="A1588" s="4">
        <f>=H1588/G1588-1</f>
        <v>0.1</v>
      </c>
      <c r="B1588" s="20">
        <f>=F1588/12</f>
        <v>41.25</v>
      </c>
      <c r="C1588" s="20">
        <f>=J1588/3</f>
        <v>330</v>
      </c>
      <c r="D1588" s="20">
        <f>=K1588/3</f>
        <v>366.666666666667</v>
      </c>
      <c r="E1588" s="20">
        <f>=L1588/3</f>
        <v>385</v>
      </c>
      <c r="F1588" s="20">
        <f>=H1588*0.9</f>
        <v>495</v>
      </c>
      <c r="G1588" s="21">
        <v>500</v>
      </c>
      <c r="H1588" s="39">
        <v>550</v>
      </c>
      <c r="I1588" s="40">
        <f>=H1588*1.05</f>
        <v>577.5</v>
      </c>
      <c r="J1588" s="40">
        <f>=F1588*2</f>
        <v>990</v>
      </c>
      <c r="K1588" s="40">
        <f>=H1588*2</f>
        <v>1100</v>
      </c>
      <c r="L1588" s="40">
        <f>=I1588*2</f>
        <v>1155</v>
      </c>
      <c r="M1588" s="41" t="s">
        <v>1665</v>
      </c>
      <c r="N1588" s="41">
        <v>0.365</v>
      </c>
      <c r="O1588" s="41" t="s"/>
      <c r="P1588" s="41" t="s">
        <v>21</v>
      </c>
      <c r="Q1588" s="41">
        <v>1</v>
      </c>
      <c r="R1588" s="41" t="s">
        <v>16</v>
      </c>
      <c r="S1588" s="41" t="s">
        <v>17</v>
      </c>
      <c r="T1588" s="41" t="s">
        <v>1186</v>
      </c>
      <c r="U1588" s="16" t="s">
        <v>13</v>
      </c>
      <c r="V1588" s="16" t="s">
        <v>1545</v>
      </c>
      <c r="W1588" s="19" t="s"/>
      <c r="X1588" s="26" t="s">
        <f>=M1588&amp;N1588&amp;P1588&amp;Q1588&amp;T1588&amp;V1588&amp;S1588</f>
        <v>1728</v>
      </c>
      <c r="Y1588" s="19" t="s"/>
      <c r="Z1588" s="19" t="s"/>
      <c r="AA1588" s="19" t="s"/>
      <c r="AB1588" s="19" t="s"/>
    </row>
    <row r="1589" spans="1:28" ht="14.4">
      <c r="A1589" s="4">
        <f>=H1589/G1589-1</f>
        <v>0.100660066006601</v>
      </c>
      <c r="B1589" s="20">
        <f>=F1589/12</f>
        <v>50.025</v>
      </c>
      <c r="C1589" s="20">
        <f>=J1589/3</f>
        <v>400.2</v>
      </c>
      <c r="D1589" s="20">
        <f>=K1589/3</f>
        <v>444.666666666667</v>
      </c>
      <c r="E1589" s="20">
        <f>=L1589/3</f>
        <v>466.9</v>
      </c>
      <c r="F1589" s="20">
        <f>=H1589*0.9</f>
        <v>600.3</v>
      </c>
      <c r="G1589" s="21">
        <v>606</v>
      </c>
      <c r="H1589" s="39">
        <v>667</v>
      </c>
      <c r="I1589" s="40">
        <f>=H1589*1.05</f>
        <v>700.35</v>
      </c>
      <c r="J1589" s="40">
        <f>=F1589*2</f>
        <v>1200.6</v>
      </c>
      <c r="K1589" s="40">
        <f>=H1589*2</f>
        <v>1334</v>
      </c>
      <c r="L1589" s="40">
        <f>=I1589*2</f>
        <v>1400.7</v>
      </c>
      <c r="M1589" s="41" t="s">
        <v>1665</v>
      </c>
      <c r="N1589" s="41">
        <v>0.406</v>
      </c>
      <c r="O1589" s="41" t="s"/>
      <c r="P1589" s="41">
        <v>1</v>
      </c>
      <c r="Q1589" s="41">
        <v>1</v>
      </c>
      <c r="R1589" s="41" t="s">
        <v>16</v>
      </c>
      <c r="S1589" s="41" t="s">
        <v>17</v>
      </c>
      <c r="T1589" s="41" t="s">
        <v>1286</v>
      </c>
      <c r="U1589" s="16" t="s">
        <v>13</v>
      </c>
      <c r="V1589" s="16" t="s">
        <v>1227</v>
      </c>
      <c r="W1589" s="19" t="s"/>
      <c r="X1589" s="26" t="s">
        <f>=M1589&amp;N1589&amp;P1589&amp;Q1589&amp;T1589&amp;V1589&amp;S1589</f>
        <v>1729</v>
      </c>
      <c r="Y1589" s="19" t="s"/>
      <c r="Z1589" s="19" t="s"/>
      <c r="AA1589" s="19" t="s"/>
      <c r="AB1589" s="19" t="s"/>
    </row>
    <row r="1590" spans="1:28" ht="14.4">
      <c r="A1590" s="4">
        <f>=H1590/G1590-1</f>
        <v>0.1</v>
      </c>
      <c r="B1590" s="20">
        <f>=F1590/12</f>
        <v>50.325</v>
      </c>
      <c r="C1590" s="20">
        <f>=J1590/3</f>
        <v>402.6</v>
      </c>
      <c r="D1590" s="20">
        <f>=K1590/3</f>
        <v>447.333333333333</v>
      </c>
      <c r="E1590" s="20">
        <f>=L1590/3</f>
        <v>469.7</v>
      </c>
      <c r="F1590" s="20">
        <f>=H1590*0.9</f>
        <v>603.9</v>
      </c>
      <c r="G1590" s="21">
        <v>610</v>
      </c>
      <c r="H1590" s="39">
        <v>671</v>
      </c>
      <c r="I1590" s="40">
        <f>=H1590*1.05</f>
        <v>704.55</v>
      </c>
      <c r="J1590" s="40">
        <f>=F1590*2</f>
        <v>1207.8</v>
      </c>
      <c r="K1590" s="40">
        <f>=H1590*2</f>
        <v>1342</v>
      </c>
      <c r="L1590" s="40">
        <f>=I1590*2</f>
        <v>1409.1</v>
      </c>
      <c r="M1590" s="41" t="s">
        <v>1665</v>
      </c>
      <c r="N1590" s="41">
        <v>0.406</v>
      </c>
      <c r="O1590" s="41" t="s"/>
      <c r="P1590" s="41">
        <v>1</v>
      </c>
      <c r="Q1590" s="41">
        <v>1</v>
      </c>
      <c r="R1590" s="41" t="s">
        <v>16</v>
      </c>
      <c r="S1590" s="41" t="s">
        <v>17</v>
      </c>
      <c r="T1590" s="41" t="s">
        <v>1186</v>
      </c>
      <c r="U1590" s="16" t="s">
        <v>13</v>
      </c>
      <c r="V1590" s="16" t="s">
        <v>1545</v>
      </c>
      <c r="W1590" s="19" t="s"/>
      <c r="X1590" s="26" t="s">
        <f>=M1590&amp;N1590&amp;P1590&amp;Q1590&amp;T1590&amp;V1590&amp;S1590</f>
        <v>1730</v>
      </c>
      <c r="Y1590" s="19" t="s"/>
      <c r="Z1590" s="19" t="s"/>
      <c r="AA1590" s="19" t="s"/>
      <c r="AB1590" s="19" t="s"/>
    </row>
    <row r="1591" spans="1:28" ht="14.4">
      <c r="A1591" s="4">
        <f>=H1591/G1591-1</f>
        <v>0.0997095837366893</v>
      </c>
      <c r="B1591" s="20">
        <f>=F1591/12</f>
        <v>85.2</v>
      </c>
      <c r="C1591" s="20">
        <f>=J1591/3</f>
        <v>681.6</v>
      </c>
      <c r="D1591" s="20">
        <f>=K1591/3</f>
        <v>757.333333333334</v>
      </c>
      <c r="E1591" s="20">
        <f>=L1591/3</f>
        <v>795.2</v>
      </c>
      <c r="F1591" s="20">
        <f>=H1591*0.9</f>
        <v>1022.4</v>
      </c>
      <c r="G1591" s="21">
        <v>1033</v>
      </c>
      <c r="H1591" s="39">
        <v>1136</v>
      </c>
      <c r="I1591" s="40">
        <f>=H1591*1.05</f>
        <v>1192.8</v>
      </c>
      <c r="J1591" s="40">
        <f>=F1591*2</f>
        <v>2044.8</v>
      </c>
      <c r="K1591" s="40">
        <f>=H1591*2</f>
        <v>2272</v>
      </c>
      <c r="L1591" s="40">
        <f>=I1591*2</f>
        <v>2385.6</v>
      </c>
      <c r="M1591" s="41" t="s">
        <v>1665</v>
      </c>
      <c r="N1591" s="41">
        <v>0.864</v>
      </c>
      <c r="O1591" s="41" t="s"/>
      <c r="P1591" s="41">
        <v>1</v>
      </c>
      <c r="Q1591" s="41">
        <v>1</v>
      </c>
      <c r="R1591" s="41" t="s">
        <v>16</v>
      </c>
      <c r="S1591" s="41" t="s">
        <v>17</v>
      </c>
      <c r="T1591" s="41" t="s">
        <v>795</v>
      </c>
      <c r="U1591" s="16" t="s">
        <v>13</v>
      </c>
      <c r="V1591" s="16" t="s">
        <v>1446</v>
      </c>
      <c r="W1591" s="19" t="s"/>
      <c r="X1591" s="26" t="s">
        <f>=M1591&amp;N1591&amp;P1591&amp;Q1591&amp;T1591&amp;V1591&amp;S1591</f>
        <v>1731</v>
      </c>
      <c r="Y1591" s="19" t="s"/>
      <c r="Z1591" s="19" t="s"/>
      <c r="AA1591" s="19" t="s"/>
      <c r="AB1591" s="19" t="s"/>
    </row>
    <row r="1592" spans="1:28" ht="14.4">
      <c r="A1592" s="4">
        <f>=H1592/G1592-1</f>
        <v>0.100719424460432</v>
      </c>
      <c r="B1592" s="20">
        <f>=F1592/12</f>
        <v>22.95</v>
      </c>
      <c r="C1592" s="20">
        <f>=J1592/3</f>
        <v>183.6</v>
      </c>
      <c r="D1592" s="20">
        <f>=K1592/3</f>
        <v>204</v>
      </c>
      <c r="E1592" s="20">
        <f>=L1592/3</f>
        <v>214.2</v>
      </c>
      <c r="F1592" s="20">
        <f>=H1592*0.9</f>
        <v>275.4</v>
      </c>
      <c r="G1592" s="21">
        <v>278</v>
      </c>
      <c r="H1592" s="39">
        <v>306</v>
      </c>
      <c r="I1592" s="40">
        <f>=H1592*1.05</f>
        <v>321.3</v>
      </c>
      <c r="J1592" s="40">
        <f>=F1592*2</f>
        <v>550.8</v>
      </c>
      <c r="K1592" s="40">
        <f>=H1592*2</f>
        <v>612</v>
      </c>
      <c r="L1592" s="40">
        <f>=I1592*2</f>
        <v>642.6</v>
      </c>
      <c r="M1592" s="41" t="s">
        <v>1732</v>
      </c>
      <c r="N1592" s="41">
        <v>0.1</v>
      </c>
      <c r="O1592" s="41" t="s"/>
      <c r="P1592" s="41" t="s">
        <v>21</v>
      </c>
      <c r="Q1592" s="41">
        <v>1</v>
      </c>
      <c r="R1592" s="41" t="s">
        <v>16</v>
      </c>
      <c r="S1592" s="41" t="s">
        <v>17</v>
      </c>
      <c r="T1592" s="41" t="s">
        <v>1098</v>
      </c>
      <c r="U1592" s="16" t="s">
        <v>13</v>
      </c>
      <c r="V1592" s="16" t="s">
        <v>1733</v>
      </c>
      <c r="W1592" s="19" t="s"/>
      <c r="X1592" s="26" t="s">
        <f>=M1592&amp;N1592&amp;P1592&amp;Q1592&amp;T1592&amp;V1592&amp;S1592</f>
        <v>1734</v>
      </c>
      <c r="Y1592" s="19" t="s"/>
      <c r="Z1592" s="19" t="s"/>
      <c r="AA1592" s="19" t="s"/>
      <c r="AB1592" s="19" t="s"/>
    </row>
    <row r="1593" spans="1:28" ht="14.4">
      <c r="A1593" s="4">
        <f>=H1593/G1593-1</f>
        <v>0.100719424460432</v>
      </c>
      <c r="B1593" s="20">
        <f>=F1593/12</f>
        <v>22.95</v>
      </c>
      <c r="C1593" s="20">
        <f>=J1593/3</f>
        <v>183.6</v>
      </c>
      <c r="D1593" s="20">
        <f>=K1593/3</f>
        <v>204</v>
      </c>
      <c r="E1593" s="20">
        <f>=L1593/3</f>
        <v>214.2</v>
      </c>
      <c r="F1593" s="20">
        <f>=H1593*0.9</f>
        <v>275.4</v>
      </c>
      <c r="G1593" s="21">
        <v>278</v>
      </c>
      <c r="H1593" s="39">
        <v>306</v>
      </c>
      <c r="I1593" s="40">
        <f>=H1593*1.05</f>
        <v>321.3</v>
      </c>
      <c r="J1593" s="40">
        <f>=F1593*2</f>
        <v>550.8</v>
      </c>
      <c r="K1593" s="40">
        <f>=H1593*2</f>
        <v>612</v>
      </c>
      <c r="L1593" s="40">
        <f>=I1593*2</f>
        <v>642.6</v>
      </c>
      <c r="M1593" s="41" t="s">
        <v>1732</v>
      </c>
      <c r="N1593" s="41">
        <v>0.1</v>
      </c>
      <c r="O1593" s="41" t="s"/>
      <c r="P1593" s="41">
        <v>1</v>
      </c>
      <c r="Q1593" s="41">
        <v>1</v>
      </c>
      <c r="R1593" s="41" t="s">
        <v>16</v>
      </c>
      <c r="S1593" s="41" t="s">
        <v>17</v>
      </c>
      <c r="T1593" s="41" t="s">
        <v>1098</v>
      </c>
      <c r="U1593" s="16" t="s">
        <v>13</v>
      </c>
      <c r="V1593" s="16" t="s">
        <v>1083</v>
      </c>
      <c r="W1593" s="19" t="s"/>
      <c r="X1593" s="26" t="s">
        <f>=M1593&amp;N1593&amp;P1593&amp;Q1593&amp;T1593&amp;V1593&amp;S1593</f>
        <v>1735</v>
      </c>
      <c r="Y1593" s="19" t="s"/>
      <c r="Z1593" s="19" t="s"/>
      <c r="AA1593" s="19" t="s"/>
      <c r="AB1593" s="19" t="s"/>
    </row>
    <row r="1594" spans="1:28" ht="14.4">
      <c r="A1594" s="4">
        <f>=H1594/G1594-1</f>
        <v>0.1</v>
      </c>
      <c r="B1594" s="20">
        <f>=F1594/12</f>
        <v>33.825</v>
      </c>
      <c r="C1594" s="20">
        <f>=J1594/3</f>
        <v>270.6</v>
      </c>
      <c r="D1594" s="20">
        <f>=K1594/3</f>
        <v>300.666666666667</v>
      </c>
      <c r="E1594" s="20">
        <f>=L1594/3</f>
        <v>315.7</v>
      </c>
      <c r="F1594" s="20">
        <f>=H1594*0.9</f>
        <v>405.9</v>
      </c>
      <c r="G1594" s="21">
        <v>410</v>
      </c>
      <c r="H1594" s="39">
        <v>451</v>
      </c>
      <c r="I1594" s="40">
        <f>=H1594*1.05</f>
        <v>473.55</v>
      </c>
      <c r="J1594" s="40">
        <f>=F1594*2</f>
        <v>811.8</v>
      </c>
      <c r="K1594" s="40">
        <f>=H1594*2</f>
        <v>902</v>
      </c>
      <c r="L1594" s="40">
        <f>=I1594*2</f>
        <v>947.1</v>
      </c>
      <c r="M1594" s="41" t="s">
        <v>1732</v>
      </c>
      <c r="N1594" s="41">
        <v>0.127</v>
      </c>
      <c r="O1594" s="41" t="s"/>
      <c r="P1594" s="41">
        <v>1</v>
      </c>
      <c r="Q1594" s="41">
        <v>2</v>
      </c>
      <c r="R1594" s="41" t="s">
        <v>16</v>
      </c>
      <c r="S1594" s="41" t="s">
        <v>17</v>
      </c>
      <c r="T1594" s="41" t="s">
        <v>1078</v>
      </c>
      <c r="U1594" s="16" t="s">
        <v>13</v>
      </c>
      <c r="V1594" s="16" t="s">
        <v>1736</v>
      </c>
      <c r="W1594" s="19" t="s"/>
      <c r="X1594" s="26" t="s">
        <f>=M1594&amp;N1594&amp;P1594&amp;Q1594&amp;T1594&amp;V1594&amp;S1594</f>
        <v>1737</v>
      </c>
      <c r="Y1594" s="19" t="s"/>
      <c r="Z1594" s="19" t="s"/>
      <c r="AA1594" s="19" t="s"/>
      <c r="AB1594" s="19" t="s"/>
    </row>
    <row r="1595" spans="1:28" ht="14.4">
      <c r="A1595" s="4">
        <f>=H1595/G1595-1</f>
        <v>0.100172711571675</v>
      </c>
      <c r="B1595" s="20">
        <f>=F1595/12</f>
        <v>47.775</v>
      </c>
      <c r="C1595" s="20">
        <f>=J1595/3</f>
        <v>382.2</v>
      </c>
      <c r="D1595" s="20">
        <f>=K1595/3</f>
        <v>424.666666666667</v>
      </c>
      <c r="E1595" s="20">
        <f>=L1595/3</f>
        <v>445.9</v>
      </c>
      <c r="F1595" s="20">
        <f>=H1595*0.9</f>
        <v>573.3</v>
      </c>
      <c r="G1595" s="21">
        <v>579</v>
      </c>
      <c r="H1595" s="39">
        <v>637</v>
      </c>
      <c r="I1595" s="40">
        <f>=H1595*1.05</f>
        <v>668.85</v>
      </c>
      <c r="J1595" s="40">
        <f>=F1595*2</f>
        <v>1146.6</v>
      </c>
      <c r="K1595" s="40">
        <f>=H1595*2</f>
        <v>1274</v>
      </c>
      <c r="L1595" s="40">
        <f>=I1595*2</f>
        <v>1337.7</v>
      </c>
      <c r="M1595" s="41" t="s">
        <v>1732</v>
      </c>
      <c r="N1595" s="41">
        <v>0.127</v>
      </c>
      <c r="O1595" s="41" t="s"/>
      <c r="P1595" s="41">
        <v>2</v>
      </c>
      <c r="Q1595" s="41">
        <v>2</v>
      </c>
      <c r="R1595" s="41" t="s">
        <v>16</v>
      </c>
      <c r="S1595" s="41" t="s">
        <v>17</v>
      </c>
      <c r="T1595" s="41" t="s">
        <v>1078</v>
      </c>
      <c r="U1595" s="16" t="s">
        <v>13</v>
      </c>
      <c r="V1595" s="16" t="s">
        <v>215</v>
      </c>
      <c r="W1595" s="19" t="s"/>
      <c r="X1595" s="26" t="s">
        <f>=M1595&amp;N1595&amp;P1595&amp;Q1595&amp;T1595&amp;V1595&amp;S1595</f>
        <v>1738</v>
      </c>
      <c r="Y1595" s="19" t="s"/>
      <c r="Z1595" s="19" t="s"/>
      <c r="AA1595" s="19" t="s"/>
      <c r="AB1595" s="19" t="s"/>
    </row>
    <row r="1596" spans="1:28" ht="14.4">
      <c r="A1596" s="4">
        <f>=H1596/G1596-1</f>
        <v>0.0998080614203456</v>
      </c>
      <c r="B1596" s="20">
        <f>=F1596/12</f>
        <v>42.975</v>
      </c>
      <c r="C1596" s="20">
        <f>=J1596/3</f>
        <v>343.8</v>
      </c>
      <c r="D1596" s="20">
        <f>=K1596/3</f>
        <v>382</v>
      </c>
      <c r="E1596" s="20">
        <f>=L1596/3</f>
        <v>401.1</v>
      </c>
      <c r="F1596" s="20">
        <f>=H1596*0.9</f>
        <v>515.7</v>
      </c>
      <c r="G1596" s="157">
        <v>521</v>
      </c>
      <c r="H1596" s="39">
        <v>573</v>
      </c>
      <c r="I1596" s="40">
        <f>=H1596*1.05</f>
        <v>601.65</v>
      </c>
      <c r="J1596" s="40">
        <f>=F1596*2</f>
        <v>1031.4</v>
      </c>
      <c r="K1596" s="40">
        <f>=H1596*2</f>
        <v>1146</v>
      </c>
      <c r="L1596" s="40">
        <f>=I1596*2</f>
        <v>1203.3</v>
      </c>
      <c r="M1596" s="41" t="s">
        <v>1739</v>
      </c>
      <c r="N1596" s="41">
        <v>0.102</v>
      </c>
      <c r="O1596" s="41" t="s"/>
      <c r="P1596" s="41" t="s">
        <v>21</v>
      </c>
      <c r="Q1596" s="41">
        <v>1</v>
      </c>
      <c r="R1596" s="41" t="s">
        <v>16</v>
      </c>
      <c r="S1596" s="41" t="s">
        <v>17</v>
      </c>
      <c r="T1596" s="41" t="s">
        <v>1078</v>
      </c>
      <c r="U1596" s="16" t="s">
        <v>13</v>
      </c>
      <c r="V1596" s="16" t="s">
        <v>1545</v>
      </c>
      <c r="W1596" s="19" t="s"/>
      <c r="X1596" s="26" t="s">
        <f>=M1596&amp;N1596&amp;P1596&amp;Q1596&amp;T1596&amp;V1596&amp;S1596</f>
        <v>1740</v>
      </c>
      <c r="Y1596" s="19" t="s"/>
      <c r="Z1596" s="19" t="s"/>
      <c r="AA1596" s="19" t="s"/>
      <c r="AB1596" s="19" t="s"/>
    </row>
    <row r="1597" spans="1:28" ht="14.4">
      <c r="A1597" s="4">
        <f>=H1597/G1597-1</f>
        <v>0.0996978851963746</v>
      </c>
      <c r="B1597" s="20">
        <f>=F1597/12</f>
        <v>54.6</v>
      </c>
      <c r="C1597" s="20">
        <f>=J1597/3</f>
        <v>436.8</v>
      </c>
      <c r="D1597" s="20">
        <f>=K1597/3</f>
        <v>485.333333333333</v>
      </c>
      <c r="E1597" s="20">
        <f>=L1597/3</f>
        <v>509.6</v>
      </c>
      <c r="F1597" s="20">
        <f>=H1597*0.9</f>
        <v>655.2</v>
      </c>
      <c r="G1597" s="157">
        <v>662</v>
      </c>
      <c r="H1597" s="39">
        <v>728</v>
      </c>
      <c r="I1597" s="40">
        <f>=H1597*1.05</f>
        <v>764.4</v>
      </c>
      <c r="J1597" s="40">
        <f>=F1597*2</f>
        <v>1310.4</v>
      </c>
      <c r="K1597" s="40">
        <f>=H1597*2</f>
        <v>1456</v>
      </c>
      <c r="L1597" s="40">
        <f>=I1597*2</f>
        <v>1528.8</v>
      </c>
      <c r="M1597" s="41" t="s">
        <v>1739</v>
      </c>
      <c r="N1597" s="41">
        <v>0.102</v>
      </c>
      <c r="O1597" s="41" t="s"/>
      <c r="P1597" s="41">
        <v>1</v>
      </c>
      <c r="Q1597" s="41">
        <v>2</v>
      </c>
      <c r="R1597" s="41" t="s">
        <v>16</v>
      </c>
      <c r="S1597" s="41" t="s">
        <v>17</v>
      </c>
      <c r="T1597" s="41" t="s">
        <v>1078</v>
      </c>
      <c r="U1597" s="16" t="s">
        <v>13</v>
      </c>
      <c r="V1597" s="16" t="s">
        <v>1677</v>
      </c>
      <c r="W1597" s="19" t="s"/>
      <c r="X1597" s="26" t="s">
        <f>=M1597&amp;N1597&amp;P1597&amp;Q1597&amp;T1597&amp;V1597&amp;S1597</f>
        <v>1741</v>
      </c>
      <c r="Y1597" s="19" t="s"/>
      <c r="Z1597" s="19" t="s"/>
      <c r="AA1597" s="19" t="s"/>
      <c r="AB1597" s="19" t="s"/>
    </row>
    <row r="1598" spans="1:28" ht="14.4">
      <c r="A1598" s="4">
        <f>=H1598/G1598-1</f>
        <v>0.1</v>
      </c>
      <c r="B1598" s="20">
        <f>=F1598/12</f>
        <v>51.975</v>
      </c>
      <c r="C1598" s="20">
        <f>=J1598/3</f>
        <v>415.8</v>
      </c>
      <c r="D1598" s="20">
        <f>=K1598/3</f>
        <v>462</v>
      </c>
      <c r="E1598" s="20">
        <f>=L1598/3</f>
        <v>485.1</v>
      </c>
      <c r="F1598" s="20">
        <f>=H1598*0.9</f>
        <v>623.7</v>
      </c>
      <c r="G1598" s="157">
        <v>630</v>
      </c>
      <c r="H1598" s="39">
        <v>693</v>
      </c>
      <c r="I1598" s="40">
        <f>=H1598*1.05</f>
        <v>727.65</v>
      </c>
      <c r="J1598" s="40">
        <f>=F1598*2</f>
        <v>1247.4</v>
      </c>
      <c r="K1598" s="40">
        <f>=H1598*2</f>
        <v>1386</v>
      </c>
      <c r="L1598" s="40">
        <f>=I1598*2</f>
        <v>1455.3</v>
      </c>
      <c r="M1598" s="41" t="s">
        <v>1739</v>
      </c>
      <c r="N1598" s="41">
        <v>0.102</v>
      </c>
      <c r="O1598" s="41" t="s"/>
      <c r="P1598" s="41">
        <v>1</v>
      </c>
      <c r="Q1598" s="41">
        <v>2</v>
      </c>
      <c r="R1598" s="41" t="s">
        <v>16</v>
      </c>
      <c r="S1598" s="41" t="s">
        <v>17</v>
      </c>
      <c r="T1598" s="41" t="s">
        <v>1078</v>
      </c>
      <c r="U1598" s="16" t="s">
        <v>13</v>
      </c>
      <c r="V1598" s="16" t="s">
        <v>215</v>
      </c>
      <c r="W1598" s="19" t="s"/>
      <c r="X1598" s="26" t="s">
        <f>=M1598&amp;N1598&amp;P1598&amp;Q1598&amp;T1598&amp;V1598&amp;S1598</f>
        <v>1742</v>
      </c>
      <c r="Y1598" s="19" t="s"/>
      <c r="Z1598" s="19" t="s"/>
      <c r="AA1598" s="19" t="s"/>
      <c r="AB1598" s="19" t="s"/>
    </row>
    <row r="1599" spans="1:29" s="275" customFormat="true" ht="14.4">
      <c r="A1599" s="4">
        <f>=H1599/G1599-1</f>
        <v>0</v>
      </c>
      <c r="B1599" s="158">
        <f>=F1599/12</f>
        <v>45.75</v>
      </c>
      <c r="C1599" s="158">
        <f>=J1599/3</f>
        <v>366</v>
      </c>
      <c r="D1599" s="158">
        <f>=K1599/3</f>
        <v>406.666666666667</v>
      </c>
      <c r="E1599" s="158">
        <f>=L1599/3</f>
        <v>427</v>
      </c>
      <c r="F1599" s="158">
        <f>=H1599*0.9</f>
        <v>549</v>
      </c>
      <c r="G1599" s="159">
        <v>610</v>
      </c>
      <c r="H1599" s="160">
        <v>610</v>
      </c>
      <c r="I1599" s="161">
        <f>=H1599*1.05</f>
        <v>640.5</v>
      </c>
      <c r="J1599" s="161">
        <f>=F1599*2</f>
        <v>1098</v>
      </c>
      <c r="K1599" s="161">
        <f>=H1599*2</f>
        <v>1220</v>
      </c>
      <c r="L1599" s="161">
        <f>=I1599*2</f>
        <v>1281</v>
      </c>
      <c r="M1599" s="64" t="s">
        <v>1739</v>
      </c>
      <c r="N1599" s="64">
        <v>0.076</v>
      </c>
      <c r="O1599" s="64" t="s"/>
      <c r="P1599" s="64" t="s">
        <v>21</v>
      </c>
      <c r="Q1599" s="64" t="s">
        <v>21</v>
      </c>
      <c r="R1599" s="64" t="s">
        <v>16</v>
      </c>
      <c r="S1599" s="64" t="s">
        <v>17</v>
      </c>
      <c r="T1599" s="64" t="s">
        <v>1098</v>
      </c>
      <c r="U1599" s="65" t="s">
        <v>13</v>
      </c>
      <c r="V1599" s="65" t="s">
        <v>1446</v>
      </c>
      <c r="W1599" s="17" t="s">
        <v>352</v>
      </c>
      <c r="X1599" s="58" t="s">
        <f>=M1599&amp;N1599&amp;P1599&amp;Q1599&amp;T1599&amp;V1599&amp;S1599</f>
        <v>1743</v>
      </c>
      <c r="Y1599" s="59" t="s"/>
      <c r="Z1599" s="59" t="s"/>
      <c r="AA1599" s="59" t="s"/>
      <c r="AB1599" s="59" t="s"/>
      <c r="AC1599" s="162" t="s"/>
    </row>
    <row r="1600" spans="1:28" ht="14.4">
      <c r="A1600" s="4">
        <f>=H1600/G1600-1</f>
        <v>0.1</v>
      </c>
      <c r="B1600" s="20">
        <f>=F1600/12</f>
        <v>67.65</v>
      </c>
      <c r="C1600" s="20">
        <f>=J1600/3</f>
        <v>541.2</v>
      </c>
      <c r="D1600" s="20">
        <f>=K1600/3</f>
        <v>601.333333333334</v>
      </c>
      <c r="E1600" s="20">
        <f>=L1600/3</f>
        <v>631.4</v>
      </c>
      <c r="F1600" s="20">
        <f>=H1600*0.9</f>
        <v>811.8</v>
      </c>
      <c r="G1600" s="21">
        <v>820</v>
      </c>
      <c r="H1600" s="39">
        <v>902</v>
      </c>
      <c r="I1600" s="40">
        <f>=H1600*1.05</f>
        <v>947.1</v>
      </c>
      <c r="J1600" s="40">
        <f>=F1600*2</f>
        <v>1623.6</v>
      </c>
      <c r="K1600" s="40">
        <f>=H1600*2</f>
        <v>1804</v>
      </c>
      <c r="L1600" s="40">
        <f>=I1600*2</f>
        <v>1894.2</v>
      </c>
      <c r="M1600" s="41" t="s">
        <v>1739</v>
      </c>
      <c r="N1600" s="41">
        <v>0.076</v>
      </c>
      <c r="O1600" s="41" t="s"/>
      <c r="P1600" s="41">
        <v>1</v>
      </c>
      <c r="Q1600" s="41">
        <v>1</v>
      </c>
      <c r="R1600" s="41" t="s">
        <v>16</v>
      </c>
      <c r="S1600" s="41" t="s">
        <v>17</v>
      </c>
      <c r="T1600" s="41" t="s">
        <v>1098</v>
      </c>
      <c r="U1600" s="16" t="s">
        <v>13</v>
      </c>
      <c r="V1600" s="16" t="s">
        <v>1227</v>
      </c>
      <c r="W1600" s="19" t="s"/>
      <c r="X1600" s="26" t="s">
        <f>=M1600&amp;N1600&amp;P1600&amp;Q1600&amp;T1600&amp;V1600&amp;S1600</f>
        <v>1744</v>
      </c>
      <c r="Y1600" s="19" t="s"/>
      <c r="Z1600" s="19" t="s"/>
      <c r="AA1600" s="19" t="s"/>
      <c r="AB1600" s="19" t="s"/>
    </row>
    <row r="1601" spans="1:28" ht="14.4">
      <c r="A1601" s="4">
        <f>=H1601/G1601-1</f>
        <v>0.100606060606061</v>
      </c>
      <c r="B1601" s="20">
        <f>=F1601/12</f>
        <v>68.1</v>
      </c>
      <c r="C1601" s="20">
        <f>=J1601/3</f>
        <v>544.8</v>
      </c>
      <c r="D1601" s="20">
        <f>=K1601/3</f>
        <v>605.333333333334</v>
      </c>
      <c r="E1601" s="20">
        <f>=L1601/3</f>
        <v>635.6</v>
      </c>
      <c r="F1601" s="20">
        <f>=H1601*0.9</f>
        <v>817.2</v>
      </c>
      <c r="G1601" s="21">
        <v>825</v>
      </c>
      <c r="H1601" s="39">
        <v>908</v>
      </c>
      <c r="I1601" s="40">
        <f>=H1601*1.05</f>
        <v>953.4</v>
      </c>
      <c r="J1601" s="40">
        <f>=F1601*2</f>
        <v>1634.4</v>
      </c>
      <c r="K1601" s="40">
        <f>=H1601*2</f>
        <v>1816</v>
      </c>
      <c r="L1601" s="40">
        <f>=I1601*2</f>
        <v>1906.8</v>
      </c>
      <c r="M1601" s="41" t="s">
        <v>1739</v>
      </c>
      <c r="N1601" s="41">
        <v>0.076</v>
      </c>
      <c r="O1601" s="41" t="s"/>
      <c r="P1601" s="41">
        <v>1</v>
      </c>
      <c r="Q1601" s="41">
        <v>1</v>
      </c>
      <c r="R1601" s="41" t="s">
        <v>16</v>
      </c>
      <c r="S1601" s="41" t="s">
        <v>17</v>
      </c>
      <c r="T1601" s="41" t="s">
        <v>1388</v>
      </c>
      <c r="U1601" s="16" t="s">
        <v>13</v>
      </c>
      <c r="V1601" s="16" t="s">
        <v>1227</v>
      </c>
      <c r="W1601" s="19" t="s"/>
      <c r="X1601" s="26" t="s">
        <f>=M1601&amp;N1601&amp;P1601&amp;Q1601&amp;T1601&amp;V1601&amp;S1601</f>
        <v>1745</v>
      </c>
      <c r="Y1601" s="19" t="s"/>
      <c r="Z1601" s="19" t="s"/>
      <c r="AA1601" s="19" t="s"/>
      <c r="AB1601" s="19" t="s"/>
    </row>
    <row r="1602" spans="1:28" ht="14.4">
      <c r="A1602" s="4">
        <f>=H1602/G1602-1</f>
        <v>0.099639855942377</v>
      </c>
      <c r="B1602" s="20">
        <f>=F1602/12</f>
        <v>68.7</v>
      </c>
      <c r="C1602" s="20">
        <f>=J1602/3</f>
        <v>549.6</v>
      </c>
      <c r="D1602" s="20">
        <f>=K1602/3</f>
        <v>610.666666666667</v>
      </c>
      <c r="E1602" s="20">
        <f>=L1602/3</f>
        <v>641.2</v>
      </c>
      <c r="F1602" s="20">
        <f>=H1602*0.9</f>
        <v>824.4</v>
      </c>
      <c r="G1602" s="21">
        <v>833</v>
      </c>
      <c r="H1602" s="39">
        <v>916</v>
      </c>
      <c r="I1602" s="40">
        <f>=H1602*1.05</f>
        <v>961.8</v>
      </c>
      <c r="J1602" s="40">
        <f>=F1602*2</f>
        <v>1648.8</v>
      </c>
      <c r="K1602" s="40">
        <f>=H1602*2</f>
        <v>1832</v>
      </c>
      <c r="L1602" s="40">
        <f>=I1602*2</f>
        <v>1923.6</v>
      </c>
      <c r="M1602" s="41" t="s">
        <v>1739</v>
      </c>
      <c r="N1602" s="41">
        <v>0.076</v>
      </c>
      <c r="O1602" s="41" t="s"/>
      <c r="P1602" s="41">
        <v>1</v>
      </c>
      <c r="Q1602" s="41">
        <v>1</v>
      </c>
      <c r="R1602" s="41" t="s">
        <v>16</v>
      </c>
      <c r="S1602" s="41" t="s">
        <v>17</v>
      </c>
      <c r="T1602" s="41" t="s">
        <v>1098</v>
      </c>
      <c r="U1602" s="16" t="s">
        <v>13</v>
      </c>
      <c r="V1602" s="16" t="s">
        <v>1545</v>
      </c>
      <c r="W1602" s="19" t="s"/>
      <c r="X1602" s="26" t="s">
        <f>=M1602&amp;N1602&amp;P1602&amp;Q1602&amp;T1602&amp;V1602&amp;S1602</f>
        <v>1746</v>
      </c>
      <c r="Y1602" s="19" t="s"/>
      <c r="Z1602" s="19" t="s"/>
      <c r="AA1602" s="19" t="s"/>
      <c r="AB1602" s="19" t="s"/>
    </row>
    <row r="1603" spans="1:28" ht="14.4">
      <c r="A1603" s="4">
        <f>=H1603/G1603-1</f>
        <v>0.0995203836930456</v>
      </c>
      <c r="B1603" s="20">
        <f>=F1603/12</f>
        <v>68.775</v>
      </c>
      <c r="C1603" s="20">
        <f>=J1603/3</f>
        <v>550.2</v>
      </c>
      <c r="D1603" s="20">
        <f>=K1603/3</f>
        <v>611.333333333334</v>
      </c>
      <c r="E1603" s="20">
        <f>=L1603/3</f>
        <v>641.9</v>
      </c>
      <c r="F1603" s="20">
        <f>=H1603*0.9</f>
        <v>825.3</v>
      </c>
      <c r="G1603" s="21">
        <v>834</v>
      </c>
      <c r="H1603" s="39">
        <v>917</v>
      </c>
      <c r="I1603" s="40">
        <f>=H1603*1.05</f>
        <v>962.85</v>
      </c>
      <c r="J1603" s="40">
        <f>=F1603*2</f>
        <v>1650.6</v>
      </c>
      <c r="K1603" s="40">
        <f>=H1603*2</f>
        <v>1834</v>
      </c>
      <c r="L1603" s="40">
        <f>=I1603*2</f>
        <v>1925.7</v>
      </c>
      <c r="M1603" s="41" t="s">
        <v>1739</v>
      </c>
      <c r="N1603" s="41">
        <v>0.076</v>
      </c>
      <c r="O1603" s="41" t="s"/>
      <c r="P1603" s="41">
        <v>1</v>
      </c>
      <c r="Q1603" s="41">
        <v>2</v>
      </c>
      <c r="R1603" s="41" t="s">
        <v>16</v>
      </c>
      <c r="S1603" s="41" t="s">
        <v>17</v>
      </c>
      <c r="T1603" s="41" t="s">
        <v>1098</v>
      </c>
      <c r="U1603" s="16" t="s">
        <v>13</v>
      </c>
      <c r="V1603" s="16" t="s">
        <v>215</v>
      </c>
      <c r="W1603" s="19" t="s"/>
      <c r="X1603" s="26" t="s">
        <f>=M1603&amp;N1603&amp;P1603&amp;Q1603&amp;T1603&amp;V1603&amp;S1603</f>
        <v>1747</v>
      </c>
      <c r="Y1603" s="19" t="s"/>
      <c r="Z1603" s="19" t="s"/>
      <c r="AA1603" s="19" t="s"/>
      <c r="AB1603" s="19" t="s"/>
    </row>
    <row r="1604" spans="1:28" ht="14.4">
      <c r="A1604" s="4">
        <f>=H1604/G1604-1</f>
        <v>0.0996818663838812</v>
      </c>
      <c r="B1604" s="20">
        <f>=F1604/12</f>
        <v>77.775</v>
      </c>
      <c r="C1604" s="20">
        <f>=J1604/3</f>
        <v>622.2</v>
      </c>
      <c r="D1604" s="20">
        <f>=K1604/3</f>
        <v>691.333333333334</v>
      </c>
      <c r="E1604" s="20">
        <f>=L1604/3</f>
        <v>725.9</v>
      </c>
      <c r="F1604" s="20">
        <f>=H1604*0.9</f>
        <v>933.3</v>
      </c>
      <c r="G1604" s="21">
        <v>943</v>
      </c>
      <c r="H1604" s="39">
        <v>1037</v>
      </c>
      <c r="I1604" s="40">
        <f>=H1604*1.05</f>
        <v>1088.85</v>
      </c>
      <c r="J1604" s="40">
        <f>=F1604*2</f>
        <v>1866.6</v>
      </c>
      <c r="K1604" s="40">
        <f>=H1604*2</f>
        <v>2074</v>
      </c>
      <c r="L1604" s="40">
        <f>=I1604*2</f>
        <v>2177.7</v>
      </c>
      <c r="M1604" s="41" t="s">
        <v>1739</v>
      </c>
      <c r="N1604" s="41">
        <v>0.076</v>
      </c>
      <c r="O1604" s="41" t="s"/>
      <c r="P1604" s="41">
        <v>1</v>
      </c>
      <c r="Q1604" s="41">
        <v>1</v>
      </c>
      <c r="R1604" s="41" t="s">
        <v>16</v>
      </c>
      <c r="S1604" s="41" t="s">
        <v>17</v>
      </c>
      <c r="T1604" s="41" t="s">
        <v>1098</v>
      </c>
      <c r="U1604" s="16" t="s">
        <v>13</v>
      </c>
      <c r="V1604" s="16" t="s">
        <v>1693</v>
      </c>
      <c r="W1604" s="19" t="s"/>
      <c r="X1604" s="26" t="s">
        <f>=M1604&amp;N1604&amp;P1604&amp;Q1604&amp;T1604&amp;V1604&amp;S1604</f>
        <v>1748</v>
      </c>
      <c r="Y1604" s="19" t="s"/>
      <c r="Z1604" s="19" t="s"/>
      <c r="AA1604" s="19" t="s"/>
      <c r="AB1604" s="19" t="s"/>
    </row>
    <row r="1605" spans="1:28" ht="14.4">
      <c r="A1605" s="4">
        <f>=H1605/G1605-1</f>
        <v>0.1</v>
      </c>
      <c r="B1605" s="20">
        <f>=F1605/12</f>
        <v>70.125</v>
      </c>
      <c r="C1605" s="20">
        <f>=J1605/3</f>
        <v>561</v>
      </c>
      <c r="D1605" s="20">
        <f>=K1605/3</f>
        <v>623.333333333334</v>
      </c>
      <c r="E1605" s="20">
        <f>=L1605/3</f>
        <v>654.5</v>
      </c>
      <c r="F1605" s="20">
        <f>=H1605*0.9</f>
        <v>841.5</v>
      </c>
      <c r="G1605" s="21">
        <v>850</v>
      </c>
      <c r="H1605" s="39">
        <v>935</v>
      </c>
      <c r="I1605" s="40">
        <f>=H1605*1.05</f>
        <v>981.75</v>
      </c>
      <c r="J1605" s="40">
        <f>=F1605*2</f>
        <v>1683</v>
      </c>
      <c r="K1605" s="40">
        <f>=H1605*2</f>
        <v>1870</v>
      </c>
      <c r="L1605" s="40">
        <f>=I1605*2</f>
        <v>1963.5</v>
      </c>
      <c r="M1605" s="41" t="s">
        <v>1739</v>
      </c>
      <c r="N1605" s="41">
        <v>0.089</v>
      </c>
      <c r="O1605" s="41" t="s"/>
      <c r="P1605" s="41">
        <v>1</v>
      </c>
      <c r="Q1605" s="41">
        <v>1</v>
      </c>
      <c r="R1605" s="41" t="s">
        <v>16</v>
      </c>
      <c r="S1605" s="41" t="s">
        <v>17</v>
      </c>
      <c r="T1605" s="41" t="s">
        <v>1388</v>
      </c>
      <c r="U1605" s="16" t="s">
        <v>13</v>
      </c>
      <c r="V1605" s="16" t="s">
        <v>1227</v>
      </c>
      <c r="W1605" s="19" t="s"/>
      <c r="X1605" s="26" t="s">
        <f>=M1605&amp;N1605&amp;P1605&amp;Q1605&amp;T1605&amp;V1605&amp;S1605</f>
        <v>1749</v>
      </c>
      <c r="Y1605" s="19" t="s"/>
      <c r="Z1605" s="19" t="s"/>
      <c r="AA1605" s="19" t="s"/>
      <c r="AB1605" s="19" t="s"/>
    </row>
    <row r="1606" spans="1:28" ht="14.4">
      <c r="A1606" s="4">
        <f>=H1606/G1606-1</f>
        <v>0.1</v>
      </c>
      <c r="B1606" s="20">
        <f>=F1606/12</f>
        <v>72.6</v>
      </c>
      <c r="C1606" s="20">
        <f>=J1606/3</f>
        <v>580.8</v>
      </c>
      <c r="D1606" s="20">
        <f>=K1606/3</f>
        <v>645.333333333334</v>
      </c>
      <c r="E1606" s="20">
        <f>=L1606/3</f>
        <v>677.6</v>
      </c>
      <c r="F1606" s="20">
        <f>=H1606*0.9</f>
        <v>871.2</v>
      </c>
      <c r="G1606" s="21">
        <v>880</v>
      </c>
      <c r="H1606" s="39">
        <v>968</v>
      </c>
      <c r="I1606" s="40">
        <f>=H1606*1.05</f>
        <v>1016.4</v>
      </c>
      <c r="J1606" s="40">
        <f>=F1606*2</f>
        <v>1742.4</v>
      </c>
      <c r="K1606" s="40">
        <f>=H1606*2</f>
        <v>1936</v>
      </c>
      <c r="L1606" s="40">
        <f>=I1606*2</f>
        <v>2032.8</v>
      </c>
      <c r="M1606" s="41" t="s">
        <v>1739</v>
      </c>
      <c r="N1606" s="41">
        <v>0.089</v>
      </c>
      <c r="O1606" s="41" t="s"/>
      <c r="P1606" s="41">
        <v>1</v>
      </c>
      <c r="Q1606" s="41">
        <v>1</v>
      </c>
      <c r="R1606" s="41" t="s">
        <v>16</v>
      </c>
      <c r="S1606" s="41" t="s">
        <v>17</v>
      </c>
      <c r="T1606" s="41" t="s">
        <v>1388</v>
      </c>
      <c r="U1606" s="16" t="s">
        <v>13</v>
      </c>
      <c r="V1606" s="16" t="s">
        <v>1545</v>
      </c>
      <c r="W1606" s="19" t="s"/>
      <c r="X1606" s="26" t="s">
        <f>=M1606&amp;N1606&amp;P1606&amp;Q1606&amp;T1606&amp;V1606&amp;S1606</f>
        <v>1750</v>
      </c>
      <c r="Y1606" s="19" t="s"/>
      <c r="Z1606" s="19" t="s"/>
      <c r="AA1606" s="19" t="s"/>
      <c r="AB1606" s="19" t="s"/>
    </row>
    <row r="1607" spans="1:28" ht="14.4">
      <c r="A1607" s="4">
        <f>=H1607/G1607-1</f>
        <v>0.1</v>
      </c>
      <c r="B1607" s="20">
        <f>=F1607/12</f>
        <v>71.775</v>
      </c>
      <c r="C1607" s="20">
        <f>=J1607/3</f>
        <v>574.2</v>
      </c>
      <c r="D1607" s="20">
        <f>=K1607/3</f>
        <v>638</v>
      </c>
      <c r="E1607" s="20">
        <f>=L1607/3</f>
        <v>669.9</v>
      </c>
      <c r="F1607" s="20">
        <f>=H1607*0.9</f>
        <v>861.3</v>
      </c>
      <c r="G1607" s="21">
        <v>870</v>
      </c>
      <c r="H1607" s="39">
        <v>957</v>
      </c>
      <c r="I1607" s="40">
        <f>=H1607*1.05</f>
        <v>1004.85</v>
      </c>
      <c r="J1607" s="40">
        <f>=F1607*2</f>
        <v>1722.6</v>
      </c>
      <c r="K1607" s="40">
        <f>=H1607*2</f>
        <v>1914</v>
      </c>
      <c r="L1607" s="40">
        <f>=I1607*2</f>
        <v>2009.7</v>
      </c>
      <c r="M1607" s="41" t="s">
        <v>1739</v>
      </c>
      <c r="N1607" s="41">
        <v>0.102</v>
      </c>
      <c r="O1607" s="41" t="s"/>
      <c r="P1607" s="41">
        <v>1</v>
      </c>
      <c r="Q1607" s="41">
        <v>1</v>
      </c>
      <c r="R1607" s="41" t="s">
        <v>16</v>
      </c>
      <c r="S1607" s="41" t="s">
        <v>17</v>
      </c>
      <c r="T1607" s="41" t="s">
        <v>1098</v>
      </c>
      <c r="U1607" s="16" t="s">
        <v>13</v>
      </c>
      <c r="V1607" s="16" t="s">
        <v>1545</v>
      </c>
      <c r="W1607" s="19" t="s"/>
      <c r="X1607" s="26" t="s">
        <f>=M1607&amp;N1607&amp;P1607&amp;Q1607&amp;T1607&amp;V1607&amp;S1607</f>
        <v>1751</v>
      </c>
      <c r="Y1607" s="19" t="s"/>
      <c r="Z1607" s="19" t="s"/>
      <c r="AA1607" s="19" t="s"/>
      <c r="AB1607" s="19" t="s"/>
    </row>
    <row r="1608" spans="1:28" ht="14.4">
      <c r="A1608" s="4">
        <f>=H1608/G1608-1</f>
        <v>0.1</v>
      </c>
      <c r="B1608" s="20">
        <f>=F1608/12</f>
        <v>73.425</v>
      </c>
      <c r="C1608" s="20">
        <f>=J1608/3</f>
        <v>587.4</v>
      </c>
      <c r="D1608" s="20">
        <f>=K1608/3</f>
        <v>652.666666666667</v>
      </c>
      <c r="E1608" s="20">
        <f>=L1608/3</f>
        <v>685.3</v>
      </c>
      <c r="F1608" s="20">
        <f>=H1608*0.9</f>
        <v>881.1</v>
      </c>
      <c r="G1608" s="21">
        <v>890</v>
      </c>
      <c r="H1608" s="39">
        <v>979</v>
      </c>
      <c r="I1608" s="40">
        <f>=H1608*1.05</f>
        <v>1027.95</v>
      </c>
      <c r="J1608" s="40">
        <f>=F1608*2</f>
        <v>1762.2</v>
      </c>
      <c r="K1608" s="40">
        <f>=H1608*2</f>
        <v>1958</v>
      </c>
      <c r="L1608" s="40">
        <f>=I1608*2</f>
        <v>2055.9</v>
      </c>
      <c r="M1608" s="41" t="s">
        <v>1739</v>
      </c>
      <c r="N1608" s="41">
        <v>0.102</v>
      </c>
      <c r="O1608" s="41" t="s"/>
      <c r="P1608" s="41">
        <v>1</v>
      </c>
      <c r="Q1608" s="41">
        <v>1</v>
      </c>
      <c r="R1608" s="41" t="s">
        <v>16</v>
      </c>
      <c r="S1608" s="41" t="s">
        <v>17</v>
      </c>
      <c r="T1608" s="41" t="s">
        <v>1098</v>
      </c>
      <c r="U1608" s="16" t="s">
        <v>13</v>
      </c>
      <c r="V1608" s="16" t="s">
        <v>1227</v>
      </c>
      <c r="W1608" s="19" t="s"/>
      <c r="X1608" s="26" t="s">
        <f>=M1608&amp;N1608&amp;P1608&amp;Q1608&amp;T1608&amp;V1608&amp;S1608</f>
        <v>1752</v>
      </c>
      <c r="Y1608" s="19" t="s"/>
      <c r="Z1608" s="19" t="s"/>
      <c r="AA1608" s="19" t="s"/>
      <c r="AB1608" s="19" t="s"/>
    </row>
    <row r="1609" spans="1:28" ht="14.4">
      <c r="A1609" s="4">
        <f>=H1609/G1609-1</f>
        <v>0.1</v>
      </c>
      <c r="B1609" s="20">
        <f>=F1609/12</f>
        <v>75.075</v>
      </c>
      <c r="C1609" s="20">
        <f>=J1609/3</f>
        <v>600.6</v>
      </c>
      <c r="D1609" s="20">
        <f>=K1609/3</f>
        <v>667.333333333334</v>
      </c>
      <c r="E1609" s="20">
        <f>=L1609/3</f>
        <v>700.7</v>
      </c>
      <c r="F1609" s="20">
        <f>=H1609*0.9</f>
        <v>900.9</v>
      </c>
      <c r="G1609" s="21">
        <v>910</v>
      </c>
      <c r="H1609" s="39">
        <v>1001</v>
      </c>
      <c r="I1609" s="40">
        <f>=H1609*1.05</f>
        <v>1051.05</v>
      </c>
      <c r="J1609" s="40">
        <f>=F1609*2</f>
        <v>1801.8</v>
      </c>
      <c r="K1609" s="40">
        <f>=H1609*2</f>
        <v>2002</v>
      </c>
      <c r="L1609" s="40">
        <f>=I1609*2</f>
        <v>2102.1</v>
      </c>
      <c r="M1609" s="41" t="s">
        <v>1739</v>
      </c>
      <c r="N1609" s="41">
        <v>0.102</v>
      </c>
      <c r="O1609" s="41" t="s"/>
      <c r="P1609" s="41">
        <v>1</v>
      </c>
      <c r="Q1609" s="41">
        <v>1</v>
      </c>
      <c r="R1609" s="41" t="s">
        <v>16</v>
      </c>
      <c r="S1609" s="41" t="s">
        <v>17</v>
      </c>
      <c r="T1609" s="41" t="s">
        <v>1078</v>
      </c>
      <c r="U1609" s="16" t="s">
        <v>13</v>
      </c>
      <c r="V1609" s="16" t="s">
        <v>1227</v>
      </c>
      <c r="W1609" s="19" t="s"/>
      <c r="X1609" s="26" t="s">
        <f>=M1609&amp;N1609&amp;P1609&amp;Q1609&amp;T1609&amp;V1609&amp;S1609</f>
        <v>1753</v>
      </c>
      <c r="Y1609" s="19" t="s"/>
      <c r="Z1609" s="19" t="s"/>
      <c r="AA1609" s="19" t="s"/>
      <c r="AB1609" s="19" t="s"/>
    </row>
    <row r="1610" spans="1:28" ht="14.4">
      <c r="A1610" s="4">
        <f>=H1610/G1610-1</f>
        <v>0.1</v>
      </c>
      <c r="B1610" s="20">
        <f>=F1610/12</f>
        <v>75.9</v>
      </c>
      <c r="C1610" s="20">
        <f>=J1610/3</f>
        <v>607.2</v>
      </c>
      <c r="D1610" s="20">
        <f>=K1610/3</f>
        <v>674.666666666667</v>
      </c>
      <c r="E1610" s="20">
        <f>=L1610/3</f>
        <v>708.4</v>
      </c>
      <c r="F1610" s="20">
        <f>=H1610*0.9</f>
        <v>910.8</v>
      </c>
      <c r="G1610" s="21">
        <v>920</v>
      </c>
      <c r="H1610" s="39">
        <v>1012</v>
      </c>
      <c r="I1610" s="40">
        <f>=H1610*1.05</f>
        <v>1062.6</v>
      </c>
      <c r="J1610" s="40">
        <f>=F1610*2</f>
        <v>1821.6</v>
      </c>
      <c r="K1610" s="40">
        <f>=H1610*2</f>
        <v>2024</v>
      </c>
      <c r="L1610" s="40">
        <f>=I1610*2</f>
        <v>2125.2</v>
      </c>
      <c r="M1610" s="41" t="s">
        <v>1739</v>
      </c>
      <c r="N1610" s="41">
        <v>0.102</v>
      </c>
      <c r="O1610" s="41" t="s"/>
      <c r="P1610" s="41">
        <v>1</v>
      </c>
      <c r="Q1610" s="41">
        <v>1</v>
      </c>
      <c r="R1610" s="41" t="s">
        <v>16</v>
      </c>
      <c r="S1610" s="41" t="s">
        <v>17</v>
      </c>
      <c r="T1610" s="41" t="s">
        <v>1078</v>
      </c>
      <c r="U1610" s="16" t="s">
        <v>13</v>
      </c>
      <c r="V1610" s="16" t="s">
        <v>1545</v>
      </c>
      <c r="W1610" s="19" t="s"/>
      <c r="X1610" s="26" t="s">
        <f>=M1610&amp;N1610&amp;P1610&amp;Q1610&amp;T1610&amp;V1610&amp;S1610</f>
        <v>1754</v>
      </c>
      <c r="Y1610" s="19" t="s"/>
      <c r="Z1610" s="19" t="s"/>
      <c r="AA1610" s="19" t="s"/>
      <c r="AB1610" s="19" t="s"/>
    </row>
    <row r="1611" spans="1:28" ht="14.4">
      <c r="A1611" s="4">
        <f>=H1611/G1611-1</f>
        <v>0.100469483568075</v>
      </c>
      <c r="B1611" s="20">
        <f>=F1611/12</f>
        <v>87.9</v>
      </c>
      <c r="C1611" s="20">
        <f>=J1611/3</f>
        <v>703.2</v>
      </c>
      <c r="D1611" s="20">
        <f>=K1611/3</f>
        <v>781.333333333334</v>
      </c>
      <c r="E1611" s="20">
        <f>=L1611/3</f>
        <v>820.4</v>
      </c>
      <c r="F1611" s="20">
        <f>=H1611*0.9</f>
        <v>1054.8</v>
      </c>
      <c r="G1611" s="21">
        <v>1065</v>
      </c>
      <c r="H1611" s="39">
        <v>1172</v>
      </c>
      <c r="I1611" s="40">
        <f>=H1611*1.05</f>
        <v>1230.6</v>
      </c>
      <c r="J1611" s="40">
        <f>=F1611*2</f>
        <v>2109.6</v>
      </c>
      <c r="K1611" s="40">
        <f>=H1611*2</f>
        <v>2344</v>
      </c>
      <c r="L1611" s="40">
        <f>=I1611*2</f>
        <v>2461.2</v>
      </c>
      <c r="M1611" s="41" t="s">
        <v>1739</v>
      </c>
      <c r="N1611" s="41">
        <v>0.102</v>
      </c>
      <c r="O1611" s="41" t="s"/>
      <c r="P1611" s="41">
        <v>1</v>
      </c>
      <c r="Q1611" s="41">
        <v>1</v>
      </c>
      <c r="R1611" s="41" t="s">
        <v>16</v>
      </c>
      <c r="S1611" s="41" t="s">
        <v>17</v>
      </c>
      <c r="T1611" s="41" t="s">
        <v>1078</v>
      </c>
      <c r="U1611" s="16" t="s">
        <v>13</v>
      </c>
      <c r="V1611" s="16" t="s">
        <v>1693</v>
      </c>
      <c r="W1611" s="19" t="s"/>
      <c r="X1611" s="26" t="s">
        <f>=M1611&amp;N1611&amp;P1611&amp;Q1611&amp;T1611&amp;V1611&amp;S1611</f>
        <v>1755</v>
      </c>
      <c r="Y1611" s="19" t="s"/>
      <c r="Z1611" s="19" t="s"/>
      <c r="AA1611" s="19" t="s"/>
      <c r="AB1611" s="19" t="s"/>
    </row>
    <row r="1612" spans="1:28" ht="14.4">
      <c r="A1612" s="4">
        <f>=H1612/G1612-1</f>
        <v>0.1</v>
      </c>
      <c r="B1612" s="20">
        <f>=F1612/12</f>
        <v>74.25</v>
      </c>
      <c r="C1612" s="20">
        <f>=J1612/3</f>
        <v>594</v>
      </c>
      <c r="D1612" s="20">
        <f>=K1612/3</f>
        <v>660</v>
      </c>
      <c r="E1612" s="20">
        <f>=L1612/3</f>
        <v>693</v>
      </c>
      <c r="F1612" s="20">
        <f>=H1612*0.9</f>
        <v>891</v>
      </c>
      <c r="G1612" s="21">
        <v>900</v>
      </c>
      <c r="H1612" s="39">
        <v>990</v>
      </c>
      <c r="I1612" s="40">
        <f>=H1612*1.05</f>
        <v>1039.5</v>
      </c>
      <c r="J1612" s="40">
        <f>=F1612*2</f>
        <v>1782</v>
      </c>
      <c r="K1612" s="40">
        <f>=H1612*2</f>
        <v>1980</v>
      </c>
      <c r="L1612" s="40">
        <f>=I1612*2</f>
        <v>2079</v>
      </c>
      <c r="M1612" s="41" t="s">
        <v>1739</v>
      </c>
      <c r="N1612" s="41">
        <v>0.102</v>
      </c>
      <c r="O1612" s="41" t="s"/>
      <c r="P1612" s="41">
        <v>2</v>
      </c>
      <c r="Q1612" s="41">
        <v>2</v>
      </c>
      <c r="R1612" s="41" t="s">
        <v>16</v>
      </c>
      <c r="S1612" s="41" t="s">
        <v>17</v>
      </c>
      <c r="T1612" s="41" t="s">
        <v>1098</v>
      </c>
      <c r="U1612" s="16" t="s">
        <v>13</v>
      </c>
      <c r="V1612" s="16" t="s">
        <v>215</v>
      </c>
      <c r="W1612" s="19" t="s"/>
      <c r="X1612" s="26" t="s">
        <f>=M1612&amp;N1612&amp;P1612&amp;Q1612&amp;T1612&amp;V1612&amp;S1612</f>
        <v>1756</v>
      </c>
      <c r="Y1612" s="19" t="s"/>
      <c r="Z1612" s="19" t="s"/>
      <c r="AA1612" s="19" t="s"/>
      <c r="AB1612" s="19" t="s"/>
    </row>
    <row r="1613" spans="1:29" s="275" customFormat="true" ht="14.4">
      <c r="A1613" s="163">
        <f>=H1613/G1613-1</f>
        <v>0.1</v>
      </c>
      <c r="B1613" s="158">
        <f>=F1613/12</f>
        <v>74.25</v>
      </c>
      <c r="C1613" s="158">
        <f>=J1613/3</f>
        <v>594</v>
      </c>
      <c r="D1613" s="158">
        <f>=K1613/3</f>
        <v>660</v>
      </c>
      <c r="E1613" s="158">
        <f>=L1613/3</f>
        <v>693</v>
      </c>
      <c r="F1613" s="158">
        <f>=H1613*0.9</f>
        <v>891</v>
      </c>
      <c r="G1613" s="159">
        <v>900</v>
      </c>
      <c r="H1613" s="39">
        <v>990</v>
      </c>
      <c r="I1613" s="161">
        <f>=H1613*1.05</f>
        <v>1039.5</v>
      </c>
      <c r="J1613" s="161">
        <f>=F1613*2</f>
        <v>1782</v>
      </c>
      <c r="K1613" s="161">
        <f>=H1613*2</f>
        <v>1980</v>
      </c>
      <c r="L1613" s="161">
        <f>=I1613*2</f>
        <v>2079</v>
      </c>
      <c r="M1613" s="64" t="s">
        <v>1739</v>
      </c>
      <c r="N1613" s="64">
        <v>0.102</v>
      </c>
      <c r="O1613" s="64" t="s"/>
      <c r="P1613" s="64">
        <v>2</v>
      </c>
      <c r="Q1613" s="64">
        <v>2</v>
      </c>
      <c r="R1613" s="64" t="s">
        <v>16</v>
      </c>
      <c r="S1613" s="64" t="s">
        <v>17</v>
      </c>
      <c r="T1613" s="64" t="s">
        <v>639</v>
      </c>
      <c r="U1613" s="65" t="s">
        <v>13</v>
      </c>
      <c r="V1613" s="65" t="s">
        <v>215</v>
      </c>
      <c r="W1613" s="59" t="s"/>
      <c r="X1613" s="58" t="s">
        <f>=M1613&amp;N1613&amp;P1613&amp;Q1613&amp;T1613&amp;V1613&amp;S1613</f>
        <v>1757</v>
      </c>
      <c r="Y1613" s="59" t="s"/>
      <c r="Z1613" s="59" t="s"/>
      <c r="AA1613" s="59" t="s"/>
      <c r="AB1613" s="59" t="s"/>
      <c r="AC1613" s="162" t="s"/>
    </row>
    <row r="1614" spans="1:28" ht="14.4">
      <c r="A1614" s="4">
        <f>=H1614/G1614-1</f>
        <v>0.099639855942377</v>
      </c>
      <c r="B1614" s="20">
        <f>=F1614/12</f>
        <v>68.7</v>
      </c>
      <c r="C1614" s="20">
        <f>=J1614/3</f>
        <v>549.6</v>
      </c>
      <c r="D1614" s="20">
        <f>=K1614/3</f>
        <v>610.666666666667</v>
      </c>
      <c r="E1614" s="20">
        <f>=L1614/3</f>
        <v>641.2</v>
      </c>
      <c r="F1614" s="20">
        <f>=H1614*0.9</f>
        <v>824.4</v>
      </c>
      <c r="G1614" s="21">
        <v>833</v>
      </c>
      <c r="H1614" s="39">
        <v>916</v>
      </c>
      <c r="I1614" s="40">
        <f>=H1614*1.05</f>
        <v>961.8</v>
      </c>
      <c r="J1614" s="40">
        <f>=F1614*2</f>
        <v>1648.8</v>
      </c>
      <c r="K1614" s="40">
        <f>=H1614*2</f>
        <v>1832</v>
      </c>
      <c r="L1614" s="40">
        <f>=I1614*2</f>
        <v>1923.6</v>
      </c>
      <c r="M1614" s="41" t="s">
        <v>1739</v>
      </c>
      <c r="N1614" s="41">
        <v>0.127</v>
      </c>
      <c r="O1614" s="41" t="s"/>
      <c r="P1614" s="41">
        <v>1</v>
      </c>
      <c r="Q1614" s="41">
        <v>2</v>
      </c>
      <c r="R1614" s="41" t="s">
        <v>16</v>
      </c>
      <c r="S1614" s="41" t="s">
        <v>17</v>
      </c>
      <c r="T1614" s="41" t="s">
        <v>1080</v>
      </c>
      <c r="U1614" s="16" t="s">
        <v>13</v>
      </c>
      <c r="V1614" s="16" t="s">
        <v>215</v>
      </c>
      <c r="W1614" s="19" t="s"/>
      <c r="X1614" s="26" t="s">
        <f>=M1614&amp;N1614&amp;P1614&amp;Q1614&amp;T1614&amp;V1614&amp;S1614</f>
        <v>1758</v>
      </c>
      <c r="Y1614" s="19" t="s"/>
      <c r="Z1614" s="19" t="s"/>
      <c r="AA1614" s="19" t="s"/>
      <c r="AB1614" s="19" t="s"/>
    </row>
    <row r="1615" spans="1:28" ht="14.4">
      <c r="A1615" s="4">
        <f>=H1615/G1615-1</f>
        <v>0.1</v>
      </c>
      <c r="B1615" s="20">
        <f>=F1615/12</f>
        <v>75.9</v>
      </c>
      <c r="C1615" s="20">
        <f>=J1615/3</f>
        <v>607.2</v>
      </c>
      <c r="D1615" s="20">
        <f>=K1615/3</f>
        <v>674.666666666667</v>
      </c>
      <c r="E1615" s="20">
        <f>=L1615/3</f>
        <v>708.4</v>
      </c>
      <c r="F1615" s="20">
        <f>=H1615*0.9</f>
        <v>910.8</v>
      </c>
      <c r="G1615" s="21">
        <v>920</v>
      </c>
      <c r="H1615" s="39">
        <v>1012</v>
      </c>
      <c r="I1615" s="40">
        <f>=H1615*1.05</f>
        <v>1062.6</v>
      </c>
      <c r="J1615" s="40">
        <f>=F1615*2</f>
        <v>1821.6</v>
      </c>
      <c r="K1615" s="40">
        <f>=H1615*2</f>
        <v>2024</v>
      </c>
      <c r="L1615" s="40">
        <f>=I1615*2</f>
        <v>2125.2</v>
      </c>
      <c r="M1615" s="41" t="s">
        <v>1739</v>
      </c>
      <c r="N1615" s="41">
        <v>0.127</v>
      </c>
      <c r="O1615" s="41" t="s"/>
      <c r="P1615" s="41">
        <v>1</v>
      </c>
      <c r="Q1615" s="41">
        <v>1</v>
      </c>
      <c r="R1615" s="41" t="s">
        <v>16</v>
      </c>
      <c r="S1615" s="41" t="s">
        <v>17</v>
      </c>
      <c r="T1615" s="41" t="s">
        <v>1080</v>
      </c>
      <c r="U1615" s="16" t="s">
        <v>13</v>
      </c>
      <c r="V1615" s="16" t="s">
        <v>1227</v>
      </c>
      <c r="W1615" s="19" t="s"/>
      <c r="X1615" s="26" t="s">
        <f>=M1615&amp;N1615&amp;P1615&amp;Q1615&amp;T1615&amp;V1615&amp;S1615</f>
        <v>1759</v>
      </c>
      <c r="Y1615" s="19" t="s"/>
      <c r="Z1615" s="19" t="s"/>
      <c r="AA1615" s="19" t="s"/>
      <c r="AB1615" s="19" t="s"/>
    </row>
    <row r="1616" spans="1:28" ht="14.4">
      <c r="A1616" s="4">
        <f>=H1616/G1616-1</f>
        <v>0.1</v>
      </c>
      <c r="B1616" s="20">
        <f>=F1616/12</f>
        <v>77.55</v>
      </c>
      <c r="C1616" s="20">
        <f>=J1616/3</f>
        <v>620.4</v>
      </c>
      <c r="D1616" s="20">
        <f>=K1616/3</f>
        <v>689.333333333334</v>
      </c>
      <c r="E1616" s="20">
        <f>=L1616/3</f>
        <v>723.8</v>
      </c>
      <c r="F1616" s="20">
        <f>=H1616*0.9</f>
        <v>930.6</v>
      </c>
      <c r="G1616" s="21">
        <v>940</v>
      </c>
      <c r="H1616" s="39">
        <v>1034</v>
      </c>
      <c r="I1616" s="40">
        <f>=H1616*1.05</f>
        <v>1085.7</v>
      </c>
      <c r="J1616" s="40">
        <f>=F1616*2</f>
        <v>1861.2</v>
      </c>
      <c r="K1616" s="40">
        <f>=H1616*2</f>
        <v>2068</v>
      </c>
      <c r="L1616" s="40">
        <f>=I1616*2</f>
        <v>2171.4</v>
      </c>
      <c r="M1616" s="41" t="s">
        <v>1739</v>
      </c>
      <c r="N1616" s="41">
        <v>0.127</v>
      </c>
      <c r="O1616" s="41" t="s"/>
      <c r="P1616" s="41">
        <v>1</v>
      </c>
      <c r="Q1616" s="41">
        <v>1</v>
      </c>
      <c r="R1616" s="41" t="s">
        <v>16</v>
      </c>
      <c r="S1616" s="41" t="s">
        <v>17</v>
      </c>
      <c r="T1616" s="41" t="s">
        <v>23</v>
      </c>
      <c r="U1616" s="16" t="s">
        <v>13</v>
      </c>
      <c r="V1616" s="16" t="s">
        <v>1227</v>
      </c>
      <c r="W1616" s="19" t="s"/>
      <c r="X1616" s="26" t="s">
        <f>=M1616&amp;N1616&amp;P1616&amp;Q1616&amp;T1616&amp;V1616&amp;S1616</f>
        <v>1760</v>
      </c>
      <c r="Y1616" s="19" t="s"/>
      <c r="Z1616" s="19" t="s"/>
      <c r="AA1616" s="19" t="s"/>
      <c r="AB1616" s="19" t="s"/>
    </row>
    <row r="1617" spans="1:28" ht="14.4">
      <c r="A1617" s="4">
        <f>=H1617/G1617-1</f>
        <v>0.100518134715026</v>
      </c>
      <c r="B1617" s="20">
        <f>=F1617/12</f>
        <v>79.65</v>
      </c>
      <c r="C1617" s="20">
        <f>=J1617/3</f>
        <v>637.2</v>
      </c>
      <c r="D1617" s="20">
        <f>=K1617/3</f>
        <v>708</v>
      </c>
      <c r="E1617" s="20">
        <f>=L1617/3</f>
        <v>743.4</v>
      </c>
      <c r="F1617" s="20">
        <f>=H1617*0.9</f>
        <v>955.8</v>
      </c>
      <c r="G1617" s="21">
        <v>965</v>
      </c>
      <c r="H1617" s="39">
        <v>1062</v>
      </c>
      <c r="I1617" s="40">
        <f>=H1617*1.05</f>
        <v>1115.1</v>
      </c>
      <c r="J1617" s="40">
        <f>=F1617*2</f>
        <v>1911.6</v>
      </c>
      <c r="K1617" s="40">
        <f>=H1617*2</f>
        <v>2124</v>
      </c>
      <c r="L1617" s="40">
        <f>=I1617*2</f>
        <v>2230.2</v>
      </c>
      <c r="M1617" s="41" t="s">
        <v>1739</v>
      </c>
      <c r="N1617" s="41">
        <v>0.127</v>
      </c>
      <c r="O1617" s="41" t="s"/>
      <c r="P1617" s="41">
        <v>1</v>
      </c>
      <c r="Q1617" s="41">
        <v>1</v>
      </c>
      <c r="R1617" s="41" t="s">
        <v>16</v>
      </c>
      <c r="S1617" s="41" t="s">
        <v>17</v>
      </c>
      <c r="T1617" s="41" t="s">
        <v>23</v>
      </c>
      <c r="U1617" s="16" t="s">
        <v>13</v>
      </c>
      <c r="V1617" s="16" t="s">
        <v>1545</v>
      </c>
      <c r="W1617" s="19" t="s"/>
      <c r="X1617" s="26" t="s">
        <f>=M1617&amp;N1617&amp;P1617&amp;Q1617&amp;T1617&amp;V1617&amp;S1617</f>
        <v>1761</v>
      </c>
      <c r="Y1617" s="19" t="s"/>
      <c r="Z1617" s="19" t="s"/>
      <c r="AA1617" s="19" t="s"/>
      <c r="AB1617" s="19" t="s"/>
    </row>
    <row r="1618" spans="1:28" ht="14.4">
      <c r="A1618" s="4">
        <f>=H1618/G1618-1</f>
        <v>0.100414078674948</v>
      </c>
      <c r="B1618" s="20">
        <f>=F1618/12</f>
        <v>79.725</v>
      </c>
      <c r="C1618" s="20">
        <f>=J1618/3</f>
        <v>637.8</v>
      </c>
      <c r="D1618" s="20">
        <f>=K1618/3</f>
        <v>708.666666666667</v>
      </c>
      <c r="E1618" s="20">
        <f>=L1618/3</f>
        <v>744.1</v>
      </c>
      <c r="F1618" s="20">
        <f>=H1618*0.9</f>
        <v>956.7</v>
      </c>
      <c r="G1618" s="21">
        <v>966</v>
      </c>
      <c r="H1618" s="39">
        <v>1063</v>
      </c>
      <c r="I1618" s="40">
        <f>=H1618*1.05</f>
        <v>1116.15</v>
      </c>
      <c r="J1618" s="40">
        <f>=F1618*2</f>
        <v>1913.4</v>
      </c>
      <c r="K1618" s="40">
        <f>=H1618*2</f>
        <v>2126</v>
      </c>
      <c r="L1618" s="40">
        <f>=I1618*2</f>
        <v>2232.3</v>
      </c>
      <c r="M1618" s="41" t="s">
        <v>1739</v>
      </c>
      <c r="N1618" s="41">
        <v>0.127</v>
      </c>
      <c r="O1618" s="41" t="s"/>
      <c r="P1618" s="41">
        <v>1</v>
      </c>
      <c r="Q1618" s="41">
        <v>1</v>
      </c>
      <c r="R1618" s="41" t="s">
        <v>16</v>
      </c>
      <c r="S1618" s="41" t="s">
        <v>17</v>
      </c>
      <c r="T1618" s="41" t="s">
        <v>1078</v>
      </c>
      <c r="U1618" s="16" t="s">
        <v>13</v>
      </c>
      <c r="V1618" s="16" t="s">
        <v>1227</v>
      </c>
      <c r="W1618" s="19" t="s"/>
      <c r="X1618" s="26" t="s">
        <f>=M1618&amp;N1618&amp;P1618&amp;Q1618&amp;T1618&amp;V1618&amp;S1618</f>
        <v>1762</v>
      </c>
      <c r="Y1618" s="19" t="s"/>
      <c r="Z1618" s="19" t="s"/>
      <c r="AA1618" s="19" t="s"/>
      <c r="AB1618" s="19" t="s"/>
    </row>
    <row r="1619" spans="1:28" ht="14.4">
      <c r="A1619" s="4">
        <f>=H1619/G1619-1</f>
        <v>0.100204498977505</v>
      </c>
      <c r="B1619" s="20">
        <f>=F1619/12</f>
        <v>80.7</v>
      </c>
      <c r="C1619" s="20">
        <f>=J1619/3</f>
        <v>645.6</v>
      </c>
      <c r="D1619" s="20">
        <f>=K1619/3</f>
        <v>717.333333333334</v>
      </c>
      <c r="E1619" s="20">
        <f>=L1619/3</f>
        <v>753.2</v>
      </c>
      <c r="F1619" s="20">
        <f>=H1619*0.9</f>
        <v>968.4</v>
      </c>
      <c r="G1619" s="21">
        <v>978</v>
      </c>
      <c r="H1619" s="39">
        <v>1076</v>
      </c>
      <c r="I1619" s="40">
        <f>=H1619*1.05</f>
        <v>1129.8</v>
      </c>
      <c r="J1619" s="40">
        <f>=F1619*2</f>
        <v>1936.8</v>
      </c>
      <c r="K1619" s="40">
        <f>=H1619*2</f>
        <v>2152</v>
      </c>
      <c r="L1619" s="40">
        <f>=I1619*2</f>
        <v>2259.6</v>
      </c>
      <c r="M1619" s="41" t="s">
        <v>1739</v>
      </c>
      <c r="N1619" s="41">
        <v>0.127</v>
      </c>
      <c r="O1619" s="41" t="s"/>
      <c r="P1619" s="41">
        <v>1</v>
      </c>
      <c r="Q1619" s="41">
        <v>1</v>
      </c>
      <c r="R1619" s="41" t="s">
        <v>16</v>
      </c>
      <c r="S1619" s="41" t="s">
        <v>17</v>
      </c>
      <c r="T1619" s="41" t="s">
        <v>1078</v>
      </c>
      <c r="U1619" s="16" t="s">
        <v>13</v>
      </c>
      <c r="V1619" s="16" t="s">
        <v>1545</v>
      </c>
      <c r="W1619" s="19" t="s"/>
      <c r="X1619" s="26" t="s">
        <f>=M1619&amp;N1619&amp;P1619&amp;Q1619&amp;T1619&amp;V1619&amp;S1619</f>
        <v>1763</v>
      </c>
      <c r="Y1619" s="19" t="s"/>
      <c r="Z1619" s="19" t="s"/>
      <c r="AA1619" s="19" t="s"/>
      <c r="AB1619" s="19" t="s"/>
    </row>
    <row r="1620" spans="1:28" ht="14.4">
      <c r="A1620" s="4">
        <f>=H1620/G1620-1</f>
        <v>0.1</v>
      </c>
      <c r="B1620" s="20">
        <f>=F1620/12</f>
        <v>83.325</v>
      </c>
      <c r="C1620" s="20">
        <f>=J1620/3</f>
        <v>666.6</v>
      </c>
      <c r="D1620" s="20">
        <f>=K1620/3</f>
        <v>740.666666666667</v>
      </c>
      <c r="E1620" s="20">
        <f>=L1620/3</f>
        <v>777.7</v>
      </c>
      <c r="F1620" s="20">
        <f>=H1620*0.9</f>
        <v>999.9</v>
      </c>
      <c r="G1620" s="21">
        <v>1010</v>
      </c>
      <c r="H1620" s="39">
        <v>1111</v>
      </c>
      <c r="I1620" s="40">
        <f>=H1620*1.05</f>
        <v>1166.55</v>
      </c>
      <c r="J1620" s="40">
        <f>=F1620*2</f>
        <v>1999.8</v>
      </c>
      <c r="K1620" s="40">
        <f>=H1620*2</f>
        <v>2222</v>
      </c>
      <c r="L1620" s="40">
        <f>=I1620*2</f>
        <v>2333.1</v>
      </c>
      <c r="M1620" s="41" t="s">
        <v>1739</v>
      </c>
      <c r="N1620" s="41">
        <v>0.127</v>
      </c>
      <c r="O1620" s="41" t="s"/>
      <c r="P1620" s="41">
        <v>1</v>
      </c>
      <c r="Q1620" s="41">
        <v>1</v>
      </c>
      <c r="R1620" s="41" t="s">
        <v>16</v>
      </c>
      <c r="S1620" s="41" t="s">
        <v>17</v>
      </c>
      <c r="T1620" s="41" t="s">
        <v>1080</v>
      </c>
      <c r="U1620" s="16" t="s">
        <v>13</v>
      </c>
      <c r="V1620" s="16" t="s">
        <v>1693</v>
      </c>
      <c r="W1620" s="19" t="s"/>
      <c r="X1620" s="26" t="s">
        <f>=M1620&amp;N1620&amp;P1620&amp;Q1620&amp;T1620&amp;V1620&amp;S1620</f>
        <v>1764</v>
      </c>
      <c r="Y1620" s="19" t="s"/>
      <c r="Z1620" s="19" t="s"/>
      <c r="AA1620" s="19" t="s"/>
      <c r="AB1620" s="19" t="s"/>
    </row>
    <row r="1621" spans="1:28" ht="14.4">
      <c r="A1621" s="4">
        <f>=H1621/G1621-1</f>
        <v>0.1</v>
      </c>
      <c r="B1621" s="20">
        <f>=F1621/12</f>
        <v>79.2</v>
      </c>
      <c r="C1621" s="20">
        <f>=J1621/3</f>
        <v>633.6</v>
      </c>
      <c r="D1621" s="20">
        <f>=K1621/3</f>
        <v>704</v>
      </c>
      <c r="E1621" s="20">
        <f>=L1621/3</f>
        <v>739.2</v>
      </c>
      <c r="F1621" s="20">
        <f>=H1621*0.9</f>
        <v>950.4</v>
      </c>
      <c r="G1621" s="21">
        <v>960</v>
      </c>
      <c r="H1621" s="39">
        <v>1056</v>
      </c>
      <c r="I1621" s="40">
        <f>=H1621*1.05</f>
        <v>1108.8</v>
      </c>
      <c r="J1621" s="40">
        <f>=F1621*2</f>
        <v>1900.8</v>
      </c>
      <c r="K1621" s="40">
        <f>=H1621*2</f>
        <v>2112</v>
      </c>
      <c r="L1621" s="40">
        <f>=I1621*2</f>
        <v>2217.6</v>
      </c>
      <c r="M1621" s="41" t="s">
        <v>1739</v>
      </c>
      <c r="N1621" s="41">
        <v>0.127</v>
      </c>
      <c r="O1621" s="41" t="s"/>
      <c r="P1621" s="41">
        <v>2</v>
      </c>
      <c r="Q1621" s="41">
        <v>2</v>
      </c>
      <c r="R1621" s="41" t="s">
        <v>16</v>
      </c>
      <c r="S1621" s="41" t="s">
        <v>17</v>
      </c>
      <c r="T1621" s="41" t="s">
        <v>1078</v>
      </c>
      <c r="U1621" s="16" t="s">
        <v>13</v>
      </c>
      <c r="V1621" s="16" t="s">
        <v>1693</v>
      </c>
      <c r="W1621" s="19" t="s"/>
      <c r="X1621" s="26" t="s">
        <f>=M1621&amp;N1621&amp;P1621&amp;Q1621&amp;T1621&amp;V1621&amp;S1621</f>
        <v>1765</v>
      </c>
      <c r="Y1621" s="19" t="s"/>
      <c r="Z1621" s="19" t="s"/>
      <c r="AA1621" s="19" t="s"/>
      <c r="AB1621" s="19" t="s"/>
    </row>
    <row r="1622" spans="1:28" ht="14.4">
      <c r="A1622" s="4">
        <f>=H1622/G1622-1</f>
        <v>0.100422832980972</v>
      </c>
      <c r="B1622" s="20">
        <f>=F1622/12</f>
        <v>78.075</v>
      </c>
      <c r="C1622" s="20">
        <f>=J1622/3</f>
        <v>624.6</v>
      </c>
      <c r="D1622" s="20">
        <f>=K1622/3</f>
        <v>694</v>
      </c>
      <c r="E1622" s="20">
        <f>=L1622/3</f>
        <v>728.7</v>
      </c>
      <c r="F1622" s="20">
        <f>=H1622*0.9</f>
        <v>936.9</v>
      </c>
      <c r="G1622" s="21">
        <v>946</v>
      </c>
      <c r="H1622" s="39">
        <v>1041</v>
      </c>
      <c r="I1622" s="40">
        <f>=H1622*1.05</f>
        <v>1093.05</v>
      </c>
      <c r="J1622" s="40">
        <f>=F1622*2</f>
        <v>1873.8</v>
      </c>
      <c r="K1622" s="40">
        <f>=H1622*2</f>
        <v>2082</v>
      </c>
      <c r="L1622" s="40">
        <f>=I1622*2</f>
        <v>2186.1</v>
      </c>
      <c r="M1622" s="41" t="s">
        <v>1739</v>
      </c>
      <c r="N1622" s="41">
        <v>0.146</v>
      </c>
      <c r="O1622" s="41" t="s"/>
      <c r="P1622" s="41">
        <v>1</v>
      </c>
      <c r="Q1622" s="41">
        <v>1</v>
      </c>
      <c r="R1622" s="41" t="s">
        <v>16</v>
      </c>
      <c r="S1622" s="41" t="s">
        <v>17</v>
      </c>
      <c r="T1622" s="41" t="s">
        <v>1080</v>
      </c>
      <c r="U1622" s="16" t="s">
        <v>13</v>
      </c>
      <c r="V1622" s="16" t="s">
        <v>1693</v>
      </c>
      <c r="W1622" s="19" t="s"/>
      <c r="X1622" s="26" t="s">
        <f>=M1622&amp;N1622&amp;P1622&amp;Q1622&amp;T1622&amp;V1622&amp;S1622</f>
        <v>1766</v>
      </c>
      <c r="Y1622" s="19" t="s"/>
      <c r="Z1622" s="19" t="s"/>
      <c r="AA1622" s="19" t="s"/>
      <c r="AB1622" s="19" t="s"/>
    </row>
    <row r="1623" spans="1:28" ht="14.4">
      <c r="A1623" s="4">
        <f>=H1623/G1623-1</f>
        <v>0.100422832980972</v>
      </c>
      <c r="B1623" s="20">
        <f>=F1623/12</f>
        <v>78.075</v>
      </c>
      <c r="C1623" s="20">
        <f>=J1623/3</f>
        <v>624.6</v>
      </c>
      <c r="D1623" s="20">
        <f>=K1623/3</f>
        <v>694</v>
      </c>
      <c r="E1623" s="20">
        <f>=L1623/3</f>
        <v>728.7</v>
      </c>
      <c r="F1623" s="20">
        <f>=H1623*0.9</f>
        <v>936.9</v>
      </c>
      <c r="G1623" s="21">
        <v>946</v>
      </c>
      <c r="H1623" s="39">
        <v>1041</v>
      </c>
      <c r="I1623" s="40">
        <f>=H1623*1.05</f>
        <v>1093.05</v>
      </c>
      <c r="J1623" s="40">
        <f>=F1623*2</f>
        <v>1873.8</v>
      </c>
      <c r="K1623" s="40">
        <f>=H1623*2</f>
        <v>2082</v>
      </c>
      <c r="L1623" s="40">
        <f>=I1623*2</f>
        <v>2186.1</v>
      </c>
      <c r="M1623" s="41" t="s">
        <v>1739</v>
      </c>
      <c r="N1623" s="41">
        <v>0.15</v>
      </c>
      <c r="O1623" s="41" t="s"/>
      <c r="P1623" s="41">
        <v>1</v>
      </c>
      <c r="Q1623" s="41">
        <v>1</v>
      </c>
      <c r="R1623" s="41" t="s">
        <v>16</v>
      </c>
      <c r="S1623" s="41" t="s">
        <v>17</v>
      </c>
      <c r="T1623" s="41" t="s">
        <v>1080</v>
      </c>
      <c r="U1623" s="16" t="s">
        <v>13</v>
      </c>
      <c r="V1623" s="16" t="s">
        <v>1227</v>
      </c>
      <c r="W1623" s="19" t="s"/>
      <c r="X1623" s="26" t="s">
        <f>=M1623&amp;N1623&amp;P1623&amp;Q1623&amp;T1623&amp;V1623&amp;S1623</f>
        <v>1767</v>
      </c>
      <c r="Y1623" s="19" t="s"/>
      <c r="Z1623" s="19" t="s"/>
      <c r="AA1623" s="19" t="s"/>
      <c r="AB1623" s="19" t="s"/>
    </row>
    <row r="1624" spans="1:28" ht="14.4">
      <c r="A1624" s="4">
        <f>=H1624/G1624-1</f>
        <v>0.100414078674948</v>
      </c>
      <c r="B1624" s="20">
        <f>=F1624/12</f>
        <v>79.725</v>
      </c>
      <c r="C1624" s="20">
        <f>=J1624/3</f>
        <v>637.8</v>
      </c>
      <c r="D1624" s="20">
        <f>=K1624/3</f>
        <v>708.666666666667</v>
      </c>
      <c r="E1624" s="20">
        <f>=L1624/3</f>
        <v>744.1</v>
      </c>
      <c r="F1624" s="20">
        <f>=H1624*0.9</f>
        <v>956.7</v>
      </c>
      <c r="G1624" s="21">
        <v>966</v>
      </c>
      <c r="H1624" s="39">
        <v>1063</v>
      </c>
      <c r="I1624" s="40">
        <f>=H1624*1.05</f>
        <v>1116.15</v>
      </c>
      <c r="J1624" s="40">
        <f>=F1624*2</f>
        <v>1913.4</v>
      </c>
      <c r="K1624" s="40">
        <f>=H1624*2</f>
        <v>2126</v>
      </c>
      <c r="L1624" s="40">
        <f>=I1624*2</f>
        <v>2232.3</v>
      </c>
      <c r="M1624" s="41" t="s">
        <v>1739</v>
      </c>
      <c r="N1624" s="41">
        <v>0.152</v>
      </c>
      <c r="O1624" s="41" t="s"/>
      <c r="P1624" s="41">
        <v>1</v>
      </c>
      <c r="Q1624" s="41">
        <v>1</v>
      </c>
      <c r="R1624" s="41" t="s">
        <v>16</v>
      </c>
      <c r="S1624" s="41" t="s">
        <v>17</v>
      </c>
      <c r="T1624" s="41" t="s">
        <v>1080</v>
      </c>
      <c r="U1624" s="16" t="s">
        <v>13</v>
      </c>
      <c r="V1624" s="16" t="s">
        <v>1545</v>
      </c>
      <c r="W1624" s="19" t="s"/>
      <c r="X1624" s="26" t="s">
        <f>=M1624&amp;N1624&amp;P1624&amp;Q1624&amp;T1624&amp;V1624&amp;S1624</f>
        <v>1768</v>
      </c>
      <c r="Y1624" s="19" t="s"/>
      <c r="Z1624" s="19" t="s"/>
      <c r="AA1624" s="19" t="s"/>
      <c r="AB1624" s="19" t="s"/>
    </row>
    <row r="1625" spans="1:28" ht="14.4">
      <c r="A1625" s="4">
        <f>=H1625/G1625-1</f>
        <v>0.100414937759336</v>
      </c>
      <c r="B1625" s="20">
        <f>=F1625/12</f>
        <v>99.45</v>
      </c>
      <c r="C1625" s="20">
        <f>=J1625/3</f>
        <v>795.6</v>
      </c>
      <c r="D1625" s="20">
        <f>=K1625/3</f>
        <v>884</v>
      </c>
      <c r="E1625" s="20">
        <f>=L1625/3</f>
        <v>928.2</v>
      </c>
      <c r="F1625" s="20">
        <f>=H1625*0.9</f>
        <v>1193.4</v>
      </c>
      <c r="G1625" s="21">
        <v>1205</v>
      </c>
      <c r="H1625" s="39">
        <v>1326</v>
      </c>
      <c r="I1625" s="40">
        <f>=H1625*1.05</f>
        <v>1392.3</v>
      </c>
      <c r="J1625" s="40">
        <f>=F1625*2</f>
        <v>2386.8</v>
      </c>
      <c r="K1625" s="40">
        <f>=H1625*2</f>
        <v>2652</v>
      </c>
      <c r="L1625" s="40">
        <f>=I1625*2</f>
        <v>2784.6</v>
      </c>
      <c r="M1625" s="41" t="s">
        <v>1739</v>
      </c>
      <c r="N1625" s="41">
        <v>0.25</v>
      </c>
      <c r="O1625" s="41" t="s"/>
      <c r="P1625" s="41">
        <v>1</v>
      </c>
      <c r="Q1625" s="41">
        <v>1</v>
      </c>
      <c r="R1625" s="41" t="s">
        <v>16</v>
      </c>
      <c r="S1625" s="41" t="s">
        <v>17</v>
      </c>
      <c r="T1625" s="41" t="s">
        <v>52</v>
      </c>
      <c r="U1625" s="16" t="s">
        <v>13</v>
      </c>
      <c r="V1625" s="16" t="s">
        <v>1693</v>
      </c>
      <c r="W1625" s="19" t="s"/>
      <c r="X1625" s="26" t="s">
        <f>=M1625&amp;N1625&amp;P1625&amp;Q1625&amp;T1625&amp;V1625&amp;S1625</f>
        <v>1769</v>
      </c>
      <c r="Y1625" s="19" t="s"/>
      <c r="Z1625" s="19" t="s"/>
      <c r="AA1625" s="19" t="s"/>
      <c r="AB1625" s="19" t="s"/>
    </row>
    <row r="1626" spans="1:28" ht="14.4">
      <c r="A1626" s="4">
        <f>=H1626/G1626-1</f>
        <v>0.0511182108626198</v>
      </c>
      <c r="B1626" s="20">
        <f>=F1626/12</f>
        <v>24.675</v>
      </c>
      <c r="C1626" s="20">
        <f>=J1626/3</f>
        <v>197.4</v>
      </c>
      <c r="D1626" s="20">
        <f>=K1626/3</f>
        <v>219.333333333333</v>
      </c>
      <c r="E1626" s="20">
        <f>=L1626/3</f>
        <v>230.3</v>
      </c>
      <c r="F1626" s="20">
        <f>=H1626*0.9</f>
        <v>296.1</v>
      </c>
      <c r="G1626" s="68">
        <v>313</v>
      </c>
      <c r="H1626" s="90">
        <v>329</v>
      </c>
      <c r="I1626" s="40">
        <f>=H1626*1.05</f>
        <v>345.45</v>
      </c>
      <c r="J1626" s="40">
        <f>=F1626*2</f>
        <v>592.2</v>
      </c>
      <c r="K1626" s="40">
        <f>=H1626*2</f>
        <v>658</v>
      </c>
      <c r="L1626" s="40">
        <f>=I1626*2</f>
        <v>690.9</v>
      </c>
      <c r="M1626" s="41" t="s">
        <v>1770</v>
      </c>
      <c r="N1626" s="41">
        <v>0.152</v>
      </c>
      <c r="O1626" s="41" t="s"/>
      <c r="P1626" s="41">
        <v>1</v>
      </c>
      <c r="Q1626" s="41">
        <v>1</v>
      </c>
      <c r="R1626" s="41" t="s">
        <v>16</v>
      </c>
      <c r="S1626" s="41" t="s">
        <v>17</v>
      </c>
      <c r="T1626" s="41" t="s">
        <v>1080</v>
      </c>
      <c r="U1626" s="69" t="s">
        <v>13</v>
      </c>
      <c r="V1626" s="69" t="s">
        <v>1083</v>
      </c>
      <c r="W1626" s="164">
        <v>46108</v>
      </c>
      <c r="X1626" s="26" t="s">
        <f>=M1626&amp;N1626&amp;P1626&amp;Q1626&amp;T1626&amp;V1626&amp;S1626</f>
        <v>1771</v>
      </c>
      <c r="Y1626" s="19" t="s"/>
      <c r="Z1626" s="19" t="s"/>
      <c r="AA1626" s="19" t="s"/>
      <c r="AB1626" s="19" t="s"/>
    </row>
    <row r="1627" spans="1:28" ht="14.4">
      <c r="A1627" s="4">
        <f>=H1627/G1627-1</f>
        <v>0.050314465408805</v>
      </c>
      <c r="B1627" s="20">
        <f>=F1627/12</f>
        <v>25.05</v>
      </c>
      <c r="C1627" s="20">
        <f>=J1627/3</f>
        <v>200.4</v>
      </c>
      <c r="D1627" s="20">
        <f>=K1627/3</f>
        <v>222.666666666667</v>
      </c>
      <c r="E1627" s="20">
        <f>=L1627/3</f>
        <v>233.8</v>
      </c>
      <c r="F1627" s="20">
        <f>=H1627*0.9</f>
        <v>300.6</v>
      </c>
      <c r="G1627" s="68">
        <v>318</v>
      </c>
      <c r="H1627" s="90">
        <v>334</v>
      </c>
      <c r="I1627" s="40">
        <f>=H1627*1.05</f>
        <v>350.7</v>
      </c>
      <c r="J1627" s="40">
        <f>=F1627*2</f>
        <v>601.2</v>
      </c>
      <c r="K1627" s="40">
        <f>=H1627*2</f>
        <v>668</v>
      </c>
      <c r="L1627" s="40">
        <f>=I1627*2</f>
        <v>701.4</v>
      </c>
      <c r="M1627" s="41" t="s">
        <v>1770</v>
      </c>
      <c r="N1627" s="41">
        <v>0.178</v>
      </c>
      <c r="O1627" s="41" t="s"/>
      <c r="P1627" s="41">
        <v>1</v>
      </c>
      <c r="Q1627" s="41">
        <v>1</v>
      </c>
      <c r="R1627" s="41" t="s">
        <v>16</v>
      </c>
      <c r="S1627" s="41" t="s">
        <v>17</v>
      </c>
      <c r="T1627" s="41" t="s">
        <v>1080</v>
      </c>
      <c r="U1627" s="69" t="s">
        <v>13</v>
      </c>
      <c r="V1627" s="69" t="s">
        <v>1083</v>
      </c>
      <c r="W1627" s="164">
        <v>46108</v>
      </c>
      <c r="X1627" s="26" t="s">
        <f>=M1627&amp;N1627&amp;P1627&amp;Q1627&amp;T1627&amp;V1627&amp;S1627</f>
        <v>1772</v>
      </c>
      <c r="Y1627" s="19" t="s"/>
      <c r="Z1627" s="19" t="s"/>
      <c r="AA1627" s="19" t="s"/>
      <c r="AB1627" s="19" t="s"/>
    </row>
    <row r="1628" spans="1:28" ht="14.4">
      <c r="A1628" s="4">
        <f>=H1628/G1628-1</f>
        <v>0.0496688741721854</v>
      </c>
      <c r="B1628" s="20">
        <f>=F1628/12</f>
        <v>23.775</v>
      </c>
      <c r="C1628" s="20">
        <f>=J1628/3</f>
        <v>190.2</v>
      </c>
      <c r="D1628" s="20">
        <f>=K1628/3</f>
        <v>211.333333333333</v>
      </c>
      <c r="E1628" s="20">
        <f>=L1628/3</f>
        <v>221.9</v>
      </c>
      <c r="F1628" s="20">
        <f>=H1628*0.9</f>
        <v>285.3</v>
      </c>
      <c r="G1628" s="68">
        <v>302</v>
      </c>
      <c r="H1628" s="90">
        <v>317</v>
      </c>
      <c r="I1628" s="40">
        <f>=H1628*1.05</f>
        <v>332.85</v>
      </c>
      <c r="J1628" s="40">
        <f>=F1628*2</f>
        <v>570.6</v>
      </c>
      <c r="K1628" s="40">
        <f>=H1628*2</f>
        <v>634</v>
      </c>
      <c r="L1628" s="40">
        <f>=I1628*2</f>
        <v>665.7</v>
      </c>
      <c r="M1628" s="41" t="s">
        <v>1770</v>
      </c>
      <c r="N1628" s="41">
        <v>0.102</v>
      </c>
      <c r="O1628" s="41" t="s"/>
      <c r="P1628" s="41">
        <v>1</v>
      </c>
      <c r="Q1628" s="41">
        <v>1</v>
      </c>
      <c r="R1628" s="41" t="s">
        <v>16</v>
      </c>
      <c r="S1628" s="41" t="s">
        <v>17</v>
      </c>
      <c r="T1628" s="41" t="s">
        <v>1078</v>
      </c>
      <c r="U1628" s="69" t="s">
        <v>13</v>
      </c>
      <c r="V1628" s="69" t="s">
        <v>1083</v>
      </c>
      <c r="W1628" s="164">
        <v>46108</v>
      </c>
      <c r="X1628" s="26" t="s">
        <f>=M1628&amp;N1628&amp;P1628&amp;Q1628&amp;T1628&amp;V1628&amp;S1628</f>
        <v>1773</v>
      </c>
      <c r="Y1628" s="19" t="s"/>
      <c r="Z1628" s="19" t="s"/>
      <c r="AA1628" s="19" t="s"/>
      <c r="AB1628" s="19" t="s"/>
    </row>
    <row r="1629" spans="1:28" ht="14.4">
      <c r="A1629" s="4">
        <f>=H1629/G1629-1</f>
        <v>0.0506024096385542</v>
      </c>
      <c r="B1629" s="20">
        <f>=F1629/12</f>
        <v>32.7</v>
      </c>
      <c r="C1629" s="20">
        <f>=J1629/3</f>
        <v>261.6</v>
      </c>
      <c r="D1629" s="20">
        <f>=K1629/3</f>
        <v>290.666666666667</v>
      </c>
      <c r="E1629" s="20">
        <f>=L1629/3</f>
        <v>305.2</v>
      </c>
      <c r="F1629" s="20">
        <f>=H1629*0.9</f>
        <v>392.4</v>
      </c>
      <c r="G1629" s="68">
        <v>415</v>
      </c>
      <c r="H1629" s="90">
        <v>436</v>
      </c>
      <c r="I1629" s="40">
        <f>=H1629*1.05</f>
        <v>457.8</v>
      </c>
      <c r="J1629" s="40">
        <f>=F1629*2</f>
        <v>784.8</v>
      </c>
      <c r="K1629" s="40">
        <f>=H1629*2</f>
        <v>872</v>
      </c>
      <c r="L1629" s="40">
        <f>=I1629*2</f>
        <v>915.6</v>
      </c>
      <c r="M1629" s="41" t="s">
        <v>1770</v>
      </c>
      <c r="N1629" s="41">
        <v>0.089</v>
      </c>
      <c r="O1629" s="41" t="s"/>
      <c r="P1629" s="41">
        <v>2</v>
      </c>
      <c r="Q1629" s="41">
        <v>2</v>
      </c>
      <c r="R1629" s="41" t="s">
        <v>16</v>
      </c>
      <c r="S1629" s="41" t="s">
        <v>17</v>
      </c>
      <c r="T1629" s="41" t="s">
        <v>1078</v>
      </c>
      <c r="U1629" s="69" t="s">
        <v>13</v>
      </c>
      <c r="V1629" s="69" t="s">
        <v>215</v>
      </c>
      <c r="W1629" s="164">
        <v>46108</v>
      </c>
      <c r="X1629" s="26" t="s">
        <f>=M1629&amp;N1629&amp;P1629&amp;Q1629&amp;T1629&amp;V1629&amp;S1629</f>
        <v>1774</v>
      </c>
      <c r="Y1629" s="19" t="s"/>
      <c r="Z1629" s="19" t="s"/>
      <c r="AA1629" s="19" t="s"/>
      <c r="AB1629" s="19" t="s"/>
    </row>
    <row r="1630" spans="1:28" ht="14.4">
      <c r="A1630" s="42">
        <f>=H1630/G1630-1</f>
        <v>0.0506329113924051</v>
      </c>
      <c r="B1630" s="43">
        <f>=F1630/12</f>
        <v>24.9</v>
      </c>
      <c r="C1630" s="43">
        <f>=J1630/3</f>
        <v>199.2</v>
      </c>
      <c r="D1630" s="43">
        <f>=K1630/3</f>
        <v>221.333333333333</v>
      </c>
      <c r="E1630" s="43">
        <f>=L1630/3</f>
        <v>232.4</v>
      </c>
      <c r="F1630" s="43">
        <f>=H1630*0.9</f>
        <v>298.8</v>
      </c>
      <c r="G1630" s="165">
        <v>316</v>
      </c>
      <c r="H1630" s="166">
        <v>332</v>
      </c>
      <c r="I1630" s="45">
        <f>=H1630*1.05</f>
        <v>348.6</v>
      </c>
      <c r="J1630" s="45">
        <f>=F1630*2</f>
        <v>597.6</v>
      </c>
      <c r="K1630" s="45">
        <f>=H1630*2</f>
        <v>664</v>
      </c>
      <c r="L1630" s="45">
        <f>=I1630*2</f>
        <v>697.2</v>
      </c>
      <c r="M1630" s="46" t="s">
        <v>1770</v>
      </c>
      <c r="N1630" s="46">
        <v>0.127</v>
      </c>
      <c r="O1630" s="46" t="s"/>
      <c r="P1630" s="46">
        <v>1</v>
      </c>
      <c r="Q1630" s="46">
        <v>1</v>
      </c>
      <c r="R1630" s="46" t="s">
        <v>16</v>
      </c>
      <c r="S1630" s="46" t="s">
        <v>17</v>
      </c>
      <c r="T1630" s="46" t="s">
        <v>1080</v>
      </c>
      <c r="U1630" s="167" t="s">
        <v>13</v>
      </c>
      <c r="V1630" s="167" t="s">
        <v>1083</v>
      </c>
      <c r="W1630" s="168">
        <v>46108</v>
      </c>
      <c r="X1630" s="18" t="s">
        <f>=M1630&amp;N1630&amp;P1630&amp;Q1630&amp;T1630&amp;V1630&amp;S1630</f>
        <v>1775</v>
      </c>
      <c r="Y1630" s="15" t="s"/>
      <c r="Z1630" s="15" t="s"/>
      <c r="AA1630" s="15" t="s"/>
      <c r="AB1630" s="15" t="s"/>
    </row>
    <row r="1631" spans="1:28" ht="14.4">
      <c r="A1631" s="4">
        <f>=H1631/G1631-1</f>
        <v>0.0506329113924051</v>
      </c>
      <c r="B1631" s="20">
        <f>=F1631/12</f>
        <v>24.9</v>
      </c>
      <c r="C1631" s="20">
        <f>=J1631/3</f>
        <v>199.2</v>
      </c>
      <c r="D1631" s="20">
        <f>=K1631/3</f>
        <v>221.333333333333</v>
      </c>
      <c r="E1631" s="20">
        <f>=L1631/3</f>
        <v>232.4</v>
      </c>
      <c r="F1631" s="20">
        <f>=H1631*0.9</f>
        <v>298.8</v>
      </c>
      <c r="G1631" s="68">
        <v>316</v>
      </c>
      <c r="H1631" s="90">
        <v>332</v>
      </c>
      <c r="I1631" s="40">
        <f>=H1631*1.05</f>
        <v>348.6</v>
      </c>
      <c r="J1631" s="40">
        <f>=F1631*2</f>
        <v>597.6</v>
      </c>
      <c r="K1631" s="40">
        <f>=H1631*2</f>
        <v>664</v>
      </c>
      <c r="L1631" s="40">
        <f>=I1631*2</f>
        <v>697.2</v>
      </c>
      <c r="M1631" s="41" t="s">
        <v>1770</v>
      </c>
      <c r="N1631" s="41">
        <v>0.127</v>
      </c>
      <c r="O1631" s="41" t="s"/>
      <c r="P1631" s="41">
        <v>1</v>
      </c>
      <c r="Q1631" s="41">
        <v>1</v>
      </c>
      <c r="R1631" s="41" t="s">
        <v>16</v>
      </c>
      <c r="S1631" s="41" t="s">
        <v>17</v>
      </c>
      <c r="T1631" s="41" t="s">
        <v>1078</v>
      </c>
      <c r="U1631" s="69" t="s">
        <v>13</v>
      </c>
      <c r="V1631" s="69" t="s">
        <v>1083</v>
      </c>
      <c r="W1631" s="164">
        <v>46108</v>
      </c>
      <c r="X1631" s="26" t="s">
        <f>=M1631&amp;N1631&amp;P1631&amp;Q1631&amp;T1631&amp;V1631&amp;S1631</f>
        <v>1776</v>
      </c>
      <c r="Y1631" s="19" t="s"/>
      <c r="Z1631" s="19" t="s"/>
      <c r="AA1631" s="19" t="s"/>
      <c r="AB1631" s="19" t="s"/>
    </row>
    <row r="1632" spans="1:28" ht="14.4">
      <c r="A1632" s="4">
        <f>=H1632/G1632-1</f>
        <v>0</v>
      </c>
      <c r="B1632" s="20">
        <f>=F1632/12</f>
        <v>86.25</v>
      </c>
      <c r="C1632" s="20">
        <f>=J1632/3</f>
        <v>690</v>
      </c>
      <c r="D1632" s="20">
        <f>=K1632/3</f>
        <v>766.666666666667</v>
      </c>
      <c r="E1632" s="20">
        <f>=L1632/3</f>
        <v>805</v>
      </c>
      <c r="F1632" s="20">
        <f>=H1632*0.9</f>
        <v>1035</v>
      </c>
      <c r="G1632" s="21">
        <v>1150</v>
      </c>
      <c r="H1632" s="39">
        <v>1150</v>
      </c>
      <c r="I1632" s="40">
        <f>=H1632*1.05</f>
        <v>1207.5</v>
      </c>
      <c r="J1632" s="40">
        <f>=F1632*2</f>
        <v>2070</v>
      </c>
      <c r="K1632" s="40">
        <f>=H1632*2</f>
        <v>2300</v>
      </c>
      <c r="L1632" s="40">
        <f>=I1632*2</f>
        <v>2415</v>
      </c>
      <c r="M1632" s="41" t="s">
        <v>1777</v>
      </c>
      <c r="N1632" s="41">
        <v>0.076</v>
      </c>
      <c r="O1632" s="41" t="s"/>
      <c r="P1632" s="41">
        <v>1</v>
      </c>
      <c r="Q1632" s="41">
        <v>1</v>
      </c>
      <c r="R1632" s="41" t="s">
        <v>16</v>
      </c>
      <c r="S1632" s="41" t="s">
        <v>17</v>
      </c>
      <c r="T1632" s="41" t="s">
        <v>1098</v>
      </c>
      <c r="U1632" s="16" t="s">
        <v>13</v>
      </c>
      <c r="V1632" s="16" t="s">
        <v>1557</v>
      </c>
      <c r="W1632" s="19" t="s"/>
      <c r="X1632" s="26" t="s">
        <f>=M1632&amp;N1632&amp;P1632&amp;Q1632&amp;T1632&amp;V1632&amp;S1632</f>
        <v>1778</v>
      </c>
      <c r="Y1632" s="19" t="s"/>
      <c r="Z1632" s="19" t="s"/>
      <c r="AA1632" s="19" t="s"/>
      <c r="AB1632" s="19" t="s"/>
    </row>
    <row r="1633" spans="1:28" ht="14.4">
      <c r="A1633" s="4">
        <f>=H1633/G1633-1</f>
        <v>0</v>
      </c>
      <c r="B1633" s="20">
        <f>=F1633/12</f>
        <v>96.75</v>
      </c>
      <c r="C1633" s="20">
        <f>=J1633/3</f>
        <v>774</v>
      </c>
      <c r="D1633" s="20">
        <f>=K1633/3</f>
        <v>860</v>
      </c>
      <c r="E1633" s="20">
        <f>=L1633/3</f>
        <v>903</v>
      </c>
      <c r="F1633" s="20">
        <f>=H1633*0.9</f>
        <v>1161</v>
      </c>
      <c r="G1633" s="21">
        <v>1290</v>
      </c>
      <c r="H1633" s="39">
        <v>1290</v>
      </c>
      <c r="I1633" s="40">
        <f>=H1633*1.05</f>
        <v>1354.5</v>
      </c>
      <c r="J1633" s="40">
        <f>=F1633*2</f>
        <v>2322</v>
      </c>
      <c r="K1633" s="40">
        <f>=H1633*2</f>
        <v>2580</v>
      </c>
      <c r="L1633" s="40">
        <f>=I1633*2</f>
        <v>2709</v>
      </c>
      <c r="M1633" s="41" t="s">
        <v>1777</v>
      </c>
      <c r="N1633" s="41">
        <v>0.089</v>
      </c>
      <c r="O1633" s="41" t="s"/>
      <c r="P1633" s="41">
        <v>1</v>
      </c>
      <c r="Q1633" s="41">
        <v>1</v>
      </c>
      <c r="R1633" s="41" t="s">
        <v>16</v>
      </c>
      <c r="S1633" s="41" t="s">
        <v>17</v>
      </c>
      <c r="T1633" s="41" t="s">
        <v>1098</v>
      </c>
      <c r="U1633" s="16" t="s">
        <v>13</v>
      </c>
      <c r="V1633" s="16" t="s">
        <v>1557</v>
      </c>
      <c r="W1633" s="19" t="s"/>
      <c r="X1633" s="26" t="s">
        <f>=M1633&amp;N1633&amp;P1633&amp;Q1633&amp;T1633&amp;V1633&amp;S1633</f>
        <v>1779</v>
      </c>
      <c r="Y1633" s="19" t="s"/>
      <c r="Z1633" s="19" t="s"/>
      <c r="AA1633" s="19" t="s"/>
      <c r="AB1633" s="19" t="s"/>
    </row>
    <row r="1634" spans="1:28" ht="14.4">
      <c r="A1634" s="4">
        <f>=H1634/G1634-1</f>
        <v>0</v>
      </c>
      <c r="B1634" s="20">
        <f>=F1634/12</f>
        <v>101.25</v>
      </c>
      <c r="C1634" s="20">
        <f>=J1634/3</f>
        <v>810</v>
      </c>
      <c r="D1634" s="20">
        <f>=K1634/3</f>
        <v>900</v>
      </c>
      <c r="E1634" s="20">
        <f>=L1634/3</f>
        <v>945</v>
      </c>
      <c r="F1634" s="20">
        <f>=H1634*0.9</f>
        <v>1215</v>
      </c>
      <c r="G1634" s="21">
        <v>1350</v>
      </c>
      <c r="H1634" s="39">
        <v>1350</v>
      </c>
      <c r="I1634" s="40">
        <f>=H1634*1.05</f>
        <v>1417.5</v>
      </c>
      <c r="J1634" s="40">
        <f>=F1634*2</f>
        <v>2430</v>
      </c>
      <c r="K1634" s="40">
        <f>=H1634*2</f>
        <v>2700</v>
      </c>
      <c r="L1634" s="40">
        <f>=I1634*2</f>
        <v>2835</v>
      </c>
      <c r="M1634" s="41" t="s">
        <v>1777</v>
      </c>
      <c r="N1634" s="41">
        <v>0.089</v>
      </c>
      <c r="O1634" s="41" t="s"/>
      <c r="P1634" s="41">
        <v>1</v>
      </c>
      <c r="Q1634" s="41">
        <v>1</v>
      </c>
      <c r="R1634" s="41" t="s">
        <v>16</v>
      </c>
      <c r="S1634" s="41" t="s">
        <v>17</v>
      </c>
      <c r="T1634" s="41" t="s">
        <v>1098</v>
      </c>
      <c r="U1634" s="16" t="s">
        <v>13</v>
      </c>
      <c r="V1634" s="16" t="s">
        <v>1780</v>
      </c>
      <c r="W1634" s="19" t="s"/>
      <c r="X1634" s="26" t="s">
        <f>=M1634&amp;N1634&amp;P1634&amp;Q1634&amp;T1634&amp;V1634&amp;S1634</f>
        <v>1781</v>
      </c>
      <c r="Y1634" s="19" t="s"/>
      <c r="Z1634" s="19" t="s"/>
      <c r="AA1634" s="19" t="s"/>
      <c r="AB1634" s="19" t="s"/>
    </row>
    <row r="1635" spans="1:28" ht="14.4">
      <c r="A1635" s="4">
        <f>=H1635/G1635-1</f>
        <v>0</v>
      </c>
      <c r="B1635" s="20">
        <f>=F1635/12</f>
        <v>116.25</v>
      </c>
      <c r="C1635" s="20">
        <f>=J1635/3</f>
        <v>930</v>
      </c>
      <c r="D1635" s="20">
        <f>=K1635/3</f>
        <v>1033.33333333333</v>
      </c>
      <c r="E1635" s="20">
        <f>=L1635/3</f>
        <v>1085</v>
      </c>
      <c r="F1635" s="20">
        <f>=H1635*0.9</f>
        <v>1395</v>
      </c>
      <c r="G1635" s="21">
        <v>1550</v>
      </c>
      <c r="H1635" s="39">
        <v>1550</v>
      </c>
      <c r="I1635" s="40">
        <f>=H1635*1.05</f>
        <v>1627.5</v>
      </c>
      <c r="J1635" s="40">
        <f>=F1635*2</f>
        <v>2790</v>
      </c>
      <c r="K1635" s="40">
        <f>=H1635*2</f>
        <v>3100</v>
      </c>
      <c r="L1635" s="40">
        <f>=I1635*2</f>
        <v>3255</v>
      </c>
      <c r="M1635" s="41" t="s">
        <v>1777</v>
      </c>
      <c r="N1635" s="41">
        <v>0.102</v>
      </c>
      <c r="O1635" s="41" t="s"/>
      <c r="P1635" s="41">
        <v>1</v>
      </c>
      <c r="Q1635" s="41">
        <v>1</v>
      </c>
      <c r="R1635" s="41" t="s">
        <v>16</v>
      </c>
      <c r="S1635" s="41" t="s">
        <v>17</v>
      </c>
      <c r="T1635" s="41" t="s">
        <v>1078</v>
      </c>
      <c r="U1635" s="16" t="s">
        <v>13</v>
      </c>
      <c r="V1635" s="16" t="s">
        <v>1557</v>
      </c>
      <c r="W1635" s="19" t="s"/>
      <c r="X1635" s="26" t="s">
        <f>=M1635&amp;N1635&amp;P1635&amp;Q1635&amp;T1635&amp;V1635&amp;S1635</f>
        <v>1782</v>
      </c>
      <c r="Y1635" s="19" t="s"/>
      <c r="Z1635" s="19" t="s"/>
      <c r="AA1635" s="19" t="s"/>
      <c r="AB1635" s="19" t="s"/>
    </row>
    <row r="1636" spans="1:28" ht="14.4">
      <c r="A1636" s="4">
        <f>=H1636/G1636-1</f>
        <v>0</v>
      </c>
      <c r="B1636" s="20">
        <f>=F1636/12</f>
        <v>120</v>
      </c>
      <c r="C1636" s="20">
        <f>=J1636/3</f>
        <v>960</v>
      </c>
      <c r="D1636" s="20">
        <f>=K1636/3</f>
        <v>1066.66666666667</v>
      </c>
      <c r="E1636" s="20">
        <f>=L1636/3</f>
        <v>1120</v>
      </c>
      <c r="F1636" s="20">
        <f>=H1636*0.9</f>
        <v>1440</v>
      </c>
      <c r="G1636" s="21">
        <v>1600</v>
      </c>
      <c r="H1636" s="39">
        <v>1600</v>
      </c>
      <c r="I1636" s="40">
        <f>=H1636*1.05</f>
        <v>1680</v>
      </c>
      <c r="J1636" s="40">
        <f>=F1636*2</f>
        <v>2880</v>
      </c>
      <c r="K1636" s="40">
        <f>=H1636*2</f>
        <v>3200</v>
      </c>
      <c r="L1636" s="40">
        <f>=I1636*2</f>
        <v>3360</v>
      </c>
      <c r="M1636" s="41" t="s">
        <v>1777</v>
      </c>
      <c r="N1636" s="41">
        <v>0.102</v>
      </c>
      <c r="O1636" s="41" t="s"/>
      <c r="P1636" s="41">
        <v>1</v>
      </c>
      <c r="Q1636" s="41">
        <v>1</v>
      </c>
      <c r="R1636" s="41" t="s">
        <v>16</v>
      </c>
      <c r="S1636" s="41" t="s">
        <v>17</v>
      </c>
      <c r="T1636" s="41" t="s">
        <v>1078</v>
      </c>
      <c r="U1636" s="16" t="s">
        <v>13</v>
      </c>
      <c r="V1636" s="16" t="s">
        <v>1780</v>
      </c>
      <c r="W1636" s="19" t="s"/>
      <c r="X1636" s="26" t="s">
        <f>=M1636&amp;N1636&amp;P1636&amp;Q1636&amp;T1636&amp;V1636&amp;S1636</f>
        <v>1783</v>
      </c>
      <c r="Y1636" s="19" t="s"/>
      <c r="Z1636" s="19" t="s"/>
      <c r="AA1636" s="19" t="s"/>
      <c r="AB1636" s="19" t="s"/>
    </row>
    <row r="1637" spans="1:28" ht="14.4">
      <c r="A1637" s="4">
        <f>=H1637/G1637-1</f>
        <v>0</v>
      </c>
      <c r="B1637" s="20">
        <f>=F1637/12</f>
        <v>126</v>
      </c>
      <c r="C1637" s="20">
        <f>=J1637/3</f>
        <v>1008</v>
      </c>
      <c r="D1637" s="20">
        <f>=K1637/3</f>
        <v>1120</v>
      </c>
      <c r="E1637" s="20">
        <f>=L1637/3</f>
        <v>1176</v>
      </c>
      <c r="F1637" s="20">
        <f>=H1637*0.9</f>
        <v>1512</v>
      </c>
      <c r="G1637" s="21">
        <v>1680</v>
      </c>
      <c r="H1637" s="39">
        <v>1680</v>
      </c>
      <c r="I1637" s="40">
        <f>=H1637*1.05</f>
        <v>1764</v>
      </c>
      <c r="J1637" s="40">
        <f>=F1637*2</f>
        <v>3024</v>
      </c>
      <c r="K1637" s="40">
        <f>=H1637*2</f>
        <v>3360</v>
      </c>
      <c r="L1637" s="40">
        <f>=I1637*2</f>
        <v>3528</v>
      </c>
      <c r="M1637" s="41" t="s">
        <v>1777</v>
      </c>
      <c r="N1637" s="41">
        <v>0.127</v>
      </c>
      <c r="O1637" s="41" t="s"/>
      <c r="P1637" s="41">
        <v>1</v>
      </c>
      <c r="Q1637" s="41">
        <v>1</v>
      </c>
      <c r="R1637" s="41" t="s">
        <v>16</v>
      </c>
      <c r="S1637" s="41" t="s">
        <v>17</v>
      </c>
      <c r="T1637" s="41" t="s">
        <v>1080</v>
      </c>
      <c r="U1637" s="16" t="s">
        <v>13</v>
      </c>
      <c r="V1637" s="16" t="s">
        <v>1557</v>
      </c>
      <c r="W1637" s="19" t="s"/>
      <c r="X1637" s="26" t="s">
        <f>=M1637&amp;N1637&amp;P1637&amp;Q1637&amp;T1637&amp;V1637&amp;S1637</f>
        <v>1784</v>
      </c>
      <c r="Y1637" s="19" t="s"/>
      <c r="Z1637" s="19" t="s"/>
      <c r="AA1637" s="19" t="s"/>
      <c r="AB1637" s="19" t="s"/>
    </row>
    <row r="1638" spans="1:28" ht="14.4">
      <c r="A1638" s="4">
        <f>=H1638/G1638-1</f>
        <v>0</v>
      </c>
      <c r="B1638" s="20">
        <f>=F1638/12</f>
        <v>129</v>
      </c>
      <c r="C1638" s="20">
        <f>=J1638/3</f>
        <v>1032</v>
      </c>
      <c r="D1638" s="20">
        <f>=K1638/3</f>
        <v>1146.66666666667</v>
      </c>
      <c r="E1638" s="20">
        <f>=L1638/3</f>
        <v>1204</v>
      </c>
      <c r="F1638" s="20">
        <f>=H1638*0.9</f>
        <v>1548</v>
      </c>
      <c r="G1638" s="21">
        <v>1720</v>
      </c>
      <c r="H1638" s="39">
        <v>1720</v>
      </c>
      <c r="I1638" s="40">
        <f>=H1638*1.05</f>
        <v>1806</v>
      </c>
      <c r="J1638" s="40">
        <f>=F1638*2</f>
        <v>3096</v>
      </c>
      <c r="K1638" s="40">
        <f>=H1638*2</f>
        <v>3440</v>
      </c>
      <c r="L1638" s="40">
        <f>=I1638*2</f>
        <v>3612</v>
      </c>
      <c r="M1638" s="41" t="s">
        <v>1777</v>
      </c>
      <c r="N1638" s="41">
        <v>0.127</v>
      </c>
      <c r="O1638" s="41" t="s"/>
      <c r="P1638" s="41">
        <v>1</v>
      </c>
      <c r="Q1638" s="41">
        <v>1</v>
      </c>
      <c r="R1638" s="41" t="s">
        <v>16</v>
      </c>
      <c r="S1638" s="41" t="s">
        <v>17</v>
      </c>
      <c r="T1638" s="41" t="s">
        <v>1080</v>
      </c>
      <c r="U1638" s="16" t="s">
        <v>13</v>
      </c>
      <c r="V1638" s="16" t="s">
        <v>1780</v>
      </c>
      <c r="W1638" s="19" t="s"/>
      <c r="X1638" s="26" t="s">
        <f>=M1638&amp;N1638&amp;P1638&amp;Q1638&amp;T1638&amp;V1638&amp;S1638</f>
        <v>1785</v>
      </c>
      <c r="Y1638" s="19" t="s"/>
      <c r="Z1638" s="19" t="s"/>
      <c r="AA1638" s="19" t="s"/>
      <c r="AB1638" s="19" t="s"/>
    </row>
    <row r="1639" spans="1:28" ht="14.4">
      <c r="A1639" s="4">
        <f>=H1639/G1639-1</f>
        <v>0</v>
      </c>
      <c r="B1639" s="20">
        <f>=F1639/12</f>
        <v>131.25</v>
      </c>
      <c r="C1639" s="20">
        <f>=J1639/3</f>
        <v>1050</v>
      </c>
      <c r="D1639" s="20">
        <f>=K1639/3</f>
        <v>1166.66666666667</v>
      </c>
      <c r="E1639" s="20">
        <f>=L1639/3</f>
        <v>1225</v>
      </c>
      <c r="F1639" s="20">
        <f>=H1639*0.9</f>
        <v>1575</v>
      </c>
      <c r="G1639" s="21">
        <v>1750</v>
      </c>
      <c r="H1639" s="39">
        <v>1750</v>
      </c>
      <c r="I1639" s="40">
        <f>=H1639*1.05</f>
        <v>1837.5</v>
      </c>
      <c r="J1639" s="40">
        <f>=F1639*2</f>
        <v>3150</v>
      </c>
      <c r="K1639" s="40">
        <f>=H1639*2</f>
        <v>3500</v>
      </c>
      <c r="L1639" s="40">
        <f>=I1639*2</f>
        <v>3675</v>
      </c>
      <c r="M1639" s="41" t="s">
        <v>1777</v>
      </c>
      <c r="N1639" s="41">
        <v>0.152</v>
      </c>
      <c r="O1639" s="41" t="s"/>
      <c r="P1639" s="41">
        <v>1</v>
      </c>
      <c r="Q1639" s="41">
        <v>1</v>
      </c>
      <c r="R1639" s="41" t="s">
        <v>16</v>
      </c>
      <c r="S1639" s="41" t="s">
        <v>17</v>
      </c>
      <c r="T1639" s="41" t="s">
        <v>1080</v>
      </c>
      <c r="U1639" s="16" t="s">
        <v>13</v>
      </c>
      <c r="V1639" s="16" t="s">
        <v>1557</v>
      </c>
      <c r="W1639" s="19" t="s"/>
      <c r="X1639" s="26" t="s">
        <f>=M1639&amp;N1639&amp;P1639&amp;Q1639&amp;T1639&amp;V1639&amp;S1639</f>
        <v>1786</v>
      </c>
      <c r="Y1639" s="19" t="s"/>
      <c r="Z1639" s="19" t="s"/>
      <c r="AA1639" s="19" t="s"/>
      <c r="AB1639" s="19" t="s"/>
    </row>
    <row r="1640" spans="1:28" ht="14.4">
      <c r="A1640" s="4">
        <f>=H1640/G1640-1</f>
        <v>0</v>
      </c>
      <c r="B1640" s="20">
        <f>=F1640/12</f>
        <v>135</v>
      </c>
      <c r="C1640" s="20">
        <f>=J1640/3</f>
        <v>1080</v>
      </c>
      <c r="D1640" s="20">
        <f>=K1640/3</f>
        <v>1200</v>
      </c>
      <c r="E1640" s="20">
        <f>=L1640/3</f>
        <v>1260</v>
      </c>
      <c r="F1640" s="20">
        <f>=H1640*0.9</f>
        <v>1620</v>
      </c>
      <c r="G1640" s="21">
        <v>1800</v>
      </c>
      <c r="H1640" s="39">
        <v>1800</v>
      </c>
      <c r="I1640" s="40">
        <f>=H1640*1.05</f>
        <v>1890</v>
      </c>
      <c r="J1640" s="40">
        <f>=F1640*2</f>
        <v>3240</v>
      </c>
      <c r="K1640" s="40">
        <f>=H1640*2</f>
        <v>3600</v>
      </c>
      <c r="L1640" s="40">
        <f>=I1640*2</f>
        <v>3780</v>
      </c>
      <c r="M1640" s="41" t="s">
        <v>1777</v>
      </c>
      <c r="N1640" s="41">
        <v>0.152</v>
      </c>
      <c r="O1640" s="41" t="s"/>
      <c r="P1640" s="41">
        <v>1</v>
      </c>
      <c r="Q1640" s="41">
        <v>1</v>
      </c>
      <c r="R1640" s="41" t="s">
        <v>16</v>
      </c>
      <c r="S1640" s="41" t="s">
        <v>17</v>
      </c>
      <c r="T1640" s="41" t="s">
        <v>1080</v>
      </c>
      <c r="U1640" s="16" t="s">
        <v>13</v>
      </c>
      <c r="V1640" s="16" t="s">
        <v>1780</v>
      </c>
      <c r="W1640" s="19" t="s"/>
      <c r="X1640" s="26" t="s">
        <f>=M1640&amp;N1640&amp;P1640&amp;Q1640&amp;T1640&amp;V1640&amp;S1640</f>
        <v>1787</v>
      </c>
      <c r="Y1640" s="19" t="s"/>
      <c r="Z1640" s="19" t="s"/>
      <c r="AA1640" s="19" t="s"/>
      <c r="AB1640" s="19" t="s"/>
    </row>
    <row r="1641" spans="1:28" ht="14.4">
      <c r="A1641" s="4">
        <f>=H1641/G1641-1</f>
        <v>0</v>
      </c>
      <c r="B1641" s="20">
        <f>=F1641/12</f>
        <v>31.425</v>
      </c>
      <c r="C1641" s="20">
        <f>=J1641/3</f>
        <v>251.4</v>
      </c>
      <c r="D1641" s="20">
        <f>=K1641/3</f>
        <v>279.333333333333</v>
      </c>
      <c r="E1641" s="20">
        <f>=L1641/3</f>
        <v>293.3</v>
      </c>
      <c r="F1641" s="20">
        <f>=H1641*0.9</f>
        <v>377.1</v>
      </c>
      <c r="G1641" s="169">
        <v>419</v>
      </c>
      <c r="H1641" s="170">
        <v>419</v>
      </c>
      <c r="I1641" s="40">
        <f>=H1641*1.05</f>
        <v>439.95</v>
      </c>
      <c r="J1641" s="40">
        <f>=F1641*2</f>
        <v>754.2</v>
      </c>
      <c r="K1641" s="40">
        <f>=H1641*2</f>
        <v>838</v>
      </c>
      <c r="L1641" s="40">
        <f>=I1641*2</f>
        <v>879.9</v>
      </c>
      <c r="M1641" s="41" t="s">
        <v>1788</v>
      </c>
      <c r="N1641" s="41">
        <v>0.076</v>
      </c>
      <c r="O1641" s="41" t="s"/>
      <c r="P1641" s="41" t="s">
        <v>21</v>
      </c>
      <c r="Q1641" s="41">
        <v>1</v>
      </c>
      <c r="R1641" s="41" t="s">
        <v>16</v>
      </c>
      <c r="S1641" s="41" t="s">
        <v>17</v>
      </c>
      <c r="T1641" s="41" t="s">
        <v>1098</v>
      </c>
      <c r="U1641" s="16" t="s">
        <v>13</v>
      </c>
      <c r="V1641" s="16" t="s">
        <v>1545</v>
      </c>
      <c r="W1641" s="19" t="s"/>
      <c r="X1641" s="37" t="s">
        <f>=M1641&amp;N1641&amp;P1641&amp;Q1641&amp;T1641&amp;V1641&amp;S1641</f>
        <v>1789</v>
      </c>
      <c r="Y1641" s="19" t="s"/>
      <c r="Z1641" s="19" t="s"/>
      <c r="AA1641" s="19" t="s"/>
      <c r="AB1641" s="19" t="s"/>
    </row>
    <row r="1642" spans="1:28" ht="14.4">
      <c r="A1642" s="4">
        <f>=H1642/G1642-1</f>
        <v>0</v>
      </c>
      <c r="B1642" s="20">
        <f>=F1642/12</f>
        <v>41.25</v>
      </c>
      <c r="C1642" s="20">
        <f>=J1642/3</f>
        <v>330</v>
      </c>
      <c r="D1642" s="20">
        <f>=K1642/3</f>
        <v>366.666666666667</v>
      </c>
      <c r="E1642" s="20">
        <f>=L1642/3</f>
        <v>385</v>
      </c>
      <c r="F1642" s="20">
        <f>=H1642*0.9</f>
        <v>495</v>
      </c>
      <c r="G1642" s="169">
        <v>550</v>
      </c>
      <c r="H1642" s="170">
        <v>550</v>
      </c>
      <c r="I1642" s="40">
        <f>=H1642*1.05</f>
        <v>577.5</v>
      </c>
      <c r="J1642" s="40">
        <f>=F1642*2</f>
        <v>990</v>
      </c>
      <c r="K1642" s="40">
        <f>=H1642*2</f>
        <v>1100</v>
      </c>
      <c r="L1642" s="40">
        <f>=I1642*2</f>
        <v>1155</v>
      </c>
      <c r="M1642" s="41" t="s">
        <v>1788</v>
      </c>
      <c r="N1642" s="41">
        <v>0.076</v>
      </c>
      <c r="O1642" s="41" t="s"/>
      <c r="P1642" s="41">
        <v>1</v>
      </c>
      <c r="Q1642" s="41">
        <v>2</v>
      </c>
      <c r="R1642" s="41" t="s">
        <v>16</v>
      </c>
      <c r="S1642" s="41" t="s">
        <v>17</v>
      </c>
      <c r="T1642" s="41" t="s">
        <v>1098</v>
      </c>
      <c r="U1642" s="16" t="s">
        <v>13</v>
      </c>
      <c r="V1642" s="16" t="s">
        <v>1677</v>
      </c>
      <c r="W1642" s="19" t="s"/>
      <c r="X1642" s="26" t="s">
        <f>=M1642&amp;N1642&amp;P1642&amp;Q1642&amp;T1642&amp;V1642&amp;S1642</f>
        <v>1790</v>
      </c>
      <c r="Y1642" s="19" t="s"/>
      <c r="Z1642" s="19" t="s"/>
      <c r="AA1642" s="19" t="s"/>
      <c r="AB1642" s="19" t="s"/>
    </row>
    <row r="1643" spans="1:28" ht="14.4">
      <c r="A1643" s="4">
        <f>=H1643/G1643-1</f>
        <v>0</v>
      </c>
      <c r="B1643" s="20">
        <f>=F1643/12</f>
        <v>47.4</v>
      </c>
      <c r="C1643" s="20">
        <f>=J1643/3</f>
        <v>379.2</v>
      </c>
      <c r="D1643" s="20">
        <f>=K1643/3</f>
        <v>421.333333333333</v>
      </c>
      <c r="E1643" s="20">
        <f>=L1643/3</f>
        <v>442.4</v>
      </c>
      <c r="F1643" s="20">
        <f>=H1643*0.9</f>
        <v>568.8</v>
      </c>
      <c r="G1643" s="157">
        <v>632</v>
      </c>
      <c r="H1643" s="171">
        <v>632</v>
      </c>
      <c r="I1643" s="40">
        <f>=H1643*1.05</f>
        <v>663.6</v>
      </c>
      <c r="J1643" s="40">
        <f>=F1643*2</f>
        <v>1137.6</v>
      </c>
      <c r="K1643" s="40">
        <f>=H1643*2</f>
        <v>1264</v>
      </c>
      <c r="L1643" s="40">
        <f>=I1643*2</f>
        <v>1327.2</v>
      </c>
      <c r="M1643" s="41" t="s">
        <v>1788</v>
      </c>
      <c r="N1643" s="41">
        <v>0.102</v>
      </c>
      <c r="O1643" s="41" t="s"/>
      <c r="P1643" s="41" t="s">
        <v>21</v>
      </c>
      <c r="Q1643" s="41">
        <v>1</v>
      </c>
      <c r="R1643" s="41" t="s">
        <v>16</v>
      </c>
      <c r="S1643" s="41" t="s">
        <v>17</v>
      </c>
      <c r="T1643" s="41" t="s">
        <v>1078</v>
      </c>
      <c r="U1643" s="16" t="s">
        <v>13</v>
      </c>
      <c r="V1643" s="16" t="s">
        <v>1545</v>
      </c>
      <c r="W1643" s="19" t="s"/>
      <c r="X1643" s="26" t="s">
        <f>=M1643&amp;N1643&amp;P1643&amp;Q1643&amp;T1643&amp;V1643&amp;S1643</f>
        <v>1791</v>
      </c>
      <c r="Y1643" s="19" t="s"/>
      <c r="Z1643" s="19" t="s"/>
      <c r="AA1643" s="19" t="s"/>
      <c r="AB1643" s="19" t="s"/>
    </row>
    <row r="1644" spans="1:28" ht="14.4">
      <c r="A1644" s="4">
        <f>=H1644/G1644-1</f>
        <v>0</v>
      </c>
      <c r="B1644" s="20">
        <f>=F1644/12</f>
        <v>41.025</v>
      </c>
      <c r="C1644" s="20">
        <f>=J1644/3</f>
        <v>328.2</v>
      </c>
      <c r="D1644" s="20">
        <f>=K1644/3</f>
        <v>364.666666666667</v>
      </c>
      <c r="E1644" s="20">
        <f>=L1644/3</f>
        <v>382.9</v>
      </c>
      <c r="F1644" s="20">
        <f>=H1644*0.9</f>
        <v>492.3</v>
      </c>
      <c r="G1644" s="157">
        <v>547</v>
      </c>
      <c r="H1644" s="171">
        <v>547</v>
      </c>
      <c r="I1644" s="40">
        <f>=H1644*1.05</f>
        <v>574.35</v>
      </c>
      <c r="J1644" s="40">
        <f>=F1644*2</f>
        <v>984.6</v>
      </c>
      <c r="K1644" s="40">
        <f>=H1644*2</f>
        <v>1094</v>
      </c>
      <c r="L1644" s="40">
        <f>=I1644*2</f>
        <v>1148.7</v>
      </c>
      <c r="M1644" s="41" t="s">
        <v>1788</v>
      </c>
      <c r="N1644" s="41">
        <v>0.102</v>
      </c>
      <c r="O1644" s="41" t="s"/>
      <c r="P1644" s="41">
        <v>1</v>
      </c>
      <c r="Q1644" s="41">
        <v>2</v>
      </c>
      <c r="R1644" s="41" t="s">
        <v>16</v>
      </c>
      <c r="S1644" s="41" t="s">
        <v>17</v>
      </c>
      <c r="T1644" s="41" t="s">
        <v>1078</v>
      </c>
      <c r="U1644" s="16" t="s">
        <v>13</v>
      </c>
      <c r="V1644" s="16" t="s">
        <v>1677</v>
      </c>
      <c r="W1644" s="19" t="s"/>
      <c r="X1644" s="26" t="s">
        <f>=M1644&amp;N1644&amp;P1644&amp;Q1644&amp;T1644&amp;V1644&amp;S1644</f>
        <v>1792</v>
      </c>
      <c r="Y1644" s="19" t="s"/>
      <c r="Z1644" s="19" t="s"/>
      <c r="AA1644" s="19" t="s"/>
      <c r="AB1644" s="19" t="s"/>
    </row>
    <row r="1645" spans="1:28" ht="14.4">
      <c r="A1645" s="4">
        <f>=H1645/G1645-1</f>
        <v>0</v>
      </c>
      <c r="B1645" s="20">
        <f>=F1645/12</f>
        <v>37.5</v>
      </c>
      <c r="C1645" s="20">
        <f>=J1645/3</f>
        <v>300</v>
      </c>
      <c r="D1645" s="20">
        <f>=K1645/3</f>
        <v>333.333333333333</v>
      </c>
      <c r="E1645" s="20">
        <f>=L1645/3</f>
        <v>350</v>
      </c>
      <c r="F1645" s="20">
        <f>=H1645*0.9</f>
        <v>450</v>
      </c>
      <c r="G1645" s="157">
        <v>500</v>
      </c>
      <c r="H1645" s="171">
        <v>500</v>
      </c>
      <c r="I1645" s="40">
        <f>=H1645*1.05</f>
        <v>525</v>
      </c>
      <c r="J1645" s="40">
        <f>=F1645*2</f>
        <v>900</v>
      </c>
      <c r="K1645" s="40">
        <f>=H1645*2</f>
        <v>1000</v>
      </c>
      <c r="L1645" s="40">
        <f>=I1645*2</f>
        <v>1050</v>
      </c>
      <c r="M1645" s="41" t="s">
        <v>1788</v>
      </c>
      <c r="N1645" s="41">
        <v>0.102</v>
      </c>
      <c r="O1645" s="41" t="s"/>
      <c r="P1645" s="41">
        <v>1</v>
      </c>
      <c r="Q1645" s="41">
        <v>1</v>
      </c>
      <c r="R1645" s="41" t="s">
        <v>16</v>
      </c>
      <c r="S1645" s="41" t="s">
        <v>17</v>
      </c>
      <c r="T1645" s="41" t="s">
        <v>1098</v>
      </c>
      <c r="U1645" s="16" t="s">
        <v>13</v>
      </c>
      <c r="V1645" s="16" t="s">
        <v>1545</v>
      </c>
      <c r="W1645" s="19" t="s"/>
      <c r="X1645" s="26" t="s">
        <f>=M1645&amp;N1645&amp;P1645&amp;Q1645&amp;T1645&amp;V1645&amp;S1645</f>
        <v>1793</v>
      </c>
      <c r="Y1645" s="19" t="s"/>
      <c r="Z1645" s="19" t="s"/>
      <c r="AA1645" s="19" t="s"/>
      <c r="AB1645" s="19" t="s"/>
    </row>
    <row r="1646" spans="1:28" ht="14.4">
      <c r="A1646" s="4">
        <f>=H1646/G1646-1</f>
        <v>0</v>
      </c>
      <c r="B1646" s="20">
        <f>=F1646/12</f>
        <v>52.725</v>
      </c>
      <c r="C1646" s="20">
        <f>=J1646/3</f>
        <v>421.8</v>
      </c>
      <c r="D1646" s="20">
        <f>=K1646/3</f>
        <v>468.666666666667</v>
      </c>
      <c r="E1646" s="20">
        <f>=L1646/3</f>
        <v>492.1</v>
      </c>
      <c r="F1646" s="20">
        <f>=H1646*0.9</f>
        <v>632.7</v>
      </c>
      <c r="G1646" s="157">
        <v>703</v>
      </c>
      <c r="H1646" s="171">
        <v>703</v>
      </c>
      <c r="I1646" s="40">
        <f>=H1646*1.05</f>
        <v>738.15</v>
      </c>
      <c r="J1646" s="40">
        <f>=F1646*2</f>
        <v>1265.4</v>
      </c>
      <c r="K1646" s="40">
        <f>=H1646*2</f>
        <v>1406</v>
      </c>
      <c r="L1646" s="40">
        <f>=I1646*2</f>
        <v>1476.3</v>
      </c>
      <c r="M1646" s="41" t="s">
        <v>1788</v>
      </c>
      <c r="N1646" s="41">
        <v>0.102</v>
      </c>
      <c r="O1646" s="41" t="s"/>
      <c r="P1646" s="41">
        <v>1</v>
      </c>
      <c r="Q1646" s="41">
        <v>2</v>
      </c>
      <c r="R1646" s="41" t="s">
        <v>16</v>
      </c>
      <c r="S1646" s="41" t="s">
        <v>17</v>
      </c>
      <c r="T1646" s="41" t="s">
        <v>1078</v>
      </c>
      <c r="U1646" s="16" t="s">
        <v>13</v>
      </c>
      <c r="V1646" s="16" t="s">
        <v>1545</v>
      </c>
      <c r="W1646" s="19" t="s"/>
      <c r="X1646" s="26" t="s">
        <f>=M1646&amp;N1646&amp;P1646&amp;Q1646&amp;T1646&amp;V1646&amp;S1646</f>
        <v>1794</v>
      </c>
      <c r="Y1646" s="19" t="s"/>
      <c r="Z1646" s="19" t="s"/>
      <c r="AA1646" s="19" t="s"/>
      <c r="AB1646" s="19" t="s"/>
    </row>
    <row r="1647" spans="1:28" ht="14.4">
      <c r="A1647" s="4">
        <f>=H1647/G1647-1</f>
        <v>0</v>
      </c>
      <c r="B1647" s="20">
        <f>=F1647/12</f>
        <v>48.525</v>
      </c>
      <c r="C1647" s="20">
        <f>=J1647/3</f>
        <v>388.2</v>
      </c>
      <c r="D1647" s="20">
        <f>=K1647/3</f>
        <v>431.333333333333</v>
      </c>
      <c r="E1647" s="20">
        <f>=L1647/3</f>
        <v>452.9</v>
      </c>
      <c r="F1647" s="20">
        <f>=H1647*0.9</f>
        <v>582.3</v>
      </c>
      <c r="G1647" s="169">
        <v>647</v>
      </c>
      <c r="H1647" s="170">
        <v>647</v>
      </c>
      <c r="I1647" s="40">
        <f>=H1647*1.05</f>
        <v>679.35</v>
      </c>
      <c r="J1647" s="40">
        <f>=F1647*2</f>
        <v>1164.6</v>
      </c>
      <c r="K1647" s="40">
        <f>=H1647*2</f>
        <v>1294</v>
      </c>
      <c r="L1647" s="40">
        <f>=I1647*2</f>
        <v>1358.7</v>
      </c>
      <c r="M1647" s="41" t="s">
        <v>1788</v>
      </c>
      <c r="N1647" s="41">
        <v>0.102</v>
      </c>
      <c r="O1647" s="41" t="s"/>
      <c r="P1647" s="41" t="s">
        <v>21</v>
      </c>
      <c r="Q1647" s="41">
        <v>1</v>
      </c>
      <c r="R1647" s="41" t="s">
        <v>16</v>
      </c>
      <c r="S1647" s="41" t="s">
        <v>17</v>
      </c>
      <c r="T1647" s="41" t="s">
        <v>1078</v>
      </c>
      <c r="U1647" s="16" t="s">
        <v>13</v>
      </c>
      <c r="V1647" s="16" t="s">
        <v>1545</v>
      </c>
      <c r="W1647" s="17" t="s">
        <v>352</v>
      </c>
      <c r="X1647" s="26" t="s">
        <f>=M1647&amp;N1647&amp;P1647&amp;Q1647&amp;T1647&amp;V1647&amp;S1647</f>
        <v>1791</v>
      </c>
      <c r="Y1647" s="19" t="s"/>
      <c r="Z1647" s="19" t="s"/>
      <c r="AA1647" s="19" t="s"/>
      <c r="AB1647" s="19" t="s"/>
    </row>
    <row r="1648" spans="1:28" ht="14.4">
      <c r="A1648" s="4">
        <f>=H1648/G1648-1</f>
        <v>0</v>
      </c>
      <c r="B1648" s="20">
        <f>=F1648/12</f>
        <v>41.025</v>
      </c>
      <c r="C1648" s="20">
        <f>=J1648/3</f>
        <v>328.2</v>
      </c>
      <c r="D1648" s="20">
        <f>=K1648/3</f>
        <v>364.666666666667</v>
      </c>
      <c r="E1648" s="20">
        <f>=L1648/3</f>
        <v>382.9</v>
      </c>
      <c r="F1648" s="20">
        <f>=H1648*0.9</f>
        <v>492.3</v>
      </c>
      <c r="G1648" s="157">
        <v>547</v>
      </c>
      <c r="H1648" s="171">
        <v>547</v>
      </c>
      <c r="I1648" s="40">
        <f>=H1648*1.05</f>
        <v>574.35</v>
      </c>
      <c r="J1648" s="40">
        <f>=F1648*2</f>
        <v>984.6</v>
      </c>
      <c r="K1648" s="40">
        <f>=H1648*2</f>
        <v>1094</v>
      </c>
      <c r="L1648" s="40">
        <f>=I1648*2</f>
        <v>1148.7</v>
      </c>
      <c r="M1648" s="41" t="s">
        <v>1788</v>
      </c>
      <c r="N1648" s="41">
        <v>0.102</v>
      </c>
      <c r="O1648" s="41" t="s"/>
      <c r="P1648" s="41">
        <v>1</v>
      </c>
      <c r="Q1648" s="41">
        <v>2</v>
      </c>
      <c r="R1648" s="41" t="s">
        <v>16</v>
      </c>
      <c r="S1648" s="41" t="s">
        <v>17</v>
      </c>
      <c r="T1648" s="41" t="s">
        <v>1078</v>
      </c>
      <c r="U1648" s="16" t="s">
        <v>13</v>
      </c>
      <c r="V1648" s="16" t="s">
        <v>1677</v>
      </c>
      <c r="W1648" s="19" t="s"/>
      <c r="X1648" s="26" t="s">
        <f>=M1648&amp;N1648&amp;P1648&amp;Q1648&amp;T1648&amp;V1648&amp;S1648</f>
        <v>1792</v>
      </c>
      <c r="Y1648" s="19" t="s"/>
      <c r="Z1648" s="19" t="s"/>
      <c r="AA1648" s="19" t="s"/>
      <c r="AB1648" s="19" t="s"/>
    </row>
    <row r="1649" spans="1:28" ht="14.4">
      <c r="A1649" s="4">
        <f>=H1649/G1649-1</f>
        <v>0</v>
      </c>
      <c r="B1649" s="20">
        <f>=F1649/12</f>
        <v>48.975</v>
      </c>
      <c r="C1649" s="20">
        <f>=J1649/3</f>
        <v>391.8</v>
      </c>
      <c r="D1649" s="20">
        <f>=K1649/3</f>
        <v>435.333333333333</v>
      </c>
      <c r="E1649" s="20">
        <f>=L1649/3</f>
        <v>457.1</v>
      </c>
      <c r="F1649" s="20">
        <f>=H1649*0.9</f>
        <v>587.7</v>
      </c>
      <c r="G1649" s="21">
        <v>653</v>
      </c>
      <c r="H1649" s="39">
        <v>653</v>
      </c>
      <c r="I1649" s="40">
        <f>=H1649*1.05</f>
        <v>685.65</v>
      </c>
      <c r="J1649" s="40">
        <f>=F1649*2</f>
        <v>1175.4</v>
      </c>
      <c r="K1649" s="40">
        <f>=H1649*2</f>
        <v>1306</v>
      </c>
      <c r="L1649" s="40">
        <f>=I1649*2</f>
        <v>1371.3</v>
      </c>
      <c r="M1649" s="133" t="s">
        <v>1788</v>
      </c>
      <c r="N1649" s="57">
        <v>0.076</v>
      </c>
      <c r="O1649" s="77" t="s"/>
      <c r="P1649" s="41">
        <v>1</v>
      </c>
      <c r="Q1649" s="41">
        <v>1</v>
      </c>
      <c r="R1649" s="41" t="s">
        <v>16</v>
      </c>
      <c r="S1649" s="41" t="s">
        <v>17</v>
      </c>
      <c r="T1649" s="133" t="s">
        <v>1098</v>
      </c>
      <c r="U1649" s="16" t="s">
        <v>13</v>
      </c>
      <c r="V1649" s="16" t="s">
        <v>1227</v>
      </c>
      <c r="W1649" s="19" t="s"/>
      <c r="X1649" s="26" t="s">
        <f>=M1649&amp;N1649&amp;P1649&amp;Q1649&amp;T1649&amp;V1649&amp;S1649</f>
        <v>1795</v>
      </c>
      <c r="Y1649" s="19" t="s"/>
      <c r="Z1649" s="19" t="s"/>
      <c r="AA1649" s="19" t="s"/>
      <c r="AB1649" s="19" t="s"/>
    </row>
    <row r="1650" spans="1:28" ht="14.4">
      <c r="A1650" s="4">
        <f>=H1650/G1650-1</f>
        <v>0</v>
      </c>
      <c r="B1650" s="20">
        <f>=F1650/12</f>
        <v>53.475</v>
      </c>
      <c r="C1650" s="20">
        <f>=J1650/3</f>
        <v>427.8</v>
      </c>
      <c r="D1650" s="20">
        <f>=K1650/3</f>
        <v>475.333333333333</v>
      </c>
      <c r="E1650" s="20">
        <f>=L1650/3</f>
        <v>499.1</v>
      </c>
      <c r="F1650" s="20">
        <f>=H1650*0.9</f>
        <v>641.7</v>
      </c>
      <c r="G1650" s="21">
        <v>713</v>
      </c>
      <c r="H1650" s="39">
        <v>713</v>
      </c>
      <c r="I1650" s="40">
        <f>=H1650*1.05</f>
        <v>748.65</v>
      </c>
      <c r="J1650" s="40">
        <f>=F1650*2</f>
        <v>1283.4</v>
      </c>
      <c r="K1650" s="40">
        <f>=H1650*2</f>
        <v>1426</v>
      </c>
      <c r="L1650" s="40">
        <f>=I1650*2</f>
        <v>1497.3</v>
      </c>
      <c r="M1650" s="133" t="s">
        <v>1788</v>
      </c>
      <c r="N1650" s="57">
        <v>0.076</v>
      </c>
      <c r="O1650" s="77" t="s"/>
      <c r="P1650" s="172" t="s">
        <v>1796</v>
      </c>
      <c r="Q1650" s="172" t="s">
        <v>1797</v>
      </c>
      <c r="R1650" s="41" t="s">
        <v>16</v>
      </c>
      <c r="S1650" s="41" t="s">
        <v>17</v>
      </c>
      <c r="T1650" s="133" t="s">
        <v>1098</v>
      </c>
      <c r="U1650" s="16" t="s">
        <v>13</v>
      </c>
      <c r="V1650" s="16" t="s">
        <v>1541</v>
      </c>
      <c r="W1650" s="19" t="s"/>
      <c r="X1650" s="26" t="s">
        <f>=M1650&amp;N1650&amp;P1650&amp;Q1650&amp;T1650&amp;V1650&amp;S1650</f>
        <v>1798</v>
      </c>
      <c r="Y1650" s="19" t="s"/>
      <c r="Z1650" s="19" t="s"/>
      <c r="AA1650" s="19" t="s"/>
      <c r="AB1650" s="19" t="s"/>
    </row>
    <row r="1651" spans="1:28" ht="14.4">
      <c r="A1651" s="4">
        <f>=H1651/G1651-1</f>
        <v>0</v>
      </c>
      <c r="B1651" s="20">
        <f>=F1651/12</f>
        <v>57.975</v>
      </c>
      <c r="C1651" s="20">
        <f>=J1651/3</f>
        <v>463.8</v>
      </c>
      <c r="D1651" s="20">
        <f>=K1651/3</f>
        <v>515.333333333334</v>
      </c>
      <c r="E1651" s="20">
        <f>=L1651/3</f>
        <v>541.1</v>
      </c>
      <c r="F1651" s="20">
        <f>=H1651*0.9</f>
        <v>695.7</v>
      </c>
      <c r="G1651" s="21">
        <v>773</v>
      </c>
      <c r="H1651" s="39">
        <v>773</v>
      </c>
      <c r="I1651" s="40">
        <f>=H1651*1.05</f>
        <v>811.65</v>
      </c>
      <c r="J1651" s="40">
        <f>=F1651*2</f>
        <v>1391.4</v>
      </c>
      <c r="K1651" s="40">
        <f>=H1651*2</f>
        <v>1546</v>
      </c>
      <c r="L1651" s="40">
        <f>=I1651*2</f>
        <v>1623.3</v>
      </c>
      <c r="M1651" s="133" t="s">
        <v>1788</v>
      </c>
      <c r="N1651" s="57">
        <v>0.076</v>
      </c>
      <c r="O1651" s="77" t="s"/>
      <c r="P1651" s="41">
        <v>2</v>
      </c>
      <c r="Q1651" s="41">
        <v>2</v>
      </c>
      <c r="R1651" s="41" t="s">
        <v>16</v>
      </c>
      <c r="S1651" s="41" t="s">
        <v>17</v>
      </c>
      <c r="T1651" s="133" t="s">
        <v>1098</v>
      </c>
      <c r="U1651" s="16" t="s">
        <v>13</v>
      </c>
      <c r="V1651" s="16" t="s">
        <v>215</v>
      </c>
      <c r="W1651" s="19" t="s"/>
      <c r="X1651" s="26" t="s">
        <f>=M1651&amp;N1651&amp;P1651&amp;Q1651&amp;T1651&amp;V1651&amp;S1651</f>
        <v>1799</v>
      </c>
      <c r="Y1651" s="19" t="s"/>
      <c r="Z1651" s="19" t="s"/>
      <c r="AA1651" s="19" t="s"/>
      <c r="AB1651" s="19" t="s"/>
    </row>
    <row r="1652" spans="1:28" ht="14.4">
      <c r="A1652" s="4">
        <f>=H1652/G1652-1</f>
        <v>0</v>
      </c>
      <c r="B1652" s="20">
        <f>=F1652/12</f>
        <v>60</v>
      </c>
      <c r="C1652" s="20">
        <f>=J1652/3</f>
        <v>480</v>
      </c>
      <c r="D1652" s="20">
        <f>=K1652/3</f>
        <v>533.333333333334</v>
      </c>
      <c r="E1652" s="20">
        <f>=L1652/3</f>
        <v>560</v>
      </c>
      <c r="F1652" s="20">
        <f>=H1652*0.9</f>
        <v>720</v>
      </c>
      <c r="G1652" s="21">
        <v>800</v>
      </c>
      <c r="H1652" s="39">
        <v>800</v>
      </c>
      <c r="I1652" s="40">
        <f>=H1652*1.05</f>
        <v>840</v>
      </c>
      <c r="J1652" s="40">
        <f>=F1652*2</f>
        <v>1440</v>
      </c>
      <c r="K1652" s="40">
        <f>=H1652*2</f>
        <v>1600</v>
      </c>
      <c r="L1652" s="40">
        <f>=I1652*2</f>
        <v>1680</v>
      </c>
      <c r="M1652" s="133" t="s">
        <v>1788</v>
      </c>
      <c r="N1652" s="41">
        <v>0.102</v>
      </c>
      <c r="O1652" s="77" t="s"/>
      <c r="P1652" s="172" t="s">
        <v>1796</v>
      </c>
      <c r="Q1652" s="172" t="s">
        <v>1796</v>
      </c>
      <c r="R1652" s="41" t="s">
        <v>16</v>
      </c>
      <c r="S1652" s="41" t="s">
        <v>17</v>
      </c>
      <c r="T1652" s="41" t="s">
        <v>1078</v>
      </c>
      <c r="U1652" s="16" t="s">
        <v>13</v>
      </c>
      <c r="V1652" s="16" t="s">
        <v>1557</v>
      </c>
      <c r="W1652" s="19" t="s"/>
      <c r="X1652" s="26" t="s">
        <f>=M1652&amp;N1652&amp;P1652&amp;Q1652&amp;T1652&amp;V1652&amp;S1652</f>
        <v>1800</v>
      </c>
      <c r="Y1652" s="19" t="s"/>
      <c r="Z1652" s="19" t="s"/>
      <c r="AA1652" s="19" t="s"/>
      <c r="AB1652" s="19" t="s"/>
    </row>
    <row r="1653" spans="1:28" ht="14.4">
      <c r="A1653" s="4">
        <f>=H1653/G1653-1</f>
        <v>0</v>
      </c>
      <c r="B1653" s="20">
        <f>=F1653/12</f>
        <v>69.75</v>
      </c>
      <c r="C1653" s="20">
        <f>=J1653/3</f>
        <v>558</v>
      </c>
      <c r="D1653" s="20">
        <f>=K1653/3</f>
        <v>620</v>
      </c>
      <c r="E1653" s="20">
        <f>=L1653/3</f>
        <v>651</v>
      </c>
      <c r="F1653" s="20">
        <f>=H1653*0.9</f>
        <v>837</v>
      </c>
      <c r="G1653" s="21">
        <v>930</v>
      </c>
      <c r="H1653" s="39">
        <v>930</v>
      </c>
      <c r="I1653" s="40">
        <f>=H1653*1.05</f>
        <v>976.5</v>
      </c>
      <c r="J1653" s="40">
        <f>=F1653*2</f>
        <v>1674</v>
      </c>
      <c r="K1653" s="40">
        <f>=H1653*2</f>
        <v>1860</v>
      </c>
      <c r="L1653" s="40">
        <f>=I1653*2</f>
        <v>1953</v>
      </c>
      <c r="M1653" s="133" t="s">
        <v>1788</v>
      </c>
      <c r="N1653" s="41">
        <v>0.127</v>
      </c>
      <c r="O1653" s="77" t="s"/>
      <c r="P1653" s="172" t="s">
        <v>1796</v>
      </c>
      <c r="Q1653" s="172" t="s">
        <v>1796</v>
      </c>
      <c r="R1653" s="41" t="s">
        <v>16</v>
      </c>
      <c r="S1653" s="41" t="s">
        <v>17</v>
      </c>
      <c r="T1653" s="133" t="s">
        <v>1080</v>
      </c>
      <c r="U1653" s="16" t="s">
        <v>13</v>
      </c>
      <c r="V1653" s="16" t="s">
        <v>1227</v>
      </c>
      <c r="W1653" s="19" t="s"/>
      <c r="X1653" s="26" t="s">
        <f>=M1653&amp;N1653&amp;P1653&amp;Q1653&amp;T1653&amp;V1653&amp;S1653</f>
        <v>1801</v>
      </c>
      <c r="Y1653" s="19" t="s"/>
      <c r="Z1653" s="19" t="s"/>
      <c r="AA1653" s="19" t="s"/>
      <c r="AB1653" s="19" t="s"/>
    </row>
    <row r="1654" spans="1:28" ht="14.4">
      <c r="A1654" s="4">
        <f>=H1654/G1654-1</f>
        <v>0</v>
      </c>
      <c r="B1654" s="20">
        <f>=F1654/12</f>
        <v>51</v>
      </c>
      <c r="C1654" s="20">
        <f>=J1654/3</f>
        <v>408</v>
      </c>
      <c r="D1654" s="20">
        <f>=K1654/3</f>
        <v>453.333333333333</v>
      </c>
      <c r="E1654" s="20">
        <f>=L1654/3</f>
        <v>476</v>
      </c>
      <c r="F1654" s="20">
        <f>=H1654*0.9</f>
        <v>612</v>
      </c>
      <c r="G1654" s="21">
        <v>680</v>
      </c>
      <c r="H1654" s="39">
        <v>680</v>
      </c>
      <c r="I1654" s="40">
        <f>=H1654*1.05</f>
        <v>714</v>
      </c>
      <c r="J1654" s="40">
        <f>=F1654*2</f>
        <v>1224</v>
      </c>
      <c r="K1654" s="40">
        <f>=H1654*2</f>
        <v>1360</v>
      </c>
      <c r="L1654" s="40">
        <f>=I1654*2</f>
        <v>1428</v>
      </c>
      <c r="M1654" s="133" t="s">
        <v>1788</v>
      </c>
      <c r="N1654" s="41">
        <v>0.127</v>
      </c>
      <c r="O1654" s="77" t="s"/>
      <c r="P1654" s="41" t="s">
        <v>21</v>
      </c>
      <c r="Q1654" s="41" t="s">
        <v>21</v>
      </c>
      <c r="R1654" s="41" t="s">
        <v>16</v>
      </c>
      <c r="S1654" s="41" t="s">
        <v>17</v>
      </c>
      <c r="T1654" s="133" t="s">
        <v>1080</v>
      </c>
      <c r="U1654" s="16" t="s">
        <v>13</v>
      </c>
      <c r="V1654" s="16" t="s">
        <v>1227</v>
      </c>
      <c r="W1654" s="19" t="s"/>
      <c r="X1654" s="26" t="s">
        <f>=M1654&amp;N1654&amp;P1654&amp;Q1654&amp;T1654&amp;V1654&amp;S1654</f>
        <v>1802</v>
      </c>
      <c r="Y1654" s="19" t="s"/>
      <c r="Z1654" s="19" t="s"/>
      <c r="AA1654" s="19" t="s"/>
      <c r="AB1654" s="19" t="s"/>
    </row>
    <row r="1655" spans="1:28" ht="14.4">
      <c r="A1655" s="4">
        <f>=H1655/G1655-1</f>
        <v>0</v>
      </c>
      <c r="B1655" s="20">
        <f>=F1655/12</f>
        <v>108.75</v>
      </c>
      <c r="C1655" s="20">
        <f>=J1655/3</f>
        <v>870</v>
      </c>
      <c r="D1655" s="20">
        <f>=K1655/3</f>
        <v>966.666666666667</v>
      </c>
      <c r="E1655" s="20">
        <f>=L1655/3</f>
        <v>1015</v>
      </c>
      <c r="F1655" s="20">
        <f>=H1655*0.9</f>
        <v>1305</v>
      </c>
      <c r="G1655" s="21">
        <v>1450</v>
      </c>
      <c r="H1655" s="39">
        <v>1450</v>
      </c>
      <c r="I1655" s="40">
        <f>=H1655*1.05</f>
        <v>1522.5</v>
      </c>
      <c r="J1655" s="40">
        <f>=F1655*2</f>
        <v>2610</v>
      </c>
      <c r="K1655" s="40">
        <f>=H1655*2</f>
        <v>2900</v>
      </c>
      <c r="L1655" s="40">
        <f>=I1655*2</f>
        <v>3045</v>
      </c>
      <c r="M1655" s="133" t="s">
        <v>1788</v>
      </c>
      <c r="N1655" s="41">
        <v>0.406</v>
      </c>
      <c r="O1655" s="77" t="s"/>
      <c r="P1655" s="172" t="s">
        <v>1796</v>
      </c>
      <c r="Q1655" s="172" t="s">
        <v>1796</v>
      </c>
      <c r="R1655" s="41" t="s">
        <v>16</v>
      </c>
      <c r="S1655" s="41" t="s">
        <v>17</v>
      </c>
      <c r="T1655" s="133" t="s">
        <v>1286</v>
      </c>
      <c r="U1655" s="16" t="s">
        <v>13</v>
      </c>
      <c r="V1655" s="16" t="s">
        <v>1557</v>
      </c>
      <c r="W1655" s="19" t="s"/>
      <c r="X1655" s="26" t="s">
        <f>=M1655&amp;N1655&amp;P1655&amp;Q1655&amp;T1655&amp;V1655&amp;S1655</f>
        <v>1803</v>
      </c>
      <c r="Y1655" s="19" t="s"/>
      <c r="Z1655" s="19" t="s"/>
      <c r="AA1655" s="19" t="s"/>
      <c r="AB1655" s="19" t="s"/>
    </row>
    <row r="1656" spans="1:29" s="276" customFormat="true" ht="14.4">
      <c r="A1656" s="173">
        <f>=H1656/G1656-1</f>
        <v>0.105882352941177</v>
      </c>
      <c r="B1656" s="20">
        <f>=F1656/12</f>
        <v>7.05</v>
      </c>
      <c r="C1656" s="20">
        <f>=J1656/3</f>
        <v>56.4</v>
      </c>
      <c r="D1656" s="20">
        <f>=K1656/3</f>
        <v>62.6666666666667</v>
      </c>
      <c r="E1656" s="20">
        <f>=L1656/3</f>
        <v>65.8</v>
      </c>
      <c r="F1656" s="20">
        <f>=H1656*0.9</f>
        <v>84.6</v>
      </c>
      <c r="G1656" s="174">
        <v>85</v>
      </c>
      <c r="H1656" s="39">
        <v>94</v>
      </c>
      <c r="I1656" s="40">
        <f>=H1656*1.05</f>
        <v>98.7</v>
      </c>
      <c r="J1656" s="40">
        <f>=F1656*2</f>
        <v>169.2</v>
      </c>
      <c r="K1656" s="40">
        <f>=H1656*2</f>
        <v>188</v>
      </c>
      <c r="L1656" s="40">
        <f>=I1656*2</f>
        <v>197.4</v>
      </c>
      <c r="M1656" s="41" t="s">
        <v>1804</v>
      </c>
      <c r="N1656" s="41">
        <v>0.08</v>
      </c>
      <c r="O1656" s="41" t="s"/>
      <c r="P1656" s="41" t="s">
        <v>21</v>
      </c>
      <c r="Q1656" s="41" t="s">
        <v>21</v>
      </c>
      <c r="R1656" s="41" t="s">
        <v>16</v>
      </c>
      <c r="S1656" s="41" t="s">
        <v>17</v>
      </c>
      <c r="T1656" s="41" t="s">
        <v>18</v>
      </c>
      <c r="U1656" s="175" t="s">
        <v>13</v>
      </c>
      <c r="V1656" s="175" t="s">
        <v>19</v>
      </c>
      <c r="W1656" s="176" t="s"/>
      <c r="X1656" s="26" t="s">
        <f>=M1656&amp;N1656&amp;P1656&amp;Q1656&amp;T1656&amp;V1656&amp;S1656</f>
        <v>1805</v>
      </c>
      <c r="Y1656" s="176" t="s"/>
      <c r="Z1656" s="176" t="s"/>
      <c r="AA1656" s="176" t="s"/>
      <c r="AB1656" s="176" t="s"/>
      <c r="AC1656" s="177" t="s"/>
    </row>
    <row r="1657" spans="1:28" ht="14.4">
      <c r="A1657" s="4">
        <f>=H1657/G1657-1</f>
        <v>0.103703703703704</v>
      </c>
      <c r="B1657" s="20">
        <f>=F1657/12</f>
        <v>11.175</v>
      </c>
      <c r="C1657" s="20">
        <f>=J1657/3</f>
        <v>89.4</v>
      </c>
      <c r="D1657" s="20">
        <f>=K1657/3</f>
        <v>99.3333333333333</v>
      </c>
      <c r="E1657" s="20">
        <f>=L1657/3</f>
        <v>104.3</v>
      </c>
      <c r="F1657" s="20">
        <f>=H1657*0.9</f>
        <v>134.1</v>
      </c>
      <c r="G1657" s="21">
        <v>135</v>
      </c>
      <c r="H1657" s="39">
        <v>149</v>
      </c>
      <c r="I1657" s="40">
        <f>=H1657*1.05</f>
        <v>156.45</v>
      </c>
      <c r="J1657" s="40">
        <f>=F1657*2</f>
        <v>268.2</v>
      </c>
      <c r="K1657" s="40">
        <f>=H1657*2</f>
        <v>298</v>
      </c>
      <c r="L1657" s="40">
        <f>=I1657*2</f>
        <v>312.9</v>
      </c>
      <c r="M1657" s="41" t="s">
        <v>1804</v>
      </c>
      <c r="N1657" s="41">
        <v>0.1</v>
      </c>
      <c r="O1657" s="41" t="s"/>
      <c r="P1657" s="41">
        <v>1</v>
      </c>
      <c r="Q1657" s="41">
        <v>1</v>
      </c>
      <c r="R1657" s="41" t="s">
        <v>16</v>
      </c>
      <c r="S1657" s="41" t="s">
        <v>17</v>
      </c>
      <c r="T1657" s="41" t="s">
        <v>23</v>
      </c>
      <c r="U1657" s="16" t="s">
        <v>13</v>
      </c>
      <c r="V1657" s="16" t="s">
        <v>19</v>
      </c>
      <c r="W1657" s="19" t="s"/>
      <c r="X1657" s="26" t="s">
        <f>=M1657&amp;N1657&amp;P1657&amp;Q1657&amp;T1657&amp;V1657&amp;S1657</f>
        <v>1806</v>
      </c>
      <c r="Y1657" s="19" t="s"/>
      <c r="Z1657" s="19" t="s"/>
      <c r="AA1657" s="19" t="s"/>
      <c r="AB1657" s="19" t="s"/>
    </row>
    <row r="1658" spans="1:28" ht="14.4">
      <c r="A1658" s="4">
        <f>=H1658/G1658-1</f>
        <v>0.103703703703704</v>
      </c>
      <c r="B1658" s="20">
        <f>=F1658/12</f>
        <v>11.175</v>
      </c>
      <c r="C1658" s="20">
        <f>=J1658/3</f>
        <v>89.4</v>
      </c>
      <c r="D1658" s="20">
        <f>=K1658/3</f>
        <v>99.3333333333333</v>
      </c>
      <c r="E1658" s="20">
        <f>=L1658/3</f>
        <v>104.3</v>
      </c>
      <c r="F1658" s="20">
        <f>=H1658*0.9</f>
        <v>134.1</v>
      </c>
      <c r="G1658" s="21">
        <v>135</v>
      </c>
      <c r="H1658" s="39">
        <v>149</v>
      </c>
      <c r="I1658" s="40">
        <f>=H1658*1.05</f>
        <v>156.45</v>
      </c>
      <c r="J1658" s="40">
        <f>=F1658*2</f>
        <v>268.2</v>
      </c>
      <c r="K1658" s="40">
        <f>=H1658*2</f>
        <v>298</v>
      </c>
      <c r="L1658" s="40">
        <f>=I1658*2</f>
        <v>312.9</v>
      </c>
      <c r="M1658" s="41" t="s">
        <v>1804</v>
      </c>
      <c r="N1658" s="41">
        <v>0.1</v>
      </c>
      <c r="O1658" s="41" t="s"/>
      <c r="P1658" s="41">
        <v>1</v>
      </c>
      <c r="Q1658" s="41">
        <v>1</v>
      </c>
      <c r="R1658" s="41" t="s">
        <v>16</v>
      </c>
      <c r="S1658" s="41" t="s">
        <v>17</v>
      </c>
      <c r="T1658" s="41" t="s">
        <v>25</v>
      </c>
      <c r="U1658" s="16" t="s">
        <v>13</v>
      </c>
      <c r="V1658" s="16" t="s">
        <v>19</v>
      </c>
      <c r="W1658" s="19" t="s"/>
      <c r="X1658" s="26" t="s">
        <f>=M1658&amp;N1658&amp;P1658&amp;Q1658&amp;T1658&amp;V1658&amp;S1658</f>
        <v>1807</v>
      </c>
      <c r="Y1658" s="19" t="s"/>
      <c r="Z1658" s="19" t="s"/>
      <c r="AA1658" s="19" t="s"/>
      <c r="AB1658" s="19" t="s"/>
    </row>
    <row r="1659" spans="1:28" ht="14.4">
      <c r="A1659" s="4">
        <f>=H1659/G1659-1</f>
        <v>0.0987654320987654</v>
      </c>
      <c r="B1659" s="20">
        <f>=F1659/12</f>
        <v>6.675</v>
      </c>
      <c r="C1659" s="20">
        <f>=J1659/3</f>
        <v>53.4</v>
      </c>
      <c r="D1659" s="20">
        <f>=K1659/3</f>
        <v>59.3333333333333</v>
      </c>
      <c r="E1659" s="20">
        <f>=L1659/3</f>
        <v>62.3</v>
      </c>
      <c r="F1659" s="20">
        <f>=H1659*0.9</f>
        <v>80.1</v>
      </c>
      <c r="G1659" s="21">
        <v>81</v>
      </c>
      <c r="H1659" s="39">
        <v>89</v>
      </c>
      <c r="I1659" s="40">
        <f>=H1659*1.05</f>
        <v>93.45</v>
      </c>
      <c r="J1659" s="40">
        <f>=F1659*2</f>
        <v>160.2</v>
      </c>
      <c r="K1659" s="40">
        <f>=H1659*2</f>
        <v>178</v>
      </c>
      <c r="L1659" s="40">
        <f>=I1659*2</f>
        <v>186.9</v>
      </c>
      <c r="M1659" s="41" t="s">
        <v>1804</v>
      </c>
      <c r="N1659" s="41">
        <v>0.1</v>
      </c>
      <c r="O1659" s="41" t="s"/>
      <c r="P1659" s="41" t="s">
        <v>21</v>
      </c>
      <c r="Q1659" s="41" t="s">
        <v>21</v>
      </c>
      <c r="R1659" s="41" t="s">
        <v>16</v>
      </c>
      <c r="S1659" s="41" t="s">
        <v>17</v>
      </c>
      <c r="T1659" s="41" t="s">
        <v>25</v>
      </c>
      <c r="U1659" s="16" t="s">
        <v>13</v>
      </c>
      <c r="V1659" s="16" t="s">
        <v>19</v>
      </c>
      <c r="W1659" s="19" t="s"/>
      <c r="X1659" s="26" t="s">
        <f>=M1659&amp;N1659&amp;P1659&amp;Q1659&amp;T1659&amp;V1659&amp;S1659</f>
        <v>1808</v>
      </c>
      <c r="Y1659" s="19" t="s"/>
      <c r="Z1659" s="19" t="s"/>
      <c r="AA1659" s="19" t="s"/>
      <c r="AB1659" s="19" t="s"/>
    </row>
    <row r="1660" spans="1:29" s="276" customFormat="true" ht="14.4">
      <c r="A1660" s="173">
        <f>=H1660/G1660-1</f>
        <v>0.0985915492957748</v>
      </c>
      <c r="B1660" s="20">
        <f>=F1660/12</f>
        <v>11.7</v>
      </c>
      <c r="C1660" s="20">
        <f>=J1660/3</f>
        <v>93.6</v>
      </c>
      <c r="D1660" s="20">
        <f>=K1660/3</f>
        <v>104</v>
      </c>
      <c r="E1660" s="20">
        <f>=L1660/3</f>
        <v>109.2</v>
      </c>
      <c r="F1660" s="20">
        <f>=H1660*0.9</f>
        <v>140.4</v>
      </c>
      <c r="G1660" s="174">
        <v>142</v>
      </c>
      <c r="H1660" s="39">
        <v>156</v>
      </c>
      <c r="I1660" s="40">
        <f>=H1660*1.05</f>
        <v>163.8</v>
      </c>
      <c r="J1660" s="40">
        <f>=F1660*2</f>
        <v>280.8</v>
      </c>
      <c r="K1660" s="40">
        <f>=H1660*2</f>
        <v>312</v>
      </c>
      <c r="L1660" s="40">
        <f>=I1660*2</f>
        <v>327.6</v>
      </c>
      <c r="M1660" s="41" t="s">
        <v>1804</v>
      </c>
      <c r="N1660" s="41">
        <v>0.13</v>
      </c>
      <c r="O1660" s="41" t="s"/>
      <c r="P1660" s="41">
        <v>1</v>
      </c>
      <c r="Q1660" s="41">
        <v>1</v>
      </c>
      <c r="R1660" s="41" t="s">
        <v>16</v>
      </c>
      <c r="S1660" s="41" t="s">
        <v>17</v>
      </c>
      <c r="T1660" s="41" t="s">
        <v>43</v>
      </c>
      <c r="U1660" s="175" t="s">
        <v>13</v>
      </c>
      <c r="V1660" s="175" t="s">
        <v>19</v>
      </c>
      <c r="W1660" s="176" t="s"/>
      <c r="X1660" s="26" t="s">
        <f>=M1660&amp;N1660&amp;P1660&amp;Q1660&amp;T1660&amp;V1660&amp;S1660</f>
        <v>1809</v>
      </c>
      <c r="Y1660" s="176" t="s"/>
      <c r="Z1660" s="176" t="s"/>
      <c r="AA1660" s="176" t="s"/>
      <c r="AB1660" s="176" t="s"/>
      <c r="AC1660" s="177" t="s"/>
    </row>
    <row r="1661" spans="1:28" ht="14.4">
      <c r="A1661" s="4">
        <f>=H1661/G1661-1</f>
        <v>0.0987654320987654</v>
      </c>
      <c r="B1661" s="20">
        <f>=F1661/12</f>
        <v>6.675</v>
      </c>
      <c r="C1661" s="20">
        <f>=J1661/3</f>
        <v>53.4</v>
      </c>
      <c r="D1661" s="20">
        <f>=K1661/3</f>
        <v>59.3333333333333</v>
      </c>
      <c r="E1661" s="20">
        <f>=L1661/3</f>
        <v>62.3</v>
      </c>
      <c r="F1661" s="20">
        <f>=H1661*0.9</f>
        <v>80.1</v>
      </c>
      <c r="G1661" s="21">
        <v>81</v>
      </c>
      <c r="H1661" s="39">
        <v>89</v>
      </c>
      <c r="I1661" s="40">
        <f>=H1661*1.05</f>
        <v>93.45</v>
      </c>
      <c r="J1661" s="40">
        <f>=F1661*2</f>
        <v>160.2</v>
      </c>
      <c r="K1661" s="40">
        <f>=H1661*2</f>
        <v>178</v>
      </c>
      <c r="L1661" s="40">
        <f>=I1661*2</f>
        <v>186.9</v>
      </c>
      <c r="M1661" s="41" t="s">
        <v>1804</v>
      </c>
      <c r="N1661" s="41">
        <v>0.13</v>
      </c>
      <c r="O1661" s="41" t="s"/>
      <c r="P1661" s="41" t="s">
        <v>21</v>
      </c>
      <c r="Q1661" s="41" t="s">
        <v>21</v>
      </c>
      <c r="R1661" s="41" t="s">
        <v>16</v>
      </c>
      <c r="S1661" s="41" t="s">
        <v>17</v>
      </c>
      <c r="T1661" s="41" t="s">
        <v>23</v>
      </c>
      <c r="U1661" s="16" t="s">
        <v>13</v>
      </c>
      <c r="V1661" s="16" t="s">
        <v>19</v>
      </c>
      <c r="W1661" s="19" t="s"/>
      <c r="X1661" s="26" t="s">
        <f>=M1661&amp;N1661&amp;P1661&amp;Q1661&amp;T1661&amp;V1661&amp;S1661</f>
        <v>1810</v>
      </c>
      <c r="Y1661" s="19" t="s"/>
      <c r="Z1661" s="19" t="s"/>
      <c r="AA1661" s="19" t="s"/>
      <c r="AB1661" s="19" t="s"/>
    </row>
    <row r="1662" spans="1:28" ht="14.4">
      <c r="A1662" s="4">
        <f>=H1662/G1662-1</f>
        <v>0.0964912280701755</v>
      </c>
      <c r="B1662" s="20">
        <f>=F1662/12</f>
        <v>9.375</v>
      </c>
      <c r="C1662" s="20">
        <f>=J1662/3</f>
        <v>75</v>
      </c>
      <c r="D1662" s="20">
        <f>=K1662/3</f>
        <v>83.3333333333333</v>
      </c>
      <c r="E1662" s="20">
        <f>=L1662/3</f>
        <v>87.5</v>
      </c>
      <c r="F1662" s="20">
        <f>=H1662*0.9</f>
        <v>112.5</v>
      </c>
      <c r="G1662" s="21">
        <v>114</v>
      </c>
      <c r="H1662" s="39">
        <v>125</v>
      </c>
      <c r="I1662" s="40">
        <f>=H1662*1.05</f>
        <v>131.25</v>
      </c>
      <c r="J1662" s="40">
        <f>=F1662*2</f>
        <v>225</v>
      </c>
      <c r="K1662" s="40">
        <f>=H1662*2</f>
        <v>250</v>
      </c>
      <c r="L1662" s="40">
        <f>=I1662*2</f>
        <v>262.5</v>
      </c>
      <c r="M1662" s="41" t="s">
        <v>1804</v>
      </c>
      <c r="N1662" s="41">
        <v>0.2</v>
      </c>
      <c r="O1662" s="41" t="s"/>
      <c r="P1662" s="41">
        <v>1</v>
      </c>
      <c r="Q1662" s="41">
        <v>1</v>
      </c>
      <c r="R1662" s="41" t="s">
        <v>16</v>
      </c>
      <c r="S1662" s="41" t="s">
        <v>17</v>
      </c>
      <c r="T1662" s="41" t="s">
        <v>46</v>
      </c>
      <c r="U1662" s="16" t="s">
        <v>13</v>
      </c>
      <c r="V1662" s="16" t="s">
        <v>19</v>
      </c>
      <c r="W1662" s="19" t="s"/>
      <c r="X1662" s="26" t="s">
        <f>=M1662&amp;N1662&amp;P1662&amp;Q1662&amp;T1662&amp;V1662&amp;S1662</f>
        <v>1811</v>
      </c>
      <c r="Y1662" s="19" t="s"/>
      <c r="Z1662" s="19" t="s"/>
      <c r="AA1662" s="19" t="s"/>
      <c r="AB1662" s="19" t="s"/>
    </row>
    <row r="1663" spans="1:28" ht="14.4">
      <c r="A1663" s="4">
        <f>=H1663/G1663-1</f>
        <v>0.1</v>
      </c>
      <c r="B1663" s="20">
        <f>=F1663/12</f>
        <v>10.725</v>
      </c>
      <c r="C1663" s="20">
        <f>=J1663/3</f>
        <v>85.8</v>
      </c>
      <c r="D1663" s="20">
        <f>=K1663/3</f>
        <v>95.3333333333333</v>
      </c>
      <c r="E1663" s="20">
        <f>=L1663/3</f>
        <v>100.1</v>
      </c>
      <c r="F1663" s="20">
        <f>=H1663*0.9</f>
        <v>128.7</v>
      </c>
      <c r="G1663" s="21">
        <v>130</v>
      </c>
      <c r="H1663" s="39">
        <v>143</v>
      </c>
      <c r="I1663" s="40">
        <f>=H1663*1.05</f>
        <v>150.15</v>
      </c>
      <c r="J1663" s="40">
        <f>=F1663*2</f>
        <v>257.4</v>
      </c>
      <c r="K1663" s="40">
        <f>=H1663*2</f>
        <v>286</v>
      </c>
      <c r="L1663" s="40">
        <f>=I1663*2</f>
        <v>300.3</v>
      </c>
      <c r="M1663" s="41" t="s">
        <v>1804</v>
      </c>
      <c r="N1663" s="41">
        <v>0.2</v>
      </c>
      <c r="O1663" s="41" t="s"/>
      <c r="P1663" s="41">
        <v>1</v>
      </c>
      <c r="Q1663" s="41">
        <v>1</v>
      </c>
      <c r="R1663" s="41" t="s">
        <v>16</v>
      </c>
      <c r="S1663" s="41" t="s">
        <v>17</v>
      </c>
      <c r="T1663" s="41" t="s">
        <v>1172</v>
      </c>
      <c r="U1663" s="16" t="s">
        <v>13</v>
      </c>
      <c r="V1663" s="16" t="s">
        <v>19</v>
      </c>
      <c r="W1663" s="19" t="s"/>
      <c r="X1663" s="26" t="s">
        <f>=M1663&amp;N1663&amp;P1663&amp;Q1663&amp;T1663&amp;V1663&amp;S1663</f>
        <v>1812</v>
      </c>
      <c r="Y1663" s="19" t="s"/>
      <c r="Z1663" s="19" t="s"/>
      <c r="AA1663" s="19" t="s"/>
      <c r="AB1663" s="19" t="s"/>
    </row>
    <row r="1664" spans="1:29" s="276" customFormat="true" ht="14.4">
      <c r="A1664" s="173">
        <f>=H1664/G1664-1</f>
        <v>0.1</v>
      </c>
      <c r="B1664" s="20">
        <f>=F1664/12</f>
        <v>11.55</v>
      </c>
      <c r="C1664" s="20">
        <f>=J1664/3</f>
        <v>92.4</v>
      </c>
      <c r="D1664" s="20">
        <f>=K1664/3</f>
        <v>102.666666666667</v>
      </c>
      <c r="E1664" s="20">
        <f>=L1664/3</f>
        <v>107.8</v>
      </c>
      <c r="F1664" s="20">
        <f>=H1664*0.9</f>
        <v>138.6</v>
      </c>
      <c r="G1664" s="174">
        <v>140</v>
      </c>
      <c r="H1664" s="39">
        <v>154</v>
      </c>
      <c r="I1664" s="40">
        <f>=H1664*1.05</f>
        <v>161.7</v>
      </c>
      <c r="J1664" s="40">
        <f>=F1664*2</f>
        <v>277.2</v>
      </c>
      <c r="K1664" s="40">
        <f>=H1664*2</f>
        <v>308</v>
      </c>
      <c r="L1664" s="40">
        <f>=I1664*2</f>
        <v>323.4</v>
      </c>
      <c r="M1664" s="41" t="s">
        <v>1804</v>
      </c>
      <c r="N1664" s="41">
        <v>0.23</v>
      </c>
      <c r="O1664" s="41" t="s"/>
      <c r="P1664" s="41">
        <v>1</v>
      </c>
      <c r="Q1664" s="41">
        <v>1</v>
      </c>
      <c r="R1664" s="41" t="s">
        <v>16</v>
      </c>
      <c r="S1664" s="41" t="s">
        <v>17</v>
      </c>
      <c r="T1664" s="41" t="s">
        <v>52</v>
      </c>
      <c r="U1664" s="175" t="s">
        <v>13</v>
      </c>
      <c r="V1664" s="175" t="s">
        <v>19</v>
      </c>
      <c r="W1664" s="176" t="s"/>
      <c r="X1664" s="26" t="s">
        <f>=M1664&amp;N1664&amp;P1664&amp;Q1664&amp;T1664&amp;V1664&amp;S1664</f>
        <v>1813</v>
      </c>
      <c r="Y1664" s="176" t="s"/>
      <c r="Z1664" s="176" t="s"/>
      <c r="AA1664" s="176" t="s"/>
      <c r="AB1664" s="176" t="s"/>
      <c r="AC1664" s="177" t="s"/>
    </row>
    <row r="1665" spans="1:28" ht="15.75" customHeight="true">
      <c r="A1665" s="4">
        <f>=H1665/G1665-1</f>
        <v>0.0984848484848484</v>
      </c>
      <c r="B1665" s="20">
        <f>=F1665/12</f>
        <v>21.75</v>
      </c>
      <c r="C1665" s="20">
        <f>=J1665/3</f>
        <v>174</v>
      </c>
      <c r="D1665" s="20">
        <f>=K1665/3</f>
        <v>193.333333333333</v>
      </c>
      <c r="E1665" s="20">
        <f>=L1665/3</f>
        <v>203</v>
      </c>
      <c r="F1665" s="20">
        <f>=H1665*0.9</f>
        <v>261</v>
      </c>
      <c r="G1665" s="21">
        <v>264</v>
      </c>
      <c r="H1665" s="39">
        <v>290</v>
      </c>
      <c r="I1665" s="40">
        <f>=H1665*1.05</f>
        <v>304.5</v>
      </c>
      <c r="J1665" s="40">
        <f>=F1665*2</f>
        <v>522</v>
      </c>
      <c r="K1665" s="40">
        <f>=H1665*2</f>
        <v>580</v>
      </c>
      <c r="L1665" s="40">
        <f>=I1665*2</f>
        <v>609</v>
      </c>
      <c r="M1665" s="41" t="s">
        <v>1804</v>
      </c>
      <c r="N1665" s="41">
        <v>0.23</v>
      </c>
      <c r="O1665" s="41" t="s"/>
      <c r="P1665" s="41">
        <v>2</v>
      </c>
      <c r="Q1665" s="41">
        <v>2</v>
      </c>
      <c r="R1665" s="41" t="s">
        <v>16</v>
      </c>
      <c r="S1665" s="41" t="s">
        <v>17</v>
      </c>
      <c r="T1665" s="41" t="s">
        <v>52</v>
      </c>
      <c r="U1665" s="16" t="s">
        <v>13</v>
      </c>
      <c r="V1665" s="16" t="s">
        <v>19</v>
      </c>
      <c r="W1665" s="19" t="s"/>
      <c r="X1665" s="26" t="s">
        <f>=M1665&amp;N1665&amp;P1665&amp;Q1665&amp;T1665&amp;V1665&amp;S1665</f>
        <v>1814</v>
      </c>
      <c r="Y1665" s="19" t="s"/>
      <c r="Z1665" s="19" t="s"/>
      <c r="AA1665" s="19" t="s"/>
      <c r="AB1665" s="19" t="s"/>
    </row>
    <row r="1666" spans="1:29" ht="13.5" customHeight="true">
      <c r="A1666" s="156">
        <v>46178</v>
      </c>
      <c r="B1666" s="79">
        <f>=F1666/12</f>
        <v>30</v>
      </c>
      <c r="C1666" s="79">
        <f>=J1666/3</f>
        <v>240</v>
      </c>
      <c r="D1666" s="79">
        <f>=K1666/3</f>
        <v>266.666666666667</v>
      </c>
      <c r="E1666" s="79">
        <f>=L1666/3</f>
        <v>280</v>
      </c>
      <c r="F1666" s="79">
        <f>=H1666*0.9</f>
        <v>360</v>
      </c>
      <c r="G1666" s="80">
        <v>264</v>
      </c>
      <c r="H1666" s="81">
        <v>400</v>
      </c>
      <c r="I1666" s="82">
        <f>=H1666*1.05</f>
        <v>420</v>
      </c>
      <c r="J1666" s="82">
        <f>=F1666*2</f>
        <v>720</v>
      </c>
      <c r="K1666" s="82">
        <f>=H1666*2</f>
        <v>800</v>
      </c>
      <c r="L1666" s="82">
        <f>=I1666*2</f>
        <v>840</v>
      </c>
      <c r="M1666" s="83" t="s">
        <v>1804</v>
      </c>
      <c r="N1666" s="83">
        <v>0.23</v>
      </c>
      <c r="O1666" s="84" t="s"/>
      <c r="P1666" s="83">
        <v>3</v>
      </c>
      <c r="Q1666" s="83">
        <v>3</v>
      </c>
      <c r="R1666" s="83" t="s">
        <v>16</v>
      </c>
      <c r="S1666" s="83" t="s">
        <v>17</v>
      </c>
      <c r="T1666" s="83" t="s">
        <v>52</v>
      </c>
      <c r="U1666" s="85" t="s">
        <v>13</v>
      </c>
      <c r="V1666" s="85" t="s">
        <v>19</v>
      </c>
      <c r="W1666" s="86" t="s"/>
      <c r="X1666" s="18" t="s">
        <f>=M1666&amp;N1666&amp;P1666&amp;Q1666&amp;T1666&amp;V1666&amp;S1666</f>
        <v>1815</v>
      </c>
      <c r="Y1666" s="86" t="s"/>
      <c r="Z1666" s="86" t="s"/>
      <c r="AA1666" s="86" t="s"/>
      <c r="AB1666" s="86" t="s"/>
      <c r="AC1666" s="87" t="s"/>
    </row>
    <row r="1667" spans="1:29" ht="13.5" customHeight="true">
      <c r="A1667" s="156">
        <v>46178</v>
      </c>
      <c r="B1667" s="79">
        <f>=F1667/12</f>
        <v>43.125</v>
      </c>
      <c r="C1667" s="79">
        <f>=J1667/3</f>
        <v>345</v>
      </c>
      <c r="D1667" s="79">
        <f>=K1667/3</f>
        <v>383.333333333333</v>
      </c>
      <c r="E1667" s="79">
        <f>=L1667/3</f>
        <v>402.5</v>
      </c>
      <c r="F1667" s="79">
        <f>=H1667*0.9</f>
        <v>517.5</v>
      </c>
      <c r="G1667" s="80">
        <v>264</v>
      </c>
      <c r="H1667" s="81">
        <v>575</v>
      </c>
      <c r="I1667" s="82">
        <f>=H1667*1.05</f>
        <v>603.75</v>
      </c>
      <c r="J1667" s="82">
        <f>=F1667*2</f>
        <v>1035</v>
      </c>
      <c r="K1667" s="82">
        <f>=H1667*2</f>
        <v>1150</v>
      </c>
      <c r="L1667" s="82">
        <f>=I1667*2</f>
        <v>1207.5</v>
      </c>
      <c r="M1667" s="83" t="s">
        <v>1804</v>
      </c>
      <c r="N1667" s="83">
        <v>0.23</v>
      </c>
      <c r="O1667" s="84" t="s"/>
      <c r="P1667" s="83">
        <v>4</v>
      </c>
      <c r="Q1667" s="83">
        <v>4</v>
      </c>
      <c r="R1667" s="83" t="s">
        <v>16</v>
      </c>
      <c r="S1667" s="83" t="s">
        <v>17</v>
      </c>
      <c r="T1667" s="83" t="s">
        <v>52</v>
      </c>
      <c r="U1667" s="85" t="s">
        <v>13</v>
      </c>
      <c r="V1667" s="85" t="s">
        <v>19</v>
      </c>
      <c r="W1667" s="86" t="s"/>
      <c r="X1667" s="18" t="s">
        <f>=M1667&amp;N1667&amp;P1667&amp;Q1667&amp;T1667&amp;V1667&amp;S1667</f>
        <v>1816</v>
      </c>
      <c r="Y1667" s="86" t="s"/>
      <c r="Z1667" s="86" t="s"/>
      <c r="AA1667" s="86" t="s"/>
      <c r="AB1667" s="86" t="s"/>
      <c r="AC1667" s="87" t="s"/>
    </row>
    <row r="1668" spans="1:28" ht="14.4">
      <c r="A1668" s="4">
        <f>=H1668/G1668-1</f>
        <v>0.0982142857142858</v>
      </c>
      <c r="B1668" s="20">
        <f>=F1668/12</f>
        <v>18.45</v>
      </c>
      <c r="C1668" s="20">
        <f>=J1668/3</f>
        <v>147.6</v>
      </c>
      <c r="D1668" s="20">
        <f>=K1668/3</f>
        <v>164</v>
      </c>
      <c r="E1668" s="20">
        <f>=L1668/3</f>
        <v>172.2</v>
      </c>
      <c r="F1668" s="20">
        <f>=H1668*0.9</f>
        <v>221.4</v>
      </c>
      <c r="G1668" s="21">
        <v>224</v>
      </c>
      <c r="H1668" s="39">
        <v>246</v>
      </c>
      <c r="I1668" s="40">
        <f>=H1668*1.05</f>
        <v>258.3</v>
      </c>
      <c r="J1668" s="40">
        <f>=F1668*2</f>
        <v>442.8</v>
      </c>
      <c r="K1668" s="40">
        <f>=H1668*2</f>
        <v>492</v>
      </c>
      <c r="L1668" s="40">
        <f>=I1668*2</f>
        <v>516.6</v>
      </c>
      <c r="M1668" s="41" t="s">
        <v>1804</v>
      </c>
      <c r="N1668" s="41">
        <v>0.26</v>
      </c>
      <c r="O1668" s="41" t="s"/>
      <c r="P1668" s="41">
        <v>2</v>
      </c>
      <c r="Q1668" s="41">
        <v>2</v>
      </c>
      <c r="R1668" s="41" t="s">
        <v>16</v>
      </c>
      <c r="S1668" s="41" t="s">
        <v>17</v>
      </c>
      <c r="T1668" s="41" t="s">
        <v>52</v>
      </c>
      <c r="U1668" s="16" t="s">
        <v>13</v>
      </c>
      <c r="V1668" s="16" t="s">
        <v>19</v>
      </c>
      <c r="W1668" s="19" t="s"/>
      <c r="X1668" s="26" t="s">
        <f>=M1668&amp;N1668&amp;P1668&amp;Q1668&amp;T1668&amp;V1668&amp;S1668</f>
        <v>1817</v>
      </c>
      <c r="Y1668" s="19" t="s"/>
      <c r="Z1668" s="19" t="s"/>
      <c r="AA1668" s="19" t="s"/>
      <c r="AB1668" s="19" t="s"/>
    </row>
    <row r="1669" spans="1:28" ht="14.4">
      <c r="A1669" s="4">
        <f>=H1669/G1669-1</f>
        <v>0.1</v>
      </c>
      <c r="B1669" s="20">
        <f>=F1669/12</f>
        <v>9.075</v>
      </c>
      <c r="C1669" s="20">
        <f>=J1669/3</f>
        <v>72.6</v>
      </c>
      <c r="D1669" s="20">
        <f>=K1669/3</f>
        <v>80.6666666666667</v>
      </c>
      <c r="E1669" s="20">
        <f>=L1669/3</f>
        <v>84.7</v>
      </c>
      <c r="F1669" s="20">
        <f>=H1669*0.9</f>
        <v>108.9</v>
      </c>
      <c r="G1669" s="21">
        <v>110</v>
      </c>
      <c r="H1669" s="39">
        <v>121</v>
      </c>
      <c r="I1669" s="40">
        <f>=H1669*1.05</f>
        <v>127.05</v>
      </c>
      <c r="J1669" s="40">
        <f>=F1669*2</f>
        <v>217.8</v>
      </c>
      <c r="K1669" s="40">
        <f>=H1669*2</f>
        <v>242</v>
      </c>
      <c r="L1669" s="40">
        <f>=I1669*2</f>
        <v>254.1</v>
      </c>
      <c r="M1669" s="41" t="s">
        <v>1804</v>
      </c>
      <c r="N1669" s="41">
        <v>0.3</v>
      </c>
      <c r="O1669" s="41" t="s"/>
      <c r="P1669" s="41" t="s">
        <v>21</v>
      </c>
      <c r="Q1669" s="41" t="s">
        <v>21</v>
      </c>
      <c r="R1669" s="41" t="s">
        <v>16</v>
      </c>
      <c r="S1669" s="41" t="s">
        <v>17</v>
      </c>
      <c r="T1669" s="41" t="s">
        <v>67</v>
      </c>
      <c r="U1669" s="16" t="s">
        <v>13</v>
      </c>
      <c r="V1669" s="16" t="s">
        <v>19</v>
      </c>
      <c r="W1669" s="19" t="s"/>
      <c r="X1669" s="26" t="s">
        <f>=M1669&amp;N1669&amp;P1669&amp;Q1669&amp;T1669&amp;V1669&amp;S1669</f>
        <v>1818</v>
      </c>
      <c r="Y1669" s="19" t="s"/>
      <c r="Z1669" s="19" t="s"/>
      <c r="AA1669" s="19" t="s"/>
      <c r="AB1669" s="19" t="s"/>
    </row>
    <row r="1670" spans="1:28" ht="14.4">
      <c r="A1670" s="4">
        <f>=H1670/G1670-1</f>
        <v>0.101960784313726</v>
      </c>
      <c r="B1670" s="20">
        <f>=F1670/12</f>
        <v>21.075</v>
      </c>
      <c r="C1670" s="20">
        <f>=J1670/3</f>
        <v>168.6</v>
      </c>
      <c r="D1670" s="20">
        <f>=K1670/3</f>
        <v>187.333333333333</v>
      </c>
      <c r="E1670" s="20">
        <f>=L1670/3</f>
        <v>196.7</v>
      </c>
      <c r="F1670" s="20">
        <f>=H1670*0.9</f>
        <v>252.9</v>
      </c>
      <c r="G1670" s="21">
        <v>255</v>
      </c>
      <c r="H1670" s="39">
        <v>281</v>
      </c>
      <c r="I1670" s="40">
        <f>=H1670*1.05</f>
        <v>295.05</v>
      </c>
      <c r="J1670" s="40">
        <f>=F1670*2</f>
        <v>505.8</v>
      </c>
      <c r="K1670" s="40">
        <f>=H1670*2</f>
        <v>562</v>
      </c>
      <c r="L1670" s="40">
        <f>=I1670*2</f>
        <v>590.1</v>
      </c>
      <c r="M1670" s="41" t="s">
        <v>1804</v>
      </c>
      <c r="N1670" s="41">
        <v>0.3</v>
      </c>
      <c r="O1670" s="41" t="s"/>
      <c r="P1670" s="41">
        <v>2</v>
      </c>
      <c r="Q1670" s="41">
        <v>2</v>
      </c>
      <c r="R1670" s="41" t="s">
        <v>16</v>
      </c>
      <c r="S1670" s="41" t="s">
        <v>17</v>
      </c>
      <c r="T1670" s="41" t="s">
        <v>1172</v>
      </c>
      <c r="U1670" s="16" t="s">
        <v>13</v>
      </c>
      <c r="V1670" s="16" t="s">
        <v>19</v>
      </c>
      <c r="W1670" s="19" t="s"/>
      <c r="X1670" s="26" t="s">
        <f>=M1670&amp;N1670&amp;P1670&amp;Q1670&amp;T1670&amp;V1670&amp;S1670</f>
        <v>1819</v>
      </c>
      <c r="Y1670" s="19" t="s"/>
      <c r="Z1670" s="19" t="s"/>
      <c r="AA1670" s="19" t="s"/>
      <c r="AB1670" s="19" t="s"/>
    </row>
    <row r="1671" spans="1:28" ht="14.4">
      <c r="A1671" s="4">
        <f>=H1671/G1671-1</f>
        <v>0.102040816326531</v>
      </c>
      <c r="B1671" s="20">
        <f>=F1671/12</f>
        <v>8.1</v>
      </c>
      <c r="C1671" s="20">
        <f>=J1671/3</f>
        <v>64.8</v>
      </c>
      <c r="D1671" s="20">
        <f>=K1671/3</f>
        <v>72</v>
      </c>
      <c r="E1671" s="20">
        <f>=L1671/3</f>
        <v>75.6</v>
      </c>
      <c r="F1671" s="20">
        <f>=H1671*0.9</f>
        <v>97.2</v>
      </c>
      <c r="G1671" s="21">
        <v>98</v>
      </c>
      <c r="H1671" s="39">
        <v>108</v>
      </c>
      <c r="I1671" s="40">
        <f>=H1671*1.05</f>
        <v>113.4</v>
      </c>
      <c r="J1671" s="40">
        <f>=F1671*2</f>
        <v>194.4</v>
      </c>
      <c r="K1671" s="40">
        <f>=H1671*2</f>
        <v>216</v>
      </c>
      <c r="L1671" s="40">
        <f>=I1671*2</f>
        <v>226.8</v>
      </c>
      <c r="M1671" s="41" t="s">
        <v>1804</v>
      </c>
      <c r="N1671" s="41">
        <v>0.33</v>
      </c>
      <c r="O1671" s="41" t="s"/>
      <c r="P1671" s="41" t="s">
        <v>21</v>
      </c>
      <c r="Q1671" s="41" t="s">
        <v>21</v>
      </c>
      <c r="R1671" s="41" t="s">
        <v>16</v>
      </c>
      <c r="S1671" s="41" t="s">
        <v>17</v>
      </c>
      <c r="T1671" s="41" t="s">
        <v>67</v>
      </c>
      <c r="U1671" s="16" t="s">
        <v>13</v>
      </c>
      <c r="V1671" s="16" t="s">
        <v>19</v>
      </c>
      <c r="W1671" s="17" t="s">
        <v>352</v>
      </c>
      <c r="X1671" s="26" t="s">
        <f>=M1671&amp;N1671&amp;P1671&amp;Q1671&amp;T1671&amp;V1671&amp;S1671</f>
        <v>1820</v>
      </c>
      <c r="Y1671" s="19" t="s"/>
      <c r="Z1671" s="19" t="s"/>
      <c r="AA1671" s="19" t="s"/>
      <c r="AB1671" s="19" t="s"/>
    </row>
    <row r="1672" spans="1:28" ht="14.4">
      <c r="A1672" s="4">
        <f>=H1672/G1672-1</f>
        <v>0</v>
      </c>
      <c r="B1672" s="20">
        <f>=F1672/12</f>
        <v>12.75</v>
      </c>
      <c r="C1672" s="20">
        <f>=J1672/3</f>
        <v>102</v>
      </c>
      <c r="D1672" s="20">
        <f>=K1672/3</f>
        <v>113.333333333333</v>
      </c>
      <c r="E1672" s="20">
        <f>=L1672/3</f>
        <v>119</v>
      </c>
      <c r="F1672" s="20">
        <f>=H1672*0.9</f>
        <v>153</v>
      </c>
      <c r="G1672" s="21">
        <v>170</v>
      </c>
      <c r="H1672" s="39">
        <v>170</v>
      </c>
      <c r="I1672" s="40">
        <f>=H1672*1.05</f>
        <v>178.5</v>
      </c>
      <c r="J1672" s="40">
        <f>=F1672*2</f>
        <v>306</v>
      </c>
      <c r="K1672" s="40">
        <f>=H1672*2</f>
        <v>340</v>
      </c>
      <c r="L1672" s="40">
        <f>=I1672*2</f>
        <v>357</v>
      </c>
      <c r="M1672" s="41" t="s">
        <v>1804</v>
      </c>
      <c r="N1672" s="41">
        <v>0.33</v>
      </c>
      <c r="O1672" s="41" t="s"/>
      <c r="P1672" s="41">
        <v>1</v>
      </c>
      <c r="Q1672" s="41">
        <v>1</v>
      </c>
      <c r="R1672" s="41" t="s">
        <v>16</v>
      </c>
      <c r="S1672" s="41" t="s">
        <v>17</v>
      </c>
      <c r="T1672" s="41" t="s">
        <v>67</v>
      </c>
      <c r="U1672" s="16" t="s">
        <v>13</v>
      </c>
      <c r="V1672" s="16" t="s">
        <v>19</v>
      </c>
      <c r="W1672" s="17" t="s">
        <v>352</v>
      </c>
      <c r="X1672" s="26" t="s">
        <f>=M1672&amp;N1672&amp;P1672&amp;Q1672&amp;T1672&amp;V1672&amp;S1672</f>
        <v>1821</v>
      </c>
      <c r="Y1672" s="19" t="s"/>
      <c r="Z1672" s="19" t="s"/>
      <c r="AA1672" s="19" t="s"/>
      <c r="AB1672" s="19" t="s"/>
    </row>
    <row r="1673" spans="1:29" ht="14.4">
      <c r="A1673" s="49">
        <v>46181</v>
      </c>
      <c r="B1673" s="43">
        <f>=F1673/12</f>
        <v>8.85</v>
      </c>
      <c r="C1673" s="43">
        <f>=J1673/3</f>
        <v>70.8</v>
      </c>
      <c r="D1673" s="43">
        <f>=K1673/3</f>
        <v>78.6666666666667</v>
      </c>
      <c r="E1673" s="43">
        <f>=L1673/3</f>
        <v>82.6</v>
      </c>
      <c r="F1673" s="43">
        <f>=H1673*0.9</f>
        <v>106.2</v>
      </c>
      <c r="G1673" s="27">
        <v>239</v>
      </c>
      <c r="H1673" s="44">
        <v>118</v>
      </c>
      <c r="I1673" s="45">
        <f>=H1673*1.05</f>
        <v>123.9</v>
      </c>
      <c r="J1673" s="45">
        <f>=F1673*2</f>
        <v>212.4</v>
      </c>
      <c r="K1673" s="45">
        <f>=H1673*2</f>
        <v>236</v>
      </c>
      <c r="L1673" s="45">
        <f>=I1673*2</f>
        <v>247.8</v>
      </c>
      <c r="M1673" s="46" t="s">
        <v>1804</v>
      </c>
      <c r="N1673" s="46">
        <v>0.36</v>
      </c>
      <c r="O1673" s="46" t="s"/>
      <c r="P1673" s="12" t="s">
        <v>21</v>
      </c>
      <c r="Q1673" s="12" t="s">
        <v>21</v>
      </c>
      <c r="R1673" s="46" t="s">
        <v>16</v>
      </c>
      <c r="S1673" s="46" t="s">
        <v>17</v>
      </c>
      <c r="T1673" s="46" t="s">
        <v>76</v>
      </c>
      <c r="U1673" s="13" t="s">
        <v>13</v>
      </c>
      <c r="V1673" s="13" t="s">
        <v>19</v>
      </c>
      <c r="W1673" s="15" t="s"/>
      <c r="X1673" s="18" t="s">
        <f>=M1673&amp;N1673&amp;P1673&amp;Q1673&amp;T1673&amp;V1673&amp;S1673</f>
        <v>1822</v>
      </c>
      <c r="Y1673" s="15" t="s"/>
      <c r="Z1673" s="15" t="s"/>
      <c r="AA1673" s="15" t="s"/>
      <c r="AB1673" s="15" t="s"/>
      <c r="AC1673" s="48" t="s"/>
    </row>
    <row r="1674" spans="1:28" ht="14.4">
      <c r="A1674" s="4">
        <f>=H1674/G1674-1</f>
        <v>0.100418410041841</v>
      </c>
      <c r="B1674" s="20">
        <f>=F1674/12</f>
        <v>19.725</v>
      </c>
      <c r="C1674" s="20">
        <f>=J1674/3</f>
        <v>157.8</v>
      </c>
      <c r="D1674" s="20">
        <f>=K1674/3</f>
        <v>175.333333333333</v>
      </c>
      <c r="E1674" s="20">
        <f>=L1674/3</f>
        <v>184.1</v>
      </c>
      <c r="F1674" s="20">
        <f>=H1674*0.9</f>
        <v>236.7</v>
      </c>
      <c r="G1674" s="21">
        <v>239</v>
      </c>
      <c r="H1674" s="39">
        <v>263</v>
      </c>
      <c r="I1674" s="40">
        <f>=H1674*1.05</f>
        <v>276.15</v>
      </c>
      <c r="J1674" s="40">
        <f>=F1674*2</f>
        <v>473.4</v>
      </c>
      <c r="K1674" s="40">
        <f>=H1674*2</f>
        <v>526</v>
      </c>
      <c r="L1674" s="40">
        <f>=I1674*2</f>
        <v>552.3</v>
      </c>
      <c r="M1674" s="41" t="s">
        <v>1804</v>
      </c>
      <c r="N1674" s="41">
        <v>0.36</v>
      </c>
      <c r="O1674" s="41" t="s"/>
      <c r="P1674" s="41">
        <v>2</v>
      </c>
      <c r="Q1674" s="41">
        <v>2</v>
      </c>
      <c r="R1674" s="41" t="s">
        <v>16</v>
      </c>
      <c r="S1674" s="41" t="s">
        <v>17</v>
      </c>
      <c r="T1674" s="41" t="s">
        <v>76</v>
      </c>
      <c r="U1674" s="16" t="s">
        <v>13</v>
      </c>
      <c r="V1674" s="16" t="s">
        <v>19</v>
      </c>
      <c r="W1674" s="19" t="s"/>
      <c r="X1674" s="26" t="s">
        <f>=M1674&amp;N1674&amp;P1674&amp;Q1674&amp;T1674&amp;V1674&amp;S1674</f>
        <v>1823</v>
      </c>
      <c r="Y1674" s="19" t="s"/>
      <c r="Z1674" s="19" t="s"/>
      <c r="AA1674" s="19" t="s"/>
      <c r="AB1674" s="19" t="s"/>
    </row>
    <row r="1675" spans="1:28" ht="14.4">
      <c r="A1675" s="4">
        <f>=H1675/G1675-1</f>
        <v>0.0977443609022557</v>
      </c>
      <c r="B1675" s="20">
        <f>=F1675/12</f>
        <v>10.95</v>
      </c>
      <c r="C1675" s="20">
        <f>=J1675/3</f>
        <v>87.6</v>
      </c>
      <c r="D1675" s="20">
        <f>=K1675/3</f>
        <v>97.3333333333333</v>
      </c>
      <c r="E1675" s="20">
        <f>=L1675/3</f>
        <v>102.2</v>
      </c>
      <c r="F1675" s="20">
        <f>=H1675*0.9</f>
        <v>131.4</v>
      </c>
      <c r="G1675" s="21">
        <v>133</v>
      </c>
      <c r="H1675" s="39">
        <v>146</v>
      </c>
      <c r="I1675" s="40">
        <f>=H1675*1.05</f>
        <v>153.3</v>
      </c>
      <c r="J1675" s="40">
        <f>=F1675*2</f>
        <v>262.8</v>
      </c>
      <c r="K1675" s="40">
        <f>=H1675*2</f>
        <v>292</v>
      </c>
      <c r="L1675" s="40">
        <f>=I1675*2</f>
        <v>306.6</v>
      </c>
      <c r="M1675" s="41" t="s">
        <v>1804</v>
      </c>
      <c r="N1675" s="41">
        <v>0.38</v>
      </c>
      <c r="O1675" s="41" t="s"/>
      <c r="P1675" s="41">
        <v>1</v>
      </c>
      <c r="Q1675" s="41">
        <v>1</v>
      </c>
      <c r="R1675" s="41" t="s">
        <v>16</v>
      </c>
      <c r="S1675" s="41" t="s">
        <v>17</v>
      </c>
      <c r="T1675" s="41" t="s">
        <v>76</v>
      </c>
      <c r="U1675" s="16" t="s">
        <v>13</v>
      </c>
      <c r="V1675" s="16" t="s">
        <v>19</v>
      </c>
      <c r="W1675" s="19" t="s"/>
      <c r="X1675" s="26" t="s">
        <f>=M1675&amp;N1675&amp;P1675&amp;Q1675&amp;T1675&amp;V1675&amp;S1675</f>
        <v>1824</v>
      </c>
      <c r="Y1675" s="19" t="s"/>
      <c r="Z1675" s="19" t="s"/>
      <c r="AA1675" s="19" t="s"/>
      <c r="AB1675" s="19" t="s"/>
    </row>
    <row r="1676" spans="1:29" s="277" customFormat="true" ht="14.4">
      <c r="A1676" s="178">
        <f>=H1676/G1676-1</f>
        <v>0</v>
      </c>
      <c r="B1676" s="179">
        <f>=F1676/12</f>
        <v>13.275</v>
      </c>
      <c r="C1676" s="179">
        <f>=J1676/3</f>
        <v>106.2</v>
      </c>
      <c r="D1676" s="179">
        <f>=K1676/3</f>
        <v>118</v>
      </c>
      <c r="E1676" s="179">
        <f>=L1676/3</f>
        <v>123.9</v>
      </c>
      <c r="F1676" s="179">
        <f>=H1676*0.9</f>
        <v>159.3</v>
      </c>
      <c r="G1676" s="180">
        <v>177</v>
      </c>
      <c r="H1676" s="181">
        <v>177</v>
      </c>
      <c r="I1676" s="182">
        <f>=H1676*1.05</f>
        <v>185.85</v>
      </c>
      <c r="J1676" s="182">
        <f>=F1676*2</f>
        <v>318.6</v>
      </c>
      <c r="K1676" s="182">
        <f>=H1676*2</f>
        <v>354</v>
      </c>
      <c r="L1676" s="182">
        <f>=I1676*2</f>
        <v>371.7</v>
      </c>
      <c r="M1676" s="183" t="s">
        <v>1804</v>
      </c>
      <c r="N1676" s="183">
        <v>0.43</v>
      </c>
      <c r="O1676" s="183" t="s"/>
      <c r="P1676" s="183">
        <v>1</v>
      </c>
      <c r="Q1676" s="183">
        <v>1</v>
      </c>
      <c r="R1676" s="183" t="s">
        <v>16</v>
      </c>
      <c r="S1676" s="183" t="s">
        <v>17</v>
      </c>
      <c r="T1676" s="183" t="s">
        <v>93</v>
      </c>
      <c r="U1676" s="184" t="s">
        <v>13</v>
      </c>
      <c r="V1676" s="184" t="s">
        <v>19</v>
      </c>
      <c r="W1676" s="185" t="s">
        <v>352</v>
      </c>
      <c r="X1676" s="26" t="s">
        <f>=M1676&amp;N1676&amp;P1676&amp;Q1676&amp;T1676&amp;V1676&amp;S1676</f>
        <v>1825</v>
      </c>
      <c r="Y1676" s="186" t="s">
        <v>1826</v>
      </c>
      <c r="Z1676" s="186" t="s"/>
      <c r="AA1676" s="186" t="s"/>
      <c r="AB1676" s="186" t="s"/>
      <c r="AC1676" s="187" t="s"/>
    </row>
    <row r="1677" spans="1:28" ht="14.4">
      <c r="A1677" s="4">
        <f>=H1677/G1677-1</f>
        <v>0.1</v>
      </c>
      <c r="B1677" s="20">
        <f>=F1677/12</f>
        <v>10.725</v>
      </c>
      <c r="C1677" s="20">
        <f>=J1677/3</f>
        <v>85.8</v>
      </c>
      <c r="D1677" s="20">
        <f>=K1677/3</f>
        <v>95.3333333333333</v>
      </c>
      <c r="E1677" s="20">
        <f>=L1677/3</f>
        <v>100.1</v>
      </c>
      <c r="F1677" s="20">
        <f>=H1677*0.9</f>
        <v>128.7</v>
      </c>
      <c r="G1677" s="21">
        <v>130</v>
      </c>
      <c r="H1677" s="39">
        <v>143</v>
      </c>
      <c r="I1677" s="40">
        <f>=H1677*1.05</f>
        <v>150.15</v>
      </c>
      <c r="J1677" s="40">
        <f>=F1677*2</f>
        <v>257.4</v>
      </c>
      <c r="K1677" s="40">
        <f>=H1677*2</f>
        <v>286</v>
      </c>
      <c r="L1677" s="40">
        <f>=I1677*2</f>
        <v>300.3</v>
      </c>
      <c r="M1677" s="41" t="s">
        <v>1804</v>
      </c>
      <c r="N1677" s="41">
        <v>0.4</v>
      </c>
      <c r="O1677" s="41" t="s"/>
      <c r="P1677" s="41">
        <v>1</v>
      </c>
      <c r="Q1677" s="41">
        <v>1</v>
      </c>
      <c r="R1677" s="41" t="s">
        <v>16</v>
      </c>
      <c r="S1677" s="41" t="s">
        <v>17</v>
      </c>
      <c r="T1677" s="41" t="s">
        <v>76</v>
      </c>
      <c r="U1677" s="16" t="s">
        <v>13</v>
      </c>
      <c r="V1677" s="16" t="s">
        <v>19</v>
      </c>
      <c r="W1677" s="19" t="s"/>
      <c r="X1677" s="26" t="s">
        <f>=M1677&amp;N1677&amp;P1677&amp;Q1677&amp;T1677&amp;V1677&amp;S1677</f>
        <v>1827</v>
      </c>
      <c r="Y1677" s="19" t="s"/>
      <c r="Z1677" s="19" t="s"/>
      <c r="AA1677" s="19" t="s"/>
      <c r="AB1677" s="19" t="s"/>
    </row>
    <row r="1678" spans="1:29" s="276" customFormat="true" ht="14.4">
      <c r="A1678" s="173">
        <f>=H1678/G1678-1</f>
        <v>0.101449275362319</v>
      </c>
      <c r="B1678" s="20">
        <f>=F1678/12</f>
        <v>22.8</v>
      </c>
      <c r="C1678" s="20">
        <f>=J1678/3</f>
        <v>182.4</v>
      </c>
      <c r="D1678" s="20">
        <f>=K1678/3</f>
        <v>202.666666666667</v>
      </c>
      <c r="E1678" s="20">
        <f>=L1678/3</f>
        <v>212.8</v>
      </c>
      <c r="F1678" s="20">
        <f>=H1678*0.9</f>
        <v>273.6</v>
      </c>
      <c r="G1678" s="174">
        <v>276</v>
      </c>
      <c r="H1678" s="39">
        <v>304</v>
      </c>
      <c r="I1678" s="40">
        <f>=H1678*1.05</f>
        <v>319.2</v>
      </c>
      <c r="J1678" s="40">
        <f>=F1678*2</f>
        <v>547.2</v>
      </c>
      <c r="K1678" s="40">
        <f>=H1678*2</f>
        <v>608</v>
      </c>
      <c r="L1678" s="40">
        <f>=I1678*2</f>
        <v>638.4</v>
      </c>
      <c r="M1678" s="41" t="s">
        <v>1804</v>
      </c>
      <c r="N1678" s="41">
        <v>0.46</v>
      </c>
      <c r="O1678" s="41" t="s"/>
      <c r="P1678" s="41">
        <v>2</v>
      </c>
      <c r="Q1678" s="41">
        <v>2</v>
      </c>
      <c r="R1678" s="41" t="s">
        <v>16</v>
      </c>
      <c r="S1678" s="41" t="s">
        <v>17</v>
      </c>
      <c r="T1678" s="41" t="s">
        <v>93</v>
      </c>
      <c r="U1678" s="175" t="s">
        <v>13</v>
      </c>
      <c r="V1678" s="175" t="s">
        <v>19</v>
      </c>
      <c r="W1678" s="176" t="s"/>
      <c r="X1678" s="26" t="s">
        <f>=M1678&amp;N1678&amp;P1678&amp;Q1678&amp;T1678&amp;V1678&amp;S1678</f>
        <v>1828</v>
      </c>
      <c r="Y1678" s="176" t="s"/>
      <c r="Z1678" s="176" t="s"/>
      <c r="AA1678" s="176" t="s"/>
      <c r="AB1678" s="176" t="s"/>
      <c r="AC1678" s="177" t="s"/>
    </row>
    <row r="1679" spans="1:29" s="278" customFormat="true" ht="14.4">
      <c r="A1679" s="188">
        <f>=H1679/G1679-1</f>
        <v>-0.297101449275362</v>
      </c>
      <c r="B1679" s="43">
        <f>=F1679/12</f>
        <v>14.55</v>
      </c>
      <c r="C1679" s="43">
        <f>=J1679/3</f>
        <v>116.4</v>
      </c>
      <c r="D1679" s="43">
        <f>=K1679/3</f>
        <v>129.333333333333</v>
      </c>
      <c r="E1679" s="43">
        <f>=L1679/3</f>
        <v>135.8</v>
      </c>
      <c r="F1679" s="43">
        <f>=H1679*0.9</f>
        <v>174.6</v>
      </c>
      <c r="G1679" s="189">
        <v>276</v>
      </c>
      <c r="H1679" s="44">
        <v>194</v>
      </c>
      <c r="I1679" s="45">
        <f>=H1679*1.05</f>
        <v>203.7</v>
      </c>
      <c r="J1679" s="45">
        <f>=F1679*2</f>
        <v>349.2</v>
      </c>
      <c r="K1679" s="45">
        <f>=H1679*2</f>
        <v>388</v>
      </c>
      <c r="L1679" s="45">
        <f>=I1679*2</f>
        <v>407.4</v>
      </c>
      <c r="M1679" s="46" t="s">
        <v>1804</v>
      </c>
      <c r="N1679" s="46">
        <v>0.46</v>
      </c>
      <c r="O1679" s="46" t="s"/>
      <c r="P1679" s="46">
        <v>1</v>
      </c>
      <c r="Q1679" s="46">
        <v>1</v>
      </c>
      <c r="R1679" s="46" t="s">
        <v>16</v>
      </c>
      <c r="S1679" s="46" t="s">
        <v>17</v>
      </c>
      <c r="T1679" s="46" t="s">
        <v>93</v>
      </c>
      <c r="U1679" s="190" t="s">
        <v>13</v>
      </c>
      <c r="V1679" s="190" t="s">
        <v>19</v>
      </c>
      <c r="W1679" s="191">
        <v>46185</v>
      </c>
      <c r="X1679" s="18" t="s">
        <f>=M1679&amp;N1679&amp;P1679&amp;Q1679&amp;T1679&amp;V1679&amp;S1679</f>
        <v>1829</v>
      </c>
      <c r="Y1679" s="192" t="s"/>
      <c r="Z1679" s="192" t="s"/>
      <c r="AA1679" s="192" t="s"/>
      <c r="AB1679" s="192" t="s"/>
      <c r="AC1679" s="177" t="s"/>
    </row>
    <row r="1680" spans="1:29" s="276" customFormat="true" ht="14.4">
      <c r="A1680" s="173">
        <f>=H1680/G1680-1</f>
        <v>0.0973451327433628</v>
      </c>
      <c r="B1680" s="20">
        <f>=F1680/12</f>
        <v>9.3</v>
      </c>
      <c r="C1680" s="20">
        <f>=J1680/3</f>
        <v>74.4</v>
      </c>
      <c r="D1680" s="20">
        <f>=K1680/3</f>
        <v>82.6666666666667</v>
      </c>
      <c r="E1680" s="20">
        <f>=L1680/3</f>
        <v>86.8</v>
      </c>
      <c r="F1680" s="20">
        <f>=H1680*0.9</f>
        <v>111.6</v>
      </c>
      <c r="G1680" s="174">
        <v>113</v>
      </c>
      <c r="H1680" s="39">
        <v>124</v>
      </c>
      <c r="I1680" s="40">
        <f>=H1680*1.05</f>
        <v>130.2</v>
      </c>
      <c r="J1680" s="40">
        <f>=F1680*2</f>
        <v>223.2</v>
      </c>
      <c r="K1680" s="40">
        <f>=H1680*2</f>
        <v>248</v>
      </c>
      <c r="L1680" s="40">
        <f>=I1680*2</f>
        <v>260.4</v>
      </c>
      <c r="M1680" s="41" t="s">
        <v>1804</v>
      </c>
      <c r="N1680" s="41">
        <v>0.46</v>
      </c>
      <c r="O1680" s="41" t="s"/>
      <c r="P1680" s="41" t="s">
        <v>21</v>
      </c>
      <c r="Q1680" s="41" t="s">
        <v>21</v>
      </c>
      <c r="R1680" s="41" t="s">
        <v>16</v>
      </c>
      <c r="S1680" s="41" t="s">
        <v>17</v>
      </c>
      <c r="T1680" s="41" t="s">
        <v>93</v>
      </c>
      <c r="U1680" s="175" t="s">
        <v>13</v>
      </c>
      <c r="V1680" s="175" t="s">
        <v>19</v>
      </c>
      <c r="W1680" s="176" t="s"/>
      <c r="X1680" s="26" t="s">
        <f>=M1680&amp;N1680&amp;P1680&amp;Q1680&amp;T1680&amp;V1680&amp;S1680</f>
        <v>1830</v>
      </c>
      <c r="Y1680" s="176" t="s"/>
      <c r="Z1680" s="176" t="s"/>
      <c r="AA1680" s="176" t="s"/>
      <c r="AB1680" s="176" t="s"/>
      <c r="AC1680" s="177" t="s"/>
    </row>
    <row r="1681" spans="1:28" ht="14.4">
      <c r="A1681" s="4">
        <f>=H1681/G1681-1</f>
        <v>0.0973451327433628</v>
      </c>
      <c r="B1681" s="20">
        <f>=F1681/12</f>
        <v>9.3</v>
      </c>
      <c r="C1681" s="20">
        <f>=J1681/3</f>
        <v>74.4</v>
      </c>
      <c r="D1681" s="20">
        <f>=K1681/3</f>
        <v>82.6666666666667</v>
      </c>
      <c r="E1681" s="20">
        <f>=L1681/3</f>
        <v>86.8</v>
      </c>
      <c r="F1681" s="20">
        <f>=H1681*0.9</f>
        <v>111.6</v>
      </c>
      <c r="G1681" s="21">
        <v>113</v>
      </c>
      <c r="H1681" s="39">
        <v>124</v>
      </c>
      <c r="I1681" s="40">
        <f>=H1681*1.05</f>
        <v>130.2</v>
      </c>
      <c r="J1681" s="40">
        <f>=F1681*2</f>
        <v>223.2</v>
      </c>
      <c r="K1681" s="40">
        <f>=H1681*2</f>
        <v>248</v>
      </c>
      <c r="L1681" s="40">
        <f>=I1681*2</f>
        <v>260.4</v>
      </c>
      <c r="M1681" s="41" t="s">
        <v>1804</v>
      </c>
      <c r="N1681" s="41">
        <v>0.5</v>
      </c>
      <c r="O1681" s="41" t="s"/>
      <c r="P1681" s="41" t="s">
        <v>21</v>
      </c>
      <c r="Q1681" s="41" t="s">
        <v>21</v>
      </c>
      <c r="R1681" s="41" t="s">
        <v>16</v>
      </c>
      <c r="S1681" s="41" t="s">
        <v>17</v>
      </c>
      <c r="T1681" s="41" t="s">
        <v>102</v>
      </c>
      <c r="U1681" s="16" t="s">
        <v>13</v>
      </c>
      <c r="V1681" s="16" t="s">
        <v>19</v>
      </c>
      <c r="W1681" s="19" t="s"/>
      <c r="X1681" s="26" t="s">
        <f>=M1681&amp;N1681&amp;P1681&amp;Q1681&amp;T1681&amp;V1681&amp;S1681</f>
        <v>1831</v>
      </c>
      <c r="Y1681" s="19" t="s"/>
      <c r="Z1681" s="19" t="s"/>
      <c r="AA1681" s="19" t="s"/>
      <c r="AB1681" s="19" t="s"/>
    </row>
    <row r="1682" spans="1:28" ht="14.4">
      <c r="A1682" s="4">
        <f>=H1682/G1682-1</f>
        <v>0.100671140939597</v>
      </c>
      <c r="B1682" s="20">
        <f>=F1682/12</f>
        <v>12.3</v>
      </c>
      <c r="C1682" s="20">
        <f>=J1682/3</f>
        <v>98.4</v>
      </c>
      <c r="D1682" s="20">
        <f>=K1682/3</f>
        <v>109.333333333333</v>
      </c>
      <c r="E1682" s="20">
        <f>=L1682/3</f>
        <v>114.8</v>
      </c>
      <c r="F1682" s="20">
        <f>=H1682*0.9</f>
        <v>147.6</v>
      </c>
      <c r="G1682" s="21">
        <v>149</v>
      </c>
      <c r="H1682" s="39">
        <v>164</v>
      </c>
      <c r="I1682" s="40">
        <f>=H1682*1.05</f>
        <v>172.2</v>
      </c>
      <c r="J1682" s="40">
        <f>=F1682*2</f>
        <v>295.2</v>
      </c>
      <c r="K1682" s="40">
        <f>=H1682*2</f>
        <v>328</v>
      </c>
      <c r="L1682" s="40">
        <f>=I1682*2</f>
        <v>344.4</v>
      </c>
      <c r="M1682" s="193" t="s">
        <v>1804</v>
      </c>
      <c r="N1682" s="193">
        <v>0.51</v>
      </c>
      <c r="O1682" s="193" t="s"/>
      <c r="P1682" s="193">
        <v>1</v>
      </c>
      <c r="Q1682" s="193">
        <v>1</v>
      </c>
      <c r="R1682" s="193" t="s">
        <v>16</v>
      </c>
      <c r="S1682" s="193" t="s">
        <v>17</v>
      </c>
      <c r="T1682" s="193" t="s">
        <v>377</v>
      </c>
      <c r="U1682" s="194" t="s">
        <v>13</v>
      </c>
      <c r="V1682" s="194" t="s">
        <v>19</v>
      </c>
      <c r="W1682" s="19" t="s"/>
      <c r="X1682" s="26" t="s">
        <f>=M1682&amp;N1682&amp;P1682&amp;Q1682&amp;T1682&amp;V1682&amp;S1682</f>
        <v>1832</v>
      </c>
      <c r="Y1682" s="19" t="s"/>
      <c r="Z1682" s="19" t="s"/>
      <c r="AA1682" s="19" t="s"/>
      <c r="AB1682" s="19" t="s"/>
    </row>
    <row r="1683" spans="1:28" ht="14.4">
      <c r="A1683" s="4">
        <f>=H1683/G1683-1</f>
        <v>0.100671140939597</v>
      </c>
      <c r="B1683" s="20">
        <f>=F1683/12</f>
        <v>12.3</v>
      </c>
      <c r="C1683" s="20">
        <f>=J1683/3</f>
        <v>98.4</v>
      </c>
      <c r="D1683" s="20">
        <f>=K1683/3</f>
        <v>109.333333333333</v>
      </c>
      <c r="E1683" s="20">
        <f>=L1683/3</f>
        <v>114.8</v>
      </c>
      <c r="F1683" s="20">
        <f>=H1683*0.9</f>
        <v>147.6</v>
      </c>
      <c r="G1683" s="21">
        <v>149</v>
      </c>
      <c r="H1683" s="39">
        <v>164</v>
      </c>
      <c r="I1683" s="40">
        <f>=H1683*1.05</f>
        <v>172.2</v>
      </c>
      <c r="J1683" s="40">
        <f>=F1683*2</f>
        <v>295.2</v>
      </c>
      <c r="K1683" s="40">
        <f>=H1683*2</f>
        <v>328</v>
      </c>
      <c r="L1683" s="40">
        <f>=I1683*2</f>
        <v>344.4</v>
      </c>
      <c r="M1683" s="41" t="s">
        <v>1804</v>
      </c>
      <c r="N1683" s="41">
        <v>0.51</v>
      </c>
      <c r="O1683" s="41" t="s"/>
      <c r="P1683" s="41">
        <v>1</v>
      </c>
      <c r="Q1683" s="41">
        <v>1</v>
      </c>
      <c r="R1683" s="41" t="s">
        <v>16</v>
      </c>
      <c r="S1683" s="41" t="s">
        <v>17</v>
      </c>
      <c r="T1683" s="41" t="s">
        <v>377</v>
      </c>
      <c r="U1683" s="16" t="s">
        <v>13</v>
      </c>
      <c r="V1683" s="16" t="s">
        <v>19</v>
      </c>
      <c r="W1683" s="19" t="s"/>
      <c r="X1683" s="26" t="s">
        <f>=M1683&amp;N1683&amp;P1683&amp;Q1683&amp;T1683&amp;V1683&amp;S1683</f>
        <v>1832</v>
      </c>
      <c r="Y1683" s="19" t="s"/>
      <c r="Z1683" s="19" t="s"/>
      <c r="AA1683" s="19" t="s"/>
      <c r="AB1683" s="19" t="s"/>
    </row>
    <row r="1684" spans="1:28" ht="14.4">
      <c r="A1684" s="4">
        <f>=H1684/G1684-1</f>
        <v>0.0997679814385151</v>
      </c>
      <c r="B1684" s="20">
        <f>=F1684/12</f>
        <v>35.55</v>
      </c>
      <c r="C1684" s="20">
        <f>=J1684/3</f>
        <v>284.4</v>
      </c>
      <c r="D1684" s="20">
        <f>=K1684/3</f>
        <v>316</v>
      </c>
      <c r="E1684" s="20">
        <f>=L1684/3</f>
        <v>331.8</v>
      </c>
      <c r="F1684" s="20">
        <f>=H1684*0.9</f>
        <v>426.6</v>
      </c>
      <c r="G1684" s="21">
        <v>431</v>
      </c>
      <c r="H1684" s="39">
        <v>474</v>
      </c>
      <c r="I1684" s="40">
        <f>=H1684*1.05</f>
        <v>497.7</v>
      </c>
      <c r="J1684" s="40">
        <f>=F1684*2</f>
        <v>853.2</v>
      </c>
      <c r="K1684" s="40">
        <f>=H1684*2</f>
        <v>948</v>
      </c>
      <c r="L1684" s="40">
        <f>=I1684*2</f>
        <v>995.4</v>
      </c>
      <c r="M1684" s="41" t="s">
        <v>1804</v>
      </c>
      <c r="N1684" s="41">
        <v>0.51</v>
      </c>
      <c r="O1684" s="41" t="s"/>
      <c r="P1684" s="41">
        <v>3</v>
      </c>
      <c r="Q1684" s="41">
        <v>3</v>
      </c>
      <c r="R1684" s="41" t="s">
        <v>16</v>
      </c>
      <c r="S1684" s="41" t="s">
        <v>17</v>
      </c>
      <c r="T1684" s="41" t="s">
        <v>110</v>
      </c>
      <c r="U1684" s="16" t="s">
        <v>13</v>
      </c>
      <c r="V1684" s="16" t="s">
        <v>19</v>
      </c>
      <c r="W1684" s="19" t="s"/>
      <c r="X1684" s="26" t="s">
        <f>=M1684&amp;N1684&amp;P1684&amp;Q1684&amp;T1684&amp;V1684&amp;S1684</f>
        <v>1833</v>
      </c>
      <c r="Y1684" s="19" t="s"/>
      <c r="Z1684" s="19" t="s"/>
      <c r="AA1684" s="19" t="s"/>
      <c r="AB1684" s="19" t="s"/>
    </row>
    <row r="1685" spans="1:28" ht="14.4">
      <c r="A1685" s="4">
        <f>=H1685/G1685-1</f>
        <v>0.100917431192661</v>
      </c>
      <c r="B1685" s="20">
        <f>=F1685/12</f>
        <v>9</v>
      </c>
      <c r="C1685" s="20">
        <f>=J1685/3</f>
        <v>72</v>
      </c>
      <c r="D1685" s="20">
        <f>=K1685/3</f>
        <v>80</v>
      </c>
      <c r="E1685" s="20">
        <f>=L1685/3</f>
        <v>84</v>
      </c>
      <c r="F1685" s="20">
        <f>=H1685*0.9</f>
        <v>108</v>
      </c>
      <c r="G1685" s="21">
        <v>109</v>
      </c>
      <c r="H1685" s="39">
        <v>120</v>
      </c>
      <c r="I1685" s="40">
        <f>=H1685*1.05</f>
        <v>126</v>
      </c>
      <c r="J1685" s="40">
        <f>=F1685*2</f>
        <v>216</v>
      </c>
      <c r="K1685" s="40">
        <f>=H1685*2</f>
        <v>240</v>
      </c>
      <c r="L1685" s="40">
        <f>=I1685*2</f>
        <v>252</v>
      </c>
      <c r="M1685" s="41" t="s">
        <v>1804</v>
      </c>
      <c r="N1685" s="41">
        <v>0.51</v>
      </c>
      <c r="O1685" s="41" t="s"/>
      <c r="P1685" s="41" t="s">
        <v>21</v>
      </c>
      <c r="Q1685" s="41" t="s">
        <v>21</v>
      </c>
      <c r="R1685" s="41" t="s">
        <v>16</v>
      </c>
      <c r="S1685" s="41" t="s">
        <v>17</v>
      </c>
      <c r="T1685" s="41" t="s">
        <v>377</v>
      </c>
      <c r="U1685" s="16" t="s">
        <v>13</v>
      </c>
      <c r="V1685" s="16" t="s">
        <v>19</v>
      </c>
      <c r="W1685" s="19" t="s"/>
      <c r="X1685" s="26" t="s">
        <f>=M1685&amp;N1685&amp;P1685&amp;Q1685&amp;T1685&amp;V1685&amp;S1685</f>
        <v>1834</v>
      </c>
      <c r="Y1685" s="19" t="s"/>
      <c r="Z1685" s="19" t="s"/>
      <c r="AA1685" s="19" t="s"/>
      <c r="AB1685" s="19" t="s"/>
    </row>
    <row r="1686" spans="1:28" ht="14.4">
      <c r="A1686" s="4">
        <f>=H1686/G1686-1</f>
        <v>0.102564102564103</v>
      </c>
      <c r="B1686" s="20">
        <f>=F1686/12</f>
        <v>12.9</v>
      </c>
      <c r="C1686" s="20">
        <f>=J1686/3</f>
        <v>103.2</v>
      </c>
      <c r="D1686" s="20">
        <f>=K1686/3</f>
        <v>114.666666666667</v>
      </c>
      <c r="E1686" s="20">
        <f>=L1686/3</f>
        <v>120.4</v>
      </c>
      <c r="F1686" s="20">
        <f>=H1686*0.9</f>
        <v>154.8</v>
      </c>
      <c r="G1686" s="21">
        <v>156</v>
      </c>
      <c r="H1686" s="39">
        <v>172</v>
      </c>
      <c r="I1686" s="40">
        <f>=H1686*1.05</f>
        <v>180.6</v>
      </c>
      <c r="J1686" s="40">
        <f>=F1686*2</f>
        <v>309.6</v>
      </c>
      <c r="K1686" s="40">
        <f>=H1686*2</f>
        <v>344</v>
      </c>
      <c r="L1686" s="40">
        <f>=I1686*2</f>
        <v>361.2</v>
      </c>
      <c r="M1686" s="41" t="s">
        <v>1804</v>
      </c>
      <c r="N1686" s="41">
        <v>0.53</v>
      </c>
      <c r="O1686" s="41" t="s"/>
      <c r="P1686" s="41">
        <v>1</v>
      </c>
      <c r="Q1686" s="41">
        <v>1</v>
      </c>
      <c r="R1686" s="41" t="s">
        <v>16</v>
      </c>
      <c r="S1686" s="41" t="s">
        <v>17</v>
      </c>
      <c r="T1686" s="41" t="s">
        <v>110</v>
      </c>
      <c r="U1686" s="16" t="s">
        <v>13</v>
      </c>
      <c r="V1686" s="16" t="s">
        <v>19</v>
      </c>
      <c r="W1686" s="19" t="s"/>
      <c r="X1686" s="26" t="s">
        <f>=M1686&amp;N1686&amp;P1686&amp;Q1686&amp;T1686&amp;V1686&amp;S1686</f>
        <v>1835</v>
      </c>
      <c r="Y1686" s="19" t="s"/>
      <c r="Z1686" s="19" t="s"/>
      <c r="AA1686" s="19" t="s"/>
      <c r="AB1686" s="19" t="s"/>
    </row>
    <row r="1687" spans="1:28" ht="14.4">
      <c r="A1687" s="4">
        <f>=H1687/G1687-1</f>
        <v>0.101694915254237</v>
      </c>
      <c r="B1687" s="20">
        <f>=F1687/12</f>
        <v>9.75</v>
      </c>
      <c r="C1687" s="20">
        <f>=J1687/3</f>
        <v>78</v>
      </c>
      <c r="D1687" s="20">
        <f>=K1687/3</f>
        <v>86.6666666666667</v>
      </c>
      <c r="E1687" s="20">
        <f>=L1687/3</f>
        <v>91</v>
      </c>
      <c r="F1687" s="20">
        <f>=H1687*0.9</f>
        <v>117</v>
      </c>
      <c r="G1687" s="21">
        <v>118</v>
      </c>
      <c r="H1687" s="39">
        <v>130</v>
      </c>
      <c r="I1687" s="40">
        <f>=H1687*1.05</f>
        <v>136.5</v>
      </c>
      <c r="J1687" s="40">
        <f>=F1687*2</f>
        <v>234</v>
      </c>
      <c r="K1687" s="40">
        <f>=H1687*2</f>
        <v>260</v>
      </c>
      <c r="L1687" s="40">
        <f>=I1687*2</f>
        <v>273</v>
      </c>
      <c r="M1687" s="41" t="s">
        <v>1804</v>
      </c>
      <c r="N1687" s="41">
        <v>0.53</v>
      </c>
      <c r="O1687" s="41" t="s"/>
      <c r="P1687" s="41" t="s">
        <v>21</v>
      </c>
      <c r="Q1687" s="41" t="s">
        <v>21</v>
      </c>
      <c r="R1687" s="41" t="s">
        <v>16</v>
      </c>
      <c r="S1687" s="41" t="s">
        <v>17</v>
      </c>
      <c r="T1687" s="41" t="s">
        <v>110</v>
      </c>
      <c r="U1687" s="16" t="s">
        <v>13</v>
      </c>
      <c r="V1687" s="16" t="s">
        <v>19</v>
      </c>
      <c r="W1687" s="19" t="s"/>
      <c r="X1687" s="26" t="s">
        <f>=M1687&amp;N1687&amp;P1687&amp;Q1687&amp;T1687&amp;V1687&amp;S1687</f>
        <v>1836</v>
      </c>
      <c r="Y1687" s="19" t="s"/>
      <c r="Z1687" s="19" t="s"/>
      <c r="AA1687" s="19" t="s"/>
      <c r="AB1687" s="19" t="s"/>
    </row>
    <row r="1688" spans="1:28" ht="14.4">
      <c r="A1688" s="4">
        <f>=H1688/G1688-1</f>
        <v>0.101123595505618</v>
      </c>
      <c r="B1688" s="20">
        <f>=F1688/12</f>
        <v>36.75</v>
      </c>
      <c r="C1688" s="20">
        <f>=J1688/3</f>
        <v>294</v>
      </c>
      <c r="D1688" s="20">
        <f>=K1688/3</f>
        <v>326.666666666667</v>
      </c>
      <c r="E1688" s="20">
        <f>=L1688/3</f>
        <v>343</v>
      </c>
      <c r="F1688" s="20">
        <f>=H1688*0.9</f>
        <v>441</v>
      </c>
      <c r="G1688" s="21">
        <v>445</v>
      </c>
      <c r="H1688" s="39">
        <v>490</v>
      </c>
      <c r="I1688" s="40">
        <f>=H1688*1.05</f>
        <v>514.5</v>
      </c>
      <c r="J1688" s="40">
        <f>=F1688*2</f>
        <v>882</v>
      </c>
      <c r="K1688" s="40">
        <f>=H1688*2</f>
        <v>980</v>
      </c>
      <c r="L1688" s="40">
        <f>=I1688*2</f>
        <v>1029</v>
      </c>
      <c r="M1688" s="41" t="s">
        <v>1804</v>
      </c>
      <c r="N1688" s="41">
        <v>0.59</v>
      </c>
      <c r="O1688" s="41" t="s"/>
      <c r="P1688" s="41">
        <v>3</v>
      </c>
      <c r="Q1688" s="41">
        <v>3</v>
      </c>
      <c r="R1688" s="41" t="s">
        <v>16</v>
      </c>
      <c r="S1688" s="41" t="s">
        <v>17</v>
      </c>
      <c r="T1688" s="41" t="s">
        <v>110</v>
      </c>
      <c r="U1688" s="16" t="s">
        <v>13</v>
      </c>
      <c r="V1688" s="16" t="s">
        <v>19</v>
      </c>
      <c r="W1688" s="19" t="s"/>
      <c r="X1688" s="26" t="s">
        <f>=M1688&amp;N1688&amp;P1688&amp;Q1688&amp;T1688&amp;V1688&amp;S1688</f>
        <v>1837</v>
      </c>
      <c r="Y1688" s="19" t="s"/>
      <c r="Z1688" s="19" t="s"/>
      <c r="AA1688" s="19" t="s"/>
      <c r="AB1688" s="19" t="s"/>
    </row>
    <row r="1689" spans="1:28" ht="14.4">
      <c r="A1689" s="4">
        <f>=H1689/G1689-1</f>
        <v>0.100806451612903</v>
      </c>
      <c r="B1689" s="20">
        <f>=F1689/12</f>
        <v>20.475</v>
      </c>
      <c r="C1689" s="20">
        <f>=J1689/3</f>
        <v>163.8</v>
      </c>
      <c r="D1689" s="20">
        <f>=K1689/3</f>
        <v>182</v>
      </c>
      <c r="E1689" s="20">
        <f>=L1689/3</f>
        <v>191.1</v>
      </c>
      <c r="F1689" s="20">
        <f>=H1689*0.9</f>
        <v>245.7</v>
      </c>
      <c r="G1689" s="21">
        <v>248</v>
      </c>
      <c r="H1689" s="39">
        <v>273</v>
      </c>
      <c r="I1689" s="40">
        <f>=H1689*1.05</f>
        <v>286.65</v>
      </c>
      <c r="J1689" s="40">
        <f>=F1689*2</f>
        <v>491.4</v>
      </c>
      <c r="K1689" s="40">
        <f>=H1689*2</f>
        <v>546</v>
      </c>
      <c r="L1689" s="40">
        <f>=I1689*2</f>
        <v>573.3</v>
      </c>
      <c r="M1689" s="41" t="s">
        <v>1804</v>
      </c>
      <c r="N1689" s="41">
        <v>0.6</v>
      </c>
      <c r="O1689" s="41" t="s"/>
      <c r="P1689" s="41">
        <v>2</v>
      </c>
      <c r="Q1689" s="41">
        <v>2</v>
      </c>
      <c r="R1689" s="41" t="s">
        <v>16</v>
      </c>
      <c r="S1689" s="41" t="s">
        <v>17</v>
      </c>
      <c r="T1689" s="41" t="s">
        <v>110</v>
      </c>
      <c r="U1689" s="16" t="s">
        <v>13</v>
      </c>
      <c r="V1689" s="16" t="s">
        <v>19</v>
      </c>
      <c r="W1689" s="19" t="s"/>
      <c r="X1689" s="26" t="s">
        <f>=M1689&amp;N1689&amp;P1689&amp;Q1689&amp;T1689&amp;V1689&amp;S1689</f>
        <v>1838</v>
      </c>
      <c r="Y1689" s="19" t="s"/>
      <c r="Z1689" s="19" t="s"/>
      <c r="AA1689" s="19" t="s"/>
      <c r="AB1689" s="19" t="s"/>
    </row>
    <row r="1690" spans="1:29" ht="13.5" customHeight="true">
      <c r="A1690" s="156">
        <v>46175</v>
      </c>
      <c r="B1690" s="79">
        <f>=F1690/12</f>
        <v>14.025</v>
      </c>
      <c r="C1690" s="79">
        <f>=J1690/3</f>
        <v>112.2</v>
      </c>
      <c r="D1690" s="79">
        <f>=K1690/3</f>
        <v>124.666666666667</v>
      </c>
      <c r="E1690" s="79">
        <f>=L1690/3</f>
        <v>130.9</v>
      </c>
      <c r="F1690" s="79">
        <f>=H1690*0.9</f>
        <v>168.3</v>
      </c>
      <c r="G1690" s="80">
        <v>248</v>
      </c>
      <c r="H1690" s="81">
        <v>187</v>
      </c>
      <c r="I1690" s="82">
        <f>=H1690*1.05</f>
        <v>196.35</v>
      </c>
      <c r="J1690" s="82">
        <f>=F1690*2</f>
        <v>336.6</v>
      </c>
      <c r="K1690" s="82">
        <f>=H1690*2</f>
        <v>374</v>
      </c>
      <c r="L1690" s="82">
        <f>=I1690*2</f>
        <v>392.7</v>
      </c>
      <c r="M1690" s="83" t="s">
        <v>1804</v>
      </c>
      <c r="N1690" s="83">
        <v>0.61</v>
      </c>
      <c r="O1690" s="84" t="s"/>
      <c r="P1690" s="83">
        <v>1</v>
      </c>
      <c r="Q1690" s="83">
        <v>1</v>
      </c>
      <c r="R1690" s="83" t="s">
        <v>16</v>
      </c>
      <c r="S1690" s="83" t="s">
        <v>17</v>
      </c>
      <c r="T1690" s="83" t="s">
        <v>110</v>
      </c>
      <c r="U1690" s="85" t="s">
        <v>13</v>
      </c>
      <c r="V1690" s="85" t="s">
        <v>19</v>
      </c>
      <c r="W1690" s="86" t="s"/>
      <c r="X1690" s="18" t="s">
        <f>=M1690&amp;N1690&amp;P1690&amp;Q1690&amp;T1690&amp;V1690&amp;S1690</f>
        <v>1839</v>
      </c>
      <c r="Y1690" s="86" t="s"/>
      <c r="Z1690" s="86" t="s"/>
      <c r="AA1690" s="86" t="s"/>
      <c r="AB1690" s="86" t="s"/>
      <c r="AC1690" s="87" t="s"/>
    </row>
    <row r="1691" spans="1:28" ht="14.4">
      <c r="A1691" s="4">
        <f>=H1691/G1691-1</f>
        <v>0.1</v>
      </c>
      <c r="B1691" s="20">
        <f>=F1691/12</f>
        <v>14.025</v>
      </c>
      <c r="C1691" s="20">
        <f>=J1691/3</f>
        <v>112.2</v>
      </c>
      <c r="D1691" s="20">
        <f>=K1691/3</f>
        <v>124.666666666667</v>
      </c>
      <c r="E1691" s="20">
        <f>=L1691/3</f>
        <v>130.9</v>
      </c>
      <c r="F1691" s="20">
        <f>=H1691*0.9</f>
        <v>168.3</v>
      </c>
      <c r="G1691" s="21">
        <v>170</v>
      </c>
      <c r="H1691" s="39">
        <v>187</v>
      </c>
      <c r="I1691" s="40">
        <f>=H1691*1.05</f>
        <v>196.35</v>
      </c>
      <c r="J1691" s="40">
        <f>=F1691*2</f>
        <v>336.6</v>
      </c>
      <c r="K1691" s="40">
        <f>=H1691*2</f>
        <v>374</v>
      </c>
      <c r="L1691" s="40">
        <f>=I1691*2</f>
        <v>392.7</v>
      </c>
      <c r="M1691" s="41" t="s">
        <v>1804</v>
      </c>
      <c r="N1691" s="41">
        <v>0.63</v>
      </c>
      <c r="O1691" s="41" t="s"/>
      <c r="P1691" s="41">
        <v>1</v>
      </c>
      <c r="Q1691" s="41">
        <v>1</v>
      </c>
      <c r="R1691" s="41" t="s">
        <v>16</v>
      </c>
      <c r="S1691" s="41" t="s">
        <v>17</v>
      </c>
      <c r="T1691" s="41" t="s">
        <v>579</v>
      </c>
      <c r="U1691" s="16" t="s">
        <v>13</v>
      </c>
      <c r="V1691" s="16" t="s">
        <v>19</v>
      </c>
      <c r="W1691" s="19" t="s"/>
      <c r="X1691" s="26" t="s">
        <f>=M1691&amp;N1691&amp;P1691&amp;Q1691&amp;T1691&amp;V1691&amp;S1691</f>
        <v>1840</v>
      </c>
      <c r="Y1691" s="19" t="s"/>
      <c r="Z1691" s="19" t="s"/>
      <c r="AA1691" s="19" t="s"/>
      <c r="AB1691" s="19" t="s"/>
    </row>
    <row r="1692" spans="1:28" ht="14.4">
      <c r="A1692" s="4">
        <f>=H1692/G1692-1</f>
        <v>0.101123595505618</v>
      </c>
      <c r="B1692" s="20">
        <f>=F1692/12</f>
        <v>22.05</v>
      </c>
      <c r="C1692" s="20">
        <f>=J1692/3</f>
        <v>176.4</v>
      </c>
      <c r="D1692" s="20">
        <f>=K1692/3</f>
        <v>196</v>
      </c>
      <c r="E1692" s="20">
        <f>=L1692/3</f>
        <v>205.8</v>
      </c>
      <c r="F1692" s="20">
        <f>=H1692*0.9</f>
        <v>264.6</v>
      </c>
      <c r="G1692" s="21">
        <v>267</v>
      </c>
      <c r="H1692" s="39">
        <v>294</v>
      </c>
      <c r="I1692" s="40">
        <f>=H1692*1.05</f>
        <v>308.7</v>
      </c>
      <c r="J1692" s="40">
        <f>=F1692*2</f>
        <v>529.2</v>
      </c>
      <c r="K1692" s="40">
        <f>=H1692*2</f>
        <v>588</v>
      </c>
      <c r="L1692" s="40">
        <f>=I1692*2</f>
        <v>617.4</v>
      </c>
      <c r="M1692" s="41" t="s">
        <v>1804</v>
      </c>
      <c r="N1692" s="41">
        <v>0.66</v>
      </c>
      <c r="O1692" s="41" t="s"/>
      <c r="P1692" s="41">
        <v>2</v>
      </c>
      <c r="Q1692" s="41">
        <v>2</v>
      </c>
      <c r="R1692" s="41" t="s">
        <v>16</v>
      </c>
      <c r="S1692" s="41" t="s">
        <v>17</v>
      </c>
      <c r="T1692" s="41" t="s">
        <v>579</v>
      </c>
      <c r="U1692" s="16" t="s">
        <v>13</v>
      </c>
      <c r="V1692" s="16" t="s">
        <v>19</v>
      </c>
      <c r="W1692" s="19" t="s"/>
      <c r="X1692" s="26" t="s">
        <f>=M1692&amp;N1692&amp;P1692&amp;Q1692&amp;T1692&amp;V1692&amp;S1692</f>
        <v>1841</v>
      </c>
      <c r="Y1692" s="19" t="s"/>
      <c r="Z1692" s="19" t="s"/>
      <c r="AA1692" s="19" t="s"/>
      <c r="AB1692" s="19" t="s"/>
    </row>
    <row r="1693" spans="1:28" ht="14.4">
      <c r="A1693" s="4">
        <f>=H1693/G1693-1</f>
        <v>0.104</v>
      </c>
      <c r="B1693" s="20">
        <f>=F1693/12</f>
        <v>10.35</v>
      </c>
      <c r="C1693" s="20">
        <f>=J1693/3</f>
        <v>82.8</v>
      </c>
      <c r="D1693" s="20">
        <f>=K1693/3</f>
        <v>92</v>
      </c>
      <c r="E1693" s="20">
        <f>=L1693/3</f>
        <v>96.6</v>
      </c>
      <c r="F1693" s="20">
        <f>=H1693*0.9</f>
        <v>124.2</v>
      </c>
      <c r="G1693" s="21">
        <v>125</v>
      </c>
      <c r="H1693" s="39">
        <v>138</v>
      </c>
      <c r="I1693" s="40">
        <f>=H1693*1.05</f>
        <v>144.9</v>
      </c>
      <c r="J1693" s="40">
        <f>=F1693*2</f>
        <v>248.4</v>
      </c>
      <c r="K1693" s="40">
        <f>=H1693*2</f>
        <v>276</v>
      </c>
      <c r="L1693" s="40">
        <f>=I1693*2</f>
        <v>289.8</v>
      </c>
      <c r="M1693" s="41" t="s">
        <v>1804</v>
      </c>
      <c r="N1693" s="41">
        <v>0.66</v>
      </c>
      <c r="O1693" s="41" t="s"/>
      <c r="P1693" s="41" t="s">
        <v>21</v>
      </c>
      <c r="Q1693" s="41" t="s">
        <v>21</v>
      </c>
      <c r="R1693" s="41" t="s">
        <v>16</v>
      </c>
      <c r="S1693" s="41" t="s">
        <v>17</v>
      </c>
      <c r="T1693" s="41" t="s">
        <v>579</v>
      </c>
      <c r="U1693" s="16" t="s">
        <v>13</v>
      </c>
      <c r="V1693" s="16" t="s">
        <v>19</v>
      </c>
      <c r="W1693" s="19" t="s"/>
      <c r="X1693" s="26" t="s">
        <f>=M1693&amp;N1693&amp;P1693&amp;Q1693&amp;T1693&amp;V1693&amp;S1693</f>
        <v>1842</v>
      </c>
      <c r="Y1693" s="19" t="s"/>
      <c r="Z1693" s="19" t="s"/>
      <c r="AA1693" s="19" t="s"/>
      <c r="AB1693" s="19" t="s"/>
    </row>
    <row r="1694" spans="1:28" ht="14.4">
      <c r="A1694" s="4">
        <f>=H1694/G1694-1</f>
        <v>0.1</v>
      </c>
      <c r="B1694" s="20">
        <f>=F1694/12</f>
        <v>14.025</v>
      </c>
      <c r="C1694" s="20">
        <f>=J1694/3</f>
        <v>112.2</v>
      </c>
      <c r="D1694" s="20">
        <f>=K1694/3</f>
        <v>124.666666666667</v>
      </c>
      <c r="E1694" s="20">
        <f>=L1694/3</f>
        <v>130.9</v>
      </c>
      <c r="F1694" s="20">
        <f>=H1694*0.9</f>
        <v>168.3</v>
      </c>
      <c r="G1694" s="21">
        <v>170</v>
      </c>
      <c r="H1694" s="39">
        <v>187</v>
      </c>
      <c r="I1694" s="40">
        <f>=H1694*1.05</f>
        <v>196.35</v>
      </c>
      <c r="J1694" s="40">
        <f>=F1694*2</f>
        <v>336.6</v>
      </c>
      <c r="K1694" s="40">
        <f>=H1694*2</f>
        <v>374</v>
      </c>
      <c r="L1694" s="40">
        <f>=I1694*2</f>
        <v>392.7</v>
      </c>
      <c r="M1694" s="41" t="s">
        <v>1804</v>
      </c>
      <c r="N1694" s="41">
        <v>0.73</v>
      </c>
      <c r="O1694" s="41" t="s"/>
      <c r="P1694" s="41">
        <v>1</v>
      </c>
      <c r="Q1694" s="41">
        <v>1</v>
      </c>
      <c r="R1694" s="41" t="s">
        <v>16</v>
      </c>
      <c r="S1694" s="41" t="s">
        <v>17</v>
      </c>
      <c r="T1694" s="41" t="s">
        <v>128</v>
      </c>
      <c r="U1694" s="16" t="s">
        <v>13</v>
      </c>
      <c r="V1694" s="16" t="s">
        <v>19</v>
      </c>
      <c r="W1694" s="19" t="s"/>
      <c r="X1694" s="26" t="s">
        <f>=M1694&amp;N1694&amp;P1694&amp;Q1694&amp;T1694&amp;V1694&amp;S1694</f>
        <v>1843</v>
      </c>
      <c r="Y1694" s="19" t="s"/>
      <c r="Z1694" s="19" t="s"/>
      <c r="AA1694" s="19" t="s"/>
      <c r="AB1694" s="19" t="s"/>
    </row>
    <row r="1695" spans="1:28" ht="14.4">
      <c r="A1695" s="4">
        <f>=H1695/G1695-1</f>
        <v>0.101796407185629</v>
      </c>
      <c r="B1695" s="20">
        <f>=F1695/12</f>
        <v>13.8</v>
      </c>
      <c r="C1695" s="20">
        <f>=J1695/3</f>
        <v>110.4</v>
      </c>
      <c r="D1695" s="20">
        <f>=K1695/3</f>
        <v>122.666666666667</v>
      </c>
      <c r="E1695" s="20">
        <f>=L1695/3</f>
        <v>128.8</v>
      </c>
      <c r="F1695" s="20">
        <f>=H1695*0.9</f>
        <v>165.6</v>
      </c>
      <c r="G1695" s="21">
        <v>167</v>
      </c>
      <c r="H1695" s="39">
        <v>184</v>
      </c>
      <c r="I1695" s="40">
        <f>=H1695*1.05</f>
        <v>193.2</v>
      </c>
      <c r="J1695" s="40">
        <f>=F1695*2</f>
        <v>331.2</v>
      </c>
      <c r="K1695" s="40">
        <f>=H1695*2</f>
        <v>368</v>
      </c>
      <c r="L1695" s="40">
        <f>=I1695*2</f>
        <v>386.4</v>
      </c>
      <c r="M1695" s="41" t="s">
        <v>1804</v>
      </c>
      <c r="N1695" s="41">
        <v>0.9</v>
      </c>
      <c r="O1695" s="41" t="s"/>
      <c r="P1695" s="41">
        <v>1</v>
      </c>
      <c r="Q1695" s="41">
        <v>1</v>
      </c>
      <c r="R1695" s="41" t="s">
        <v>16</v>
      </c>
      <c r="S1695" s="41" t="s">
        <v>137</v>
      </c>
      <c r="T1695" s="41" t="s">
        <v>147</v>
      </c>
      <c r="U1695" s="16" t="s">
        <v>13</v>
      </c>
      <c r="V1695" s="16" t="s">
        <v>19</v>
      </c>
      <c r="W1695" s="19" t="s"/>
      <c r="X1695" s="26" t="s">
        <f>=M1695&amp;N1695&amp;P1695&amp;Q1695&amp;T1695&amp;V1695&amp;S1695</f>
        <v>1844</v>
      </c>
      <c r="Y1695" s="19" t="s"/>
      <c r="Z1695" s="19" t="s"/>
      <c r="AA1695" s="19" t="s"/>
      <c r="AB1695" s="19" t="s"/>
    </row>
    <row r="1696" spans="1:28" ht="14.4">
      <c r="A1696" s="4">
        <f>=H1696/G1696-1</f>
        <v>0.101010101010101</v>
      </c>
      <c r="B1696" s="20">
        <f>=F1696/12</f>
        <v>24.525</v>
      </c>
      <c r="C1696" s="20">
        <f>=J1696/3</f>
        <v>196.2</v>
      </c>
      <c r="D1696" s="20">
        <f>=K1696/3</f>
        <v>218</v>
      </c>
      <c r="E1696" s="20">
        <f>=L1696/3</f>
        <v>228.9</v>
      </c>
      <c r="F1696" s="20">
        <f>=H1696*0.9</f>
        <v>294.3</v>
      </c>
      <c r="G1696" s="21">
        <v>297</v>
      </c>
      <c r="H1696" s="39">
        <v>327</v>
      </c>
      <c r="I1696" s="40">
        <f>=H1696*1.05</f>
        <v>343.35</v>
      </c>
      <c r="J1696" s="40">
        <f>=F1696*2</f>
        <v>588.6</v>
      </c>
      <c r="K1696" s="40">
        <f>=H1696*2</f>
        <v>654</v>
      </c>
      <c r="L1696" s="40">
        <f>=I1696*2</f>
        <v>686.7</v>
      </c>
      <c r="M1696" s="41" t="s">
        <v>1804</v>
      </c>
      <c r="N1696" s="41">
        <v>0.9</v>
      </c>
      <c r="O1696" s="41" t="s"/>
      <c r="P1696" s="41">
        <v>2</v>
      </c>
      <c r="Q1696" s="41">
        <v>2</v>
      </c>
      <c r="R1696" s="41" t="s">
        <v>16</v>
      </c>
      <c r="S1696" s="41" t="s">
        <v>137</v>
      </c>
      <c r="T1696" s="41" t="s">
        <v>128</v>
      </c>
      <c r="U1696" s="16" t="s">
        <v>13</v>
      </c>
      <c r="V1696" s="16" t="s">
        <v>19</v>
      </c>
      <c r="W1696" s="19" t="s"/>
      <c r="X1696" s="26" t="s">
        <f>=M1696&amp;N1696&amp;P1696&amp;Q1696&amp;T1696&amp;V1696&amp;S1696</f>
        <v>1845</v>
      </c>
      <c r="Y1696" s="19" t="s"/>
      <c r="Z1696" s="19" t="s"/>
      <c r="AA1696" s="19" t="s"/>
      <c r="AB1696" s="19" t="s"/>
    </row>
    <row r="1697" spans="1:28" ht="14.4">
      <c r="A1697" s="4">
        <f>=H1697/G1697-1</f>
        <v>0.0979020979020979</v>
      </c>
      <c r="B1697" s="20">
        <f>=F1697/12</f>
        <v>11.775</v>
      </c>
      <c r="C1697" s="20">
        <f>=J1697/3</f>
        <v>94.2</v>
      </c>
      <c r="D1697" s="20">
        <f>=K1697/3</f>
        <v>104.666666666667</v>
      </c>
      <c r="E1697" s="20">
        <f>=L1697/3</f>
        <v>109.9</v>
      </c>
      <c r="F1697" s="20">
        <f>=H1697*0.9</f>
        <v>141.3</v>
      </c>
      <c r="G1697" s="21">
        <v>143</v>
      </c>
      <c r="H1697" s="39">
        <v>157</v>
      </c>
      <c r="I1697" s="40">
        <f>=H1697*1.05</f>
        <v>164.85</v>
      </c>
      <c r="J1697" s="40">
        <f>=F1697*2</f>
        <v>282.6</v>
      </c>
      <c r="K1697" s="40">
        <f>=H1697*2</f>
        <v>314</v>
      </c>
      <c r="L1697" s="40">
        <f>=I1697*2</f>
        <v>329.7</v>
      </c>
      <c r="M1697" s="41" t="s">
        <v>1804</v>
      </c>
      <c r="N1697" s="41">
        <v>0.9</v>
      </c>
      <c r="O1697" s="41" t="s"/>
      <c r="P1697" s="41" t="s">
        <v>21</v>
      </c>
      <c r="Q1697" s="41" t="s">
        <v>21</v>
      </c>
      <c r="R1697" s="41" t="s">
        <v>16</v>
      </c>
      <c r="S1697" s="41" t="s">
        <v>137</v>
      </c>
      <c r="T1697" s="41" t="s">
        <v>147</v>
      </c>
      <c r="U1697" s="16" t="s">
        <v>13</v>
      </c>
      <c r="V1697" s="16" t="s">
        <v>19</v>
      </c>
      <c r="W1697" s="19" t="s"/>
      <c r="X1697" s="26" t="s">
        <f>=M1697&amp;N1697&amp;P1697&amp;Q1697&amp;T1697&amp;V1697&amp;S1697</f>
        <v>1846</v>
      </c>
      <c r="Y1697" s="19" t="s"/>
      <c r="Z1697" s="19" t="s"/>
      <c r="AA1697" s="19" t="s"/>
      <c r="AB1697" s="19" t="s"/>
    </row>
    <row r="1698" spans="1:28" ht="14.4">
      <c r="A1698" s="4">
        <f>=H1698/G1698-1</f>
        <v>0.1</v>
      </c>
      <c r="B1698" s="20">
        <f>=F1698/12</f>
        <v>14.85</v>
      </c>
      <c r="C1698" s="20">
        <f>=J1698/3</f>
        <v>118.8</v>
      </c>
      <c r="D1698" s="20">
        <f>=K1698/3</f>
        <v>132</v>
      </c>
      <c r="E1698" s="20">
        <f>=L1698/3</f>
        <v>138.6</v>
      </c>
      <c r="F1698" s="20">
        <f>=H1698*0.9</f>
        <v>178.2</v>
      </c>
      <c r="G1698" s="21">
        <v>180</v>
      </c>
      <c r="H1698" s="39">
        <v>198</v>
      </c>
      <c r="I1698" s="40">
        <f>=H1698*1.05</f>
        <v>207.9</v>
      </c>
      <c r="J1698" s="40">
        <f>=F1698*2</f>
        <v>356.4</v>
      </c>
      <c r="K1698" s="40">
        <f>=H1698*2</f>
        <v>396</v>
      </c>
      <c r="L1698" s="40">
        <f>=I1698*2</f>
        <v>415.8</v>
      </c>
      <c r="M1698" s="41" t="s">
        <v>1804</v>
      </c>
      <c r="N1698" s="41">
        <v>1</v>
      </c>
      <c r="O1698" s="41" t="s"/>
      <c r="P1698" s="41" t="s">
        <v>21</v>
      </c>
      <c r="Q1698" s="41" t="s">
        <v>21</v>
      </c>
      <c r="R1698" s="41" t="s">
        <v>16</v>
      </c>
      <c r="S1698" s="41" t="s">
        <v>137</v>
      </c>
      <c r="T1698" s="41" t="s">
        <v>147</v>
      </c>
      <c r="U1698" s="16" t="s">
        <v>13</v>
      </c>
      <c r="V1698" s="16" t="s">
        <v>19</v>
      </c>
      <c r="W1698" s="19" t="s"/>
      <c r="X1698" s="26" t="s">
        <f>=M1698&amp;N1698&amp;P1698&amp;Q1698&amp;T1698&amp;V1698&amp;S1698</f>
        <v>1847</v>
      </c>
      <c r="Y1698" s="19" t="s"/>
      <c r="Z1698" s="19" t="s"/>
      <c r="AA1698" s="19" t="s"/>
      <c r="AB1698" s="19" t="s"/>
    </row>
    <row r="1699" spans="1:28" ht="14.4">
      <c r="A1699" s="4">
        <f>=H1699/G1699-1</f>
        <v>0.0977011494252873</v>
      </c>
      <c r="B1699" s="20">
        <f>=F1699/12</f>
        <v>14.325</v>
      </c>
      <c r="C1699" s="20">
        <f>=J1699/3</f>
        <v>114.6</v>
      </c>
      <c r="D1699" s="20">
        <f>=K1699/3</f>
        <v>127.333333333333</v>
      </c>
      <c r="E1699" s="20">
        <f>=L1699/3</f>
        <v>133.7</v>
      </c>
      <c r="F1699" s="20">
        <f>=H1699*0.9</f>
        <v>171.9</v>
      </c>
      <c r="G1699" s="21">
        <v>174</v>
      </c>
      <c r="H1699" s="39">
        <v>191</v>
      </c>
      <c r="I1699" s="40">
        <f>=H1699*1.05</f>
        <v>200.55</v>
      </c>
      <c r="J1699" s="40">
        <f>=F1699*2</f>
        <v>343.8</v>
      </c>
      <c r="K1699" s="40">
        <f>=H1699*2</f>
        <v>382</v>
      </c>
      <c r="L1699" s="40">
        <f>=I1699*2</f>
        <v>401.1</v>
      </c>
      <c r="M1699" s="41" t="s">
        <v>1804</v>
      </c>
      <c r="N1699" s="41">
        <v>1</v>
      </c>
      <c r="O1699" s="41" t="s"/>
      <c r="P1699" s="41">
        <v>1</v>
      </c>
      <c r="Q1699" s="41">
        <v>1</v>
      </c>
      <c r="R1699" s="41" t="s">
        <v>16</v>
      </c>
      <c r="S1699" s="41" t="s">
        <v>137</v>
      </c>
      <c r="T1699" s="41" t="s">
        <v>147</v>
      </c>
      <c r="U1699" s="16" t="s">
        <v>13</v>
      </c>
      <c r="V1699" s="16" t="s">
        <v>19</v>
      </c>
      <c r="W1699" s="19" t="s"/>
      <c r="X1699" s="26" t="s">
        <f>=M1699&amp;N1699&amp;P1699&amp;Q1699&amp;T1699&amp;V1699&amp;S1699</f>
        <v>1848</v>
      </c>
      <c r="Y1699" s="19" t="s"/>
      <c r="Z1699" s="19" t="s"/>
      <c r="AA1699" s="19" t="s"/>
      <c r="AB1699" s="19" t="s"/>
    </row>
    <row r="1700" spans="1:28" ht="14.4">
      <c r="A1700" s="4">
        <f>=H1700/G1700-1</f>
        <v>0.0985915492957748</v>
      </c>
      <c r="B1700" s="20">
        <f>=F1700/12</f>
        <v>23.4</v>
      </c>
      <c r="C1700" s="20">
        <f>=J1700/3</f>
        <v>187.2</v>
      </c>
      <c r="D1700" s="20">
        <f>=K1700/3</f>
        <v>208</v>
      </c>
      <c r="E1700" s="20">
        <f>=L1700/3</f>
        <v>218.4</v>
      </c>
      <c r="F1700" s="20">
        <f>=H1700*0.9</f>
        <v>280.8</v>
      </c>
      <c r="G1700" s="21">
        <v>284</v>
      </c>
      <c r="H1700" s="39">
        <v>312</v>
      </c>
      <c r="I1700" s="40">
        <f>=H1700*1.05</f>
        <v>327.6</v>
      </c>
      <c r="J1700" s="40">
        <f>=F1700*2</f>
        <v>561.6</v>
      </c>
      <c r="K1700" s="40">
        <f>=H1700*2</f>
        <v>624</v>
      </c>
      <c r="L1700" s="40">
        <f>=I1700*2</f>
        <v>655.2</v>
      </c>
      <c r="M1700" s="41" t="s">
        <v>1804</v>
      </c>
      <c r="N1700" s="41">
        <v>1</v>
      </c>
      <c r="O1700" s="41" t="s"/>
      <c r="P1700" s="41">
        <v>2</v>
      </c>
      <c r="Q1700" s="41">
        <v>2</v>
      </c>
      <c r="R1700" s="41" t="s">
        <v>16</v>
      </c>
      <c r="S1700" s="41" t="s">
        <v>137</v>
      </c>
      <c r="T1700" s="41" t="s">
        <v>147</v>
      </c>
      <c r="U1700" s="16" t="s">
        <v>13</v>
      </c>
      <c r="V1700" s="16" t="s">
        <v>19</v>
      </c>
      <c r="W1700" s="19" t="s"/>
      <c r="X1700" s="26" t="s">
        <f>=M1700&amp;N1700&amp;P1700&amp;Q1700&amp;T1700&amp;V1700&amp;S1700</f>
        <v>1849</v>
      </c>
      <c r="Y1700" s="19" t="s"/>
      <c r="Z1700" s="19" t="s"/>
      <c r="AA1700" s="19" t="s"/>
      <c r="AB1700" s="19" t="s"/>
    </row>
    <row r="1701" spans="1:28" ht="14.4">
      <c r="A1701" s="4">
        <f>=H1701/G1701-1</f>
        <v>0.098901098901099</v>
      </c>
      <c r="B1701" s="20">
        <f>=F1701/12</f>
        <v>15</v>
      </c>
      <c r="C1701" s="20">
        <f>=J1701/3</f>
        <v>120</v>
      </c>
      <c r="D1701" s="20">
        <f>=K1701/3</f>
        <v>133.333333333333</v>
      </c>
      <c r="E1701" s="20">
        <f>=L1701/3</f>
        <v>140</v>
      </c>
      <c r="F1701" s="20">
        <f>=H1701*0.9</f>
        <v>180</v>
      </c>
      <c r="G1701" s="21">
        <v>182</v>
      </c>
      <c r="H1701" s="39">
        <v>200</v>
      </c>
      <c r="I1701" s="40">
        <f>=H1701*1.05</f>
        <v>210</v>
      </c>
      <c r="J1701" s="40">
        <f>=F1701*2</f>
        <v>360</v>
      </c>
      <c r="K1701" s="40">
        <f>=H1701*2</f>
        <v>400</v>
      </c>
      <c r="L1701" s="40">
        <f>=I1701*2</f>
        <v>420</v>
      </c>
      <c r="M1701" s="41" t="s">
        <v>1804</v>
      </c>
      <c r="N1701" s="41">
        <v>1.1</v>
      </c>
      <c r="O1701" s="41" t="s"/>
      <c r="P1701" s="41">
        <v>1</v>
      </c>
      <c r="Q1701" s="41">
        <v>1</v>
      </c>
      <c r="R1701" s="41" t="s">
        <v>16</v>
      </c>
      <c r="S1701" s="41" t="s">
        <v>137</v>
      </c>
      <c r="T1701" s="41" t="s">
        <v>153</v>
      </c>
      <c r="U1701" s="16" t="s">
        <v>13</v>
      </c>
      <c r="V1701" s="16" t="s">
        <v>19</v>
      </c>
      <c r="W1701" s="19" t="s"/>
      <c r="X1701" s="26" t="s">
        <f>=M1701&amp;N1701&amp;P1701&amp;Q1701&amp;T1701&amp;V1701&amp;S1701</f>
        <v>1850</v>
      </c>
      <c r="Y1701" s="19" t="s"/>
      <c r="Z1701" s="19" t="s"/>
      <c r="AA1701" s="19" t="s"/>
      <c r="AB1701" s="19" t="s"/>
    </row>
    <row r="1702" spans="1:28" ht="14.4">
      <c r="A1702" s="4">
        <f>=H1702/G1702-1</f>
        <v>0.0996441281138789</v>
      </c>
      <c r="B1702" s="20">
        <f>=F1702/12</f>
        <v>23.175</v>
      </c>
      <c r="C1702" s="20">
        <f>=J1702/3</f>
        <v>185.4</v>
      </c>
      <c r="D1702" s="20">
        <f>=K1702/3</f>
        <v>206</v>
      </c>
      <c r="E1702" s="20">
        <f>=L1702/3</f>
        <v>216.3</v>
      </c>
      <c r="F1702" s="20">
        <f>=H1702*0.9</f>
        <v>278.1</v>
      </c>
      <c r="G1702" s="21">
        <v>281</v>
      </c>
      <c r="H1702" s="39">
        <v>309</v>
      </c>
      <c r="I1702" s="40">
        <f>=H1702*1.05</f>
        <v>324.45</v>
      </c>
      <c r="J1702" s="40">
        <f>=F1702*2</f>
        <v>556.2</v>
      </c>
      <c r="K1702" s="40">
        <f>=H1702*2</f>
        <v>618</v>
      </c>
      <c r="L1702" s="40">
        <f>=I1702*2</f>
        <v>648.9</v>
      </c>
      <c r="M1702" s="41" t="s">
        <v>1804</v>
      </c>
      <c r="N1702" s="41">
        <v>1.1</v>
      </c>
      <c r="O1702" s="41" t="s"/>
      <c r="P1702" s="41">
        <v>2</v>
      </c>
      <c r="Q1702" s="41">
        <v>2</v>
      </c>
      <c r="R1702" s="41" t="s">
        <v>16</v>
      </c>
      <c r="S1702" s="41" t="s">
        <v>137</v>
      </c>
      <c r="T1702" s="41" t="s">
        <v>147</v>
      </c>
      <c r="U1702" s="16" t="s">
        <v>13</v>
      </c>
      <c r="V1702" s="16" t="s">
        <v>19</v>
      </c>
      <c r="W1702" s="19" t="s"/>
      <c r="X1702" s="26" t="s">
        <f>=M1702&amp;N1702&amp;P1702&amp;Q1702&amp;T1702&amp;V1702&amp;S1702</f>
        <v>1851</v>
      </c>
      <c r="Y1702" s="19" t="s"/>
      <c r="Z1702" s="19" t="s"/>
      <c r="AA1702" s="19" t="s"/>
      <c r="AB1702" s="19" t="s"/>
    </row>
    <row r="1703" spans="1:29" s="276" customFormat="true" ht="14.4">
      <c r="A1703" s="173">
        <f>=H1703/G1703-1</f>
        <v>0.100502512562814</v>
      </c>
      <c r="B1703" s="20">
        <f>=F1703/12</f>
        <v>16.425</v>
      </c>
      <c r="C1703" s="20">
        <f>=J1703/3</f>
        <v>131.4</v>
      </c>
      <c r="D1703" s="20">
        <f>=K1703/3</f>
        <v>146</v>
      </c>
      <c r="E1703" s="20">
        <f>=L1703/3</f>
        <v>153.3</v>
      </c>
      <c r="F1703" s="20">
        <f>=H1703*0.9</f>
        <v>197.1</v>
      </c>
      <c r="G1703" s="174">
        <v>199</v>
      </c>
      <c r="H1703" s="39">
        <v>219</v>
      </c>
      <c r="I1703" s="40">
        <f>=H1703*1.05</f>
        <v>229.95</v>
      </c>
      <c r="J1703" s="40">
        <f>=F1703*2</f>
        <v>394.2</v>
      </c>
      <c r="K1703" s="40">
        <f>=H1703*2</f>
        <v>438</v>
      </c>
      <c r="L1703" s="40">
        <f>=I1703*2</f>
        <v>459.9</v>
      </c>
      <c r="M1703" s="41" t="s">
        <v>1804</v>
      </c>
      <c r="N1703" s="41">
        <v>1.2</v>
      </c>
      <c r="O1703" s="41" t="s"/>
      <c r="P1703" s="41">
        <v>1</v>
      </c>
      <c r="Q1703" s="41">
        <v>1</v>
      </c>
      <c r="R1703" s="41" t="s">
        <v>16</v>
      </c>
      <c r="S1703" s="41" t="s">
        <v>137</v>
      </c>
      <c r="T1703" s="41" t="s">
        <v>153</v>
      </c>
      <c r="U1703" s="175" t="s">
        <v>13</v>
      </c>
      <c r="V1703" s="175" t="s">
        <v>19</v>
      </c>
      <c r="W1703" s="176" t="s"/>
      <c r="X1703" s="26" t="s">
        <f>=M1703&amp;N1703&amp;P1703&amp;Q1703&amp;T1703&amp;V1703&amp;S1703</f>
        <v>1852</v>
      </c>
      <c r="Y1703" s="176" t="s"/>
      <c r="Z1703" s="176" t="s"/>
      <c r="AA1703" s="176" t="s"/>
      <c r="AB1703" s="176" t="s"/>
      <c r="AC1703" s="177" t="s"/>
    </row>
    <row r="1704" spans="1:29" s="278" customFormat="true" ht="14.4">
      <c r="A1704" s="195">
        <f>=H1704/G1704-1</f>
        <v>0.100502512562814</v>
      </c>
      <c r="B1704" s="43">
        <f>=F1704/12</f>
        <v>16.425</v>
      </c>
      <c r="C1704" s="43">
        <f>=J1704/3</f>
        <v>131.4</v>
      </c>
      <c r="D1704" s="43">
        <f>=K1704/3</f>
        <v>146</v>
      </c>
      <c r="E1704" s="43">
        <f>=L1704/3</f>
        <v>153.3</v>
      </c>
      <c r="F1704" s="43">
        <f>=H1704*0.9</f>
        <v>197.1</v>
      </c>
      <c r="G1704" s="189">
        <v>199</v>
      </c>
      <c r="H1704" s="44">
        <v>219</v>
      </c>
      <c r="I1704" s="45">
        <f>=H1704*1.05</f>
        <v>229.95</v>
      </c>
      <c r="J1704" s="45">
        <f>=F1704*2</f>
        <v>394.2</v>
      </c>
      <c r="K1704" s="45">
        <f>=H1704*2</f>
        <v>438</v>
      </c>
      <c r="L1704" s="45">
        <f>=I1704*2</f>
        <v>459.9</v>
      </c>
      <c r="M1704" s="46" t="s">
        <v>1804</v>
      </c>
      <c r="N1704" s="12">
        <v>1.3</v>
      </c>
      <c r="O1704" s="46" t="s"/>
      <c r="P1704" s="46">
        <v>1</v>
      </c>
      <c r="Q1704" s="46">
        <v>1</v>
      </c>
      <c r="R1704" s="46" t="s">
        <v>16</v>
      </c>
      <c r="S1704" s="46" t="s">
        <v>137</v>
      </c>
      <c r="T1704" s="46" t="s">
        <v>153</v>
      </c>
      <c r="U1704" s="196" t="s">
        <v>13</v>
      </c>
      <c r="V1704" s="196" t="s">
        <v>19</v>
      </c>
      <c r="W1704" s="197" t="s"/>
      <c r="X1704" s="18" t="s">
        <f>=M1704&amp;N1704&amp;P1704&amp;Q1704&amp;T1704&amp;V1704&amp;S1704</f>
        <v>1853</v>
      </c>
      <c r="Y1704" s="197" t="s"/>
      <c r="Z1704" s="197" t="s"/>
      <c r="AA1704" s="197" t="s"/>
      <c r="AB1704" s="197" t="s"/>
      <c r="AC1704" s="198" t="s"/>
    </row>
    <row r="1705" spans="1:29" s="278" customFormat="true" ht="14.4">
      <c r="A1705" s="188">
        <f>=H1705/G1705-1</f>
        <v>1.06030150753769</v>
      </c>
      <c r="B1705" s="43">
        <f>=F1705/12</f>
        <v>30.75</v>
      </c>
      <c r="C1705" s="43">
        <f>=J1705/3</f>
        <v>246</v>
      </c>
      <c r="D1705" s="43">
        <f>=K1705/3</f>
        <v>273.333333333333</v>
      </c>
      <c r="E1705" s="43">
        <f>=L1705/3</f>
        <v>287</v>
      </c>
      <c r="F1705" s="43">
        <f>=H1705*0.9</f>
        <v>369</v>
      </c>
      <c r="G1705" s="189">
        <v>199</v>
      </c>
      <c r="H1705" s="44">
        <v>410</v>
      </c>
      <c r="I1705" s="45">
        <f>=H1705*1.05</f>
        <v>430.5</v>
      </c>
      <c r="J1705" s="45">
        <f>=F1705*2</f>
        <v>738</v>
      </c>
      <c r="K1705" s="45">
        <f>=H1705*2</f>
        <v>820</v>
      </c>
      <c r="L1705" s="45">
        <f>=I1705*2</f>
        <v>861</v>
      </c>
      <c r="M1705" s="46" t="s">
        <v>1804</v>
      </c>
      <c r="N1705" s="12">
        <v>1.3</v>
      </c>
      <c r="O1705" s="46" t="s"/>
      <c r="P1705" s="46">
        <v>2</v>
      </c>
      <c r="Q1705" s="46">
        <v>2</v>
      </c>
      <c r="R1705" s="46" t="s">
        <v>16</v>
      </c>
      <c r="S1705" s="46" t="s">
        <v>137</v>
      </c>
      <c r="T1705" s="46" t="s">
        <v>153</v>
      </c>
      <c r="U1705" s="190" t="s">
        <v>13</v>
      </c>
      <c r="V1705" s="190" t="s">
        <v>19</v>
      </c>
      <c r="W1705" s="191">
        <v>46184</v>
      </c>
      <c r="X1705" s="18" t="s">
        <f>=M1705&amp;N1705&amp;P1705&amp;Q1705&amp;T1705&amp;V1705&amp;S1705</f>
        <v>1854</v>
      </c>
      <c r="Y1705" s="192" t="s"/>
      <c r="Z1705" s="192" t="s"/>
      <c r="AA1705" s="192" t="s"/>
      <c r="AB1705" s="192" t="s"/>
      <c r="AC1705" s="177" t="s"/>
    </row>
    <row r="1706" spans="1:28" ht="14.4">
      <c r="A1706" s="4">
        <f>=H1706/G1706-1</f>
        <v>0.102040816326531</v>
      </c>
      <c r="B1706" s="20">
        <f>=F1706/12</f>
        <v>16.2</v>
      </c>
      <c r="C1706" s="20">
        <f>=J1706/3</f>
        <v>129.6</v>
      </c>
      <c r="D1706" s="20">
        <f>=K1706/3</f>
        <v>144</v>
      </c>
      <c r="E1706" s="20">
        <f>=L1706/3</f>
        <v>151.2</v>
      </c>
      <c r="F1706" s="20">
        <f>=H1706*0.9</f>
        <v>194.4</v>
      </c>
      <c r="G1706" s="21">
        <v>196</v>
      </c>
      <c r="H1706" s="39">
        <v>216</v>
      </c>
      <c r="I1706" s="40">
        <f>=H1706*1.05</f>
        <v>226.8</v>
      </c>
      <c r="J1706" s="40">
        <f>=F1706*2</f>
        <v>388.8</v>
      </c>
      <c r="K1706" s="40">
        <f>=H1706*2</f>
        <v>432</v>
      </c>
      <c r="L1706" s="40">
        <f>=I1706*2</f>
        <v>453.6</v>
      </c>
      <c r="M1706" s="41" t="s">
        <v>1804</v>
      </c>
      <c r="N1706" s="41">
        <v>1.4</v>
      </c>
      <c r="O1706" s="41" t="s"/>
      <c r="P1706" s="41">
        <v>1</v>
      </c>
      <c r="Q1706" s="41">
        <v>1</v>
      </c>
      <c r="R1706" s="41" t="s">
        <v>16</v>
      </c>
      <c r="S1706" s="41" t="s">
        <v>137</v>
      </c>
      <c r="T1706" s="41" t="s">
        <v>163</v>
      </c>
      <c r="U1706" s="16" t="s">
        <v>13</v>
      </c>
      <c r="V1706" s="16" t="s">
        <v>19</v>
      </c>
      <c r="W1706" s="19" t="s"/>
      <c r="X1706" s="26" t="s">
        <f>=M1706&amp;N1706&amp;P1706&amp;Q1706&amp;T1706&amp;V1706&amp;S1706</f>
        <v>1855</v>
      </c>
      <c r="Y1706" s="19" t="s"/>
      <c r="Z1706" s="19" t="s"/>
      <c r="AA1706" s="19" t="s"/>
      <c r="AB1706" s="19" t="s"/>
    </row>
    <row r="1707" spans="1:28" ht="14.4">
      <c r="A1707" s="4">
        <f>=H1707/G1707-1</f>
        <v>0.098814229249012</v>
      </c>
      <c r="B1707" s="20">
        <f>=F1707/12</f>
        <v>20.85</v>
      </c>
      <c r="C1707" s="20">
        <f>=J1707/3</f>
        <v>166.8</v>
      </c>
      <c r="D1707" s="20">
        <f>=K1707/3</f>
        <v>185.333333333333</v>
      </c>
      <c r="E1707" s="20">
        <f>=L1707/3</f>
        <v>194.6</v>
      </c>
      <c r="F1707" s="20">
        <f>=H1707*0.9</f>
        <v>250.2</v>
      </c>
      <c r="G1707" s="21">
        <v>253</v>
      </c>
      <c r="H1707" s="39">
        <v>278</v>
      </c>
      <c r="I1707" s="40">
        <f>=H1707*1.05</f>
        <v>291.9</v>
      </c>
      <c r="J1707" s="40">
        <f>=F1707*2</f>
        <v>500.4</v>
      </c>
      <c r="K1707" s="40">
        <f>=H1707*2</f>
        <v>556</v>
      </c>
      <c r="L1707" s="40">
        <f>=I1707*2</f>
        <v>583.8</v>
      </c>
      <c r="M1707" s="41" t="s">
        <v>1804</v>
      </c>
      <c r="N1707" s="41">
        <v>1.4</v>
      </c>
      <c r="O1707" s="41" t="s"/>
      <c r="P1707" s="41">
        <v>1.5</v>
      </c>
      <c r="Q1707" s="41">
        <v>1.5</v>
      </c>
      <c r="R1707" s="41" t="s">
        <v>16</v>
      </c>
      <c r="S1707" s="41" t="s">
        <v>137</v>
      </c>
      <c r="T1707" s="41" t="s">
        <v>163</v>
      </c>
      <c r="U1707" s="16" t="s">
        <v>13</v>
      </c>
      <c r="V1707" s="16" t="s">
        <v>19</v>
      </c>
      <c r="W1707" s="19" t="s"/>
      <c r="X1707" s="26" t="s">
        <f>=M1707&amp;N1707&amp;P1707&amp;Q1707&amp;T1707&amp;V1707&amp;S1707</f>
        <v>1856</v>
      </c>
      <c r="Y1707" s="19" t="s"/>
      <c r="Z1707" s="19" t="s"/>
      <c r="AA1707" s="19" t="s"/>
      <c r="AB1707" s="19" t="s"/>
    </row>
    <row r="1708" spans="1:28" ht="14.4">
      <c r="A1708" s="4">
        <f>=H1708/G1708-1</f>
        <v>0.100346020761246</v>
      </c>
      <c r="B1708" s="20">
        <f>=F1708/12</f>
        <v>23.85</v>
      </c>
      <c r="C1708" s="20">
        <f>=J1708/3</f>
        <v>190.8</v>
      </c>
      <c r="D1708" s="20">
        <f>=K1708/3</f>
        <v>212</v>
      </c>
      <c r="E1708" s="20">
        <f>=L1708/3</f>
        <v>222.6</v>
      </c>
      <c r="F1708" s="20">
        <f>=H1708*0.9</f>
        <v>286.2</v>
      </c>
      <c r="G1708" s="21">
        <v>289</v>
      </c>
      <c r="H1708" s="39">
        <v>318</v>
      </c>
      <c r="I1708" s="40">
        <f>=H1708*1.05</f>
        <v>333.9</v>
      </c>
      <c r="J1708" s="40">
        <f>=F1708*2</f>
        <v>572.4</v>
      </c>
      <c r="K1708" s="40">
        <f>=H1708*2</f>
        <v>636</v>
      </c>
      <c r="L1708" s="40">
        <f>=I1708*2</f>
        <v>667.8</v>
      </c>
      <c r="M1708" s="41" t="s">
        <v>1804</v>
      </c>
      <c r="N1708" s="41">
        <v>1.4</v>
      </c>
      <c r="O1708" s="41" t="s"/>
      <c r="P1708" s="41">
        <v>2</v>
      </c>
      <c r="Q1708" s="41">
        <v>2</v>
      </c>
      <c r="R1708" s="41" t="s">
        <v>16</v>
      </c>
      <c r="S1708" s="41" t="s">
        <v>137</v>
      </c>
      <c r="T1708" s="41" t="s">
        <v>163</v>
      </c>
      <c r="U1708" s="16" t="s">
        <v>13</v>
      </c>
      <c r="V1708" s="16" t="s">
        <v>19</v>
      </c>
      <c r="W1708" s="19" t="s"/>
      <c r="X1708" s="26" t="s">
        <f>=M1708&amp;N1708&amp;P1708&amp;Q1708&amp;T1708&amp;V1708&amp;S1708</f>
        <v>1857</v>
      </c>
      <c r="Y1708" s="19" t="s"/>
      <c r="Z1708" s="19" t="s"/>
      <c r="AA1708" s="19" t="s"/>
      <c r="AB1708" s="19" t="s"/>
    </row>
    <row r="1709" spans="1:29" s="276" customFormat="true" ht="14.4">
      <c r="A1709" s="173">
        <f>=H1709/G1709-1</f>
        <v>0.0987654320987654</v>
      </c>
      <c r="B1709" s="20">
        <f>=F1709/12</f>
        <v>13.35</v>
      </c>
      <c r="C1709" s="20">
        <f>=J1709/3</f>
        <v>106.8</v>
      </c>
      <c r="D1709" s="20">
        <f>=K1709/3</f>
        <v>118.666666666667</v>
      </c>
      <c r="E1709" s="20">
        <f>=L1709/3</f>
        <v>124.6</v>
      </c>
      <c r="F1709" s="20">
        <f>=H1709*0.9</f>
        <v>160.2</v>
      </c>
      <c r="G1709" s="174">
        <v>162</v>
      </c>
      <c r="H1709" s="39">
        <v>178</v>
      </c>
      <c r="I1709" s="40">
        <f>=H1709*1.05</f>
        <v>186.9</v>
      </c>
      <c r="J1709" s="40">
        <f>=F1709*2</f>
        <v>320.4</v>
      </c>
      <c r="K1709" s="40">
        <f>=H1709*2</f>
        <v>356</v>
      </c>
      <c r="L1709" s="40">
        <f>=I1709*2</f>
        <v>373.8</v>
      </c>
      <c r="M1709" s="41" t="s">
        <v>1804</v>
      </c>
      <c r="N1709" s="41">
        <v>1.4</v>
      </c>
      <c r="O1709" s="41" t="s"/>
      <c r="P1709" s="41" t="s">
        <v>21</v>
      </c>
      <c r="Q1709" s="41" t="s">
        <v>21</v>
      </c>
      <c r="R1709" s="41" t="s">
        <v>16</v>
      </c>
      <c r="S1709" s="41" t="s">
        <v>137</v>
      </c>
      <c r="T1709" s="41" t="s">
        <v>163</v>
      </c>
      <c r="U1709" s="175" t="s">
        <v>13</v>
      </c>
      <c r="V1709" s="175" t="s">
        <v>19</v>
      </c>
      <c r="W1709" s="176" t="s"/>
      <c r="X1709" s="26" t="s">
        <f>=M1709&amp;N1709&amp;P1709&amp;Q1709&amp;T1709&amp;V1709&amp;S1709</f>
        <v>1858</v>
      </c>
      <c r="Y1709" s="176" t="s"/>
      <c r="Z1709" s="176" t="s"/>
      <c r="AA1709" s="176" t="s"/>
      <c r="AB1709" s="176" t="s"/>
      <c r="AC1709" s="177" t="s"/>
    </row>
    <row r="1710" spans="1:28" ht="14.4">
      <c r="A1710" s="4">
        <f>=H1710/G1710-1</f>
        <v>0.101190476190476</v>
      </c>
      <c r="B1710" s="20">
        <f>=F1710/12</f>
        <v>13.875</v>
      </c>
      <c r="C1710" s="20">
        <f>=J1710/3</f>
        <v>111</v>
      </c>
      <c r="D1710" s="20">
        <f>=K1710/3</f>
        <v>123.333333333333</v>
      </c>
      <c r="E1710" s="20">
        <f>=L1710/3</f>
        <v>129.5</v>
      </c>
      <c r="F1710" s="20">
        <f>=H1710*0.9</f>
        <v>166.5</v>
      </c>
      <c r="G1710" s="21">
        <v>168</v>
      </c>
      <c r="H1710" s="39">
        <v>185</v>
      </c>
      <c r="I1710" s="40">
        <f>=H1710*1.05</f>
        <v>194.25</v>
      </c>
      <c r="J1710" s="40">
        <f>=F1710*2</f>
        <v>333</v>
      </c>
      <c r="K1710" s="40">
        <f>=H1710*2</f>
        <v>370</v>
      </c>
      <c r="L1710" s="40">
        <f>=I1710*2</f>
        <v>388.5</v>
      </c>
      <c r="M1710" s="41" t="s">
        <v>1804</v>
      </c>
      <c r="N1710" s="41">
        <v>1.45</v>
      </c>
      <c r="O1710" s="41" t="s"/>
      <c r="P1710" s="41" t="s">
        <v>21</v>
      </c>
      <c r="Q1710" s="41" t="s">
        <v>21</v>
      </c>
      <c r="R1710" s="41" t="s">
        <v>16</v>
      </c>
      <c r="S1710" s="41" t="s">
        <v>137</v>
      </c>
      <c r="T1710" s="41" t="s">
        <v>171</v>
      </c>
      <c r="U1710" s="16" t="s">
        <v>13</v>
      </c>
      <c r="V1710" s="16" t="s">
        <v>19</v>
      </c>
      <c r="W1710" s="19" t="s"/>
      <c r="X1710" s="26" t="s">
        <f>=M1710&amp;N1710&amp;P1710&amp;Q1710&amp;T1710&amp;V1710&amp;S1710</f>
        <v>1859</v>
      </c>
      <c r="Y1710" s="19" t="s"/>
      <c r="Z1710" s="19" t="s"/>
      <c r="AA1710" s="19" t="s"/>
      <c r="AB1710" s="19" t="s"/>
    </row>
    <row r="1711" spans="1:29" s="276" customFormat="true" ht="14.4">
      <c r="A1711" s="173">
        <f>=H1711/G1711-1</f>
        <v>0.102325581395349</v>
      </c>
      <c r="B1711" s="20">
        <f>=F1711/12</f>
        <v>17.775</v>
      </c>
      <c r="C1711" s="20">
        <f>=J1711/3</f>
        <v>142.2</v>
      </c>
      <c r="D1711" s="20">
        <f>=K1711/3</f>
        <v>158</v>
      </c>
      <c r="E1711" s="20">
        <f>=L1711/3</f>
        <v>165.9</v>
      </c>
      <c r="F1711" s="20">
        <f>=H1711*0.9</f>
        <v>213.3</v>
      </c>
      <c r="G1711" s="174">
        <v>215</v>
      </c>
      <c r="H1711" s="39">
        <v>237</v>
      </c>
      <c r="I1711" s="40">
        <f>=H1711*1.05</f>
        <v>248.85</v>
      </c>
      <c r="J1711" s="40">
        <f>=F1711*2</f>
        <v>426.6</v>
      </c>
      <c r="K1711" s="40">
        <f>=H1711*2</f>
        <v>474</v>
      </c>
      <c r="L1711" s="40">
        <f>=I1711*2</f>
        <v>497.7</v>
      </c>
      <c r="M1711" s="41" t="s">
        <v>1804</v>
      </c>
      <c r="N1711" s="41">
        <v>1.5</v>
      </c>
      <c r="O1711" s="41" t="s"/>
      <c r="P1711" s="41">
        <v>1</v>
      </c>
      <c r="Q1711" s="41">
        <v>1</v>
      </c>
      <c r="R1711" s="41" t="s">
        <v>16</v>
      </c>
      <c r="S1711" s="41" t="s">
        <v>137</v>
      </c>
      <c r="T1711" s="41" t="s">
        <v>171</v>
      </c>
      <c r="U1711" s="175" t="s">
        <v>13</v>
      </c>
      <c r="V1711" s="175" t="s">
        <v>19</v>
      </c>
      <c r="W1711" s="176" t="s"/>
      <c r="X1711" s="26" t="s">
        <f>=M1711&amp;N1711&amp;P1711&amp;Q1711&amp;T1711&amp;V1711&amp;S1711</f>
        <v>1860</v>
      </c>
      <c r="Y1711" s="176" t="s"/>
      <c r="Z1711" s="176" t="s"/>
      <c r="AA1711" s="176" t="s"/>
      <c r="AB1711" s="176" t="s"/>
      <c r="AC1711" s="177" t="s"/>
    </row>
    <row r="1712" spans="1:28" ht="14.4">
      <c r="A1712" s="4">
        <f>=H1712/G1712-1</f>
        <v>0.101694915254237</v>
      </c>
      <c r="B1712" s="20">
        <f>=F1712/12</f>
        <v>24.375</v>
      </c>
      <c r="C1712" s="20">
        <f>=J1712/3</f>
        <v>195</v>
      </c>
      <c r="D1712" s="20">
        <f>=K1712/3</f>
        <v>216.666666666667</v>
      </c>
      <c r="E1712" s="20">
        <f>=L1712/3</f>
        <v>227.5</v>
      </c>
      <c r="F1712" s="20">
        <f>=H1712*0.9</f>
        <v>292.5</v>
      </c>
      <c r="G1712" s="21">
        <v>295</v>
      </c>
      <c r="H1712" s="39">
        <v>325</v>
      </c>
      <c r="I1712" s="40">
        <f>=H1712*1.05</f>
        <v>341.25</v>
      </c>
      <c r="J1712" s="40">
        <f>=F1712*2</f>
        <v>585</v>
      </c>
      <c r="K1712" s="40">
        <f>=H1712*2</f>
        <v>650</v>
      </c>
      <c r="L1712" s="40">
        <f>=I1712*2</f>
        <v>682.5</v>
      </c>
      <c r="M1712" s="41" t="s">
        <v>1804</v>
      </c>
      <c r="N1712" s="41">
        <v>1.5</v>
      </c>
      <c r="O1712" s="41" t="s"/>
      <c r="P1712" s="41">
        <v>1.5</v>
      </c>
      <c r="Q1712" s="41">
        <v>1.5</v>
      </c>
      <c r="R1712" s="41" t="s">
        <v>16</v>
      </c>
      <c r="S1712" s="41" t="s">
        <v>137</v>
      </c>
      <c r="T1712" s="41" t="s">
        <v>171</v>
      </c>
      <c r="U1712" s="16" t="s">
        <v>13</v>
      </c>
      <c r="V1712" s="16" t="s">
        <v>19</v>
      </c>
      <c r="W1712" s="19" t="s"/>
      <c r="X1712" s="26" t="s">
        <f>=M1712&amp;N1712&amp;P1712&amp;Q1712&amp;T1712&amp;V1712&amp;S1712</f>
        <v>1861</v>
      </c>
      <c r="Y1712" s="19" t="s"/>
      <c r="Z1712" s="19" t="s"/>
      <c r="AA1712" s="19" t="s"/>
      <c r="AB1712" s="19" t="s"/>
    </row>
    <row r="1713" spans="1:28" ht="14.4">
      <c r="A1713" s="4">
        <f>=H1713/G1713-1</f>
        <v>0.100977198697068</v>
      </c>
      <c r="B1713" s="20">
        <f>=F1713/12</f>
        <v>25.35</v>
      </c>
      <c r="C1713" s="20">
        <f>=J1713/3</f>
        <v>202.8</v>
      </c>
      <c r="D1713" s="20">
        <f>=K1713/3</f>
        <v>225.333333333333</v>
      </c>
      <c r="E1713" s="20">
        <f>=L1713/3</f>
        <v>236.6</v>
      </c>
      <c r="F1713" s="20">
        <f>=H1713*0.9</f>
        <v>304.2</v>
      </c>
      <c r="G1713" s="21">
        <v>307</v>
      </c>
      <c r="H1713" s="39">
        <v>338</v>
      </c>
      <c r="I1713" s="40">
        <f>=H1713*1.05</f>
        <v>354.9</v>
      </c>
      <c r="J1713" s="40">
        <f>=F1713*2</f>
        <v>608.4</v>
      </c>
      <c r="K1713" s="40">
        <f>=H1713*2</f>
        <v>676</v>
      </c>
      <c r="L1713" s="40">
        <f>=I1713*2</f>
        <v>709.8</v>
      </c>
      <c r="M1713" s="41" t="s">
        <v>1804</v>
      </c>
      <c r="N1713" s="41">
        <v>1.5</v>
      </c>
      <c r="O1713" s="41" t="s"/>
      <c r="P1713" s="41">
        <v>2</v>
      </c>
      <c r="Q1713" s="41">
        <v>2</v>
      </c>
      <c r="R1713" s="41" t="s">
        <v>16</v>
      </c>
      <c r="S1713" s="41" t="s">
        <v>137</v>
      </c>
      <c r="T1713" s="41" t="s">
        <v>1345</v>
      </c>
      <c r="U1713" s="16" t="s">
        <v>13</v>
      </c>
      <c r="V1713" s="16" t="s">
        <v>19</v>
      </c>
      <c r="W1713" s="19" t="s"/>
      <c r="X1713" s="26" t="s">
        <f>=M1713&amp;N1713&amp;P1713&amp;Q1713&amp;T1713&amp;V1713&amp;S1713</f>
        <v>1862</v>
      </c>
      <c r="Y1713" s="19" t="s"/>
      <c r="Z1713" s="19" t="s"/>
      <c r="AA1713" s="19" t="s"/>
      <c r="AB1713" s="19" t="s"/>
    </row>
    <row r="1714" spans="1:28" ht="14.4">
      <c r="A1714" s="4">
        <f>=H1714/G1714-1</f>
        <v>0.100977198697068</v>
      </c>
      <c r="B1714" s="20">
        <f>=F1714/12</f>
        <v>25.35</v>
      </c>
      <c r="C1714" s="20">
        <f>=J1714/3</f>
        <v>202.8</v>
      </c>
      <c r="D1714" s="20">
        <f>=K1714/3</f>
        <v>225.333333333333</v>
      </c>
      <c r="E1714" s="20">
        <f>=L1714/3</f>
        <v>236.6</v>
      </c>
      <c r="F1714" s="20">
        <f>=H1714*0.9</f>
        <v>304.2</v>
      </c>
      <c r="G1714" s="21">
        <v>307</v>
      </c>
      <c r="H1714" s="39">
        <v>338</v>
      </c>
      <c r="I1714" s="40">
        <f>=H1714*1.05</f>
        <v>354.9</v>
      </c>
      <c r="J1714" s="40">
        <f>=F1714*2</f>
        <v>608.4</v>
      </c>
      <c r="K1714" s="40">
        <f>=H1714*2</f>
        <v>676</v>
      </c>
      <c r="L1714" s="40">
        <f>=I1714*2</f>
        <v>709.8</v>
      </c>
      <c r="M1714" s="41" t="s">
        <v>1804</v>
      </c>
      <c r="N1714" s="41">
        <v>1.5</v>
      </c>
      <c r="O1714" s="41" t="s"/>
      <c r="P1714" s="41">
        <v>2</v>
      </c>
      <c r="Q1714" s="41">
        <v>2</v>
      </c>
      <c r="R1714" s="41" t="s">
        <v>16</v>
      </c>
      <c r="S1714" s="41" t="s">
        <v>137</v>
      </c>
      <c r="T1714" s="41" t="s">
        <v>163</v>
      </c>
      <c r="U1714" s="16" t="s">
        <v>13</v>
      </c>
      <c r="V1714" s="16" t="s">
        <v>19</v>
      </c>
      <c r="W1714" s="19" t="s"/>
      <c r="X1714" s="26" t="s">
        <f>=M1714&amp;N1714&amp;P1714&amp;Q1714&amp;T1714&amp;V1714&amp;S1714</f>
        <v>1863</v>
      </c>
      <c r="Y1714" s="19" t="s"/>
      <c r="Z1714" s="19" t="s"/>
      <c r="AA1714" s="19" t="s"/>
      <c r="AB1714" s="19" t="s"/>
    </row>
    <row r="1715" spans="1:28" ht="14.4">
      <c r="A1715" s="4">
        <f>=H1715/G1715-1</f>
        <v>0.1</v>
      </c>
      <c r="B1715" s="20">
        <f>=F1715/12</f>
        <v>14.025</v>
      </c>
      <c r="C1715" s="20">
        <f>=J1715/3</f>
        <v>112.2</v>
      </c>
      <c r="D1715" s="20">
        <f>=K1715/3</f>
        <v>124.666666666667</v>
      </c>
      <c r="E1715" s="20">
        <f>=L1715/3</f>
        <v>130.9</v>
      </c>
      <c r="F1715" s="20">
        <f>=H1715*0.9</f>
        <v>168.3</v>
      </c>
      <c r="G1715" s="21">
        <v>170</v>
      </c>
      <c r="H1715" s="39">
        <v>187</v>
      </c>
      <c r="I1715" s="40">
        <f>=H1715*1.05</f>
        <v>196.35</v>
      </c>
      <c r="J1715" s="40">
        <f>=F1715*2</f>
        <v>336.6</v>
      </c>
      <c r="K1715" s="40">
        <f>=H1715*2</f>
        <v>374</v>
      </c>
      <c r="L1715" s="40">
        <f>=I1715*2</f>
        <v>392.7</v>
      </c>
      <c r="M1715" s="41" t="s">
        <v>1804</v>
      </c>
      <c r="N1715" s="41">
        <v>1.5</v>
      </c>
      <c r="O1715" s="41" t="s"/>
      <c r="P1715" s="41" t="s">
        <v>21</v>
      </c>
      <c r="Q1715" s="41" t="s">
        <v>21</v>
      </c>
      <c r="R1715" s="41" t="s">
        <v>16</v>
      </c>
      <c r="S1715" s="41" t="s">
        <v>137</v>
      </c>
      <c r="T1715" s="41" t="s">
        <v>171</v>
      </c>
      <c r="U1715" s="16" t="s">
        <v>13</v>
      </c>
      <c r="V1715" s="16" t="s">
        <v>19</v>
      </c>
      <c r="W1715" s="19" t="s"/>
      <c r="X1715" s="26" t="s">
        <f>=M1715&amp;N1715&amp;P1715&amp;Q1715&amp;T1715&amp;V1715&amp;S1715</f>
        <v>1864</v>
      </c>
      <c r="Y1715" s="19" t="s"/>
      <c r="Z1715" s="19" t="s"/>
      <c r="AA1715" s="19" t="s"/>
      <c r="AB1715" s="19" t="s"/>
    </row>
    <row r="1716" spans="1:28" ht="14.4">
      <c r="A1716" s="4">
        <f>=H1716/G1716-1</f>
        <v>0.101503759398496</v>
      </c>
      <c r="B1716" s="20">
        <f>=F1716/12</f>
        <v>21.975</v>
      </c>
      <c r="C1716" s="20">
        <f>=J1716/3</f>
        <v>175.8</v>
      </c>
      <c r="D1716" s="20">
        <f>=K1716/3</f>
        <v>195.333333333333</v>
      </c>
      <c r="E1716" s="20">
        <f>=L1716/3</f>
        <v>205.1</v>
      </c>
      <c r="F1716" s="20">
        <f>=H1716*0.9</f>
        <v>263.7</v>
      </c>
      <c r="G1716" s="21">
        <v>266</v>
      </c>
      <c r="H1716" s="39">
        <v>293</v>
      </c>
      <c r="I1716" s="40">
        <f>=H1716*1.05</f>
        <v>307.65</v>
      </c>
      <c r="J1716" s="40">
        <f>=F1716*2</f>
        <v>527.4</v>
      </c>
      <c r="K1716" s="40">
        <f>=H1716*2</f>
        <v>586</v>
      </c>
      <c r="L1716" s="40">
        <f>=I1716*2</f>
        <v>615.3</v>
      </c>
      <c r="M1716" s="41" t="s">
        <v>1804</v>
      </c>
      <c r="N1716" s="88">
        <v>0.2</v>
      </c>
      <c r="O1716" s="41" t="s"/>
      <c r="P1716" s="41">
        <v>2</v>
      </c>
      <c r="Q1716" s="88">
        <v>2</v>
      </c>
      <c r="R1716" s="41" t="s">
        <v>16</v>
      </c>
      <c r="S1716" s="41" t="s">
        <v>17</v>
      </c>
      <c r="T1716" s="88" t="s">
        <v>46</v>
      </c>
      <c r="U1716" s="16" t="s">
        <v>13</v>
      </c>
      <c r="V1716" s="16" t="s">
        <v>19</v>
      </c>
      <c r="W1716" s="19" t="s"/>
      <c r="X1716" s="26" t="s">
        <f>=M1716&amp;N1716&amp;P1716&amp;Q1716&amp;T1716&amp;V1716&amp;S1716</f>
        <v>1865</v>
      </c>
      <c r="Y1716" s="19" t="s"/>
      <c r="Z1716" s="19" t="s"/>
      <c r="AA1716" s="19" t="s"/>
      <c r="AB1716" s="19" t="s"/>
    </row>
    <row r="1717" spans="1:28" ht="14.4">
      <c r="A1717" s="4">
        <f>=H1717/G1717-1</f>
        <v>0.10077519379845</v>
      </c>
      <c r="B1717" s="20">
        <f>=F1717/12</f>
        <v>21.3</v>
      </c>
      <c r="C1717" s="20">
        <f>=J1717/3</f>
        <v>170.4</v>
      </c>
      <c r="D1717" s="20">
        <f>=K1717/3</f>
        <v>189.333333333333</v>
      </c>
      <c r="E1717" s="20">
        <f>=L1717/3</f>
        <v>198.8</v>
      </c>
      <c r="F1717" s="20">
        <f>=H1717*0.9</f>
        <v>255.6</v>
      </c>
      <c r="G1717" s="21">
        <v>258</v>
      </c>
      <c r="H1717" s="39">
        <v>284</v>
      </c>
      <c r="I1717" s="40">
        <f>=H1717*1.05</f>
        <v>298.2</v>
      </c>
      <c r="J1717" s="40">
        <f>=F1717*2</f>
        <v>511.2</v>
      </c>
      <c r="K1717" s="40">
        <f>=H1717*2</f>
        <v>568</v>
      </c>
      <c r="L1717" s="40">
        <f>=I1717*2</f>
        <v>596.4</v>
      </c>
      <c r="M1717" s="41" t="s">
        <v>1804</v>
      </c>
      <c r="N1717" s="88">
        <v>0.2</v>
      </c>
      <c r="O1717" s="41" t="s"/>
      <c r="P1717" s="41">
        <v>2</v>
      </c>
      <c r="Q1717" s="88">
        <v>2</v>
      </c>
      <c r="R1717" s="41" t="s">
        <v>16</v>
      </c>
      <c r="S1717" s="41" t="s">
        <v>17</v>
      </c>
      <c r="T1717" s="88" t="s">
        <v>48</v>
      </c>
      <c r="U1717" s="16" t="s">
        <v>13</v>
      </c>
      <c r="V1717" s="16" t="s">
        <v>19</v>
      </c>
      <c r="W1717" s="19" t="s"/>
      <c r="X1717" s="26" t="s">
        <f>=M1717&amp;N1717&amp;P1717&amp;Q1717&amp;T1717&amp;V1717&amp;S1717</f>
        <v>1866</v>
      </c>
      <c r="Y1717" s="19" t="s"/>
      <c r="Z1717" s="19" t="s"/>
      <c r="AA1717" s="19" t="s"/>
      <c r="AB1717" s="19" t="s"/>
    </row>
    <row r="1718" spans="1:28" ht="14.4">
      <c r="A1718" s="4">
        <f>=H1718/G1718-1</f>
        <v>0.103448275862069</v>
      </c>
      <c r="B1718" s="20">
        <f>=F1718/12</f>
        <v>9.6</v>
      </c>
      <c r="C1718" s="20">
        <f>=J1718/3</f>
        <v>76.8</v>
      </c>
      <c r="D1718" s="20">
        <f>=K1718/3</f>
        <v>85.3333333333333</v>
      </c>
      <c r="E1718" s="20">
        <f>=L1718/3</f>
        <v>89.6</v>
      </c>
      <c r="F1718" s="20">
        <f>=H1718*0.9</f>
        <v>115.2</v>
      </c>
      <c r="G1718" s="21">
        <v>116</v>
      </c>
      <c r="H1718" s="39">
        <v>128</v>
      </c>
      <c r="I1718" s="40">
        <f>=H1718*1.05</f>
        <v>134.4</v>
      </c>
      <c r="J1718" s="40">
        <f>=F1718*2</f>
        <v>230.4</v>
      </c>
      <c r="K1718" s="40">
        <f>=H1718*2</f>
        <v>256</v>
      </c>
      <c r="L1718" s="40">
        <f>=I1718*2</f>
        <v>268.8</v>
      </c>
      <c r="M1718" s="41" t="s">
        <v>1867</v>
      </c>
      <c r="N1718" s="88">
        <v>0.125</v>
      </c>
      <c r="O1718" s="41" t="s"/>
      <c r="P1718" s="41">
        <v>1</v>
      </c>
      <c r="Q1718" s="88">
        <v>1</v>
      </c>
      <c r="R1718" s="41" t="s">
        <v>16</v>
      </c>
      <c r="S1718" s="41" t="s">
        <v>17</v>
      </c>
      <c r="T1718" s="88" t="s">
        <v>23</v>
      </c>
      <c r="U1718" s="16" t="s">
        <v>13</v>
      </c>
      <c r="V1718" s="16" t="s">
        <v>19</v>
      </c>
      <c r="W1718" s="5" t="s"/>
      <c r="X1718" s="26" t="s">
        <f>=M1718&amp;N1718&amp;P1718&amp;Q1718&amp;T1718&amp;V1718&amp;S1718</f>
        <v>1868</v>
      </c>
      <c r="Y1718" s="19" t="s"/>
      <c r="Z1718" s="19" t="s"/>
      <c r="AA1718" s="19" t="s"/>
      <c r="AB1718" s="19" t="s"/>
    </row>
    <row r="1719" spans="1:28" ht="14.4">
      <c r="A1719" s="4">
        <f>=H1719/G1719-1</f>
        <v>0.0982142857142858</v>
      </c>
      <c r="B1719" s="20">
        <f>=F1719/12</f>
        <v>18.45</v>
      </c>
      <c r="C1719" s="20">
        <f>=J1719/3</f>
        <v>147.6</v>
      </c>
      <c r="D1719" s="20">
        <f>=K1719/3</f>
        <v>164</v>
      </c>
      <c r="E1719" s="20">
        <f>=L1719/3</f>
        <v>172.2</v>
      </c>
      <c r="F1719" s="20">
        <f>=H1719*0.9</f>
        <v>221.4</v>
      </c>
      <c r="G1719" s="174">
        <v>224</v>
      </c>
      <c r="H1719" s="39">
        <v>246</v>
      </c>
      <c r="I1719" s="40">
        <f>=H1719*1.05</f>
        <v>258.3</v>
      </c>
      <c r="J1719" s="40">
        <f>=F1719*2</f>
        <v>442.8</v>
      </c>
      <c r="K1719" s="40">
        <f>=H1719*2</f>
        <v>492</v>
      </c>
      <c r="L1719" s="40">
        <f>=I1719*2</f>
        <v>516.6</v>
      </c>
      <c r="M1719" s="41" t="s">
        <v>1867</v>
      </c>
      <c r="N1719" s="88">
        <v>0.13</v>
      </c>
      <c r="O1719" s="41" t="s"/>
      <c r="P1719" s="41">
        <v>2</v>
      </c>
      <c r="Q1719" s="88">
        <v>2</v>
      </c>
      <c r="R1719" s="41" t="s">
        <v>16</v>
      </c>
      <c r="S1719" s="41" t="s">
        <v>17</v>
      </c>
      <c r="T1719" s="88" t="s">
        <v>23</v>
      </c>
      <c r="U1719" s="16" t="s">
        <v>13</v>
      </c>
      <c r="V1719" s="16" t="s">
        <v>19</v>
      </c>
      <c r="W1719" s="5" t="s"/>
      <c r="X1719" s="26" t="s">
        <f>=M1719&amp;N1719&amp;P1719&amp;Q1719&amp;T1719&amp;V1719&amp;S1719</f>
        <v>1869</v>
      </c>
      <c r="Y1719" s="19" t="s"/>
      <c r="Z1719" s="19" t="s"/>
      <c r="AA1719" s="19" t="s"/>
      <c r="AB1719" s="19" t="s"/>
    </row>
    <row r="1720" spans="1:28" ht="13.5" customHeight="true">
      <c r="A1720" s="4">
        <f>=H1720/G1720-1</f>
        <v>0</v>
      </c>
      <c r="B1720" s="20">
        <f>=F1720/12</f>
        <v>8.475</v>
      </c>
      <c r="C1720" s="20">
        <f>=J1720/3</f>
        <v>67.8</v>
      </c>
      <c r="D1720" s="20">
        <f>=K1720/3</f>
        <v>75.3333333333333</v>
      </c>
      <c r="E1720" s="20">
        <f>=L1720/3</f>
        <v>79.1</v>
      </c>
      <c r="F1720" s="20">
        <f>=H1720*0.9</f>
        <v>101.7</v>
      </c>
      <c r="G1720" s="21">
        <v>113</v>
      </c>
      <c r="H1720" s="39">
        <v>113</v>
      </c>
      <c r="I1720" s="40">
        <f>=H1720*1.05</f>
        <v>118.65</v>
      </c>
      <c r="J1720" s="40">
        <f>=F1720*2</f>
        <v>203.4</v>
      </c>
      <c r="K1720" s="40">
        <f>=H1720*2</f>
        <v>226</v>
      </c>
      <c r="L1720" s="40">
        <f>=I1720*2</f>
        <v>237.3</v>
      </c>
      <c r="M1720" s="41" t="s">
        <v>1867</v>
      </c>
      <c r="N1720" s="88">
        <v>0.152</v>
      </c>
      <c r="O1720" s="41" t="s"/>
      <c r="P1720" s="41">
        <v>1</v>
      </c>
      <c r="Q1720" s="88">
        <v>1</v>
      </c>
      <c r="R1720" s="41" t="s">
        <v>16</v>
      </c>
      <c r="S1720" s="41" t="s">
        <v>17</v>
      </c>
      <c r="T1720" s="88" t="s">
        <v>39</v>
      </c>
      <c r="U1720" s="16" t="s">
        <v>13</v>
      </c>
      <c r="V1720" s="16" t="s">
        <v>19</v>
      </c>
      <c r="W1720" s="17" t="s">
        <v>352</v>
      </c>
      <c r="X1720" s="26" t="s">
        <f>=M1720&amp;N1720&amp;P1720&amp;Q1720&amp;T1720&amp;V1720&amp;S1720</f>
        <v>1870</v>
      </c>
      <c r="Y1720" s="19" t="s"/>
      <c r="Z1720" s="19" t="s"/>
      <c r="AA1720" s="19" t="s"/>
      <c r="AB1720" s="19" t="s"/>
    </row>
    <row r="1721" spans="1:28" ht="14.4">
      <c r="A1721" s="4">
        <f>=H1721/G1721-1</f>
        <v>0.1015625</v>
      </c>
      <c r="B1721" s="20">
        <f>=F1721/12</f>
        <v>10.575</v>
      </c>
      <c r="C1721" s="20">
        <f>=J1721/3</f>
        <v>84.6</v>
      </c>
      <c r="D1721" s="20">
        <f>=K1721/3</f>
        <v>94</v>
      </c>
      <c r="E1721" s="20">
        <f>=L1721/3</f>
        <v>98.7</v>
      </c>
      <c r="F1721" s="20">
        <f>=H1721*0.9</f>
        <v>126.9</v>
      </c>
      <c r="G1721" s="21">
        <v>128</v>
      </c>
      <c r="H1721" s="39">
        <v>141</v>
      </c>
      <c r="I1721" s="40">
        <f>=H1721*1.05</f>
        <v>148.05</v>
      </c>
      <c r="J1721" s="40">
        <f>=F1721*2</f>
        <v>253.8</v>
      </c>
      <c r="K1721" s="40">
        <f>=H1721*2</f>
        <v>282</v>
      </c>
      <c r="L1721" s="40">
        <f>=I1721*2</f>
        <v>296.1</v>
      </c>
      <c r="M1721" s="41" t="s">
        <v>1867</v>
      </c>
      <c r="N1721" s="88">
        <v>0.15</v>
      </c>
      <c r="O1721" s="41" t="s"/>
      <c r="P1721" s="41">
        <v>1</v>
      </c>
      <c r="Q1721" s="88">
        <v>1</v>
      </c>
      <c r="R1721" s="41" t="s">
        <v>16</v>
      </c>
      <c r="S1721" s="41" t="s">
        <v>17</v>
      </c>
      <c r="T1721" s="88" t="s">
        <v>39</v>
      </c>
      <c r="U1721" s="16" t="s">
        <v>13</v>
      </c>
      <c r="V1721" s="16" t="s">
        <v>19</v>
      </c>
      <c r="W1721" s="19" t="s"/>
      <c r="X1721" s="26" t="s">
        <f>=M1721&amp;N1721&amp;P1721&amp;Q1721&amp;T1721&amp;V1721&amp;S1721</f>
        <v>1871</v>
      </c>
      <c r="Y1721" s="19" t="s"/>
      <c r="Z1721" s="19" t="s"/>
      <c r="AA1721" s="19" t="s"/>
      <c r="AB1721" s="19" t="s"/>
    </row>
    <row r="1722" spans="1:28" ht="15" customHeight="true">
      <c r="A1722" s="4">
        <f>=H1722/G1722-1</f>
        <v>0.1</v>
      </c>
      <c r="B1722" s="20">
        <f>=F1722/12</f>
        <v>9.9</v>
      </c>
      <c r="C1722" s="20">
        <f>=J1722/3</f>
        <v>79.2</v>
      </c>
      <c r="D1722" s="20">
        <f>=K1722/3</f>
        <v>88</v>
      </c>
      <c r="E1722" s="20">
        <f>=L1722/3</f>
        <v>92.4</v>
      </c>
      <c r="F1722" s="20">
        <f>=H1722*0.9</f>
        <v>118.8</v>
      </c>
      <c r="G1722" s="21">
        <v>120</v>
      </c>
      <c r="H1722" s="39">
        <v>132</v>
      </c>
      <c r="I1722" s="40">
        <f>=H1722*1.05</f>
        <v>138.6</v>
      </c>
      <c r="J1722" s="40">
        <f>=F1722*2</f>
        <v>237.6</v>
      </c>
      <c r="K1722" s="40">
        <f>=H1722*2</f>
        <v>264</v>
      </c>
      <c r="L1722" s="40">
        <f>=I1722*2</f>
        <v>277.2</v>
      </c>
      <c r="M1722" s="41" t="s">
        <v>1867</v>
      </c>
      <c r="N1722" s="88">
        <v>0.2</v>
      </c>
      <c r="O1722" s="41" t="s"/>
      <c r="P1722" s="41">
        <v>1</v>
      </c>
      <c r="Q1722" s="88">
        <v>1</v>
      </c>
      <c r="R1722" s="41" t="s">
        <v>16</v>
      </c>
      <c r="S1722" s="41" t="s">
        <v>17</v>
      </c>
      <c r="T1722" s="88" t="s">
        <v>46</v>
      </c>
      <c r="U1722" s="16" t="s">
        <v>13</v>
      </c>
      <c r="V1722" s="16" t="s">
        <v>19</v>
      </c>
      <c r="W1722" s="19" t="s"/>
      <c r="X1722" s="26" t="s">
        <f>=M1722&amp;N1722&amp;P1722&amp;Q1722&amp;T1722&amp;V1722&amp;S1722</f>
        <v>1872</v>
      </c>
      <c r="Y1722" s="19" t="s"/>
      <c r="Z1722" s="19" t="s"/>
      <c r="AA1722" s="19" t="s"/>
      <c r="AB1722" s="19" t="s"/>
    </row>
    <row r="1723" spans="1:28" ht="14.4">
      <c r="A1723" s="4">
        <f>=H1723/G1723-1</f>
        <v>0.102272727272727</v>
      </c>
      <c r="B1723" s="20">
        <f>=F1723/12</f>
        <v>14.55</v>
      </c>
      <c r="C1723" s="20">
        <f>=J1723/3</f>
        <v>116.4</v>
      </c>
      <c r="D1723" s="20">
        <f>=K1723/3</f>
        <v>129.333333333333</v>
      </c>
      <c r="E1723" s="20">
        <f>=L1723/3</f>
        <v>135.8</v>
      </c>
      <c r="F1723" s="20">
        <f>=H1723*0.9</f>
        <v>174.6</v>
      </c>
      <c r="G1723" s="21">
        <v>176</v>
      </c>
      <c r="H1723" s="39">
        <v>194</v>
      </c>
      <c r="I1723" s="40">
        <f>=H1723*1.05</f>
        <v>203.7</v>
      </c>
      <c r="J1723" s="40">
        <f>=F1723*2</f>
        <v>349.2</v>
      </c>
      <c r="K1723" s="40">
        <f>=H1723*2</f>
        <v>388</v>
      </c>
      <c r="L1723" s="40">
        <f>=I1723*2</f>
        <v>407.4</v>
      </c>
      <c r="M1723" s="41" t="s">
        <v>1867</v>
      </c>
      <c r="N1723" s="88">
        <v>0.2</v>
      </c>
      <c r="O1723" s="41" t="s"/>
      <c r="P1723" s="41">
        <v>1</v>
      </c>
      <c r="Q1723" s="88">
        <v>2</v>
      </c>
      <c r="R1723" s="41" t="s">
        <v>16</v>
      </c>
      <c r="S1723" s="41" t="s">
        <v>17</v>
      </c>
      <c r="T1723" s="88" t="s">
        <v>52</v>
      </c>
      <c r="U1723" s="16" t="s">
        <v>13</v>
      </c>
      <c r="V1723" s="16" t="s">
        <v>19</v>
      </c>
      <c r="W1723" s="19" t="s"/>
      <c r="X1723" s="26" t="s">
        <f>=M1723&amp;N1723&amp;P1723&amp;Q1723&amp;T1723&amp;V1723&amp;S1723</f>
        <v>1873</v>
      </c>
      <c r="Y1723" s="19" t="s"/>
      <c r="Z1723" s="19" t="s"/>
      <c r="AA1723" s="19" t="s"/>
      <c r="AB1723" s="19" t="s"/>
    </row>
    <row r="1724" spans="1:28" ht="14.4">
      <c r="A1724" s="4">
        <f>=H1724/G1724-1</f>
        <v>0.0982142857142858</v>
      </c>
      <c r="B1724" s="20">
        <f>=F1724/12</f>
        <v>18.45</v>
      </c>
      <c r="C1724" s="20">
        <f>=J1724/3</f>
        <v>147.6</v>
      </c>
      <c r="D1724" s="20">
        <f>=K1724/3</f>
        <v>164</v>
      </c>
      <c r="E1724" s="20">
        <f>=L1724/3</f>
        <v>172.2</v>
      </c>
      <c r="F1724" s="20">
        <f>=H1724*0.9</f>
        <v>221.4</v>
      </c>
      <c r="G1724" s="21">
        <v>224</v>
      </c>
      <c r="H1724" s="39">
        <v>246</v>
      </c>
      <c r="I1724" s="40">
        <f>=H1724*1.05</f>
        <v>258.3</v>
      </c>
      <c r="J1724" s="40">
        <f>=F1724*2</f>
        <v>442.8</v>
      </c>
      <c r="K1724" s="40">
        <f>=H1724*2</f>
        <v>492</v>
      </c>
      <c r="L1724" s="40">
        <f>=I1724*2</f>
        <v>516.6</v>
      </c>
      <c r="M1724" s="41" t="s">
        <v>1867</v>
      </c>
      <c r="N1724" s="88">
        <v>0.2</v>
      </c>
      <c r="O1724" s="41" t="s"/>
      <c r="P1724" s="41">
        <v>2</v>
      </c>
      <c r="Q1724" s="88">
        <v>2</v>
      </c>
      <c r="R1724" s="41" t="s">
        <v>16</v>
      </c>
      <c r="S1724" s="41" t="s">
        <v>17</v>
      </c>
      <c r="T1724" s="88" t="s">
        <v>52</v>
      </c>
      <c r="U1724" s="16" t="s">
        <v>13</v>
      </c>
      <c r="V1724" s="16" t="s">
        <v>19</v>
      </c>
      <c r="W1724" s="19" t="s"/>
      <c r="X1724" s="26" t="s">
        <f>=M1724&amp;N1724&amp;P1724&amp;Q1724&amp;T1724&amp;V1724&amp;S1724</f>
        <v>1874</v>
      </c>
      <c r="Y1724" s="19" t="s"/>
      <c r="Z1724" s="19" t="s"/>
      <c r="AA1724" s="19" t="s"/>
      <c r="AB1724" s="19" t="s"/>
    </row>
    <row r="1725" spans="1:28" ht="14.4">
      <c r="A1725" s="4">
        <f>=H1725/G1725-1</f>
        <v>0.0974025974025974</v>
      </c>
      <c r="B1725" s="20">
        <f>=F1725/12</f>
        <v>12.675</v>
      </c>
      <c r="C1725" s="20">
        <f>=J1725/3</f>
        <v>101.4</v>
      </c>
      <c r="D1725" s="20">
        <f>=K1725/3</f>
        <v>112.666666666667</v>
      </c>
      <c r="E1725" s="20">
        <f>=L1725/3</f>
        <v>118.3</v>
      </c>
      <c r="F1725" s="20">
        <f>=H1725*0.9</f>
        <v>152.1</v>
      </c>
      <c r="G1725" s="21">
        <v>154</v>
      </c>
      <c r="H1725" s="39">
        <v>169</v>
      </c>
      <c r="I1725" s="40">
        <f>=H1725*1.05</f>
        <v>177.45</v>
      </c>
      <c r="J1725" s="40">
        <f>=F1725*2</f>
        <v>304.2</v>
      </c>
      <c r="K1725" s="40">
        <f>=H1725*2</f>
        <v>338</v>
      </c>
      <c r="L1725" s="40">
        <f>=I1725*2</f>
        <v>354.9</v>
      </c>
      <c r="M1725" s="41" t="s">
        <v>1867</v>
      </c>
      <c r="N1725" s="88">
        <v>0.25</v>
      </c>
      <c r="O1725" s="41" t="s"/>
      <c r="P1725" s="41">
        <v>1</v>
      </c>
      <c r="Q1725" s="88">
        <v>1</v>
      </c>
      <c r="R1725" s="41" t="s">
        <v>16</v>
      </c>
      <c r="S1725" s="41" t="s">
        <v>17</v>
      </c>
      <c r="T1725" s="88" t="s">
        <v>52</v>
      </c>
      <c r="U1725" s="16" t="s">
        <v>13</v>
      </c>
      <c r="V1725" s="16" t="s">
        <v>19</v>
      </c>
      <c r="W1725" s="19" t="s"/>
      <c r="X1725" s="26" t="s">
        <f>=M1725&amp;N1725&amp;P1725&amp;Q1725&amp;T1725&amp;V1725&amp;S1725</f>
        <v>1875</v>
      </c>
      <c r="Y1725" s="19" t="s"/>
      <c r="Z1725" s="19" t="s"/>
      <c r="AA1725" s="19" t="s"/>
      <c r="AB1725" s="19" t="s"/>
    </row>
    <row r="1726" spans="1:28" ht="14.4">
      <c r="A1726" s="4">
        <f>=H1726/G1726-1</f>
        <v>0.1</v>
      </c>
      <c r="B1726" s="20">
        <f>=F1726/12</f>
        <v>19.8</v>
      </c>
      <c r="C1726" s="20">
        <f>=J1726/3</f>
        <v>158.4</v>
      </c>
      <c r="D1726" s="20">
        <f>=K1726/3</f>
        <v>176</v>
      </c>
      <c r="E1726" s="20">
        <f>=L1726/3</f>
        <v>184.8</v>
      </c>
      <c r="F1726" s="20">
        <f>=H1726*0.9</f>
        <v>237.6</v>
      </c>
      <c r="G1726" s="21">
        <v>240</v>
      </c>
      <c r="H1726" s="39">
        <v>264</v>
      </c>
      <c r="I1726" s="40">
        <f>=H1726*1.05</f>
        <v>277.2</v>
      </c>
      <c r="J1726" s="40">
        <f>=F1726*2</f>
        <v>475.2</v>
      </c>
      <c r="K1726" s="40">
        <f>=H1726*2</f>
        <v>528</v>
      </c>
      <c r="L1726" s="40">
        <f>=I1726*2</f>
        <v>554.4</v>
      </c>
      <c r="M1726" s="41" t="s">
        <v>1867</v>
      </c>
      <c r="N1726" s="88">
        <v>0.25</v>
      </c>
      <c r="O1726" s="41" t="s"/>
      <c r="P1726" s="41">
        <v>2</v>
      </c>
      <c r="Q1726" s="88">
        <v>2</v>
      </c>
      <c r="R1726" s="41" t="s">
        <v>16</v>
      </c>
      <c r="S1726" s="41" t="s">
        <v>17</v>
      </c>
      <c r="T1726" s="88" t="s">
        <v>52</v>
      </c>
      <c r="U1726" s="16" t="s">
        <v>13</v>
      </c>
      <c r="V1726" s="16" t="s">
        <v>19</v>
      </c>
      <c r="W1726" s="19" t="s"/>
      <c r="X1726" s="26" t="s">
        <f>=M1726&amp;N1726&amp;P1726&amp;Q1726&amp;T1726&amp;V1726&amp;S1726</f>
        <v>1876</v>
      </c>
      <c r="Y1726" s="19" t="s"/>
      <c r="Z1726" s="19" t="s"/>
      <c r="AA1726" s="19" t="s"/>
      <c r="AB1726" s="19" t="s"/>
    </row>
    <row r="1727" spans="1:28" ht="14.4">
      <c r="A1727" s="4">
        <f>=H1727/G1727-1</f>
        <v>0.0994897959183674</v>
      </c>
      <c r="B1727" s="20">
        <f>=F1727/12</f>
        <v>32.325</v>
      </c>
      <c r="C1727" s="20">
        <f>=J1727/3</f>
        <v>258.6</v>
      </c>
      <c r="D1727" s="20">
        <f>=K1727/3</f>
        <v>287.333333333333</v>
      </c>
      <c r="E1727" s="20">
        <f>=L1727/3</f>
        <v>301.7</v>
      </c>
      <c r="F1727" s="20">
        <f>=H1727*0.9</f>
        <v>387.9</v>
      </c>
      <c r="G1727" s="21">
        <v>392</v>
      </c>
      <c r="H1727" s="39">
        <v>431</v>
      </c>
      <c r="I1727" s="40">
        <f>=H1727*1.05</f>
        <v>452.55</v>
      </c>
      <c r="J1727" s="40">
        <f>=F1727*2</f>
        <v>775.8</v>
      </c>
      <c r="K1727" s="40">
        <f>=H1727*2</f>
        <v>862</v>
      </c>
      <c r="L1727" s="40">
        <f>=I1727*2</f>
        <v>905.1</v>
      </c>
      <c r="M1727" s="41" t="s">
        <v>1867</v>
      </c>
      <c r="N1727" s="88">
        <v>0.25</v>
      </c>
      <c r="O1727" s="41" t="s"/>
      <c r="P1727" s="41">
        <v>3</v>
      </c>
      <c r="Q1727" s="88">
        <v>3</v>
      </c>
      <c r="R1727" s="41" t="s">
        <v>16</v>
      </c>
      <c r="S1727" s="41" t="s">
        <v>17</v>
      </c>
      <c r="T1727" s="88" t="s">
        <v>52</v>
      </c>
      <c r="U1727" s="16" t="s">
        <v>13</v>
      </c>
      <c r="V1727" s="16" t="s">
        <v>19</v>
      </c>
      <c r="W1727" s="19" t="s"/>
      <c r="X1727" s="26" t="s">
        <f>=M1727&amp;N1727&amp;P1727&amp;Q1727&amp;T1727&amp;V1727&amp;S1727</f>
        <v>1877</v>
      </c>
      <c r="Y1727" s="19" t="s"/>
      <c r="Z1727" s="19" t="s"/>
      <c r="AA1727" s="19" t="s"/>
      <c r="AB1727" s="19" t="s"/>
    </row>
    <row r="1728" spans="1:28" ht="14.4">
      <c r="A1728" s="4">
        <f>=H1728/G1728-1</f>
        <v>0.0986842105263157</v>
      </c>
      <c r="B1728" s="20">
        <f>=F1728/12</f>
        <v>12.525</v>
      </c>
      <c r="C1728" s="20">
        <f>=J1728/3</f>
        <v>100.2</v>
      </c>
      <c r="D1728" s="20">
        <f>=K1728/3</f>
        <v>111.333333333333</v>
      </c>
      <c r="E1728" s="20">
        <f>=L1728/3</f>
        <v>116.9</v>
      </c>
      <c r="F1728" s="20">
        <f>=H1728*0.9</f>
        <v>150.3</v>
      </c>
      <c r="G1728" s="21">
        <v>152</v>
      </c>
      <c r="H1728" s="39">
        <v>167</v>
      </c>
      <c r="I1728" s="40">
        <f>=H1728*1.05</f>
        <v>175.35</v>
      </c>
      <c r="J1728" s="40">
        <f>=F1728*2</f>
        <v>300.6</v>
      </c>
      <c r="K1728" s="40">
        <f>=H1728*2</f>
        <v>334</v>
      </c>
      <c r="L1728" s="40">
        <f>=I1728*2</f>
        <v>350.7</v>
      </c>
      <c r="M1728" s="41" t="s">
        <v>1867</v>
      </c>
      <c r="N1728" s="41">
        <v>0.3</v>
      </c>
      <c r="O1728" s="41" t="s"/>
      <c r="P1728" s="41">
        <v>1</v>
      </c>
      <c r="Q1728" s="41">
        <v>1</v>
      </c>
      <c r="R1728" s="41" t="s">
        <v>16</v>
      </c>
      <c r="S1728" s="41" t="s">
        <v>17</v>
      </c>
      <c r="T1728" s="41" t="s">
        <v>1172</v>
      </c>
      <c r="U1728" s="16" t="s">
        <v>13</v>
      </c>
      <c r="V1728" s="16" t="s">
        <v>19</v>
      </c>
      <c r="W1728" s="19" t="s"/>
      <c r="X1728" s="26" t="s">
        <f>=M1728&amp;N1728&amp;P1728&amp;Q1728&amp;T1728&amp;V1728&amp;S1728</f>
        <v>1878</v>
      </c>
      <c r="Y1728" s="19" t="s"/>
      <c r="Z1728" s="19" t="s"/>
      <c r="AA1728" s="19" t="s"/>
      <c r="AB1728" s="19" t="s"/>
    </row>
    <row r="1729" spans="1:28" ht="14.4">
      <c r="A1729" s="4">
        <f>=H1729/G1729-1</f>
        <v>0.100671140939597</v>
      </c>
      <c r="B1729" s="20">
        <f>=F1729/12</f>
        <v>12.3</v>
      </c>
      <c r="C1729" s="20">
        <f>=J1729/3</f>
        <v>98.4</v>
      </c>
      <c r="D1729" s="20">
        <f>=K1729/3</f>
        <v>109.333333333333</v>
      </c>
      <c r="E1729" s="20">
        <f>=L1729/3</f>
        <v>114.8</v>
      </c>
      <c r="F1729" s="20">
        <f>=H1729*0.9</f>
        <v>147.6</v>
      </c>
      <c r="G1729" s="21">
        <v>149</v>
      </c>
      <c r="H1729" s="39">
        <v>164</v>
      </c>
      <c r="I1729" s="40">
        <f>=H1729*1.05</f>
        <v>172.2</v>
      </c>
      <c r="J1729" s="40">
        <f>=F1729*2</f>
        <v>295.2</v>
      </c>
      <c r="K1729" s="40">
        <f>=H1729*2</f>
        <v>328</v>
      </c>
      <c r="L1729" s="40">
        <f>=I1729*2</f>
        <v>344.4</v>
      </c>
      <c r="M1729" s="41" t="s">
        <v>1867</v>
      </c>
      <c r="N1729" s="88">
        <v>0.35</v>
      </c>
      <c r="O1729" s="41" t="s"/>
      <c r="P1729" s="41">
        <v>1</v>
      </c>
      <c r="Q1729" s="88">
        <v>1</v>
      </c>
      <c r="R1729" s="41" t="s">
        <v>16</v>
      </c>
      <c r="S1729" s="41" t="s">
        <v>17</v>
      </c>
      <c r="T1729" s="88" t="s">
        <v>76</v>
      </c>
      <c r="U1729" s="16" t="s">
        <v>13</v>
      </c>
      <c r="V1729" s="16" t="s">
        <v>19</v>
      </c>
      <c r="W1729" s="19" t="s"/>
      <c r="X1729" s="26" t="s">
        <f>=M1729&amp;N1729&amp;P1729&amp;Q1729&amp;T1729&amp;V1729&amp;S1729</f>
        <v>1879</v>
      </c>
      <c r="Y1729" s="19" t="s"/>
      <c r="Z1729" s="19" t="s"/>
      <c r="AA1729" s="19" t="s"/>
      <c r="AB1729" s="19" t="s"/>
    </row>
    <row r="1730" spans="1:28" ht="14.4">
      <c r="A1730" s="4">
        <f>=H1730/G1730-1</f>
        <v>0.0992063492063493</v>
      </c>
      <c r="B1730" s="20">
        <f>=F1730/12</f>
        <v>20.775</v>
      </c>
      <c r="C1730" s="20">
        <f>=J1730/3</f>
        <v>166.2</v>
      </c>
      <c r="D1730" s="20">
        <f>=K1730/3</f>
        <v>184.666666666667</v>
      </c>
      <c r="E1730" s="20">
        <f>=L1730/3</f>
        <v>193.9</v>
      </c>
      <c r="F1730" s="20">
        <f>=H1730*0.9</f>
        <v>249.3</v>
      </c>
      <c r="G1730" s="21">
        <v>252</v>
      </c>
      <c r="H1730" s="39">
        <v>277</v>
      </c>
      <c r="I1730" s="40">
        <f>=H1730*1.05</f>
        <v>290.85</v>
      </c>
      <c r="J1730" s="40">
        <f>=F1730*2</f>
        <v>498.6</v>
      </c>
      <c r="K1730" s="40">
        <f>=H1730*2</f>
        <v>554</v>
      </c>
      <c r="L1730" s="40">
        <f>=I1730*2</f>
        <v>581.7</v>
      </c>
      <c r="M1730" s="41" t="s">
        <v>1867</v>
      </c>
      <c r="N1730" s="88">
        <v>0.35</v>
      </c>
      <c r="O1730" s="41" t="s"/>
      <c r="P1730" s="41">
        <v>2</v>
      </c>
      <c r="Q1730" s="88">
        <v>2</v>
      </c>
      <c r="R1730" s="41" t="s">
        <v>16</v>
      </c>
      <c r="S1730" s="41" t="s">
        <v>17</v>
      </c>
      <c r="T1730" s="88" t="s">
        <v>76</v>
      </c>
      <c r="U1730" s="16" t="s">
        <v>13</v>
      </c>
      <c r="V1730" s="16" t="s">
        <v>19</v>
      </c>
      <c r="W1730" s="19" t="s"/>
      <c r="X1730" s="26" t="s">
        <f>=M1730&amp;N1730&amp;P1730&amp;Q1730&amp;T1730&amp;V1730&amp;S1730</f>
        <v>1880</v>
      </c>
      <c r="Y1730" s="19" t="s"/>
      <c r="Z1730" s="19" t="s"/>
      <c r="AA1730" s="19" t="s"/>
      <c r="AB1730" s="19" t="s"/>
    </row>
    <row r="1731" spans="1:28" ht="14.4">
      <c r="A1731" s="4">
        <f>=H1731/G1731-1</f>
        <v>0.0997624703087887</v>
      </c>
      <c r="B1731" s="20">
        <f>=F1731/12</f>
        <v>34.725</v>
      </c>
      <c r="C1731" s="20">
        <f>=J1731/3</f>
        <v>277.8</v>
      </c>
      <c r="D1731" s="20">
        <f>=K1731/3</f>
        <v>308.666666666667</v>
      </c>
      <c r="E1731" s="20">
        <f>=L1731/3</f>
        <v>324.1</v>
      </c>
      <c r="F1731" s="20">
        <f>=H1731*0.9</f>
        <v>416.7</v>
      </c>
      <c r="G1731" s="21">
        <v>421</v>
      </c>
      <c r="H1731" s="39">
        <v>463</v>
      </c>
      <c r="I1731" s="40">
        <f>=H1731*1.05</f>
        <v>486.15</v>
      </c>
      <c r="J1731" s="40">
        <f>=F1731*2</f>
        <v>833.4</v>
      </c>
      <c r="K1731" s="40">
        <f>=H1731*2</f>
        <v>926</v>
      </c>
      <c r="L1731" s="40">
        <f>=I1731*2</f>
        <v>972.3</v>
      </c>
      <c r="M1731" s="41" t="s">
        <v>1867</v>
      </c>
      <c r="N1731" s="88">
        <v>0.35</v>
      </c>
      <c r="O1731" s="41" t="s"/>
      <c r="P1731" s="41">
        <v>3</v>
      </c>
      <c r="Q1731" s="88">
        <v>3</v>
      </c>
      <c r="R1731" s="41" t="s">
        <v>16</v>
      </c>
      <c r="S1731" s="41" t="s">
        <v>17</v>
      </c>
      <c r="T1731" s="88" t="s">
        <v>76</v>
      </c>
      <c r="U1731" s="16" t="s">
        <v>13</v>
      </c>
      <c r="V1731" s="16" t="s">
        <v>19</v>
      </c>
      <c r="W1731" s="5" t="s"/>
      <c r="X1731" s="26" t="s">
        <f>=M1731&amp;N1731&amp;P1731&amp;Q1731&amp;T1731&amp;V1731&amp;S1731</f>
        <v>1881</v>
      </c>
      <c r="Y1731" s="19" t="s"/>
      <c r="Z1731" s="19" t="s"/>
      <c r="AA1731" s="19" t="s"/>
      <c r="AB1731" s="19" t="s"/>
    </row>
    <row r="1732" spans="1:28" ht="14.4">
      <c r="A1732" s="4">
        <f>=H1732/G1732-1</f>
        <v>0.0986842105263157</v>
      </c>
      <c r="B1732" s="20">
        <f>=F1732/12</f>
        <v>12.525</v>
      </c>
      <c r="C1732" s="20">
        <f>=J1732/3</f>
        <v>100.2</v>
      </c>
      <c r="D1732" s="20">
        <f>=K1732/3</f>
        <v>111.333333333333</v>
      </c>
      <c r="E1732" s="20">
        <f>=L1732/3</f>
        <v>116.9</v>
      </c>
      <c r="F1732" s="20">
        <f>=H1732*0.9</f>
        <v>150.3</v>
      </c>
      <c r="G1732" s="21">
        <v>152</v>
      </c>
      <c r="H1732" s="39">
        <v>167</v>
      </c>
      <c r="I1732" s="40">
        <f>=H1732*1.05</f>
        <v>175.35</v>
      </c>
      <c r="J1732" s="40">
        <f>=F1732*2</f>
        <v>300.6</v>
      </c>
      <c r="K1732" s="40">
        <f>=H1732*2</f>
        <v>334</v>
      </c>
      <c r="L1732" s="40">
        <f>=I1732*2</f>
        <v>350.7</v>
      </c>
      <c r="M1732" s="41" t="s">
        <v>1867</v>
      </c>
      <c r="N1732" s="88">
        <v>0.36</v>
      </c>
      <c r="O1732" s="41" t="s"/>
      <c r="P1732" s="41">
        <v>1</v>
      </c>
      <c r="Q1732" s="88">
        <v>1</v>
      </c>
      <c r="R1732" s="41" t="s">
        <v>16</v>
      </c>
      <c r="S1732" s="41" t="s">
        <v>17</v>
      </c>
      <c r="T1732" s="88" t="s">
        <v>76</v>
      </c>
      <c r="U1732" s="16" t="s">
        <v>13</v>
      </c>
      <c r="V1732" s="16" t="s">
        <v>19</v>
      </c>
      <c r="W1732" s="5" t="s"/>
      <c r="X1732" s="26" t="s">
        <f>=M1732&amp;N1732&amp;P1732&amp;Q1732&amp;T1732&amp;V1732&amp;S1732</f>
        <v>1882</v>
      </c>
      <c r="Y1732" s="19" t="s"/>
      <c r="Z1732" s="19" t="s"/>
      <c r="AA1732" s="19" t="s"/>
      <c r="AB1732" s="19" t="s"/>
    </row>
    <row r="1733" spans="1:28" ht="14.4">
      <c r="A1733" s="4">
        <f>=H1733/G1733-1</f>
        <v>0.0984251968503938</v>
      </c>
      <c r="B1733" s="20">
        <f>=F1733/12</f>
        <v>20.925</v>
      </c>
      <c r="C1733" s="20">
        <f>=J1733/3</f>
        <v>167.4</v>
      </c>
      <c r="D1733" s="20">
        <f>=K1733/3</f>
        <v>186</v>
      </c>
      <c r="E1733" s="20">
        <f>=L1733/3</f>
        <v>195.3</v>
      </c>
      <c r="F1733" s="20">
        <f>=H1733*0.9</f>
        <v>251.1</v>
      </c>
      <c r="G1733" s="21">
        <v>254</v>
      </c>
      <c r="H1733" s="39">
        <v>279</v>
      </c>
      <c r="I1733" s="40">
        <f>=H1733*1.05</f>
        <v>292.95</v>
      </c>
      <c r="J1733" s="40">
        <f>=F1733*2</f>
        <v>502.2</v>
      </c>
      <c r="K1733" s="40">
        <f>=H1733*2</f>
        <v>558</v>
      </c>
      <c r="L1733" s="40">
        <f>=I1733*2</f>
        <v>585.9</v>
      </c>
      <c r="M1733" s="41" t="s">
        <v>1867</v>
      </c>
      <c r="N1733" s="88">
        <v>0.36</v>
      </c>
      <c r="O1733" s="41" t="s"/>
      <c r="P1733" s="41">
        <v>2</v>
      </c>
      <c r="Q1733" s="88">
        <v>2</v>
      </c>
      <c r="R1733" s="41" t="s">
        <v>16</v>
      </c>
      <c r="S1733" s="41" t="s">
        <v>17</v>
      </c>
      <c r="T1733" s="88" t="s">
        <v>76</v>
      </c>
      <c r="U1733" s="16" t="s">
        <v>13</v>
      </c>
      <c r="V1733" s="16" t="s">
        <v>19</v>
      </c>
      <c r="W1733" s="19" t="s"/>
      <c r="X1733" s="26" t="s">
        <f>=M1733&amp;N1733&amp;P1733&amp;Q1733&amp;T1733&amp;V1733&amp;S1733</f>
        <v>1883</v>
      </c>
      <c r="Y1733" s="19" t="s"/>
      <c r="Z1733" s="19" t="s"/>
      <c r="AA1733" s="19" t="s"/>
      <c r="AB1733" s="19" t="s"/>
    </row>
    <row r="1734" spans="1:28" ht="14.4">
      <c r="A1734" s="4">
        <f>=H1734/G1734-1</f>
        <v>0.0997624703087887</v>
      </c>
      <c r="B1734" s="20">
        <f>=F1734/12</f>
        <v>34.725</v>
      </c>
      <c r="C1734" s="20">
        <f>=J1734/3</f>
        <v>277.8</v>
      </c>
      <c r="D1734" s="20">
        <f>=K1734/3</f>
        <v>308.666666666667</v>
      </c>
      <c r="E1734" s="20">
        <f>=L1734/3</f>
        <v>324.1</v>
      </c>
      <c r="F1734" s="20">
        <f>=H1734*0.9</f>
        <v>416.7</v>
      </c>
      <c r="G1734" s="21">
        <v>421</v>
      </c>
      <c r="H1734" s="39">
        <v>463</v>
      </c>
      <c r="I1734" s="40">
        <f>=H1734*1.05</f>
        <v>486.15</v>
      </c>
      <c r="J1734" s="40">
        <f>=F1734*2</f>
        <v>833.4</v>
      </c>
      <c r="K1734" s="40">
        <f>=H1734*2</f>
        <v>926</v>
      </c>
      <c r="L1734" s="40">
        <f>=I1734*2</f>
        <v>972.3</v>
      </c>
      <c r="M1734" s="41" t="s">
        <v>1867</v>
      </c>
      <c r="N1734" s="88">
        <v>0.36</v>
      </c>
      <c r="O1734" s="41" t="s"/>
      <c r="P1734" s="41">
        <v>3</v>
      </c>
      <c r="Q1734" s="88">
        <v>3</v>
      </c>
      <c r="R1734" s="41" t="s">
        <v>16</v>
      </c>
      <c r="S1734" s="41" t="s">
        <v>17</v>
      </c>
      <c r="T1734" s="88" t="s">
        <v>76</v>
      </c>
      <c r="U1734" s="16" t="s">
        <v>13</v>
      </c>
      <c r="V1734" s="16" t="s">
        <v>19</v>
      </c>
      <c r="W1734" s="19" t="s"/>
      <c r="X1734" s="26" t="s">
        <f>=M1734&amp;N1734&amp;P1734&amp;Q1734&amp;T1734&amp;V1734&amp;S1734</f>
        <v>1884</v>
      </c>
      <c r="Y1734" s="19" t="s"/>
      <c r="Z1734" s="19" t="s"/>
      <c r="AA1734" s="19" t="s"/>
      <c r="AB1734" s="19" t="s"/>
    </row>
    <row r="1735" spans="1:28" ht="14.4">
      <c r="A1735" s="4">
        <f>=H1735/G1735-1</f>
        <v>0.0984251968503938</v>
      </c>
      <c r="B1735" s="20">
        <f>=F1735/12</f>
        <v>20.925</v>
      </c>
      <c r="C1735" s="20">
        <f>=J1735/3</f>
        <v>167.4</v>
      </c>
      <c r="D1735" s="20">
        <f>=K1735/3</f>
        <v>186</v>
      </c>
      <c r="E1735" s="20">
        <f>=L1735/3</f>
        <v>195.3</v>
      </c>
      <c r="F1735" s="20">
        <f>=H1735*0.9</f>
        <v>251.1</v>
      </c>
      <c r="G1735" s="21">
        <v>254</v>
      </c>
      <c r="H1735" s="39">
        <v>279</v>
      </c>
      <c r="I1735" s="40">
        <f>=H1735*1.05</f>
        <v>292.95</v>
      </c>
      <c r="J1735" s="40">
        <f>=F1735*2</f>
        <v>502.2</v>
      </c>
      <c r="K1735" s="40">
        <f>=H1735*2</f>
        <v>558</v>
      </c>
      <c r="L1735" s="40">
        <f>=I1735*2</f>
        <v>585.9</v>
      </c>
      <c r="M1735" s="41" t="s">
        <v>1867</v>
      </c>
      <c r="N1735" s="88">
        <v>0.4</v>
      </c>
      <c r="O1735" s="41" t="s"/>
      <c r="P1735" s="41">
        <v>2</v>
      </c>
      <c r="Q1735" s="88">
        <v>2</v>
      </c>
      <c r="R1735" s="41" t="s">
        <v>16</v>
      </c>
      <c r="S1735" s="41" t="s">
        <v>17</v>
      </c>
      <c r="T1735" s="88" t="s">
        <v>76</v>
      </c>
      <c r="U1735" s="16" t="s">
        <v>13</v>
      </c>
      <c r="V1735" s="16" t="s">
        <v>19</v>
      </c>
      <c r="W1735" s="19" t="s"/>
      <c r="X1735" s="26" t="s">
        <f>=M1735&amp;N1735&amp;P1735&amp;Q1735&amp;T1735&amp;V1735&amp;S1735</f>
        <v>1885</v>
      </c>
      <c r="Y1735" s="19" t="s"/>
      <c r="Z1735" s="19" t="s"/>
      <c r="AA1735" s="19" t="s"/>
      <c r="AB1735" s="19" t="s"/>
    </row>
    <row r="1736" spans="1:28" ht="14.4">
      <c r="A1736" s="51">
        <v>46181</v>
      </c>
      <c r="B1736" s="20">
        <f>=F1736/12</f>
        <v>34.725</v>
      </c>
      <c r="C1736" s="20">
        <f>=J1736/3</f>
        <v>277.8</v>
      </c>
      <c r="D1736" s="20">
        <f>=K1736/3</f>
        <v>308.666666666667</v>
      </c>
      <c r="E1736" s="20">
        <f>=L1736/3</f>
        <v>324.1</v>
      </c>
      <c r="F1736" s="20">
        <f>=H1736*0.9</f>
        <v>416.7</v>
      </c>
      <c r="G1736" s="21">
        <v>421</v>
      </c>
      <c r="H1736" s="39">
        <v>463</v>
      </c>
      <c r="I1736" s="40">
        <f>=H1736*1.05</f>
        <v>486.15</v>
      </c>
      <c r="J1736" s="40">
        <f>=F1736*2</f>
        <v>833.4</v>
      </c>
      <c r="K1736" s="40">
        <f>=H1736*2</f>
        <v>926</v>
      </c>
      <c r="L1736" s="40">
        <f>=I1736*2</f>
        <v>972.3</v>
      </c>
      <c r="M1736" s="75" t="s">
        <v>1804</v>
      </c>
      <c r="N1736" s="88">
        <v>0.4</v>
      </c>
      <c r="O1736" s="41" t="s"/>
      <c r="P1736" s="41">
        <v>3</v>
      </c>
      <c r="Q1736" s="88">
        <v>3</v>
      </c>
      <c r="R1736" s="41" t="s">
        <v>16</v>
      </c>
      <c r="S1736" s="41" t="s">
        <v>17</v>
      </c>
      <c r="T1736" s="88" t="s">
        <v>76</v>
      </c>
      <c r="U1736" s="16" t="s">
        <v>13</v>
      </c>
      <c r="V1736" s="16" t="s">
        <v>19</v>
      </c>
      <c r="W1736" s="19" t="s"/>
      <c r="X1736" s="26" t="s">
        <f>=M1736&amp;N1736&amp;P1736&amp;Q1736&amp;T1736&amp;V1736&amp;S1736</f>
        <v>1886</v>
      </c>
      <c r="Y1736" s="19" t="s"/>
      <c r="Z1736" s="19" t="s"/>
      <c r="AA1736" s="19" t="s"/>
      <c r="AB1736" s="19" t="s"/>
    </row>
    <row r="1737" spans="1:28" ht="14.4">
      <c r="A1737" s="4">
        <f>=H1737/G1737-1</f>
        <v>0.1</v>
      </c>
      <c r="B1737" s="20">
        <f>=F1737/12</f>
        <v>9.075</v>
      </c>
      <c r="C1737" s="20">
        <f>=J1737/3</f>
        <v>72.6</v>
      </c>
      <c r="D1737" s="20">
        <f>=K1737/3</f>
        <v>80.6666666666667</v>
      </c>
      <c r="E1737" s="20">
        <f>=L1737/3</f>
        <v>84.7</v>
      </c>
      <c r="F1737" s="20">
        <f>=H1737*0.9</f>
        <v>108.9</v>
      </c>
      <c r="G1737" s="21">
        <v>110</v>
      </c>
      <c r="H1737" s="39">
        <v>121</v>
      </c>
      <c r="I1737" s="40">
        <f>=H1737*1.05</f>
        <v>127.05</v>
      </c>
      <c r="J1737" s="40">
        <f>=F1737*2</f>
        <v>217.8</v>
      </c>
      <c r="K1737" s="40">
        <f>=H1737*2</f>
        <v>242</v>
      </c>
      <c r="L1737" s="40">
        <f>=I1737*2</f>
        <v>254.1</v>
      </c>
      <c r="M1737" s="41" t="s">
        <v>1867</v>
      </c>
      <c r="N1737" s="88">
        <v>0.4</v>
      </c>
      <c r="O1737" s="41" t="s"/>
      <c r="P1737" s="41" t="s">
        <v>21</v>
      </c>
      <c r="Q1737" s="88" t="s">
        <v>21</v>
      </c>
      <c r="R1737" s="41" t="s">
        <v>16</v>
      </c>
      <c r="S1737" s="41" t="s">
        <v>17</v>
      </c>
      <c r="T1737" s="88" t="s">
        <v>76</v>
      </c>
      <c r="U1737" s="16" t="s">
        <v>13</v>
      </c>
      <c r="V1737" s="16" t="s">
        <v>19</v>
      </c>
      <c r="W1737" s="5" t="s"/>
      <c r="X1737" s="26" t="s">
        <f>=M1737&amp;N1737&amp;P1737&amp;Q1737&amp;T1737&amp;V1737&amp;S1737</f>
        <v>1887</v>
      </c>
      <c r="Y1737" s="19" t="s"/>
      <c r="Z1737" s="19" t="s"/>
      <c r="AA1737" s="19" t="s"/>
      <c r="AB1737" s="19" t="s"/>
    </row>
    <row r="1738" spans="1:28" ht="14.4">
      <c r="A1738" s="4">
        <f>=H1738/G1738-1</f>
        <v>0.0986842105263157</v>
      </c>
      <c r="B1738" s="20">
        <f>=F1738/12</f>
        <v>12.525</v>
      </c>
      <c r="C1738" s="20">
        <f>=J1738/3</f>
        <v>100.2</v>
      </c>
      <c r="D1738" s="20">
        <f>=K1738/3</f>
        <v>111.333333333333</v>
      </c>
      <c r="E1738" s="20">
        <f>=L1738/3</f>
        <v>116.9</v>
      </c>
      <c r="F1738" s="20">
        <f>=H1738*0.9</f>
        <v>150.3</v>
      </c>
      <c r="G1738" s="21">
        <v>152</v>
      </c>
      <c r="H1738" s="119">
        <v>167</v>
      </c>
      <c r="I1738" s="120">
        <f>=H1738*1.05</f>
        <v>175.35</v>
      </c>
      <c r="J1738" s="120">
        <f>=F1738*2</f>
        <v>300.6</v>
      </c>
      <c r="K1738" s="120">
        <f>=H1738*2</f>
        <v>334</v>
      </c>
      <c r="L1738" s="120">
        <f>=I1738*2</f>
        <v>350.7</v>
      </c>
      <c r="M1738" s="121" t="s">
        <v>1867</v>
      </c>
      <c r="N1738" s="199">
        <v>0.43</v>
      </c>
      <c r="O1738" s="41" t="s"/>
      <c r="P1738" s="121">
        <v>1</v>
      </c>
      <c r="Q1738" s="199">
        <v>1</v>
      </c>
      <c r="R1738" s="121" t="s">
        <v>16</v>
      </c>
      <c r="S1738" s="121" t="s">
        <v>17</v>
      </c>
      <c r="T1738" s="199" t="s">
        <v>93</v>
      </c>
      <c r="U1738" s="16" t="s">
        <v>13</v>
      </c>
      <c r="V1738" s="16" t="s">
        <v>19</v>
      </c>
      <c r="W1738" s="5" t="s"/>
      <c r="X1738" s="26" t="s">
        <f>=M1738&amp;N1738&amp;P1738&amp;Q1738&amp;T1738&amp;V1738&amp;S1738</f>
        <v>1888</v>
      </c>
      <c r="Y1738" s="19" t="s"/>
      <c r="Z1738" s="19" t="s"/>
      <c r="AA1738" s="19" t="s"/>
      <c r="AB1738" s="19" t="s"/>
    </row>
    <row r="1739" spans="1:29" ht="14.4">
      <c r="A1739" s="49">
        <v>46178</v>
      </c>
      <c r="B1739" s="43">
        <f>=F1739/12</f>
        <v>23.1</v>
      </c>
      <c r="C1739" s="43">
        <f>=J1739/3</f>
        <v>184.8</v>
      </c>
      <c r="D1739" s="43">
        <f>=K1739/3</f>
        <v>205.333333333333</v>
      </c>
      <c r="E1739" s="43">
        <f>=L1739/3</f>
        <v>215.6</v>
      </c>
      <c r="F1739" s="43">
        <f>=H1739*0.9</f>
        <v>277.2</v>
      </c>
      <c r="G1739" s="27">
        <v>123</v>
      </c>
      <c r="H1739" s="44">
        <v>308</v>
      </c>
      <c r="I1739" s="45">
        <f>=H1739*1.05</f>
        <v>323.4</v>
      </c>
      <c r="J1739" s="45">
        <f>=F1739*2</f>
        <v>554.4</v>
      </c>
      <c r="K1739" s="45">
        <f>=H1739*2</f>
        <v>616</v>
      </c>
      <c r="L1739" s="45">
        <f>=I1739*2</f>
        <v>646.8</v>
      </c>
      <c r="M1739" s="12" t="s">
        <v>1804</v>
      </c>
      <c r="N1739" s="200">
        <v>0.56</v>
      </c>
      <c r="O1739" s="46" t="s"/>
      <c r="P1739" s="12">
        <v>2</v>
      </c>
      <c r="Q1739" s="201">
        <v>2</v>
      </c>
      <c r="R1739" s="46" t="s">
        <v>16</v>
      </c>
      <c r="S1739" s="46" t="s">
        <v>17</v>
      </c>
      <c r="T1739" s="200" t="s">
        <v>110</v>
      </c>
      <c r="U1739" s="13" t="s">
        <v>13</v>
      </c>
      <c r="V1739" s="13" t="s">
        <v>19</v>
      </c>
      <c r="W1739" s="15" t="s"/>
      <c r="X1739" s="18" t="s">
        <f>=M1739&amp;N1739&amp;P1739&amp;Q1739&amp;T1739&amp;V1739&amp;S1739</f>
        <v>1889</v>
      </c>
      <c r="Y1739" s="15" t="s"/>
      <c r="Z1739" s="15" t="s"/>
      <c r="AA1739" s="15" t="s"/>
      <c r="AB1739" s="15" t="s"/>
      <c r="AC1739" s="48" t="s"/>
    </row>
    <row r="1740" spans="1:28" ht="14.4">
      <c r="A1740" s="4">
        <f>=H1740/G1740-1</f>
        <v>0.0975609756097562</v>
      </c>
      <c r="B1740" s="20">
        <f>=F1740/12</f>
        <v>10.125</v>
      </c>
      <c r="C1740" s="20">
        <f>=J1740/3</f>
        <v>81</v>
      </c>
      <c r="D1740" s="20">
        <f>=K1740/3</f>
        <v>90</v>
      </c>
      <c r="E1740" s="20">
        <f>=L1740/3</f>
        <v>94.5</v>
      </c>
      <c r="F1740" s="20">
        <f>=H1740*0.9</f>
        <v>121.5</v>
      </c>
      <c r="G1740" s="21">
        <v>123</v>
      </c>
      <c r="H1740" s="39">
        <v>135</v>
      </c>
      <c r="I1740" s="40">
        <f>=H1740*1.05</f>
        <v>141.75</v>
      </c>
      <c r="J1740" s="40">
        <f>=F1740*2</f>
        <v>243</v>
      </c>
      <c r="K1740" s="40">
        <f>=H1740*2</f>
        <v>270</v>
      </c>
      <c r="L1740" s="40">
        <f>=I1740*2</f>
        <v>283.5</v>
      </c>
      <c r="M1740" s="75" t="s">
        <v>1890</v>
      </c>
      <c r="N1740" s="88">
        <v>0.56</v>
      </c>
      <c r="O1740" s="41" t="s"/>
      <c r="P1740" s="41" t="s">
        <v>21</v>
      </c>
      <c r="Q1740" s="88" t="s">
        <v>21</v>
      </c>
      <c r="R1740" s="41" t="s">
        <v>16</v>
      </c>
      <c r="S1740" s="41" t="s">
        <v>17</v>
      </c>
      <c r="T1740" s="88" t="s">
        <v>110</v>
      </c>
      <c r="U1740" s="16" t="s">
        <v>13</v>
      </c>
      <c r="V1740" s="16" t="s">
        <v>19</v>
      </c>
      <c r="W1740" s="5" t="s"/>
      <c r="X1740" s="26" t="s">
        <f>=M1740&amp;N1740&amp;P1740&amp;Q1740&amp;T1740&amp;V1740&amp;S1740</f>
        <v>1891</v>
      </c>
      <c r="Y1740" s="19" t="s"/>
      <c r="Z1740" s="19" t="s"/>
      <c r="AA1740" s="19" t="s"/>
      <c r="AB1740" s="19" t="s"/>
    </row>
    <row r="1741" spans="1:28" ht="14.4">
      <c r="A1741" s="4">
        <f>=H1741/G1741-1</f>
        <v>0.101910828025478</v>
      </c>
      <c r="B1741" s="20">
        <f>=F1741/12</f>
        <v>12.975</v>
      </c>
      <c r="C1741" s="20">
        <f>=J1741/3</f>
        <v>103.8</v>
      </c>
      <c r="D1741" s="20">
        <f>=K1741/3</f>
        <v>115.333333333333</v>
      </c>
      <c r="E1741" s="20">
        <f>=L1741/3</f>
        <v>121.1</v>
      </c>
      <c r="F1741" s="20">
        <f>=H1741*0.9</f>
        <v>155.7</v>
      </c>
      <c r="G1741" s="21">
        <v>157</v>
      </c>
      <c r="H1741" s="39">
        <v>173</v>
      </c>
      <c r="I1741" s="40">
        <f>=H1741*1.05</f>
        <v>181.65</v>
      </c>
      <c r="J1741" s="40">
        <f>=F1741*2</f>
        <v>311.4</v>
      </c>
      <c r="K1741" s="40">
        <f>=H1741*2</f>
        <v>346</v>
      </c>
      <c r="L1741" s="40">
        <f>=I1741*2</f>
        <v>363.3</v>
      </c>
      <c r="M1741" s="41" t="s">
        <v>1867</v>
      </c>
      <c r="N1741" s="88">
        <v>0.63</v>
      </c>
      <c r="O1741" s="41" t="s"/>
      <c r="P1741" s="41">
        <v>1</v>
      </c>
      <c r="Q1741" s="88">
        <v>1</v>
      </c>
      <c r="R1741" s="41" t="s">
        <v>16</v>
      </c>
      <c r="S1741" s="41" t="s">
        <v>17</v>
      </c>
      <c r="T1741" s="88" t="s">
        <v>110</v>
      </c>
      <c r="U1741" s="16" t="s">
        <v>13</v>
      </c>
      <c r="V1741" s="16" t="s">
        <v>19</v>
      </c>
      <c r="W1741" s="5" t="s"/>
      <c r="X1741" s="26" t="s">
        <f>=M1741&amp;N1741&amp;P1741&amp;Q1741&amp;T1741&amp;V1741&amp;S1741</f>
        <v>1892</v>
      </c>
      <c r="Y1741" s="19" t="s"/>
      <c r="Z1741" s="19" t="s"/>
      <c r="AA1741" s="19" t="s"/>
      <c r="AB1741" s="19" t="s"/>
    </row>
    <row r="1742" spans="1:28" ht="14.4">
      <c r="A1742" s="4">
        <f>=H1742/G1742-1</f>
        <v>0.10126582278481</v>
      </c>
      <c r="B1742" s="20">
        <f>=F1742/12</f>
        <v>13.05</v>
      </c>
      <c r="C1742" s="20">
        <f>=J1742/3</f>
        <v>104.4</v>
      </c>
      <c r="D1742" s="20">
        <f>=K1742/3</f>
        <v>116</v>
      </c>
      <c r="E1742" s="20">
        <f>=L1742/3</f>
        <v>121.8</v>
      </c>
      <c r="F1742" s="20">
        <f>=H1742*0.9</f>
        <v>156.6</v>
      </c>
      <c r="G1742" s="21">
        <v>158</v>
      </c>
      <c r="H1742" s="39">
        <v>174</v>
      </c>
      <c r="I1742" s="40">
        <f>=H1742*1.05</f>
        <v>182.7</v>
      </c>
      <c r="J1742" s="40">
        <f>=F1742*2</f>
        <v>313.2</v>
      </c>
      <c r="K1742" s="40">
        <f>=H1742*2</f>
        <v>348</v>
      </c>
      <c r="L1742" s="40">
        <f>=I1742*2</f>
        <v>365.4</v>
      </c>
      <c r="M1742" s="41" t="s">
        <v>1867</v>
      </c>
      <c r="N1742" s="88">
        <v>0.71</v>
      </c>
      <c r="O1742" s="41" t="s"/>
      <c r="P1742" s="41">
        <v>1</v>
      </c>
      <c r="Q1742" s="88">
        <v>1</v>
      </c>
      <c r="R1742" s="41" t="s">
        <v>16</v>
      </c>
      <c r="S1742" s="41" t="s">
        <v>17</v>
      </c>
      <c r="T1742" s="88" t="s">
        <v>128</v>
      </c>
      <c r="U1742" s="16" t="s">
        <v>13</v>
      </c>
      <c r="V1742" s="16" t="s">
        <v>19</v>
      </c>
      <c r="W1742" s="5" t="s"/>
      <c r="X1742" s="26" t="s">
        <f>=M1742&amp;N1742&amp;P1742&amp;Q1742&amp;T1742&amp;V1742&amp;S1742</f>
        <v>1893</v>
      </c>
      <c r="Y1742" s="19" t="s"/>
      <c r="Z1742" s="19" t="s"/>
      <c r="AA1742" s="19" t="s"/>
      <c r="AB1742" s="19" t="s"/>
    </row>
    <row r="1743" spans="1:28" ht="14.4">
      <c r="A1743" s="4">
        <f>=H1743/G1743-1</f>
        <v>0.100719424460432</v>
      </c>
      <c r="B1743" s="20">
        <f>=F1743/12</f>
        <v>11.475</v>
      </c>
      <c r="C1743" s="20">
        <f>=J1743/3</f>
        <v>91.8</v>
      </c>
      <c r="D1743" s="20">
        <f>=K1743/3</f>
        <v>102</v>
      </c>
      <c r="E1743" s="20">
        <f>=L1743/3</f>
        <v>107.1</v>
      </c>
      <c r="F1743" s="20">
        <f>=H1743*0.9</f>
        <v>137.7</v>
      </c>
      <c r="G1743" s="21">
        <v>139</v>
      </c>
      <c r="H1743" s="39">
        <v>153</v>
      </c>
      <c r="I1743" s="40">
        <f>=H1743*1.05</f>
        <v>160.65</v>
      </c>
      <c r="J1743" s="40">
        <f>=F1743*2</f>
        <v>275.4</v>
      </c>
      <c r="K1743" s="40">
        <f>=H1743*2</f>
        <v>306</v>
      </c>
      <c r="L1743" s="40">
        <f>=I1743*2</f>
        <v>321.3</v>
      </c>
      <c r="M1743" s="41" t="s">
        <v>1867</v>
      </c>
      <c r="N1743" s="88">
        <v>0.71</v>
      </c>
      <c r="O1743" s="41" t="s"/>
      <c r="P1743" s="41" t="s">
        <v>21</v>
      </c>
      <c r="Q1743" s="88" t="s">
        <v>21</v>
      </c>
      <c r="R1743" s="41" t="s">
        <v>16</v>
      </c>
      <c r="S1743" s="41" t="s">
        <v>17</v>
      </c>
      <c r="T1743" s="88" t="s">
        <v>128</v>
      </c>
      <c r="U1743" s="16" t="s">
        <v>13</v>
      </c>
      <c r="V1743" s="16" t="s">
        <v>19</v>
      </c>
      <c r="W1743" s="5" t="s"/>
      <c r="X1743" s="26" t="s">
        <f>=M1743&amp;N1743&amp;P1743&amp;Q1743&amp;T1743&amp;V1743&amp;S1743</f>
        <v>1894</v>
      </c>
      <c r="Y1743" s="19" t="s"/>
      <c r="Z1743" s="19" t="s"/>
      <c r="AA1743" s="19" t="s"/>
      <c r="AB1743" s="19" t="s"/>
    </row>
    <row r="1744" spans="1:28" ht="14.4">
      <c r="A1744" s="4">
        <f>=H1744/G1744-1</f>
        <v>0.0987654320987654</v>
      </c>
      <c r="B1744" s="20">
        <f>=F1744/12</f>
        <v>13.35</v>
      </c>
      <c r="C1744" s="20">
        <f>=J1744/3</f>
        <v>106.8</v>
      </c>
      <c r="D1744" s="20">
        <f>=K1744/3</f>
        <v>118.666666666667</v>
      </c>
      <c r="E1744" s="20">
        <f>=L1744/3</f>
        <v>124.6</v>
      </c>
      <c r="F1744" s="20">
        <f>=H1744*0.9</f>
        <v>160.2</v>
      </c>
      <c r="G1744" s="21">
        <v>162</v>
      </c>
      <c r="H1744" s="39">
        <v>178</v>
      </c>
      <c r="I1744" s="40">
        <f>=H1744*1.05</f>
        <v>186.9</v>
      </c>
      <c r="J1744" s="40">
        <f>=F1744*2</f>
        <v>320.4</v>
      </c>
      <c r="K1744" s="40">
        <f>=H1744*2</f>
        <v>356</v>
      </c>
      <c r="L1744" s="40">
        <f>=I1744*2</f>
        <v>373.8</v>
      </c>
      <c r="M1744" s="41" t="s">
        <v>1867</v>
      </c>
      <c r="N1744" s="88">
        <v>0.73</v>
      </c>
      <c r="O1744" s="41" t="s"/>
      <c r="P1744" s="41">
        <v>1</v>
      </c>
      <c r="Q1744" s="88">
        <v>1</v>
      </c>
      <c r="R1744" s="41" t="s">
        <v>16</v>
      </c>
      <c r="S1744" s="41" t="s">
        <v>17</v>
      </c>
      <c r="T1744" s="88" t="s">
        <v>128</v>
      </c>
      <c r="U1744" s="16" t="s">
        <v>13</v>
      </c>
      <c r="V1744" s="16" t="s">
        <v>19</v>
      </c>
      <c r="W1744" s="5" t="s"/>
      <c r="X1744" s="26" t="s">
        <f>=M1744&amp;N1744&amp;P1744&amp;Q1744&amp;T1744&amp;V1744&amp;S1744</f>
        <v>1895</v>
      </c>
      <c r="Y1744" s="19" t="s"/>
      <c r="Z1744" s="19" t="s"/>
      <c r="AA1744" s="19" t="s"/>
      <c r="AB1744" s="19" t="s"/>
    </row>
    <row r="1745" spans="1:28" ht="14.4">
      <c r="A1745" s="4">
        <f>=H1745/G1745-1</f>
        <v>0.103030303030303</v>
      </c>
      <c r="B1745" s="20">
        <f>=F1745/12</f>
        <v>13.65</v>
      </c>
      <c r="C1745" s="20">
        <f>=J1745/3</f>
        <v>109.2</v>
      </c>
      <c r="D1745" s="20">
        <f>=K1745/3</f>
        <v>121.333333333333</v>
      </c>
      <c r="E1745" s="20">
        <f>=L1745/3</f>
        <v>127.4</v>
      </c>
      <c r="F1745" s="20">
        <f>=H1745*0.9</f>
        <v>163.8</v>
      </c>
      <c r="G1745" s="21">
        <v>165</v>
      </c>
      <c r="H1745" s="39">
        <v>182</v>
      </c>
      <c r="I1745" s="40">
        <f>=H1745*1.05</f>
        <v>191.1</v>
      </c>
      <c r="J1745" s="40">
        <f>=F1745*2</f>
        <v>327.6</v>
      </c>
      <c r="K1745" s="40">
        <f>=H1745*2</f>
        <v>364</v>
      </c>
      <c r="L1745" s="40">
        <f>=I1745*2</f>
        <v>382.2</v>
      </c>
      <c r="M1745" s="41" t="s">
        <v>1867</v>
      </c>
      <c r="N1745" s="88">
        <v>0.8</v>
      </c>
      <c r="O1745" s="41" t="s"/>
      <c r="P1745" s="41">
        <v>1</v>
      </c>
      <c r="Q1745" s="88">
        <v>1</v>
      </c>
      <c r="R1745" s="41" t="s">
        <v>16</v>
      </c>
      <c r="S1745" s="41" t="s">
        <v>137</v>
      </c>
      <c r="T1745" s="88" t="s">
        <v>128</v>
      </c>
      <c r="U1745" s="16" t="s">
        <v>13</v>
      </c>
      <c r="V1745" s="16" t="s">
        <v>19</v>
      </c>
      <c r="W1745" s="5" t="s"/>
      <c r="X1745" s="26" t="s">
        <f>=M1745&amp;N1745&amp;P1745&amp;Q1745&amp;T1745&amp;V1745&amp;S1745</f>
        <v>1896</v>
      </c>
      <c r="Y1745" s="19" t="s"/>
      <c r="Z1745" s="19" t="s"/>
      <c r="AA1745" s="19" t="s"/>
      <c r="AB1745" s="19" t="s"/>
    </row>
    <row r="1746" spans="1:28" ht="14.4">
      <c r="A1746" s="4">
        <f>=H1746/G1746-1</f>
        <v>0.1</v>
      </c>
      <c r="B1746" s="20">
        <f>=F1746/12</f>
        <v>18.15</v>
      </c>
      <c r="C1746" s="20">
        <f>=J1746/3</f>
        <v>145.2</v>
      </c>
      <c r="D1746" s="20">
        <f>=K1746/3</f>
        <v>161.333333333333</v>
      </c>
      <c r="E1746" s="20">
        <f>=L1746/3</f>
        <v>169.4</v>
      </c>
      <c r="F1746" s="20">
        <f>=H1746*0.9</f>
        <v>217.8</v>
      </c>
      <c r="G1746" s="157">
        <v>220</v>
      </c>
      <c r="H1746" s="39">
        <v>242</v>
      </c>
      <c r="I1746" s="40">
        <f>=H1746*1.05</f>
        <v>254.1</v>
      </c>
      <c r="J1746" s="40">
        <f>=F1746*2</f>
        <v>435.6</v>
      </c>
      <c r="K1746" s="40">
        <f>=H1746*2</f>
        <v>484</v>
      </c>
      <c r="L1746" s="40">
        <f>=I1746*2</f>
        <v>508.2</v>
      </c>
      <c r="M1746" s="41" t="s">
        <v>1867</v>
      </c>
      <c r="N1746" s="88">
        <v>1.5</v>
      </c>
      <c r="O1746" s="41" t="s"/>
      <c r="P1746" s="41">
        <v>1</v>
      </c>
      <c r="Q1746" s="88">
        <v>1</v>
      </c>
      <c r="R1746" s="41" t="s">
        <v>16</v>
      </c>
      <c r="S1746" s="41" t="s">
        <v>137</v>
      </c>
      <c r="T1746" s="88" t="s">
        <v>171</v>
      </c>
      <c r="U1746" s="16" t="s">
        <v>13</v>
      </c>
      <c r="V1746" s="16" t="s">
        <v>19</v>
      </c>
      <c r="W1746" s="5" t="s"/>
      <c r="X1746" s="26" t="s">
        <f>=M1746&amp;N1746&amp;P1746&amp;Q1746&amp;T1746&amp;V1746&amp;S1746</f>
        <v>1897</v>
      </c>
      <c r="Y1746" s="19" t="s"/>
      <c r="Z1746" s="19" t="s"/>
      <c r="AA1746" s="19" t="s"/>
      <c r="AB1746" s="19" t="s"/>
    </row>
    <row r="1747" spans="1:28" ht="14.4">
      <c r="A1747" s="4">
        <f>=H1747/G1747-1</f>
        <v>0.102150537634409</v>
      </c>
      <c r="B1747" s="20">
        <f>=F1747/12</f>
        <v>15.375</v>
      </c>
      <c r="C1747" s="20">
        <f>=J1747/3</f>
        <v>123</v>
      </c>
      <c r="D1747" s="20">
        <f>=K1747/3</f>
        <v>136.666666666667</v>
      </c>
      <c r="E1747" s="20">
        <f>=L1747/3</f>
        <v>143.5</v>
      </c>
      <c r="F1747" s="20">
        <f>=H1747*0.9</f>
        <v>184.5</v>
      </c>
      <c r="G1747" s="21">
        <v>186</v>
      </c>
      <c r="H1747" s="39">
        <v>205</v>
      </c>
      <c r="I1747" s="40">
        <f>=H1747*1.05</f>
        <v>215.25</v>
      </c>
      <c r="J1747" s="40">
        <f>=F1747*2</f>
        <v>369</v>
      </c>
      <c r="K1747" s="40">
        <f>=H1747*2</f>
        <v>410</v>
      </c>
      <c r="L1747" s="40">
        <f>=I1747*2</f>
        <v>430.5</v>
      </c>
      <c r="M1747" s="41" t="s">
        <v>1867</v>
      </c>
      <c r="N1747" s="88">
        <v>1.55</v>
      </c>
      <c r="O1747" s="41" t="s"/>
      <c r="P1747" s="41" t="s">
        <v>21</v>
      </c>
      <c r="Q1747" s="88" t="s">
        <v>21</v>
      </c>
      <c r="R1747" s="41" t="s">
        <v>16</v>
      </c>
      <c r="S1747" s="41" t="s">
        <v>137</v>
      </c>
      <c r="T1747" s="88" t="s">
        <v>171</v>
      </c>
      <c r="U1747" s="16" t="s">
        <v>13</v>
      </c>
      <c r="V1747" s="16" t="s">
        <v>19</v>
      </c>
      <c r="W1747" s="5" t="s"/>
      <c r="X1747" s="26" t="s">
        <f>=M1747&amp;N1747&amp;P1747&amp;Q1747&amp;T1747&amp;V1747&amp;S1747</f>
        <v>1898</v>
      </c>
      <c r="Y1747" s="19" t="s"/>
      <c r="Z1747" s="19" t="s"/>
      <c r="AA1747" s="19" t="s"/>
      <c r="AB1747" s="19" t="s"/>
    </row>
    <row r="1748" spans="1:28" ht="14.4">
      <c r="A1748" s="4">
        <f>=H1748/G1748-1</f>
        <v>0.0982142857142858</v>
      </c>
      <c r="B1748" s="20">
        <f>=F1748/12</f>
        <v>18.45</v>
      </c>
      <c r="C1748" s="20">
        <f>=J1748/3</f>
        <v>147.6</v>
      </c>
      <c r="D1748" s="20">
        <f>=K1748/3</f>
        <v>164</v>
      </c>
      <c r="E1748" s="20">
        <f>=L1748/3</f>
        <v>172.2</v>
      </c>
      <c r="F1748" s="20">
        <f>=H1748*0.9</f>
        <v>221.4</v>
      </c>
      <c r="G1748" s="21">
        <v>224</v>
      </c>
      <c r="H1748" s="39">
        <v>246</v>
      </c>
      <c r="I1748" s="40">
        <f>=H1748*1.05</f>
        <v>258.3</v>
      </c>
      <c r="J1748" s="40">
        <f>=F1748*2</f>
        <v>442.8</v>
      </c>
      <c r="K1748" s="40">
        <f>=H1748*2</f>
        <v>492</v>
      </c>
      <c r="L1748" s="40">
        <f>=I1748*2</f>
        <v>516.6</v>
      </c>
      <c r="M1748" s="41" t="s">
        <v>1867</v>
      </c>
      <c r="N1748" s="88">
        <v>1.6</v>
      </c>
      <c r="O1748" s="41" t="s"/>
      <c r="P1748" s="41">
        <v>1</v>
      </c>
      <c r="Q1748" s="88">
        <v>1</v>
      </c>
      <c r="R1748" s="41" t="s">
        <v>16</v>
      </c>
      <c r="S1748" s="41" t="s">
        <v>137</v>
      </c>
      <c r="T1748" s="88" t="s">
        <v>171</v>
      </c>
      <c r="U1748" s="16" t="s">
        <v>13</v>
      </c>
      <c r="V1748" s="16" t="s">
        <v>19</v>
      </c>
      <c r="W1748" s="5" t="s"/>
      <c r="X1748" s="26" t="s">
        <f>=M1748&amp;N1748&amp;P1748&amp;Q1748&amp;T1748&amp;V1748&amp;S1748</f>
        <v>1899</v>
      </c>
      <c r="Y1748" s="19" t="s"/>
      <c r="Z1748" s="19" t="s"/>
      <c r="AA1748" s="19" t="s"/>
      <c r="AB1748" s="19" t="s"/>
    </row>
    <row r="1749" spans="1:28" ht="14.4">
      <c r="A1749" s="4">
        <f>=H1749/G1749-1</f>
        <v>0.0984455958549222</v>
      </c>
      <c r="B1749" s="20">
        <f>=F1749/12</f>
        <v>15.9</v>
      </c>
      <c r="C1749" s="20">
        <f>=J1749/3</f>
        <v>127.2</v>
      </c>
      <c r="D1749" s="20">
        <f>=K1749/3</f>
        <v>141.333333333333</v>
      </c>
      <c r="E1749" s="20">
        <f>=L1749/3</f>
        <v>148.4</v>
      </c>
      <c r="F1749" s="20">
        <f>=H1749*0.9</f>
        <v>190.8</v>
      </c>
      <c r="G1749" s="21">
        <v>193</v>
      </c>
      <c r="H1749" s="39">
        <v>212</v>
      </c>
      <c r="I1749" s="40">
        <f>=H1749*1.05</f>
        <v>222.6</v>
      </c>
      <c r="J1749" s="40">
        <f>=F1749*2</f>
        <v>381.6</v>
      </c>
      <c r="K1749" s="40">
        <f>=H1749*2</f>
        <v>424</v>
      </c>
      <c r="L1749" s="40">
        <f>=I1749*2</f>
        <v>445.2</v>
      </c>
      <c r="M1749" s="41" t="s">
        <v>1867</v>
      </c>
      <c r="N1749" s="88">
        <v>1.6</v>
      </c>
      <c r="O1749" s="41" t="s"/>
      <c r="P1749" s="41" t="s">
        <v>21</v>
      </c>
      <c r="Q1749" s="88" t="s">
        <v>21</v>
      </c>
      <c r="R1749" s="41" t="s">
        <v>16</v>
      </c>
      <c r="S1749" s="41" t="s">
        <v>137</v>
      </c>
      <c r="T1749" s="88" t="s">
        <v>171</v>
      </c>
      <c r="U1749" s="16" t="s">
        <v>13</v>
      </c>
      <c r="V1749" s="16" t="s">
        <v>19</v>
      </c>
      <c r="W1749" s="5" t="s"/>
      <c r="X1749" s="26" t="s">
        <f>=M1749&amp;N1749&amp;P1749&amp;Q1749&amp;T1749&amp;V1749&amp;S1749</f>
        <v>1900</v>
      </c>
      <c r="Y1749" s="19" t="s"/>
      <c r="Z1749" s="19" t="s"/>
      <c r="AA1749" s="19" t="s"/>
      <c r="AB1749" s="19" t="s"/>
    </row>
    <row r="1750" spans="1:28" ht="14.4">
      <c r="A1750" s="4">
        <f>=H1750/G1750-1</f>
        <v>0</v>
      </c>
      <c r="B1750" s="20">
        <f>=F1750/12</f>
        <v>26.25</v>
      </c>
      <c r="C1750" s="20">
        <f>=J1750/3</f>
        <v>210</v>
      </c>
      <c r="D1750" s="20">
        <f>=K1750/3</f>
        <v>233.333333333333</v>
      </c>
      <c r="E1750" s="20">
        <f>=L1750/3</f>
        <v>245</v>
      </c>
      <c r="F1750" s="20">
        <f>=H1750*0.9</f>
        <v>315</v>
      </c>
      <c r="G1750" s="21">
        <v>350</v>
      </c>
      <c r="H1750" s="39">
        <v>350</v>
      </c>
      <c r="I1750" s="40">
        <f>=H1750*1.05</f>
        <v>367.5</v>
      </c>
      <c r="J1750" s="40">
        <f>=F1750*2</f>
        <v>630</v>
      </c>
      <c r="K1750" s="40">
        <f>=H1750*2</f>
        <v>700</v>
      </c>
      <c r="L1750" s="40">
        <f>=I1750*2</f>
        <v>735</v>
      </c>
      <c r="M1750" s="41" t="s">
        <v>1901</v>
      </c>
      <c r="N1750" s="88">
        <v>1.8</v>
      </c>
      <c r="O1750" s="41" t="s"/>
      <c r="P1750" s="41" t="s">
        <v>471</v>
      </c>
      <c r="Q1750" s="88" t="s">
        <v>471</v>
      </c>
      <c r="R1750" s="41" t="s">
        <v>16</v>
      </c>
      <c r="S1750" s="41" t="s">
        <v>137</v>
      </c>
      <c r="T1750" s="88" t="s">
        <v>193</v>
      </c>
      <c r="U1750" s="16" t="s">
        <v>13</v>
      </c>
      <c r="V1750" s="16" t="s">
        <v>19</v>
      </c>
      <c r="W1750" s="17" t="s">
        <v>352</v>
      </c>
      <c r="X1750" s="26" t="s">
        <f>=M1750&amp;N1750&amp;P1750&amp;Q1750&amp;T1750&amp;V1750&amp;S1750</f>
        <v>1902</v>
      </c>
      <c r="Y1750" s="19" t="s"/>
      <c r="Z1750" s="19" t="s"/>
      <c r="AA1750" s="19" t="s"/>
      <c r="AB1750" s="19" t="s"/>
    </row>
    <row r="1751" spans="1:29" ht="14.4">
      <c r="A1751" s="49">
        <v>46181</v>
      </c>
      <c r="B1751" s="43">
        <f>=F1751/12</f>
        <v>32.625</v>
      </c>
      <c r="C1751" s="43">
        <f>=J1751/3</f>
        <v>261</v>
      </c>
      <c r="D1751" s="43">
        <f>=K1751/3</f>
        <v>290</v>
      </c>
      <c r="E1751" s="43">
        <f>=L1751/3</f>
        <v>304.5</v>
      </c>
      <c r="F1751" s="43">
        <f>=H1751*0.9</f>
        <v>391.5</v>
      </c>
      <c r="G1751" s="27">
        <v>350</v>
      </c>
      <c r="H1751" s="44">
        <v>435</v>
      </c>
      <c r="I1751" s="45">
        <f>=H1751*1.05</f>
        <v>456.75</v>
      </c>
      <c r="J1751" s="45">
        <f>=F1751*2</f>
        <v>783</v>
      </c>
      <c r="K1751" s="45">
        <f>=H1751*2</f>
        <v>870</v>
      </c>
      <c r="L1751" s="45">
        <f>=I1751*2</f>
        <v>913.5</v>
      </c>
      <c r="M1751" s="46" t="s">
        <v>1901</v>
      </c>
      <c r="N1751" s="200">
        <v>1.8</v>
      </c>
      <c r="O1751" s="46" t="s"/>
      <c r="P1751" s="12">
        <v>2</v>
      </c>
      <c r="Q1751" s="201">
        <v>2</v>
      </c>
      <c r="R1751" s="46" t="s">
        <v>16</v>
      </c>
      <c r="S1751" s="46" t="s">
        <v>137</v>
      </c>
      <c r="T1751" s="201" t="s">
        <v>186</v>
      </c>
      <c r="U1751" s="13" t="s">
        <v>13</v>
      </c>
      <c r="V1751" s="13" t="s">
        <v>19</v>
      </c>
      <c r="W1751" s="126" t="s">
        <v>352</v>
      </c>
      <c r="X1751" s="18" t="s">
        <f>=M1751&amp;N1751&amp;P1751&amp;Q1751&amp;T1751&amp;V1751&amp;S1751</f>
        <v>1903</v>
      </c>
      <c r="Y1751" s="15" t="s"/>
      <c r="Z1751" s="15" t="s"/>
      <c r="AA1751" s="15" t="s"/>
      <c r="AB1751" s="15" t="s"/>
      <c r="AC1751" s="48" t="s"/>
    </row>
    <row r="1752" spans="1:28" ht="14.4">
      <c r="A1752" s="4">
        <f>=H1752/G1752-1</f>
        <v>0</v>
      </c>
      <c r="B1752" s="20">
        <f>=F1752/12</f>
        <v>21.75</v>
      </c>
      <c r="C1752" s="20">
        <f>=J1752/3</f>
        <v>174</v>
      </c>
      <c r="D1752" s="20">
        <f>=K1752/3</f>
        <v>193.333333333333</v>
      </c>
      <c r="E1752" s="20">
        <f>=L1752/3</f>
        <v>203</v>
      </c>
      <c r="F1752" s="20">
        <f>=H1752*0.9</f>
        <v>261</v>
      </c>
      <c r="G1752" s="21">
        <v>290</v>
      </c>
      <c r="H1752" s="39">
        <v>290</v>
      </c>
      <c r="I1752" s="40">
        <f>=H1752*1.05</f>
        <v>304.5</v>
      </c>
      <c r="J1752" s="40">
        <f>=F1752*2</f>
        <v>522</v>
      </c>
      <c r="K1752" s="40">
        <f>=H1752*2</f>
        <v>580</v>
      </c>
      <c r="L1752" s="40">
        <f>=I1752*2</f>
        <v>609</v>
      </c>
      <c r="M1752" s="75" t="s">
        <v>1804</v>
      </c>
      <c r="N1752" s="88">
        <v>1.9</v>
      </c>
      <c r="O1752" s="41" t="s"/>
      <c r="P1752" s="41" t="s">
        <v>21</v>
      </c>
      <c r="Q1752" s="88" t="s">
        <v>21</v>
      </c>
      <c r="R1752" s="41" t="s">
        <v>16</v>
      </c>
      <c r="S1752" s="41" t="s">
        <v>137</v>
      </c>
      <c r="T1752" s="88" t="s">
        <v>193</v>
      </c>
      <c r="U1752" s="16" t="s">
        <v>13</v>
      </c>
      <c r="V1752" s="16" t="s">
        <v>19</v>
      </c>
      <c r="W1752" s="17" t="s">
        <v>352</v>
      </c>
      <c r="X1752" s="26" t="s">
        <f>=M1752&amp;N1752&amp;P1752&amp;Q1752&amp;T1752&amp;V1752&amp;S1752</f>
        <v>1904</v>
      </c>
      <c r="Y1752" s="19" t="s"/>
      <c r="Z1752" s="19" t="s"/>
      <c r="AA1752" s="19" t="s"/>
      <c r="AB1752" s="19" t="s"/>
    </row>
    <row r="1753" spans="1:29" ht="14.4">
      <c r="A1753" s="42">
        <f>=H1753/G1753-1</f>
        <v>0.724137931034483</v>
      </c>
      <c r="B1753" s="43">
        <f>=F1753/12</f>
        <v>37.5</v>
      </c>
      <c r="C1753" s="43">
        <f>=J1753/3</f>
        <v>300</v>
      </c>
      <c r="D1753" s="43">
        <f>=K1753/3</f>
        <v>333.333333333333</v>
      </c>
      <c r="E1753" s="43">
        <f>=L1753/3</f>
        <v>350</v>
      </c>
      <c r="F1753" s="43">
        <f>=H1753*0.9</f>
        <v>450</v>
      </c>
      <c r="G1753" s="27">
        <v>290</v>
      </c>
      <c r="H1753" s="44">
        <v>500</v>
      </c>
      <c r="I1753" s="45">
        <f>=H1753*1.05</f>
        <v>525</v>
      </c>
      <c r="J1753" s="45">
        <f>=F1753*2</f>
        <v>900</v>
      </c>
      <c r="K1753" s="45">
        <f>=H1753*2</f>
        <v>1000</v>
      </c>
      <c r="L1753" s="45">
        <f>=I1753*2</f>
        <v>1050</v>
      </c>
      <c r="M1753" s="12" t="s">
        <v>1804</v>
      </c>
      <c r="N1753" s="200">
        <v>1.9</v>
      </c>
      <c r="O1753" s="46" t="s"/>
      <c r="P1753" s="12">
        <v>2</v>
      </c>
      <c r="Q1753" s="201">
        <v>2</v>
      </c>
      <c r="R1753" s="46" t="s">
        <v>16</v>
      </c>
      <c r="S1753" s="46" t="s">
        <v>137</v>
      </c>
      <c r="T1753" s="201" t="s">
        <v>186</v>
      </c>
      <c r="U1753" s="13" t="s">
        <v>13</v>
      </c>
      <c r="V1753" s="13" t="s">
        <v>19</v>
      </c>
      <c r="W1753" s="125">
        <v>46184</v>
      </c>
      <c r="X1753" s="18" t="s">
        <f>=M1753&amp;N1753&amp;P1753&amp;Q1753&amp;T1753&amp;V1753&amp;S1753</f>
        <v>1905</v>
      </c>
      <c r="Y1753" s="15" t="s"/>
      <c r="Z1753" s="15" t="s"/>
      <c r="AA1753" s="15" t="s"/>
      <c r="AB1753" s="15" t="s"/>
      <c r="AC1753" s="48" t="s"/>
    </row>
    <row r="1754" spans="1:28" ht="14.4">
      <c r="A1754" s="4">
        <f>=H1754/G1754-1</f>
        <v>0.1</v>
      </c>
      <c r="B1754" s="20">
        <f>=F1754/12</f>
        <v>23.925</v>
      </c>
      <c r="C1754" s="20">
        <f>=J1754/3</f>
        <v>191.4</v>
      </c>
      <c r="D1754" s="20">
        <f>=K1754/3</f>
        <v>212.666666666667</v>
      </c>
      <c r="E1754" s="20">
        <f>=L1754/3</f>
        <v>223.3</v>
      </c>
      <c r="F1754" s="20">
        <f>=H1754*0.9</f>
        <v>287.1</v>
      </c>
      <c r="G1754" s="21">
        <v>290</v>
      </c>
      <c r="H1754" s="39">
        <v>319</v>
      </c>
      <c r="I1754" s="40">
        <f>=H1754*1.05</f>
        <v>334.95</v>
      </c>
      <c r="J1754" s="40">
        <f>=F1754*2</f>
        <v>574.2</v>
      </c>
      <c r="K1754" s="40">
        <f>=H1754*2</f>
        <v>638</v>
      </c>
      <c r="L1754" s="40">
        <f>=I1754*2</f>
        <v>669.9</v>
      </c>
      <c r="M1754" s="41" t="s">
        <v>1867</v>
      </c>
      <c r="N1754" s="202">
        <v>2</v>
      </c>
      <c r="O1754" s="41" t="s"/>
      <c r="P1754" s="41">
        <v>1</v>
      </c>
      <c r="Q1754" s="171">
        <v>1</v>
      </c>
      <c r="R1754" s="41" t="s">
        <v>16</v>
      </c>
      <c r="S1754" s="41" t="s">
        <v>137</v>
      </c>
      <c r="T1754" s="88" t="s">
        <v>193</v>
      </c>
      <c r="U1754" s="16" t="s">
        <v>13</v>
      </c>
      <c r="V1754" s="16" t="s">
        <v>19</v>
      </c>
      <c r="W1754" s="5" t="s"/>
      <c r="X1754" s="26" t="s">
        <f>=M1754&amp;N1754&amp;P1754&amp;Q1754&amp;T1754&amp;V1754&amp;S1754</f>
        <v>1906</v>
      </c>
      <c r="Y1754" s="19" t="s"/>
      <c r="Z1754" s="19" t="s"/>
      <c r="AA1754" s="19" t="s"/>
      <c r="AB1754" s="19" t="s"/>
    </row>
    <row r="1755" spans="1:28" ht="14.4">
      <c r="A1755" s="4">
        <f>=H1755/G1755-1</f>
        <v>0.100840336134454</v>
      </c>
      <c r="B1755" s="20">
        <f>=F1755/12</f>
        <v>9.825</v>
      </c>
      <c r="C1755" s="20">
        <f>=J1755/3</f>
        <v>78.6</v>
      </c>
      <c r="D1755" s="20">
        <f>=K1755/3</f>
        <v>87.3333333333333</v>
      </c>
      <c r="E1755" s="20">
        <f>=L1755/3</f>
        <v>91.7</v>
      </c>
      <c r="F1755" s="20">
        <f>=H1755*0.9</f>
        <v>117.9</v>
      </c>
      <c r="G1755" s="157">
        <v>119</v>
      </c>
      <c r="H1755" s="39">
        <v>131</v>
      </c>
      <c r="I1755" s="40">
        <f>=H1755*1.05</f>
        <v>137.55</v>
      </c>
      <c r="J1755" s="40">
        <f>=F1755*2</f>
        <v>235.8</v>
      </c>
      <c r="K1755" s="40">
        <f>=H1755*2</f>
        <v>262</v>
      </c>
      <c r="L1755" s="40">
        <f>=I1755*2</f>
        <v>275.1</v>
      </c>
      <c r="M1755" s="41" t="s">
        <v>1907</v>
      </c>
      <c r="N1755" s="41">
        <v>0.13</v>
      </c>
      <c r="O1755" s="41" t="s"/>
      <c r="P1755" s="41">
        <v>1</v>
      </c>
      <c r="Q1755" s="41">
        <v>1</v>
      </c>
      <c r="R1755" s="41" t="s">
        <v>16</v>
      </c>
      <c r="S1755" s="41" t="s">
        <v>17</v>
      </c>
      <c r="T1755" s="41" t="s">
        <v>529</v>
      </c>
      <c r="U1755" s="16" t="s">
        <v>13</v>
      </c>
      <c r="V1755" s="16" t="s">
        <v>19</v>
      </c>
      <c r="W1755" s="5" t="s"/>
      <c r="X1755" s="26" t="s">
        <f>=M1755&amp;N1755&amp;P1755&amp;Q1755&amp;T1755&amp;V1755&amp;S1755</f>
        <v>1908</v>
      </c>
      <c r="Y1755" s="19" t="s"/>
      <c r="Z1755" s="19" t="s"/>
      <c r="AA1755" s="19" t="s"/>
      <c r="AB1755" s="19" t="s"/>
    </row>
    <row r="1756" spans="1:28" ht="14.4">
      <c r="A1756" s="4">
        <f>=H1756/G1756-1</f>
        <v>0.101960784313726</v>
      </c>
      <c r="B1756" s="20">
        <f>=F1756/12</f>
        <v>21.075</v>
      </c>
      <c r="C1756" s="20">
        <f>=J1756/3</f>
        <v>168.6</v>
      </c>
      <c r="D1756" s="20">
        <f>=K1756/3</f>
        <v>187.333333333333</v>
      </c>
      <c r="E1756" s="20">
        <f>=L1756/3</f>
        <v>196.7</v>
      </c>
      <c r="F1756" s="20">
        <f>=H1756*0.9</f>
        <v>252.9</v>
      </c>
      <c r="G1756" s="21">
        <v>255</v>
      </c>
      <c r="H1756" s="39">
        <v>281</v>
      </c>
      <c r="I1756" s="40">
        <f>=H1756*1.05</f>
        <v>295.05</v>
      </c>
      <c r="J1756" s="40">
        <f>=F1756*2</f>
        <v>505.8</v>
      </c>
      <c r="K1756" s="40">
        <f>=H1756*2</f>
        <v>562</v>
      </c>
      <c r="L1756" s="40">
        <f>=I1756*2</f>
        <v>590.1</v>
      </c>
      <c r="M1756" s="41" t="s">
        <v>1909</v>
      </c>
      <c r="N1756" s="41">
        <v>0.089</v>
      </c>
      <c r="O1756" s="41" t="s"/>
      <c r="P1756" s="41">
        <v>1</v>
      </c>
      <c r="Q1756" s="41">
        <v>2</v>
      </c>
      <c r="R1756" s="41" t="s">
        <v>16</v>
      </c>
      <c r="S1756" s="41" t="s">
        <v>17</v>
      </c>
      <c r="T1756" s="41" t="s">
        <v>27</v>
      </c>
      <c r="U1756" s="16" t="s">
        <v>13</v>
      </c>
      <c r="V1756" s="16" t="s">
        <v>215</v>
      </c>
      <c r="W1756" s="5" t="s"/>
      <c r="X1756" s="26" t="s">
        <f>=M1756&amp;N1756&amp;P1756&amp;Q1756&amp;T1756&amp;V1756&amp;S1756</f>
        <v>1910</v>
      </c>
      <c r="Y1756" s="19" t="s"/>
      <c r="Z1756" s="19" t="s"/>
      <c r="AA1756" s="19" t="s"/>
      <c r="AB1756" s="19" t="s"/>
    </row>
    <row r="1757" spans="1:28" ht="14.4">
      <c r="A1757" s="4">
        <f>=H1757/G1757-1</f>
        <v>0.0996978851963746</v>
      </c>
      <c r="B1757" s="20">
        <f>=F1757/12</f>
        <v>27.3</v>
      </c>
      <c r="C1757" s="20">
        <f>=J1757/3</f>
        <v>218.4</v>
      </c>
      <c r="D1757" s="20">
        <f>=K1757/3</f>
        <v>242.666666666667</v>
      </c>
      <c r="E1757" s="20">
        <f>=L1757/3</f>
        <v>254.8</v>
      </c>
      <c r="F1757" s="20">
        <f>=H1757*0.9</f>
        <v>327.6</v>
      </c>
      <c r="G1757" s="21">
        <v>331</v>
      </c>
      <c r="H1757" s="39">
        <v>364</v>
      </c>
      <c r="I1757" s="40">
        <f>=H1757*1.05</f>
        <v>382.2</v>
      </c>
      <c r="J1757" s="40">
        <f>=F1757*2</f>
        <v>655.2</v>
      </c>
      <c r="K1757" s="40">
        <f>=H1757*2</f>
        <v>728</v>
      </c>
      <c r="L1757" s="40">
        <f>=I1757*2</f>
        <v>764.4</v>
      </c>
      <c r="M1757" s="41" t="s">
        <v>1909</v>
      </c>
      <c r="N1757" s="41">
        <v>0.089</v>
      </c>
      <c r="O1757" s="41" t="s"/>
      <c r="P1757" s="41">
        <v>2</v>
      </c>
      <c r="Q1757" s="41">
        <v>2</v>
      </c>
      <c r="R1757" s="41" t="s">
        <v>16</v>
      </c>
      <c r="S1757" s="41" t="s">
        <v>17</v>
      </c>
      <c r="T1757" s="41" t="s">
        <v>27</v>
      </c>
      <c r="U1757" s="16" t="s">
        <v>13</v>
      </c>
      <c r="V1757" s="16" t="s">
        <v>215</v>
      </c>
      <c r="W1757" s="5" t="s"/>
      <c r="X1757" s="26" t="s">
        <f>=M1757&amp;N1757&amp;P1757&amp;Q1757&amp;T1757&amp;V1757&amp;S1757</f>
        <v>1911</v>
      </c>
      <c r="Y1757" s="19" t="s"/>
      <c r="Z1757" s="19" t="s"/>
      <c r="AA1757" s="19" t="s"/>
      <c r="AB1757" s="19" t="s"/>
    </row>
    <row r="1758" spans="1:28" ht="14.4">
      <c r="A1758" s="4">
        <f>=H1758/G1758-1</f>
        <v>0.0980392156862746</v>
      </c>
      <c r="B1758" s="20">
        <f>=F1758/12</f>
        <v>12.6</v>
      </c>
      <c r="C1758" s="20">
        <f>=J1758/3</f>
        <v>100.8</v>
      </c>
      <c r="D1758" s="20">
        <f>=K1758/3</f>
        <v>112</v>
      </c>
      <c r="E1758" s="20">
        <f>=L1758/3</f>
        <v>117.6</v>
      </c>
      <c r="F1758" s="20">
        <f>=H1758*0.9</f>
        <v>151.2</v>
      </c>
      <c r="G1758" s="21">
        <v>153</v>
      </c>
      <c r="H1758" s="39">
        <v>168</v>
      </c>
      <c r="I1758" s="40">
        <f>=H1758*1.05</f>
        <v>176.4</v>
      </c>
      <c r="J1758" s="40">
        <f>=F1758*2</f>
        <v>302.4</v>
      </c>
      <c r="K1758" s="40">
        <f>=H1758*2</f>
        <v>336</v>
      </c>
      <c r="L1758" s="40">
        <f>=I1758*2</f>
        <v>352.8</v>
      </c>
      <c r="M1758" s="41" t="s">
        <v>1909</v>
      </c>
      <c r="N1758" s="41">
        <v>0.1</v>
      </c>
      <c r="O1758" s="41" t="s"/>
      <c r="P1758" s="41">
        <v>1</v>
      </c>
      <c r="Q1758" s="41">
        <v>1</v>
      </c>
      <c r="R1758" s="41" t="s">
        <v>16</v>
      </c>
      <c r="S1758" s="41" t="s">
        <v>17</v>
      </c>
      <c r="T1758" s="41" t="s">
        <v>23</v>
      </c>
      <c r="U1758" s="16" t="s">
        <v>13</v>
      </c>
      <c r="V1758" s="16" t="s">
        <v>19</v>
      </c>
      <c r="W1758" s="5" t="s"/>
      <c r="X1758" s="26" t="s">
        <f>=M1758&amp;N1758&amp;P1758&amp;Q1758&amp;T1758&amp;V1758&amp;S1758</f>
        <v>1912</v>
      </c>
      <c r="Y1758" s="19" t="s"/>
      <c r="Z1758" s="19" t="s"/>
      <c r="AA1758" s="19" t="s"/>
      <c r="AB1758" s="19" t="s"/>
    </row>
    <row r="1759" spans="1:28" ht="14.4">
      <c r="A1759" s="4">
        <f>=H1759/G1759-1</f>
        <v>0.0982142857142858</v>
      </c>
      <c r="B1759" s="20">
        <f>=F1759/12</f>
        <v>18.45</v>
      </c>
      <c r="C1759" s="20">
        <f>=J1759/3</f>
        <v>147.6</v>
      </c>
      <c r="D1759" s="20">
        <f>=K1759/3</f>
        <v>164</v>
      </c>
      <c r="E1759" s="20">
        <f>=L1759/3</f>
        <v>172.2</v>
      </c>
      <c r="F1759" s="20">
        <f>=H1759*0.9</f>
        <v>221.4</v>
      </c>
      <c r="G1759" s="21">
        <v>224</v>
      </c>
      <c r="H1759" s="39">
        <v>246</v>
      </c>
      <c r="I1759" s="40">
        <f>=H1759*1.05</f>
        <v>258.3</v>
      </c>
      <c r="J1759" s="40">
        <f>=F1759*2</f>
        <v>442.8</v>
      </c>
      <c r="K1759" s="40">
        <f>=H1759*2</f>
        <v>492</v>
      </c>
      <c r="L1759" s="40">
        <f>=I1759*2</f>
        <v>516.6</v>
      </c>
      <c r="M1759" s="41" t="s">
        <v>1909</v>
      </c>
      <c r="N1759" s="41">
        <v>0.1</v>
      </c>
      <c r="O1759" s="41" t="s"/>
      <c r="P1759" s="41">
        <v>1</v>
      </c>
      <c r="Q1759" s="41">
        <v>2</v>
      </c>
      <c r="R1759" s="41" t="s">
        <v>16</v>
      </c>
      <c r="S1759" s="41" t="s">
        <v>17</v>
      </c>
      <c r="T1759" s="41" t="s">
        <v>25</v>
      </c>
      <c r="U1759" s="16" t="s">
        <v>13</v>
      </c>
      <c r="V1759" s="16" t="s">
        <v>19</v>
      </c>
      <c r="W1759" s="19" t="s"/>
      <c r="X1759" s="26" t="s">
        <f>=M1759&amp;N1759&amp;P1759&amp;Q1759&amp;T1759&amp;V1759&amp;S1759</f>
        <v>1913</v>
      </c>
      <c r="Y1759" s="19" t="s"/>
      <c r="Z1759" s="19" t="s"/>
      <c r="AA1759" s="19" t="s"/>
      <c r="AB1759" s="19" t="s"/>
    </row>
    <row r="1760" spans="1:28" ht="14.4">
      <c r="A1760" s="4">
        <f>=H1760/G1760-1</f>
        <v>0.100401606425703</v>
      </c>
      <c r="B1760" s="20">
        <f>=F1760/12</f>
        <v>20.55</v>
      </c>
      <c r="C1760" s="20">
        <f>=J1760/3</f>
        <v>164.4</v>
      </c>
      <c r="D1760" s="20">
        <f>=K1760/3</f>
        <v>182.666666666667</v>
      </c>
      <c r="E1760" s="20">
        <f>=L1760/3</f>
        <v>191.8</v>
      </c>
      <c r="F1760" s="20">
        <f>=H1760*0.9</f>
        <v>246.6</v>
      </c>
      <c r="G1760" s="21">
        <v>249</v>
      </c>
      <c r="H1760" s="39">
        <v>274</v>
      </c>
      <c r="I1760" s="40">
        <f>=H1760*1.05</f>
        <v>287.7</v>
      </c>
      <c r="J1760" s="40">
        <f>=F1760*2</f>
        <v>493.2</v>
      </c>
      <c r="K1760" s="40">
        <f>=H1760*2</f>
        <v>548</v>
      </c>
      <c r="L1760" s="40">
        <f>=I1760*2</f>
        <v>575.4</v>
      </c>
      <c r="M1760" s="41" t="s">
        <v>1909</v>
      </c>
      <c r="N1760" s="41">
        <v>0.1</v>
      </c>
      <c r="O1760" s="41" t="s"/>
      <c r="P1760" s="41">
        <v>2</v>
      </c>
      <c r="Q1760" s="41">
        <v>2</v>
      </c>
      <c r="R1760" s="41" t="s">
        <v>16</v>
      </c>
      <c r="S1760" s="41" t="s">
        <v>17</v>
      </c>
      <c r="T1760" s="41" t="s">
        <v>25</v>
      </c>
      <c r="U1760" s="16" t="s">
        <v>13</v>
      </c>
      <c r="V1760" s="16" t="s">
        <v>19</v>
      </c>
      <c r="W1760" s="19" t="s"/>
      <c r="X1760" s="26" t="s">
        <f>=M1760&amp;N1760&amp;P1760&amp;Q1760&amp;T1760&amp;V1760&amp;S1760</f>
        <v>1914</v>
      </c>
      <c r="Y1760" s="19" t="s"/>
      <c r="Z1760" s="19" t="s"/>
      <c r="AA1760" s="19" t="s"/>
      <c r="AB1760" s="19" t="s"/>
    </row>
    <row r="1761" spans="1:28" ht="14.4">
      <c r="A1761" s="4">
        <f>=H1761/G1761-1</f>
        <v>0.0984848484848484</v>
      </c>
      <c r="B1761" s="20">
        <f>=F1761/12</f>
        <v>21.75</v>
      </c>
      <c r="C1761" s="20">
        <f>=J1761/3</f>
        <v>174</v>
      </c>
      <c r="D1761" s="20">
        <f>=K1761/3</f>
        <v>193.333333333333</v>
      </c>
      <c r="E1761" s="20">
        <f>=L1761/3</f>
        <v>203</v>
      </c>
      <c r="F1761" s="20">
        <f>=H1761*0.9</f>
        <v>261</v>
      </c>
      <c r="G1761" s="21">
        <v>264</v>
      </c>
      <c r="H1761" s="39">
        <v>290</v>
      </c>
      <c r="I1761" s="40">
        <f>=H1761*1.05</f>
        <v>304.5</v>
      </c>
      <c r="J1761" s="40">
        <f>=F1761*2</f>
        <v>522</v>
      </c>
      <c r="K1761" s="40">
        <f>=H1761*2</f>
        <v>580</v>
      </c>
      <c r="L1761" s="40">
        <f>=I1761*2</f>
        <v>609</v>
      </c>
      <c r="M1761" s="41" t="s">
        <v>1909</v>
      </c>
      <c r="N1761" s="41">
        <v>0.1</v>
      </c>
      <c r="O1761" s="41" t="s"/>
      <c r="P1761" s="41">
        <v>2</v>
      </c>
      <c r="Q1761" s="41">
        <v>2</v>
      </c>
      <c r="R1761" s="41" t="s">
        <v>16</v>
      </c>
      <c r="S1761" s="41" t="s">
        <v>17</v>
      </c>
      <c r="T1761" s="41" t="s">
        <v>27</v>
      </c>
      <c r="U1761" s="16" t="s">
        <v>13</v>
      </c>
      <c r="V1761" s="16" t="s">
        <v>19</v>
      </c>
      <c r="W1761" s="19" t="s"/>
      <c r="X1761" s="26" t="s">
        <f>=M1761&amp;N1761&amp;P1761&amp;Q1761&amp;T1761&amp;V1761&amp;S1761</f>
        <v>1915</v>
      </c>
      <c r="Y1761" s="19" t="s"/>
      <c r="Z1761" s="19" t="s"/>
      <c r="AA1761" s="19" t="s"/>
      <c r="AB1761" s="19" t="s"/>
    </row>
    <row r="1762" spans="1:28" ht="14.4">
      <c r="A1762" s="4">
        <f>=H1762/G1762-1</f>
        <v>0.102941176470588</v>
      </c>
      <c r="B1762" s="20">
        <f>=F1762/12</f>
        <v>11.25</v>
      </c>
      <c r="C1762" s="20">
        <f>=J1762/3</f>
        <v>90</v>
      </c>
      <c r="D1762" s="20">
        <f>=K1762/3</f>
        <v>100</v>
      </c>
      <c r="E1762" s="20">
        <f>=L1762/3</f>
        <v>105</v>
      </c>
      <c r="F1762" s="20">
        <f>=H1762*0.9</f>
        <v>135</v>
      </c>
      <c r="G1762" s="21">
        <v>136</v>
      </c>
      <c r="H1762" s="39">
        <v>150</v>
      </c>
      <c r="I1762" s="40">
        <f>=H1762*1.05</f>
        <v>157.5</v>
      </c>
      <c r="J1762" s="40">
        <f>=F1762*2</f>
        <v>270</v>
      </c>
      <c r="K1762" s="40">
        <f>=H1762*2</f>
        <v>300</v>
      </c>
      <c r="L1762" s="40">
        <f>=I1762*2</f>
        <v>315</v>
      </c>
      <c r="M1762" s="41" t="s">
        <v>1909</v>
      </c>
      <c r="N1762" s="41">
        <v>0.13</v>
      </c>
      <c r="O1762" s="41" t="s"/>
      <c r="P1762" s="41">
        <v>1</v>
      </c>
      <c r="Q1762" s="41">
        <v>1</v>
      </c>
      <c r="R1762" s="41" t="s">
        <v>16</v>
      </c>
      <c r="S1762" s="41" t="s">
        <v>17</v>
      </c>
      <c r="T1762" s="41" t="s">
        <v>23</v>
      </c>
      <c r="U1762" s="16" t="s">
        <v>13</v>
      </c>
      <c r="V1762" s="16" t="s">
        <v>19</v>
      </c>
      <c r="W1762" s="19" t="s"/>
      <c r="X1762" s="26" t="s">
        <f>=M1762&amp;N1762&amp;P1762&amp;Q1762&amp;T1762&amp;V1762&amp;S1762</f>
        <v>1916</v>
      </c>
      <c r="Y1762" s="19" t="s"/>
      <c r="Z1762" s="19" t="s"/>
      <c r="AA1762" s="19" t="s"/>
      <c r="AB1762" s="19" t="s"/>
    </row>
    <row r="1763" spans="1:28" ht="14.4">
      <c r="A1763" s="4">
        <f>=H1763/G1763-1</f>
        <v>0.102272727272727</v>
      </c>
      <c r="B1763" s="20">
        <f>=F1763/12</f>
        <v>7.275</v>
      </c>
      <c r="C1763" s="20">
        <f>=J1763/3</f>
        <v>58.2</v>
      </c>
      <c r="D1763" s="20">
        <f>=K1763/3</f>
        <v>64.6666666666667</v>
      </c>
      <c r="E1763" s="20">
        <f>=L1763/3</f>
        <v>67.9</v>
      </c>
      <c r="F1763" s="20">
        <f>=H1763*0.9</f>
        <v>87.3</v>
      </c>
      <c r="G1763" s="21">
        <v>88</v>
      </c>
      <c r="H1763" s="39">
        <v>97</v>
      </c>
      <c r="I1763" s="40">
        <f>=H1763*1.05</f>
        <v>101.85</v>
      </c>
      <c r="J1763" s="40">
        <f>=F1763*2</f>
        <v>174.6</v>
      </c>
      <c r="K1763" s="40">
        <f>=H1763*2</f>
        <v>194</v>
      </c>
      <c r="L1763" s="40">
        <f>=I1763*2</f>
        <v>203.7</v>
      </c>
      <c r="M1763" s="41" t="s">
        <v>1909</v>
      </c>
      <c r="N1763" s="41">
        <v>0.13</v>
      </c>
      <c r="O1763" s="41" t="s"/>
      <c r="P1763" s="41" t="s">
        <v>21</v>
      </c>
      <c r="Q1763" s="41" t="s">
        <v>21</v>
      </c>
      <c r="R1763" s="41" t="s">
        <v>16</v>
      </c>
      <c r="S1763" s="41" t="s">
        <v>17</v>
      </c>
      <c r="T1763" s="41" t="s">
        <v>23</v>
      </c>
      <c r="U1763" s="16" t="s">
        <v>13</v>
      </c>
      <c r="V1763" s="16" t="s">
        <v>19</v>
      </c>
      <c r="W1763" s="5" t="s"/>
      <c r="X1763" s="34" t="s">
        <f>=M1763&amp;N1763&amp;P1763&amp;Q1763&amp;T1763&amp;V1763&amp;S1763</f>
        <v>1917</v>
      </c>
      <c r="Y1763" s="19" t="s"/>
      <c r="Z1763" s="19" t="s"/>
      <c r="AA1763" s="19" t="s"/>
      <c r="AB1763" s="19" t="s"/>
    </row>
    <row r="1764" spans="1:28" ht="14.4">
      <c r="A1764" s="4">
        <f>=H1764/G1764-1</f>
        <v>0.098901098901099</v>
      </c>
      <c r="B1764" s="20">
        <f>=F1764/12</f>
        <v>7.5</v>
      </c>
      <c r="C1764" s="20">
        <f>=J1764/3</f>
        <v>60</v>
      </c>
      <c r="D1764" s="20">
        <f>=K1764/3</f>
        <v>66.6666666666667</v>
      </c>
      <c r="E1764" s="20">
        <f>=L1764/3</f>
        <v>70</v>
      </c>
      <c r="F1764" s="20">
        <f>=H1764*0.9</f>
        <v>90</v>
      </c>
      <c r="G1764" s="21">
        <v>91</v>
      </c>
      <c r="H1764" s="39">
        <v>100</v>
      </c>
      <c r="I1764" s="40">
        <f>=H1764*1.05</f>
        <v>105</v>
      </c>
      <c r="J1764" s="40">
        <f>=F1764*2</f>
        <v>180</v>
      </c>
      <c r="K1764" s="40">
        <f>=H1764*2</f>
        <v>200</v>
      </c>
      <c r="L1764" s="40">
        <f>=I1764*2</f>
        <v>210</v>
      </c>
      <c r="M1764" s="41" t="s">
        <v>1909</v>
      </c>
      <c r="N1764" s="41">
        <v>0.13</v>
      </c>
      <c r="O1764" s="41" t="s"/>
      <c r="P1764" s="41" t="s">
        <v>21</v>
      </c>
      <c r="Q1764" s="41" t="s">
        <v>21</v>
      </c>
      <c r="R1764" s="41" t="s">
        <v>16</v>
      </c>
      <c r="S1764" s="41" t="s">
        <v>17</v>
      </c>
      <c r="T1764" s="41" t="s">
        <v>23</v>
      </c>
      <c r="U1764" s="16" t="s">
        <v>13</v>
      </c>
      <c r="V1764" s="16" t="s">
        <v>19</v>
      </c>
      <c r="W1764" s="5" t="s"/>
      <c r="X1764" s="26" t="s">
        <f>=M1764&amp;N1764&amp;P1764&amp;Q1764&amp;T1764&amp;V1764&amp;S1764</f>
        <v>1917</v>
      </c>
      <c r="Y1764" s="19" t="s"/>
      <c r="Z1764" s="19" t="s"/>
      <c r="AA1764" s="19" t="s"/>
      <c r="AB1764" s="19" t="s"/>
    </row>
    <row r="1765" spans="1:28" ht="14.4">
      <c r="A1765" s="4">
        <f>=H1765/G1765-1</f>
        <v>0.0985915492957748</v>
      </c>
      <c r="B1765" s="20">
        <f>=F1765/12</f>
        <v>11.7</v>
      </c>
      <c r="C1765" s="20">
        <f>=J1765/3</f>
        <v>93.6</v>
      </c>
      <c r="D1765" s="20">
        <f>=K1765/3</f>
        <v>104</v>
      </c>
      <c r="E1765" s="20">
        <f>=L1765/3</f>
        <v>109.2</v>
      </c>
      <c r="F1765" s="20">
        <f>=H1765*0.9</f>
        <v>140.4</v>
      </c>
      <c r="G1765" s="21">
        <v>142</v>
      </c>
      <c r="H1765" s="39">
        <v>156</v>
      </c>
      <c r="I1765" s="40">
        <f>=H1765*1.05</f>
        <v>163.8</v>
      </c>
      <c r="J1765" s="40">
        <f>=F1765*2</f>
        <v>280.8</v>
      </c>
      <c r="K1765" s="40">
        <f>=H1765*2</f>
        <v>312</v>
      </c>
      <c r="L1765" s="40">
        <f>=I1765*2</f>
        <v>327.6</v>
      </c>
      <c r="M1765" s="41" t="s">
        <v>1909</v>
      </c>
      <c r="N1765" s="41">
        <v>0.15</v>
      </c>
      <c r="O1765" s="41" t="s"/>
      <c r="P1765" s="41">
        <v>1</v>
      </c>
      <c r="Q1765" s="41">
        <v>1</v>
      </c>
      <c r="R1765" s="41" t="s">
        <v>16</v>
      </c>
      <c r="S1765" s="41" t="s">
        <v>17</v>
      </c>
      <c r="T1765" s="41" t="s">
        <v>39</v>
      </c>
      <c r="U1765" s="16" t="s">
        <v>13</v>
      </c>
      <c r="V1765" s="16" t="s">
        <v>19</v>
      </c>
      <c r="W1765" s="5" t="s"/>
      <c r="X1765" s="26" t="s">
        <f>=M1765&amp;N1765&amp;P1765&amp;Q1765&amp;T1765&amp;V1765&amp;S1765</f>
        <v>1918</v>
      </c>
      <c r="Y1765" s="19" t="s"/>
      <c r="Z1765" s="19" t="s"/>
      <c r="AA1765" s="19" t="s"/>
      <c r="AB1765" s="19" t="s"/>
    </row>
    <row r="1766" spans="1:28" ht="14.4">
      <c r="A1766" s="4">
        <f>=H1766/G1766-1</f>
        <v>0.103448275862069</v>
      </c>
      <c r="B1766" s="20">
        <f>=F1766/12</f>
        <v>12</v>
      </c>
      <c r="C1766" s="20">
        <f>=J1766/3</f>
        <v>96</v>
      </c>
      <c r="D1766" s="20">
        <f>=K1766/3</f>
        <v>106.666666666667</v>
      </c>
      <c r="E1766" s="20">
        <f>=L1766/3</f>
        <v>112</v>
      </c>
      <c r="F1766" s="20">
        <f>=H1766*0.9</f>
        <v>144</v>
      </c>
      <c r="G1766" s="21">
        <v>145</v>
      </c>
      <c r="H1766" s="39">
        <v>160</v>
      </c>
      <c r="I1766" s="40">
        <f>=H1766*1.05</f>
        <v>168</v>
      </c>
      <c r="J1766" s="40">
        <f>=F1766*2</f>
        <v>288</v>
      </c>
      <c r="K1766" s="40">
        <f>=H1766*2</f>
        <v>320</v>
      </c>
      <c r="L1766" s="40">
        <f>=I1766*2</f>
        <v>336</v>
      </c>
      <c r="M1766" s="41" t="s">
        <v>1909</v>
      </c>
      <c r="N1766" s="41">
        <v>0.15</v>
      </c>
      <c r="O1766" s="41" t="s"/>
      <c r="P1766" s="41">
        <v>1</v>
      </c>
      <c r="Q1766" s="41">
        <v>1</v>
      </c>
      <c r="R1766" s="41" t="s">
        <v>16</v>
      </c>
      <c r="S1766" s="41" t="s">
        <v>17</v>
      </c>
      <c r="T1766" s="41" t="s">
        <v>958</v>
      </c>
      <c r="U1766" s="16" t="s">
        <v>13</v>
      </c>
      <c r="V1766" s="16" t="s">
        <v>19</v>
      </c>
      <c r="W1766" s="5" t="s"/>
      <c r="X1766" s="26" t="s">
        <f>=M1766&amp;N1766&amp;P1766&amp;Q1766&amp;T1766&amp;V1766&amp;S1766</f>
        <v>1919</v>
      </c>
      <c r="Y1766" s="19" t="s"/>
      <c r="Z1766" s="19" t="s"/>
      <c r="AA1766" s="19" t="s"/>
      <c r="AB1766" s="19" t="s"/>
    </row>
    <row r="1767" spans="1:28" ht="14.4">
      <c r="A1767" s="4">
        <f>=H1767/G1767-1</f>
        <v>0.103092783505155</v>
      </c>
      <c r="B1767" s="20">
        <f>=F1767/12</f>
        <v>8.025</v>
      </c>
      <c r="C1767" s="20">
        <f>=J1767/3</f>
        <v>64.2</v>
      </c>
      <c r="D1767" s="20">
        <f>=K1767/3</f>
        <v>71.3333333333333</v>
      </c>
      <c r="E1767" s="20">
        <f>=L1767/3</f>
        <v>74.9</v>
      </c>
      <c r="F1767" s="20">
        <f>=H1767*0.9</f>
        <v>96.3</v>
      </c>
      <c r="G1767" s="21">
        <v>97</v>
      </c>
      <c r="H1767" s="39">
        <v>107</v>
      </c>
      <c r="I1767" s="40">
        <f>=H1767*1.05</f>
        <v>112.35</v>
      </c>
      <c r="J1767" s="40">
        <f>=F1767*2</f>
        <v>192.6</v>
      </c>
      <c r="K1767" s="40">
        <f>=H1767*2</f>
        <v>214</v>
      </c>
      <c r="L1767" s="40">
        <f>=I1767*2</f>
        <v>224.7</v>
      </c>
      <c r="M1767" s="41" t="s">
        <v>1909</v>
      </c>
      <c r="N1767" s="41">
        <v>0.15</v>
      </c>
      <c r="O1767" s="41" t="s"/>
      <c r="P1767" s="41" t="s">
        <v>21</v>
      </c>
      <c r="Q1767" s="41" t="s">
        <v>21</v>
      </c>
      <c r="R1767" s="41" t="s">
        <v>16</v>
      </c>
      <c r="S1767" s="41" t="s">
        <v>17</v>
      </c>
      <c r="T1767" s="41" t="s">
        <v>39</v>
      </c>
      <c r="U1767" s="16" t="s">
        <v>13</v>
      </c>
      <c r="V1767" s="16" t="s">
        <v>19</v>
      </c>
      <c r="W1767" s="19" t="s"/>
      <c r="X1767" s="26" t="s">
        <f>=M1767&amp;N1767&amp;P1767&amp;Q1767&amp;T1767&amp;V1767&amp;S1767</f>
        <v>1920</v>
      </c>
      <c r="Y1767" s="19" t="s"/>
      <c r="Z1767" s="19" t="s"/>
      <c r="AA1767" s="19" t="s"/>
      <c r="AB1767" s="19" t="s"/>
    </row>
    <row r="1768" spans="1:28" ht="14.4">
      <c r="A1768" s="4">
        <f>=H1768/G1768-1</f>
        <v>0.098360655737705</v>
      </c>
      <c r="B1768" s="20">
        <f>=F1768/12</f>
        <v>20.1</v>
      </c>
      <c r="C1768" s="20">
        <f>=J1768/3</f>
        <v>160.8</v>
      </c>
      <c r="D1768" s="20">
        <f>=K1768/3</f>
        <v>178.666666666667</v>
      </c>
      <c r="E1768" s="20">
        <f>=L1768/3</f>
        <v>187.6</v>
      </c>
      <c r="F1768" s="20">
        <f>=H1768*0.9</f>
        <v>241.2</v>
      </c>
      <c r="G1768" s="21">
        <v>244</v>
      </c>
      <c r="H1768" s="39">
        <v>268</v>
      </c>
      <c r="I1768" s="40">
        <f>=H1768*1.05</f>
        <v>281.4</v>
      </c>
      <c r="J1768" s="40">
        <f>=F1768*2</f>
        <v>482.4</v>
      </c>
      <c r="K1768" s="40">
        <f>=H1768*2</f>
        <v>536</v>
      </c>
      <c r="L1768" s="40">
        <f>=I1768*2</f>
        <v>562.8</v>
      </c>
      <c r="M1768" s="41" t="s">
        <v>1909</v>
      </c>
      <c r="N1768" s="41">
        <v>0.18</v>
      </c>
      <c r="O1768" s="41" t="s"/>
      <c r="P1768" s="41">
        <v>1</v>
      </c>
      <c r="Q1768" s="41">
        <v>2</v>
      </c>
      <c r="R1768" s="41" t="s">
        <v>16</v>
      </c>
      <c r="S1768" s="41" t="s">
        <v>17</v>
      </c>
      <c r="T1768" s="41" t="s">
        <v>48</v>
      </c>
      <c r="U1768" s="16" t="s">
        <v>13</v>
      </c>
      <c r="V1768" s="16" t="s">
        <v>19</v>
      </c>
      <c r="W1768" s="19" t="s"/>
      <c r="X1768" s="26" t="s">
        <f>=M1768&amp;N1768&amp;P1768&amp;Q1768&amp;T1768&amp;V1768&amp;S1768</f>
        <v>1921</v>
      </c>
      <c r="Y1768" s="19" t="s"/>
      <c r="Z1768" s="19" t="s"/>
      <c r="AA1768" s="19" t="s"/>
      <c r="AB1768" s="19" t="s"/>
    </row>
    <row r="1769" spans="1:28" ht="14.4">
      <c r="A1769" s="4">
        <f>=H1769/G1769-1</f>
        <v>0.0984251968503938</v>
      </c>
      <c r="B1769" s="20">
        <f>=F1769/12</f>
        <v>20.925</v>
      </c>
      <c r="C1769" s="20">
        <f>=J1769/3</f>
        <v>167.4</v>
      </c>
      <c r="D1769" s="20">
        <f>=K1769/3</f>
        <v>186</v>
      </c>
      <c r="E1769" s="20">
        <f>=L1769/3</f>
        <v>195.3</v>
      </c>
      <c r="F1769" s="20">
        <f>=H1769*0.9</f>
        <v>251.1</v>
      </c>
      <c r="G1769" s="21">
        <v>254</v>
      </c>
      <c r="H1769" s="39">
        <v>279</v>
      </c>
      <c r="I1769" s="40">
        <f>=H1769*1.05</f>
        <v>292.95</v>
      </c>
      <c r="J1769" s="40">
        <f>=F1769*2</f>
        <v>502.2</v>
      </c>
      <c r="K1769" s="40">
        <f>=H1769*2</f>
        <v>558</v>
      </c>
      <c r="L1769" s="40">
        <f>=I1769*2</f>
        <v>585.9</v>
      </c>
      <c r="M1769" s="41" t="s">
        <v>1909</v>
      </c>
      <c r="N1769" s="41">
        <v>0.18</v>
      </c>
      <c r="O1769" s="41" t="s"/>
      <c r="P1769" s="41">
        <v>1</v>
      </c>
      <c r="Q1769" s="41">
        <v>2</v>
      </c>
      <c r="R1769" s="41" t="s">
        <v>16</v>
      </c>
      <c r="S1769" s="41" t="s">
        <v>17</v>
      </c>
      <c r="T1769" s="41" t="s">
        <v>48</v>
      </c>
      <c r="U1769" s="16" t="s">
        <v>13</v>
      </c>
      <c r="V1769" s="16" t="s">
        <v>215</v>
      </c>
      <c r="W1769" s="19" t="s"/>
      <c r="X1769" s="26" t="s">
        <f>=M1769&amp;N1769&amp;P1769&amp;Q1769&amp;T1769&amp;V1769&amp;S1769</f>
        <v>1922</v>
      </c>
      <c r="Y1769" s="19" t="s"/>
      <c r="Z1769" s="19" t="s"/>
      <c r="AA1769" s="19" t="s"/>
      <c r="AB1769" s="19" t="s"/>
    </row>
    <row r="1770" spans="1:28" ht="14.4">
      <c r="A1770" s="4">
        <f>=H1770/G1770-1</f>
        <v>0.101503759398496</v>
      </c>
      <c r="B1770" s="20">
        <f>=F1770/12</f>
        <v>21.975</v>
      </c>
      <c r="C1770" s="20">
        <f>=J1770/3</f>
        <v>175.8</v>
      </c>
      <c r="D1770" s="20">
        <f>=K1770/3</f>
        <v>195.333333333333</v>
      </c>
      <c r="E1770" s="20">
        <f>=L1770/3</f>
        <v>205.1</v>
      </c>
      <c r="F1770" s="20">
        <f>=H1770*0.9</f>
        <v>263.7</v>
      </c>
      <c r="G1770" s="21">
        <v>266</v>
      </c>
      <c r="H1770" s="39">
        <v>293</v>
      </c>
      <c r="I1770" s="40">
        <f>=H1770*1.05</f>
        <v>307.65</v>
      </c>
      <c r="J1770" s="40">
        <f>=F1770*2</f>
        <v>527.4</v>
      </c>
      <c r="K1770" s="40">
        <f>=H1770*2</f>
        <v>586</v>
      </c>
      <c r="L1770" s="40">
        <f>=I1770*2</f>
        <v>615.3</v>
      </c>
      <c r="M1770" s="41" t="s">
        <v>1909</v>
      </c>
      <c r="N1770" s="41">
        <v>0.18</v>
      </c>
      <c r="O1770" s="41" t="s"/>
      <c r="P1770" s="41">
        <v>2</v>
      </c>
      <c r="Q1770" s="41">
        <v>2</v>
      </c>
      <c r="R1770" s="41" t="s">
        <v>16</v>
      </c>
      <c r="S1770" s="41" t="s">
        <v>17</v>
      </c>
      <c r="T1770" s="41" t="s">
        <v>48</v>
      </c>
      <c r="U1770" s="16" t="s">
        <v>13</v>
      </c>
      <c r="V1770" s="16" t="s">
        <v>19</v>
      </c>
      <c r="W1770" s="19" t="s"/>
      <c r="X1770" s="26" t="s">
        <f>=M1770&amp;N1770&amp;P1770&amp;Q1770&amp;T1770&amp;V1770&amp;S1770</f>
        <v>1923</v>
      </c>
      <c r="Y1770" s="19" t="s"/>
      <c r="Z1770" s="19" t="s"/>
      <c r="AA1770" s="19" t="s"/>
      <c r="AB1770" s="19" t="s"/>
    </row>
    <row r="1771" spans="1:28" ht="14.4">
      <c r="A1771" s="4">
        <f>=H1771/G1771-1</f>
        <v>0.100358422939068</v>
      </c>
      <c r="B1771" s="20">
        <f>=F1771/12</f>
        <v>23.025</v>
      </c>
      <c r="C1771" s="20">
        <f>=J1771/3</f>
        <v>184.2</v>
      </c>
      <c r="D1771" s="20">
        <f>=K1771/3</f>
        <v>204.666666666667</v>
      </c>
      <c r="E1771" s="20">
        <f>=L1771/3</f>
        <v>214.9</v>
      </c>
      <c r="F1771" s="20">
        <f>=H1771*0.9</f>
        <v>276.3</v>
      </c>
      <c r="G1771" s="21">
        <v>279</v>
      </c>
      <c r="H1771" s="39">
        <v>307</v>
      </c>
      <c r="I1771" s="40">
        <f>=H1771*1.05</f>
        <v>322.35</v>
      </c>
      <c r="J1771" s="40">
        <f>=F1771*2</f>
        <v>552.6</v>
      </c>
      <c r="K1771" s="40">
        <f>=H1771*2</f>
        <v>614</v>
      </c>
      <c r="L1771" s="40">
        <f>=I1771*2</f>
        <v>644.7</v>
      </c>
      <c r="M1771" s="41" t="s">
        <v>1909</v>
      </c>
      <c r="N1771" s="41">
        <v>0.18</v>
      </c>
      <c r="O1771" s="41" t="s"/>
      <c r="P1771" s="41">
        <v>2</v>
      </c>
      <c r="Q1771" s="41">
        <v>2</v>
      </c>
      <c r="R1771" s="41" t="s">
        <v>16</v>
      </c>
      <c r="S1771" s="41" t="s">
        <v>17</v>
      </c>
      <c r="T1771" s="41" t="s">
        <v>48</v>
      </c>
      <c r="U1771" s="16" t="s">
        <v>13</v>
      </c>
      <c r="V1771" s="16" t="s">
        <v>215</v>
      </c>
      <c r="W1771" s="19" t="s"/>
      <c r="X1771" s="26" t="s">
        <f>=M1771&amp;N1771&amp;P1771&amp;Q1771&amp;T1771&amp;V1771&amp;S1771</f>
        <v>1924</v>
      </c>
      <c r="Y1771" s="19" t="s"/>
      <c r="Z1771" s="19" t="s"/>
      <c r="AA1771" s="19" t="s"/>
      <c r="AB1771" s="19" t="s"/>
    </row>
    <row r="1772" spans="1:28" ht="14.4">
      <c r="A1772" s="4">
        <f>=H1772/G1772-1</f>
        <v>0.100671140939597</v>
      </c>
      <c r="B1772" s="20">
        <f>=F1772/12</f>
        <v>12.3</v>
      </c>
      <c r="C1772" s="20">
        <f>=J1772/3</f>
        <v>98.4</v>
      </c>
      <c r="D1772" s="20">
        <f>=K1772/3</f>
        <v>109.333333333333</v>
      </c>
      <c r="E1772" s="20">
        <f>=L1772/3</f>
        <v>114.8</v>
      </c>
      <c r="F1772" s="20">
        <f>=H1772*0.9</f>
        <v>147.6</v>
      </c>
      <c r="G1772" s="21">
        <v>149</v>
      </c>
      <c r="H1772" s="39">
        <v>164</v>
      </c>
      <c r="I1772" s="40">
        <f>=H1772*1.05</f>
        <v>172.2</v>
      </c>
      <c r="J1772" s="40">
        <f>=F1772*2</f>
        <v>295.2</v>
      </c>
      <c r="K1772" s="40">
        <f>=H1772*2</f>
        <v>328</v>
      </c>
      <c r="L1772" s="40">
        <f>=I1772*2</f>
        <v>344.4</v>
      </c>
      <c r="M1772" s="41" t="s">
        <v>1909</v>
      </c>
      <c r="N1772" s="41">
        <v>0.2</v>
      </c>
      <c r="O1772" s="41" t="s"/>
      <c r="P1772" s="41">
        <v>1</v>
      </c>
      <c r="Q1772" s="41">
        <v>1</v>
      </c>
      <c r="R1772" s="41" t="s">
        <v>16</v>
      </c>
      <c r="S1772" s="41" t="s">
        <v>17</v>
      </c>
      <c r="T1772" s="41" t="s">
        <v>52</v>
      </c>
      <c r="U1772" s="16" t="s">
        <v>13</v>
      </c>
      <c r="V1772" s="16" t="s">
        <v>19</v>
      </c>
      <c r="W1772" s="19" t="s"/>
      <c r="X1772" s="26" t="s">
        <f>=M1772&amp;N1772&amp;P1772&amp;Q1772&amp;T1772&amp;V1772&amp;S1772</f>
        <v>1925</v>
      </c>
      <c r="Y1772" s="19" t="s"/>
      <c r="Z1772" s="19" t="s"/>
      <c r="AA1772" s="19" t="s"/>
      <c r="AB1772" s="19" t="s"/>
    </row>
    <row r="1773" spans="1:28" ht="14.4">
      <c r="A1773" s="4">
        <f>=H1773/G1773-1</f>
        <v>0.097938144329897</v>
      </c>
      <c r="B1773" s="20">
        <f>=F1773/12</f>
        <v>15.975</v>
      </c>
      <c r="C1773" s="20">
        <f>=J1773/3</f>
        <v>127.8</v>
      </c>
      <c r="D1773" s="20">
        <f>=K1773/3</f>
        <v>142</v>
      </c>
      <c r="E1773" s="20">
        <f>=L1773/3</f>
        <v>149.1</v>
      </c>
      <c r="F1773" s="20">
        <f>=H1773*0.9</f>
        <v>191.7</v>
      </c>
      <c r="G1773" s="21">
        <v>194</v>
      </c>
      <c r="H1773" s="39">
        <v>213</v>
      </c>
      <c r="I1773" s="40">
        <f>=H1773*1.05</f>
        <v>223.65</v>
      </c>
      <c r="J1773" s="40">
        <f>=F1773*2</f>
        <v>383.4</v>
      </c>
      <c r="K1773" s="40">
        <f>=H1773*2</f>
        <v>426</v>
      </c>
      <c r="L1773" s="40">
        <f>=I1773*2</f>
        <v>447.3</v>
      </c>
      <c r="M1773" s="41" t="s">
        <v>1909</v>
      </c>
      <c r="N1773" s="41">
        <v>0.2</v>
      </c>
      <c r="O1773" s="41" t="s"/>
      <c r="P1773" s="41">
        <v>1</v>
      </c>
      <c r="Q1773" s="41">
        <v>2</v>
      </c>
      <c r="R1773" s="41" t="s">
        <v>16</v>
      </c>
      <c r="S1773" s="41" t="s">
        <v>17</v>
      </c>
      <c r="T1773" s="41" t="s">
        <v>52</v>
      </c>
      <c r="U1773" s="16" t="s">
        <v>13</v>
      </c>
      <c r="V1773" s="16" t="s">
        <v>19</v>
      </c>
      <c r="W1773" s="19" t="s"/>
      <c r="X1773" s="26" t="s">
        <f>=M1773&amp;N1773&amp;P1773&amp;Q1773&amp;T1773&amp;V1773&amp;S1773</f>
        <v>1926</v>
      </c>
      <c r="Y1773" s="19" t="s"/>
      <c r="Z1773" s="19" t="s"/>
      <c r="AA1773" s="19" t="s"/>
      <c r="AB1773" s="19" t="s"/>
    </row>
    <row r="1774" spans="1:28" ht="14.4">
      <c r="A1774" s="4">
        <f>=H1774/G1774-1</f>
        <v>0</v>
      </c>
      <c r="B1774" s="20">
        <f>=F1774/12</f>
        <v>20.775</v>
      </c>
      <c r="C1774" s="20">
        <f>=J1774/3</f>
        <v>166.2</v>
      </c>
      <c r="D1774" s="20">
        <f>=K1774/3</f>
        <v>184.666666666667</v>
      </c>
      <c r="E1774" s="20">
        <f>=L1774/3</f>
        <v>193.9</v>
      </c>
      <c r="F1774" s="20">
        <f>=H1774*0.9</f>
        <v>249.3</v>
      </c>
      <c r="G1774" s="21">
        <v>277</v>
      </c>
      <c r="H1774" s="39">
        <v>277</v>
      </c>
      <c r="I1774" s="40">
        <f>=H1774*1.05</f>
        <v>290.85</v>
      </c>
      <c r="J1774" s="40">
        <f>=F1774*2</f>
        <v>498.6</v>
      </c>
      <c r="K1774" s="40">
        <f>=H1774*2</f>
        <v>554</v>
      </c>
      <c r="L1774" s="40">
        <f>=I1774*2</f>
        <v>581.7</v>
      </c>
      <c r="M1774" s="41" t="s">
        <v>1909</v>
      </c>
      <c r="N1774" s="41">
        <v>0.2</v>
      </c>
      <c r="O1774" s="41" t="s"/>
      <c r="P1774" s="41">
        <v>2</v>
      </c>
      <c r="Q1774" s="41">
        <v>2</v>
      </c>
      <c r="R1774" s="41" t="s">
        <v>16</v>
      </c>
      <c r="S1774" s="41" t="s">
        <v>17</v>
      </c>
      <c r="T1774" s="41" t="s">
        <v>46</v>
      </c>
      <c r="U1774" s="16" t="s">
        <v>13</v>
      </c>
      <c r="V1774" s="16" t="s">
        <v>19</v>
      </c>
      <c r="W1774" s="17" t="s">
        <v>352</v>
      </c>
      <c r="X1774" s="26" t="s">
        <f>=M1774&amp;N1774&amp;P1774&amp;Q1774&amp;T1774&amp;V1774&amp;S1774</f>
        <v>1927</v>
      </c>
      <c r="Y1774" s="19" t="s"/>
      <c r="Z1774" s="19" t="s"/>
      <c r="AA1774" s="19" t="s"/>
      <c r="AB1774" s="19" t="s"/>
    </row>
    <row r="1775" spans="1:28" ht="14.4">
      <c r="A1775" s="4">
        <f>=H1775/G1775-1</f>
        <v>0.0992063492063493</v>
      </c>
      <c r="B1775" s="20">
        <f>=F1775/12</f>
        <v>20.775</v>
      </c>
      <c r="C1775" s="20">
        <f>=J1775/3</f>
        <v>166.2</v>
      </c>
      <c r="D1775" s="20">
        <f>=K1775/3</f>
        <v>184.666666666667</v>
      </c>
      <c r="E1775" s="20">
        <f>=L1775/3</f>
        <v>193.9</v>
      </c>
      <c r="F1775" s="20">
        <f>=H1775*0.9</f>
        <v>249.3</v>
      </c>
      <c r="G1775" s="21">
        <v>252</v>
      </c>
      <c r="H1775" s="39">
        <v>277</v>
      </c>
      <c r="I1775" s="40">
        <f>=H1775*1.05</f>
        <v>290.85</v>
      </c>
      <c r="J1775" s="40">
        <f>=F1775*2</f>
        <v>498.6</v>
      </c>
      <c r="K1775" s="40">
        <f>=H1775*2</f>
        <v>554</v>
      </c>
      <c r="L1775" s="40">
        <f>=I1775*2</f>
        <v>581.7</v>
      </c>
      <c r="M1775" s="41" t="s">
        <v>1909</v>
      </c>
      <c r="N1775" s="41">
        <v>0.2</v>
      </c>
      <c r="O1775" s="41" t="s"/>
      <c r="P1775" s="41">
        <v>2</v>
      </c>
      <c r="Q1775" s="41">
        <v>2</v>
      </c>
      <c r="R1775" s="41" t="s">
        <v>16</v>
      </c>
      <c r="S1775" s="41" t="s">
        <v>17</v>
      </c>
      <c r="T1775" s="41" t="s">
        <v>52</v>
      </c>
      <c r="U1775" s="16" t="s">
        <v>13</v>
      </c>
      <c r="V1775" s="16" t="s">
        <v>19</v>
      </c>
      <c r="W1775" s="19" t="s"/>
      <c r="X1775" s="26" t="s">
        <f>=M1775&amp;N1775&amp;P1775&amp;Q1775&amp;T1775&amp;V1775&amp;S1775</f>
        <v>1928</v>
      </c>
      <c r="Y1775" s="19" t="s"/>
      <c r="Z1775" s="19" t="s"/>
      <c r="AA1775" s="19" t="s"/>
      <c r="AB1775" s="19" t="s"/>
    </row>
    <row r="1776" spans="1:28" ht="14.4">
      <c r="A1776" s="4">
        <f>=H1776/G1776-1</f>
        <v>0.0980392156862746</v>
      </c>
      <c r="B1776" s="20">
        <f>=F1776/12</f>
        <v>12.6</v>
      </c>
      <c r="C1776" s="20">
        <f>=J1776/3</f>
        <v>100.8</v>
      </c>
      <c r="D1776" s="20">
        <f>=K1776/3</f>
        <v>112</v>
      </c>
      <c r="E1776" s="20">
        <f>=L1776/3</f>
        <v>117.6</v>
      </c>
      <c r="F1776" s="20">
        <f>=H1776*0.9</f>
        <v>151.2</v>
      </c>
      <c r="G1776" s="21">
        <v>153</v>
      </c>
      <c r="H1776" s="39">
        <v>168</v>
      </c>
      <c r="I1776" s="40">
        <f>=H1776*1.05</f>
        <v>176.4</v>
      </c>
      <c r="J1776" s="40">
        <f>=F1776*2</f>
        <v>302.4</v>
      </c>
      <c r="K1776" s="40">
        <f>=H1776*2</f>
        <v>336</v>
      </c>
      <c r="L1776" s="40">
        <f>=I1776*2</f>
        <v>352.8</v>
      </c>
      <c r="M1776" s="41" t="s">
        <v>1909</v>
      </c>
      <c r="N1776" s="41">
        <v>0.23</v>
      </c>
      <c r="O1776" s="41" t="s"/>
      <c r="P1776" s="41">
        <v>1</v>
      </c>
      <c r="Q1776" s="41">
        <v>1</v>
      </c>
      <c r="R1776" s="41" t="s">
        <v>16</v>
      </c>
      <c r="S1776" s="41" t="s">
        <v>17</v>
      </c>
      <c r="T1776" s="41" t="s">
        <v>52</v>
      </c>
      <c r="U1776" s="16" t="s">
        <v>13</v>
      </c>
      <c r="V1776" s="16" t="s">
        <v>19</v>
      </c>
      <c r="W1776" s="19" t="s"/>
      <c r="X1776" s="26" t="s">
        <f>=M1776&amp;N1776&amp;P1776&amp;Q1776&amp;T1776&amp;V1776&amp;S1776</f>
        <v>1929</v>
      </c>
      <c r="Y1776" s="19" t="s"/>
      <c r="Z1776" s="19" t="s"/>
      <c r="AA1776" s="19" t="s"/>
      <c r="AB1776" s="19" t="s"/>
    </row>
    <row r="1777" spans="1:28" ht="14.4">
      <c r="A1777" s="4">
        <f>=H1777/G1777-1</f>
        <v>0.103225806451613</v>
      </c>
      <c r="B1777" s="20">
        <f>=F1777/12</f>
        <v>12.825</v>
      </c>
      <c r="C1777" s="20">
        <f>=J1777/3</f>
        <v>102.6</v>
      </c>
      <c r="D1777" s="20">
        <f>=K1777/3</f>
        <v>114</v>
      </c>
      <c r="E1777" s="20">
        <f>=L1777/3</f>
        <v>119.7</v>
      </c>
      <c r="F1777" s="20">
        <f>=H1777*0.9</f>
        <v>153.9</v>
      </c>
      <c r="G1777" s="21">
        <v>155</v>
      </c>
      <c r="H1777" s="39">
        <v>171</v>
      </c>
      <c r="I1777" s="40">
        <f>=H1777*1.05</f>
        <v>179.55</v>
      </c>
      <c r="J1777" s="40">
        <f>=F1777*2</f>
        <v>307.8</v>
      </c>
      <c r="K1777" s="40">
        <f>=H1777*2</f>
        <v>342</v>
      </c>
      <c r="L1777" s="40">
        <f>=I1777*2</f>
        <v>359.1</v>
      </c>
      <c r="M1777" s="41" t="s">
        <v>1909</v>
      </c>
      <c r="N1777" s="41">
        <v>0.25</v>
      </c>
      <c r="O1777" s="41" t="s"/>
      <c r="P1777" s="41">
        <v>1</v>
      </c>
      <c r="Q1777" s="41">
        <v>1</v>
      </c>
      <c r="R1777" s="41" t="s">
        <v>16</v>
      </c>
      <c r="S1777" s="41" t="s">
        <v>17</v>
      </c>
      <c r="T1777" s="41" t="s">
        <v>52</v>
      </c>
      <c r="U1777" s="16" t="s">
        <v>13</v>
      </c>
      <c r="V1777" s="16" t="s">
        <v>19</v>
      </c>
      <c r="W1777" s="19" t="s"/>
      <c r="X1777" s="26" t="s">
        <f>=M1777&amp;N1777&amp;P1777&amp;Q1777&amp;T1777&amp;V1777&amp;S1777</f>
        <v>1930</v>
      </c>
      <c r="Y1777" s="19" t="s"/>
      <c r="Z1777" s="19" t="s"/>
      <c r="AA1777" s="19" t="s"/>
      <c r="AB1777" s="19" t="s"/>
    </row>
    <row r="1778" spans="1:28" ht="14.4">
      <c r="A1778" s="4">
        <f>=H1778/G1778-1</f>
        <v>0.0997624703087887</v>
      </c>
      <c r="B1778" s="20">
        <f>=F1778/12</f>
        <v>34.725</v>
      </c>
      <c r="C1778" s="20">
        <f>=J1778/3</f>
        <v>277.8</v>
      </c>
      <c r="D1778" s="20">
        <f>=K1778/3</f>
        <v>308.666666666667</v>
      </c>
      <c r="E1778" s="20">
        <f>=L1778/3</f>
        <v>324.1</v>
      </c>
      <c r="F1778" s="20">
        <f>=H1778*0.9</f>
        <v>416.7</v>
      </c>
      <c r="G1778" s="21">
        <v>421</v>
      </c>
      <c r="H1778" s="39">
        <v>463</v>
      </c>
      <c r="I1778" s="40">
        <f>=H1778*1.05</f>
        <v>486.15</v>
      </c>
      <c r="J1778" s="40">
        <f>=F1778*2</f>
        <v>833.4</v>
      </c>
      <c r="K1778" s="40">
        <f>=H1778*2</f>
        <v>926</v>
      </c>
      <c r="L1778" s="40">
        <f>=I1778*2</f>
        <v>972.3</v>
      </c>
      <c r="M1778" s="41" t="s">
        <v>1909</v>
      </c>
      <c r="N1778" s="41">
        <v>0.25</v>
      </c>
      <c r="O1778" s="41" t="s"/>
      <c r="P1778" s="41">
        <v>3</v>
      </c>
      <c r="Q1778" s="41">
        <v>3</v>
      </c>
      <c r="R1778" s="41" t="s">
        <v>16</v>
      </c>
      <c r="S1778" s="41" t="s">
        <v>17</v>
      </c>
      <c r="T1778" s="41" t="s">
        <v>52</v>
      </c>
      <c r="U1778" s="16" t="s">
        <v>13</v>
      </c>
      <c r="V1778" s="16" t="s">
        <v>19</v>
      </c>
      <c r="W1778" s="19" t="s"/>
      <c r="X1778" s="26" t="s">
        <f>=M1778&amp;N1778&amp;P1778&amp;Q1778&amp;T1778&amp;V1778&amp;S1778</f>
        <v>1931</v>
      </c>
      <c r="Y1778" s="19" t="s"/>
      <c r="Z1778" s="19" t="s"/>
      <c r="AA1778" s="19" t="s"/>
      <c r="AB1778" s="19" t="s"/>
    </row>
    <row r="1779" spans="1:28" ht="14.4">
      <c r="A1779" s="4">
        <f>=H1779/G1779-1</f>
        <v>0.0979020979020979</v>
      </c>
      <c r="B1779" s="20">
        <f>=F1779/12</f>
        <v>11.775</v>
      </c>
      <c r="C1779" s="20">
        <f>=J1779/3</f>
        <v>94.2</v>
      </c>
      <c r="D1779" s="20">
        <f>=K1779/3</f>
        <v>104.666666666667</v>
      </c>
      <c r="E1779" s="20">
        <f>=L1779/3</f>
        <v>109.9</v>
      </c>
      <c r="F1779" s="20">
        <f>=H1779*0.9</f>
        <v>141.3</v>
      </c>
      <c r="G1779" s="21">
        <v>143</v>
      </c>
      <c r="H1779" s="39">
        <v>157</v>
      </c>
      <c r="I1779" s="40">
        <f>=H1779*1.05</f>
        <v>164.85</v>
      </c>
      <c r="J1779" s="40">
        <f>=F1779*2</f>
        <v>282.6</v>
      </c>
      <c r="K1779" s="40">
        <f>=H1779*2</f>
        <v>314</v>
      </c>
      <c r="L1779" s="40">
        <f>=I1779*2</f>
        <v>329.7</v>
      </c>
      <c r="M1779" s="41" t="s">
        <v>1909</v>
      </c>
      <c r="N1779" s="41">
        <v>0.3</v>
      </c>
      <c r="O1779" s="41" t="s"/>
      <c r="P1779" s="41">
        <v>1</v>
      </c>
      <c r="Q1779" s="41">
        <v>1</v>
      </c>
      <c r="R1779" s="41" t="s">
        <v>16</v>
      </c>
      <c r="S1779" s="41" t="s">
        <v>17</v>
      </c>
      <c r="T1779" s="41" t="s">
        <v>67</v>
      </c>
      <c r="U1779" s="16" t="s">
        <v>13</v>
      </c>
      <c r="V1779" s="16" t="s">
        <v>19</v>
      </c>
      <c r="W1779" s="19" t="s"/>
      <c r="X1779" s="26" t="s">
        <f>=M1779&amp;N1779&amp;P1779&amp;Q1779&amp;T1779&amp;V1779&amp;S1779</f>
        <v>1932</v>
      </c>
      <c r="Y1779" s="19" t="s"/>
      <c r="Z1779" s="19" t="s"/>
      <c r="AA1779" s="19" t="s"/>
      <c r="AB1779" s="19" t="s"/>
    </row>
    <row r="1780" spans="1:28" ht="14.4">
      <c r="A1780" s="4">
        <f>=H1780/G1780-1</f>
        <v>0.102564102564103</v>
      </c>
      <c r="B1780" s="20">
        <f>=F1780/12</f>
        <v>12.9</v>
      </c>
      <c r="C1780" s="20">
        <f>=J1780/3</f>
        <v>103.2</v>
      </c>
      <c r="D1780" s="20">
        <f>=K1780/3</f>
        <v>114.666666666667</v>
      </c>
      <c r="E1780" s="20">
        <f>=L1780/3</f>
        <v>120.4</v>
      </c>
      <c r="F1780" s="20">
        <f>=H1780*0.9</f>
        <v>154.8</v>
      </c>
      <c r="G1780" s="21">
        <v>156</v>
      </c>
      <c r="H1780" s="39">
        <v>172</v>
      </c>
      <c r="I1780" s="40">
        <f>=H1780*1.05</f>
        <v>180.6</v>
      </c>
      <c r="J1780" s="40">
        <f>=F1780*2</f>
        <v>309.6</v>
      </c>
      <c r="K1780" s="40">
        <f>=H1780*2</f>
        <v>344</v>
      </c>
      <c r="L1780" s="40">
        <f>=I1780*2</f>
        <v>361.2</v>
      </c>
      <c r="M1780" s="41" t="s">
        <v>1909</v>
      </c>
      <c r="N1780" s="41">
        <v>0.3</v>
      </c>
      <c r="O1780" s="41" t="s"/>
      <c r="P1780" s="41">
        <v>1</v>
      </c>
      <c r="Q1780" s="41">
        <v>1</v>
      </c>
      <c r="R1780" s="41" t="s">
        <v>16</v>
      </c>
      <c r="S1780" s="41" t="s">
        <v>17</v>
      </c>
      <c r="T1780" s="41" t="s">
        <v>1172</v>
      </c>
      <c r="U1780" s="16" t="s">
        <v>13</v>
      </c>
      <c r="V1780" s="16" t="s">
        <v>19</v>
      </c>
      <c r="W1780" s="19" t="s"/>
      <c r="X1780" s="26" t="s">
        <f>=M1780&amp;N1780&amp;P1780&amp;Q1780&amp;T1780&amp;V1780&amp;S1780</f>
        <v>1933</v>
      </c>
      <c r="Y1780" s="19" t="s"/>
      <c r="Z1780" s="19" t="s"/>
      <c r="AA1780" s="19" t="s"/>
      <c r="AB1780" s="19" t="s"/>
    </row>
    <row r="1781" spans="1:28" ht="14.4">
      <c r="A1781" s="4">
        <f>=H1781/G1781-1</f>
        <v>0.101449275362319</v>
      </c>
      <c r="B1781" s="20">
        <f>=F1781/12</f>
        <v>22.8</v>
      </c>
      <c r="C1781" s="20">
        <f>=J1781/3</f>
        <v>182.4</v>
      </c>
      <c r="D1781" s="20">
        <f>=K1781/3</f>
        <v>202.666666666667</v>
      </c>
      <c r="E1781" s="20">
        <f>=L1781/3</f>
        <v>212.8</v>
      </c>
      <c r="F1781" s="20">
        <f>=H1781*0.9</f>
        <v>273.6</v>
      </c>
      <c r="G1781" s="21">
        <v>276</v>
      </c>
      <c r="H1781" s="39">
        <v>304</v>
      </c>
      <c r="I1781" s="40">
        <f>=H1781*1.05</f>
        <v>319.2</v>
      </c>
      <c r="J1781" s="40">
        <f>=F1781*2</f>
        <v>547.2</v>
      </c>
      <c r="K1781" s="40">
        <f>=H1781*2</f>
        <v>608</v>
      </c>
      <c r="L1781" s="40">
        <f>=I1781*2</f>
        <v>638.4</v>
      </c>
      <c r="M1781" s="41" t="s">
        <v>1909</v>
      </c>
      <c r="N1781" s="41">
        <v>0.3</v>
      </c>
      <c r="O1781" s="41" t="s"/>
      <c r="P1781" s="41">
        <v>2</v>
      </c>
      <c r="Q1781" s="41">
        <v>2</v>
      </c>
      <c r="R1781" s="41" t="s">
        <v>16</v>
      </c>
      <c r="S1781" s="41" t="s">
        <v>17</v>
      </c>
      <c r="T1781" s="41" t="s">
        <v>67</v>
      </c>
      <c r="U1781" s="16" t="s">
        <v>13</v>
      </c>
      <c r="V1781" s="16" t="s">
        <v>19</v>
      </c>
      <c r="W1781" s="19" t="s"/>
      <c r="X1781" s="26" t="s">
        <f>=M1781&amp;N1781&amp;P1781&amp;Q1781&amp;T1781&amp;V1781&amp;S1781</f>
        <v>1934</v>
      </c>
      <c r="Y1781" s="19" t="s"/>
      <c r="Z1781" s="19" t="s"/>
      <c r="AA1781" s="19" t="s"/>
      <c r="AB1781" s="19" t="s"/>
    </row>
    <row r="1782" spans="1:28" ht="14.4">
      <c r="A1782" s="4">
        <f>=H1782/G1782-1</f>
        <v>0.100358422939068</v>
      </c>
      <c r="B1782" s="20">
        <f>=F1782/12</f>
        <v>23.025</v>
      </c>
      <c r="C1782" s="20">
        <f>=J1782/3</f>
        <v>184.2</v>
      </c>
      <c r="D1782" s="20">
        <f>=K1782/3</f>
        <v>204.666666666667</v>
      </c>
      <c r="E1782" s="20">
        <f>=L1782/3</f>
        <v>214.9</v>
      </c>
      <c r="F1782" s="20">
        <f>=H1782*0.9</f>
        <v>276.3</v>
      </c>
      <c r="G1782" s="21">
        <v>279</v>
      </c>
      <c r="H1782" s="39">
        <v>307</v>
      </c>
      <c r="I1782" s="40">
        <f>=H1782*1.05</f>
        <v>322.35</v>
      </c>
      <c r="J1782" s="40">
        <f>=F1782*2</f>
        <v>552.6</v>
      </c>
      <c r="K1782" s="40">
        <f>=H1782*2</f>
        <v>614</v>
      </c>
      <c r="L1782" s="40">
        <f>=I1782*2</f>
        <v>644.7</v>
      </c>
      <c r="M1782" s="41" t="s">
        <v>1909</v>
      </c>
      <c r="N1782" s="41">
        <v>0.3</v>
      </c>
      <c r="O1782" s="41" t="s"/>
      <c r="P1782" s="41">
        <v>2</v>
      </c>
      <c r="Q1782" s="41">
        <v>2</v>
      </c>
      <c r="R1782" s="41" t="s">
        <v>16</v>
      </c>
      <c r="S1782" s="41" t="s">
        <v>17</v>
      </c>
      <c r="T1782" s="41" t="s">
        <v>1172</v>
      </c>
      <c r="U1782" s="16" t="s">
        <v>13</v>
      </c>
      <c r="V1782" s="16" t="s">
        <v>19</v>
      </c>
      <c r="W1782" s="19" t="s"/>
      <c r="X1782" s="26" t="s">
        <f>=M1782&amp;N1782&amp;P1782&amp;Q1782&amp;T1782&amp;V1782&amp;S1782</f>
        <v>1935</v>
      </c>
      <c r="Y1782" s="19" t="s"/>
      <c r="Z1782" s="19" t="s"/>
      <c r="AA1782" s="19" t="s"/>
      <c r="AB1782" s="19" t="s"/>
    </row>
    <row r="1783" spans="1:29" ht="14.4">
      <c r="A1783" s="42">
        <f>=H1783/G1783-1</f>
        <v>-0.369175627240143</v>
      </c>
      <c r="B1783" s="43">
        <f>=F1783/12</f>
        <v>13.2</v>
      </c>
      <c r="C1783" s="43">
        <f>=J1783/3</f>
        <v>105.6</v>
      </c>
      <c r="D1783" s="43">
        <f>=K1783/3</f>
        <v>117.333333333333</v>
      </c>
      <c r="E1783" s="43">
        <f>=L1783/3</f>
        <v>123.2</v>
      </c>
      <c r="F1783" s="43">
        <f>=H1783*0.9</f>
        <v>158.4</v>
      </c>
      <c r="G1783" s="27">
        <v>279</v>
      </c>
      <c r="H1783" s="44">
        <v>176</v>
      </c>
      <c r="I1783" s="45">
        <f>=H1783*1.05</f>
        <v>184.8</v>
      </c>
      <c r="J1783" s="45">
        <f>=F1783*2</f>
        <v>316.8</v>
      </c>
      <c r="K1783" s="45">
        <f>=H1783*2</f>
        <v>352</v>
      </c>
      <c r="L1783" s="45">
        <f>=I1783*2</f>
        <v>369.6</v>
      </c>
      <c r="M1783" s="46" t="s">
        <v>1909</v>
      </c>
      <c r="N1783" s="12">
        <v>0.35</v>
      </c>
      <c r="O1783" s="46" t="s"/>
      <c r="P1783" s="12">
        <v>1</v>
      </c>
      <c r="Q1783" s="12">
        <v>1</v>
      </c>
      <c r="R1783" s="46" t="s">
        <v>16</v>
      </c>
      <c r="S1783" s="46" t="s">
        <v>17</v>
      </c>
      <c r="T1783" s="46" t="s">
        <v>76</v>
      </c>
      <c r="U1783" s="13" t="s">
        <v>13</v>
      </c>
      <c r="V1783" s="13" t="s">
        <v>19</v>
      </c>
      <c r="W1783" s="15" t="s"/>
      <c r="X1783" s="18" t="s">
        <f>=M1783&amp;N1783&amp;P1783&amp;Q1783&amp;T1783&amp;V1783&amp;S1783</f>
        <v>1936</v>
      </c>
      <c r="Y1783" s="15" t="s"/>
      <c r="Z1783" s="15" t="s"/>
      <c r="AA1783" s="15" t="s"/>
      <c r="AB1783" s="15" t="s"/>
      <c r="AC1783" s="48" t="s"/>
    </row>
    <row r="1784" spans="1:28" ht="14.4">
      <c r="A1784" s="4">
        <f>=H1784/G1784-1</f>
        <v>0.101910828025478</v>
      </c>
      <c r="B1784" s="20">
        <f>=F1784/12</f>
        <v>12.975</v>
      </c>
      <c r="C1784" s="20">
        <f>=J1784/3</f>
        <v>103.8</v>
      </c>
      <c r="D1784" s="20">
        <f>=K1784/3</f>
        <v>115.333333333333</v>
      </c>
      <c r="E1784" s="20">
        <f>=L1784/3</f>
        <v>121.1</v>
      </c>
      <c r="F1784" s="20">
        <f>=H1784*0.9</f>
        <v>155.7</v>
      </c>
      <c r="G1784" s="21">
        <v>157</v>
      </c>
      <c r="H1784" s="39">
        <v>173</v>
      </c>
      <c r="I1784" s="40">
        <f>=H1784*1.05</f>
        <v>181.65</v>
      </c>
      <c r="J1784" s="40">
        <f>=F1784*2</f>
        <v>311.4</v>
      </c>
      <c r="K1784" s="40">
        <f>=H1784*2</f>
        <v>346</v>
      </c>
      <c r="L1784" s="40">
        <f>=I1784*2</f>
        <v>363.3</v>
      </c>
      <c r="M1784" s="41" t="s">
        <v>1909</v>
      </c>
      <c r="N1784" s="41">
        <v>0.36</v>
      </c>
      <c r="O1784" s="41" t="s"/>
      <c r="P1784" s="41">
        <v>1</v>
      </c>
      <c r="Q1784" s="41">
        <v>1</v>
      </c>
      <c r="R1784" s="41" t="s">
        <v>16</v>
      </c>
      <c r="S1784" s="41" t="s">
        <v>17</v>
      </c>
      <c r="T1784" s="41" t="s">
        <v>76</v>
      </c>
      <c r="U1784" s="16" t="s">
        <v>13</v>
      </c>
      <c r="V1784" s="16" t="s">
        <v>19</v>
      </c>
      <c r="W1784" s="19" t="s"/>
      <c r="X1784" s="26" t="s">
        <f>=M1784&amp;N1784&amp;P1784&amp;Q1784&amp;T1784&amp;V1784&amp;S1784</f>
        <v>1937</v>
      </c>
      <c r="Y1784" s="19" t="s"/>
      <c r="Z1784" s="19" t="s"/>
      <c r="AA1784" s="19" t="s"/>
      <c r="AB1784" s="19" t="s"/>
    </row>
    <row r="1785" spans="1:28" ht="14.4">
      <c r="A1785" s="4">
        <f>=H1785/G1785-1</f>
        <v>0.0988593155893536</v>
      </c>
      <c r="B1785" s="20">
        <f>=F1785/12</f>
        <v>21.675</v>
      </c>
      <c r="C1785" s="20">
        <f>=J1785/3</f>
        <v>173.4</v>
      </c>
      <c r="D1785" s="20">
        <f>=K1785/3</f>
        <v>192.666666666667</v>
      </c>
      <c r="E1785" s="20">
        <f>=L1785/3</f>
        <v>202.3</v>
      </c>
      <c r="F1785" s="20">
        <f>=H1785*0.9</f>
        <v>260.1</v>
      </c>
      <c r="G1785" s="21">
        <v>263</v>
      </c>
      <c r="H1785" s="39">
        <v>289</v>
      </c>
      <c r="I1785" s="40">
        <f>=H1785*1.05</f>
        <v>303.45</v>
      </c>
      <c r="J1785" s="40">
        <f>=F1785*2</f>
        <v>520.2</v>
      </c>
      <c r="K1785" s="40">
        <f>=H1785*2</f>
        <v>578</v>
      </c>
      <c r="L1785" s="40">
        <f>=I1785*2</f>
        <v>606.9</v>
      </c>
      <c r="M1785" s="41" t="s">
        <v>1909</v>
      </c>
      <c r="N1785" s="41">
        <v>0.36</v>
      </c>
      <c r="O1785" s="41" t="s"/>
      <c r="P1785" s="41">
        <v>2</v>
      </c>
      <c r="Q1785" s="41">
        <v>2</v>
      </c>
      <c r="R1785" s="41" t="s">
        <v>16</v>
      </c>
      <c r="S1785" s="41" t="s">
        <v>17</v>
      </c>
      <c r="T1785" s="41" t="s">
        <v>76</v>
      </c>
      <c r="U1785" s="16" t="s">
        <v>13</v>
      </c>
      <c r="V1785" s="16" t="s">
        <v>19</v>
      </c>
      <c r="W1785" s="19" t="s"/>
      <c r="X1785" s="26" t="s">
        <f>=M1785&amp;N1785&amp;P1785&amp;Q1785&amp;T1785&amp;V1785&amp;S1785</f>
        <v>1938</v>
      </c>
      <c r="Y1785" s="19" t="s"/>
      <c r="Z1785" s="19" t="s"/>
      <c r="AA1785" s="19" t="s"/>
      <c r="AB1785" s="19" t="s"/>
    </row>
    <row r="1786" spans="1:28" ht="14.4">
      <c r="A1786" s="4">
        <f>=H1786/G1786-1</f>
        <v>0.103225806451613</v>
      </c>
      <c r="B1786" s="20">
        <f>=F1786/12</f>
        <v>12.825</v>
      </c>
      <c r="C1786" s="20">
        <f>=J1786/3</f>
        <v>102.6</v>
      </c>
      <c r="D1786" s="20">
        <f>=K1786/3</f>
        <v>114</v>
      </c>
      <c r="E1786" s="20">
        <f>=L1786/3</f>
        <v>119.7</v>
      </c>
      <c r="F1786" s="20">
        <f>=H1786*0.9</f>
        <v>153.9</v>
      </c>
      <c r="G1786" s="21">
        <v>155</v>
      </c>
      <c r="H1786" s="39">
        <v>171</v>
      </c>
      <c r="I1786" s="40">
        <f>=H1786*1.05</f>
        <v>179.55</v>
      </c>
      <c r="J1786" s="40">
        <f>=F1786*2</f>
        <v>307.8</v>
      </c>
      <c r="K1786" s="40">
        <f>=H1786*2</f>
        <v>342</v>
      </c>
      <c r="L1786" s="40">
        <f>=I1786*2</f>
        <v>359.1</v>
      </c>
      <c r="M1786" s="41" t="s">
        <v>1909</v>
      </c>
      <c r="N1786" s="41">
        <v>0.4</v>
      </c>
      <c r="O1786" s="41" t="s"/>
      <c r="P1786" s="41">
        <v>1</v>
      </c>
      <c r="Q1786" s="41">
        <v>1</v>
      </c>
      <c r="R1786" s="41" t="s">
        <v>16</v>
      </c>
      <c r="S1786" s="41" t="s">
        <v>17</v>
      </c>
      <c r="T1786" s="41" t="s">
        <v>76</v>
      </c>
      <c r="U1786" s="16" t="s">
        <v>13</v>
      </c>
      <c r="V1786" s="16" t="s">
        <v>19</v>
      </c>
      <c r="W1786" s="19" t="s"/>
      <c r="X1786" s="26" t="s">
        <f>=M1786&amp;N1786&amp;P1786&amp;Q1786&amp;T1786&amp;V1786&amp;S1786</f>
        <v>1939</v>
      </c>
      <c r="Y1786" s="19" t="s"/>
      <c r="Z1786" s="19" t="s"/>
      <c r="AA1786" s="19" t="s"/>
      <c r="AB1786" s="19" t="s"/>
    </row>
    <row r="1787" spans="1:28" ht="14.4">
      <c r="A1787" s="4">
        <f>=H1787/G1787-1</f>
        <v>0.0991189427312775</v>
      </c>
      <c r="B1787" s="20">
        <f>=F1787/12</f>
        <v>37.425</v>
      </c>
      <c r="C1787" s="20">
        <f>=J1787/3</f>
        <v>299.4</v>
      </c>
      <c r="D1787" s="20">
        <f>=K1787/3</f>
        <v>332.666666666667</v>
      </c>
      <c r="E1787" s="20">
        <f>=L1787/3</f>
        <v>349.3</v>
      </c>
      <c r="F1787" s="20">
        <f>=H1787*0.9</f>
        <v>449.1</v>
      </c>
      <c r="G1787" s="21">
        <v>454</v>
      </c>
      <c r="H1787" s="39">
        <v>499</v>
      </c>
      <c r="I1787" s="40">
        <f>=H1787*1.05</f>
        <v>523.95</v>
      </c>
      <c r="J1787" s="40">
        <f>=F1787*2</f>
        <v>898.2</v>
      </c>
      <c r="K1787" s="40">
        <f>=H1787*2</f>
        <v>998</v>
      </c>
      <c r="L1787" s="40">
        <f>=I1787*2</f>
        <v>1047.9</v>
      </c>
      <c r="M1787" s="41" t="s">
        <v>1909</v>
      </c>
      <c r="N1787" s="41">
        <v>0.4</v>
      </c>
      <c r="O1787" s="41" t="s"/>
      <c r="P1787" s="41">
        <v>3</v>
      </c>
      <c r="Q1787" s="41">
        <v>3</v>
      </c>
      <c r="R1787" s="41" t="s">
        <v>16</v>
      </c>
      <c r="S1787" s="41" t="s">
        <v>17</v>
      </c>
      <c r="T1787" s="41" t="s">
        <v>76</v>
      </c>
      <c r="U1787" s="16" t="s">
        <v>13</v>
      </c>
      <c r="V1787" s="16" t="s">
        <v>19</v>
      </c>
      <c r="W1787" s="19" t="s"/>
      <c r="X1787" s="26" t="s">
        <f>=M1787&amp;N1787&amp;P1787&amp;Q1787&amp;T1787&amp;V1787&amp;S1787</f>
        <v>1940</v>
      </c>
      <c r="Y1787" s="19" t="s"/>
      <c r="Z1787" s="19" t="s"/>
      <c r="AA1787" s="19" t="s"/>
      <c r="AB1787" s="19" t="s"/>
    </row>
    <row r="1788" spans="1:28" ht="14.4">
      <c r="A1788" s="4">
        <f>=H1788/G1788-1</f>
        <v>0.0993788819875776</v>
      </c>
      <c r="B1788" s="20">
        <f>=F1788/12</f>
        <v>13.275</v>
      </c>
      <c r="C1788" s="20">
        <f>=J1788/3</f>
        <v>106.2</v>
      </c>
      <c r="D1788" s="20">
        <f>=K1788/3</f>
        <v>118</v>
      </c>
      <c r="E1788" s="20">
        <f>=L1788/3</f>
        <v>123.9</v>
      </c>
      <c r="F1788" s="20">
        <f>=H1788*0.9</f>
        <v>159.3</v>
      </c>
      <c r="G1788" s="21">
        <v>161</v>
      </c>
      <c r="H1788" s="39">
        <v>177</v>
      </c>
      <c r="I1788" s="40">
        <f>=H1788*1.05</f>
        <v>185.85</v>
      </c>
      <c r="J1788" s="40">
        <f>=F1788*2</f>
        <v>318.6</v>
      </c>
      <c r="K1788" s="40">
        <f>=H1788*2</f>
        <v>354</v>
      </c>
      <c r="L1788" s="40">
        <f>=I1788*2</f>
        <v>371.7</v>
      </c>
      <c r="M1788" s="41" t="s">
        <v>1909</v>
      </c>
      <c r="N1788" s="41">
        <v>0.46</v>
      </c>
      <c r="O1788" s="41" t="s"/>
      <c r="P1788" s="41">
        <v>1</v>
      </c>
      <c r="Q1788" s="41">
        <v>1</v>
      </c>
      <c r="R1788" s="41" t="s">
        <v>16</v>
      </c>
      <c r="S1788" s="41" t="s">
        <v>17</v>
      </c>
      <c r="T1788" s="41" t="s">
        <v>1186</v>
      </c>
      <c r="U1788" s="16" t="s">
        <v>13</v>
      </c>
      <c r="V1788" s="16" t="s">
        <v>19</v>
      </c>
      <c r="W1788" s="19" t="s"/>
      <c r="X1788" s="26" t="s">
        <f>=M1788&amp;N1788&amp;P1788&amp;Q1788&amp;T1788&amp;V1788&amp;S1788</f>
        <v>1941</v>
      </c>
      <c r="Y1788" s="19" t="s"/>
      <c r="Z1788" s="19" t="s"/>
      <c r="AA1788" s="19" t="s"/>
      <c r="AB1788" s="19" t="s"/>
    </row>
    <row r="1789" spans="1:28" ht="14.4">
      <c r="A1789" s="4">
        <f>=H1789/G1789-1</f>
        <v>0.1</v>
      </c>
      <c r="B1789" s="20">
        <f>=F1789/12</f>
        <v>42.9</v>
      </c>
      <c r="C1789" s="20">
        <f>=J1789/3</f>
        <v>343.2</v>
      </c>
      <c r="D1789" s="20">
        <f>=K1789/3</f>
        <v>381.333333333333</v>
      </c>
      <c r="E1789" s="20">
        <f>=L1789/3</f>
        <v>400.4</v>
      </c>
      <c r="F1789" s="20">
        <f>=H1789*0.9</f>
        <v>514.8</v>
      </c>
      <c r="G1789" s="21">
        <v>520</v>
      </c>
      <c r="H1789" s="39">
        <v>572</v>
      </c>
      <c r="I1789" s="40">
        <f>=H1789*1.05</f>
        <v>600.6</v>
      </c>
      <c r="J1789" s="40">
        <f>=F1789*2</f>
        <v>1029.6</v>
      </c>
      <c r="K1789" s="40">
        <f>=H1789*2</f>
        <v>1144</v>
      </c>
      <c r="L1789" s="40">
        <f>=I1789*2</f>
        <v>1201.2</v>
      </c>
      <c r="M1789" s="41" t="s">
        <v>1909</v>
      </c>
      <c r="N1789" s="41">
        <v>0.5</v>
      </c>
      <c r="O1789" s="41" t="s"/>
      <c r="P1789" s="41">
        <v>3</v>
      </c>
      <c r="Q1789" s="41">
        <v>3</v>
      </c>
      <c r="R1789" s="41" t="s">
        <v>16</v>
      </c>
      <c r="S1789" s="41" t="s">
        <v>17</v>
      </c>
      <c r="T1789" s="41" t="s">
        <v>110</v>
      </c>
      <c r="U1789" s="16" t="s">
        <v>13</v>
      </c>
      <c r="V1789" s="5" t="s"/>
      <c r="W1789" s="19" t="s"/>
      <c r="X1789" s="26" t="s">
        <f>=M1789&amp;N1789&amp;P1789&amp;Q1789&amp;T1789&amp;V1789&amp;S1789</f>
        <v>1942</v>
      </c>
      <c r="Y1789" s="19" t="s"/>
      <c r="Z1789" s="19" t="s"/>
      <c r="AA1789" s="19" t="s"/>
      <c r="AB1789" s="19" t="s"/>
    </row>
    <row r="1790" spans="1:28" ht="14.4">
      <c r="A1790" s="4">
        <f>=H1790/G1790-1</f>
        <v>0.101796407185629</v>
      </c>
      <c r="B1790" s="20">
        <f>=F1790/12</f>
        <v>13.8</v>
      </c>
      <c r="C1790" s="20">
        <f>=J1790/3</f>
        <v>110.4</v>
      </c>
      <c r="D1790" s="20">
        <f>=K1790/3</f>
        <v>122.666666666667</v>
      </c>
      <c r="E1790" s="20">
        <f>=L1790/3</f>
        <v>128.8</v>
      </c>
      <c r="F1790" s="20">
        <f>=H1790*0.9</f>
        <v>165.6</v>
      </c>
      <c r="G1790" s="21">
        <v>167</v>
      </c>
      <c r="H1790" s="39">
        <v>184</v>
      </c>
      <c r="I1790" s="40">
        <f>=H1790*1.05</f>
        <v>193.2</v>
      </c>
      <c r="J1790" s="40">
        <f>=F1790*2</f>
        <v>331.2</v>
      </c>
      <c r="K1790" s="40">
        <f>=H1790*2</f>
        <v>368</v>
      </c>
      <c r="L1790" s="40">
        <f>=I1790*2</f>
        <v>386.4</v>
      </c>
      <c r="M1790" s="41" t="s">
        <v>1909</v>
      </c>
      <c r="N1790" s="41">
        <v>0.71</v>
      </c>
      <c r="O1790" s="41" t="s"/>
      <c r="P1790" s="41">
        <v>1</v>
      </c>
      <c r="Q1790" s="41">
        <v>1</v>
      </c>
      <c r="R1790" s="41" t="s">
        <v>16</v>
      </c>
      <c r="S1790" s="41" t="s">
        <v>17</v>
      </c>
      <c r="T1790" s="41" t="s">
        <v>128</v>
      </c>
      <c r="U1790" s="16" t="s">
        <v>13</v>
      </c>
      <c r="V1790" s="16" t="s">
        <v>19</v>
      </c>
      <c r="W1790" s="19" t="s"/>
      <c r="X1790" s="26" t="s">
        <f>=M1790&amp;N1790&amp;P1790&amp;Q1790&amp;T1790&amp;V1790&amp;S1790</f>
        <v>1943</v>
      </c>
      <c r="Y1790" s="19" t="s"/>
      <c r="Z1790" s="19" t="s"/>
      <c r="AA1790" s="19" t="s"/>
      <c r="AB1790" s="19" t="s"/>
    </row>
    <row r="1791" spans="1:28" ht="14.4">
      <c r="A1791" s="4">
        <f>=H1791/G1791-1</f>
        <v>0.0994764397905759</v>
      </c>
      <c r="B1791" s="20">
        <f>=F1791/12</f>
        <v>15.75</v>
      </c>
      <c r="C1791" s="20">
        <f>=J1791/3</f>
        <v>126</v>
      </c>
      <c r="D1791" s="20">
        <f>=K1791/3</f>
        <v>140</v>
      </c>
      <c r="E1791" s="20">
        <f>=L1791/3</f>
        <v>147</v>
      </c>
      <c r="F1791" s="20">
        <f>=H1791*0.9</f>
        <v>189</v>
      </c>
      <c r="G1791" s="21">
        <v>191</v>
      </c>
      <c r="H1791" s="39">
        <v>210</v>
      </c>
      <c r="I1791" s="40">
        <f>=H1791*1.05</f>
        <v>220.5</v>
      </c>
      <c r="J1791" s="40">
        <f>=F1791*2</f>
        <v>378</v>
      </c>
      <c r="K1791" s="40">
        <f>=H1791*2</f>
        <v>420</v>
      </c>
      <c r="L1791" s="40">
        <f>=I1791*2</f>
        <v>441</v>
      </c>
      <c r="M1791" s="41" t="s">
        <v>1909</v>
      </c>
      <c r="N1791" s="41">
        <v>0.73</v>
      </c>
      <c r="O1791" s="41" t="s"/>
      <c r="P1791" s="41">
        <v>1</v>
      </c>
      <c r="Q1791" s="41">
        <v>1</v>
      </c>
      <c r="R1791" s="41" t="s">
        <v>16</v>
      </c>
      <c r="S1791" s="41" t="s">
        <v>17</v>
      </c>
      <c r="T1791" s="41" t="s">
        <v>128</v>
      </c>
      <c r="U1791" s="16" t="s">
        <v>13</v>
      </c>
      <c r="V1791" s="16" t="s">
        <v>19</v>
      </c>
      <c r="W1791" s="19" t="s"/>
      <c r="X1791" s="26" t="s">
        <f>=M1791&amp;N1791&amp;P1791&amp;Q1791&amp;T1791&amp;V1791&amp;S1791</f>
        <v>1944</v>
      </c>
      <c r="Y1791" s="19" t="s"/>
      <c r="Z1791" s="19" t="s"/>
      <c r="AA1791" s="19" t="s"/>
      <c r="AB1791" s="19" t="s"/>
    </row>
    <row r="1792" spans="1:28" ht="14.4">
      <c r="A1792" s="4">
        <f>=H1792/G1792-1</f>
        <v>0.101639344262295</v>
      </c>
      <c r="B1792" s="20">
        <f>=F1792/12</f>
        <v>25.2</v>
      </c>
      <c r="C1792" s="20">
        <f>=J1792/3</f>
        <v>201.6</v>
      </c>
      <c r="D1792" s="20">
        <f>=K1792/3</f>
        <v>224</v>
      </c>
      <c r="E1792" s="20">
        <f>=L1792/3</f>
        <v>235.2</v>
      </c>
      <c r="F1792" s="20">
        <f>=H1792*0.9</f>
        <v>302.4</v>
      </c>
      <c r="G1792" s="21">
        <v>305</v>
      </c>
      <c r="H1792" s="39">
        <v>336</v>
      </c>
      <c r="I1792" s="40">
        <f>=H1792*1.05</f>
        <v>352.8</v>
      </c>
      <c r="J1792" s="40">
        <f>=F1792*2</f>
        <v>604.8</v>
      </c>
      <c r="K1792" s="40">
        <f>=H1792*2</f>
        <v>672</v>
      </c>
      <c r="L1792" s="40">
        <f>=I1792*2</f>
        <v>705.6</v>
      </c>
      <c r="M1792" s="41" t="s">
        <v>1909</v>
      </c>
      <c r="N1792" s="41">
        <v>0.9</v>
      </c>
      <c r="O1792" s="41" t="s"/>
      <c r="P1792" s="41">
        <v>2</v>
      </c>
      <c r="Q1792" s="41">
        <v>2</v>
      </c>
      <c r="R1792" s="41" t="s">
        <v>16</v>
      </c>
      <c r="S1792" s="41" t="s">
        <v>17</v>
      </c>
      <c r="T1792" s="41" t="s">
        <v>128</v>
      </c>
      <c r="U1792" s="16" t="s">
        <v>13</v>
      </c>
      <c r="V1792" s="16" t="s">
        <v>19</v>
      </c>
      <c r="W1792" s="19" t="s"/>
      <c r="X1792" s="26" t="s">
        <f>=M1792&amp;N1792&amp;P1792&amp;Q1792&amp;T1792&amp;V1792&amp;S1792</f>
        <v>1945</v>
      </c>
      <c r="Y1792" s="19" t="s"/>
      <c r="Z1792" s="19" t="s"/>
      <c r="AA1792" s="19" t="s"/>
      <c r="AB1792" s="19" t="s"/>
    </row>
    <row r="1793" spans="1:28" ht="14.4">
      <c r="A1793" s="4">
        <f>=H1793/G1793-1</f>
        <v>0.101321585903084</v>
      </c>
      <c r="B1793" s="20">
        <f>=F1793/12</f>
        <v>18.75</v>
      </c>
      <c r="C1793" s="20">
        <f>=J1793/3</f>
        <v>150</v>
      </c>
      <c r="D1793" s="20">
        <f>=K1793/3</f>
        <v>166.666666666667</v>
      </c>
      <c r="E1793" s="20">
        <f>=L1793/3</f>
        <v>175</v>
      </c>
      <c r="F1793" s="20">
        <f>=H1793*0.9</f>
        <v>225</v>
      </c>
      <c r="G1793" s="21">
        <v>227</v>
      </c>
      <c r="H1793" s="39">
        <v>250</v>
      </c>
      <c r="I1793" s="40">
        <f>=H1793*1.05</f>
        <v>262.5</v>
      </c>
      <c r="J1793" s="40">
        <f>=F1793*2</f>
        <v>450</v>
      </c>
      <c r="K1793" s="40">
        <f>=H1793*2</f>
        <v>500</v>
      </c>
      <c r="L1793" s="40">
        <f>=I1793*2</f>
        <v>525</v>
      </c>
      <c r="M1793" s="41" t="s">
        <v>1909</v>
      </c>
      <c r="N1793" s="41">
        <v>1</v>
      </c>
      <c r="O1793" s="41" t="s"/>
      <c r="P1793" s="41">
        <v>1</v>
      </c>
      <c r="Q1793" s="41">
        <v>1</v>
      </c>
      <c r="R1793" s="41" t="s">
        <v>16</v>
      </c>
      <c r="S1793" s="75" t="s">
        <v>137</v>
      </c>
      <c r="T1793" s="41" t="s">
        <v>147</v>
      </c>
      <c r="U1793" s="16" t="s">
        <v>13</v>
      </c>
      <c r="V1793" s="16" t="s">
        <v>19</v>
      </c>
      <c r="W1793" s="19" t="s"/>
      <c r="X1793" s="26" t="s">
        <f>=M1793&amp;N1793&amp;P1793&amp;Q1793&amp;T1793&amp;V1793&amp;S1793</f>
        <v>1946</v>
      </c>
      <c r="Y1793" s="19" t="s"/>
      <c r="Z1793" s="19" t="s"/>
      <c r="AA1793" s="19" t="s"/>
      <c r="AB1793" s="19" t="s"/>
    </row>
    <row r="1794" spans="1:28" ht="14.4">
      <c r="A1794" s="4">
        <f>=H1794/G1794-1</f>
        <v>0.0996978851963746</v>
      </c>
      <c r="B1794" s="20">
        <f>=F1794/12</f>
        <v>27.3</v>
      </c>
      <c r="C1794" s="20">
        <f>=J1794/3</f>
        <v>218.4</v>
      </c>
      <c r="D1794" s="20">
        <f>=K1794/3</f>
        <v>242.666666666667</v>
      </c>
      <c r="E1794" s="20">
        <f>=L1794/3</f>
        <v>254.8</v>
      </c>
      <c r="F1794" s="20">
        <f>=H1794*0.9</f>
        <v>327.6</v>
      </c>
      <c r="G1794" s="21">
        <v>331</v>
      </c>
      <c r="H1794" s="39">
        <v>364</v>
      </c>
      <c r="I1794" s="40">
        <f>=H1794*1.05</f>
        <v>382.2</v>
      </c>
      <c r="J1794" s="40">
        <f>=F1794*2</f>
        <v>655.2</v>
      </c>
      <c r="K1794" s="40">
        <f>=H1794*2</f>
        <v>728</v>
      </c>
      <c r="L1794" s="40">
        <f>=I1794*2</f>
        <v>764.4</v>
      </c>
      <c r="M1794" s="41" t="s">
        <v>1909</v>
      </c>
      <c r="N1794" s="41">
        <v>1</v>
      </c>
      <c r="O1794" s="41" t="s"/>
      <c r="P1794" s="41">
        <v>2</v>
      </c>
      <c r="Q1794" s="41">
        <v>2</v>
      </c>
      <c r="R1794" s="41" t="s">
        <v>16</v>
      </c>
      <c r="S1794" s="75" t="s">
        <v>137</v>
      </c>
      <c r="T1794" s="41" t="s">
        <v>147</v>
      </c>
      <c r="U1794" s="16" t="s">
        <v>13</v>
      </c>
      <c r="V1794" s="16" t="s">
        <v>19</v>
      </c>
      <c r="W1794" s="19" t="s"/>
      <c r="X1794" s="26" t="s">
        <f>=M1794&amp;N1794&amp;P1794&amp;Q1794&amp;T1794&amp;V1794&amp;S1794</f>
        <v>1947</v>
      </c>
      <c r="Y1794" s="19" t="s"/>
      <c r="Z1794" s="19" t="s"/>
      <c r="AA1794" s="19" t="s"/>
      <c r="AB1794" s="19" t="s"/>
    </row>
    <row r="1795" spans="1:28" ht="14.4">
      <c r="A1795" s="4">
        <f>=H1795/G1795-1</f>
        <v>0.0991253644314869</v>
      </c>
      <c r="B1795" s="20">
        <f>=F1795/12</f>
        <v>28.275</v>
      </c>
      <c r="C1795" s="20">
        <f>=J1795/3</f>
        <v>226.2</v>
      </c>
      <c r="D1795" s="20">
        <f>=K1795/3</f>
        <v>251.333333333333</v>
      </c>
      <c r="E1795" s="20">
        <f>=L1795/3</f>
        <v>263.9</v>
      </c>
      <c r="F1795" s="20">
        <f>=H1795*0.9</f>
        <v>339.3</v>
      </c>
      <c r="G1795" s="21">
        <v>343</v>
      </c>
      <c r="H1795" s="39">
        <v>377</v>
      </c>
      <c r="I1795" s="40">
        <f>=H1795*1.05</f>
        <v>395.85</v>
      </c>
      <c r="J1795" s="40">
        <f>=F1795*2</f>
        <v>678.6</v>
      </c>
      <c r="K1795" s="40">
        <f>=H1795*2</f>
        <v>754</v>
      </c>
      <c r="L1795" s="40">
        <f>=I1795*2</f>
        <v>791.7</v>
      </c>
      <c r="M1795" s="41" t="s">
        <v>1909</v>
      </c>
      <c r="N1795" s="41">
        <v>1.1</v>
      </c>
      <c r="O1795" s="41" t="s"/>
      <c r="P1795" s="41">
        <v>2</v>
      </c>
      <c r="Q1795" s="41">
        <v>2</v>
      </c>
      <c r="R1795" s="41" t="s">
        <v>16</v>
      </c>
      <c r="S1795" s="41" t="s">
        <v>17</v>
      </c>
      <c r="T1795" s="41" t="s">
        <v>147</v>
      </c>
      <c r="U1795" s="16" t="s">
        <v>13</v>
      </c>
      <c r="V1795" s="16" t="s">
        <v>19</v>
      </c>
      <c r="W1795" s="19" t="s"/>
      <c r="X1795" s="26" t="s">
        <f>=M1795&amp;N1795&amp;P1795&amp;Q1795&amp;T1795&amp;V1795&amp;S1795</f>
        <v>1948</v>
      </c>
      <c r="Y1795" s="19" t="s"/>
      <c r="Z1795" s="19" t="s"/>
      <c r="AA1795" s="19" t="s"/>
      <c r="AB1795" s="19" t="s"/>
    </row>
    <row r="1796" spans="1:28" ht="14.4">
      <c r="A1796" s="4">
        <f>=H1796/G1796-1</f>
        <v>0.101321585903084</v>
      </c>
      <c r="B1796" s="20">
        <f>=F1796/12</f>
        <v>18.75</v>
      </c>
      <c r="C1796" s="20">
        <f>=J1796/3</f>
        <v>150</v>
      </c>
      <c r="D1796" s="20">
        <f>=K1796/3</f>
        <v>166.666666666667</v>
      </c>
      <c r="E1796" s="20">
        <f>=L1796/3</f>
        <v>175</v>
      </c>
      <c r="F1796" s="20">
        <f>=H1796*0.9</f>
        <v>225</v>
      </c>
      <c r="G1796" s="21">
        <v>227</v>
      </c>
      <c r="H1796" s="39">
        <v>250</v>
      </c>
      <c r="I1796" s="40">
        <f>=H1796*1.05</f>
        <v>262.5</v>
      </c>
      <c r="J1796" s="40">
        <f>=F1796*2</f>
        <v>450</v>
      </c>
      <c r="K1796" s="40">
        <f>=H1796*2</f>
        <v>500</v>
      </c>
      <c r="L1796" s="40">
        <f>=I1796*2</f>
        <v>525</v>
      </c>
      <c r="M1796" s="41" t="s">
        <v>1909</v>
      </c>
      <c r="N1796" s="41">
        <v>1.2</v>
      </c>
      <c r="O1796" s="41" t="s"/>
      <c r="P1796" s="41">
        <v>1</v>
      </c>
      <c r="Q1796" s="41">
        <v>1</v>
      </c>
      <c r="R1796" s="41" t="s">
        <v>16</v>
      </c>
      <c r="S1796" s="41" t="s">
        <v>17</v>
      </c>
      <c r="T1796" s="41" t="s">
        <v>153</v>
      </c>
      <c r="U1796" s="16" t="s">
        <v>13</v>
      </c>
      <c r="V1796" s="16" t="s">
        <v>19</v>
      </c>
      <c r="W1796" s="19" t="s"/>
      <c r="X1796" s="26" t="s">
        <f>=M1796&amp;N1796&amp;P1796&amp;Q1796&amp;T1796&amp;V1796&amp;S1796</f>
        <v>1949</v>
      </c>
      <c r="Y1796" s="19" t="s"/>
      <c r="Z1796" s="19" t="s"/>
      <c r="AA1796" s="19" t="s"/>
      <c r="AB1796" s="19" t="s"/>
    </row>
    <row r="1797" spans="1:29" ht="14.4">
      <c r="A1797" s="42">
        <f>=H1797/G1797-1</f>
        <v>-0.186956521739131</v>
      </c>
      <c r="B1797" s="43">
        <f>=F1797/12</f>
        <v>14.025</v>
      </c>
      <c r="C1797" s="43">
        <f>=J1797/3</f>
        <v>112.2</v>
      </c>
      <c r="D1797" s="43">
        <f>=K1797/3</f>
        <v>124.666666666667</v>
      </c>
      <c r="E1797" s="43">
        <f>=L1797/3</f>
        <v>130.9</v>
      </c>
      <c r="F1797" s="43">
        <f>=H1797*0.9</f>
        <v>168.3</v>
      </c>
      <c r="G1797" s="27">
        <v>230</v>
      </c>
      <c r="H1797" s="44">
        <v>187</v>
      </c>
      <c r="I1797" s="45">
        <f>=H1797*1.05</f>
        <v>196.35</v>
      </c>
      <c r="J1797" s="45">
        <f>=F1797*2</f>
        <v>336.6</v>
      </c>
      <c r="K1797" s="45">
        <f>=H1797*2</f>
        <v>374</v>
      </c>
      <c r="L1797" s="45">
        <f>=I1797*2</f>
        <v>392.7</v>
      </c>
      <c r="M1797" s="46" t="s">
        <v>1909</v>
      </c>
      <c r="N1797" s="46">
        <v>1.5</v>
      </c>
      <c r="O1797" s="46" t="s"/>
      <c r="P1797" s="12" t="s">
        <v>21</v>
      </c>
      <c r="Q1797" s="12" t="s">
        <v>21</v>
      </c>
      <c r="R1797" s="46" t="s">
        <v>16</v>
      </c>
      <c r="S1797" s="46" t="s">
        <v>17</v>
      </c>
      <c r="T1797" s="12" t="s">
        <v>186</v>
      </c>
      <c r="U1797" s="13" t="s">
        <v>13</v>
      </c>
      <c r="V1797" s="13" t="s">
        <v>19</v>
      </c>
      <c r="W1797" s="15" t="s"/>
      <c r="X1797" s="18" t="s">
        <f>=M1797&amp;N1797&amp;P1797&amp;Q1797&amp;T1797&amp;V1797&amp;S1797</f>
        <v>1950</v>
      </c>
      <c r="Y1797" s="15" t="s"/>
      <c r="Z1797" s="15" t="s"/>
      <c r="AA1797" s="15" t="s"/>
      <c r="AB1797" s="15" t="s"/>
      <c r="AC1797" s="48" t="s"/>
    </row>
    <row r="1798" spans="1:28" ht="14.4">
      <c r="A1798" s="4">
        <f>=H1798/G1798-1</f>
        <v>0.1</v>
      </c>
      <c r="B1798" s="20">
        <f>=F1798/12</f>
        <v>18.975</v>
      </c>
      <c r="C1798" s="20">
        <f>=J1798/3</f>
        <v>151.8</v>
      </c>
      <c r="D1798" s="20">
        <f>=K1798/3</f>
        <v>168.666666666667</v>
      </c>
      <c r="E1798" s="20">
        <f>=L1798/3</f>
        <v>177.1</v>
      </c>
      <c r="F1798" s="20">
        <f>=H1798*0.9</f>
        <v>227.7</v>
      </c>
      <c r="G1798" s="21">
        <v>230</v>
      </c>
      <c r="H1798" s="39">
        <v>253</v>
      </c>
      <c r="I1798" s="40">
        <f>=H1798*1.05</f>
        <v>265.65</v>
      </c>
      <c r="J1798" s="40">
        <f>=F1798*2</f>
        <v>455.4</v>
      </c>
      <c r="K1798" s="40">
        <f>=H1798*2</f>
        <v>506</v>
      </c>
      <c r="L1798" s="40">
        <f>=I1798*2</f>
        <v>531.3</v>
      </c>
      <c r="M1798" s="41" t="s">
        <v>1909</v>
      </c>
      <c r="N1798" s="41">
        <v>1.5</v>
      </c>
      <c r="O1798" s="41" t="s"/>
      <c r="P1798" s="41">
        <v>1</v>
      </c>
      <c r="Q1798" s="41">
        <v>1</v>
      </c>
      <c r="R1798" s="41" t="s">
        <v>16</v>
      </c>
      <c r="S1798" s="41" t="s">
        <v>17</v>
      </c>
      <c r="T1798" s="41" t="s">
        <v>171</v>
      </c>
      <c r="U1798" s="16" t="s">
        <v>13</v>
      </c>
      <c r="V1798" s="16" t="s">
        <v>19</v>
      </c>
      <c r="W1798" s="19" t="s"/>
      <c r="X1798" s="26" t="s">
        <f>=M1798&amp;N1798&amp;P1798&amp;Q1798&amp;T1798&amp;V1798&amp;S1798</f>
        <v>1951</v>
      </c>
      <c r="Y1798" s="19" t="s"/>
      <c r="Z1798" s="19" t="s"/>
      <c r="AA1798" s="19" t="s"/>
      <c r="AB1798" s="19" t="s"/>
    </row>
    <row r="1799" spans="1:28" ht="14.4">
      <c r="A1799" s="4">
        <f>=H1799/G1799-1</f>
        <v>0.098360655737705</v>
      </c>
      <c r="B1799" s="20">
        <f>=F1799/12</f>
        <v>10.05</v>
      </c>
      <c r="C1799" s="20">
        <f>=J1799/3</f>
        <v>80.4</v>
      </c>
      <c r="D1799" s="20">
        <f>=K1799/3</f>
        <v>89.3333333333333</v>
      </c>
      <c r="E1799" s="20">
        <f>=L1799/3</f>
        <v>93.8</v>
      </c>
      <c r="F1799" s="20">
        <f>=H1799*0.9</f>
        <v>120.6</v>
      </c>
      <c r="G1799" s="21">
        <v>122</v>
      </c>
      <c r="H1799" s="39">
        <v>134</v>
      </c>
      <c r="I1799" s="40">
        <f>=H1799*1.05</f>
        <v>140.7</v>
      </c>
      <c r="J1799" s="40">
        <f>=F1799*2</f>
        <v>241.2</v>
      </c>
      <c r="K1799" s="40">
        <f>=H1799*2</f>
        <v>268</v>
      </c>
      <c r="L1799" s="40">
        <f>=I1799*2</f>
        <v>281.4</v>
      </c>
      <c r="M1799" s="41" t="s">
        <v>1952</v>
      </c>
      <c r="N1799" s="41">
        <v>0.13</v>
      </c>
      <c r="O1799" s="41" t="s"/>
      <c r="P1799" s="41">
        <v>1</v>
      </c>
      <c r="Q1799" s="41">
        <v>1</v>
      </c>
      <c r="R1799" s="41" t="s">
        <v>16</v>
      </c>
      <c r="S1799" s="41" t="s">
        <v>17</v>
      </c>
      <c r="T1799" s="41" t="s">
        <v>23</v>
      </c>
      <c r="U1799" s="16" t="s">
        <v>13</v>
      </c>
      <c r="V1799" s="16" t="s">
        <v>19</v>
      </c>
      <c r="W1799" s="19" t="s"/>
      <c r="X1799" s="26" t="s">
        <f>=M1799&amp;N1799&amp;P1799&amp;Q1799&amp;T1799&amp;V1799&amp;S1799</f>
        <v>1953</v>
      </c>
      <c r="Y1799" s="19" t="s"/>
      <c r="Z1799" s="19" t="s"/>
      <c r="AA1799" s="19" t="s"/>
      <c r="AB1799" s="19" t="s"/>
    </row>
    <row r="1800" spans="1:28" ht="14.4">
      <c r="A1800" s="4">
        <f>=H1800/G1800-1</f>
        <v>0.1</v>
      </c>
      <c r="B1800" s="20">
        <f>=F1800/12</f>
        <v>21.45</v>
      </c>
      <c r="C1800" s="20">
        <f>=J1800/3</f>
        <v>171.6</v>
      </c>
      <c r="D1800" s="20">
        <f>=K1800/3</f>
        <v>190.666666666667</v>
      </c>
      <c r="E1800" s="20">
        <f>=L1800/3</f>
        <v>200.2</v>
      </c>
      <c r="F1800" s="20">
        <f>=H1800*0.9</f>
        <v>257.4</v>
      </c>
      <c r="G1800" s="21">
        <v>260</v>
      </c>
      <c r="H1800" s="39">
        <v>286</v>
      </c>
      <c r="I1800" s="40">
        <f>=H1800*1.05</f>
        <v>300.3</v>
      </c>
      <c r="J1800" s="40">
        <f>=F1800*2</f>
        <v>514.8</v>
      </c>
      <c r="K1800" s="40">
        <f>=H1800*2</f>
        <v>572</v>
      </c>
      <c r="L1800" s="40">
        <f>=I1800*2</f>
        <v>600.6</v>
      </c>
      <c r="M1800" s="41" t="s">
        <v>1952</v>
      </c>
      <c r="N1800" s="41">
        <v>0.13</v>
      </c>
      <c r="O1800" s="41" t="s"/>
      <c r="P1800" s="41">
        <v>2</v>
      </c>
      <c r="Q1800" s="41">
        <v>2</v>
      </c>
      <c r="R1800" s="41" t="s">
        <v>16</v>
      </c>
      <c r="S1800" s="41" t="s">
        <v>17</v>
      </c>
      <c r="T1800" s="41" t="s">
        <v>23</v>
      </c>
      <c r="U1800" s="16" t="s">
        <v>13</v>
      </c>
      <c r="V1800" s="16" t="s">
        <v>19</v>
      </c>
      <c r="W1800" s="19" t="s"/>
      <c r="X1800" s="26" t="s">
        <f>=M1800&amp;N1800&amp;P1800&amp;Q1800&amp;T1800&amp;V1800&amp;S1800</f>
        <v>1954</v>
      </c>
      <c r="Y1800" s="19" t="s"/>
      <c r="Z1800" s="19" t="s"/>
      <c r="AA1800" s="19" t="s"/>
      <c r="AB1800" s="19" t="s"/>
    </row>
    <row r="1801" spans="1:28" ht="14.4">
      <c r="A1801" s="4">
        <f>=H1801/G1801-1</f>
        <v>0.10236220472441</v>
      </c>
      <c r="B1801" s="20">
        <f>=F1801/12</f>
        <v>10.5</v>
      </c>
      <c r="C1801" s="20">
        <f>=J1801/3</f>
        <v>84</v>
      </c>
      <c r="D1801" s="20">
        <f>=K1801/3</f>
        <v>93.3333333333333</v>
      </c>
      <c r="E1801" s="20">
        <f>=L1801/3</f>
        <v>98</v>
      </c>
      <c r="F1801" s="20">
        <f>=H1801*0.9</f>
        <v>126</v>
      </c>
      <c r="G1801" s="21">
        <v>127</v>
      </c>
      <c r="H1801" s="39">
        <v>140</v>
      </c>
      <c r="I1801" s="40">
        <f>=H1801*1.05</f>
        <v>147</v>
      </c>
      <c r="J1801" s="40">
        <f>=F1801*2</f>
        <v>252</v>
      </c>
      <c r="K1801" s="40">
        <f>=H1801*2</f>
        <v>280</v>
      </c>
      <c r="L1801" s="40">
        <f>=I1801*2</f>
        <v>294</v>
      </c>
      <c r="M1801" s="41" t="s">
        <v>1952</v>
      </c>
      <c r="N1801" s="41">
        <v>0.2</v>
      </c>
      <c r="O1801" s="41" t="s"/>
      <c r="P1801" s="41">
        <v>1</v>
      </c>
      <c r="Q1801" s="41">
        <v>1</v>
      </c>
      <c r="R1801" s="41" t="s">
        <v>16</v>
      </c>
      <c r="S1801" s="41" t="s">
        <v>17</v>
      </c>
      <c r="T1801" s="41" t="s">
        <v>46</v>
      </c>
      <c r="U1801" s="16" t="s">
        <v>13</v>
      </c>
      <c r="V1801" s="16" t="s">
        <v>19</v>
      </c>
      <c r="W1801" s="19" t="s"/>
      <c r="X1801" s="26" t="s">
        <f>=M1801&amp;N1801&amp;P1801&amp;Q1801&amp;T1801&amp;V1801&amp;S1801</f>
        <v>1955</v>
      </c>
      <c r="Y1801" s="19" t="s"/>
      <c r="Z1801" s="19" t="s"/>
      <c r="AA1801" s="19" t="s"/>
      <c r="AB1801" s="19" t="s"/>
    </row>
    <row r="1802" spans="1:28" ht="14.4">
      <c r="A1802" s="4">
        <f>=H1802/G1802-1</f>
        <v>0.10077519379845</v>
      </c>
      <c r="B1802" s="20">
        <f>=F1802/12</f>
        <v>10.65</v>
      </c>
      <c r="C1802" s="20">
        <f>=J1802/3</f>
        <v>85.2</v>
      </c>
      <c r="D1802" s="20">
        <f>=K1802/3</f>
        <v>94.6666666666667</v>
      </c>
      <c r="E1802" s="20">
        <f>=L1802/3</f>
        <v>99.4</v>
      </c>
      <c r="F1802" s="20">
        <f>=H1802*0.9</f>
        <v>127.8</v>
      </c>
      <c r="G1802" s="21">
        <v>129</v>
      </c>
      <c r="H1802" s="39">
        <v>142</v>
      </c>
      <c r="I1802" s="40">
        <f>=H1802*1.05</f>
        <v>149.1</v>
      </c>
      <c r="J1802" s="40">
        <f>=F1802*2</f>
        <v>255.6</v>
      </c>
      <c r="K1802" s="40">
        <f>=H1802*2</f>
        <v>284</v>
      </c>
      <c r="L1802" s="40">
        <f>=I1802*2</f>
        <v>298.2</v>
      </c>
      <c r="M1802" s="41" t="s">
        <v>1952</v>
      </c>
      <c r="N1802" s="41">
        <v>0.2</v>
      </c>
      <c r="O1802" s="41" t="s"/>
      <c r="P1802" s="41">
        <v>1</v>
      </c>
      <c r="Q1802" s="41">
        <v>1</v>
      </c>
      <c r="R1802" s="41" t="s">
        <v>16</v>
      </c>
      <c r="S1802" s="41" t="s">
        <v>17</v>
      </c>
      <c r="T1802" s="41" t="s">
        <v>52</v>
      </c>
      <c r="U1802" s="16" t="s">
        <v>13</v>
      </c>
      <c r="V1802" s="16" t="s">
        <v>19</v>
      </c>
      <c r="W1802" s="19" t="s"/>
      <c r="X1802" s="26" t="s">
        <f>=M1802&amp;N1802&amp;P1802&amp;Q1802&amp;T1802&amp;V1802&amp;S1802</f>
        <v>1956</v>
      </c>
      <c r="Y1802" s="19" t="s"/>
      <c r="Z1802" s="19" t="s"/>
      <c r="AA1802" s="19" t="s"/>
      <c r="AB1802" s="19" t="s"/>
    </row>
    <row r="1803" spans="1:28" ht="14.4">
      <c r="A1803" s="4">
        <f>=H1803/G1803-1</f>
        <v>0.0977011494252873</v>
      </c>
      <c r="B1803" s="20">
        <f>=F1803/12</f>
        <v>14.325</v>
      </c>
      <c r="C1803" s="20">
        <f>=J1803/3</f>
        <v>114.6</v>
      </c>
      <c r="D1803" s="20">
        <f>=K1803/3</f>
        <v>127.333333333333</v>
      </c>
      <c r="E1803" s="20">
        <f>=L1803/3</f>
        <v>133.7</v>
      </c>
      <c r="F1803" s="20">
        <f>=H1803*0.9</f>
        <v>171.9</v>
      </c>
      <c r="G1803" s="21">
        <v>174</v>
      </c>
      <c r="H1803" s="39">
        <v>191</v>
      </c>
      <c r="I1803" s="40">
        <f>=H1803*1.05</f>
        <v>200.55</v>
      </c>
      <c r="J1803" s="40">
        <f>=F1803*2</f>
        <v>343.8</v>
      </c>
      <c r="K1803" s="40">
        <f>=H1803*2</f>
        <v>382</v>
      </c>
      <c r="L1803" s="40">
        <f>=I1803*2</f>
        <v>401.1</v>
      </c>
      <c r="M1803" s="41" t="s">
        <v>1952</v>
      </c>
      <c r="N1803" s="41">
        <v>0.2</v>
      </c>
      <c r="O1803" s="41" t="s"/>
      <c r="P1803" s="41">
        <v>1</v>
      </c>
      <c r="Q1803" s="41">
        <v>2</v>
      </c>
      <c r="R1803" s="41" t="s">
        <v>16</v>
      </c>
      <c r="S1803" s="41" t="s">
        <v>17</v>
      </c>
      <c r="T1803" s="41" t="s">
        <v>52</v>
      </c>
      <c r="U1803" s="16" t="s">
        <v>13</v>
      </c>
      <c r="V1803" s="16" t="s">
        <v>19</v>
      </c>
      <c r="W1803" s="19" t="s"/>
      <c r="X1803" s="26" t="s">
        <f>=M1803&amp;N1803&amp;P1803&amp;Q1803&amp;T1803&amp;V1803&amp;S1803</f>
        <v>1957</v>
      </c>
      <c r="Y1803" s="19" t="s"/>
      <c r="Z1803" s="19" t="s"/>
      <c r="AA1803" s="19" t="s"/>
      <c r="AB1803" s="19" t="s"/>
    </row>
    <row r="1804" spans="1:28" ht="14.4">
      <c r="A1804" s="4">
        <f>=H1804/G1804-1</f>
        <v>0.0991379310344827</v>
      </c>
      <c r="B1804" s="20">
        <f>=F1804/12</f>
        <v>19.125</v>
      </c>
      <c r="C1804" s="20">
        <f>=J1804/3</f>
        <v>153</v>
      </c>
      <c r="D1804" s="20">
        <f>=K1804/3</f>
        <v>170</v>
      </c>
      <c r="E1804" s="20">
        <f>=L1804/3</f>
        <v>178.5</v>
      </c>
      <c r="F1804" s="20">
        <f>=H1804*0.9</f>
        <v>229.5</v>
      </c>
      <c r="G1804" s="21">
        <v>232</v>
      </c>
      <c r="H1804" s="39">
        <v>255</v>
      </c>
      <c r="I1804" s="40">
        <f>=H1804*1.05</f>
        <v>267.75</v>
      </c>
      <c r="J1804" s="40">
        <f>=F1804*2</f>
        <v>459</v>
      </c>
      <c r="K1804" s="40">
        <f>=H1804*2</f>
        <v>510</v>
      </c>
      <c r="L1804" s="40">
        <f>=I1804*2</f>
        <v>535.5</v>
      </c>
      <c r="M1804" s="41" t="s">
        <v>1952</v>
      </c>
      <c r="N1804" s="41">
        <v>0.2</v>
      </c>
      <c r="O1804" s="41" t="s"/>
      <c r="P1804" s="41">
        <v>2</v>
      </c>
      <c r="Q1804" s="41">
        <v>2</v>
      </c>
      <c r="R1804" s="41" t="s">
        <v>16</v>
      </c>
      <c r="S1804" s="41" t="s">
        <v>17</v>
      </c>
      <c r="T1804" s="41" t="s">
        <v>52</v>
      </c>
      <c r="U1804" s="16" t="s">
        <v>13</v>
      </c>
      <c r="V1804" s="16" t="s">
        <v>19</v>
      </c>
      <c r="W1804" s="19" t="s"/>
      <c r="X1804" s="26" t="s">
        <f>=M1804&amp;N1804&amp;P1804&amp;Q1804&amp;T1804&amp;V1804&amp;S1804</f>
        <v>1958</v>
      </c>
      <c r="Y1804" s="19" t="s"/>
      <c r="Z1804" s="19" t="s"/>
      <c r="AA1804" s="19" t="s"/>
      <c r="AB1804" s="19" t="s"/>
    </row>
    <row r="1805" spans="1:28" ht="14.4">
      <c r="A1805" s="4">
        <f>=H1805/G1805-1</f>
        <v>0.101626016260163</v>
      </c>
      <c r="B1805" s="20">
        <f>=F1805/12</f>
        <v>20.325</v>
      </c>
      <c r="C1805" s="20">
        <f>=J1805/3</f>
        <v>162.6</v>
      </c>
      <c r="D1805" s="20">
        <f>=K1805/3</f>
        <v>180.666666666667</v>
      </c>
      <c r="E1805" s="20">
        <f>=L1805/3</f>
        <v>189.7</v>
      </c>
      <c r="F1805" s="20">
        <f>=H1805*0.9</f>
        <v>243.9</v>
      </c>
      <c r="G1805" s="21">
        <v>246</v>
      </c>
      <c r="H1805" s="39">
        <v>271</v>
      </c>
      <c r="I1805" s="40">
        <f>=H1805*1.05</f>
        <v>284.55</v>
      </c>
      <c r="J1805" s="40">
        <f>=F1805*2</f>
        <v>487.8</v>
      </c>
      <c r="K1805" s="40">
        <f>=H1805*2</f>
        <v>542</v>
      </c>
      <c r="L1805" s="40">
        <f>=I1805*2</f>
        <v>569.1</v>
      </c>
      <c r="M1805" s="41" t="s">
        <v>1952</v>
      </c>
      <c r="N1805" s="41">
        <v>0.25</v>
      </c>
      <c r="O1805" s="41" t="s"/>
      <c r="P1805" s="41">
        <v>2</v>
      </c>
      <c r="Q1805" s="41">
        <v>2</v>
      </c>
      <c r="R1805" s="41" t="s">
        <v>16</v>
      </c>
      <c r="S1805" s="41" t="s">
        <v>17</v>
      </c>
      <c r="T1805" s="41" t="s">
        <v>52</v>
      </c>
      <c r="U1805" s="16" t="s">
        <v>13</v>
      </c>
      <c r="V1805" s="16" t="s">
        <v>19</v>
      </c>
      <c r="W1805" s="19" t="s"/>
      <c r="X1805" s="26" t="s">
        <f>=M1805&amp;N1805&amp;P1805&amp;Q1805&amp;T1805&amp;V1805&amp;S1805</f>
        <v>1959</v>
      </c>
      <c r="Y1805" s="19" t="s"/>
      <c r="Z1805" s="19" t="s"/>
      <c r="AA1805" s="19" t="s"/>
      <c r="AB1805" s="19" t="s"/>
    </row>
    <row r="1806" spans="1:28" ht="14.4">
      <c r="A1806" s="4">
        <f>=H1806/G1806-1</f>
        <v>0</v>
      </c>
      <c r="B1806" s="20">
        <f>=F1806/12</f>
        <v>7.5</v>
      </c>
      <c r="C1806" s="20">
        <f>=J1806/3</f>
        <v>60</v>
      </c>
      <c r="D1806" s="20">
        <f>=K1806/3</f>
        <v>66.6666666666667</v>
      </c>
      <c r="E1806" s="20">
        <f>=L1806/3</f>
        <v>70</v>
      </c>
      <c r="F1806" s="20">
        <f>=H1806*0.9</f>
        <v>90</v>
      </c>
      <c r="G1806" s="21">
        <v>100</v>
      </c>
      <c r="H1806" s="39">
        <v>100</v>
      </c>
      <c r="I1806" s="40">
        <f>=H1806*1.05</f>
        <v>105</v>
      </c>
      <c r="J1806" s="40">
        <f>=F1806*2</f>
        <v>180</v>
      </c>
      <c r="K1806" s="40">
        <f>=H1806*2</f>
        <v>200</v>
      </c>
      <c r="L1806" s="40">
        <f>=I1806*2</f>
        <v>210</v>
      </c>
      <c r="M1806" s="133" t="s">
        <v>1960</v>
      </c>
      <c r="N1806" s="133">
        <v>0.101</v>
      </c>
      <c r="O1806" s="57" t="s"/>
      <c r="P1806" s="172" t="s">
        <v>21</v>
      </c>
      <c r="Q1806" s="172" t="s">
        <v>21</v>
      </c>
      <c r="R1806" s="41" t="s">
        <v>16</v>
      </c>
      <c r="S1806" s="41" t="s">
        <v>17</v>
      </c>
      <c r="T1806" s="133" t="s">
        <v>639</v>
      </c>
      <c r="U1806" s="16" t="s">
        <v>13</v>
      </c>
      <c r="V1806" s="16" t="s">
        <v>19</v>
      </c>
      <c r="W1806" s="54">
        <v>46154</v>
      </c>
      <c r="X1806" s="26" t="s">
        <f>=M1806&amp;N1806&amp;P1806&amp;Q1806&amp;T1806&amp;V1806&amp;S1806</f>
        <v>1961</v>
      </c>
      <c r="Y1806" s="19" t="s"/>
      <c r="Z1806" s="19" t="s"/>
      <c r="AA1806" s="19" t="s"/>
      <c r="AB1806" s="19" t="s"/>
    </row>
    <row r="1807" spans="1:28" ht="14.4">
      <c r="A1807" s="4">
        <f>=H1807/G1807-1</f>
        <v>0</v>
      </c>
      <c r="B1807" s="20">
        <f>=F1807/12</f>
        <v>20.25</v>
      </c>
      <c r="C1807" s="20">
        <f>=J1807/3</f>
        <v>162</v>
      </c>
      <c r="D1807" s="20">
        <f>=K1807/3</f>
        <v>180</v>
      </c>
      <c r="E1807" s="20">
        <f>=L1807/3</f>
        <v>189</v>
      </c>
      <c r="F1807" s="20">
        <f>=H1807*0.9</f>
        <v>243</v>
      </c>
      <c r="G1807" s="21">
        <v>270</v>
      </c>
      <c r="H1807" s="39">
        <v>270</v>
      </c>
      <c r="I1807" s="40">
        <f>=H1807*1.05</f>
        <v>283.5</v>
      </c>
      <c r="J1807" s="40">
        <f>=F1807*2</f>
        <v>486</v>
      </c>
      <c r="K1807" s="40">
        <f>=H1807*2</f>
        <v>540</v>
      </c>
      <c r="L1807" s="40">
        <f>=I1807*2</f>
        <v>567</v>
      </c>
      <c r="M1807" s="133" t="s">
        <v>1960</v>
      </c>
      <c r="N1807" s="133">
        <v>0.1</v>
      </c>
      <c r="O1807" s="57" t="s"/>
      <c r="P1807" s="172" t="s">
        <v>1797</v>
      </c>
      <c r="Q1807" s="172" t="s">
        <v>1797</v>
      </c>
      <c r="R1807" s="41" t="s">
        <v>16</v>
      </c>
      <c r="S1807" s="41" t="s">
        <v>17</v>
      </c>
      <c r="T1807" s="133" t="s">
        <v>639</v>
      </c>
      <c r="U1807" s="16" t="s">
        <v>13</v>
      </c>
      <c r="V1807" s="16" t="s">
        <v>19</v>
      </c>
      <c r="W1807" s="54">
        <v>46154</v>
      </c>
      <c r="X1807" s="26" t="s">
        <f>=M1807&amp;N1807&amp;P1807&amp;Q1807&amp;T1807&amp;V1807&amp;S1807</f>
        <v>1962</v>
      </c>
      <c r="Y1807" s="19" t="s"/>
      <c r="Z1807" s="19" t="s"/>
      <c r="AA1807" s="19" t="s"/>
      <c r="AB1807" s="19" t="s"/>
    </row>
    <row r="1808" spans="1:28" ht="14.4">
      <c r="A1808" s="4">
        <f>=H1808/G1808-1</f>
        <v>0.10377358490566</v>
      </c>
      <c r="B1808" s="20">
        <f>=F1808/12</f>
        <v>8.775</v>
      </c>
      <c r="C1808" s="20">
        <f>=J1808/3</f>
        <v>70.2</v>
      </c>
      <c r="D1808" s="20">
        <f>=K1808/3</f>
        <v>78</v>
      </c>
      <c r="E1808" s="20">
        <f>=L1808/3</f>
        <v>81.9</v>
      </c>
      <c r="F1808" s="20">
        <f>=H1808*0.9</f>
        <v>105.3</v>
      </c>
      <c r="G1808" s="21">
        <v>106</v>
      </c>
      <c r="H1808" s="39">
        <v>117</v>
      </c>
      <c r="I1808" s="40">
        <f>=H1808*1.05</f>
        <v>122.85</v>
      </c>
      <c r="J1808" s="40">
        <f>=F1808*2</f>
        <v>210.6</v>
      </c>
      <c r="K1808" s="40">
        <f>=H1808*2</f>
        <v>234</v>
      </c>
      <c r="L1808" s="40">
        <f>=I1808*2</f>
        <v>245.7</v>
      </c>
      <c r="M1808" s="133" t="s">
        <v>1960</v>
      </c>
      <c r="N1808" s="133">
        <v>0.2</v>
      </c>
      <c r="O1808" s="57" t="s"/>
      <c r="P1808" s="172" t="s">
        <v>1796</v>
      </c>
      <c r="Q1808" s="172" t="s">
        <v>1796</v>
      </c>
      <c r="R1808" s="41" t="s">
        <v>16</v>
      </c>
      <c r="S1808" s="41" t="s">
        <v>17</v>
      </c>
      <c r="T1808" s="133" t="s">
        <v>46</v>
      </c>
      <c r="U1808" s="16" t="s">
        <v>13</v>
      </c>
      <c r="V1808" s="16" t="s">
        <v>19</v>
      </c>
      <c r="W1808" s="19" t="s"/>
      <c r="X1808" s="26" t="s">
        <f>=M1808&amp;N1808&amp;P1808&amp;Q1808&amp;T1808&amp;V1808&amp;S1808</f>
        <v>1963</v>
      </c>
      <c r="Y1808" s="19" t="s"/>
      <c r="Z1808" s="19" t="s"/>
      <c r="AA1808" s="19" t="s"/>
      <c r="AB1808" s="19" t="s"/>
    </row>
    <row r="1809" spans="1:28" ht="14.4">
      <c r="A1809" s="4">
        <f>=H1809/G1809-1</f>
        <v>0.1</v>
      </c>
      <c r="B1809" s="20">
        <f>=F1809/12</f>
        <v>34.65</v>
      </c>
      <c r="C1809" s="20">
        <f>=J1809/3</f>
        <v>277.2</v>
      </c>
      <c r="D1809" s="20">
        <f>=K1809/3</f>
        <v>308</v>
      </c>
      <c r="E1809" s="20">
        <f>=L1809/3</f>
        <v>323.4</v>
      </c>
      <c r="F1809" s="20">
        <f>=H1809*0.9</f>
        <v>415.8</v>
      </c>
      <c r="G1809" s="21">
        <v>420</v>
      </c>
      <c r="H1809" s="39">
        <v>462</v>
      </c>
      <c r="I1809" s="40">
        <f>=H1809*1.05</f>
        <v>485.1</v>
      </c>
      <c r="J1809" s="40">
        <f>=F1809*2</f>
        <v>831.6</v>
      </c>
      <c r="K1809" s="40">
        <f>=H1809*2</f>
        <v>924</v>
      </c>
      <c r="L1809" s="40">
        <f>=I1809*2</f>
        <v>970.2</v>
      </c>
      <c r="M1809" s="41" t="s">
        <v>1964</v>
      </c>
      <c r="N1809" s="41">
        <v>0.762</v>
      </c>
      <c r="O1809" s="41" t="s"/>
      <c r="P1809" s="41">
        <v>1</v>
      </c>
      <c r="Q1809" s="41">
        <v>1</v>
      </c>
      <c r="R1809" s="41" t="s">
        <v>16</v>
      </c>
      <c r="S1809" s="41" t="s">
        <v>17</v>
      </c>
      <c r="T1809" s="41" t="s">
        <v>1965</v>
      </c>
      <c r="U1809" s="16" t="s">
        <v>13</v>
      </c>
      <c r="V1809" s="16" t="s">
        <v>1446</v>
      </c>
      <c r="W1809" s="19" t="s"/>
      <c r="X1809" s="26" t="s">
        <f>=M1809&amp;N1809&amp;P1809&amp;Q1809&amp;T1809&amp;V1809&amp;S1809</f>
        <v>1966</v>
      </c>
      <c r="Y1809" s="19" t="s"/>
      <c r="Z1809" s="19" t="s"/>
      <c r="AA1809" s="19" t="s"/>
      <c r="AB1809" s="19" t="s"/>
    </row>
    <row r="1810" spans="1:28" ht="14.4">
      <c r="A1810" s="4">
        <f>=H1810/G1810-1</f>
        <v>0.1</v>
      </c>
      <c r="B1810" s="20">
        <f>=F1810/12</f>
        <v>56.925</v>
      </c>
      <c r="C1810" s="20">
        <f>=J1810/3</f>
        <v>455.4</v>
      </c>
      <c r="D1810" s="20">
        <f>=K1810/3</f>
        <v>506</v>
      </c>
      <c r="E1810" s="20">
        <f>=L1810/3</f>
        <v>531.3</v>
      </c>
      <c r="F1810" s="20">
        <f>=H1810*0.9</f>
        <v>683.1</v>
      </c>
      <c r="G1810" s="21">
        <v>690</v>
      </c>
      <c r="H1810" s="39">
        <v>759</v>
      </c>
      <c r="I1810" s="40">
        <f>=H1810*1.05</f>
        <v>796.95</v>
      </c>
      <c r="J1810" s="40">
        <f>=F1810*2</f>
        <v>1366.2</v>
      </c>
      <c r="K1810" s="40">
        <f>=H1810*2</f>
        <v>1518</v>
      </c>
      <c r="L1810" s="40">
        <f>=I1810*2</f>
        <v>1593.9</v>
      </c>
      <c r="M1810" s="41" t="s">
        <v>1967</v>
      </c>
      <c r="N1810" s="41">
        <v>0.508</v>
      </c>
      <c r="O1810" s="41" t="s"/>
      <c r="P1810" s="41" t="s">
        <v>21</v>
      </c>
      <c r="Q1810" s="41" t="s">
        <v>21</v>
      </c>
      <c r="R1810" s="41" t="s">
        <v>16</v>
      </c>
      <c r="S1810" s="41" t="s">
        <v>17</v>
      </c>
      <c r="T1810" s="41" t="s">
        <v>1965</v>
      </c>
      <c r="U1810" s="16" t="s">
        <v>13</v>
      </c>
      <c r="V1810" s="16" t="s">
        <v>1446</v>
      </c>
      <c r="W1810" s="19" t="s"/>
      <c r="X1810" s="26" t="s">
        <f>=M1810&amp;N1810&amp;P1810&amp;Q1810&amp;T1810&amp;V1810&amp;S1810</f>
        <v>1968</v>
      </c>
      <c r="Y1810" s="19" t="s"/>
      <c r="Z1810" s="19" t="s"/>
      <c r="AA1810" s="19" t="s"/>
      <c r="AB1810" s="19" t="s"/>
    </row>
    <row r="1811" spans="1:28" ht="14.4">
      <c r="A1811" s="4">
        <f>=H1811/G1811-1</f>
        <v>0.100729927007299</v>
      </c>
      <c r="B1811" s="20">
        <f>=F1811/12</f>
        <v>56.55</v>
      </c>
      <c r="C1811" s="20">
        <f>=J1811/3</f>
        <v>452.4</v>
      </c>
      <c r="D1811" s="20">
        <f>=K1811/3</f>
        <v>502.666666666667</v>
      </c>
      <c r="E1811" s="20">
        <f>=L1811/3</f>
        <v>527.8</v>
      </c>
      <c r="F1811" s="20">
        <f>=H1811*0.9</f>
        <v>678.6</v>
      </c>
      <c r="G1811" s="21">
        <v>685</v>
      </c>
      <c r="H1811" s="39">
        <v>754</v>
      </c>
      <c r="I1811" s="40">
        <f>=H1811*1.05</f>
        <v>791.7</v>
      </c>
      <c r="J1811" s="40">
        <f>=F1811*2</f>
        <v>1357.2</v>
      </c>
      <c r="K1811" s="40">
        <f>=H1811*2</f>
        <v>1508</v>
      </c>
      <c r="L1811" s="40">
        <f>=I1811*2</f>
        <v>1583.4</v>
      </c>
      <c r="M1811" s="41" t="s">
        <v>1967</v>
      </c>
      <c r="N1811" s="41">
        <v>0.508</v>
      </c>
      <c r="O1811" s="41" t="s"/>
      <c r="P1811" s="41">
        <v>1</v>
      </c>
      <c r="Q1811" s="41">
        <v>1</v>
      </c>
      <c r="R1811" s="41" t="s">
        <v>16</v>
      </c>
      <c r="S1811" s="41" t="s">
        <v>17</v>
      </c>
      <c r="T1811" s="41" t="s">
        <v>1965</v>
      </c>
      <c r="U1811" s="16" t="s">
        <v>13</v>
      </c>
      <c r="V1811" s="16" t="s">
        <v>1446</v>
      </c>
      <c r="W1811" s="19" t="s"/>
      <c r="X1811" s="26" t="s">
        <f>=M1811&amp;N1811&amp;P1811&amp;Q1811&amp;T1811&amp;V1811&amp;S1811</f>
        <v>1969</v>
      </c>
      <c r="Y1811" s="19" t="s"/>
      <c r="Z1811" s="19" t="s"/>
      <c r="AA1811" s="19" t="s"/>
      <c r="AB1811" s="19" t="s"/>
    </row>
    <row r="1812" spans="1:28" ht="14.4">
      <c r="A1812" s="4">
        <f>=H1812/G1812-1</f>
        <v>0.100840336134454</v>
      </c>
      <c r="B1812" s="20">
        <f>=F1812/12</f>
        <v>29.475</v>
      </c>
      <c r="C1812" s="20">
        <f>=J1812/3</f>
        <v>235.8</v>
      </c>
      <c r="D1812" s="20">
        <f>=K1812/3</f>
        <v>262</v>
      </c>
      <c r="E1812" s="20">
        <f>=L1812/3</f>
        <v>275.1</v>
      </c>
      <c r="F1812" s="20">
        <f>=H1812*0.9</f>
        <v>353.7</v>
      </c>
      <c r="G1812" s="21">
        <v>357</v>
      </c>
      <c r="H1812" s="39">
        <v>393</v>
      </c>
      <c r="I1812" s="40">
        <f>=H1812*1.05</f>
        <v>412.65</v>
      </c>
      <c r="J1812" s="40">
        <f>=F1812*2</f>
        <v>707.4</v>
      </c>
      <c r="K1812" s="40">
        <f>=H1812*2</f>
        <v>786</v>
      </c>
      <c r="L1812" s="40">
        <f>=I1812*2</f>
        <v>825.3</v>
      </c>
      <c r="M1812" s="41" t="s">
        <v>1970</v>
      </c>
      <c r="N1812" s="41">
        <v>0.076</v>
      </c>
      <c r="O1812" s="41" t="s"/>
      <c r="P1812" s="41">
        <v>1</v>
      </c>
      <c r="Q1812" s="41" t="s">
        <v>21</v>
      </c>
      <c r="R1812" s="41" t="s">
        <v>16</v>
      </c>
      <c r="S1812" s="41" t="s">
        <v>17</v>
      </c>
      <c r="T1812" s="41" t="s">
        <v>1098</v>
      </c>
      <c r="U1812" s="16" t="s">
        <v>13</v>
      </c>
      <c r="V1812" s="16" t="s">
        <v>1693</v>
      </c>
      <c r="W1812" s="19" t="s"/>
      <c r="X1812" s="26" t="s">
        <f>=M1812&amp;N1812&amp;P1812&amp;Q1812&amp;T1812&amp;V1812&amp;S1812</f>
        <v>1971</v>
      </c>
      <c r="Y1812" s="19" t="s"/>
      <c r="Z1812" s="19" t="s"/>
      <c r="AA1812" s="19" t="s"/>
      <c r="AB1812" s="19" t="s"/>
    </row>
    <row r="1813" spans="1:28" ht="14.4">
      <c r="A1813" s="4">
        <f>=H1813/G1813-1</f>
        <v>0.1</v>
      </c>
      <c r="B1813" s="20">
        <f>=F1813/12</f>
        <v>29.7</v>
      </c>
      <c r="C1813" s="20">
        <f>=J1813/3</f>
        <v>237.6</v>
      </c>
      <c r="D1813" s="20">
        <f>=K1813/3</f>
        <v>264</v>
      </c>
      <c r="E1813" s="20">
        <f>=L1813/3</f>
        <v>277.2</v>
      </c>
      <c r="F1813" s="20">
        <f>=H1813*0.9</f>
        <v>356.4</v>
      </c>
      <c r="G1813" s="21">
        <v>360</v>
      </c>
      <c r="H1813" s="39">
        <v>396</v>
      </c>
      <c r="I1813" s="40">
        <f>=H1813*1.05</f>
        <v>415.8</v>
      </c>
      <c r="J1813" s="40">
        <f>=F1813*2</f>
        <v>712.8</v>
      </c>
      <c r="K1813" s="40">
        <f>=H1813*2</f>
        <v>792</v>
      </c>
      <c r="L1813" s="40">
        <f>=I1813*2</f>
        <v>831.6</v>
      </c>
      <c r="M1813" s="41" t="s">
        <v>1970</v>
      </c>
      <c r="N1813" s="41">
        <v>0.076</v>
      </c>
      <c r="O1813" s="41" t="s"/>
      <c r="P1813" s="41">
        <v>1</v>
      </c>
      <c r="Q1813" s="41">
        <v>1</v>
      </c>
      <c r="R1813" s="41" t="s">
        <v>16</v>
      </c>
      <c r="S1813" s="41" t="s">
        <v>17</v>
      </c>
      <c r="T1813" s="41" t="s">
        <v>1098</v>
      </c>
      <c r="U1813" s="16" t="s">
        <v>13</v>
      </c>
      <c r="V1813" s="16" t="s">
        <v>1693</v>
      </c>
      <c r="W1813" s="19" t="s"/>
      <c r="X1813" s="26" t="s">
        <f>=M1813&amp;N1813&amp;P1813&amp;Q1813&amp;T1813&amp;V1813&amp;S1813</f>
        <v>1972</v>
      </c>
      <c r="Y1813" s="19" t="s"/>
      <c r="Z1813" s="19" t="s"/>
      <c r="AA1813" s="19" t="s"/>
      <c r="AB1813" s="19" t="s"/>
    </row>
    <row r="1814" spans="1:28" ht="14.4">
      <c r="A1814" s="4">
        <f>=H1814/G1814-1</f>
        <v>0.100702576112412</v>
      </c>
      <c r="B1814" s="20">
        <f>=F1814/12</f>
        <v>35.25</v>
      </c>
      <c r="C1814" s="20">
        <f>=J1814/3</f>
        <v>282</v>
      </c>
      <c r="D1814" s="20">
        <f>=K1814/3</f>
        <v>313.333333333333</v>
      </c>
      <c r="E1814" s="20">
        <f>=L1814/3</f>
        <v>329</v>
      </c>
      <c r="F1814" s="20">
        <f>=H1814*0.9</f>
        <v>423</v>
      </c>
      <c r="G1814" s="21">
        <v>427</v>
      </c>
      <c r="H1814" s="39">
        <v>470</v>
      </c>
      <c r="I1814" s="40">
        <f>=H1814*1.05</f>
        <v>493.5</v>
      </c>
      <c r="J1814" s="40">
        <f>=F1814*2</f>
        <v>846</v>
      </c>
      <c r="K1814" s="40">
        <f>=H1814*2</f>
        <v>940</v>
      </c>
      <c r="L1814" s="40">
        <f>=I1814*2</f>
        <v>987</v>
      </c>
      <c r="M1814" s="41" t="s">
        <v>1970</v>
      </c>
      <c r="N1814" s="41">
        <v>0.076</v>
      </c>
      <c r="O1814" s="41" t="s"/>
      <c r="P1814" s="41">
        <v>1</v>
      </c>
      <c r="Q1814" s="41">
        <v>2</v>
      </c>
      <c r="R1814" s="41" t="s">
        <v>16</v>
      </c>
      <c r="S1814" s="41" t="s">
        <v>17</v>
      </c>
      <c r="T1814" s="41" t="s">
        <v>1098</v>
      </c>
      <c r="U1814" s="16" t="s">
        <v>13</v>
      </c>
      <c r="V1814" s="16" t="s">
        <v>215</v>
      </c>
      <c r="W1814" s="19" t="s"/>
      <c r="X1814" s="26" t="s">
        <f>=M1814&amp;N1814&amp;P1814&amp;Q1814&amp;T1814&amp;V1814&amp;S1814</f>
        <v>1973</v>
      </c>
      <c r="Y1814" s="19" t="s"/>
      <c r="Z1814" s="19" t="s"/>
      <c r="AA1814" s="19" t="s"/>
      <c r="AB1814" s="19" t="s"/>
    </row>
    <row r="1815" spans="1:28" ht="14.4">
      <c r="A1815" s="4">
        <f>=H1815/G1815-1</f>
        <v>0.101449275362319</v>
      </c>
      <c r="B1815" s="20">
        <f>=F1815/12</f>
        <v>28.5</v>
      </c>
      <c r="C1815" s="20">
        <f>=J1815/3</f>
        <v>228</v>
      </c>
      <c r="D1815" s="20">
        <f>=K1815/3</f>
        <v>253.333333333333</v>
      </c>
      <c r="E1815" s="20">
        <f>=L1815/3</f>
        <v>266</v>
      </c>
      <c r="F1815" s="20">
        <f>=H1815*0.9</f>
        <v>342</v>
      </c>
      <c r="G1815" s="21">
        <v>345</v>
      </c>
      <c r="H1815" s="39">
        <v>380</v>
      </c>
      <c r="I1815" s="40">
        <f>=H1815*1.05</f>
        <v>399</v>
      </c>
      <c r="J1815" s="40">
        <f>=F1815*2</f>
        <v>684</v>
      </c>
      <c r="K1815" s="40">
        <f>=H1815*2</f>
        <v>760</v>
      </c>
      <c r="L1815" s="40">
        <f>=I1815*2</f>
        <v>798</v>
      </c>
      <c r="M1815" s="41" t="s">
        <v>1970</v>
      </c>
      <c r="N1815" s="41">
        <v>0.076</v>
      </c>
      <c r="O1815" s="41" t="s"/>
      <c r="P1815" s="41" t="s">
        <v>21</v>
      </c>
      <c r="Q1815" s="41" t="s">
        <v>21</v>
      </c>
      <c r="R1815" s="41" t="s">
        <v>16</v>
      </c>
      <c r="S1815" s="41" t="s">
        <v>17</v>
      </c>
      <c r="T1815" s="41" t="s">
        <v>1098</v>
      </c>
      <c r="U1815" s="16" t="s">
        <v>13</v>
      </c>
      <c r="V1815" s="16" t="s">
        <v>1693</v>
      </c>
      <c r="W1815" s="19" t="s"/>
      <c r="X1815" s="26" t="s">
        <f>=M1815&amp;N1815&amp;P1815&amp;Q1815&amp;T1815&amp;V1815&amp;S1815</f>
        <v>1974</v>
      </c>
      <c r="Y1815" s="19" t="s"/>
      <c r="Z1815" s="19" t="s"/>
      <c r="AA1815" s="19" t="s"/>
      <c r="AB1815" s="19" t="s"/>
    </row>
    <row r="1816" spans="1:28" ht="14.4">
      <c r="A1816" s="4">
        <f>=H1816/G1816-1</f>
        <v>0.100755667506297</v>
      </c>
      <c r="B1816" s="20">
        <f>=F1816/12</f>
        <v>32.775</v>
      </c>
      <c r="C1816" s="20">
        <f>=J1816/3</f>
        <v>262.2</v>
      </c>
      <c r="D1816" s="20">
        <f>=K1816/3</f>
        <v>291.333333333333</v>
      </c>
      <c r="E1816" s="20">
        <f>=L1816/3</f>
        <v>305.9</v>
      </c>
      <c r="F1816" s="20">
        <f>=H1816*0.9</f>
        <v>393.3</v>
      </c>
      <c r="G1816" s="21">
        <v>397</v>
      </c>
      <c r="H1816" s="39">
        <v>437</v>
      </c>
      <c r="I1816" s="40">
        <f>=H1816*1.05</f>
        <v>458.85</v>
      </c>
      <c r="J1816" s="40">
        <f>=F1816*2</f>
        <v>786.6</v>
      </c>
      <c r="K1816" s="40">
        <f>=H1816*2</f>
        <v>874</v>
      </c>
      <c r="L1816" s="40">
        <f>=I1816*2</f>
        <v>917.7</v>
      </c>
      <c r="M1816" s="41" t="s">
        <v>1970</v>
      </c>
      <c r="N1816" s="41">
        <v>0.089</v>
      </c>
      <c r="O1816" s="41" t="s"/>
      <c r="P1816" s="41">
        <v>2</v>
      </c>
      <c r="Q1816" s="41">
        <v>2</v>
      </c>
      <c r="R1816" s="41" t="s">
        <v>16</v>
      </c>
      <c r="S1816" s="41" t="s">
        <v>17</v>
      </c>
      <c r="T1816" s="41" t="s">
        <v>1098</v>
      </c>
      <c r="U1816" s="16" t="s">
        <v>13</v>
      </c>
      <c r="V1816" s="16" t="s">
        <v>215</v>
      </c>
      <c r="W1816" s="19" t="s"/>
      <c r="X1816" s="26" t="s">
        <f>=M1816&amp;N1816&amp;P1816&amp;Q1816&amp;T1816&amp;V1816&amp;S1816</f>
        <v>1975</v>
      </c>
      <c r="Y1816" s="19" t="s"/>
      <c r="Z1816" s="19" t="s"/>
      <c r="AA1816" s="19" t="s"/>
      <c r="AB1816" s="19" t="s"/>
    </row>
    <row r="1817" spans="1:28" ht="14.4">
      <c r="A1817" s="4">
        <f>=H1817/G1817-1</f>
        <v>0.100569259962049</v>
      </c>
      <c r="B1817" s="20">
        <f>=F1817/12</f>
        <v>43.5</v>
      </c>
      <c r="C1817" s="20">
        <f>=J1817/3</f>
        <v>348</v>
      </c>
      <c r="D1817" s="20">
        <f>=K1817/3</f>
        <v>386.666666666667</v>
      </c>
      <c r="E1817" s="20">
        <f>=L1817/3</f>
        <v>406</v>
      </c>
      <c r="F1817" s="20">
        <f>=H1817*0.9</f>
        <v>522</v>
      </c>
      <c r="G1817" s="21">
        <v>527</v>
      </c>
      <c r="H1817" s="39">
        <v>580</v>
      </c>
      <c r="I1817" s="40">
        <f>=H1817*1.05</f>
        <v>609</v>
      </c>
      <c r="J1817" s="40">
        <f>=F1817*2</f>
        <v>1044</v>
      </c>
      <c r="K1817" s="40">
        <f>=H1817*2</f>
        <v>1160</v>
      </c>
      <c r="L1817" s="40">
        <f>=I1817*2</f>
        <v>1218</v>
      </c>
      <c r="M1817" s="41" t="s">
        <v>1970</v>
      </c>
      <c r="N1817" s="41">
        <v>0.102</v>
      </c>
      <c r="O1817" s="41" t="s"/>
      <c r="P1817" s="41">
        <v>2</v>
      </c>
      <c r="Q1817" s="41">
        <v>2</v>
      </c>
      <c r="R1817" s="41" t="s">
        <v>16</v>
      </c>
      <c r="S1817" s="41" t="s">
        <v>17</v>
      </c>
      <c r="T1817" s="41" t="s">
        <v>1078</v>
      </c>
      <c r="U1817" s="16" t="s">
        <v>13</v>
      </c>
      <c r="V1817" s="16" t="s">
        <v>215</v>
      </c>
      <c r="W1817" s="19" t="s"/>
      <c r="X1817" s="26" t="s">
        <f>=M1817&amp;N1817&amp;P1817&amp;Q1817&amp;T1817&amp;V1817&amp;S1817</f>
        <v>1976</v>
      </c>
      <c r="Y1817" s="19" t="s"/>
      <c r="Z1817" s="19" t="s"/>
      <c r="AA1817" s="19" t="s"/>
      <c r="AB1817" s="19" t="s"/>
    </row>
    <row r="1818" spans="1:28" ht="14.4">
      <c r="A1818" s="4">
        <f>=H1818/G1818-1</f>
        <v>0</v>
      </c>
      <c r="B1818" s="20">
        <f>=F1818/12</f>
        <v>35.925</v>
      </c>
      <c r="C1818" s="20">
        <f>=J1818/3</f>
        <v>287.4</v>
      </c>
      <c r="D1818" s="20">
        <f>=K1818/3</f>
        <v>319.333333333333</v>
      </c>
      <c r="E1818" s="20">
        <f>=L1818/3</f>
        <v>335.3</v>
      </c>
      <c r="F1818" s="20">
        <f>=H1818*0.9</f>
        <v>431.1</v>
      </c>
      <c r="G1818" s="21">
        <v>479</v>
      </c>
      <c r="H1818" s="39">
        <v>479</v>
      </c>
      <c r="I1818" s="40">
        <f>=H1818*1.05</f>
        <v>502.95</v>
      </c>
      <c r="J1818" s="40">
        <f>=F1818*2</f>
        <v>862.2</v>
      </c>
      <c r="K1818" s="40">
        <f>=H1818*2</f>
        <v>958</v>
      </c>
      <c r="L1818" s="40">
        <f>=I1818*2</f>
        <v>1005.9</v>
      </c>
      <c r="M1818" s="41" t="s">
        <v>1970</v>
      </c>
      <c r="N1818" s="41">
        <v>0.102</v>
      </c>
      <c r="O1818" s="41" t="s"/>
      <c r="P1818" s="41">
        <v>1</v>
      </c>
      <c r="Q1818" s="41">
        <v>2</v>
      </c>
      <c r="R1818" s="41" t="s">
        <v>16</v>
      </c>
      <c r="S1818" s="41" t="s">
        <v>17</v>
      </c>
      <c r="T1818" s="41" t="s">
        <v>1078</v>
      </c>
      <c r="U1818" s="16" t="s">
        <v>13</v>
      </c>
      <c r="V1818" s="16" t="s">
        <v>1977</v>
      </c>
      <c r="W1818" s="17" t="s">
        <v>352</v>
      </c>
      <c r="X1818" s="26" t="s">
        <f>=M1818&amp;N1818&amp;P1818&amp;Q1818&amp;T1818&amp;V1818&amp;S1818</f>
        <v>1978</v>
      </c>
      <c r="Y1818" s="19" t="s"/>
      <c r="Z1818" s="19" t="s"/>
      <c r="AA1818" s="19" t="s"/>
      <c r="AB1818" s="19" t="s"/>
    </row>
    <row r="1819" spans="1:28" ht="14.4">
      <c r="A1819" s="4">
        <f>=H1819/G1819-1</f>
        <v>0.0984848484848484</v>
      </c>
      <c r="B1819" s="20">
        <f>=F1819/12</f>
        <v>21.75</v>
      </c>
      <c r="C1819" s="20">
        <f>=J1819/3</f>
        <v>174</v>
      </c>
      <c r="D1819" s="20">
        <f>=K1819/3</f>
        <v>193.333333333333</v>
      </c>
      <c r="E1819" s="20">
        <f>=L1819/3</f>
        <v>203</v>
      </c>
      <c r="F1819" s="20">
        <f>=H1819*0.9</f>
        <v>261</v>
      </c>
      <c r="G1819" s="21">
        <v>264</v>
      </c>
      <c r="H1819" s="39">
        <v>290</v>
      </c>
      <c r="I1819" s="40">
        <f>=H1819*1.05</f>
        <v>304.5</v>
      </c>
      <c r="J1819" s="40">
        <f>=F1819*2</f>
        <v>522</v>
      </c>
      <c r="K1819" s="40">
        <f>=H1819*2</f>
        <v>580</v>
      </c>
      <c r="L1819" s="40">
        <f>=I1819*2</f>
        <v>609</v>
      </c>
      <c r="M1819" s="41" t="s">
        <v>1970</v>
      </c>
      <c r="N1819" s="41">
        <v>0.102</v>
      </c>
      <c r="O1819" s="41" t="s"/>
      <c r="P1819" s="41">
        <v>1</v>
      </c>
      <c r="Q1819" s="41" t="s">
        <v>21</v>
      </c>
      <c r="R1819" s="41" t="s">
        <v>16</v>
      </c>
      <c r="S1819" s="41" t="s">
        <v>17</v>
      </c>
      <c r="T1819" s="41" t="s">
        <v>1078</v>
      </c>
      <c r="U1819" s="16" t="s">
        <v>13</v>
      </c>
      <c r="V1819" s="16" t="s">
        <v>1446</v>
      </c>
      <c r="W1819" s="19" t="s"/>
      <c r="X1819" s="26" t="s">
        <f>=M1819&amp;N1819&amp;P1819&amp;Q1819&amp;T1819&amp;V1819&amp;S1819</f>
        <v>1979</v>
      </c>
      <c r="Y1819" s="19" t="s"/>
      <c r="Z1819" s="19" t="s"/>
      <c r="AA1819" s="19" t="s"/>
      <c r="AB1819" s="19" t="s"/>
    </row>
    <row r="1820" spans="1:28" ht="14.4">
      <c r="A1820" s="4">
        <f>=H1820/G1820-1</f>
        <v>0.0992647058823531</v>
      </c>
      <c r="B1820" s="20">
        <f>=F1820/12</f>
        <v>22.425</v>
      </c>
      <c r="C1820" s="20">
        <f>=J1820/3</f>
        <v>179.4</v>
      </c>
      <c r="D1820" s="20">
        <f>=K1820/3</f>
        <v>199.333333333333</v>
      </c>
      <c r="E1820" s="20">
        <f>=L1820/3</f>
        <v>209.3</v>
      </c>
      <c r="F1820" s="20">
        <f>=H1820*0.9</f>
        <v>269.1</v>
      </c>
      <c r="G1820" s="21">
        <v>272</v>
      </c>
      <c r="H1820" s="39">
        <v>299</v>
      </c>
      <c r="I1820" s="40">
        <f>=H1820*1.05</f>
        <v>313.95</v>
      </c>
      <c r="J1820" s="40">
        <f>=F1820*2</f>
        <v>538.2</v>
      </c>
      <c r="K1820" s="40">
        <f>=H1820*2</f>
        <v>598</v>
      </c>
      <c r="L1820" s="40">
        <f>=I1820*2</f>
        <v>627.9</v>
      </c>
      <c r="M1820" s="41" t="s">
        <v>1970</v>
      </c>
      <c r="N1820" s="41">
        <v>0.102</v>
      </c>
      <c r="O1820" s="41" t="s"/>
      <c r="P1820" s="41">
        <v>1</v>
      </c>
      <c r="Q1820" s="41">
        <v>1</v>
      </c>
      <c r="R1820" s="41" t="s">
        <v>16</v>
      </c>
      <c r="S1820" s="41" t="s">
        <v>17</v>
      </c>
      <c r="T1820" s="41" t="s">
        <v>1078</v>
      </c>
      <c r="U1820" s="16" t="s">
        <v>13</v>
      </c>
      <c r="V1820" s="16" t="s">
        <v>1446</v>
      </c>
      <c r="W1820" s="19" t="s"/>
      <c r="X1820" s="26" t="s">
        <f>=M1820&amp;N1820&amp;P1820&amp;Q1820&amp;T1820&amp;V1820&amp;S1820</f>
        <v>1980</v>
      </c>
      <c r="Y1820" s="19" t="s"/>
      <c r="Z1820" s="19" t="s"/>
      <c r="AA1820" s="19" t="s"/>
      <c r="AB1820" s="19" t="s"/>
    </row>
    <row r="1821" spans="1:28" ht="14.4">
      <c r="A1821" s="4">
        <f>=H1821/G1821-1</f>
        <v>0.0997229916897506</v>
      </c>
      <c r="B1821" s="20">
        <f>=F1821/12</f>
        <v>29.775</v>
      </c>
      <c r="C1821" s="20">
        <f>=J1821/3</f>
        <v>238.2</v>
      </c>
      <c r="D1821" s="20">
        <f>=K1821/3</f>
        <v>264.666666666667</v>
      </c>
      <c r="E1821" s="20">
        <f>=L1821/3</f>
        <v>277.9</v>
      </c>
      <c r="F1821" s="20">
        <f>=H1821*0.9</f>
        <v>357.3</v>
      </c>
      <c r="G1821" s="21">
        <v>361</v>
      </c>
      <c r="H1821" s="39">
        <v>397</v>
      </c>
      <c r="I1821" s="40">
        <f>=H1821*1.05</f>
        <v>416.85</v>
      </c>
      <c r="J1821" s="40">
        <f>=F1821*2</f>
        <v>714.6</v>
      </c>
      <c r="K1821" s="40">
        <f>=H1821*2</f>
        <v>794</v>
      </c>
      <c r="L1821" s="40">
        <f>=I1821*2</f>
        <v>833.7</v>
      </c>
      <c r="M1821" s="41" t="s">
        <v>1970</v>
      </c>
      <c r="N1821" s="41">
        <v>0.102</v>
      </c>
      <c r="O1821" s="41" t="s"/>
      <c r="P1821" s="41">
        <v>1</v>
      </c>
      <c r="Q1821" s="41">
        <v>1</v>
      </c>
      <c r="R1821" s="41" t="s">
        <v>16</v>
      </c>
      <c r="S1821" s="41" t="s">
        <v>17</v>
      </c>
      <c r="T1821" s="41" t="s">
        <v>1078</v>
      </c>
      <c r="U1821" s="16" t="s">
        <v>13</v>
      </c>
      <c r="V1821" s="16" t="s">
        <v>1693</v>
      </c>
      <c r="W1821" s="19" t="s"/>
      <c r="X1821" s="26" t="s">
        <f>=M1821&amp;N1821&amp;P1821&amp;Q1821&amp;T1821&amp;V1821&amp;S1821</f>
        <v>1981</v>
      </c>
      <c r="Y1821" s="19" t="s"/>
      <c r="Z1821" s="19" t="s"/>
      <c r="AA1821" s="19" t="s"/>
      <c r="AB1821" s="19" t="s"/>
    </row>
    <row r="1822" spans="1:28" ht="14.4">
      <c r="A1822" s="4">
        <f>=H1822/G1822-1</f>
        <v>0.1015625</v>
      </c>
      <c r="B1822" s="20">
        <f>=F1822/12</f>
        <v>21.15</v>
      </c>
      <c r="C1822" s="20">
        <f>=J1822/3</f>
        <v>169.2</v>
      </c>
      <c r="D1822" s="20">
        <f>=K1822/3</f>
        <v>188</v>
      </c>
      <c r="E1822" s="20">
        <f>=L1822/3</f>
        <v>197.4</v>
      </c>
      <c r="F1822" s="20">
        <f>=H1822*0.9</f>
        <v>253.8</v>
      </c>
      <c r="G1822" s="21">
        <v>256</v>
      </c>
      <c r="H1822" s="39">
        <v>282</v>
      </c>
      <c r="I1822" s="40">
        <f>=H1822*1.05</f>
        <v>296.1</v>
      </c>
      <c r="J1822" s="40">
        <f>=F1822*2</f>
        <v>507.6</v>
      </c>
      <c r="K1822" s="40">
        <f>=H1822*2</f>
        <v>564</v>
      </c>
      <c r="L1822" s="40">
        <f>=I1822*2</f>
        <v>592.2</v>
      </c>
      <c r="M1822" s="41" t="s">
        <v>1970</v>
      </c>
      <c r="N1822" s="41">
        <v>0.102</v>
      </c>
      <c r="O1822" s="41" t="s"/>
      <c r="P1822" s="41" t="s">
        <v>21</v>
      </c>
      <c r="Q1822" s="41" t="s">
        <v>21</v>
      </c>
      <c r="R1822" s="41" t="s">
        <v>16</v>
      </c>
      <c r="S1822" s="41" t="s">
        <v>17</v>
      </c>
      <c r="T1822" s="41" t="s">
        <v>1078</v>
      </c>
      <c r="U1822" s="16" t="s">
        <v>13</v>
      </c>
      <c r="V1822" s="16" t="s">
        <v>1446</v>
      </c>
      <c r="W1822" s="19" t="s"/>
      <c r="X1822" s="26" t="s">
        <f>=M1822&amp;N1822&amp;P1822&amp;Q1822&amp;T1822&amp;V1822&amp;S1822</f>
        <v>1982</v>
      </c>
      <c r="Y1822" s="19" t="s"/>
      <c r="Z1822" s="19" t="s"/>
      <c r="AA1822" s="19" t="s"/>
      <c r="AB1822" s="19" t="s"/>
    </row>
    <row r="1823" spans="1:28" ht="14.4">
      <c r="A1823" s="4">
        <f>=H1823/G1823-1</f>
        <v>0.1</v>
      </c>
      <c r="B1823" s="20">
        <f>=F1823/12</f>
        <v>21.45</v>
      </c>
      <c r="C1823" s="20">
        <f>=J1823/3</f>
        <v>171.6</v>
      </c>
      <c r="D1823" s="20">
        <f>=K1823/3</f>
        <v>190.666666666667</v>
      </c>
      <c r="E1823" s="20">
        <f>=L1823/3</f>
        <v>200.2</v>
      </c>
      <c r="F1823" s="20">
        <f>=H1823*0.9</f>
        <v>257.4</v>
      </c>
      <c r="G1823" s="21">
        <v>260</v>
      </c>
      <c r="H1823" s="39">
        <v>286</v>
      </c>
      <c r="I1823" s="40">
        <f>=H1823*1.05</f>
        <v>300.3</v>
      </c>
      <c r="J1823" s="40">
        <f>=F1823*2</f>
        <v>514.8</v>
      </c>
      <c r="K1823" s="40">
        <f>=H1823*2</f>
        <v>572</v>
      </c>
      <c r="L1823" s="40">
        <f>=I1823*2</f>
        <v>600.6</v>
      </c>
      <c r="M1823" s="41" t="s">
        <v>1970</v>
      </c>
      <c r="N1823" s="41">
        <v>0.102</v>
      </c>
      <c r="O1823" s="41" t="s"/>
      <c r="P1823" s="41" t="s">
        <v>21</v>
      </c>
      <c r="Q1823" s="41" t="s">
        <v>21</v>
      </c>
      <c r="R1823" s="41" t="s">
        <v>16</v>
      </c>
      <c r="S1823" s="41" t="s">
        <v>17</v>
      </c>
      <c r="T1823" s="41" t="s">
        <v>1078</v>
      </c>
      <c r="U1823" s="16" t="s">
        <v>13</v>
      </c>
      <c r="V1823" s="16" t="s">
        <v>1693</v>
      </c>
      <c r="W1823" s="19" t="s"/>
      <c r="X1823" s="34" t="s">
        <f>=M1823&amp;N1823&amp;P1823&amp;Q1823&amp;T1823&amp;V1823&amp;S1823</f>
        <v>1983</v>
      </c>
      <c r="Y1823" s="19" t="s"/>
      <c r="Z1823" s="19" t="s"/>
      <c r="AA1823" s="19" t="s"/>
      <c r="AB1823" s="19" t="s"/>
    </row>
    <row r="1824" spans="1:28" ht="14.4">
      <c r="A1824" s="4">
        <f>=H1824/G1824-1</f>
        <v>0.101818181818182</v>
      </c>
      <c r="B1824" s="20">
        <f>=F1824/12</f>
        <v>22.725</v>
      </c>
      <c r="C1824" s="20">
        <f>=J1824/3</f>
        <v>181.8</v>
      </c>
      <c r="D1824" s="20">
        <f>=K1824/3</f>
        <v>202</v>
      </c>
      <c r="E1824" s="20">
        <f>=L1824/3</f>
        <v>212.1</v>
      </c>
      <c r="F1824" s="20">
        <f>=H1824*0.9</f>
        <v>272.7</v>
      </c>
      <c r="G1824" s="21">
        <v>275</v>
      </c>
      <c r="H1824" s="119">
        <v>303</v>
      </c>
      <c r="I1824" s="120">
        <f>=H1824*1.05</f>
        <v>318.15</v>
      </c>
      <c r="J1824" s="120">
        <f>=F1824*2</f>
        <v>545.4</v>
      </c>
      <c r="K1824" s="120">
        <f>=H1824*2</f>
        <v>606</v>
      </c>
      <c r="L1824" s="120">
        <f>=I1824*2</f>
        <v>636.3</v>
      </c>
      <c r="M1824" s="121" t="s">
        <v>1970</v>
      </c>
      <c r="N1824" s="121">
        <v>0.127</v>
      </c>
      <c r="O1824" s="41" t="s"/>
      <c r="P1824" s="121">
        <v>1</v>
      </c>
      <c r="Q1824" s="121">
        <v>1</v>
      </c>
      <c r="R1824" s="121" t="s">
        <v>16</v>
      </c>
      <c r="S1824" s="121" t="s">
        <v>17</v>
      </c>
      <c r="T1824" s="121" t="s">
        <v>1080</v>
      </c>
      <c r="U1824" s="16" t="s">
        <v>13</v>
      </c>
      <c r="V1824" s="16" t="s">
        <v>1446</v>
      </c>
      <c r="W1824" s="19" t="s"/>
      <c r="X1824" s="26" t="s">
        <f>=M1824&amp;N1824&amp;P1824&amp;Q1824&amp;T1824&amp;V1824&amp;S1824</f>
        <v>1984</v>
      </c>
      <c r="Y1824" s="19" t="s"/>
      <c r="Z1824" s="19" t="s"/>
      <c r="AA1824" s="19" t="s"/>
      <c r="AB1824" s="19" t="s"/>
    </row>
    <row r="1825" spans="1:28" ht="14.4">
      <c r="A1825" s="4">
        <f>=H1825/G1825-1</f>
        <v>0.101818181818182</v>
      </c>
      <c r="B1825" s="20">
        <f>=F1825/12</f>
        <v>22.725</v>
      </c>
      <c r="C1825" s="20">
        <f>=J1825/3</f>
        <v>181.8</v>
      </c>
      <c r="D1825" s="20">
        <f>=K1825/3</f>
        <v>202</v>
      </c>
      <c r="E1825" s="20">
        <f>=L1825/3</f>
        <v>212.1</v>
      </c>
      <c r="F1825" s="20">
        <f>=H1825*0.9</f>
        <v>272.7</v>
      </c>
      <c r="G1825" s="21">
        <v>275</v>
      </c>
      <c r="H1825" s="119">
        <v>303</v>
      </c>
      <c r="I1825" s="120">
        <f>=H1825*1.05</f>
        <v>318.15</v>
      </c>
      <c r="J1825" s="120">
        <f>=F1825*2</f>
        <v>545.4</v>
      </c>
      <c r="K1825" s="120">
        <f>=H1825*2</f>
        <v>606</v>
      </c>
      <c r="L1825" s="120">
        <f>=I1825*2</f>
        <v>636.3</v>
      </c>
      <c r="M1825" s="121" t="s">
        <v>1970</v>
      </c>
      <c r="N1825" s="121">
        <v>0.127</v>
      </c>
      <c r="O1825" s="41" t="s"/>
      <c r="P1825" s="121">
        <v>1</v>
      </c>
      <c r="Q1825" s="121">
        <v>1</v>
      </c>
      <c r="R1825" s="121" t="s">
        <v>16</v>
      </c>
      <c r="S1825" s="121" t="s">
        <v>17</v>
      </c>
      <c r="T1825" s="121" t="s">
        <v>1080</v>
      </c>
      <c r="U1825" s="16" t="s">
        <v>13</v>
      </c>
      <c r="V1825" s="16" t="s">
        <v>1446</v>
      </c>
      <c r="W1825" s="19" t="s"/>
      <c r="X1825" s="26" t="s">
        <f>=M1825&amp;N1825&amp;P1825&amp;Q1825&amp;T1825&amp;V1825&amp;S1825</f>
        <v>1984</v>
      </c>
      <c r="Y1825" s="19" t="s"/>
      <c r="Z1825" s="19" t="s"/>
      <c r="AA1825" s="19" t="s"/>
      <c r="AB1825" s="19" t="s"/>
    </row>
    <row r="1826" spans="1:28" ht="14.4">
      <c r="A1826" s="4">
        <f>=H1826/G1826-1</f>
        <v>0.1</v>
      </c>
      <c r="B1826" s="20">
        <f>=F1826/12</f>
        <v>30.525</v>
      </c>
      <c r="C1826" s="20">
        <f>=J1826/3</f>
        <v>244.2</v>
      </c>
      <c r="D1826" s="20">
        <f>=K1826/3</f>
        <v>271.333333333333</v>
      </c>
      <c r="E1826" s="20">
        <f>=L1826/3</f>
        <v>284.9</v>
      </c>
      <c r="F1826" s="20">
        <f>=H1826*0.9</f>
        <v>366.3</v>
      </c>
      <c r="G1826" s="21">
        <v>370</v>
      </c>
      <c r="H1826" s="39">
        <v>407</v>
      </c>
      <c r="I1826" s="40">
        <f>=H1826*1.05</f>
        <v>427.35</v>
      </c>
      <c r="J1826" s="40">
        <f>=F1826*2</f>
        <v>732.6</v>
      </c>
      <c r="K1826" s="40">
        <f>=H1826*2</f>
        <v>814</v>
      </c>
      <c r="L1826" s="40">
        <f>=I1826*2</f>
        <v>854.7</v>
      </c>
      <c r="M1826" s="41" t="s">
        <v>1970</v>
      </c>
      <c r="N1826" s="41">
        <v>0.127</v>
      </c>
      <c r="O1826" s="41" t="s"/>
      <c r="P1826" s="41">
        <v>1</v>
      </c>
      <c r="Q1826" s="41">
        <v>1</v>
      </c>
      <c r="R1826" s="41" t="s">
        <v>16</v>
      </c>
      <c r="S1826" s="41" t="s">
        <v>17</v>
      </c>
      <c r="T1826" s="41" t="s">
        <v>1080</v>
      </c>
      <c r="U1826" s="16" t="s">
        <v>13</v>
      </c>
      <c r="V1826" s="16" t="s">
        <v>1693</v>
      </c>
      <c r="W1826" s="19" t="s"/>
      <c r="X1826" s="26" t="s">
        <f>=M1826&amp;N1826&amp;P1826&amp;Q1826&amp;T1826&amp;V1826&amp;S1826</f>
        <v>1985</v>
      </c>
      <c r="Y1826" s="19" t="s"/>
      <c r="Z1826" s="19" t="s"/>
      <c r="AA1826" s="19" t="s"/>
      <c r="AB1826" s="19" t="s"/>
    </row>
    <row r="1827" spans="1:28" ht="14.4">
      <c r="A1827" s="4">
        <f>=H1827/G1827-1</f>
        <v>0.10079575596817</v>
      </c>
      <c r="B1827" s="20">
        <f>=F1827/12</f>
        <v>31.125</v>
      </c>
      <c r="C1827" s="20">
        <f>=J1827/3</f>
        <v>249</v>
      </c>
      <c r="D1827" s="20">
        <f>=K1827/3</f>
        <v>276.666666666667</v>
      </c>
      <c r="E1827" s="20">
        <f>=L1827/3</f>
        <v>290.5</v>
      </c>
      <c r="F1827" s="20">
        <f>=H1827*0.9</f>
        <v>373.5</v>
      </c>
      <c r="G1827" s="21">
        <v>377</v>
      </c>
      <c r="H1827" s="39">
        <v>415</v>
      </c>
      <c r="I1827" s="40">
        <f>=H1827*1.05</f>
        <v>435.75</v>
      </c>
      <c r="J1827" s="40">
        <f>=F1827*2</f>
        <v>747</v>
      </c>
      <c r="K1827" s="40">
        <f>=H1827*2</f>
        <v>830</v>
      </c>
      <c r="L1827" s="40">
        <f>=I1827*2</f>
        <v>871.5</v>
      </c>
      <c r="M1827" s="41" t="s">
        <v>1970</v>
      </c>
      <c r="N1827" s="41">
        <v>0.127</v>
      </c>
      <c r="O1827" s="41" t="s"/>
      <c r="P1827" s="41">
        <v>1</v>
      </c>
      <c r="Q1827" s="41">
        <v>2</v>
      </c>
      <c r="R1827" s="41" t="s">
        <v>16</v>
      </c>
      <c r="S1827" s="41" t="s">
        <v>17</v>
      </c>
      <c r="T1827" s="41" t="s">
        <v>1080</v>
      </c>
      <c r="U1827" s="16" t="s">
        <v>13</v>
      </c>
      <c r="V1827" s="16" t="s">
        <v>1977</v>
      </c>
      <c r="W1827" s="19" t="s"/>
      <c r="X1827" s="26" t="s">
        <f>=M1827&amp;N1827&amp;P1827&amp;Q1827&amp;T1827&amp;V1827&amp;S1827</f>
        <v>1986</v>
      </c>
      <c r="Y1827" s="19" t="s"/>
      <c r="Z1827" s="19" t="s"/>
      <c r="AA1827" s="19" t="s"/>
      <c r="AB1827" s="19" t="s"/>
    </row>
    <row r="1828" spans="1:28" ht="14.4">
      <c r="A1828" s="4">
        <f>=H1828/G1828-1</f>
        <v>0.1</v>
      </c>
      <c r="B1828" s="20">
        <f>=F1828/12</f>
        <v>24.75</v>
      </c>
      <c r="C1828" s="20">
        <f>=J1828/3</f>
        <v>198</v>
      </c>
      <c r="D1828" s="20">
        <f>=K1828/3</f>
        <v>220</v>
      </c>
      <c r="E1828" s="20">
        <f>=L1828/3</f>
        <v>231</v>
      </c>
      <c r="F1828" s="20">
        <f>=H1828*0.9</f>
        <v>297</v>
      </c>
      <c r="G1828" s="21">
        <v>300</v>
      </c>
      <c r="H1828" s="39">
        <v>330</v>
      </c>
      <c r="I1828" s="40">
        <f>=H1828*1.05</f>
        <v>346.5</v>
      </c>
      <c r="J1828" s="40">
        <f>=F1828*2</f>
        <v>594</v>
      </c>
      <c r="K1828" s="40">
        <f>=H1828*2</f>
        <v>660</v>
      </c>
      <c r="L1828" s="40">
        <f>=I1828*2</f>
        <v>693</v>
      </c>
      <c r="M1828" s="41" t="s">
        <v>1970</v>
      </c>
      <c r="N1828" s="41">
        <v>0.127</v>
      </c>
      <c r="O1828" s="41" t="s"/>
      <c r="P1828" s="41">
        <v>2</v>
      </c>
      <c r="Q1828" s="41">
        <v>2</v>
      </c>
      <c r="R1828" s="41" t="s">
        <v>16</v>
      </c>
      <c r="S1828" s="41" t="s">
        <v>17</v>
      </c>
      <c r="T1828" s="41" t="s">
        <v>1080</v>
      </c>
      <c r="U1828" s="16" t="s">
        <v>13</v>
      </c>
      <c r="V1828" s="16" t="s">
        <v>215</v>
      </c>
      <c r="W1828" s="19" t="s"/>
      <c r="X1828" s="26" t="s">
        <f>=M1828&amp;N1828&amp;P1828&amp;Q1828&amp;T1828&amp;V1828&amp;S1828</f>
        <v>1987</v>
      </c>
      <c r="Y1828" s="19" t="s"/>
      <c r="Z1828" s="19" t="s"/>
      <c r="AA1828" s="19" t="s"/>
      <c r="AB1828" s="19" t="s"/>
    </row>
    <row r="1829" spans="1:28" ht="14.4">
      <c r="A1829" s="4">
        <f>=H1829/G1829-1</f>
        <v>0.101960784313726</v>
      </c>
      <c r="B1829" s="20">
        <f>=F1829/12</f>
        <v>21.075</v>
      </c>
      <c r="C1829" s="20">
        <f>=J1829/3</f>
        <v>168.6</v>
      </c>
      <c r="D1829" s="20">
        <f>=K1829/3</f>
        <v>187.333333333333</v>
      </c>
      <c r="E1829" s="20">
        <f>=L1829/3</f>
        <v>196.7</v>
      </c>
      <c r="F1829" s="20">
        <f>=H1829*0.9</f>
        <v>252.9</v>
      </c>
      <c r="G1829" s="21">
        <v>255</v>
      </c>
      <c r="H1829" s="39">
        <v>281</v>
      </c>
      <c r="I1829" s="40">
        <f>=H1829*1.05</f>
        <v>295.05</v>
      </c>
      <c r="J1829" s="40">
        <f>=F1829*2</f>
        <v>505.8</v>
      </c>
      <c r="K1829" s="40">
        <f>=H1829*2</f>
        <v>562</v>
      </c>
      <c r="L1829" s="40">
        <f>=I1829*2</f>
        <v>590.1</v>
      </c>
      <c r="M1829" s="41" t="s">
        <v>1970</v>
      </c>
      <c r="N1829" s="41">
        <v>0.127</v>
      </c>
      <c r="O1829" s="41" t="s"/>
      <c r="P1829" s="41" t="s">
        <v>21</v>
      </c>
      <c r="Q1829" s="41" t="s">
        <v>21</v>
      </c>
      <c r="R1829" s="41" t="s">
        <v>16</v>
      </c>
      <c r="S1829" s="41" t="s">
        <v>17</v>
      </c>
      <c r="T1829" s="41" t="s">
        <v>1080</v>
      </c>
      <c r="U1829" s="16" t="s">
        <v>13</v>
      </c>
      <c r="V1829" s="16" t="s">
        <v>1693</v>
      </c>
      <c r="W1829" s="19" t="s"/>
      <c r="X1829" s="26" t="s">
        <f>=M1829&amp;N1829&amp;P1829&amp;Q1829&amp;T1829&amp;V1829&amp;S1829</f>
        <v>1988</v>
      </c>
      <c r="Y1829" s="19" t="s"/>
      <c r="Z1829" s="19" t="s"/>
      <c r="AA1829" s="19" t="s"/>
      <c r="AB1829" s="19" t="s"/>
    </row>
    <row r="1830" spans="1:28" ht="14.4">
      <c r="A1830" s="4">
        <f>=H1830/G1830-1</f>
        <v>0.101190476190476</v>
      </c>
      <c r="B1830" s="20">
        <f>=F1830/12</f>
        <v>27.75</v>
      </c>
      <c r="C1830" s="20">
        <f>=J1830/3</f>
        <v>222</v>
      </c>
      <c r="D1830" s="20">
        <f>=K1830/3</f>
        <v>246.666666666667</v>
      </c>
      <c r="E1830" s="20">
        <f>=L1830/3</f>
        <v>259</v>
      </c>
      <c r="F1830" s="20">
        <f>=H1830*0.9</f>
        <v>333</v>
      </c>
      <c r="G1830" s="21">
        <v>336</v>
      </c>
      <c r="H1830" s="39">
        <v>370</v>
      </c>
      <c r="I1830" s="40">
        <f>=H1830*1.05</f>
        <v>388.5</v>
      </c>
      <c r="J1830" s="40">
        <f>=F1830*2</f>
        <v>666</v>
      </c>
      <c r="K1830" s="40">
        <f>=H1830*2</f>
        <v>740</v>
      </c>
      <c r="L1830" s="40">
        <f>=I1830*2</f>
        <v>777</v>
      </c>
      <c r="M1830" s="41" t="s">
        <v>1970</v>
      </c>
      <c r="N1830" s="41">
        <v>0.15</v>
      </c>
      <c r="O1830" s="41" t="s"/>
      <c r="P1830" s="41">
        <v>1</v>
      </c>
      <c r="Q1830" s="41">
        <v>1</v>
      </c>
      <c r="R1830" s="41" t="s">
        <v>16</v>
      </c>
      <c r="S1830" s="41" t="s">
        <v>17</v>
      </c>
      <c r="T1830" s="41" t="s">
        <v>1080</v>
      </c>
      <c r="U1830" s="16" t="s">
        <v>13</v>
      </c>
      <c r="V1830" s="16" t="s">
        <v>1446</v>
      </c>
      <c r="W1830" s="19" t="s"/>
      <c r="X1830" s="26" t="s">
        <f>=M1830&amp;N1830&amp;P1830&amp;Q1830&amp;T1830&amp;V1830&amp;S1830</f>
        <v>1989</v>
      </c>
      <c r="Y1830" s="19" t="s"/>
      <c r="Z1830" s="19" t="s"/>
      <c r="AA1830" s="19" t="s"/>
      <c r="AB1830" s="19" t="s"/>
    </row>
    <row r="1831" spans="1:28" ht="14.4">
      <c r="A1831" s="4">
        <f>=H1831/G1831-1</f>
        <v>0.1</v>
      </c>
      <c r="B1831" s="20">
        <f>=F1831/12</f>
        <v>25.575</v>
      </c>
      <c r="C1831" s="20">
        <f>=J1831/3</f>
        <v>204.6</v>
      </c>
      <c r="D1831" s="20">
        <f>=K1831/3</f>
        <v>227.333333333333</v>
      </c>
      <c r="E1831" s="20">
        <f>=L1831/3</f>
        <v>238.7</v>
      </c>
      <c r="F1831" s="20">
        <f>=H1831*0.9</f>
        <v>306.9</v>
      </c>
      <c r="G1831" s="21">
        <v>310</v>
      </c>
      <c r="H1831" s="39">
        <v>341</v>
      </c>
      <c r="I1831" s="40">
        <f>=H1831*1.05</f>
        <v>358.05</v>
      </c>
      <c r="J1831" s="40">
        <f>=F1831*2</f>
        <v>613.8</v>
      </c>
      <c r="K1831" s="40">
        <f>=H1831*2</f>
        <v>682</v>
      </c>
      <c r="L1831" s="40">
        <f>=I1831*2</f>
        <v>716.1</v>
      </c>
      <c r="M1831" s="41" t="s">
        <v>1970</v>
      </c>
      <c r="N1831" s="41">
        <v>0.152</v>
      </c>
      <c r="O1831" s="41" t="s"/>
      <c r="P1831" s="41" t="s">
        <v>21</v>
      </c>
      <c r="Q1831" s="41" t="s">
        <v>21</v>
      </c>
      <c r="R1831" s="41" t="s">
        <v>16</v>
      </c>
      <c r="S1831" s="41" t="s">
        <v>17</v>
      </c>
      <c r="T1831" s="41" t="s">
        <v>1080</v>
      </c>
      <c r="U1831" s="16" t="s">
        <v>13</v>
      </c>
      <c r="V1831" s="16" t="s">
        <v>1693</v>
      </c>
      <c r="W1831" s="19" t="s"/>
      <c r="X1831" s="26" t="s">
        <f>=M1831&amp;N1831&amp;P1831&amp;Q1831&amp;T1831&amp;V1831&amp;S1831</f>
        <v>1990</v>
      </c>
      <c r="Y1831" s="19" t="s"/>
      <c r="Z1831" s="19" t="s"/>
      <c r="AA1831" s="19" t="s"/>
      <c r="AB1831" s="19" t="s"/>
    </row>
    <row r="1832" spans="1:28" ht="14.4">
      <c r="A1832" s="42">
        <f>=H1832/G1832-1</f>
        <v>0.529032258064516</v>
      </c>
      <c r="B1832" s="43">
        <f>=F1832/12</f>
        <v>35.55</v>
      </c>
      <c r="C1832" s="43">
        <f>=J1832/3</f>
        <v>284.4</v>
      </c>
      <c r="D1832" s="43">
        <f>=K1832/3</f>
        <v>316</v>
      </c>
      <c r="E1832" s="43">
        <f>=L1832/3</f>
        <v>331.8</v>
      </c>
      <c r="F1832" s="43">
        <f>=H1832*0.9</f>
        <v>426.6</v>
      </c>
      <c r="G1832" s="27">
        <v>310</v>
      </c>
      <c r="H1832" s="44">
        <v>474</v>
      </c>
      <c r="I1832" s="45">
        <f>=H1832*1.05</f>
        <v>497.7</v>
      </c>
      <c r="J1832" s="45">
        <f>=F1832*2</f>
        <v>853.2</v>
      </c>
      <c r="K1832" s="45">
        <f>=H1832*2</f>
        <v>948</v>
      </c>
      <c r="L1832" s="45">
        <f>=I1832*2</f>
        <v>995.4</v>
      </c>
      <c r="M1832" s="46" t="s">
        <v>1970</v>
      </c>
      <c r="N1832" s="46">
        <v>0.152</v>
      </c>
      <c r="O1832" s="46" t="s"/>
      <c r="P1832" s="12">
        <v>1</v>
      </c>
      <c r="Q1832" s="12">
        <v>1</v>
      </c>
      <c r="R1832" s="46" t="s">
        <v>16</v>
      </c>
      <c r="S1832" s="46" t="s">
        <v>17</v>
      </c>
      <c r="T1832" s="46" t="s">
        <v>1080</v>
      </c>
      <c r="U1832" s="13" t="s">
        <v>13</v>
      </c>
      <c r="V1832" s="13" t="s">
        <v>1693</v>
      </c>
      <c r="W1832" s="15" t="s"/>
      <c r="X1832" s="18" t="s">
        <f>=M1832&amp;N1832&amp;P1832&amp;Q1832&amp;T1832&amp;V1832&amp;S1832</f>
        <v>1991</v>
      </c>
      <c r="Y1832" s="15" t="s"/>
      <c r="Z1832" s="15" t="s"/>
      <c r="AA1832" s="15" t="s"/>
      <c r="AB1832" s="15" t="s"/>
    </row>
    <row r="1833" spans="1:28" ht="14.4">
      <c r="A1833" s="4">
        <f>=H1833/G1833-1</f>
        <v>0.1002331002331</v>
      </c>
      <c r="B1833" s="20">
        <f>=F1833/12</f>
        <v>35.4</v>
      </c>
      <c r="C1833" s="20">
        <f>=J1833/3</f>
        <v>283.2</v>
      </c>
      <c r="D1833" s="20">
        <f>=K1833/3</f>
        <v>314.666666666667</v>
      </c>
      <c r="E1833" s="20">
        <f>=L1833/3</f>
        <v>330.4</v>
      </c>
      <c r="F1833" s="20">
        <f>=H1833*0.9</f>
        <v>424.8</v>
      </c>
      <c r="G1833" s="21">
        <v>429</v>
      </c>
      <c r="H1833" s="39">
        <v>472</v>
      </c>
      <c r="I1833" s="40">
        <f>=H1833*1.05</f>
        <v>495.6</v>
      </c>
      <c r="J1833" s="40">
        <f>=F1833*2</f>
        <v>849.6</v>
      </c>
      <c r="K1833" s="40">
        <f>=H1833*2</f>
        <v>944</v>
      </c>
      <c r="L1833" s="40">
        <f>=I1833*2</f>
        <v>991.2</v>
      </c>
      <c r="M1833" s="41" t="s">
        <v>1970</v>
      </c>
      <c r="N1833" s="41">
        <v>0.178</v>
      </c>
      <c r="O1833" s="41" t="s"/>
      <c r="P1833" s="41">
        <v>1</v>
      </c>
      <c r="Q1833" s="41">
        <v>1</v>
      </c>
      <c r="R1833" s="41" t="s">
        <v>16</v>
      </c>
      <c r="S1833" s="41" t="s">
        <v>17</v>
      </c>
      <c r="T1833" s="41" t="s">
        <v>1080</v>
      </c>
      <c r="U1833" s="16" t="s">
        <v>13</v>
      </c>
      <c r="V1833" s="16" t="s">
        <v>1693</v>
      </c>
      <c r="W1833" s="19" t="s"/>
      <c r="X1833" s="26" t="s">
        <f>=M1833&amp;N1833&amp;P1833&amp;Q1833&amp;T1833&amp;V1833&amp;S1833</f>
        <v>1992</v>
      </c>
      <c r="Y1833" s="19" t="s"/>
      <c r="Z1833" s="19" t="s"/>
      <c r="AA1833" s="19" t="s"/>
      <c r="AB1833" s="19" t="s"/>
    </row>
    <row r="1834" spans="1:28" ht="14.4">
      <c r="A1834" s="4">
        <f>=H1834/G1834-1</f>
        <v>0.0987261146496816</v>
      </c>
      <c r="B1834" s="20">
        <f>=F1834/12</f>
        <v>25.875</v>
      </c>
      <c r="C1834" s="20">
        <f>=J1834/3</f>
        <v>207</v>
      </c>
      <c r="D1834" s="20">
        <f>=K1834/3</f>
        <v>230</v>
      </c>
      <c r="E1834" s="20">
        <f>=L1834/3</f>
        <v>241.5</v>
      </c>
      <c r="F1834" s="20">
        <f>=H1834*0.9</f>
        <v>310.5</v>
      </c>
      <c r="G1834" s="21">
        <v>314</v>
      </c>
      <c r="H1834" s="39">
        <v>345</v>
      </c>
      <c r="I1834" s="40">
        <f>=H1834*1.05</f>
        <v>362.25</v>
      </c>
      <c r="J1834" s="40">
        <f>=F1834*2</f>
        <v>621</v>
      </c>
      <c r="K1834" s="40">
        <f>=H1834*2</f>
        <v>690</v>
      </c>
      <c r="L1834" s="40">
        <f>=I1834*2</f>
        <v>724.5</v>
      </c>
      <c r="M1834" s="41" t="s">
        <v>1970</v>
      </c>
      <c r="N1834" s="41">
        <v>0.178</v>
      </c>
      <c r="O1834" s="41" t="s"/>
      <c r="P1834" s="41">
        <v>2</v>
      </c>
      <c r="Q1834" s="41">
        <v>2</v>
      </c>
      <c r="R1834" s="41" t="s">
        <v>16</v>
      </c>
      <c r="S1834" s="41" t="s">
        <v>17</v>
      </c>
      <c r="T1834" s="41" t="s">
        <v>1080</v>
      </c>
      <c r="U1834" s="16" t="s">
        <v>13</v>
      </c>
      <c r="V1834" s="16" t="s">
        <v>215</v>
      </c>
      <c r="W1834" s="19" t="s"/>
      <c r="X1834" s="26" t="s">
        <f>=M1834&amp;N1834&amp;P1834&amp;Q1834&amp;T1834&amp;V1834&amp;S1834</f>
        <v>1993</v>
      </c>
      <c r="Y1834" s="19" t="s"/>
      <c r="Z1834" s="19" t="s"/>
      <c r="AA1834" s="19" t="s"/>
      <c r="AB1834" s="19" t="s"/>
    </row>
    <row r="1835" spans="1:28" ht="14.4">
      <c r="A1835" s="4">
        <f>=H1835/G1835-1</f>
        <v>0.1</v>
      </c>
      <c r="B1835" s="20">
        <f>=F1835/12</f>
        <v>33</v>
      </c>
      <c r="C1835" s="20">
        <f>=J1835/3</f>
        <v>264</v>
      </c>
      <c r="D1835" s="20">
        <f>=K1835/3</f>
        <v>293.333333333333</v>
      </c>
      <c r="E1835" s="20">
        <f>=L1835/3</f>
        <v>308</v>
      </c>
      <c r="F1835" s="20">
        <f>=H1835*0.9</f>
        <v>396</v>
      </c>
      <c r="G1835" s="21">
        <v>400</v>
      </c>
      <c r="H1835" s="39">
        <v>440</v>
      </c>
      <c r="I1835" s="40">
        <f>=H1835*1.05</f>
        <v>462</v>
      </c>
      <c r="J1835" s="40">
        <f>=F1835*2</f>
        <v>792</v>
      </c>
      <c r="K1835" s="40">
        <f>=H1835*2</f>
        <v>880</v>
      </c>
      <c r="L1835" s="40">
        <f>=I1835*2</f>
        <v>924</v>
      </c>
      <c r="M1835" s="41" t="s">
        <v>1970</v>
      </c>
      <c r="N1835" s="41">
        <v>0.178</v>
      </c>
      <c r="O1835" s="41" t="s"/>
      <c r="P1835" s="41" t="s">
        <v>21</v>
      </c>
      <c r="Q1835" s="41" t="s">
        <v>21</v>
      </c>
      <c r="R1835" s="41" t="s">
        <v>16</v>
      </c>
      <c r="S1835" s="41" t="s">
        <v>17</v>
      </c>
      <c r="T1835" s="41" t="s">
        <v>1080</v>
      </c>
      <c r="U1835" s="16" t="s">
        <v>13</v>
      </c>
      <c r="V1835" s="16" t="s">
        <v>1693</v>
      </c>
      <c r="W1835" s="19" t="s"/>
      <c r="X1835" s="26" t="s">
        <f>=M1835&amp;N1835&amp;P1835&amp;Q1835&amp;T1835&amp;V1835&amp;S1835</f>
        <v>1994</v>
      </c>
      <c r="Y1835" s="19" t="s"/>
      <c r="Z1835" s="19" t="s"/>
      <c r="AA1835" s="19" t="s"/>
      <c r="AB1835" s="19" t="s"/>
    </row>
    <row r="1836" spans="1:28" ht="14.4">
      <c r="A1836" s="4">
        <f>=H1836/G1836-1</f>
        <v>0.100502512562814</v>
      </c>
      <c r="B1836" s="20">
        <f>=F1836/12</f>
        <v>32.85</v>
      </c>
      <c r="C1836" s="20">
        <f>=J1836/3</f>
        <v>262.8</v>
      </c>
      <c r="D1836" s="20">
        <f>=K1836/3</f>
        <v>292</v>
      </c>
      <c r="E1836" s="20">
        <f>=L1836/3</f>
        <v>306.6</v>
      </c>
      <c r="F1836" s="20">
        <f>=H1836*0.9</f>
        <v>394.2</v>
      </c>
      <c r="G1836" s="21">
        <v>398</v>
      </c>
      <c r="H1836" s="39">
        <v>438</v>
      </c>
      <c r="I1836" s="40">
        <f>=H1836*1.05</f>
        <v>459.9</v>
      </c>
      <c r="J1836" s="40">
        <f>=F1836*2</f>
        <v>788.4</v>
      </c>
      <c r="K1836" s="40">
        <f>=H1836*2</f>
        <v>876</v>
      </c>
      <c r="L1836" s="40">
        <f>=I1836*2</f>
        <v>919.8</v>
      </c>
      <c r="M1836" s="41" t="s">
        <v>1970</v>
      </c>
      <c r="N1836" s="41">
        <v>0.18</v>
      </c>
      <c r="O1836" s="41" t="s"/>
      <c r="P1836" s="41">
        <v>1</v>
      </c>
      <c r="Q1836" s="41">
        <v>1</v>
      </c>
      <c r="R1836" s="41" t="s">
        <v>16</v>
      </c>
      <c r="S1836" s="41" t="s">
        <v>17</v>
      </c>
      <c r="T1836" s="41" t="s">
        <v>1080</v>
      </c>
      <c r="U1836" s="16" t="s">
        <v>13</v>
      </c>
      <c r="V1836" s="16" t="s">
        <v>1446</v>
      </c>
      <c r="W1836" s="19" t="s"/>
      <c r="X1836" s="26" t="s">
        <f>=M1836&amp;N1836&amp;P1836&amp;Q1836&amp;T1836&amp;V1836&amp;S1836</f>
        <v>1995</v>
      </c>
      <c r="Y1836" s="19" t="s"/>
      <c r="Z1836" s="19" t="s"/>
      <c r="AA1836" s="19" t="s"/>
      <c r="AB1836" s="19" t="s"/>
    </row>
    <row r="1837" spans="1:28" ht="14.4">
      <c r="A1837" s="4">
        <f>=H1837/G1837-1</f>
        <v>0.1</v>
      </c>
      <c r="B1837" s="20">
        <f>=F1837/12</f>
        <v>30.525</v>
      </c>
      <c r="C1837" s="20">
        <f>=J1837/3</f>
        <v>244.2</v>
      </c>
      <c r="D1837" s="20">
        <f>=K1837/3</f>
        <v>271.333333333333</v>
      </c>
      <c r="E1837" s="20">
        <f>=L1837/3</f>
        <v>284.9</v>
      </c>
      <c r="F1837" s="20">
        <f>=H1837*0.9</f>
        <v>366.3</v>
      </c>
      <c r="G1837" s="21">
        <v>370</v>
      </c>
      <c r="H1837" s="39">
        <v>407</v>
      </c>
      <c r="I1837" s="40">
        <f>=H1837*1.05</f>
        <v>427.35</v>
      </c>
      <c r="J1837" s="40">
        <f>=F1837*2</f>
        <v>732.6</v>
      </c>
      <c r="K1837" s="40">
        <f>=H1837*2</f>
        <v>814</v>
      </c>
      <c r="L1837" s="40">
        <f>=I1837*2</f>
        <v>854.7</v>
      </c>
      <c r="M1837" s="41" t="s">
        <v>1970</v>
      </c>
      <c r="N1837" s="41">
        <v>0.2</v>
      </c>
      <c r="O1837" s="41" t="s"/>
      <c r="P1837" s="41">
        <v>1</v>
      </c>
      <c r="Q1837" s="41" t="s">
        <v>21</v>
      </c>
      <c r="R1837" s="41" t="s">
        <v>16</v>
      </c>
      <c r="S1837" s="41" t="s">
        <v>17</v>
      </c>
      <c r="T1837" s="41" t="s">
        <v>689</v>
      </c>
      <c r="U1837" s="16" t="s">
        <v>13</v>
      </c>
      <c r="V1837" s="16" t="s">
        <v>1446</v>
      </c>
      <c r="W1837" s="19" t="s"/>
      <c r="X1837" s="26" t="s">
        <f>=M1837&amp;N1837&amp;P1837&amp;Q1837&amp;T1837&amp;V1837&amp;S1837</f>
        <v>1996</v>
      </c>
      <c r="Y1837" s="19" t="s"/>
      <c r="Z1837" s="19" t="s"/>
      <c r="AA1837" s="19" t="s"/>
      <c r="AB1837" s="19" t="s"/>
    </row>
    <row r="1838" spans="1:28" ht="14.4">
      <c r="A1838" s="4">
        <f>=H1838/G1838-1</f>
        <v>0.100719424460432</v>
      </c>
      <c r="B1838" s="20">
        <f>=F1838/12</f>
        <v>34.425</v>
      </c>
      <c r="C1838" s="20">
        <f>=J1838/3</f>
        <v>275.4</v>
      </c>
      <c r="D1838" s="20">
        <f>=K1838/3</f>
        <v>306</v>
      </c>
      <c r="E1838" s="20">
        <f>=L1838/3</f>
        <v>321.3</v>
      </c>
      <c r="F1838" s="20">
        <f>=H1838*0.9</f>
        <v>413.1</v>
      </c>
      <c r="G1838" s="21">
        <v>417</v>
      </c>
      <c r="H1838" s="39">
        <v>459</v>
      </c>
      <c r="I1838" s="40">
        <f>=H1838*1.05</f>
        <v>481.95</v>
      </c>
      <c r="J1838" s="40">
        <f>=F1838*2</f>
        <v>826.2</v>
      </c>
      <c r="K1838" s="40">
        <f>=H1838*2</f>
        <v>918</v>
      </c>
      <c r="L1838" s="40">
        <f>=I1838*2</f>
        <v>963.9</v>
      </c>
      <c r="M1838" s="41" t="s">
        <v>1970</v>
      </c>
      <c r="N1838" s="41">
        <v>0.2</v>
      </c>
      <c r="O1838" s="41" t="s"/>
      <c r="P1838" s="41">
        <v>1</v>
      </c>
      <c r="Q1838" s="41">
        <v>1</v>
      </c>
      <c r="R1838" s="41" t="s">
        <v>16</v>
      </c>
      <c r="S1838" s="41" t="s">
        <v>17</v>
      </c>
      <c r="T1838" s="41" t="s">
        <v>689</v>
      </c>
      <c r="U1838" s="16" t="s">
        <v>13</v>
      </c>
      <c r="V1838" s="16" t="s">
        <v>1446</v>
      </c>
      <c r="W1838" s="19" t="s"/>
      <c r="X1838" s="26" t="s">
        <f>=M1838&amp;N1838&amp;P1838&amp;Q1838&amp;T1838&amp;V1838&amp;S1838</f>
        <v>1997</v>
      </c>
      <c r="Y1838" s="19" t="s"/>
      <c r="Z1838" s="19" t="s"/>
      <c r="AA1838" s="19" t="s"/>
      <c r="AB1838" s="19" t="s"/>
    </row>
    <row r="1839" spans="1:28" ht="14.4">
      <c r="A1839" s="4">
        <f>=H1839/G1839-1</f>
        <v>0.100858369098712</v>
      </c>
      <c r="B1839" s="20">
        <f>=F1839/12</f>
        <v>38.475</v>
      </c>
      <c r="C1839" s="20">
        <f>=J1839/3</f>
        <v>307.8</v>
      </c>
      <c r="D1839" s="20">
        <f>=K1839/3</f>
        <v>342</v>
      </c>
      <c r="E1839" s="20">
        <f>=L1839/3</f>
        <v>359.1</v>
      </c>
      <c r="F1839" s="20">
        <f>=H1839*0.9</f>
        <v>461.7</v>
      </c>
      <c r="G1839" s="21">
        <v>466</v>
      </c>
      <c r="H1839" s="39">
        <v>513</v>
      </c>
      <c r="I1839" s="40">
        <f>=H1839*1.05</f>
        <v>538.65</v>
      </c>
      <c r="J1839" s="40">
        <f>=F1839*2</f>
        <v>923.4</v>
      </c>
      <c r="K1839" s="40">
        <f>=H1839*2</f>
        <v>1026</v>
      </c>
      <c r="L1839" s="40">
        <f>=I1839*2</f>
        <v>1077.3</v>
      </c>
      <c r="M1839" s="41" t="s">
        <v>1970</v>
      </c>
      <c r="N1839" s="41">
        <v>0.2</v>
      </c>
      <c r="O1839" s="41" t="s"/>
      <c r="P1839" s="41">
        <v>2</v>
      </c>
      <c r="Q1839" s="41">
        <v>1</v>
      </c>
      <c r="R1839" s="41" t="s">
        <v>16</v>
      </c>
      <c r="S1839" s="41" t="s">
        <v>17</v>
      </c>
      <c r="T1839" s="41" t="s">
        <v>689</v>
      </c>
      <c r="U1839" s="16" t="s">
        <v>13</v>
      </c>
      <c r="V1839" s="16" t="s">
        <v>1998</v>
      </c>
      <c r="W1839" s="19" t="s"/>
      <c r="X1839" s="26" t="s">
        <f>=M1839&amp;N1839&amp;P1839&amp;Q1839&amp;T1839&amp;V1839&amp;S1839</f>
        <v>1999</v>
      </c>
      <c r="Y1839" s="19" t="s"/>
      <c r="Z1839" s="19" t="s"/>
      <c r="AA1839" s="19" t="s"/>
      <c r="AB1839" s="19" t="s"/>
    </row>
    <row r="1840" spans="1:28" ht="14.4">
      <c r="A1840" s="4">
        <f>=H1840/G1840-1</f>
        <v>0.0993788819875776</v>
      </c>
      <c r="B1840" s="20">
        <f>=F1840/12</f>
        <v>26.55</v>
      </c>
      <c r="C1840" s="20">
        <f>=J1840/3</f>
        <v>212.4</v>
      </c>
      <c r="D1840" s="20">
        <f>=K1840/3</f>
        <v>236</v>
      </c>
      <c r="E1840" s="20">
        <f>=L1840/3</f>
        <v>247.8</v>
      </c>
      <c r="F1840" s="20">
        <f>=H1840*0.9</f>
        <v>318.6</v>
      </c>
      <c r="G1840" s="21">
        <v>322</v>
      </c>
      <c r="H1840" s="39">
        <v>354</v>
      </c>
      <c r="I1840" s="40">
        <f>=H1840*1.05</f>
        <v>371.7</v>
      </c>
      <c r="J1840" s="40">
        <f>=F1840*2</f>
        <v>637.2</v>
      </c>
      <c r="K1840" s="40">
        <f>=H1840*2</f>
        <v>708</v>
      </c>
      <c r="L1840" s="40">
        <f>=I1840*2</f>
        <v>743.4</v>
      </c>
      <c r="M1840" s="41" t="s">
        <v>1970</v>
      </c>
      <c r="N1840" s="41">
        <v>0.2</v>
      </c>
      <c r="O1840" s="41" t="s"/>
      <c r="P1840" s="41" t="s">
        <v>21</v>
      </c>
      <c r="Q1840" s="41" t="s">
        <v>21</v>
      </c>
      <c r="R1840" s="41" t="s">
        <v>16</v>
      </c>
      <c r="S1840" s="41" t="s">
        <v>17</v>
      </c>
      <c r="T1840" s="41" t="s">
        <v>689</v>
      </c>
      <c r="U1840" s="16" t="s">
        <v>13</v>
      </c>
      <c r="V1840" s="16" t="s">
        <v>1446</v>
      </c>
      <c r="W1840" s="19" t="s"/>
      <c r="X1840" s="26" t="s">
        <f>=M1840&amp;N1840&amp;P1840&amp;Q1840&amp;T1840&amp;V1840&amp;S1840</f>
        <v>2000</v>
      </c>
      <c r="Y1840" s="19" t="s"/>
      <c r="Z1840" s="19" t="s"/>
      <c r="AA1840" s="19" t="s"/>
      <c r="AB1840" s="19" t="s"/>
    </row>
    <row r="1841" spans="1:28" ht="14.4">
      <c r="A1841" s="4">
        <f>=H1841/G1841-1</f>
        <v>0.0993883792048931</v>
      </c>
      <c r="B1841" s="20">
        <f>=F1841/12</f>
        <v>53.925</v>
      </c>
      <c r="C1841" s="20">
        <f>=J1841/3</f>
        <v>431.4</v>
      </c>
      <c r="D1841" s="20">
        <f>=K1841/3</f>
        <v>479.333333333333</v>
      </c>
      <c r="E1841" s="20">
        <f>=L1841/3</f>
        <v>503.3</v>
      </c>
      <c r="F1841" s="20">
        <f>=H1841*0.9</f>
        <v>647.1</v>
      </c>
      <c r="G1841" s="21">
        <v>654</v>
      </c>
      <c r="H1841" s="39">
        <v>719</v>
      </c>
      <c r="I1841" s="40">
        <f>=H1841*1.05</f>
        <v>754.95</v>
      </c>
      <c r="J1841" s="40">
        <f>=F1841*2</f>
        <v>1294.2</v>
      </c>
      <c r="K1841" s="40">
        <f>=H1841*2</f>
        <v>1438</v>
      </c>
      <c r="L1841" s="40">
        <f>=I1841*2</f>
        <v>1509.9</v>
      </c>
      <c r="M1841" s="41" t="s">
        <v>1970</v>
      </c>
      <c r="N1841" s="41">
        <v>0.4</v>
      </c>
      <c r="O1841" s="41" t="s"/>
      <c r="P1841" s="41">
        <v>2</v>
      </c>
      <c r="Q1841" s="41">
        <v>1</v>
      </c>
      <c r="R1841" s="41" t="s">
        <v>16</v>
      </c>
      <c r="S1841" s="41" t="s">
        <v>17</v>
      </c>
      <c r="T1841" s="41" t="s">
        <v>1286</v>
      </c>
      <c r="U1841" s="16" t="s">
        <v>13</v>
      </c>
      <c r="V1841" s="16" t="s">
        <v>1998</v>
      </c>
      <c r="W1841" s="19" t="s"/>
      <c r="X1841" s="26" t="s">
        <f>=M1841&amp;N1841&amp;P1841&amp;Q1841&amp;T1841&amp;V1841&amp;S1841</f>
        <v>2001</v>
      </c>
      <c r="Y1841" s="19" t="s"/>
      <c r="Z1841" s="19" t="s"/>
      <c r="AA1841" s="19" t="s"/>
      <c r="AB1841" s="19" t="s"/>
    </row>
    <row r="1842" spans="1:28" ht="14.4">
      <c r="A1842" s="4">
        <f>=H1842/G1842-1</f>
        <v>0.1</v>
      </c>
      <c r="B1842" s="20">
        <f>=F1842/12</f>
        <v>58.575</v>
      </c>
      <c r="C1842" s="20">
        <f>=J1842/3</f>
        <v>468.6</v>
      </c>
      <c r="D1842" s="20">
        <f>=K1842/3</f>
        <v>520.666666666667</v>
      </c>
      <c r="E1842" s="20">
        <f>=L1842/3</f>
        <v>546.7</v>
      </c>
      <c r="F1842" s="20">
        <f>=H1842*0.9</f>
        <v>702.9</v>
      </c>
      <c r="G1842" s="21">
        <v>710</v>
      </c>
      <c r="H1842" s="39">
        <v>781</v>
      </c>
      <c r="I1842" s="40">
        <f>=H1842*1.05</f>
        <v>820.05</v>
      </c>
      <c r="J1842" s="40">
        <f>=F1842*2</f>
        <v>1405.8</v>
      </c>
      <c r="K1842" s="40">
        <f>=H1842*2</f>
        <v>1562</v>
      </c>
      <c r="L1842" s="40">
        <f>=I1842*2</f>
        <v>1640.1</v>
      </c>
      <c r="M1842" s="41" t="s">
        <v>1970</v>
      </c>
      <c r="N1842" s="41">
        <v>0.56</v>
      </c>
      <c r="O1842" s="41" t="s"/>
      <c r="P1842" s="41">
        <v>1</v>
      </c>
      <c r="Q1842" s="41">
        <v>1</v>
      </c>
      <c r="R1842" s="41" t="s">
        <v>16</v>
      </c>
      <c r="S1842" s="41" t="s">
        <v>17</v>
      </c>
      <c r="T1842" s="41" t="s">
        <v>387</v>
      </c>
      <c r="U1842" s="16" t="s">
        <v>13</v>
      </c>
      <c r="V1842" s="16" t="s">
        <v>1998</v>
      </c>
      <c r="W1842" s="19" t="s"/>
      <c r="X1842" s="26" t="s">
        <f>=M1842&amp;N1842&amp;P1842&amp;Q1842&amp;T1842&amp;V1842&amp;S1842</f>
        <v>2002</v>
      </c>
      <c r="Y1842" s="19" t="s"/>
      <c r="Z1842" s="19" t="s"/>
      <c r="AA1842" s="19" t="s"/>
      <c r="AB1842" s="19" t="s"/>
    </row>
    <row r="1843" spans="1:28" ht="13.5" customHeight="true">
      <c r="A1843" s="78">
        <f>=H1843/G1843-1</f>
        <v>0.101298701298701</v>
      </c>
      <c r="B1843" s="79">
        <f>=F1843/12</f>
        <v>31.8</v>
      </c>
      <c r="C1843" s="79">
        <f>=J1843/3</f>
        <v>254.4</v>
      </c>
      <c r="D1843" s="79">
        <f>=K1843/3</f>
        <v>282.666666666667</v>
      </c>
      <c r="E1843" s="79">
        <f>=L1843/3</f>
        <v>296.8</v>
      </c>
      <c r="F1843" s="79">
        <f>=H1843*0.9</f>
        <v>381.6</v>
      </c>
      <c r="G1843" s="80">
        <v>385</v>
      </c>
      <c r="H1843" s="81">
        <v>424</v>
      </c>
      <c r="I1843" s="82">
        <f>=H1843*1.05</f>
        <v>445.2</v>
      </c>
      <c r="J1843" s="82">
        <f>=F1843*2</f>
        <v>763.2</v>
      </c>
      <c r="K1843" s="82">
        <f>=H1843*2</f>
        <v>848</v>
      </c>
      <c r="L1843" s="82">
        <f>=I1843*2</f>
        <v>890.4</v>
      </c>
      <c r="M1843" s="83" t="s">
        <v>2003</v>
      </c>
      <c r="N1843" s="83">
        <v>0.127</v>
      </c>
      <c r="O1843" s="84" t="s"/>
      <c r="P1843" s="83">
        <v>1</v>
      </c>
      <c r="Q1843" s="83">
        <v>1</v>
      </c>
      <c r="R1843" s="83" t="s">
        <v>16</v>
      </c>
      <c r="S1843" s="83" t="s">
        <v>17</v>
      </c>
      <c r="T1843" s="83">
        <v>2116</v>
      </c>
      <c r="U1843" s="85" t="s">
        <v>13</v>
      </c>
      <c r="V1843" s="85" t="s">
        <v>1693</v>
      </c>
      <c r="W1843" s="86" t="s"/>
      <c r="X1843" s="18" t="s">
        <f>=M1843&amp;N1843&amp;P1843&amp;Q1843&amp;T1843&amp;V1843&amp;S1843</f>
        <v>2004</v>
      </c>
      <c r="Y1843" s="86" t="s"/>
      <c r="Z1843" s="86" t="s"/>
      <c r="AA1843" s="86" t="s"/>
      <c r="AB1843" s="86" t="s"/>
    </row>
    <row r="1844" spans="1:28" ht="14.4">
      <c r="A1844" s="51">
        <v>46164</v>
      </c>
      <c r="B1844" s="20">
        <f>=F1844/12</f>
        <v>31.5</v>
      </c>
      <c r="C1844" s="20">
        <f>=J1844/3</f>
        <v>252</v>
      </c>
      <c r="D1844" s="20">
        <f>=K1844/3</f>
        <v>280</v>
      </c>
      <c r="E1844" s="20">
        <f>=L1844/3</f>
        <v>294</v>
      </c>
      <c r="F1844" s="20">
        <f>=H1844*0.9</f>
        <v>378</v>
      </c>
      <c r="G1844" s="21">
        <v>385</v>
      </c>
      <c r="H1844" s="39">
        <v>420</v>
      </c>
      <c r="I1844" s="40">
        <f>=H1844*1.05</f>
        <v>441</v>
      </c>
      <c r="J1844" s="40">
        <f>=F1844*2</f>
        <v>756</v>
      </c>
      <c r="K1844" s="40">
        <f>=H1844*2</f>
        <v>840</v>
      </c>
      <c r="L1844" s="40">
        <f>=I1844*2</f>
        <v>882</v>
      </c>
      <c r="M1844" s="41" t="s">
        <v>2003</v>
      </c>
      <c r="N1844" s="41">
        <v>0.127</v>
      </c>
      <c r="O1844" s="41" t="s"/>
      <c r="P1844" s="41">
        <v>1</v>
      </c>
      <c r="Q1844" s="41">
        <v>1</v>
      </c>
      <c r="R1844" s="41" t="s">
        <v>16</v>
      </c>
      <c r="S1844" s="41" t="s">
        <v>17</v>
      </c>
      <c r="T1844" s="41" t="s">
        <v>1080</v>
      </c>
      <c r="U1844" s="16" t="s">
        <v>13</v>
      </c>
      <c r="V1844" s="16" t="s">
        <v>1693</v>
      </c>
      <c r="W1844" s="19" t="s"/>
      <c r="X1844" s="26" t="s">
        <f>=M1844&amp;N1844&amp;P1844&amp;Q1844&amp;T1844&amp;V1844&amp;S1844</f>
        <v>2005</v>
      </c>
      <c r="Y1844" s="19" t="s"/>
      <c r="Z1844" s="19" t="s"/>
      <c r="AA1844" s="19" t="s"/>
      <c r="AB1844" s="19" t="s"/>
    </row>
    <row r="1845" spans="1:28" ht="14.4">
      <c r="A1845" s="4">
        <f>=H1845/G1845-1</f>
        <v>0.1</v>
      </c>
      <c r="B1845" s="20">
        <f>=F1845/12</f>
        <v>37.95</v>
      </c>
      <c r="C1845" s="20">
        <f>=J1845/3</f>
        <v>303.6</v>
      </c>
      <c r="D1845" s="20">
        <f>=K1845/3</f>
        <v>337.333333333333</v>
      </c>
      <c r="E1845" s="20">
        <f>=L1845/3</f>
        <v>354.2</v>
      </c>
      <c r="F1845" s="20">
        <f>=H1845*0.9</f>
        <v>455.4</v>
      </c>
      <c r="G1845" s="21">
        <v>460</v>
      </c>
      <c r="H1845" s="39">
        <v>506</v>
      </c>
      <c r="I1845" s="40">
        <f>=H1845*1.05</f>
        <v>531.3</v>
      </c>
      <c r="J1845" s="40">
        <f>=F1845*2</f>
        <v>910.8</v>
      </c>
      <c r="K1845" s="40">
        <f>=H1845*2</f>
        <v>1012</v>
      </c>
      <c r="L1845" s="40">
        <f>=I1845*2</f>
        <v>1062.6</v>
      </c>
      <c r="M1845" s="41" t="s">
        <v>2003</v>
      </c>
      <c r="N1845" s="41">
        <v>0.127</v>
      </c>
      <c r="O1845" s="41" t="s"/>
      <c r="P1845" s="41">
        <v>2</v>
      </c>
      <c r="Q1845" s="41">
        <v>2</v>
      </c>
      <c r="R1845" s="41" t="s">
        <v>16</v>
      </c>
      <c r="S1845" s="41" t="s">
        <v>17</v>
      </c>
      <c r="T1845" s="41" t="s">
        <v>1080</v>
      </c>
      <c r="U1845" s="16" t="s">
        <v>13</v>
      </c>
      <c r="V1845" s="16" t="s">
        <v>215</v>
      </c>
      <c r="W1845" s="19" t="s"/>
      <c r="X1845" s="26" t="s">
        <f>=M1845&amp;N1845&amp;P1845&amp;Q1845&amp;T1845&amp;V1845&amp;S1845</f>
        <v>2006</v>
      </c>
      <c r="Y1845" s="19" t="s"/>
      <c r="Z1845" s="19" t="s"/>
      <c r="AA1845" s="19" t="s"/>
      <c r="AB1845" s="19" t="s"/>
    </row>
    <row r="1846" spans="1:28" ht="14.4">
      <c r="A1846" s="4">
        <f>=H1846/G1846-1</f>
        <v>0.1</v>
      </c>
      <c r="B1846" s="20">
        <f>=F1846/12</f>
        <v>33.825</v>
      </c>
      <c r="C1846" s="20">
        <f>=J1846/3</f>
        <v>270.6</v>
      </c>
      <c r="D1846" s="20">
        <f>=K1846/3</f>
        <v>300.666666666667</v>
      </c>
      <c r="E1846" s="20">
        <f>=L1846/3</f>
        <v>315.7</v>
      </c>
      <c r="F1846" s="20">
        <f>=H1846*0.9</f>
        <v>405.9</v>
      </c>
      <c r="G1846" s="21">
        <v>410</v>
      </c>
      <c r="H1846" s="39">
        <v>451</v>
      </c>
      <c r="I1846" s="40">
        <f>=H1846*1.05</f>
        <v>473.55</v>
      </c>
      <c r="J1846" s="40">
        <f>=F1846*2</f>
        <v>811.8</v>
      </c>
      <c r="K1846" s="40">
        <f>=H1846*2</f>
        <v>902</v>
      </c>
      <c r="L1846" s="40">
        <f>=I1846*2</f>
        <v>947.1</v>
      </c>
      <c r="M1846" s="41" t="s">
        <v>2007</v>
      </c>
      <c r="N1846" s="41">
        <v>0.089</v>
      </c>
      <c r="O1846" s="41" t="s"/>
      <c r="P1846" s="41">
        <v>1</v>
      </c>
      <c r="Q1846" s="41">
        <v>2</v>
      </c>
      <c r="R1846" s="41" t="s">
        <v>16</v>
      </c>
      <c r="S1846" s="41" t="s">
        <v>17</v>
      </c>
      <c r="T1846" s="41" t="s">
        <v>1080</v>
      </c>
      <c r="U1846" s="16" t="s">
        <v>13</v>
      </c>
      <c r="V1846" s="16" t="s">
        <v>2008</v>
      </c>
      <c r="W1846" s="19" t="s"/>
      <c r="X1846" s="26" t="s">
        <f>=M1846&amp;N1846&amp;P1846&amp;Q1846&amp;T1846&amp;V1846&amp;S1846</f>
        <v>2009</v>
      </c>
      <c r="Y1846" s="19" t="s"/>
      <c r="Z1846" s="19" t="s"/>
      <c r="AA1846" s="19" t="s"/>
      <c r="AB1846" s="19" t="s"/>
    </row>
    <row r="1847" spans="1:28" ht="14.4">
      <c r="A1847" s="4">
        <f>=H1847/G1847-1</f>
        <v>0.1</v>
      </c>
      <c r="B1847" s="20">
        <f>=F1847/12</f>
        <v>42.9</v>
      </c>
      <c r="C1847" s="20">
        <f>=J1847/3</f>
        <v>343.2</v>
      </c>
      <c r="D1847" s="20">
        <f>=K1847/3</f>
        <v>381.333333333333</v>
      </c>
      <c r="E1847" s="20">
        <f>=L1847/3</f>
        <v>400.4</v>
      </c>
      <c r="F1847" s="20">
        <f>=H1847*0.9</f>
        <v>514.8</v>
      </c>
      <c r="G1847" s="21">
        <v>520</v>
      </c>
      <c r="H1847" s="119">
        <v>572</v>
      </c>
      <c r="I1847" s="120">
        <f>=H1847*1.05</f>
        <v>600.6</v>
      </c>
      <c r="J1847" s="120">
        <f>=F1847*2</f>
        <v>1029.6</v>
      </c>
      <c r="K1847" s="120">
        <f>=H1847*2</f>
        <v>1144</v>
      </c>
      <c r="L1847" s="120">
        <f>=I1847*2</f>
        <v>1201.2</v>
      </c>
      <c r="M1847" s="121" t="s">
        <v>2007</v>
      </c>
      <c r="N1847" s="121">
        <v>0.089</v>
      </c>
      <c r="O1847" s="41" t="s"/>
      <c r="P1847" s="121">
        <v>2</v>
      </c>
      <c r="Q1847" s="121">
        <v>2</v>
      </c>
      <c r="R1847" s="121" t="s">
        <v>16</v>
      </c>
      <c r="S1847" s="121" t="s">
        <v>17</v>
      </c>
      <c r="T1847" s="121" t="s">
        <v>1080</v>
      </c>
      <c r="U1847" s="16" t="s">
        <v>13</v>
      </c>
      <c r="V1847" s="16" t="s">
        <v>215</v>
      </c>
      <c r="W1847" s="19" t="s"/>
      <c r="X1847" s="26" t="s">
        <f>=M1847&amp;N1847&amp;P1847&amp;Q1847&amp;T1847&amp;V1847&amp;S1847</f>
        <v>2010</v>
      </c>
      <c r="Y1847" s="19" t="s"/>
      <c r="Z1847" s="19" t="s"/>
      <c r="AA1847" s="19" t="s"/>
      <c r="AB1847" s="19" t="s"/>
    </row>
    <row r="1848" spans="1:28" ht="14.4">
      <c r="A1848" s="4">
        <f>=H1848/G1848-1</f>
        <v>0.100200400801603</v>
      </c>
      <c r="B1848" s="20">
        <f>=F1848/12</f>
        <v>41.175</v>
      </c>
      <c r="C1848" s="20">
        <f>=J1848/3</f>
        <v>329.4</v>
      </c>
      <c r="D1848" s="20">
        <f>=K1848/3</f>
        <v>366</v>
      </c>
      <c r="E1848" s="20">
        <f>=L1848/3</f>
        <v>384.3</v>
      </c>
      <c r="F1848" s="20">
        <f>=H1848*0.9</f>
        <v>494.1</v>
      </c>
      <c r="G1848" s="21">
        <v>499</v>
      </c>
      <c r="H1848" s="39">
        <v>549</v>
      </c>
      <c r="I1848" s="40">
        <f>=H1848*1.05</f>
        <v>576.45</v>
      </c>
      <c r="J1848" s="40">
        <f>=F1848*2</f>
        <v>988.2</v>
      </c>
      <c r="K1848" s="40">
        <f>=H1848*2</f>
        <v>1098</v>
      </c>
      <c r="L1848" s="40">
        <f>=I1848*2</f>
        <v>1152.9</v>
      </c>
      <c r="M1848" s="41" t="s">
        <v>2007</v>
      </c>
      <c r="N1848" s="41">
        <v>0.114</v>
      </c>
      <c r="O1848" s="41" t="s"/>
      <c r="P1848" s="41">
        <v>1</v>
      </c>
      <c r="Q1848" s="41">
        <v>2</v>
      </c>
      <c r="R1848" s="41" t="s">
        <v>16</v>
      </c>
      <c r="S1848" s="41" t="s">
        <v>17</v>
      </c>
      <c r="T1848" s="41" t="s">
        <v>1078</v>
      </c>
      <c r="U1848" s="16" t="s">
        <v>13</v>
      </c>
      <c r="V1848" s="16" t="s">
        <v>1474</v>
      </c>
      <c r="W1848" s="19" t="s"/>
      <c r="X1848" s="26" t="s">
        <f>=M1848&amp;N1848&amp;P1848&amp;Q1848&amp;T1848&amp;V1848&amp;S1848</f>
        <v>2011</v>
      </c>
      <c r="Y1848" s="19" t="s"/>
      <c r="Z1848" s="19" t="s"/>
      <c r="AA1848" s="19" t="s"/>
      <c r="AB1848" s="19" t="s"/>
    </row>
    <row r="1849" spans="1:28" ht="14.4">
      <c r="A1849" s="4">
        <f>=H1849/G1849-1</f>
        <v>0.0993031358885017</v>
      </c>
      <c r="B1849" s="20">
        <f>=F1849/12</f>
        <v>47.325</v>
      </c>
      <c r="C1849" s="20">
        <f>=J1849/3</f>
        <v>378.6</v>
      </c>
      <c r="D1849" s="20">
        <f>=K1849/3</f>
        <v>420.666666666667</v>
      </c>
      <c r="E1849" s="20">
        <f>=L1849/3</f>
        <v>441.7</v>
      </c>
      <c r="F1849" s="20">
        <f>=H1849*0.9</f>
        <v>567.9</v>
      </c>
      <c r="G1849" s="21">
        <v>574</v>
      </c>
      <c r="H1849" s="39">
        <v>631</v>
      </c>
      <c r="I1849" s="40">
        <f>=H1849*1.05</f>
        <v>662.55</v>
      </c>
      <c r="J1849" s="40">
        <f>=F1849*2</f>
        <v>1135.8</v>
      </c>
      <c r="K1849" s="40">
        <f>=H1849*2</f>
        <v>1262</v>
      </c>
      <c r="L1849" s="40">
        <f>=I1849*2</f>
        <v>1325.1</v>
      </c>
      <c r="M1849" s="41" t="s">
        <v>2007</v>
      </c>
      <c r="N1849" s="41">
        <v>0.114</v>
      </c>
      <c r="O1849" s="41" t="s"/>
      <c r="P1849" s="41">
        <v>2</v>
      </c>
      <c r="Q1849" s="41">
        <v>2</v>
      </c>
      <c r="R1849" s="41" t="s">
        <v>16</v>
      </c>
      <c r="S1849" s="41" t="s">
        <v>17</v>
      </c>
      <c r="T1849" s="41" t="s">
        <v>1078</v>
      </c>
      <c r="U1849" s="16" t="s">
        <v>13</v>
      </c>
      <c r="V1849" s="16" t="s">
        <v>215</v>
      </c>
      <c r="W1849" s="19" t="s"/>
      <c r="X1849" s="26" t="s">
        <f>=M1849&amp;N1849&amp;P1849&amp;Q1849&amp;T1849&amp;V1849&amp;S1849</f>
        <v>2012</v>
      </c>
      <c r="Y1849" s="19" t="s"/>
      <c r="Z1849" s="19" t="s"/>
      <c r="AA1849" s="19" t="s"/>
      <c r="AB1849" s="19" t="s"/>
    </row>
    <row r="1850" spans="1:28" ht="14.4">
      <c r="A1850" s="4">
        <f>=H1850/G1850-1</f>
        <v>0.1</v>
      </c>
      <c r="B1850" s="20">
        <f>=F1850/12</f>
        <v>29.7</v>
      </c>
      <c r="C1850" s="20">
        <f>=J1850/3</f>
        <v>237.6</v>
      </c>
      <c r="D1850" s="20">
        <f>=K1850/3</f>
        <v>264</v>
      </c>
      <c r="E1850" s="20">
        <f>=L1850/3</f>
        <v>277.2</v>
      </c>
      <c r="F1850" s="20">
        <f>=H1850*0.9</f>
        <v>356.4</v>
      </c>
      <c r="G1850" s="21">
        <v>360</v>
      </c>
      <c r="H1850" s="39">
        <v>396</v>
      </c>
      <c r="I1850" s="40">
        <f>=H1850*1.05</f>
        <v>415.8</v>
      </c>
      <c r="J1850" s="40">
        <f>=F1850*2</f>
        <v>712.8</v>
      </c>
      <c r="K1850" s="40">
        <f>=H1850*2</f>
        <v>792</v>
      </c>
      <c r="L1850" s="40">
        <f>=I1850*2</f>
        <v>831.6</v>
      </c>
      <c r="M1850" s="41" t="s">
        <v>2007</v>
      </c>
      <c r="N1850" s="41">
        <v>0.1</v>
      </c>
      <c r="O1850" s="41" t="s"/>
      <c r="P1850" s="41">
        <v>1</v>
      </c>
      <c r="Q1850" s="41">
        <v>1</v>
      </c>
      <c r="R1850" s="41" t="s">
        <v>16</v>
      </c>
      <c r="S1850" s="41" t="s">
        <v>17</v>
      </c>
      <c r="T1850" s="41" t="s">
        <v>1078</v>
      </c>
      <c r="U1850" s="16" t="s">
        <v>13</v>
      </c>
      <c r="V1850" s="16" t="s">
        <v>1573</v>
      </c>
      <c r="W1850" s="19" t="s"/>
      <c r="X1850" s="26" t="s">
        <f>=M1850&amp;N1850&amp;P1850&amp;Q1850&amp;T1850&amp;V1850&amp;S1850</f>
        <v>2013</v>
      </c>
      <c r="Y1850" s="19" t="s"/>
      <c r="Z1850" s="19" t="s"/>
      <c r="AA1850" s="19" t="s"/>
      <c r="AB1850" s="19" t="s"/>
    </row>
    <row r="1851" spans="1:28" ht="14.4">
      <c r="A1851" s="4">
        <f>=H1851/G1851-1</f>
        <v>0.1</v>
      </c>
      <c r="B1851" s="20">
        <f>=F1851/12</f>
        <v>33.825</v>
      </c>
      <c r="C1851" s="20">
        <f>=J1851/3</f>
        <v>270.6</v>
      </c>
      <c r="D1851" s="20">
        <f>=K1851/3</f>
        <v>300.666666666667</v>
      </c>
      <c r="E1851" s="20">
        <f>=L1851/3</f>
        <v>315.7</v>
      </c>
      <c r="F1851" s="20">
        <f>=H1851*0.9</f>
        <v>405.9</v>
      </c>
      <c r="G1851" s="21">
        <v>410</v>
      </c>
      <c r="H1851" s="39">
        <v>451</v>
      </c>
      <c r="I1851" s="40">
        <f>=H1851*1.05</f>
        <v>473.55</v>
      </c>
      <c r="J1851" s="40">
        <f>=F1851*2</f>
        <v>811.8</v>
      </c>
      <c r="K1851" s="40">
        <f>=H1851*2</f>
        <v>902</v>
      </c>
      <c r="L1851" s="40">
        <f>=I1851*2</f>
        <v>947.1</v>
      </c>
      <c r="M1851" s="41" t="s">
        <v>2007</v>
      </c>
      <c r="N1851" s="41">
        <v>0.102</v>
      </c>
      <c r="O1851" s="41" t="s"/>
      <c r="P1851" s="41">
        <v>1</v>
      </c>
      <c r="Q1851" s="41">
        <v>2</v>
      </c>
      <c r="R1851" s="41" t="s">
        <v>16</v>
      </c>
      <c r="S1851" s="41" t="s">
        <v>17</v>
      </c>
      <c r="T1851" s="41" t="s">
        <v>2014</v>
      </c>
      <c r="U1851" s="16" t="s">
        <v>13</v>
      </c>
      <c r="V1851" s="16" t="s">
        <v>215</v>
      </c>
      <c r="W1851" s="19" t="s"/>
      <c r="X1851" s="26" t="s">
        <f>=M1851&amp;N1851&amp;P1851&amp;Q1851&amp;T1851&amp;V1851&amp;S1851</f>
        <v>2015</v>
      </c>
      <c r="Y1851" s="19" t="s"/>
      <c r="Z1851" s="19" t="s"/>
      <c r="AA1851" s="19" t="s"/>
      <c r="AB1851" s="19" t="s"/>
    </row>
    <row r="1852" spans="1:28" ht="14.4">
      <c r="A1852" s="4">
        <f>=H1852/G1852-1</f>
        <v>0.1005291005291</v>
      </c>
      <c r="B1852" s="20">
        <f>=F1852/12</f>
        <v>31.2</v>
      </c>
      <c r="C1852" s="20">
        <f>=J1852/3</f>
        <v>249.6</v>
      </c>
      <c r="D1852" s="20">
        <f>=K1852/3</f>
        <v>277.333333333333</v>
      </c>
      <c r="E1852" s="20">
        <f>=L1852/3</f>
        <v>291.2</v>
      </c>
      <c r="F1852" s="20">
        <f>=H1852*0.9</f>
        <v>374.4</v>
      </c>
      <c r="G1852" s="21">
        <v>378</v>
      </c>
      <c r="H1852" s="39">
        <v>416</v>
      </c>
      <c r="I1852" s="40">
        <f>=H1852*1.05</f>
        <v>436.8</v>
      </c>
      <c r="J1852" s="40">
        <f>=F1852*2</f>
        <v>748.8</v>
      </c>
      <c r="K1852" s="40">
        <f>=H1852*2</f>
        <v>832</v>
      </c>
      <c r="L1852" s="40">
        <f>=I1852*2</f>
        <v>873.6</v>
      </c>
      <c r="M1852" s="41" t="s">
        <v>2007</v>
      </c>
      <c r="N1852" s="41">
        <v>0.1</v>
      </c>
      <c r="O1852" s="41" t="s"/>
      <c r="P1852" s="41">
        <v>1</v>
      </c>
      <c r="Q1852" s="41">
        <v>1</v>
      </c>
      <c r="R1852" s="41" t="s">
        <v>16</v>
      </c>
      <c r="S1852" s="41" t="s">
        <v>17</v>
      </c>
      <c r="T1852" s="41" t="s">
        <v>639</v>
      </c>
      <c r="U1852" s="16" t="s">
        <v>13</v>
      </c>
      <c r="V1852" s="16" t="s">
        <v>1573</v>
      </c>
      <c r="W1852" s="19" t="s"/>
      <c r="X1852" s="26" t="s">
        <f>=M1852&amp;N1852&amp;P1852&amp;Q1852&amp;T1852&amp;V1852&amp;S1852</f>
        <v>2016</v>
      </c>
      <c r="Y1852" s="19" t="s"/>
      <c r="Z1852" s="19" t="s"/>
      <c r="AA1852" s="19" t="s"/>
      <c r="AB1852" s="19" t="s"/>
    </row>
    <row r="1853" spans="1:28" ht="14.4">
      <c r="A1853" s="4">
        <f>=H1853/G1853-1</f>
        <v>0.0993377483443709</v>
      </c>
      <c r="B1853" s="20">
        <f>=F1853/12</f>
        <v>37.35</v>
      </c>
      <c r="C1853" s="20">
        <f>=J1853/3</f>
        <v>298.8</v>
      </c>
      <c r="D1853" s="20">
        <f>=K1853/3</f>
        <v>332</v>
      </c>
      <c r="E1853" s="20">
        <f>=L1853/3</f>
        <v>348.6</v>
      </c>
      <c r="F1853" s="20">
        <f>=H1853*0.9</f>
        <v>448.2</v>
      </c>
      <c r="G1853" s="21">
        <v>453</v>
      </c>
      <c r="H1853" s="39">
        <v>498</v>
      </c>
      <c r="I1853" s="40">
        <f>=H1853*1.05</f>
        <v>522.9</v>
      </c>
      <c r="J1853" s="40">
        <f>=F1853*2</f>
        <v>896.4</v>
      </c>
      <c r="K1853" s="40">
        <f>=H1853*2</f>
        <v>996</v>
      </c>
      <c r="L1853" s="40">
        <f>=I1853*2</f>
        <v>1045.8</v>
      </c>
      <c r="M1853" s="41" t="s">
        <v>2007</v>
      </c>
      <c r="N1853" s="41">
        <v>0.1</v>
      </c>
      <c r="O1853" s="41" t="s"/>
      <c r="P1853" s="41">
        <v>1</v>
      </c>
      <c r="Q1853" s="41">
        <v>1</v>
      </c>
      <c r="R1853" s="41" t="s">
        <v>16</v>
      </c>
      <c r="S1853" s="41" t="s">
        <v>17</v>
      </c>
      <c r="T1853" s="41" t="s">
        <v>1080</v>
      </c>
      <c r="U1853" s="16" t="s">
        <v>13</v>
      </c>
      <c r="V1853" s="16" t="s">
        <v>1573</v>
      </c>
      <c r="W1853" s="19" t="s"/>
      <c r="X1853" s="26" t="s">
        <f>=M1853&amp;N1853&amp;P1853&amp;Q1853&amp;T1853&amp;V1853&amp;S1853</f>
        <v>2017</v>
      </c>
      <c r="Y1853" s="19" t="s"/>
      <c r="Z1853" s="19" t="s"/>
      <c r="AA1853" s="19" t="s"/>
      <c r="AB1853" s="19" t="s"/>
    </row>
    <row r="1854" spans="1:28" ht="14.4">
      <c r="A1854" s="4">
        <f>=H1854/G1854-1</f>
        <v>0.0997732426303855</v>
      </c>
      <c r="B1854" s="20">
        <f>=F1854/12</f>
        <v>36.375</v>
      </c>
      <c r="C1854" s="20">
        <f>=J1854/3</f>
        <v>291</v>
      </c>
      <c r="D1854" s="20">
        <f>=K1854/3</f>
        <v>323.333333333333</v>
      </c>
      <c r="E1854" s="20">
        <f>=L1854/3</f>
        <v>339.5</v>
      </c>
      <c r="F1854" s="20">
        <f>=H1854*0.9</f>
        <v>436.5</v>
      </c>
      <c r="G1854" s="21">
        <v>441</v>
      </c>
      <c r="H1854" s="39">
        <v>485</v>
      </c>
      <c r="I1854" s="40">
        <f>=H1854*1.05</f>
        <v>509.25</v>
      </c>
      <c r="J1854" s="40">
        <f>=F1854*2</f>
        <v>873</v>
      </c>
      <c r="K1854" s="40">
        <f>=H1854*2</f>
        <v>970</v>
      </c>
      <c r="L1854" s="40">
        <f>=I1854*2</f>
        <v>1018.5</v>
      </c>
      <c r="M1854" s="41" t="s">
        <v>2007</v>
      </c>
      <c r="N1854" s="41">
        <v>0.114</v>
      </c>
      <c r="O1854" s="41" t="s"/>
      <c r="P1854" s="41">
        <v>1</v>
      </c>
      <c r="Q1854" s="41">
        <v>1</v>
      </c>
      <c r="R1854" s="41" t="s">
        <v>16</v>
      </c>
      <c r="S1854" s="41" t="s">
        <v>17</v>
      </c>
      <c r="T1854" s="41" t="s">
        <v>1078</v>
      </c>
      <c r="U1854" s="16" t="s">
        <v>13</v>
      </c>
      <c r="V1854" s="16" t="s">
        <v>1573</v>
      </c>
      <c r="W1854" s="19" t="s"/>
      <c r="X1854" s="26" t="s">
        <f>=M1854&amp;N1854&amp;P1854&amp;Q1854&amp;T1854&amp;V1854&amp;S1854</f>
        <v>2018</v>
      </c>
      <c r="Y1854" s="19" t="s"/>
      <c r="Z1854" s="19" t="s"/>
      <c r="AA1854" s="19" t="s"/>
      <c r="AB1854" s="19" t="s"/>
    </row>
    <row r="1855" spans="1:28" ht="14.4">
      <c r="A1855" s="4">
        <f>=H1855/G1855-1</f>
        <v>0.100671140939597</v>
      </c>
      <c r="B1855" s="20">
        <f>=F1855/12</f>
        <v>24.6</v>
      </c>
      <c r="C1855" s="20">
        <f>=J1855/3</f>
        <v>196.8</v>
      </c>
      <c r="D1855" s="20">
        <f>=K1855/3</f>
        <v>218.666666666667</v>
      </c>
      <c r="E1855" s="20">
        <f>=L1855/3</f>
        <v>229.6</v>
      </c>
      <c r="F1855" s="20">
        <f>=H1855*0.9</f>
        <v>295.2</v>
      </c>
      <c r="G1855" s="21">
        <v>298</v>
      </c>
      <c r="H1855" s="39">
        <v>328</v>
      </c>
      <c r="I1855" s="40">
        <f>=H1855*1.05</f>
        <v>344.4</v>
      </c>
      <c r="J1855" s="40">
        <f>=F1855*2</f>
        <v>590.4</v>
      </c>
      <c r="K1855" s="40">
        <f>=H1855*2</f>
        <v>656</v>
      </c>
      <c r="L1855" s="40">
        <f>=I1855*2</f>
        <v>688.8</v>
      </c>
      <c r="M1855" s="41" t="s">
        <v>2007</v>
      </c>
      <c r="N1855" s="41">
        <v>0.114</v>
      </c>
      <c r="O1855" s="41" t="s"/>
      <c r="P1855" s="41" t="s">
        <v>21</v>
      </c>
      <c r="Q1855" s="41" t="s">
        <v>21</v>
      </c>
      <c r="R1855" s="41" t="s">
        <v>16</v>
      </c>
      <c r="S1855" s="41" t="s">
        <v>17</v>
      </c>
      <c r="T1855" s="41" t="s">
        <v>1078</v>
      </c>
      <c r="U1855" s="16" t="s">
        <v>13</v>
      </c>
      <c r="V1855" s="16" t="s">
        <v>1573</v>
      </c>
      <c r="W1855" s="19" t="s"/>
      <c r="X1855" s="26" t="s">
        <f>=M1855&amp;N1855&amp;P1855&amp;Q1855&amp;T1855&amp;V1855&amp;S1855</f>
        <v>2019</v>
      </c>
      <c r="Y1855" s="19" t="s"/>
      <c r="Z1855" s="19" t="s"/>
      <c r="AA1855" s="19" t="s"/>
      <c r="AB1855" s="19" t="s"/>
    </row>
    <row r="1856" spans="1:28" ht="14.4">
      <c r="A1856" s="4">
        <f>=H1856/G1856-1</f>
        <v>0.0992555831265509</v>
      </c>
      <c r="B1856" s="20">
        <f>=F1856/12</f>
        <v>33.225</v>
      </c>
      <c r="C1856" s="20">
        <f>=J1856/3</f>
        <v>265.8</v>
      </c>
      <c r="D1856" s="20">
        <f>=K1856/3</f>
        <v>295.333333333333</v>
      </c>
      <c r="E1856" s="20">
        <f>=L1856/3</f>
        <v>310.1</v>
      </c>
      <c r="F1856" s="20">
        <f>=H1856*0.9</f>
        <v>398.7</v>
      </c>
      <c r="G1856" s="21">
        <v>403</v>
      </c>
      <c r="H1856" s="39">
        <v>443</v>
      </c>
      <c r="I1856" s="40">
        <f>=H1856*1.05</f>
        <v>465.15</v>
      </c>
      <c r="J1856" s="40">
        <f>=F1856*2</f>
        <v>797.4</v>
      </c>
      <c r="K1856" s="40">
        <f>=H1856*2</f>
        <v>886</v>
      </c>
      <c r="L1856" s="40">
        <f>=I1856*2</f>
        <v>930.3</v>
      </c>
      <c r="M1856" s="41" t="s">
        <v>2007</v>
      </c>
      <c r="N1856" s="41">
        <v>0.114</v>
      </c>
      <c r="O1856" s="41" t="s"/>
      <c r="P1856" s="41" t="s">
        <v>21</v>
      </c>
      <c r="Q1856" s="41">
        <v>1</v>
      </c>
      <c r="R1856" s="41" t="s">
        <v>16</v>
      </c>
      <c r="S1856" s="41" t="s">
        <v>17</v>
      </c>
      <c r="T1856" s="41" t="s">
        <v>1078</v>
      </c>
      <c r="U1856" s="16" t="s">
        <v>13</v>
      </c>
      <c r="V1856" s="16" t="s">
        <v>1573</v>
      </c>
      <c r="W1856" s="19" t="s"/>
      <c r="X1856" s="26" t="s">
        <f>=M1856&amp;N1856&amp;P1856&amp;Q1856&amp;T1856&amp;V1856&amp;S1856</f>
        <v>2020</v>
      </c>
      <c r="Y1856" s="19" t="s"/>
      <c r="Z1856" s="19" t="s"/>
      <c r="AA1856" s="19" t="s"/>
      <c r="AB1856" s="19" t="s"/>
    </row>
    <row r="1857" spans="1:28" ht="14.4">
      <c r="A1857" s="4">
        <f>=H1857/G1857-1</f>
        <v>0.100917431192661</v>
      </c>
      <c r="B1857" s="20">
        <f>=F1857/12</f>
        <v>27</v>
      </c>
      <c r="C1857" s="20">
        <f>=J1857/3</f>
        <v>216</v>
      </c>
      <c r="D1857" s="20">
        <f>=K1857/3</f>
        <v>240</v>
      </c>
      <c r="E1857" s="20">
        <f>=L1857/3</f>
        <v>252</v>
      </c>
      <c r="F1857" s="20">
        <f>=H1857*0.9</f>
        <v>324</v>
      </c>
      <c r="G1857" s="21">
        <v>327</v>
      </c>
      <c r="H1857" s="39">
        <v>360</v>
      </c>
      <c r="I1857" s="40">
        <f>=H1857*1.05</f>
        <v>378</v>
      </c>
      <c r="J1857" s="40">
        <f>=F1857*2</f>
        <v>648</v>
      </c>
      <c r="K1857" s="40">
        <f>=H1857*2</f>
        <v>720</v>
      </c>
      <c r="L1857" s="40">
        <f>=I1857*2</f>
        <v>756</v>
      </c>
      <c r="M1857" s="41" t="s">
        <v>2007</v>
      </c>
      <c r="N1857" s="41">
        <v>0.127</v>
      </c>
      <c r="O1857" s="41" t="s"/>
      <c r="P1857" s="41" t="s">
        <v>21</v>
      </c>
      <c r="Q1857" s="41" t="s">
        <v>21</v>
      </c>
      <c r="R1857" s="41" t="s">
        <v>16</v>
      </c>
      <c r="S1857" s="41" t="s">
        <v>17</v>
      </c>
      <c r="T1857" s="41" t="s">
        <v>1080</v>
      </c>
      <c r="U1857" s="16" t="s">
        <v>13</v>
      </c>
      <c r="V1857" s="16" t="s">
        <v>1573</v>
      </c>
      <c r="W1857" s="19" t="s"/>
      <c r="X1857" s="26" t="s">
        <f>=M1857&amp;N1857&amp;P1857&amp;Q1857&amp;T1857&amp;V1857&amp;S1857</f>
        <v>2021</v>
      </c>
      <c r="Y1857" s="19" t="s"/>
      <c r="Z1857" s="19" t="s"/>
      <c r="AA1857" s="19" t="s"/>
      <c r="AB1857" s="19" t="s"/>
    </row>
    <row r="1858" spans="1:28" ht="14.4">
      <c r="A1858" s="49">
        <v>46160</v>
      </c>
      <c r="B1858" s="43">
        <f>=F1858/12</f>
        <v>31.5</v>
      </c>
      <c r="C1858" s="43">
        <f>=J1858/3</f>
        <v>252</v>
      </c>
      <c r="D1858" s="43">
        <f>=K1858/3</f>
        <v>280</v>
      </c>
      <c r="E1858" s="43">
        <f>=L1858/3</f>
        <v>294</v>
      </c>
      <c r="F1858" s="43">
        <f>=H1858*0.9</f>
        <v>378</v>
      </c>
      <c r="G1858" s="27">
        <v>385</v>
      </c>
      <c r="H1858" s="44">
        <v>420</v>
      </c>
      <c r="I1858" s="45">
        <f>=H1858*1.05</f>
        <v>441</v>
      </c>
      <c r="J1858" s="45">
        <f>=F1858*2</f>
        <v>756</v>
      </c>
      <c r="K1858" s="45">
        <f>=H1858*2</f>
        <v>840</v>
      </c>
      <c r="L1858" s="45">
        <f>=I1858*2</f>
        <v>882</v>
      </c>
      <c r="M1858" s="12" t="s">
        <v>2007</v>
      </c>
      <c r="N1858" s="46">
        <v>0.127</v>
      </c>
      <c r="O1858" s="46" t="s"/>
      <c r="P1858" s="46">
        <v>1</v>
      </c>
      <c r="Q1858" s="46">
        <v>1</v>
      </c>
      <c r="R1858" s="46" t="s">
        <v>16</v>
      </c>
      <c r="S1858" s="46" t="s">
        <v>17</v>
      </c>
      <c r="T1858" s="12" t="s">
        <v>23</v>
      </c>
      <c r="U1858" s="13" t="s">
        <v>13</v>
      </c>
      <c r="V1858" s="13" t="s">
        <v>1693</v>
      </c>
      <c r="W1858" s="15" t="s"/>
      <c r="X1858" s="18" t="s">
        <f>=M1858&amp;N1858&amp;P1858&amp;Q1858&amp;T1858&amp;V1858&amp;S1858</f>
        <v>2022</v>
      </c>
      <c r="Y1858" s="15" t="s"/>
      <c r="Z1858" s="15" t="s"/>
      <c r="AA1858" s="15" t="s"/>
      <c r="AB1858" s="15" t="s"/>
    </row>
    <row r="1859" spans="1:28" ht="14.4">
      <c r="A1859" s="49" t="s"/>
      <c r="B1859" s="43">
        <f>=F1859/12</f>
        <v>34.98</v>
      </c>
      <c r="C1859" s="43">
        <f>=J1859/3</f>
        <v>279.84</v>
      </c>
      <c r="D1859" s="43">
        <f>=K1859/3</f>
        <v>310.933333333333</v>
      </c>
      <c r="E1859" s="43">
        <f>=L1859/3</f>
        <v>326.48</v>
      </c>
      <c r="F1859" s="43">
        <f>=H1859*0.9</f>
        <v>419.76</v>
      </c>
      <c r="G1859" s="27">
        <v>385</v>
      </c>
      <c r="H1859" s="44">
        <f>=424*1.1</f>
        <v>466.4</v>
      </c>
      <c r="I1859" s="45">
        <f>=H1859*1.05</f>
        <v>489.72</v>
      </c>
      <c r="J1859" s="45">
        <f>=F1859*2</f>
        <v>839.52</v>
      </c>
      <c r="K1859" s="45">
        <f>=H1859*2</f>
        <v>932.8</v>
      </c>
      <c r="L1859" s="45">
        <f>=I1859*2</f>
        <v>979.44</v>
      </c>
      <c r="M1859" s="12" t="s">
        <v>2007</v>
      </c>
      <c r="N1859" s="46">
        <v>0.127</v>
      </c>
      <c r="O1859" s="46" t="s"/>
      <c r="P1859" s="46">
        <v>1</v>
      </c>
      <c r="Q1859" s="46">
        <v>1</v>
      </c>
      <c r="R1859" s="46" t="s">
        <v>16</v>
      </c>
      <c r="S1859" s="46" t="s">
        <v>17</v>
      </c>
      <c r="T1859" s="46" t="s">
        <v>1080</v>
      </c>
      <c r="U1859" s="13" t="s">
        <v>13</v>
      </c>
      <c r="V1859" s="13" t="s">
        <v>1693</v>
      </c>
      <c r="W1859" s="15" t="s"/>
      <c r="X1859" s="18" t="s">
        <f>=M1859&amp;N1859&amp;P1859&amp;Q1859&amp;T1859&amp;V1859&amp;S1859</f>
        <v>2023</v>
      </c>
      <c r="Y1859" s="15" t="s"/>
      <c r="Z1859" s="15" t="s"/>
      <c r="AA1859" s="15" t="s"/>
      <c r="AB1859" s="15" t="s"/>
    </row>
    <row r="1860" spans="1:28" ht="14.4">
      <c r="A1860" s="4">
        <f>=H1860/G1860-1</f>
        <v>0.10079575596817</v>
      </c>
      <c r="B1860" s="20">
        <f>=F1860/12</f>
        <v>31.125</v>
      </c>
      <c r="C1860" s="20">
        <f>=J1860/3</f>
        <v>249</v>
      </c>
      <c r="D1860" s="20">
        <f>=K1860/3</f>
        <v>276.666666666667</v>
      </c>
      <c r="E1860" s="20">
        <f>=L1860/3</f>
        <v>290.5</v>
      </c>
      <c r="F1860" s="20">
        <f>=H1860*0.9</f>
        <v>373.5</v>
      </c>
      <c r="G1860" s="21">
        <v>377</v>
      </c>
      <c r="H1860" s="39">
        <v>415</v>
      </c>
      <c r="I1860" s="40">
        <f>=H1860*1.05</f>
        <v>435.75</v>
      </c>
      <c r="J1860" s="40">
        <f>=F1860*2</f>
        <v>747</v>
      </c>
      <c r="K1860" s="40">
        <f>=H1860*2</f>
        <v>830</v>
      </c>
      <c r="L1860" s="40">
        <f>=I1860*2</f>
        <v>871.5</v>
      </c>
      <c r="M1860" s="41" t="s">
        <v>2007</v>
      </c>
      <c r="N1860" s="41">
        <v>0.127</v>
      </c>
      <c r="O1860" s="41" t="s"/>
      <c r="P1860" s="41">
        <v>1</v>
      </c>
      <c r="Q1860" s="41">
        <v>1</v>
      </c>
      <c r="R1860" s="41" t="s">
        <v>16</v>
      </c>
      <c r="S1860" s="41" t="s">
        <v>17</v>
      </c>
      <c r="T1860" s="41" t="s">
        <v>1080</v>
      </c>
      <c r="U1860" s="16" t="s">
        <v>13</v>
      </c>
      <c r="V1860" s="16" t="s">
        <v>1573</v>
      </c>
      <c r="W1860" s="19" t="s"/>
      <c r="X1860" s="26" t="s">
        <f>=M1860&amp;N1860&amp;P1860&amp;Q1860&amp;T1860&amp;V1860&amp;S1860</f>
        <v>2024</v>
      </c>
      <c r="Y1860" s="19" t="s"/>
      <c r="Z1860" s="19" t="s"/>
      <c r="AA1860" s="19" t="s"/>
      <c r="AB1860" s="19" t="s"/>
    </row>
    <row r="1861" spans="1:28" ht="14.4">
      <c r="A1861" s="4">
        <f>=H1861/G1861-1</f>
        <v>0.0994318181818181</v>
      </c>
      <c r="B1861" s="20">
        <f>=F1861/12</f>
        <v>29.025</v>
      </c>
      <c r="C1861" s="20">
        <f>=J1861/3</f>
        <v>232.2</v>
      </c>
      <c r="D1861" s="20">
        <f>=K1861/3</f>
        <v>258</v>
      </c>
      <c r="E1861" s="20">
        <f>=L1861/3</f>
        <v>270.9</v>
      </c>
      <c r="F1861" s="20">
        <f>=H1861*0.9</f>
        <v>348.3</v>
      </c>
      <c r="G1861" s="21">
        <v>352</v>
      </c>
      <c r="H1861" s="39">
        <v>387</v>
      </c>
      <c r="I1861" s="40">
        <f>=H1861*1.05</f>
        <v>406.35</v>
      </c>
      <c r="J1861" s="40">
        <f>=F1861*2</f>
        <v>696.6</v>
      </c>
      <c r="K1861" s="40">
        <f>=H1861*2</f>
        <v>774</v>
      </c>
      <c r="L1861" s="40">
        <f>=I1861*2</f>
        <v>812.7</v>
      </c>
      <c r="M1861" s="41" t="s">
        <v>2007</v>
      </c>
      <c r="N1861" s="41">
        <v>0.127</v>
      </c>
      <c r="O1861" s="41" t="s"/>
      <c r="P1861" s="41" t="s">
        <v>21</v>
      </c>
      <c r="Q1861" s="41">
        <v>1</v>
      </c>
      <c r="R1861" s="41" t="s">
        <v>16</v>
      </c>
      <c r="S1861" s="41" t="s">
        <v>17</v>
      </c>
      <c r="T1861" s="41" t="s">
        <v>1080</v>
      </c>
      <c r="U1861" s="16" t="s">
        <v>13</v>
      </c>
      <c r="V1861" s="16" t="s">
        <v>1573</v>
      </c>
      <c r="W1861" s="19" t="s"/>
      <c r="X1861" s="26" t="s">
        <f>=M1861&amp;N1861&amp;P1861&amp;Q1861&amp;T1861&amp;V1861&amp;S1861</f>
        <v>2025</v>
      </c>
      <c r="Y1861" s="19" t="s"/>
      <c r="Z1861" s="19" t="s"/>
      <c r="AA1861" s="19" t="s"/>
      <c r="AB1861" s="19" t="s"/>
    </row>
    <row r="1862" spans="1:28" ht="14.4">
      <c r="A1862" s="4">
        <f>=H1862/G1862-1</f>
        <v>0.1</v>
      </c>
      <c r="B1862" s="20">
        <f>=F1862/12</f>
        <v>27.225</v>
      </c>
      <c r="C1862" s="20">
        <f>=J1862/3</f>
        <v>217.8</v>
      </c>
      <c r="D1862" s="20">
        <f>=K1862/3</f>
        <v>242</v>
      </c>
      <c r="E1862" s="20">
        <f>=L1862/3</f>
        <v>254.1</v>
      </c>
      <c r="F1862" s="20">
        <f>=H1862*0.9</f>
        <v>326.7</v>
      </c>
      <c r="G1862" s="21">
        <v>330</v>
      </c>
      <c r="H1862" s="39">
        <v>363</v>
      </c>
      <c r="I1862" s="40">
        <f>=H1862*1.05</f>
        <v>381.15</v>
      </c>
      <c r="J1862" s="40">
        <f>=F1862*2</f>
        <v>653.4</v>
      </c>
      <c r="K1862" s="40">
        <f>=H1862*2</f>
        <v>726</v>
      </c>
      <c r="L1862" s="40">
        <f>=I1862*2</f>
        <v>762.3</v>
      </c>
      <c r="M1862" s="41" t="s">
        <v>2007</v>
      </c>
      <c r="N1862" s="41">
        <v>0.15</v>
      </c>
      <c r="O1862" s="41" t="s"/>
      <c r="P1862" s="41" t="s">
        <v>21</v>
      </c>
      <c r="Q1862" s="41" t="s">
        <v>21</v>
      </c>
      <c r="R1862" s="41" t="s">
        <v>16</v>
      </c>
      <c r="S1862" s="41" t="s">
        <v>17</v>
      </c>
      <c r="T1862" s="41" t="s">
        <v>1080</v>
      </c>
      <c r="U1862" s="16" t="s">
        <v>13</v>
      </c>
      <c r="V1862" s="16" t="s">
        <v>1446</v>
      </c>
      <c r="W1862" s="19" t="s"/>
      <c r="X1862" s="26" t="s">
        <f>=M1862&amp;N1862&amp;P1862&amp;Q1862&amp;T1862&amp;V1862&amp;S1862</f>
        <v>2026</v>
      </c>
      <c r="Y1862" s="19" t="s"/>
      <c r="Z1862" s="19" t="s"/>
      <c r="AA1862" s="19" t="s"/>
      <c r="AB1862" s="19" t="s"/>
    </row>
    <row r="1863" spans="1:28" ht="14.4">
      <c r="A1863" s="4">
        <f>=H1863/G1863-1</f>
        <v>0.1</v>
      </c>
      <c r="B1863" s="20">
        <f>=F1863/12</f>
        <v>32.175</v>
      </c>
      <c r="C1863" s="20">
        <f>=J1863/3</f>
        <v>257.4</v>
      </c>
      <c r="D1863" s="20">
        <f>=K1863/3</f>
        <v>286</v>
      </c>
      <c r="E1863" s="20">
        <f>=L1863/3</f>
        <v>300.3</v>
      </c>
      <c r="F1863" s="20">
        <f>=H1863*0.9</f>
        <v>386.1</v>
      </c>
      <c r="G1863" s="21">
        <v>390</v>
      </c>
      <c r="H1863" s="39">
        <v>429</v>
      </c>
      <c r="I1863" s="40">
        <f>=H1863*1.05</f>
        <v>450.45</v>
      </c>
      <c r="J1863" s="40">
        <f>=F1863*2</f>
        <v>772.2</v>
      </c>
      <c r="K1863" s="40">
        <f>=H1863*2</f>
        <v>858</v>
      </c>
      <c r="L1863" s="40">
        <f>=I1863*2</f>
        <v>900.9</v>
      </c>
      <c r="M1863" s="41" t="s">
        <v>2007</v>
      </c>
      <c r="N1863" s="41">
        <v>0.15</v>
      </c>
      <c r="O1863" s="41" t="s"/>
      <c r="P1863" s="41" t="s">
        <v>21</v>
      </c>
      <c r="Q1863" s="41" t="s">
        <v>21</v>
      </c>
      <c r="R1863" s="41" t="s">
        <v>16</v>
      </c>
      <c r="S1863" s="41" t="s">
        <v>17</v>
      </c>
      <c r="T1863" s="41" t="s">
        <v>1080</v>
      </c>
      <c r="U1863" s="16" t="s">
        <v>13</v>
      </c>
      <c r="V1863" s="16" t="s">
        <v>1693</v>
      </c>
      <c r="W1863" s="19" t="s"/>
      <c r="X1863" s="26" t="s">
        <f>=M1863&amp;N1863&amp;P1863&amp;Q1863&amp;T1863&amp;V1863&amp;S1863</f>
        <v>2027</v>
      </c>
      <c r="Y1863" s="19" t="s"/>
      <c r="Z1863" s="19" t="s"/>
      <c r="AA1863" s="19" t="s"/>
      <c r="AB1863" s="19" t="s"/>
    </row>
    <row r="1864" spans="1:28" ht="14.4">
      <c r="A1864" s="4">
        <f>=H1864/G1864-1</f>
        <v>0.0993071593533488</v>
      </c>
      <c r="B1864" s="20">
        <f>=F1864/12</f>
        <v>35.7</v>
      </c>
      <c r="C1864" s="20">
        <f>=J1864/3</f>
        <v>285.6</v>
      </c>
      <c r="D1864" s="20">
        <f>=K1864/3</f>
        <v>317.333333333333</v>
      </c>
      <c r="E1864" s="20">
        <f>=L1864/3</f>
        <v>333.2</v>
      </c>
      <c r="F1864" s="20">
        <f>=H1864*0.9</f>
        <v>428.4</v>
      </c>
      <c r="G1864" s="21">
        <v>433</v>
      </c>
      <c r="H1864" s="39">
        <v>476</v>
      </c>
      <c r="I1864" s="40">
        <f>=H1864*1.05</f>
        <v>499.8</v>
      </c>
      <c r="J1864" s="40">
        <f>=F1864*2</f>
        <v>856.8</v>
      </c>
      <c r="K1864" s="40">
        <f>=H1864*2</f>
        <v>952</v>
      </c>
      <c r="L1864" s="40">
        <f>=I1864*2</f>
        <v>999.6</v>
      </c>
      <c r="M1864" s="41" t="s">
        <v>2007</v>
      </c>
      <c r="N1864" s="41">
        <v>0.15</v>
      </c>
      <c r="O1864" s="41" t="s"/>
      <c r="P1864" s="41">
        <v>1</v>
      </c>
      <c r="Q1864" s="41" t="s">
        <v>21</v>
      </c>
      <c r="R1864" s="41" t="s">
        <v>16</v>
      </c>
      <c r="S1864" s="41" t="s">
        <v>17</v>
      </c>
      <c r="T1864" s="41" t="s">
        <v>1080</v>
      </c>
      <c r="U1864" s="16" t="s">
        <v>13</v>
      </c>
      <c r="V1864" s="16" t="s">
        <v>1693</v>
      </c>
      <c r="W1864" s="19" t="s"/>
      <c r="X1864" s="26" t="s">
        <f>=M1864&amp;N1864&amp;P1864&amp;Q1864&amp;T1864&amp;V1864&amp;S1864</f>
        <v>2028</v>
      </c>
      <c r="Y1864" s="19" t="s"/>
      <c r="Z1864" s="19" t="s"/>
      <c r="AA1864" s="19" t="s"/>
      <c r="AB1864" s="19" t="s"/>
    </row>
    <row r="1865" spans="1:28" ht="14.4">
      <c r="A1865" s="4">
        <f>=H1865/G1865-1</f>
        <v>0.1</v>
      </c>
      <c r="B1865" s="20">
        <f>=F1865/12</f>
        <v>33</v>
      </c>
      <c r="C1865" s="20">
        <f>=J1865/3</f>
        <v>264</v>
      </c>
      <c r="D1865" s="20">
        <f>=K1865/3</f>
        <v>293.333333333333</v>
      </c>
      <c r="E1865" s="20">
        <f>=L1865/3</f>
        <v>308</v>
      </c>
      <c r="F1865" s="20">
        <f>=H1865*0.9</f>
        <v>396</v>
      </c>
      <c r="G1865" s="21">
        <v>400</v>
      </c>
      <c r="H1865" s="39">
        <v>440</v>
      </c>
      <c r="I1865" s="40">
        <f>=H1865*1.05</f>
        <v>462</v>
      </c>
      <c r="J1865" s="40">
        <f>=F1865*2</f>
        <v>792</v>
      </c>
      <c r="K1865" s="40">
        <f>=H1865*2</f>
        <v>880</v>
      </c>
      <c r="L1865" s="40">
        <f>=I1865*2</f>
        <v>924</v>
      </c>
      <c r="M1865" s="41" t="s">
        <v>2007</v>
      </c>
      <c r="N1865" s="41">
        <v>0.152</v>
      </c>
      <c r="O1865" s="41" t="s"/>
      <c r="P1865" s="41">
        <v>1</v>
      </c>
      <c r="Q1865" s="41">
        <v>1</v>
      </c>
      <c r="R1865" s="41" t="s">
        <v>16</v>
      </c>
      <c r="S1865" s="41" t="s">
        <v>17</v>
      </c>
      <c r="T1865" s="41" t="s">
        <v>1080</v>
      </c>
      <c r="U1865" s="16" t="s">
        <v>13</v>
      </c>
      <c r="V1865" s="16" t="s">
        <v>1573</v>
      </c>
      <c r="W1865" s="19" t="s"/>
      <c r="X1865" s="26" t="s">
        <f>=M1865&amp;N1865&amp;P1865&amp;Q1865&amp;T1865&amp;V1865&amp;S1865</f>
        <v>2029</v>
      </c>
      <c r="Y1865" s="19" t="s"/>
      <c r="Z1865" s="19" t="s"/>
      <c r="AA1865" s="19" t="s"/>
      <c r="AB1865" s="19" t="s"/>
    </row>
    <row r="1866" spans="1:28" ht="14.4">
      <c r="A1866" s="51">
        <v>46164</v>
      </c>
      <c r="B1866" s="20">
        <f>=F1866/12</f>
        <v>35.97</v>
      </c>
      <c r="C1866" s="20">
        <f>=J1866/3</f>
        <v>287.76</v>
      </c>
      <c r="D1866" s="20">
        <f>=K1866/3</f>
        <v>319.733333333333</v>
      </c>
      <c r="E1866" s="20">
        <f>=L1866/3</f>
        <v>335.72</v>
      </c>
      <c r="F1866" s="20">
        <f>=H1866*0.9</f>
        <v>431.64</v>
      </c>
      <c r="G1866" s="21">
        <v>400</v>
      </c>
      <c r="H1866" s="39">
        <f>=440*1.09</f>
        <v>479.6</v>
      </c>
      <c r="I1866" s="40">
        <f>=H1866*1.05</f>
        <v>503.58</v>
      </c>
      <c r="J1866" s="40">
        <f>=F1866*2</f>
        <v>863.28</v>
      </c>
      <c r="K1866" s="40">
        <f>=H1866*2</f>
        <v>959.2</v>
      </c>
      <c r="L1866" s="40">
        <f>=I1866*2</f>
        <v>1007.16</v>
      </c>
      <c r="M1866" s="41" t="s">
        <v>2007</v>
      </c>
      <c r="N1866" s="41">
        <v>0.152</v>
      </c>
      <c r="O1866" s="41" t="s"/>
      <c r="P1866" s="41">
        <v>1</v>
      </c>
      <c r="Q1866" s="41">
        <v>1</v>
      </c>
      <c r="R1866" s="41" t="s">
        <v>16</v>
      </c>
      <c r="S1866" s="41" t="s">
        <v>17</v>
      </c>
      <c r="T1866" s="41" t="s">
        <v>1080</v>
      </c>
      <c r="U1866" s="16" t="s">
        <v>13</v>
      </c>
      <c r="V1866" s="131" t="s">
        <v>1693</v>
      </c>
      <c r="W1866" s="19" t="s"/>
      <c r="X1866" s="26" t="s">
        <f>=M1866&amp;N1866&amp;P1866&amp;Q1866&amp;T1866&amp;V1866&amp;S1866</f>
        <v>2030</v>
      </c>
      <c r="Y1866" s="19" t="s"/>
      <c r="Z1866" s="19" t="s"/>
      <c r="AA1866" s="19" t="s"/>
      <c r="AB1866" s="19" t="s"/>
    </row>
    <row r="1867" spans="1:28" ht="14.4">
      <c r="A1867" s="4">
        <f>=H1867/G1867-1</f>
        <v>0.099437148217636</v>
      </c>
      <c r="B1867" s="20">
        <f>=F1867/12</f>
        <v>43.95</v>
      </c>
      <c r="C1867" s="20">
        <f>=J1867/3</f>
        <v>351.6</v>
      </c>
      <c r="D1867" s="20">
        <f>=K1867/3</f>
        <v>390.666666666667</v>
      </c>
      <c r="E1867" s="20">
        <f>=L1867/3</f>
        <v>410.2</v>
      </c>
      <c r="F1867" s="20">
        <f>=H1867*0.9</f>
        <v>527.4</v>
      </c>
      <c r="G1867" s="21">
        <v>533</v>
      </c>
      <c r="H1867" s="39">
        <v>586</v>
      </c>
      <c r="I1867" s="40">
        <f>=H1867*1.05</f>
        <v>615.3</v>
      </c>
      <c r="J1867" s="40">
        <f>=F1867*2</f>
        <v>1054.8</v>
      </c>
      <c r="K1867" s="40">
        <f>=H1867*2</f>
        <v>1172</v>
      </c>
      <c r="L1867" s="40">
        <f>=I1867*2</f>
        <v>1230.6</v>
      </c>
      <c r="M1867" s="41" t="s">
        <v>2007</v>
      </c>
      <c r="N1867" s="41">
        <v>0.178</v>
      </c>
      <c r="O1867" s="41" t="s"/>
      <c r="P1867" s="41">
        <v>1</v>
      </c>
      <c r="Q1867" s="41">
        <v>1</v>
      </c>
      <c r="R1867" s="41" t="s">
        <v>16</v>
      </c>
      <c r="S1867" s="41" t="s">
        <v>17</v>
      </c>
      <c r="T1867" s="41" t="s">
        <v>1080</v>
      </c>
      <c r="U1867" s="16" t="s">
        <v>13</v>
      </c>
      <c r="V1867" s="16" t="s">
        <v>1573</v>
      </c>
      <c r="W1867" s="19" t="s"/>
      <c r="X1867" s="26" t="s">
        <f>=M1867&amp;N1867&amp;P1867&amp;Q1867&amp;T1867&amp;V1867&amp;S1867</f>
        <v>2031</v>
      </c>
      <c r="Y1867" s="19" t="s"/>
      <c r="Z1867" s="19" t="s"/>
      <c r="AA1867" s="19" t="s"/>
      <c r="AB1867" s="19" t="s"/>
    </row>
    <row r="1868" spans="1:29" ht="13.5" customHeight="true">
      <c r="A1868" s="156">
        <v>46162</v>
      </c>
      <c r="B1868" s="79">
        <f>=F1868/12</f>
        <v>41.925</v>
      </c>
      <c r="C1868" s="79">
        <f>=J1868/3</f>
        <v>335.4</v>
      </c>
      <c r="D1868" s="79">
        <f>=K1868/3</f>
        <v>372.666666666667</v>
      </c>
      <c r="E1868" s="79">
        <f>=L1868/3</f>
        <v>391.3</v>
      </c>
      <c r="F1868" s="79">
        <f>=H1868*0.9</f>
        <v>503.1</v>
      </c>
      <c r="G1868" s="203">
        <v>533</v>
      </c>
      <c r="H1868" s="81">
        <v>559</v>
      </c>
      <c r="I1868" s="82">
        <f>=H1868*1.05</f>
        <v>586.95</v>
      </c>
      <c r="J1868" s="82">
        <f>=F1868*2</f>
        <v>1006.2</v>
      </c>
      <c r="K1868" s="82">
        <f>=H1868*2</f>
        <v>1118</v>
      </c>
      <c r="L1868" s="82">
        <f>=I1868*2</f>
        <v>1173.9</v>
      </c>
      <c r="M1868" s="83" t="s">
        <v>2007</v>
      </c>
      <c r="N1868" s="83">
        <v>0.18</v>
      </c>
      <c r="O1868" s="84" t="s"/>
      <c r="P1868" s="83" t="s">
        <v>21</v>
      </c>
      <c r="Q1868" s="83" t="s">
        <v>21</v>
      </c>
      <c r="R1868" s="83" t="s">
        <v>16</v>
      </c>
      <c r="S1868" s="83" t="s">
        <v>17</v>
      </c>
      <c r="T1868" s="83" t="s">
        <v>1080</v>
      </c>
      <c r="U1868" s="85" t="s">
        <v>13</v>
      </c>
      <c r="V1868" s="85" t="s">
        <v>1557</v>
      </c>
      <c r="W1868" s="204" t="s">
        <f>=M1868&amp;N1868&amp;P1868&amp;Q1868&amp;T1868&amp;V1868&amp;S1868</f>
        <v>2032</v>
      </c>
      <c r="X1868" s="18" t="s">
        <f>=M1868&amp;N1868&amp;P1868&amp;Q1868&amp;T1868&amp;V1868&amp;S1868</f>
        <v>2032</v>
      </c>
      <c r="Y1868" s="86" t="s"/>
      <c r="Z1868" s="86" t="s"/>
      <c r="AA1868" s="86" t="s"/>
      <c r="AB1868" s="86" t="s"/>
      <c r="AC1868" s="86" t="s"/>
    </row>
    <row r="1869" spans="1:29" ht="13.5" customHeight="true">
      <c r="A1869" s="156">
        <v>46162</v>
      </c>
      <c r="B1869" s="79">
        <f>=F1869/12</f>
        <v>53.55</v>
      </c>
      <c r="C1869" s="79">
        <f>=J1869/3</f>
        <v>428.4</v>
      </c>
      <c r="D1869" s="79">
        <f>=K1869/3</f>
        <v>476</v>
      </c>
      <c r="E1869" s="79">
        <f>=L1869/3</f>
        <v>499.8</v>
      </c>
      <c r="F1869" s="79">
        <f>=H1869*0.9</f>
        <v>642.6</v>
      </c>
      <c r="G1869" s="203">
        <v>533</v>
      </c>
      <c r="H1869" s="81">
        <v>714</v>
      </c>
      <c r="I1869" s="82">
        <f>=H1869*1.05</f>
        <v>749.7</v>
      </c>
      <c r="J1869" s="82">
        <f>=F1869*2</f>
        <v>1285.2</v>
      </c>
      <c r="K1869" s="82">
        <f>=H1869*2</f>
        <v>1428</v>
      </c>
      <c r="L1869" s="82">
        <f>=I1869*2</f>
        <v>1499.4</v>
      </c>
      <c r="M1869" s="83" t="s">
        <v>2007</v>
      </c>
      <c r="N1869" s="83">
        <v>0.18</v>
      </c>
      <c r="O1869" s="84" t="s"/>
      <c r="P1869" s="83">
        <v>1</v>
      </c>
      <c r="Q1869" s="83">
        <v>1</v>
      </c>
      <c r="R1869" s="83" t="s">
        <v>16</v>
      </c>
      <c r="S1869" s="83" t="s">
        <v>17</v>
      </c>
      <c r="T1869" s="83" t="s">
        <v>1080</v>
      </c>
      <c r="U1869" s="85" t="s">
        <v>13</v>
      </c>
      <c r="V1869" s="85" t="s">
        <v>1557</v>
      </c>
      <c r="W1869" s="204" t="s">
        <f>=M1869&amp;N1869&amp;P1869&amp;Q1869&amp;T1869&amp;V1869&amp;S1869</f>
        <v>2033</v>
      </c>
      <c r="X1869" s="18" t="s">
        <f>=M1869&amp;N1869&amp;P1869&amp;Q1869&amp;T1869&amp;V1869&amp;S1869</f>
        <v>2033</v>
      </c>
      <c r="Y1869" s="86" t="s"/>
      <c r="Z1869" s="86" t="s"/>
      <c r="AA1869" s="86" t="s"/>
      <c r="AB1869" s="86" t="s"/>
      <c r="AC1869" s="86" t="s"/>
    </row>
    <row r="1870" spans="1:28" ht="14.4">
      <c r="A1870" s="42">
        <f>=H1870/G1870-1</f>
        <v>0.1</v>
      </c>
      <c r="B1870" s="43">
        <f>=F1870/12</f>
        <v>50.325</v>
      </c>
      <c r="C1870" s="43">
        <f>=J1870/3</f>
        <v>402.6</v>
      </c>
      <c r="D1870" s="43">
        <f>=K1870/3</f>
        <v>447.333333333333</v>
      </c>
      <c r="E1870" s="43">
        <f>=L1870/3</f>
        <v>469.7</v>
      </c>
      <c r="F1870" s="43">
        <f>=H1870*0.9</f>
        <v>603.9</v>
      </c>
      <c r="G1870" s="27">
        <v>610</v>
      </c>
      <c r="H1870" s="44">
        <v>671</v>
      </c>
      <c r="I1870" s="45">
        <f>=H1870*1.05</f>
        <v>704.55</v>
      </c>
      <c r="J1870" s="45">
        <f>=F1870*2</f>
        <v>1207.8</v>
      </c>
      <c r="K1870" s="45">
        <f>=H1870*2</f>
        <v>1342</v>
      </c>
      <c r="L1870" s="45">
        <f>=I1870*2</f>
        <v>1409.1</v>
      </c>
      <c r="M1870" s="46" t="s">
        <v>2034</v>
      </c>
      <c r="N1870" s="46">
        <v>0.127</v>
      </c>
      <c r="O1870" s="46" t="s"/>
      <c r="P1870" s="46">
        <v>2</v>
      </c>
      <c r="Q1870" s="46">
        <v>2</v>
      </c>
      <c r="R1870" s="46" t="s">
        <v>16</v>
      </c>
      <c r="S1870" s="46" t="s">
        <v>17</v>
      </c>
      <c r="T1870" s="12" t="s">
        <v>2035</v>
      </c>
      <c r="U1870" s="13" t="s">
        <v>13</v>
      </c>
      <c r="V1870" s="13" t="s">
        <v>215</v>
      </c>
      <c r="W1870" s="15" t="s"/>
      <c r="X1870" s="18" t="s">
        <f>=M1870&amp;N1870&amp;P1870&amp;Q1870&amp;T1870&amp;V1870&amp;S1870</f>
        <v>2036</v>
      </c>
      <c r="Y1870" s="15" t="s"/>
      <c r="Z1870" s="15" t="s"/>
      <c r="AA1870" s="15" t="s"/>
      <c r="AB1870" s="15" t="s"/>
    </row>
    <row r="1871" spans="1:28" ht="14.4">
      <c r="A1871" s="4">
        <f>=H1871/G1871-1</f>
        <v>0.1</v>
      </c>
      <c r="B1871" s="20">
        <f>=F1871/12</f>
        <v>50.325</v>
      </c>
      <c r="C1871" s="20">
        <f>=J1871/3</f>
        <v>402.6</v>
      </c>
      <c r="D1871" s="20">
        <f>=K1871/3</f>
        <v>447.333333333333</v>
      </c>
      <c r="E1871" s="20">
        <f>=L1871/3</f>
        <v>469.7</v>
      </c>
      <c r="F1871" s="20">
        <f>=H1871*0.9</f>
        <v>603.9</v>
      </c>
      <c r="G1871" s="21">
        <v>610</v>
      </c>
      <c r="H1871" s="39">
        <v>671</v>
      </c>
      <c r="I1871" s="40">
        <f>=H1871*1.05</f>
        <v>704.55</v>
      </c>
      <c r="J1871" s="40">
        <f>=F1871*2</f>
        <v>1207.8</v>
      </c>
      <c r="K1871" s="40">
        <f>=H1871*2</f>
        <v>1342</v>
      </c>
      <c r="L1871" s="40">
        <f>=I1871*2</f>
        <v>1409.1</v>
      </c>
      <c r="M1871" s="41" t="s">
        <v>2034</v>
      </c>
      <c r="N1871" s="41">
        <v>0.127</v>
      </c>
      <c r="O1871" s="41" t="s"/>
      <c r="P1871" s="41">
        <v>2</v>
      </c>
      <c r="Q1871" s="41">
        <v>2</v>
      </c>
      <c r="R1871" s="41" t="s">
        <v>16</v>
      </c>
      <c r="S1871" s="41" t="s">
        <v>17</v>
      </c>
      <c r="T1871" s="41" t="s">
        <v>2037</v>
      </c>
      <c r="U1871" s="16" t="s">
        <v>13</v>
      </c>
      <c r="V1871" s="16" t="s">
        <v>215</v>
      </c>
      <c r="W1871" s="19" t="s"/>
      <c r="X1871" s="26" t="s">
        <f>=M1871&amp;N1871&amp;P1871&amp;Q1871&amp;T1871&amp;V1871&amp;S1871</f>
        <v>2038</v>
      </c>
      <c r="Y1871" s="19" t="s"/>
      <c r="Z1871" s="19" t="s"/>
      <c r="AA1871" s="19" t="s"/>
      <c r="AB1871" s="19" t="s"/>
    </row>
    <row r="1872" spans="1:28" ht="14.4">
      <c r="A1872" s="42">
        <f>=H1872/G1872-1</f>
        <v>-0.104651162790698</v>
      </c>
      <c r="B1872" s="43">
        <f>=F1872/12</f>
        <v>28.875</v>
      </c>
      <c r="C1872" s="43">
        <f>=J1872/3</f>
        <v>231</v>
      </c>
      <c r="D1872" s="43">
        <f>=K1872/3</f>
        <v>256.666666666667</v>
      </c>
      <c r="E1872" s="43">
        <f>=L1872/3</f>
        <v>269.5</v>
      </c>
      <c r="F1872" s="43">
        <f>=H1872*0.9</f>
        <v>346.5</v>
      </c>
      <c r="G1872" s="44">
        <v>430</v>
      </c>
      <c r="H1872" s="44">
        <v>385</v>
      </c>
      <c r="I1872" s="45">
        <f>=H1872*1.05</f>
        <v>404.25</v>
      </c>
      <c r="J1872" s="45">
        <f>=F1872*2</f>
        <v>693</v>
      </c>
      <c r="K1872" s="45">
        <f>=H1872*2</f>
        <v>770</v>
      </c>
      <c r="L1872" s="45">
        <f>=I1872*2</f>
        <v>808.5</v>
      </c>
      <c r="M1872" s="46" t="s">
        <v>2034</v>
      </c>
      <c r="N1872" s="46">
        <v>0.076</v>
      </c>
      <c r="O1872" s="46" t="s"/>
      <c r="P1872" s="46">
        <v>1</v>
      </c>
      <c r="Q1872" s="46">
        <v>1</v>
      </c>
      <c r="R1872" s="46" t="s">
        <v>16</v>
      </c>
      <c r="S1872" s="46" t="s">
        <v>17</v>
      </c>
      <c r="T1872" s="46" t="s">
        <v>1098</v>
      </c>
      <c r="U1872" s="13" t="s">
        <v>13</v>
      </c>
      <c r="V1872" s="13" t="s">
        <v>1693</v>
      </c>
      <c r="W1872" s="15" t="s"/>
      <c r="X1872" s="18" t="s">
        <f>=M1872&amp;N1872&amp;P1872&amp;Q1872&amp;T1872&amp;V1872&amp;S1872</f>
        <v>2039</v>
      </c>
      <c r="Y1872" s="15" t="s"/>
      <c r="Z1872" s="15" t="s"/>
      <c r="AA1872" s="15" t="s"/>
      <c r="AB1872" s="15" t="s"/>
    </row>
    <row r="1873" spans="1:28" ht="14.4">
      <c r="A1873" s="4">
        <f>=H1873/G1873-1</f>
        <v>0.1</v>
      </c>
      <c r="B1873" s="20">
        <f>=F1873/12</f>
        <v>35.475</v>
      </c>
      <c r="C1873" s="20">
        <f>=J1873/3</f>
        <v>283.8</v>
      </c>
      <c r="D1873" s="20">
        <f>=K1873/3</f>
        <v>315.333333333333</v>
      </c>
      <c r="E1873" s="20">
        <f>=L1873/3</f>
        <v>331.1</v>
      </c>
      <c r="F1873" s="20">
        <f>=H1873*0.9</f>
        <v>425.7</v>
      </c>
      <c r="G1873" s="21">
        <v>430</v>
      </c>
      <c r="H1873" s="39">
        <v>473</v>
      </c>
      <c r="I1873" s="40">
        <f>=H1873*1.05</f>
        <v>496.65</v>
      </c>
      <c r="J1873" s="40">
        <f>=F1873*2</f>
        <v>851.4</v>
      </c>
      <c r="K1873" s="40">
        <f>=H1873*2</f>
        <v>946</v>
      </c>
      <c r="L1873" s="40">
        <f>=I1873*2</f>
        <v>993.3</v>
      </c>
      <c r="M1873" s="41" t="s">
        <v>2034</v>
      </c>
      <c r="N1873" s="41">
        <v>0.076</v>
      </c>
      <c r="O1873" s="41" t="s"/>
      <c r="P1873" s="41">
        <v>1</v>
      </c>
      <c r="Q1873" s="41">
        <v>1</v>
      </c>
      <c r="R1873" s="41" t="s">
        <v>16</v>
      </c>
      <c r="S1873" s="41" t="s">
        <v>17</v>
      </c>
      <c r="T1873" s="41" t="s">
        <v>1098</v>
      </c>
      <c r="U1873" s="16" t="s">
        <v>13</v>
      </c>
      <c r="V1873" s="16" t="s">
        <v>1693</v>
      </c>
      <c r="W1873" s="19" t="s"/>
      <c r="X1873" s="26" t="s">
        <f>=M1873&amp;N1873&amp;P1873&amp;Q1873&amp;T1873&amp;V1873&amp;S1873</f>
        <v>2039</v>
      </c>
      <c r="Y1873" s="19" t="s"/>
      <c r="Z1873" s="19" t="s"/>
      <c r="AA1873" s="19" t="s"/>
      <c r="AB1873" s="19" t="s"/>
    </row>
    <row r="1874" spans="1:28" ht="14.4">
      <c r="A1874" s="4">
        <f>=H1874/G1874-1</f>
        <v>0.1</v>
      </c>
      <c r="B1874" s="20">
        <f>=F1874/12</f>
        <v>33</v>
      </c>
      <c r="C1874" s="20">
        <f>=J1874/3</f>
        <v>264</v>
      </c>
      <c r="D1874" s="20">
        <f>=K1874/3</f>
        <v>293.333333333333</v>
      </c>
      <c r="E1874" s="20">
        <f>=L1874/3</f>
        <v>308</v>
      </c>
      <c r="F1874" s="20">
        <f>=H1874*0.9</f>
        <v>396</v>
      </c>
      <c r="G1874" s="21">
        <v>400</v>
      </c>
      <c r="H1874" s="39">
        <v>440</v>
      </c>
      <c r="I1874" s="40">
        <f>=H1874*1.05</f>
        <v>462</v>
      </c>
      <c r="J1874" s="40">
        <f>=F1874*2</f>
        <v>792</v>
      </c>
      <c r="K1874" s="40">
        <f>=H1874*2</f>
        <v>880</v>
      </c>
      <c r="L1874" s="40">
        <f>=I1874*2</f>
        <v>924</v>
      </c>
      <c r="M1874" s="41" t="s">
        <v>2034</v>
      </c>
      <c r="N1874" s="41">
        <v>0.076</v>
      </c>
      <c r="O1874" s="41" t="s"/>
      <c r="P1874" s="41" t="s">
        <v>21</v>
      </c>
      <c r="Q1874" s="41">
        <v>1</v>
      </c>
      <c r="R1874" s="41" t="s">
        <v>16</v>
      </c>
      <c r="S1874" s="41" t="s">
        <v>17</v>
      </c>
      <c r="T1874" s="41" t="s">
        <v>1098</v>
      </c>
      <c r="U1874" s="16" t="s">
        <v>13</v>
      </c>
      <c r="V1874" s="16" t="s">
        <v>1693</v>
      </c>
      <c r="W1874" s="19" t="s"/>
      <c r="X1874" s="26" t="s">
        <f>=M1874&amp;N1874&amp;P1874&amp;Q1874&amp;T1874&amp;V1874&amp;S1874</f>
        <v>2040</v>
      </c>
      <c r="Y1874" s="19" t="s"/>
      <c r="Z1874" s="19" t="s"/>
      <c r="AA1874" s="19" t="s"/>
      <c r="AB1874" s="19" t="s"/>
    </row>
    <row r="1875" spans="1:28" ht="14.4">
      <c r="A1875" s="4">
        <f>=H1875/G1875-1</f>
        <v>0</v>
      </c>
      <c r="B1875" s="20">
        <f>=F1875/12</f>
        <v>48.375</v>
      </c>
      <c r="C1875" s="20">
        <f>=J1875/3</f>
        <v>387</v>
      </c>
      <c r="D1875" s="20">
        <f>=K1875/3</f>
        <v>430</v>
      </c>
      <c r="E1875" s="20">
        <f>=L1875/3</f>
        <v>451.5</v>
      </c>
      <c r="F1875" s="20">
        <f>=H1875*0.9</f>
        <v>580.5</v>
      </c>
      <c r="G1875" s="21">
        <v>645</v>
      </c>
      <c r="H1875" s="39">
        <v>645</v>
      </c>
      <c r="I1875" s="40">
        <f>=H1875*1.05</f>
        <v>677.25</v>
      </c>
      <c r="J1875" s="40">
        <f>=F1875*2</f>
        <v>1161</v>
      </c>
      <c r="K1875" s="40">
        <f>=H1875*2</f>
        <v>1290</v>
      </c>
      <c r="L1875" s="40">
        <f>=I1875*2</f>
        <v>1354.5</v>
      </c>
      <c r="M1875" s="41" t="s">
        <v>2034</v>
      </c>
      <c r="N1875" s="41">
        <v>0.089</v>
      </c>
      <c r="O1875" s="41" t="s"/>
      <c r="P1875" s="41">
        <v>1</v>
      </c>
      <c r="Q1875" s="41">
        <v>1</v>
      </c>
      <c r="R1875" s="41" t="s">
        <v>16</v>
      </c>
      <c r="S1875" s="41" t="s">
        <v>17</v>
      </c>
      <c r="T1875" s="41" t="s">
        <v>1078</v>
      </c>
      <c r="U1875" s="16" t="s">
        <v>13</v>
      </c>
      <c r="V1875" s="16" t="s">
        <v>1446</v>
      </c>
      <c r="W1875" s="54">
        <v>46126</v>
      </c>
      <c r="X1875" s="26" t="s">
        <f>=M1875&amp;N1875&amp;P1875&amp;Q1875&amp;T1875&amp;V1875&amp;S1875</f>
        <v>2041</v>
      </c>
      <c r="Y1875" s="19" t="s"/>
      <c r="Z1875" s="19" t="s"/>
      <c r="AA1875" s="19" t="s"/>
      <c r="AB1875" s="19" t="s"/>
    </row>
    <row r="1876" spans="1:28" ht="14.4">
      <c r="A1876" s="42">
        <f>=H1876/G1876-1</f>
        <v>0</v>
      </c>
      <c r="B1876" s="43">
        <f>=F1876/12</f>
        <v>58.5</v>
      </c>
      <c r="C1876" s="43">
        <f>=J1876/3</f>
        <v>468</v>
      </c>
      <c r="D1876" s="43">
        <f>=K1876/3</f>
        <v>520</v>
      </c>
      <c r="E1876" s="43">
        <f>=L1876/3</f>
        <v>546</v>
      </c>
      <c r="F1876" s="43">
        <f>=H1876*0.9</f>
        <v>702</v>
      </c>
      <c r="G1876" s="27">
        <v>780</v>
      </c>
      <c r="H1876" s="44">
        <v>780</v>
      </c>
      <c r="I1876" s="45">
        <f>=H1876*1.05</f>
        <v>819</v>
      </c>
      <c r="J1876" s="45">
        <f>=F1876*2</f>
        <v>1404</v>
      </c>
      <c r="K1876" s="45">
        <f>=H1876*2</f>
        <v>1560</v>
      </c>
      <c r="L1876" s="45">
        <f>=I1876*2</f>
        <v>1638</v>
      </c>
      <c r="M1876" s="46" t="s">
        <v>2034</v>
      </c>
      <c r="N1876" s="46">
        <v>0.089</v>
      </c>
      <c r="O1876" s="46" t="s"/>
      <c r="P1876" s="46">
        <v>1</v>
      </c>
      <c r="Q1876" s="46">
        <v>2</v>
      </c>
      <c r="R1876" s="46" t="s">
        <v>16</v>
      </c>
      <c r="S1876" s="46" t="s">
        <v>17</v>
      </c>
      <c r="T1876" s="12" t="s">
        <v>225</v>
      </c>
      <c r="U1876" s="13" t="s">
        <v>13</v>
      </c>
      <c r="V1876" s="13" t="s">
        <v>2008</v>
      </c>
      <c r="W1876" s="125">
        <v>46126</v>
      </c>
      <c r="X1876" s="18" t="s">
        <f>=M1876&amp;N1876&amp;P1876&amp;Q1876&amp;T1876&amp;V1876&amp;S1876</f>
        <v>2042</v>
      </c>
      <c r="Y1876" s="15" t="s"/>
      <c r="Z1876" s="15" t="s"/>
      <c r="AA1876" s="15" t="s"/>
      <c r="AB1876" s="15" t="s"/>
    </row>
    <row r="1877" spans="1:28" ht="14.4">
      <c r="A1877" s="4">
        <f>=H1877/G1877-1</f>
        <v>0</v>
      </c>
      <c r="B1877" s="20">
        <f>=F1877/12</f>
        <v>58.5</v>
      </c>
      <c r="C1877" s="20">
        <f>=J1877/3</f>
        <v>468</v>
      </c>
      <c r="D1877" s="20">
        <f>=K1877/3</f>
        <v>520</v>
      </c>
      <c r="E1877" s="20">
        <f>=L1877/3</f>
        <v>546</v>
      </c>
      <c r="F1877" s="20">
        <f>=H1877*0.9</f>
        <v>702</v>
      </c>
      <c r="G1877" s="21">
        <v>780</v>
      </c>
      <c r="H1877" s="39">
        <v>780</v>
      </c>
      <c r="I1877" s="40">
        <f>=H1877*1.05</f>
        <v>819</v>
      </c>
      <c r="J1877" s="40">
        <f>=F1877*2</f>
        <v>1404</v>
      </c>
      <c r="K1877" s="40">
        <f>=H1877*2</f>
        <v>1560</v>
      </c>
      <c r="L1877" s="40">
        <f>=I1877*2</f>
        <v>1638</v>
      </c>
      <c r="M1877" s="41" t="s">
        <v>2034</v>
      </c>
      <c r="N1877" s="41">
        <v>0.089</v>
      </c>
      <c r="O1877" s="41" t="s"/>
      <c r="P1877" s="41">
        <v>1</v>
      </c>
      <c r="Q1877" s="41">
        <v>2</v>
      </c>
      <c r="R1877" s="41" t="s">
        <v>16</v>
      </c>
      <c r="S1877" s="41" t="s">
        <v>17</v>
      </c>
      <c r="T1877" s="41" t="s">
        <v>1078</v>
      </c>
      <c r="U1877" s="16" t="s">
        <v>13</v>
      </c>
      <c r="V1877" s="16" t="s">
        <v>2008</v>
      </c>
      <c r="W1877" s="54">
        <v>46126</v>
      </c>
      <c r="X1877" s="26" t="s">
        <f>=M1877&amp;N1877&amp;P1877&amp;Q1877&amp;T1877&amp;V1877&amp;S1877</f>
        <v>2043</v>
      </c>
      <c r="Y1877" s="19" t="s"/>
      <c r="Z1877" s="19" t="s"/>
      <c r="AA1877" s="19" t="s"/>
      <c r="AB1877" s="19" t="s"/>
    </row>
    <row r="1878" spans="1:28" ht="14.4">
      <c r="A1878" s="4">
        <f>=H1878/G1878-1</f>
        <v>0.101149425287356</v>
      </c>
      <c r="B1878" s="20">
        <f>=F1878/12</f>
        <v>35.925</v>
      </c>
      <c r="C1878" s="20">
        <f>=J1878/3</f>
        <v>287.4</v>
      </c>
      <c r="D1878" s="20">
        <f>=K1878/3</f>
        <v>319.333333333333</v>
      </c>
      <c r="E1878" s="20">
        <f>=L1878/3</f>
        <v>335.3</v>
      </c>
      <c r="F1878" s="20">
        <f>=H1878*0.9</f>
        <v>431.1</v>
      </c>
      <c r="G1878" s="21">
        <v>435</v>
      </c>
      <c r="H1878" s="39">
        <v>479</v>
      </c>
      <c r="I1878" s="40">
        <f>=H1878*1.05</f>
        <v>502.95</v>
      </c>
      <c r="J1878" s="40">
        <f>=F1878*2</f>
        <v>862.2</v>
      </c>
      <c r="K1878" s="40">
        <f>=H1878*2</f>
        <v>958</v>
      </c>
      <c r="L1878" s="40">
        <f>=I1878*2</f>
        <v>1005.9</v>
      </c>
      <c r="M1878" s="41" t="s">
        <v>2034</v>
      </c>
      <c r="N1878" s="41">
        <v>0.102</v>
      </c>
      <c r="O1878" s="41" t="s"/>
      <c r="P1878" s="41">
        <v>1</v>
      </c>
      <c r="Q1878" s="41">
        <v>2</v>
      </c>
      <c r="R1878" s="41" t="s">
        <v>16</v>
      </c>
      <c r="S1878" s="41" t="s">
        <v>17</v>
      </c>
      <c r="T1878" s="41" t="s">
        <v>1078</v>
      </c>
      <c r="U1878" s="16" t="s">
        <v>13</v>
      </c>
      <c r="V1878" s="16" t="s">
        <v>215</v>
      </c>
      <c r="W1878" s="19" t="s"/>
      <c r="X1878" s="26" t="s">
        <f>=M1878&amp;N1878&amp;P1878&amp;Q1878&amp;T1878&amp;V1878&amp;S1878</f>
        <v>2044</v>
      </c>
      <c r="Y1878" s="19" t="s"/>
      <c r="Z1878" s="19" t="s"/>
      <c r="AA1878" s="19" t="s"/>
      <c r="AB1878" s="19" t="s"/>
    </row>
    <row r="1879" spans="1:28" ht="14.4">
      <c r="A1879" s="4">
        <f>=H1879/G1879-1</f>
        <v>0.100970873786408</v>
      </c>
      <c r="B1879" s="20">
        <f>=F1879/12</f>
        <v>42.525</v>
      </c>
      <c r="C1879" s="20">
        <f>=J1879/3</f>
        <v>340.2</v>
      </c>
      <c r="D1879" s="20">
        <f>=K1879/3</f>
        <v>378</v>
      </c>
      <c r="E1879" s="20">
        <f>=L1879/3</f>
        <v>396.9</v>
      </c>
      <c r="F1879" s="20">
        <f>=H1879*0.9</f>
        <v>510.3</v>
      </c>
      <c r="G1879" s="21">
        <v>515</v>
      </c>
      <c r="H1879" s="39">
        <v>567</v>
      </c>
      <c r="I1879" s="40">
        <f>=H1879*1.05</f>
        <v>595.35</v>
      </c>
      <c r="J1879" s="40">
        <f>=F1879*2</f>
        <v>1020.6</v>
      </c>
      <c r="K1879" s="40">
        <f>=H1879*2</f>
        <v>1134</v>
      </c>
      <c r="L1879" s="40">
        <f>=I1879*2</f>
        <v>1190.7</v>
      </c>
      <c r="M1879" s="41" t="s">
        <v>2034</v>
      </c>
      <c r="N1879" s="41">
        <v>0.102</v>
      </c>
      <c r="O1879" s="41" t="s"/>
      <c r="P1879" s="41">
        <v>1</v>
      </c>
      <c r="Q1879" s="41">
        <v>1</v>
      </c>
      <c r="R1879" s="41" t="s">
        <v>16</v>
      </c>
      <c r="S1879" s="41" t="s">
        <v>17</v>
      </c>
      <c r="T1879" s="41" t="s">
        <v>1078</v>
      </c>
      <c r="U1879" s="16" t="s">
        <v>13</v>
      </c>
      <c r="V1879" s="16" t="s">
        <v>1693</v>
      </c>
      <c r="W1879" s="19" t="s"/>
      <c r="X1879" s="26" t="s">
        <f>=M1879&amp;N1879&amp;P1879&amp;Q1879&amp;T1879&amp;V1879&amp;S1879</f>
        <v>2045</v>
      </c>
      <c r="Y1879" s="19" t="s"/>
      <c r="Z1879" s="19" t="s"/>
      <c r="AA1879" s="19" t="s"/>
      <c r="AB1879" s="19" t="s"/>
    </row>
    <row r="1880" spans="1:28" ht="14.4">
      <c r="A1880" s="4">
        <f>=H1880/G1880-1</f>
        <v>0.101098901098901</v>
      </c>
      <c r="B1880" s="20">
        <f>=F1880/12</f>
        <v>37.575</v>
      </c>
      <c r="C1880" s="20">
        <f>=J1880/3</f>
        <v>300.6</v>
      </c>
      <c r="D1880" s="20">
        <f>=K1880/3</f>
        <v>334</v>
      </c>
      <c r="E1880" s="20">
        <f>=L1880/3</f>
        <v>350.7</v>
      </c>
      <c r="F1880" s="20">
        <f>=H1880*0.9</f>
        <v>450.9</v>
      </c>
      <c r="G1880" s="21">
        <v>455</v>
      </c>
      <c r="H1880" s="39">
        <v>501</v>
      </c>
      <c r="I1880" s="40">
        <f>=H1880*1.05</f>
        <v>526.05</v>
      </c>
      <c r="J1880" s="40">
        <f>=F1880*2</f>
        <v>901.8</v>
      </c>
      <c r="K1880" s="40">
        <f>=H1880*2</f>
        <v>1002</v>
      </c>
      <c r="L1880" s="40">
        <f>=I1880*2</f>
        <v>1052.1</v>
      </c>
      <c r="M1880" s="41" t="s">
        <v>2034</v>
      </c>
      <c r="N1880" s="41">
        <v>0.102</v>
      </c>
      <c r="O1880" s="41" t="s"/>
      <c r="P1880" s="41">
        <v>2</v>
      </c>
      <c r="Q1880" s="41">
        <v>2</v>
      </c>
      <c r="R1880" s="41" t="s">
        <v>16</v>
      </c>
      <c r="S1880" s="41" t="s">
        <v>17</v>
      </c>
      <c r="T1880" s="41" t="s">
        <v>1078</v>
      </c>
      <c r="U1880" s="16" t="s">
        <v>13</v>
      </c>
      <c r="V1880" s="16" t="s">
        <v>215</v>
      </c>
      <c r="W1880" s="19" t="s"/>
      <c r="X1880" s="26" t="s">
        <f>=M1880&amp;N1880&amp;P1880&amp;Q1880&amp;T1880&amp;V1880&amp;S1880</f>
        <v>2046</v>
      </c>
      <c r="Y1880" s="56" t="s"/>
      <c r="Z1880" s="56" t="s"/>
      <c r="AA1880" s="56" t="s"/>
      <c r="AB1880" s="56" t="s"/>
    </row>
    <row r="1881" spans="1:28" ht="14.4">
      <c r="A1881" s="4">
        <f>=H1881/G1881-1</f>
        <v>0.101298701298701</v>
      </c>
      <c r="B1881" s="20">
        <f>=F1881/12</f>
        <v>31.8</v>
      </c>
      <c r="C1881" s="20">
        <f>=J1881/3</f>
        <v>254.4</v>
      </c>
      <c r="D1881" s="20">
        <f>=K1881/3</f>
        <v>282.666666666667</v>
      </c>
      <c r="E1881" s="20">
        <f>=L1881/3</f>
        <v>296.8</v>
      </c>
      <c r="F1881" s="20">
        <f>=H1881*0.9</f>
        <v>381.6</v>
      </c>
      <c r="G1881" s="21">
        <v>385</v>
      </c>
      <c r="H1881" s="39">
        <v>424</v>
      </c>
      <c r="I1881" s="40">
        <f>=H1881*1.05</f>
        <v>445.2</v>
      </c>
      <c r="J1881" s="40">
        <f>=F1881*2</f>
        <v>763.2</v>
      </c>
      <c r="K1881" s="40">
        <f>=H1881*2</f>
        <v>848</v>
      </c>
      <c r="L1881" s="40">
        <f>=I1881*2</f>
        <v>890.4</v>
      </c>
      <c r="M1881" s="41" t="s">
        <v>2034</v>
      </c>
      <c r="N1881" s="41">
        <v>0.102</v>
      </c>
      <c r="O1881" s="41" t="s"/>
      <c r="P1881" s="41" t="s">
        <v>21</v>
      </c>
      <c r="Q1881" s="41">
        <v>1</v>
      </c>
      <c r="R1881" s="41" t="s">
        <v>16</v>
      </c>
      <c r="S1881" s="41" t="s">
        <v>17</v>
      </c>
      <c r="T1881" s="41" t="s">
        <v>639</v>
      </c>
      <c r="U1881" s="16" t="s">
        <v>13</v>
      </c>
      <c r="V1881" s="16" t="s">
        <v>1693</v>
      </c>
      <c r="W1881" s="19" t="s"/>
      <c r="X1881" s="26" t="s">
        <f>=M1881&amp;N1881&amp;P1881&amp;Q1881&amp;T1881&amp;V1881&amp;S1881</f>
        <v>2047</v>
      </c>
      <c r="Y1881" s="56" t="s"/>
      <c r="Z1881" s="56" t="s"/>
      <c r="AA1881" s="56" t="s"/>
      <c r="AB1881" s="56" t="s"/>
    </row>
    <row r="1882" spans="1:28" ht="14.4">
      <c r="A1882" s="4">
        <f>=H1882/G1882-1</f>
        <v>0.1</v>
      </c>
      <c r="B1882" s="20">
        <f>=F1882/12</f>
        <v>39.6</v>
      </c>
      <c r="C1882" s="20">
        <f>=J1882/3</f>
        <v>316.8</v>
      </c>
      <c r="D1882" s="20">
        <f>=K1882/3</f>
        <v>352</v>
      </c>
      <c r="E1882" s="20">
        <f>=L1882/3</f>
        <v>369.6</v>
      </c>
      <c r="F1882" s="20">
        <f>=H1882*0.9</f>
        <v>475.2</v>
      </c>
      <c r="G1882" s="21">
        <v>480</v>
      </c>
      <c r="H1882" s="39">
        <v>528</v>
      </c>
      <c r="I1882" s="40">
        <f>=H1882*1.05</f>
        <v>554.4</v>
      </c>
      <c r="J1882" s="40">
        <f>=F1882*2</f>
        <v>950.4</v>
      </c>
      <c r="K1882" s="40">
        <f>=H1882*2</f>
        <v>1056</v>
      </c>
      <c r="L1882" s="40">
        <f>=I1882*2</f>
        <v>1108.8</v>
      </c>
      <c r="M1882" s="41" t="s">
        <v>2034</v>
      </c>
      <c r="N1882" s="41">
        <v>0.102</v>
      </c>
      <c r="O1882" s="41" t="s"/>
      <c r="P1882" s="41" t="s">
        <v>21</v>
      </c>
      <c r="Q1882" s="41" t="s">
        <v>21</v>
      </c>
      <c r="R1882" s="41" t="s">
        <v>16</v>
      </c>
      <c r="S1882" s="41" t="s">
        <v>17</v>
      </c>
      <c r="T1882" s="41" t="s">
        <v>1078</v>
      </c>
      <c r="U1882" s="16" t="s">
        <v>13</v>
      </c>
      <c r="V1882" s="16" t="s">
        <v>1693</v>
      </c>
      <c r="W1882" s="19" t="s"/>
      <c r="X1882" s="26" t="s">
        <f>=M1882&amp;N1882&amp;P1882&amp;Q1882&amp;T1882&amp;V1882&amp;S1882</f>
        <v>2048</v>
      </c>
      <c r="Y1882" s="19" t="s"/>
      <c r="Z1882" s="19" t="s"/>
      <c r="AA1882" s="19" t="s"/>
      <c r="AB1882" s="19" t="s"/>
    </row>
    <row r="1883" spans="1:28" ht="14.4">
      <c r="A1883" s="4">
        <f>=H1883/G1883-1</f>
        <v>0.1</v>
      </c>
      <c r="B1883" s="20">
        <f>=F1883/12</f>
        <v>41.25</v>
      </c>
      <c r="C1883" s="20">
        <f>=J1883/3</f>
        <v>330</v>
      </c>
      <c r="D1883" s="20">
        <f>=K1883/3</f>
        <v>366.666666666667</v>
      </c>
      <c r="E1883" s="20">
        <f>=L1883/3</f>
        <v>385</v>
      </c>
      <c r="F1883" s="20">
        <f>=H1883*0.9</f>
        <v>495</v>
      </c>
      <c r="G1883" s="21">
        <v>500</v>
      </c>
      <c r="H1883" s="39">
        <v>550</v>
      </c>
      <c r="I1883" s="40">
        <f>=H1883*1.05</f>
        <v>577.5</v>
      </c>
      <c r="J1883" s="40">
        <f>=F1883*2</f>
        <v>990</v>
      </c>
      <c r="K1883" s="40">
        <f>=H1883*2</f>
        <v>1100</v>
      </c>
      <c r="L1883" s="40">
        <f>=I1883*2</f>
        <v>1155</v>
      </c>
      <c r="M1883" s="41" t="s">
        <v>2034</v>
      </c>
      <c r="N1883" s="41">
        <v>0.127</v>
      </c>
      <c r="O1883" s="41" t="s"/>
      <c r="P1883" s="41">
        <v>1</v>
      </c>
      <c r="Q1883" s="41">
        <v>1</v>
      </c>
      <c r="R1883" s="41" t="s">
        <v>16</v>
      </c>
      <c r="S1883" s="41" t="s">
        <v>17</v>
      </c>
      <c r="T1883" s="41" t="s">
        <v>23</v>
      </c>
      <c r="U1883" s="16" t="s">
        <v>13</v>
      </c>
      <c r="V1883" s="16" t="s">
        <v>1693</v>
      </c>
      <c r="W1883" s="19" t="s"/>
      <c r="X1883" s="26" t="s">
        <f>=M1883&amp;N1883&amp;P1883&amp;Q1883&amp;T1883&amp;V1883&amp;S1883</f>
        <v>2049</v>
      </c>
      <c r="Y1883" s="19" t="s"/>
      <c r="Z1883" s="19" t="s"/>
      <c r="AA1883" s="19" t="s"/>
      <c r="AB1883" s="19" t="s"/>
    </row>
    <row r="1884" spans="1:28" ht="14.4">
      <c r="A1884" s="4">
        <f>=H1884/G1884-1</f>
        <v>0</v>
      </c>
      <c r="B1884" s="20">
        <f>=F1884/12</f>
        <v>40.5</v>
      </c>
      <c r="C1884" s="20">
        <f>=J1884/3</f>
        <v>324</v>
      </c>
      <c r="D1884" s="20">
        <f>=K1884/3</f>
        <v>360</v>
      </c>
      <c r="E1884" s="20">
        <f>=L1884/3</f>
        <v>378</v>
      </c>
      <c r="F1884" s="20">
        <f>=H1884*0.9</f>
        <v>486</v>
      </c>
      <c r="G1884" s="21">
        <v>540</v>
      </c>
      <c r="H1884" s="39">
        <v>540</v>
      </c>
      <c r="I1884" s="40">
        <f>=H1884*1.05</f>
        <v>567</v>
      </c>
      <c r="J1884" s="40">
        <f>=F1884*2</f>
        <v>972</v>
      </c>
      <c r="K1884" s="40">
        <f>=H1884*2</f>
        <v>1080</v>
      </c>
      <c r="L1884" s="40">
        <f>=I1884*2</f>
        <v>1134</v>
      </c>
      <c r="M1884" s="41" t="s">
        <v>2034</v>
      </c>
      <c r="N1884" s="41">
        <v>0.127</v>
      </c>
      <c r="O1884" s="41" t="s"/>
      <c r="P1884" s="41" t="s">
        <v>21</v>
      </c>
      <c r="Q1884" s="41" t="s">
        <v>21</v>
      </c>
      <c r="R1884" s="41" t="s">
        <v>16</v>
      </c>
      <c r="S1884" s="41" t="s">
        <v>17</v>
      </c>
      <c r="T1884" s="205" t="s">
        <v>2037</v>
      </c>
      <c r="U1884" s="16" t="s">
        <v>13</v>
      </c>
      <c r="V1884" s="16" t="s">
        <v>1446</v>
      </c>
      <c r="W1884" s="54">
        <v>46126</v>
      </c>
      <c r="X1884" s="26" t="s">
        <f>=M1884&amp;N1884&amp;P1884&amp;Q1884&amp;T1884&amp;V1884&amp;S1884</f>
        <v>2050</v>
      </c>
      <c r="Y1884" s="19" t="s"/>
      <c r="Z1884" s="19" t="s"/>
      <c r="AA1884" s="19" t="s"/>
      <c r="AB1884" s="19" t="s"/>
    </row>
    <row r="1885" spans="1:28" ht="14.4">
      <c r="A1885" s="4">
        <f>=H1885/G1885-1</f>
        <v>0.100719424460432</v>
      </c>
      <c r="B1885" s="20">
        <f>=F1885/12</f>
        <v>45.9</v>
      </c>
      <c r="C1885" s="20">
        <f>=J1885/3</f>
        <v>367.2</v>
      </c>
      <c r="D1885" s="20">
        <f>=K1885/3</f>
        <v>408</v>
      </c>
      <c r="E1885" s="20">
        <f>=L1885/3</f>
        <v>428.4</v>
      </c>
      <c r="F1885" s="20">
        <f>=H1885*0.9</f>
        <v>550.8</v>
      </c>
      <c r="G1885" s="21">
        <v>556</v>
      </c>
      <c r="H1885" s="39">
        <v>612</v>
      </c>
      <c r="I1885" s="40">
        <f>=H1885*1.05</f>
        <v>642.6</v>
      </c>
      <c r="J1885" s="40">
        <f>=F1885*2</f>
        <v>1101.6</v>
      </c>
      <c r="K1885" s="40">
        <f>=H1885*2</f>
        <v>1224</v>
      </c>
      <c r="L1885" s="40">
        <f>=I1885*2</f>
        <v>1285.2</v>
      </c>
      <c r="M1885" s="41" t="s">
        <v>2034</v>
      </c>
      <c r="N1885" s="41">
        <v>0.127</v>
      </c>
      <c r="O1885" s="41" t="s"/>
      <c r="P1885" s="41" t="s">
        <v>21</v>
      </c>
      <c r="Q1885" s="41" t="s">
        <v>21</v>
      </c>
      <c r="R1885" s="41" t="s">
        <v>16</v>
      </c>
      <c r="S1885" s="41" t="s">
        <v>17</v>
      </c>
      <c r="T1885" s="205" t="s">
        <v>2037</v>
      </c>
      <c r="U1885" s="16" t="s">
        <v>13</v>
      </c>
      <c r="V1885" s="16" t="s">
        <v>1693</v>
      </c>
      <c r="W1885" s="19" t="s"/>
      <c r="X1885" s="26" t="s">
        <f>=M1885&amp;N1885&amp;P1885&amp;Q1885&amp;T1885&amp;V1885&amp;S1885</f>
        <v>2051</v>
      </c>
      <c r="Y1885" s="19" t="s"/>
      <c r="Z1885" s="19" t="s"/>
      <c r="AA1885" s="19" t="s"/>
      <c r="AB1885" s="19" t="s"/>
    </row>
    <row r="1886" spans="1:28" ht="14.4">
      <c r="A1886" s="4">
        <f>=H1886/G1886-1</f>
        <v>0.100970873786408</v>
      </c>
      <c r="B1886" s="20">
        <f>=F1886/12</f>
        <v>42.525</v>
      </c>
      <c r="C1886" s="20">
        <f>=J1886/3</f>
        <v>340.2</v>
      </c>
      <c r="D1886" s="20">
        <f>=K1886/3</f>
        <v>378</v>
      </c>
      <c r="E1886" s="20">
        <f>=L1886/3</f>
        <v>396.9</v>
      </c>
      <c r="F1886" s="20">
        <f>=H1886*0.9</f>
        <v>510.3</v>
      </c>
      <c r="G1886" s="21">
        <v>515</v>
      </c>
      <c r="H1886" s="39">
        <v>567</v>
      </c>
      <c r="I1886" s="40">
        <f>=H1886*1.05</f>
        <v>595.35</v>
      </c>
      <c r="J1886" s="40">
        <f>=F1886*2</f>
        <v>1020.6</v>
      </c>
      <c r="K1886" s="40">
        <f>=H1886*2</f>
        <v>1134</v>
      </c>
      <c r="L1886" s="40">
        <f>=I1886*2</f>
        <v>1190.7</v>
      </c>
      <c r="M1886" s="41" t="s">
        <v>2034</v>
      </c>
      <c r="N1886" s="41">
        <v>0.127</v>
      </c>
      <c r="O1886" s="41" t="s"/>
      <c r="P1886" s="41">
        <v>1</v>
      </c>
      <c r="Q1886" s="41">
        <v>1</v>
      </c>
      <c r="R1886" s="41" t="s">
        <v>16</v>
      </c>
      <c r="S1886" s="41" t="s">
        <v>17</v>
      </c>
      <c r="T1886" s="41" t="s">
        <v>1078</v>
      </c>
      <c r="U1886" s="16" t="s">
        <v>13</v>
      </c>
      <c r="V1886" s="16" t="s">
        <v>1693</v>
      </c>
      <c r="W1886" s="19" t="s"/>
      <c r="X1886" s="26" t="s">
        <f>=M1886&amp;N1886&amp;P1886&amp;Q1886&amp;T1886&amp;V1886&amp;S1886</f>
        <v>2052</v>
      </c>
      <c r="Y1886" s="19" t="s"/>
      <c r="Z1886" s="19" t="s"/>
      <c r="AA1886" s="19" t="s"/>
      <c r="AB1886" s="19" t="s"/>
    </row>
    <row r="1887" spans="1:28" ht="14.4">
      <c r="A1887" s="4">
        <f>=H1887/G1887-1</f>
        <v>0.1</v>
      </c>
      <c r="B1887" s="20">
        <f>=F1887/12</f>
        <v>42.9</v>
      </c>
      <c r="C1887" s="20">
        <f>=J1887/3</f>
        <v>343.2</v>
      </c>
      <c r="D1887" s="20">
        <f>=K1887/3</f>
        <v>381.333333333333</v>
      </c>
      <c r="E1887" s="20">
        <f>=L1887/3</f>
        <v>400.4</v>
      </c>
      <c r="F1887" s="20">
        <f>=H1887*0.9</f>
        <v>514.8</v>
      </c>
      <c r="G1887" s="21">
        <v>520</v>
      </c>
      <c r="H1887" s="39">
        <v>572</v>
      </c>
      <c r="I1887" s="40">
        <f>=H1887*1.05</f>
        <v>600.6</v>
      </c>
      <c r="J1887" s="40">
        <f>=F1887*2</f>
        <v>1029.6</v>
      </c>
      <c r="K1887" s="40">
        <f>=H1887*2</f>
        <v>1144</v>
      </c>
      <c r="L1887" s="40">
        <f>=I1887*2</f>
        <v>1201.2</v>
      </c>
      <c r="M1887" s="41" t="s">
        <v>2034</v>
      </c>
      <c r="N1887" s="41">
        <v>0.127</v>
      </c>
      <c r="O1887" s="41" t="s"/>
      <c r="P1887" s="41">
        <v>1</v>
      </c>
      <c r="Q1887" s="41">
        <v>1</v>
      </c>
      <c r="R1887" s="41" t="s">
        <v>16</v>
      </c>
      <c r="S1887" s="41" t="s">
        <v>17</v>
      </c>
      <c r="T1887" s="41" t="s">
        <v>1080</v>
      </c>
      <c r="U1887" s="16" t="s">
        <v>13</v>
      </c>
      <c r="V1887" s="16" t="s">
        <v>1693</v>
      </c>
      <c r="W1887" s="19" t="s"/>
      <c r="X1887" s="26" t="s">
        <f>=M1887&amp;N1887&amp;P1887&amp;Q1887&amp;T1887&amp;V1887&amp;S1887</f>
        <v>2053</v>
      </c>
      <c r="Y1887" s="19" t="s"/>
      <c r="Z1887" s="19" t="s"/>
      <c r="AA1887" s="19" t="s"/>
      <c r="AB1887" s="19" t="s"/>
    </row>
    <row r="1888" spans="1:28" ht="14.4">
      <c r="A1888" s="4">
        <f>=H1888/G1888-1</f>
        <v>0.1</v>
      </c>
      <c r="B1888" s="20">
        <f>=F1888/12</f>
        <v>51.15</v>
      </c>
      <c r="C1888" s="20">
        <f>=J1888/3</f>
        <v>409.2</v>
      </c>
      <c r="D1888" s="20">
        <f>=K1888/3</f>
        <v>454.666666666667</v>
      </c>
      <c r="E1888" s="20">
        <f>=L1888/3</f>
        <v>477.4</v>
      </c>
      <c r="F1888" s="20">
        <f>=H1888*0.9</f>
        <v>613.8</v>
      </c>
      <c r="G1888" s="21">
        <v>620</v>
      </c>
      <c r="H1888" s="39">
        <v>682</v>
      </c>
      <c r="I1888" s="40">
        <f>=H1888*1.05</f>
        <v>716.1</v>
      </c>
      <c r="J1888" s="40">
        <f>=F1888*2</f>
        <v>1227.6</v>
      </c>
      <c r="K1888" s="40">
        <f>=H1888*2</f>
        <v>1364</v>
      </c>
      <c r="L1888" s="40">
        <f>=I1888*2</f>
        <v>1432.2</v>
      </c>
      <c r="M1888" s="41" t="s">
        <v>2034</v>
      </c>
      <c r="N1888" s="41">
        <v>0.127</v>
      </c>
      <c r="O1888" s="41" t="s"/>
      <c r="P1888" s="41">
        <v>2</v>
      </c>
      <c r="Q1888" s="41">
        <v>2</v>
      </c>
      <c r="R1888" s="41" t="s">
        <v>16</v>
      </c>
      <c r="S1888" s="41" t="s">
        <v>17</v>
      </c>
      <c r="T1888" s="41" t="s">
        <v>23</v>
      </c>
      <c r="U1888" s="16" t="s">
        <v>13</v>
      </c>
      <c r="V1888" s="16" t="s">
        <v>215</v>
      </c>
      <c r="W1888" s="19" t="s"/>
      <c r="X1888" s="26" t="s">
        <f>=M1888&amp;N1888&amp;P1888&amp;Q1888&amp;T1888&amp;V1888&amp;S1888</f>
        <v>2054</v>
      </c>
      <c r="Y1888" s="19" t="s"/>
      <c r="Z1888" s="19" t="s"/>
      <c r="AA1888" s="19" t="s"/>
      <c r="AB1888" s="19" t="s"/>
    </row>
    <row r="1889" spans="1:28" ht="14.4">
      <c r="A1889" s="4">
        <f>=H1889/G1889-1</f>
        <v>0.0992063492063493</v>
      </c>
      <c r="B1889" s="20">
        <f>=F1889/12</f>
        <v>41.55</v>
      </c>
      <c r="C1889" s="20">
        <f>=J1889/3</f>
        <v>332.4</v>
      </c>
      <c r="D1889" s="20">
        <f>=K1889/3</f>
        <v>369.333333333333</v>
      </c>
      <c r="E1889" s="20">
        <f>=L1889/3</f>
        <v>387.8</v>
      </c>
      <c r="F1889" s="20">
        <f>=H1889*0.9</f>
        <v>498.6</v>
      </c>
      <c r="G1889" s="21">
        <v>504</v>
      </c>
      <c r="H1889" s="39">
        <v>554</v>
      </c>
      <c r="I1889" s="40">
        <f>=H1889*1.05</f>
        <v>581.7</v>
      </c>
      <c r="J1889" s="40">
        <f>=F1889*2</f>
        <v>997.2</v>
      </c>
      <c r="K1889" s="40">
        <f>=H1889*2</f>
        <v>1108</v>
      </c>
      <c r="L1889" s="40">
        <f>=I1889*2</f>
        <v>1163.4</v>
      </c>
      <c r="M1889" s="41" t="s">
        <v>2034</v>
      </c>
      <c r="N1889" s="41">
        <v>0.152</v>
      </c>
      <c r="O1889" s="41" t="s"/>
      <c r="P1889" s="41" t="s">
        <v>21</v>
      </c>
      <c r="Q1889" s="41" t="s">
        <v>21</v>
      </c>
      <c r="R1889" s="41" t="s">
        <v>16</v>
      </c>
      <c r="S1889" s="41" t="s">
        <v>17</v>
      </c>
      <c r="T1889" s="205" t="s">
        <v>2037</v>
      </c>
      <c r="U1889" s="16" t="s">
        <v>13</v>
      </c>
      <c r="V1889" s="16" t="s">
        <v>1693</v>
      </c>
      <c r="W1889" s="19" t="s"/>
      <c r="X1889" s="26" t="s">
        <f>=M1889&amp;N1889&amp;P1889&amp;Q1889&amp;T1889&amp;V1889&amp;S1889</f>
        <v>2055</v>
      </c>
      <c r="Y1889" s="19" t="s"/>
      <c r="Z1889" s="19" t="s"/>
      <c r="AA1889" s="19" t="s"/>
      <c r="AB1889" s="19" t="s"/>
    </row>
    <row r="1890" spans="1:28" ht="14.4">
      <c r="A1890" s="4">
        <f>=H1890/G1890-1</f>
        <v>0.100952380952381</v>
      </c>
      <c r="B1890" s="20">
        <f>=F1890/12</f>
        <v>43.35</v>
      </c>
      <c r="C1890" s="20">
        <f>=J1890/3</f>
        <v>346.8</v>
      </c>
      <c r="D1890" s="20">
        <f>=K1890/3</f>
        <v>385.333333333333</v>
      </c>
      <c r="E1890" s="20">
        <f>=L1890/3</f>
        <v>404.6</v>
      </c>
      <c r="F1890" s="20">
        <f>=H1890*0.9</f>
        <v>520.2</v>
      </c>
      <c r="G1890" s="21">
        <v>525</v>
      </c>
      <c r="H1890" s="39">
        <v>578</v>
      </c>
      <c r="I1890" s="40">
        <f>=H1890*1.05</f>
        <v>606.9</v>
      </c>
      <c r="J1890" s="40">
        <f>=F1890*2</f>
        <v>1040.4</v>
      </c>
      <c r="K1890" s="40">
        <f>=H1890*2</f>
        <v>1156</v>
      </c>
      <c r="L1890" s="40">
        <f>=I1890*2</f>
        <v>1213.8</v>
      </c>
      <c r="M1890" s="41" t="s">
        <v>2034</v>
      </c>
      <c r="N1890" s="41">
        <v>0.152</v>
      </c>
      <c r="O1890" s="41" t="s"/>
      <c r="P1890" s="41">
        <v>1</v>
      </c>
      <c r="Q1890" s="41">
        <v>1</v>
      </c>
      <c r="R1890" s="41" t="s">
        <v>16</v>
      </c>
      <c r="S1890" s="41" t="s">
        <v>17</v>
      </c>
      <c r="T1890" s="41" t="s">
        <v>1080</v>
      </c>
      <c r="U1890" s="16" t="s">
        <v>13</v>
      </c>
      <c r="V1890" s="16" t="s">
        <v>1693</v>
      </c>
      <c r="W1890" s="19" t="s"/>
      <c r="X1890" s="26" t="s">
        <f>=M1890&amp;N1890&amp;P1890&amp;Q1890&amp;T1890&amp;V1890&amp;S1890</f>
        <v>2056</v>
      </c>
      <c r="Y1890" s="19" t="s"/>
      <c r="Z1890" s="19" t="s"/>
      <c r="AA1890" s="19" t="s"/>
      <c r="AB1890" s="19" t="s"/>
    </row>
    <row r="1891" spans="1:28" ht="14.4">
      <c r="A1891" s="4">
        <f>=H1891/G1891-1</f>
        <v>0.100751879699248</v>
      </c>
      <c r="B1891" s="20">
        <f>=F1891/12</f>
        <v>54.9</v>
      </c>
      <c r="C1891" s="20">
        <f>=J1891/3</f>
        <v>439.2</v>
      </c>
      <c r="D1891" s="20">
        <f>=K1891/3</f>
        <v>488</v>
      </c>
      <c r="E1891" s="20">
        <f>=L1891/3</f>
        <v>512.4</v>
      </c>
      <c r="F1891" s="20">
        <f>=H1891*0.9</f>
        <v>658.8</v>
      </c>
      <c r="G1891" s="21">
        <v>665</v>
      </c>
      <c r="H1891" s="39">
        <v>732</v>
      </c>
      <c r="I1891" s="40">
        <f>=H1891*1.05</f>
        <v>768.6</v>
      </c>
      <c r="J1891" s="40">
        <f>=F1891*2</f>
        <v>1317.6</v>
      </c>
      <c r="K1891" s="40">
        <f>=H1891*2</f>
        <v>1464</v>
      </c>
      <c r="L1891" s="40">
        <f>=I1891*2</f>
        <v>1537.2</v>
      </c>
      <c r="M1891" s="41" t="s">
        <v>2034</v>
      </c>
      <c r="N1891" s="41">
        <v>0.178</v>
      </c>
      <c r="O1891" s="41" t="s"/>
      <c r="P1891" s="41" t="s">
        <v>21</v>
      </c>
      <c r="Q1891" s="41">
        <v>1</v>
      </c>
      <c r="R1891" s="41" t="s">
        <v>16</v>
      </c>
      <c r="S1891" s="41" t="s">
        <v>17</v>
      </c>
      <c r="T1891" s="41" t="s">
        <v>1080</v>
      </c>
      <c r="U1891" s="16" t="s">
        <v>13</v>
      </c>
      <c r="V1891" s="16" t="s">
        <v>1693</v>
      </c>
      <c r="W1891" s="19" t="s"/>
      <c r="X1891" s="26" t="s">
        <f>=M1891&amp;N1891&amp;P1891&amp;Q1891&amp;T1891&amp;V1891&amp;S1891</f>
        <v>2057</v>
      </c>
      <c r="Y1891" s="19" t="s"/>
      <c r="Z1891" s="19" t="s"/>
      <c r="AA1891" s="19" t="s"/>
      <c r="AB1891" s="19" t="s"/>
    </row>
    <row r="1892" spans="1:28" ht="14.4">
      <c r="A1892" s="4">
        <f>=H1892/G1892-1</f>
        <v>0.100751879699248</v>
      </c>
      <c r="B1892" s="20">
        <f>=F1892/12</f>
        <v>54.9</v>
      </c>
      <c r="C1892" s="20">
        <f>=J1892/3</f>
        <v>439.2</v>
      </c>
      <c r="D1892" s="20">
        <f>=K1892/3</f>
        <v>488</v>
      </c>
      <c r="E1892" s="20">
        <f>=L1892/3</f>
        <v>512.4</v>
      </c>
      <c r="F1892" s="20">
        <f>=H1892*0.9</f>
        <v>658.8</v>
      </c>
      <c r="G1892" s="21">
        <v>665</v>
      </c>
      <c r="H1892" s="39">
        <v>732</v>
      </c>
      <c r="I1892" s="40">
        <f>=H1892*1.05</f>
        <v>768.6</v>
      </c>
      <c r="J1892" s="40">
        <f>=F1892*2</f>
        <v>1317.6</v>
      </c>
      <c r="K1892" s="40">
        <f>=H1892*2</f>
        <v>1464</v>
      </c>
      <c r="L1892" s="40">
        <f>=I1892*2</f>
        <v>1537.2</v>
      </c>
      <c r="M1892" s="41" t="s">
        <v>2034</v>
      </c>
      <c r="N1892" s="41">
        <v>0.178</v>
      </c>
      <c r="O1892" s="41" t="s"/>
      <c r="P1892" s="41" t="s">
        <v>21</v>
      </c>
      <c r="Q1892" s="41" t="s">
        <v>21</v>
      </c>
      <c r="R1892" s="41" t="s">
        <v>16</v>
      </c>
      <c r="S1892" s="41" t="s">
        <v>17</v>
      </c>
      <c r="T1892" s="41" t="s">
        <v>1080</v>
      </c>
      <c r="U1892" s="16" t="s">
        <v>13</v>
      </c>
      <c r="V1892" s="16" t="s">
        <v>1693</v>
      </c>
      <c r="W1892" s="19" t="s"/>
      <c r="X1892" s="26" t="s">
        <f>=M1892&amp;N1892&amp;P1892&amp;Q1892&amp;T1892&amp;V1892&amp;S1892</f>
        <v>2058</v>
      </c>
      <c r="Y1892" s="19" t="s"/>
      <c r="Z1892" s="19" t="s"/>
      <c r="AA1892" s="19" t="s"/>
      <c r="AB1892" s="19" t="s"/>
    </row>
    <row r="1893" spans="1:28" ht="14.4">
      <c r="A1893" s="4">
        <f>=H1893/G1893-1</f>
        <v>0.101052631578947</v>
      </c>
      <c r="B1893" s="20">
        <f>=F1893/12</f>
        <v>39.225</v>
      </c>
      <c r="C1893" s="20">
        <f>=J1893/3</f>
        <v>313.8</v>
      </c>
      <c r="D1893" s="20">
        <f>=K1893/3</f>
        <v>348.666666666667</v>
      </c>
      <c r="E1893" s="20">
        <f>=L1893/3</f>
        <v>366.1</v>
      </c>
      <c r="F1893" s="20">
        <f>=H1893*0.9</f>
        <v>470.7</v>
      </c>
      <c r="G1893" s="21">
        <v>475</v>
      </c>
      <c r="H1893" s="39">
        <v>523</v>
      </c>
      <c r="I1893" s="40">
        <f>=H1893*1.05</f>
        <v>549.15</v>
      </c>
      <c r="J1893" s="40">
        <f>=F1893*2</f>
        <v>941.4</v>
      </c>
      <c r="K1893" s="40">
        <f>=H1893*2</f>
        <v>1046</v>
      </c>
      <c r="L1893" s="40">
        <f>=I1893*2</f>
        <v>1098.3</v>
      </c>
      <c r="M1893" s="41" t="s">
        <v>2059</v>
      </c>
      <c r="N1893" s="41">
        <v>0.076</v>
      </c>
      <c r="O1893" s="41" t="s"/>
      <c r="P1893" s="41" t="s">
        <v>21</v>
      </c>
      <c r="Q1893" s="41">
        <v>1</v>
      </c>
      <c r="R1893" s="41" t="s">
        <v>16</v>
      </c>
      <c r="S1893" s="41" t="s">
        <v>17</v>
      </c>
      <c r="T1893" s="41" t="s">
        <v>1098</v>
      </c>
      <c r="U1893" s="16" t="s">
        <v>13</v>
      </c>
      <c r="V1893" s="16" t="s">
        <v>1693</v>
      </c>
      <c r="W1893" s="19" t="s"/>
      <c r="X1893" s="26" t="s">
        <f>=M1893&amp;N1893&amp;P1893&amp;Q1893&amp;T1893&amp;V1893&amp;S1893</f>
        <v>2060</v>
      </c>
      <c r="Y1893" s="19" t="s"/>
      <c r="Z1893" s="19" t="s"/>
      <c r="AA1893" s="19" t="s"/>
      <c r="AB1893" s="19" t="s"/>
    </row>
    <row r="1894" spans="1:28" ht="14.4">
      <c r="A1894" s="4">
        <f>=H1894/G1894-1</f>
        <v>0.1</v>
      </c>
      <c r="B1894" s="20">
        <f>=F1894/12</f>
        <v>65.175</v>
      </c>
      <c r="C1894" s="20">
        <f>=J1894/3</f>
        <v>521.4</v>
      </c>
      <c r="D1894" s="20">
        <f>=K1894/3</f>
        <v>579.333333333334</v>
      </c>
      <c r="E1894" s="20">
        <f>=L1894/3</f>
        <v>608.3</v>
      </c>
      <c r="F1894" s="20">
        <f>=H1894*0.9</f>
        <v>782.1</v>
      </c>
      <c r="G1894" s="21">
        <v>790</v>
      </c>
      <c r="H1894" s="39">
        <v>869</v>
      </c>
      <c r="I1894" s="40">
        <f>=H1894*1.05</f>
        <v>912.45</v>
      </c>
      <c r="J1894" s="40">
        <f>=F1894*2</f>
        <v>1564.2</v>
      </c>
      <c r="K1894" s="40">
        <f>=H1894*2</f>
        <v>1738</v>
      </c>
      <c r="L1894" s="40">
        <f>=I1894*2</f>
        <v>1824.9</v>
      </c>
      <c r="M1894" s="41" t="s">
        <v>2059</v>
      </c>
      <c r="N1894" s="41">
        <v>0.102</v>
      </c>
      <c r="O1894" s="41" t="s"/>
      <c r="P1894" s="41">
        <v>1</v>
      </c>
      <c r="Q1894" s="41">
        <v>1</v>
      </c>
      <c r="R1894" s="41" t="s">
        <v>16</v>
      </c>
      <c r="S1894" s="41" t="s">
        <v>17</v>
      </c>
      <c r="T1894" s="41" t="s">
        <v>1098</v>
      </c>
      <c r="U1894" s="16" t="s">
        <v>13</v>
      </c>
      <c r="V1894" s="16" t="s">
        <v>1693</v>
      </c>
      <c r="W1894" s="19" t="s"/>
      <c r="X1894" s="26" t="s">
        <f>=M1894&amp;N1894&amp;P1894&amp;Q1894&amp;T1894&amp;V1894&amp;S1894</f>
        <v>2061</v>
      </c>
      <c r="Y1894" s="19" t="s"/>
      <c r="Z1894" s="19" t="s"/>
      <c r="AA1894" s="19" t="s"/>
      <c r="AB1894" s="19" t="s"/>
    </row>
    <row r="1895" spans="1:29" ht="14.4">
      <c r="A1895" s="49">
        <v>46175</v>
      </c>
      <c r="B1895" s="43">
        <f>=F1895/12</f>
        <v>66</v>
      </c>
      <c r="C1895" s="43">
        <f>=J1895/3</f>
        <v>528</v>
      </c>
      <c r="D1895" s="43">
        <f>=K1895/3</f>
        <v>586.666666666667</v>
      </c>
      <c r="E1895" s="43">
        <f>=L1895/3</f>
        <v>616</v>
      </c>
      <c r="F1895" s="43">
        <f>=H1895*0.9</f>
        <v>792</v>
      </c>
      <c r="G1895" s="27">
        <v>790</v>
      </c>
      <c r="H1895" s="44">
        <v>880</v>
      </c>
      <c r="I1895" s="45">
        <f>=H1895*1.05</f>
        <v>924</v>
      </c>
      <c r="J1895" s="45">
        <f>=F1895*2</f>
        <v>1584</v>
      </c>
      <c r="K1895" s="45">
        <f>=H1895*2</f>
        <v>1760</v>
      </c>
      <c r="L1895" s="45">
        <f>=I1895*2</f>
        <v>1848</v>
      </c>
      <c r="M1895" s="12" t="s">
        <v>2034</v>
      </c>
      <c r="N1895" s="12">
        <v>0.254</v>
      </c>
      <c r="O1895" s="46" t="s"/>
      <c r="P1895" s="46">
        <v>1</v>
      </c>
      <c r="Q1895" s="46">
        <v>1</v>
      </c>
      <c r="R1895" s="46" t="s">
        <v>16</v>
      </c>
      <c r="S1895" s="46" t="s">
        <v>17</v>
      </c>
      <c r="T1895" s="12" t="s">
        <v>52</v>
      </c>
      <c r="U1895" s="13" t="s">
        <v>13</v>
      </c>
      <c r="V1895" s="13" t="s">
        <v>1693</v>
      </c>
      <c r="W1895" s="15" t="s"/>
      <c r="X1895" s="18" t="s">
        <f>=M1895&amp;N1895&amp;P1895&amp;Q1895&amp;T1895&amp;V1895&amp;S1895</f>
        <v>2062</v>
      </c>
      <c r="Y1895" s="15" t="s"/>
      <c r="Z1895" s="15" t="s"/>
      <c r="AA1895" s="15" t="s"/>
      <c r="AB1895" s="15" t="s"/>
      <c r="AC1895" s="48" t="s"/>
    </row>
    <row r="1896" spans="1:28" ht="14.4">
      <c r="A1896" s="4">
        <f>=H1896/G1896-1</f>
        <v>0</v>
      </c>
      <c r="B1896" s="20">
        <f>=F1896/12</f>
        <v>82.5</v>
      </c>
      <c r="C1896" s="20">
        <f>=J1896/3</f>
        <v>660</v>
      </c>
      <c r="D1896" s="20">
        <f>=K1896/3</f>
        <v>733.333333333334</v>
      </c>
      <c r="E1896" s="20">
        <f>=L1896/3</f>
        <v>770</v>
      </c>
      <c r="F1896" s="20">
        <f>=H1896*0.9</f>
        <v>990</v>
      </c>
      <c r="G1896" s="21">
        <v>1100</v>
      </c>
      <c r="H1896" s="39">
        <v>1100</v>
      </c>
      <c r="I1896" s="40">
        <f>=H1896*1.05</f>
        <v>1155</v>
      </c>
      <c r="J1896" s="40">
        <f>=F1896*2</f>
        <v>1980</v>
      </c>
      <c r="K1896" s="40">
        <f>=H1896*2</f>
        <v>2200</v>
      </c>
      <c r="L1896" s="40">
        <f>=I1896*2</f>
        <v>2310</v>
      </c>
      <c r="M1896" s="41" t="s">
        <v>2063</v>
      </c>
      <c r="N1896" s="41">
        <v>0.076</v>
      </c>
      <c r="O1896" s="41" t="s"/>
      <c r="P1896" s="41">
        <v>1</v>
      </c>
      <c r="Q1896" s="41">
        <v>1</v>
      </c>
      <c r="R1896" s="41" t="s">
        <v>16</v>
      </c>
      <c r="S1896" s="41" t="s">
        <v>17</v>
      </c>
      <c r="T1896" s="41" t="s">
        <v>1388</v>
      </c>
      <c r="U1896" s="16" t="s">
        <v>13</v>
      </c>
      <c r="V1896" s="16" t="s">
        <v>1557</v>
      </c>
      <c r="W1896" s="56" t="s"/>
      <c r="X1896" s="26" t="s">
        <f>=M1896&amp;N1896&amp;P1896&amp;Q1896&amp;T1896&amp;V1896&amp;S1896</f>
        <v>2064</v>
      </c>
      <c r="Y1896" s="19" t="s"/>
      <c r="Z1896" s="19" t="s"/>
      <c r="AA1896" s="19" t="s"/>
      <c r="AB1896" s="19" t="s"/>
    </row>
    <row r="1897" spans="1:28" ht="14.4">
      <c r="A1897" s="4">
        <f>=H1897/G1897-1</f>
        <v>0</v>
      </c>
      <c r="B1897" s="20">
        <f>=F1897/12</f>
        <v>82.5</v>
      </c>
      <c r="C1897" s="20">
        <f>=J1897/3</f>
        <v>660</v>
      </c>
      <c r="D1897" s="20">
        <f>=K1897/3</f>
        <v>733.333333333334</v>
      </c>
      <c r="E1897" s="20">
        <f>=L1897/3</f>
        <v>770</v>
      </c>
      <c r="F1897" s="20">
        <f>=H1897*0.9</f>
        <v>990</v>
      </c>
      <c r="G1897" s="21">
        <v>1100</v>
      </c>
      <c r="H1897" s="39">
        <v>1100</v>
      </c>
      <c r="I1897" s="40">
        <f>=H1897*1.05</f>
        <v>1155</v>
      </c>
      <c r="J1897" s="40">
        <f>=F1897*2</f>
        <v>1980</v>
      </c>
      <c r="K1897" s="40">
        <f>=H1897*2</f>
        <v>2200</v>
      </c>
      <c r="L1897" s="40">
        <f>=I1897*2</f>
        <v>2310</v>
      </c>
      <c r="M1897" s="41" t="s">
        <v>2063</v>
      </c>
      <c r="N1897" s="41">
        <v>0.076</v>
      </c>
      <c r="O1897" s="41" t="s"/>
      <c r="P1897" s="41">
        <v>1</v>
      </c>
      <c r="Q1897" s="41">
        <v>1</v>
      </c>
      <c r="R1897" s="41" t="s">
        <v>16</v>
      </c>
      <c r="S1897" s="41" t="s">
        <v>17</v>
      </c>
      <c r="T1897" s="41" t="s">
        <v>1098</v>
      </c>
      <c r="U1897" s="16" t="s">
        <v>13</v>
      </c>
      <c r="V1897" s="16" t="s">
        <v>1557</v>
      </c>
      <c r="W1897" s="19" t="s"/>
      <c r="X1897" s="26" t="s">
        <f>=M1897&amp;N1897&amp;P1897&amp;Q1897&amp;T1897&amp;V1897&amp;S1897</f>
        <v>2065</v>
      </c>
      <c r="Y1897" s="19" t="s"/>
      <c r="Z1897" s="19" t="s"/>
      <c r="AA1897" s="19" t="s"/>
      <c r="AB1897" s="19" t="s"/>
    </row>
    <row r="1898" spans="1:28" ht="14.4">
      <c r="A1898" s="4">
        <f>=H1898/G1898-1</f>
        <v>0</v>
      </c>
      <c r="B1898" s="20">
        <f>=F1898/12</f>
        <v>82.5</v>
      </c>
      <c r="C1898" s="20">
        <f>=J1898/3</f>
        <v>660</v>
      </c>
      <c r="D1898" s="20">
        <f>=K1898/3</f>
        <v>733.333333333334</v>
      </c>
      <c r="E1898" s="20">
        <f>=L1898/3</f>
        <v>770</v>
      </c>
      <c r="F1898" s="20">
        <f>=H1898*0.9</f>
        <v>990</v>
      </c>
      <c r="G1898" s="21">
        <v>1100</v>
      </c>
      <c r="H1898" s="39">
        <v>1100</v>
      </c>
      <c r="I1898" s="40">
        <f>=H1898*1.05</f>
        <v>1155</v>
      </c>
      <c r="J1898" s="40">
        <f>=F1898*2</f>
        <v>1980</v>
      </c>
      <c r="K1898" s="40">
        <f>=H1898*2</f>
        <v>2200</v>
      </c>
      <c r="L1898" s="40">
        <f>=I1898*2</f>
        <v>2310</v>
      </c>
      <c r="M1898" s="41" t="s">
        <v>2063</v>
      </c>
      <c r="N1898" s="41">
        <v>0.076</v>
      </c>
      <c r="O1898" s="41" t="s"/>
      <c r="P1898" s="41" t="s">
        <v>21</v>
      </c>
      <c r="Q1898" s="41">
        <v>1</v>
      </c>
      <c r="R1898" s="41" t="s">
        <v>16</v>
      </c>
      <c r="S1898" s="41" t="s">
        <v>17</v>
      </c>
      <c r="T1898" s="41" t="s">
        <v>1098</v>
      </c>
      <c r="U1898" s="16" t="s">
        <v>13</v>
      </c>
      <c r="V1898" s="16" t="s">
        <v>1557</v>
      </c>
      <c r="W1898" s="19" t="s"/>
      <c r="X1898" s="26" t="s">
        <f>=M1898&amp;N1898&amp;P1898&amp;Q1898&amp;T1898&amp;V1898&amp;S1898</f>
        <v>2066</v>
      </c>
      <c r="Y1898" s="19" t="s"/>
      <c r="Z1898" s="19" t="s"/>
      <c r="AA1898" s="19" t="s"/>
      <c r="AB1898" s="19" t="s"/>
    </row>
    <row r="1899" spans="1:28" ht="14.4">
      <c r="A1899" s="4">
        <f>=H1899/G1899-1</f>
        <v>0</v>
      </c>
      <c r="B1899" s="20">
        <f>=F1899/12</f>
        <v>86.25</v>
      </c>
      <c r="C1899" s="20">
        <f>=J1899/3</f>
        <v>690</v>
      </c>
      <c r="D1899" s="20">
        <f>=K1899/3</f>
        <v>766.666666666667</v>
      </c>
      <c r="E1899" s="20">
        <f>=L1899/3</f>
        <v>805</v>
      </c>
      <c r="F1899" s="20">
        <f>=H1899*0.9</f>
        <v>1035</v>
      </c>
      <c r="G1899" s="21">
        <v>1150</v>
      </c>
      <c r="H1899" s="39">
        <v>1150</v>
      </c>
      <c r="I1899" s="40">
        <f>=H1899*1.05</f>
        <v>1207.5</v>
      </c>
      <c r="J1899" s="40">
        <f>=F1899*2</f>
        <v>2070</v>
      </c>
      <c r="K1899" s="40">
        <f>=H1899*2</f>
        <v>2300</v>
      </c>
      <c r="L1899" s="40">
        <f>=I1899*2</f>
        <v>2415</v>
      </c>
      <c r="M1899" s="41" t="s">
        <v>2063</v>
      </c>
      <c r="N1899" s="41">
        <v>0.089</v>
      </c>
      <c r="O1899" s="41" t="s"/>
      <c r="P1899" s="41" t="s">
        <v>21</v>
      </c>
      <c r="Q1899" s="41">
        <v>1</v>
      </c>
      <c r="R1899" s="41" t="s">
        <v>16</v>
      </c>
      <c r="S1899" s="41" t="s">
        <v>17</v>
      </c>
      <c r="T1899" s="41" t="s">
        <v>1098</v>
      </c>
      <c r="U1899" s="16" t="s">
        <v>13</v>
      </c>
      <c r="V1899" s="16" t="s">
        <v>1557</v>
      </c>
      <c r="W1899" s="19" t="s"/>
      <c r="X1899" s="37" t="s">
        <f>=M1899&amp;N1899&amp;P1899&amp;Q1899&amp;T1899&amp;V1899&amp;S1899</f>
        <v>2067</v>
      </c>
      <c r="Y1899" s="19" t="s"/>
      <c r="Z1899" s="19" t="s"/>
      <c r="AA1899" s="19" t="s"/>
      <c r="AB1899" s="19" t="s"/>
    </row>
    <row r="1900" spans="1:28" ht="14.4">
      <c r="A1900" s="4">
        <f>=H1900/G1900-1</f>
        <v>0</v>
      </c>
      <c r="B1900" s="20">
        <f>=F1900/12</f>
        <v>112.5</v>
      </c>
      <c r="C1900" s="20">
        <f>=J1900/3</f>
        <v>900</v>
      </c>
      <c r="D1900" s="20">
        <f>=K1900/3</f>
        <v>1000</v>
      </c>
      <c r="E1900" s="20">
        <f>=L1900/3</f>
        <v>1050</v>
      </c>
      <c r="F1900" s="20">
        <f>=H1900*0.9</f>
        <v>1350</v>
      </c>
      <c r="G1900" s="21">
        <v>1500</v>
      </c>
      <c r="H1900" s="39">
        <v>1500</v>
      </c>
      <c r="I1900" s="40">
        <f>=H1900*1.05</f>
        <v>1575</v>
      </c>
      <c r="J1900" s="40">
        <f>=F1900*2</f>
        <v>2700</v>
      </c>
      <c r="K1900" s="40">
        <f>=H1900*2</f>
        <v>3000</v>
      </c>
      <c r="L1900" s="40">
        <f>=I1900*2</f>
        <v>3150</v>
      </c>
      <c r="M1900" s="41" t="s">
        <v>2063</v>
      </c>
      <c r="N1900" s="41">
        <v>0.102</v>
      </c>
      <c r="O1900" s="41" t="s"/>
      <c r="P1900" s="41">
        <v>1</v>
      </c>
      <c r="Q1900" s="41">
        <v>1</v>
      </c>
      <c r="R1900" s="41" t="s">
        <v>16</v>
      </c>
      <c r="S1900" s="41" t="s">
        <v>17</v>
      </c>
      <c r="T1900" s="41" t="s">
        <v>1078</v>
      </c>
      <c r="U1900" s="16" t="s">
        <v>13</v>
      </c>
      <c r="V1900" s="16" t="s">
        <v>1557</v>
      </c>
      <c r="W1900" s="19" t="s"/>
      <c r="X1900" s="26" t="s">
        <f>=M1900&amp;N1900&amp;P1900&amp;Q1900&amp;T1900&amp;V1900&amp;S1900</f>
        <v>2068</v>
      </c>
      <c r="Y1900" s="19" t="s"/>
      <c r="Z1900" s="19" t="s"/>
      <c r="AA1900" s="19" t="s"/>
      <c r="AB1900" s="19" t="s"/>
    </row>
    <row r="1901" spans="1:28" ht="14.4">
      <c r="A1901" s="4">
        <f>=H1901/G1901-1</f>
        <v>0</v>
      </c>
      <c r="B1901" s="20">
        <f>=F1901/12</f>
        <v>120</v>
      </c>
      <c r="C1901" s="20">
        <f>=J1901/3</f>
        <v>960</v>
      </c>
      <c r="D1901" s="20">
        <f>=K1901/3</f>
        <v>1066.66666666667</v>
      </c>
      <c r="E1901" s="20">
        <f>=L1901/3</f>
        <v>1120</v>
      </c>
      <c r="F1901" s="20">
        <f>=H1901*0.9</f>
        <v>1440</v>
      </c>
      <c r="G1901" s="21">
        <v>1600</v>
      </c>
      <c r="H1901" s="39">
        <v>1600</v>
      </c>
      <c r="I1901" s="40">
        <f>=H1901*1.05</f>
        <v>1680</v>
      </c>
      <c r="J1901" s="40">
        <f>=F1901*2</f>
        <v>2880</v>
      </c>
      <c r="K1901" s="40">
        <f>=H1901*2</f>
        <v>3200</v>
      </c>
      <c r="L1901" s="40">
        <f>=I1901*2</f>
        <v>3360</v>
      </c>
      <c r="M1901" s="41" t="s">
        <v>2063</v>
      </c>
      <c r="N1901" s="41">
        <v>0.102</v>
      </c>
      <c r="O1901" s="41" t="s"/>
      <c r="P1901" s="41">
        <v>2</v>
      </c>
      <c r="Q1901" s="41">
        <v>2</v>
      </c>
      <c r="R1901" s="41" t="s">
        <v>16</v>
      </c>
      <c r="S1901" s="41" t="s">
        <v>17</v>
      </c>
      <c r="T1901" s="41" t="s">
        <v>1078</v>
      </c>
      <c r="U1901" s="16" t="s">
        <v>13</v>
      </c>
      <c r="V1901" s="16" t="s">
        <v>215</v>
      </c>
      <c r="W1901" s="19" t="s"/>
      <c r="X1901" s="26" t="s">
        <f>=M1901&amp;N1901&amp;P1901&amp;Q1901&amp;T1901&amp;V1901&amp;S1901</f>
        <v>2069</v>
      </c>
      <c r="Y1901" s="19" t="s"/>
      <c r="Z1901" s="19" t="s"/>
      <c r="AA1901" s="19" t="s"/>
      <c r="AB1901" s="19" t="s"/>
    </row>
    <row r="1902" spans="1:28" ht="14.4">
      <c r="A1902" s="4">
        <f>=H1902/G1902-1</f>
        <v>0</v>
      </c>
      <c r="B1902" s="20">
        <f>=F1902/12</f>
        <v>108.75</v>
      </c>
      <c r="C1902" s="20">
        <f>=J1902/3</f>
        <v>870</v>
      </c>
      <c r="D1902" s="20">
        <f>=K1902/3</f>
        <v>966.666666666667</v>
      </c>
      <c r="E1902" s="20">
        <f>=L1902/3</f>
        <v>1015</v>
      </c>
      <c r="F1902" s="20">
        <f>=H1902*0.9</f>
        <v>1305</v>
      </c>
      <c r="G1902" s="21">
        <v>1450</v>
      </c>
      <c r="H1902" s="39">
        <v>1450</v>
      </c>
      <c r="I1902" s="40">
        <f>=H1902*1.05</f>
        <v>1522.5</v>
      </c>
      <c r="J1902" s="40">
        <f>=F1902*2</f>
        <v>2610</v>
      </c>
      <c r="K1902" s="40">
        <f>=H1902*2</f>
        <v>2900</v>
      </c>
      <c r="L1902" s="40">
        <f>=I1902*2</f>
        <v>3045</v>
      </c>
      <c r="M1902" s="41" t="s">
        <v>2063</v>
      </c>
      <c r="N1902" s="41">
        <v>0.102</v>
      </c>
      <c r="O1902" s="41" t="s"/>
      <c r="P1902" s="41" t="s">
        <v>21</v>
      </c>
      <c r="Q1902" s="41" t="s">
        <v>21</v>
      </c>
      <c r="R1902" s="41" t="s">
        <v>16</v>
      </c>
      <c r="S1902" s="41" t="s">
        <v>17</v>
      </c>
      <c r="T1902" s="41" t="s">
        <v>1078</v>
      </c>
      <c r="U1902" s="16" t="s">
        <v>13</v>
      </c>
      <c r="V1902" s="16" t="s">
        <v>1557</v>
      </c>
      <c r="W1902" s="19" t="s"/>
      <c r="X1902" s="26" t="s">
        <f>=M1902&amp;N1902&amp;P1902&amp;Q1902&amp;T1902&amp;V1902&amp;S1902</f>
        <v>2070</v>
      </c>
      <c r="Y1902" s="19" t="s"/>
      <c r="Z1902" s="19" t="s"/>
      <c r="AA1902" s="19" t="s"/>
      <c r="AB1902" s="19" t="s"/>
    </row>
    <row r="1903" spans="1:28" ht="14.4">
      <c r="A1903" s="4">
        <f>=H1903/G1903-1</f>
        <v>0</v>
      </c>
      <c r="B1903" s="20">
        <f>=F1903/12</f>
        <v>115.5</v>
      </c>
      <c r="C1903" s="20">
        <f>=J1903/3</f>
        <v>924</v>
      </c>
      <c r="D1903" s="20">
        <f>=K1903/3</f>
        <v>1026.66666666667</v>
      </c>
      <c r="E1903" s="20">
        <f>=L1903/3</f>
        <v>1078</v>
      </c>
      <c r="F1903" s="20">
        <f>=H1903*0.9</f>
        <v>1386</v>
      </c>
      <c r="G1903" s="21">
        <v>1540</v>
      </c>
      <c r="H1903" s="39">
        <v>1540</v>
      </c>
      <c r="I1903" s="40">
        <f>=H1903*1.05</f>
        <v>1617</v>
      </c>
      <c r="J1903" s="40">
        <f>=F1903*2</f>
        <v>2772</v>
      </c>
      <c r="K1903" s="40">
        <f>=H1903*2</f>
        <v>3080</v>
      </c>
      <c r="L1903" s="40">
        <f>=I1903*2</f>
        <v>3234</v>
      </c>
      <c r="M1903" s="41" t="s">
        <v>2063</v>
      </c>
      <c r="N1903" s="41">
        <v>0.127</v>
      </c>
      <c r="O1903" s="41" t="s"/>
      <c r="P1903" s="41">
        <v>1</v>
      </c>
      <c r="Q1903" s="41">
        <v>1</v>
      </c>
      <c r="R1903" s="41" t="s">
        <v>16</v>
      </c>
      <c r="S1903" s="41" t="s">
        <v>17</v>
      </c>
      <c r="T1903" s="41" t="s">
        <v>1080</v>
      </c>
      <c r="U1903" s="16" t="s">
        <v>13</v>
      </c>
      <c r="V1903" s="16" t="s">
        <v>1557</v>
      </c>
      <c r="W1903" s="19" t="s"/>
      <c r="X1903" s="26" t="s">
        <f>=M1903&amp;N1903&amp;P1903&amp;Q1903&amp;T1903&amp;V1903&amp;S1903</f>
        <v>2071</v>
      </c>
      <c r="Y1903" s="19" t="s"/>
      <c r="Z1903" s="19" t="s"/>
      <c r="AA1903" s="19" t="s"/>
      <c r="AB1903" s="19" t="s"/>
    </row>
    <row r="1904" spans="1:28" ht="14.4">
      <c r="A1904" s="4">
        <f>=H1904/G1904-1</f>
        <v>0</v>
      </c>
      <c r="B1904" s="20">
        <f>=F1904/12</f>
        <v>94.5</v>
      </c>
      <c r="C1904" s="20">
        <f>=J1904/3</f>
        <v>756</v>
      </c>
      <c r="D1904" s="20">
        <f>=K1904/3</f>
        <v>840</v>
      </c>
      <c r="E1904" s="20">
        <f>=L1904/3</f>
        <v>882</v>
      </c>
      <c r="F1904" s="20">
        <f>=H1904*0.9</f>
        <v>1134</v>
      </c>
      <c r="G1904" s="21">
        <v>1260</v>
      </c>
      <c r="H1904" s="39">
        <v>1260</v>
      </c>
      <c r="I1904" s="40">
        <f>=H1904*1.05</f>
        <v>1323</v>
      </c>
      <c r="J1904" s="40">
        <f>=F1904*2</f>
        <v>2268</v>
      </c>
      <c r="K1904" s="40">
        <f>=H1904*2</f>
        <v>2520</v>
      </c>
      <c r="L1904" s="40">
        <f>=I1904*2</f>
        <v>2646</v>
      </c>
      <c r="M1904" s="41" t="s">
        <v>2063</v>
      </c>
      <c r="N1904" s="41">
        <v>0.127</v>
      </c>
      <c r="O1904" s="41" t="s"/>
      <c r="P1904" s="41">
        <v>2</v>
      </c>
      <c r="Q1904" s="41">
        <v>2</v>
      </c>
      <c r="R1904" s="41" t="s">
        <v>16</v>
      </c>
      <c r="S1904" s="41" t="s">
        <v>17</v>
      </c>
      <c r="T1904" s="41" t="s">
        <v>1080</v>
      </c>
      <c r="U1904" s="16" t="s">
        <v>13</v>
      </c>
      <c r="V1904" s="16" t="s">
        <v>215</v>
      </c>
      <c r="W1904" s="19" t="s"/>
      <c r="X1904" s="26" t="s">
        <f>=M1904&amp;N1904&amp;P1904&amp;Q1904&amp;T1904&amp;V1904&amp;S1904</f>
        <v>2072</v>
      </c>
      <c r="Y1904" s="19" t="s"/>
      <c r="Z1904" s="19" t="s"/>
      <c r="AA1904" s="19" t="s"/>
      <c r="AB1904" s="19" t="s"/>
    </row>
    <row r="1905" spans="1:28" ht="14.4">
      <c r="A1905" s="4">
        <f>=H1905/G1905-1</f>
        <v>0</v>
      </c>
      <c r="B1905" s="20">
        <f>=F1905/12</f>
        <v>120</v>
      </c>
      <c r="C1905" s="20">
        <f>=J1905/3</f>
        <v>960</v>
      </c>
      <c r="D1905" s="20">
        <f>=K1905/3</f>
        <v>1066.66666666667</v>
      </c>
      <c r="E1905" s="20">
        <f>=L1905/3</f>
        <v>1120</v>
      </c>
      <c r="F1905" s="20">
        <f>=H1905*0.9</f>
        <v>1440</v>
      </c>
      <c r="G1905" s="21">
        <v>1600</v>
      </c>
      <c r="H1905" s="39">
        <v>1600</v>
      </c>
      <c r="I1905" s="40">
        <f>=H1905*1.05</f>
        <v>1680</v>
      </c>
      <c r="J1905" s="40">
        <f>=F1905*2</f>
        <v>2880</v>
      </c>
      <c r="K1905" s="40">
        <f>=H1905*2</f>
        <v>3200</v>
      </c>
      <c r="L1905" s="40">
        <f>=I1905*2</f>
        <v>3360</v>
      </c>
      <c r="M1905" s="41" t="s">
        <v>2063</v>
      </c>
      <c r="N1905" s="41">
        <v>0.152</v>
      </c>
      <c r="O1905" s="41" t="s"/>
      <c r="P1905" s="41">
        <v>1</v>
      </c>
      <c r="Q1905" s="41">
        <v>1</v>
      </c>
      <c r="R1905" s="41" t="s">
        <v>16</v>
      </c>
      <c r="S1905" s="41" t="s">
        <v>17</v>
      </c>
      <c r="T1905" s="41" t="s">
        <v>1080</v>
      </c>
      <c r="U1905" s="16" t="s">
        <v>13</v>
      </c>
      <c r="V1905" s="16" t="s">
        <v>1557</v>
      </c>
      <c r="W1905" s="19" t="s"/>
      <c r="X1905" s="26" t="s">
        <f>=M1905&amp;N1905&amp;P1905&amp;Q1905&amp;T1905&amp;V1905&amp;S1905</f>
        <v>2073</v>
      </c>
      <c r="Y1905" s="19" t="s"/>
      <c r="Z1905" s="19" t="s"/>
      <c r="AA1905" s="19" t="s"/>
      <c r="AB1905" s="19" t="s"/>
    </row>
    <row r="1906" spans="1:29" s="279" customFormat="true" ht="14.4">
      <c r="A1906" s="4">
        <f>=H1906/G1906-1</f>
        <v>0</v>
      </c>
      <c r="B1906" s="20">
        <f>=F1906/12</f>
        <v>123.75</v>
      </c>
      <c r="C1906" s="20">
        <f>=J1906/3</f>
        <v>990</v>
      </c>
      <c r="D1906" s="20">
        <f>=K1906/3</f>
        <v>1100</v>
      </c>
      <c r="E1906" s="20">
        <f>=L1906/3</f>
        <v>1155</v>
      </c>
      <c r="F1906" s="20">
        <f>=H1906*0.9</f>
        <v>1485</v>
      </c>
      <c r="G1906" s="21">
        <v>1650</v>
      </c>
      <c r="H1906" s="39">
        <v>1650</v>
      </c>
      <c r="I1906" s="40">
        <f>=H1906*1.05</f>
        <v>1732.5</v>
      </c>
      <c r="J1906" s="40">
        <f>=F1906*2</f>
        <v>2970</v>
      </c>
      <c r="K1906" s="40">
        <f>=H1906*2</f>
        <v>3300</v>
      </c>
      <c r="L1906" s="40">
        <f>=I1906*2</f>
        <v>3465</v>
      </c>
      <c r="M1906" s="41" t="s">
        <v>2063</v>
      </c>
      <c r="N1906" s="41">
        <v>0.178</v>
      </c>
      <c r="O1906" s="41" t="s"/>
      <c r="P1906" s="41">
        <v>1</v>
      </c>
      <c r="Q1906" s="41">
        <v>1</v>
      </c>
      <c r="R1906" s="41" t="s">
        <v>16</v>
      </c>
      <c r="S1906" s="41" t="s">
        <v>17</v>
      </c>
      <c r="T1906" s="41" t="s">
        <v>1080</v>
      </c>
      <c r="U1906" s="16" t="s">
        <v>13</v>
      </c>
      <c r="V1906" s="16" t="s">
        <v>1557</v>
      </c>
      <c r="W1906" s="5" t="s"/>
      <c r="X1906" s="26" t="s">
        <f>=M1906&amp;N1906&amp;P1906&amp;Q1906&amp;T1906&amp;V1906&amp;S1906</f>
        <v>2074</v>
      </c>
      <c r="Y1906" s="5" t="s"/>
      <c r="Z1906" s="5" t="s"/>
      <c r="AA1906" s="5" t="s"/>
      <c r="AB1906" s="5" t="s"/>
      <c r="AC1906" s="206" t="s"/>
    </row>
    <row r="1907" spans="1:29" s="280" customFormat="true" ht="14.4">
      <c r="A1907" s="42">
        <f>=H1907/G1907-1</f>
        <v>-0.0586206896551724</v>
      </c>
      <c r="B1907" s="43">
        <f>=F1907/12</f>
        <v>20.475</v>
      </c>
      <c r="C1907" s="43">
        <f>=J1907/3</f>
        <v>163.8</v>
      </c>
      <c r="D1907" s="43">
        <f>=K1907/3</f>
        <v>182</v>
      </c>
      <c r="E1907" s="43">
        <f>=L1907/3</f>
        <v>191.1</v>
      </c>
      <c r="F1907" s="43">
        <f>=H1907*0.9</f>
        <v>245.7</v>
      </c>
      <c r="G1907" s="27">
        <v>290</v>
      </c>
      <c r="H1907" s="44">
        <v>273</v>
      </c>
      <c r="I1907" s="45">
        <f>=H1907*1.05</f>
        <v>286.65</v>
      </c>
      <c r="J1907" s="45">
        <f>=F1907*2</f>
        <v>491.4</v>
      </c>
      <c r="K1907" s="45">
        <f>=H1907*2</f>
        <v>546</v>
      </c>
      <c r="L1907" s="45">
        <f>=I1907*2</f>
        <v>573.3</v>
      </c>
      <c r="M1907" s="46" t="s">
        <v>876</v>
      </c>
      <c r="N1907" s="46">
        <v>0.2</v>
      </c>
      <c r="O1907" s="46" t="s"/>
      <c r="P1907" s="46">
        <v>2</v>
      </c>
      <c r="Q1907" s="46">
        <v>2</v>
      </c>
      <c r="R1907" s="46" t="s">
        <v>16</v>
      </c>
      <c r="S1907" s="46" t="s">
        <v>17</v>
      </c>
      <c r="T1907" s="12" t="s">
        <v>46</v>
      </c>
      <c r="U1907" s="13" t="s">
        <v>13</v>
      </c>
      <c r="V1907" s="13" t="s">
        <v>19</v>
      </c>
      <c r="W1907" s="15" t="s"/>
      <c r="X1907" s="18" t="s">
        <f>=M1907&amp;N1907&amp;P1907&amp;Q1907&amp;T1907&amp;V1907&amp;S1907</f>
        <v>2075</v>
      </c>
      <c r="Y1907" s="15" t="s"/>
      <c r="Z1907" s="15" t="s"/>
      <c r="AA1907" s="15" t="s"/>
      <c r="AB1907" s="15" t="s"/>
      <c r="AC1907" s="206" t="s"/>
    </row>
    <row r="1908" spans="1:29" s="279" customFormat="true" ht="14.4">
      <c r="A1908" s="4">
        <f>=H1908/G1908-1</f>
        <v>0.1</v>
      </c>
      <c r="B1908" s="20">
        <f>=F1908/12</f>
        <v>23.925</v>
      </c>
      <c r="C1908" s="20">
        <f>=J1908/3</f>
        <v>191.4</v>
      </c>
      <c r="D1908" s="20">
        <f>=K1908/3</f>
        <v>212.666666666667</v>
      </c>
      <c r="E1908" s="20">
        <f>=L1908/3</f>
        <v>223.3</v>
      </c>
      <c r="F1908" s="20">
        <f>=H1908*0.9</f>
        <v>287.1</v>
      </c>
      <c r="G1908" s="21">
        <v>290</v>
      </c>
      <c r="H1908" s="39">
        <v>319</v>
      </c>
      <c r="I1908" s="40">
        <f>=H1908*1.05</f>
        <v>334.95</v>
      </c>
      <c r="J1908" s="40">
        <f>=F1908*2</f>
        <v>574.2</v>
      </c>
      <c r="K1908" s="40">
        <f>=H1908*2</f>
        <v>638</v>
      </c>
      <c r="L1908" s="40">
        <f>=I1908*2</f>
        <v>669.9</v>
      </c>
      <c r="M1908" s="41" t="s">
        <v>876</v>
      </c>
      <c r="N1908" s="41">
        <v>0.2</v>
      </c>
      <c r="O1908" s="41" t="s"/>
      <c r="P1908" s="41">
        <v>2</v>
      </c>
      <c r="Q1908" s="41">
        <v>2</v>
      </c>
      <c r="R1908" s="41" t="s">
        <v>16</v>
      </c>
      <c r="S1908" s="41" t="s">
        <v>17</v>
      </c>
      <c r="T1908" s="41" t="s">
        <v>52</v>
      </c>
      <c r="U1908" s="16" t="s">
        <v>13</v>
      </c>
      <c r="V1908" s="16" t="s">
        <v>19</v>
      </c>
      <c r="W1908" s="5" t="s"/>
      <c r="X1908" s="26" t="s">
        <f>=M1908&amp;N1908&amp;P1908&amp;Q1908&amp;T1908&amp;V1908&amp;S1908</f>
        <v>2076</v>
      </c>
      <c r="Y1908" s="5" t="s"/>
      <c r="Z1908" s="5" t="s"/>
      <c r="AA1908" s="5" t="s"/>
      <c r="AB1908" s="5" t="s"/>
      <c r="AC1908" s="206" t="s"/>
    </row>
    <row r="1909" spans="1:24" ht="14.4">
      <c r="A1909" s="4" t="e">
        <f>=H1909/G1909-1</f>
        <v>#DIV/0!</v>
      </c>
      <c r="B1909" s="43">
        <f>=F1909/12</f>
        <v>10.575</v>
      </c>
      <c r="C1909" s="43">
        <f>=J1909/3</f>
        <v>84.6</v>
      </c>
      <c r="D1909" s="43">
        <f>=K1909/3</f>
        <v>94</v>
      </c>
      <c r="E1909" s="43">
        <f>=L1909/3</f>
        <v>98.7</v>
      </c>
      <c r="F1909" s="43">
        <f>=H1909*0.9</f>
        <v>126.9</v>
      </c>
      <c r="H1909" s="44">
        <v>141</v>
      </c>
      <c r="I1909" s="45">
        <f>=H1909*1.05</f>
        <v>148.05</v>
      </c>
      <c r="J1909" s="45">
        <f>=F1909*2</f>
        <v>253.8</v>
      </c>
      <c r="K1909" s="45">
        <f>=H1909*2</f>
        <v>282</v>
      </c>
      <c r="L1909" s="45">
        <f>=I1909*2</f>
        <v>296.1</v>
      </c>
      <c r="M1909" s="207" t="s">
        <v>1804</v>
      </c>
      <c r="N1909" s="46">
        <v>0.3</v>
      </c>
      <c r="O1909" s="46" t="s"/>
      <c r="P1909" s="46">
        <v>1</v>
      </c>
      <c r="Q1909" s="46">
        <v>1</v>
      </c>
      <c r="R1909" s="46" t="s">
        <v>16</v>
      </c>
      <c r="S1909" s="46" t="s">
        <v>17</v>
      </c>
      <c r="T1909" s="207" t="s">
        <v>67</v>
      </c>
      <c r="U1909" s="13" t="s">
        <v>13</v>
      </c>
      <c r="V1909" s="13" t="s">
        <v>19</v>
      </c>
      <c r="X1909" s="18" t="s">
        <f>=M1909&amp;N1909&amp;P1909&amp;Q1909&amp;T1909&amp;V1909&amp;S1909</f>
        <v>2077</v>
      </c>
    </row>
    <row r="1910" spans="1:24" ht="14.4">
      <c r="A1910" s="42" t="s"/>
      <c r="B1910" s="43">
        <f>=F1910/12</f>
        <v>9.45</v>
      </c>
      <c r="C1910" s="43">
        <f>=J1910/3</f>
        <v>75.6</v>
      </c>
      <c r="D1910" s="43">
        <f>=K1910/3</f>
        <v>84</v>
      </c>
      <c r="E1910" s="43">
        <f>=L1910/3</f>
        <v>88.2</v>
      </c>
      <c r="F1910" s="43">
        <f>=H1910*0.9</f>
        <v>113.4</v>
      </c>
      <c r="H1910" s="44">
        <v>126</v>
      </c>
      <c r="I1910" s="45">
        <f>=H1910*1.05</f>
        <v>132.3</v>
      </c>
      <c r="J1910" s="45">
        <f>=F1910*2</f>
        <v>226.8</v>
      </c>
      <c r="K1910" s="45">
        <f>=H1910*2</f>
        <v>252</v>
      </c>
      <c r="L1910" s="45">
        <f>=I1910*2</f>
        <v>264.6</v>
      </c>
      <c r="M1910" s="208" t="s">
        <v>1909</v>
      </c>
      <c r="N1910" s="12">
        <v>0.08</v>
      </c>
      <c r="O1910" s="46" t="s"/>
      <c r="P1910" s="12" t="s">
        <v>21</v>
      </c>
      <c r="Q1910" s="12">
        <v>1</v>
      </c>
      <c r="R1910" s="46" t="s">
        <v>16</v>
      </c>
      <c r="S1910" s="46" t="s">
        <v>17</v>
      </c>
      <c r="T1910" s="208" t="s">
        <v>624</v>
      </c>
      <c r="U1910" s="13" t="s">
        <v>13</v>
      </c>
      <c r="V1910" s="13" t="s">
        <v>19</v>
      </c>
      <c r="X1910" s="18" t="s">
        <f>=M1910&amp;N1910&amp;P1910&amp;Q1910&amp;T1910&amp;V1910&amp;S1910</f>
        <v>2078</v>
      </c>
    </row>
    <row r="1911" spans="1:24" ht="14.4">
      <c r="A1911" s="42" t="s"/>
      <c r="B1911" s="43">
        <f>=F1911/12</f>
        <v>9.375</v>
      </c>
      <c r="C1911" s="43">
        <f>=J1911/3</f>
        <v>75</v>
      </c>
      <c r="D1911" s="43">
        <f>=K1911/3</f>
        <v>83.3333333333333</v>
      </c>
      <c r="E1911" s="43">
        <f>=L1911/3</f>
        <v>87.5</v>
      </c>
      <c r="F1911" s="43">
        <f>=H1911*0.9</f>
        <v>112.5</v>
      </c>
      <c r="H1911" s="44">
        <v>125</v>
      </c>
      <c r="I1911" s="45">
        <f>=H1911*1.05</f>
        <v>131.25</v>
      </c>
      <c r="J1911" s="45">
        <f>=F1911*2</f>
        <v>225</v>
      </c>
      <c r="K1911" s="45">
        <f>=H1911*2</f>
        <v>250</v>
      </c>
      <c r="L1911" s="45">
        <f>=I1911*2</f>
        <v>262.5</v>
      </c>
      <c r="M1911" s="208" t="s">
        <v>1909</v>
      </c>
      <c r="N1911" s="12">
        <v>0.102</v>
      </c>
      <c r="O1911" s="46" t="s"/>
      <c r="P1911" s="12" t="s">
        <v>21</v>
      </c>
      <c r="Q1911" s="46">
        <v>1</v>
      </c>
      <c r="R1911" s="46" t="s">
        <v>16</v>
      </c>
      <c r="S1911" s="46" t="s">
        <v>17</v>
      </c>
      <c r="T1911" s="208" t="s">
        <v>23</v>
      </c>
      <c r="U1911" s="13" t="s">
        <v>13</v>
      </c>
      <c r="V1911" s="13" t="s">
        <v>19</v>
      </c>
      <c r="X1911" s="18" t="s">
        <f>=M1911&amp;N1911&amp;P1911&amp;Q1911&amp;T1911&amp;V1911&amp;S1911</f>
        <v>2079</v>
      </c>
    </row>
    <row r="1912" spans="1:24" ht="14.4">
      <c r="A1912" s="42" t="s"/>
      <c r="B1912" s="43">
        <f>=F1912/12</f>
        <v>11.475</v>
      </c>
      <c r="C1912" s="43">
        <f>=J1912/3</f>
        <v>91.8</v>
      </c>
      <c r="D1912" s="43">
        <f>=K1912/3</f>
        <v>102</v>
      </c>
      <c r="E1912" s="43">
        <f>=L1912/3</f>
        <v>107.1</v>
      </c>
      <c r="F1912" s="43">
        <f>=H1912*0.9</f>
        <v>137.7</v>
      </c>
      <c r="H1912" s="44">
        <v>153</v>
      </c>
      <c r="I1912" s="45">
        <f>=H1912*1.05</f>
        <v>160.65</v>
      </c>
      <c r="J1912" s="45">
        <f>=F1912*2</f>
        <v>275.4</v>
      </c>
      <c r="K1912" s="45">
        <f>=H1912*2</f>
        <v>306</v>
      </c>
      <c r="L1912" s="45">
        <f>=I1912*2</f>
        <v>321.3</v>
      </c>
      <c r="M1912" s="208" t="s">
        <v>1909</v>
      </c>
      <c r="N1912" s="12">
        <v>0.08</v>
      </c>
      <c r="O1912" s="46" t="s"/>
      <c r="P1912" s="12">
        <v>1</v>
      </c>
      <c r="Q1912" s="12">
        <v>1</v>
      </c>
      <c r="R1912" s="46" t="s">
        <v>16</v>
      </c>
      <c r="S1912" s="46" t="s">
        <v>17</v>
      </c>
      <c r="T1912" s="208" t="s">
        <v>18</v>
      </c>
      <c r="U1912" s="13" t="s">
        <v>13</v>
      </c>
      <c r="V1912" s="13" t="s">
        <v>19</v>
      </c>
      <c r="X1912" s="18" t="s">
        <f>=M1912&amp;N1912&amp;P1912&amp;Q1912&amp;T1912&amp;V1912&amp;S1912</f>
        <v>2080</v>
      </c>
    </row>
    <row r="1913" spans="1:24" ht="14.4">
      <c r="A1913" s="42" t="s"/>
      <c r="B1913" s="43" t="s"/>
      <c r="C1913" s="43" t="s"/>
      <c r="D1913" s="43" t="s"/>
      <c r="E1913" s="43" t="s"/>
      <c r="F1913" s="43" t="s"/>
      <c r="I1913" s="45" t="s"/>
      <c r="J1913" s="45" t="s"/>
      <c r="K1913" s="45" t="s"/>
      <c r="L1913" s="45" t="s"/>
      <c r="M1913" s="207" t="s"/>
      <c r="N1913" s="46" t="s"/>
      <c r="O1913" s="46" t="s"/>
      <c r="P1913" s="46" t="s"/>
      <c r="Q1913" s="46" t="s"/>
      <c r="R1913" s="46" t="s"/>
      <c r="S1913" s="46" t="s"/>
      <c r="T1913" s="207" t="s"/>
      <c r="U1913" s="13" t="s"/>
      <c r="V1913" s="13" t="s"/>
      <c r="X1913" s="18" t="s"/>
    </row>
    <row r="1914" spans="1:24" ht="14.4">
      <c r="A1914" s="42" t="s"/>
      <c r="B1914" s="43" t="s"/>
      <c r="C1914" s="43" t="s"/>
      <c r="D1914" s="43" t="s"/>
      <c r="E1914" s="43" t="s"/>
      <c r="F1914" s="43" t="s"/>
      <c r="I1914" s="28" t="s"/>
      <c r="J1914" s="28" t="s"/>
      <c r="K1914" s="28" t="s"/>
      <c r="L1914" s="28" t="s"/>
      <c r="M1914" s="209" t="s"/>
      <c r="N1914" s="13" t="s"/>
      <c r="O1914" s="13" t="s"/>
      <c r="P1914" s="13" t="s"/>
      <c r="Q1914" s="13" t="s"/>
      <c r="R1914" s="13" t="s"/>
      <c r="S1914" s="13" t="s"/>
      <c r="T1914" s="209" t="s"/>
      <c r="U1914" s="13" t="s"/>
      <c r="V1914" s="13" t="s"/>
      <c r="X1914" s="18" t="s"/>
    </row>
    <row r="1915" spans="1:24" ht="14.4">
      <c r="A1915" s="42" t="s"/>
      <c r="B1915" s="43" t="s"/>
      <c r="C1915" s="43" t="s"/>
      <c r="D1915" s="43" t="s"/>
      <c r="E1915" s="43" t="s"/>
      <c r="F1915" s="43" t="s"/>
      <c r="I1915" s="28" t="s"/>
      <c r="J1915" s="28" t="s"/>
      <c r="K1915" s="28" t="s"/>
      <c r="L1915" s="28" t="s"/>
      <c r="M1915" s="209" t="s"/>
      <c r="N1915" s="13" t="s"/>
      <c r="O1915" s="13" t="s"/>
      <c r="P1915" s="13" t="s"/>
      <c r="Q1915" s="13" t="s"/>
      <c r="R1915" s="13" t="s"/>
      <c r="S1915" s="13" t="s"/>
      <c r="T1915" s="209" t="s"/>
      <c r="U1915" s="13" t="s"/>
      <c r="V1915" s="13" t="s"/>
      <c r="X1915" s="18" t="s"/>
    </row>
    <row r="1916" spans="1:24" ht="14.4">
      <c r="A1916" s="42" t="s"/>
      <c r="B1916" s="43" t="s"/>
      <c r="C1916" s="43" t="s"/>
      <c r="D1916" s="43" t="s"/>
      <c r="E1916" s="43" t="s"/>
      <c r="F1916" s="43" t="s"/>
      <c r="I1916" s="28" t="s"/>
      <c r="J1916" s="28" t="s"/>
      <c r="K1916" s="28" t="s"/>
      <c r="L1916" s="28" t="s"/>
      <c r="M1916" s="209" t="s"/>
      <c r="N1916" s="13" t="s"/>
      <c r="O1916" s="13" t="s"/>
      <c r="P1916" s="13" t="s"/>
      <c r="Q1916" s="13" t="s"/>
      <c r="R1916" s="13" t="s"/>
      <c r="S1916" s="13" t="s"/>
      <c r="T1916" s="209" t="s"/>
      <c r="U1916" s="13" t="s"/>
      <c r="V1916" s="13" t="s"/>
      <c r="X1916" s="18" t="s"/>
    </row>
    <row r="1917" spans="1:24" ht="14.4">
      <c r="A1917" s="42" t="s"/>
      <c r="B1917" s="43" t="s"/>
      <c r="C1917" s="43" t="s"/>
      <c r="D1917" s="43" t="s"/>
      <c r="E1917" s="43" t="s"/>
      <c r="F1917" s="43" t="s"/>
      <c r="I1917" s="28" t="s"/>
      <c r="J1917" s="28" t="s"/>
      <c r="K1917" s="28" t="s"/>
      <c r="L1917" s="28" t="s"/>
      <c r="M1917" s="209" t="s"/>
      <c r="N1917" s="13" t="s"/>
      <c r="O1917" s="13" t="s"/>
      <c r="P1917" s="13" t="s"/>
      <c r="Q1917" s="13" t="s"/>
      <c r="R1917" s="13" t="s"/>
      <c r="S1917" s="13" t="s"/>
      <c r="T1917" s="209" t="s"/>
      <c r="U1917" s="13" t="s"/>
      <c r="V1917" s="13" t="s"/>
      <c r="X1917" s="18" t="s"/>
    </row>
    <row r="1918" spans="1:24" ht="14.4">
      <c r="A1918" s="42" t="s"/>
      <c r="B1918" s="43" t="s"/>
      <c r="C1918" s="43" t="s"/>
      <c r="D1918" s="43" t="s"/>
      <c r="E1918" s="43" t="s"/>
      <c r="F1918" s="43" t="s"/>
      <c r="I1918" s="28" t="s"/>
      <c r="J1918" s="28" t="s"/>
      <c r="K1918" s="28" t="s"/>
      <c r="L1918" s="28" t="s"/>
      <c r="M1918" s="209" t="s"/>
      <c r="N1918" s="13" t="s"/>
      <c r="O1918" s="13" t="s"/>
      <c r="P1918" s="13" t="s"/>
      <c r="Q1918" s="13" t="s"/>
      <c r="R1918" s="13" t="s"/>
      <c r="S1918" s="13" t="s"/>
      <c r="T1918" s="209" t="s"/>
      <c r="U1918" s="13" t="s"/>
      <c r="V1918" s="13" t="s"/>
      <c r="X1918" s="18" t="s"/>
    </row>
    <row r="1919" spans="1:24" ht="14.4">
      <c r="A1919" s="42" t="s"/>
      <c r="B1919" s="43" t="s"/>
      <c r="C1919" s="43" t="s"/>
      <c r="D1919" s="43" t="s"/>
      <c r="E1919" s="43" t="s"/>
      <c r="F1919" s="43" t="s"/>
      <c r="I1919" s="28" t="s"/>
      <c r="J1919" s="28" t="s"/>
      <c r="K1919" s="28" t="s"/>
      <c r="L1919" s="28" t="s"/>
      <c r="M1919" s="209" t="s"/>
      <c r="N1919" s="13" t="s"/>
      <c r="O1919" s="13" t="s"/>
      <c r="P1919" s="13" t="s"/>
      <c r="Q1919" s="13" t="s"/>
      <c r="R1919" s="13" t="s"/>
      <c r="S1919" s="13" t="s"/>
      <c r="T1919" s="209" t="s"/>
      <c r="U1919" s="13" t="s"/>
      <c r="V1919" s="13" t="s"/>
      <c r="X1919" s="18" t="s"/>
    </row>
    <row r="1920" spans="1:24" ht="14.4">
      <c r="A1920" s="42" t="s"/>
      <c r="B1920" s="43" t="s"/>
      <c r="C1920" s="43" t="s"/>
      <c r="D1920" s="43" t="s"/>
      <c r="E1920" s="43" t="s"/>
      <c r="F1920" s="43" t="s"/>
      <c r="I1920" s="28" t="s"/>
      <c r="J1920" s="28" t="s"/>
      <c r="K1920" s="28" t="s"/>
      <c r="L1920" s="28" t="s"/>
      <c r="M1920" s="209" t="s"/>
      <c r="N1920" s="13" t="s"/>
      <c r="O1920" s="13" t="s"/>
      <c r="P1920" s="13" t="s"/>
      <c r="Q1920" s="13" t="s"/>
      <c r="R1920" s="13" t="s"/>
      <c r="S1920" s="13" t="s"/>
      <c r="T1920" s="209" t="s"/>
      <c r="U1920" s="13" t="s"/>
      <c r="V1920" s="13" t="s"/>
      <c r="X1920" s="18" t="s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 codeName="PP"/>
  <dimension ref="P491"/>
  <sheetViews>
    <sheetView showGridLines="true" workbookViewId="0"/>
  </sheetViews>
  <sheetFormatPr defaultColWidth="14" defaultRowHeight="18" customHeight="true"/>
  <cols>
    <col min="1" max="1" width="7.68359" customWidth="true"/>
    <col min="2" max="2" width="18.4815" style="284" customWidth="true"/>
    <col min="3" max="3" width="14.713" customWidth="true"/>
    <col min="4" max="4" width="11.713" customWidth="true"/>
    <col min="5" max="5" width="12.713" customWidth="true"/>
    <col min="6" max="6" width="23.8711" customWidth="true"/>
    <col min="7" max="14" width="10.713" customWidth="true"/>
  </cols>
  <sheetData>
    <row r="1" spans="1:14" ht="18.75" customHeight="true">
      <c r="A1" s="210" t="s">
        <v>2081</v>
      </c>
      <c r="B1" s="211" t="s">
        <v>2082</v>
      </c>
      <c r="C1" s="50" t="s"/>
      <c r="D1" s="46" t="s">
        <v>2083</v>
      </c>
      <c r="E1" s="46">
        <v>2</v>
      </c>
      <c r="F1" s="212" t="s"/>
      <c r="G1" s="212" t="s"/>
      <c r="H1" s="212" t="s"/>
      <c r="I1" s="212" t="s"/>
      <c r="J1" s="212" t="s"/>
      <c r="K1" s="212" t="s"/>
      <c r="L1" s="212" t="s"/>
      <c r="M1" s="212" t="s"/>
      <c r="N1" s="212" t="s"/>
    </row>
    <row r="2" spans="1:14" customHeight="true">
      <c r="A2" s="213">
        <f>=B2/13.123</f>
        <v>1.69473443572354</v>
      </c>
      <c r="B2" s="214">
        <v>22.24</v>
      </c>
      <c r="C2" s="215" t="s">
        <v>2084</v>
      </c>
      <c r="D2" s="24" t="s">
        <v>2085</v>
      </c>
      <c r="E2" s="24">
        <v>106</v>
      </c>
      <c r="F2" s="216" t="s">
        <f>=C2&amp;E2&amp;D2</f>
        <v>2086</v>
      </c>
      <c r="G2" s="216" t="s"/>
      <c r="H2" s="216" t="s"/>
      <c r="I2" s="216" t="s"/>
      <c r="J2" s="216" t="s"/>
      <c r="K2" s="216" t="s"/>
      <c r="L2" s="216" t="s"/>
      <c r="M2" s="216" t="s"/>
      <c r="N2" s="216" t="s"/>
    </row>
    <row r="3" spans="1:14" customHeight="true">
      <c r="A3" s="213">
        <f>=B3/13.123</f>
        <v>1.53394803017603</v>
      </c>
      <c r="B3" s="217">
        <v>20.13</v>
      </c>
      <c r="C3" s="218" t="s">
        <v>2084</v>
      </c>
      <c r="D3" s="16" t="s">
        <v>2087</v>
      </c>
      <c r="E3" s="16">
        <v>1080</v>
      </c>
      <c r="F3" s="219" t="s">
        <f>=C3&amp;E3&amp;D3</f>
        <v>2088</v>
      </c>
      <c r="G3" s="219" t="s"/>
      <c r="H3" s="219" t="s"/>
      <c r="I3" s="219" t="s"/>
      <c r="J3" s="219" t="s"/>
      <c r="K3" s="219" t="s"/>
      <c r="L3" s="219" t="s"/>
      <c r="M3" s="219" t="s"/>
      <c r="N3" s="219" t="s"/>
    </row>
    <row r="4" spans="1:14" customHeight="true">
      <c r="A4" s="213">
        <f>=B4/13.123</f>
        <v>1.55909471919531</v>
      </c>
      <c r="B4" s="220">
        <v>20.46</v>
      </c>
      <c r="C4" s="221" t="s">
        <v>2084</v>
      </c>
      <c r="D4" s="222" t="s">
        <v>2089</v>
      </c>
      <c r="E4" s="222">
        <v>1080</v>
      </c>
      <c r="F4" s="219" t="s">
        <f>=C4&amp;E4&amp;D4</f>
        <v>2090</v>
      </c>
      <c r="G4" s="219" t="s"/>
      <c r="H4" s="219" t="s"/>
      <c r="I4" s="219" t="s"/>
      <c r="J4" s="219" t="s"/>
      <c r="K4" s="219" t="s"/>
      <c r="L4" s="219" t="s"/>
      <c r="M4" s="219" t="s"/>
      <c r="N4" s="219" t="s"/>
    </row>
    <row r="5" spans="1:14" customHeight="true">
      <c r="A5" s="213">
        <f>=B5/13.123</f>
        <v>1.55909471919531</v>
      </c>
      <c r="B5" s="220">
        <v>20.46</v>
      </c>
      <c r="C5" s="218" t="s">
        <v>2084</v>
      </c>
      <c r="D5" s="16" t="s">
        <v>2091</v>
      </c>
      <c r="E5" s="16">
        <v>1080</v>
      </c>
      <c r="F5" s="219" t="s">
        <f>=C5&amp;E5&amp;D5</f>
        <v>2092</v>
      </c>
      <c r="G5" s="219" t="s"/>
      <c r="H5" s="219" t="s"/>
      <c r="I5" s="219" t="s"/>
      <c r="J5" s="219" t="s"/>
      <c r="K5" s="219" t="s"/>
      <c r="L5" s="219" t="s"/>
      <c r="M5" s="219" t="s"/>
      <c r="N5" s="219" t="s"/>
    </row>
    <row r="6" spans="1:14" customHeight="true">
      <c r="A6" s="213">
        <f>=B6/13.123</f>
        <v>1.87990550941096</v>
      </c>
      <c r="B6" s="220">
        <v>24.67</v>
      </c>
      <c r="C6" s="218" t="s">
        <v>2084</v>
      </c>
      <c r="D6" s="16" t="s">
        <v>2093</v>
      </c>
      <c r="E6" s="16">
        <v>1506</v>
      </c>
      <c r="F6" s="219" t="s">
        <f>=C6&amp;E6&amp;D6</f>
        <v>2094</v>
      </c>
      <c r="G6" s="219" t="s"/>
      <c r="H6" s="219" t="s"/>
      <c r="I6" s="219" t="s"/>
      <c r="J6" s="219" t="s"/>
      <c r="K6" s="219" t="s"/>
      <c r="L6" s="219" t="s"/>
      <c r="M6" s="219" t="s"/>
      <c r="N6" s="219" t="s"/>
    </row>
    <row r="7" spans="1:14" customHeight="true">
      <c r="A7" s="213">
        <f>=B7/13.123</f>
        <v>1.93781909624324</v>
      </c>
      <c r="B7" s="220">
        <v>25.43</v>
      </c>
      <c r="C7" s="218" t="s">
        <v>2084</v>
      </c>
      <c r="D7" s="16" t="s">
        <v>2095</v>
      </c>
      <c r="E7" s="16">
        <v>1506</v>
      </c>
      <c r="F7" s="219" t="s">
        <f>=C7&amp;E7&amp;D7</f>
        <v>2096</v>
      </c>
      <c r="G7" s="219" t="s"/>
      <c r="H7" s="219" t="s"/>
      <c r="I7" s="219" t="s"/>
      <c r="J7" s="219" t="s"/>
      <c r="K7" s="219" t="s"/>
      <c r="L7" s="219" t="s"/>
      <c r="M7" s="219" t="s"/>
      <c r="N7" s="219" t="s"/>
    </row>
    <row r="8" spans="1:14" customHeight="true">
      <c r="A8" s="213">
        <f>=B8/13.123</f>
        <v>2.01021107978359</v>
      </c>
      <c r="B8" s="220">
        <v>26.38</v>
      </c>
      <c r="C8" s="218" t="s">
        <v>2084</v>
      </c>
      <c r="D8" s="16" t="s">
        <v>2097</v>
      </c>
      <c r="E8" s="16">
        <v>1506</v>
      </c>
      <c r="F8" s="219" t="s">
        <f>=C8&amp;E8&amp;D8</f>
        <v>2098</v>
      </c>
      <c r="G8" s="219" t="s"/>
      <c r="H8" s="219" t="s"/>
      <c r="I8" s="219" t="s"/>
      <c r="J8" s="219" t="s"/>
      <c r="K8" s="219" t="s"/>
      <c r="L8" s="219" t="s"/>
      <c r="M8" s="219" t="s"/>
      <c r="N8" s="219" t="s"/>
    </row>
    <row r="9" spans="1:14" customHeight="true">
      <c r="A9" s="213">
        <f>=B9/13.123</f>
        <v>1.58424140821459</v>
      </c>
      <c r="B9" s="220">
        <v>20.79</v>
      </c>
      <c r="C9" s="218" t="s">
        <v>2084</v>
      </c>
      <c r="D9" s="16" t="s">
        <v>2099</v>
      </c>
      <c r="E9" s="16">
        <v>2116</v>
      </c>
      <c r="F9" s="219" t="s">
        <f>=C9&amp;E9&amp;D9</f>
        <v>2100</v>
      </c>
      <c r="G9" s="219" t="s"/>
      <c r="H9" s="219" t="s"/>
      <c r="I9" s="219" t="s"/>
      <c r="J9" s="219" t="s"/>
      <c r="K9" s="219" t="s"/>
      <c r="L9" s="219" t="s"/>
      <c r="M9" s="219" t="s"/>
      <c r="N9" s="219" t="s"/>
    </row>
    <row r="10" spans="1:14" customHeight="true">
      <c r="A10" s="213">
        <f>=B10/13.123</f>
        <v>1.58424140821459</v>
      </c>
      <c r="B10" s="220">
        <v>20.79</v>
      </c>
      <c r="C10" s="218" t="s">
        <v>2084</v>
      </c>
      <c r="D10" s="16" t="s">
        <v>2101</v>
      </c>
      <c r="E10" s="16">
        <v>2116</v>
      </c>
      <c r="F10" s="219" t="s">
        <f>=C10&amp;E10&amp;D10</f>
        <v>2102</v>
      </c>
      <c r="G10" s="219" t="s"/>
      <c r="H10" s="219" t="s"/>
      <c r="I10" s="219" t="s"/>
      <c r="J10" s="219" t="s"/>
      <c r="K10" s="219" t="s"/>
      <c r="L10" s="219" t="s"/>
      <c r="M10" s="219" t="s"/>
      <c r="N10" s="219" t="s"/>
    </row>
    <row r="11" spans="1:14" customHeight="true">
      <c r="A11" s="213">
        <f>=B11/13.123</f>
        <v>1.63148670273566</v>
      </c>
      <c r="B11" s="220">
        <v>21.41</v>
      </c>
      <c r="C11" s="218" t="s">
        <v>2084</v>
      </c>
      <c r="D11" s="16" t="s">
        <v>2103</v>
      </c>
      <c r="E11" s="16">
        <v>2116</v>
      </c>
      <c r="F11" s="219" t="s">
        <f>=C11&amp;E11&amp;D11</f>
        <v>2104</v>
      </c>
      <c r="G11" s="219" t="s"/>
      <c r="H11" s="219" t="s"/>
      <c r="I11" s="219" t="s"/>
      <c r="J11" s="219" t="s"/>
      <c r="K11" s="219" t="s"/>
      <c r="L11" s="219" t="s"/>
      <c r="M11" s="219" t="s"/>
      <c r="N11" s="219" t="s"/>
    </row>
    <row r="12" spans="1:14" customHeight="true">
      <c r="A12" s="213">
        <f>=B12/13.123</f>
        <v>1.66730168406614</v>
      </c>
      <c r="B12" s="220">
        <v>21.88</v>
      </c>
      <c r="C12" s="218" t="s">
        <v>2084</v>
      </c>
      <c r="D12" s="16" t="s">
        <v>2105</v>
      </c>
      <c r="E12" s="16">
        <v>2116</v>
      </c>
      <c r="F12" s="219" t="s">
        <f>=C12&amp;E12&amp;D12</f>
        <v>2106</v>
      </c>
      <c r="G12" s="219" t="s"/>
      <c r="H12" s="219" t="s"/>
      <c r="I12" s="219" t="s"/>
      <c r="J12" s="219" t="s"/>
      <c r="K12" s="219" t="s"/>
      <c r="L12" s="219" t="s"/>
      <c r="M12" s="219" t="s"/>
      <c r="N12" s="219" t="s"/>
    </row>
    <row r="13" spans="1:14" customHeight="true">
      <c r="A13" s="213">
        <f>=B13/13.123</f>
        <v>1.867713175341</v>
      </c>
      <c r="B13" s="220">
        <v>24.51</v>
      </c>
      <c r="C13" s="218" t="s">
        <v>2084</v>
      </c>
      <c r="D13" s="16" t="s">
        <v>2107</v>
      </c>
      <c r="E13" s="16">
        <v>2313</v>
      </c>
      <c r="F13" s="219" t="s">
        <f>=C13&amp;E13&amp;D13</f>
        <v>2108</v>
      </c>
      <c r="G13" s="219" t="s"/>
      <c r="H13" s="219" t="s"/>
      <c r="I13" s="219" t="s"/>
      <c r="J13" s="219" t="s"/>
      <c r="K13" s="219" t="s"/>
      <c r="L13" s="219" t="s"/>
      <c r="M13" s="219" t="s"/>
      <c r="N13" s="219" t="s"/>
    </row>
    <row r="14" spans="1:14" customHeight="true">
      <c r="A14" s="213">
        <f>=B14/13.123</f>
        <v>1.72292920826031</v>
      </c>
      <c r="B14" s="220">
        <v>22.61</v>
      </c>
      <c r="C14" s="218" t="s">
        <v>2084</v>
      </c>
      <c r="D14" s="16" t="s">
        <v>2109</v>
      </c>
      <c r="E14" s="16">
        <v>7628</v>
      </c>
      <c r="F14" s="219" t="s">
        <f>=C14&amp;E14&amp;D14</f>
        <v>2110</v>
      </c>
      <c r="G14" s="219" t="s"/>
      <c r="H14" s="219" t="s"/>
      <c r="I14" s="219" t="s"/>
      <c r="J14" s="219" t="s"/>
      <c r="K14" s="219" t="s"/>
      <c r="L14" s="219" t="s"/>
      <c r="M14" s="219" t="s"/>
      <c r="N14" s="219" t="s"/>
    </row>
    <row r="15" spans="1:14" customHeight="true">
      <c r="A15" s="213">
        <f>=B15/13.123</f>
        <v>1.87457136325535</v>
      </c>
      <c r="B15" s="220">
        <v>24.6</v>
      </c>
      <c r="C15" s="218" t="s">
        <v>2084</v>
      </c>
      <c r="D15" s="16" t="s">
        <v>2111</v>
      </c>
      <c r="E15" s="16">
        <v>7628</v>
      </c>
      <c r="F15" s="219" t="s">
        <f>=C15&amp;E15&amp;D15</f>
        <v>2112</v>
      </c>
      <c r="G15" s="219" t="s"/>
      <c r="H15" s="219" t="s"/>
      <c r="I15" s="219" t="s"/>
      <c r="J15" s="219" t="s"/>
      <c r="K15" s="219" t="s"/>
      <c r="L15" s="219" t="s"/>
      <c r="M15" s="219" t="s"/>
      <c r="N15" s="219" t="s"/>
    </row>
    <row r="16" spans="1:14" customHeight="true">
      <c r="A16" s="213">
        <f>=B16/13.123</f>
        <v>1.83418425664863</v>
      </c>
      <c r="B16" s="220">
        <v>24.07</v>
      </c>
      <c r="C16" s="218" t="s">
        <v>2084</v>
      </c>
      <c r="D16" s="16" t="s">
        <v>2113</v>
      </c>
      <c r="E16" s="16">
        <v>7628</v>
      </c>
      <c r="F16" s="219" t="s">
        <f>=C16&amp;E16&amp;D16</f>
        <v>2114</v>
      </c>
      <c r="G16" s="219" t="s"/>
      <c r="H16" s="219" t="s"/>
      <c r="I16" s="219" t="s"/>
      <c r="J16" s="219" t="s"/>
      <c r="K16" s="219" t="s"/>
      <c r="L16" s="219" t="s"/>
      <c r="M16" s="219" t="s"/>
      <c r="N16" s="219" t="s"/>
    </row>
    <row r="17" spans="1:14" customHeight="true">
      <c r="A17" s="213">
        <f>=B17/13.123</f>
        <v>1.84256648632173</v>
      </c>
      <c r="B17" s="220">
        <v>24.18</v>
      </c>
      <c r="C17" s="218" t="s">
        <v>2084</v>
      </c>
      <c r="D17" s="16" t="s">
        <v>2099</v>
      </c>
      <c r="E17" s="16">
        <v>7628</v>
      </c>
      <c r="F17" s="219" t="s">
        <f>=C17&amp;E17&amp;D17</f>
        <v>2115</v>
      </c>
      <c r="G17" s="219" t="s"/>
      <c r="H17" s="219" t="s"/>
      <c r="I17" s="219" t="s"/>
      <c r="J17" s="219" t="s"/>
      <c r="K17" s="219" t="s"/>
      <c r="L17" s="219" t="s"/>
      <c r="M17" s="219" t="s"/>
      <c r="N17" s="219" t="s"/>
    </row>
    <row r="18" spans="1:14" customHeight="true">
      <c r="A18" s="213">
        <f>=B18/13.123</f>
        <v>1.57890726205898</v>
      </c>
      <c r="B18" s="220">
        <v>20.72</v>
      </c>
      <c r="C18" s="218" t="s">
        <v>2116</v>
      </c>
      <c r="D18" s="16" t="s">
        <v>2117</v>
      </c>
      <c r="E18" s="16">
        <v>106</v>
      </c>
      <c r="F18" s="219" t="s">
        <f>=C18&amp;E18&amp;D18</f>
        <v>2118</v>
      </c>
      <c r="G18" s="219" t="s"/>
      <c r="H18" s="219" t="s"/>
      <c r="I18" s="219" t="s"/>
      <c r="J18" s="219" t="s"/>
      <c r="K18" s="219" t="s"/>
      <c r="L18" s="219" t="s"/>
      <c r="M18" s="219" t="s"/>
      <c r="N18" s="219" t="s"/>
    </row>
    <row r="19" spans="1:14" customHeight="true">
      <c r="A19" s="213">
        <f>=B19/13.123</f>
        <v>1.54461632248724</v>
      </c>
      <c r="B19" s="220">
        <v>20.27</v>
      </c>
      <c r="C19" s="218" t="s">
        <v>2116</v>
      </c>
      <c r="D19" s="16" t="s">
        <v>2119</v>
      </c>
      <c r="E19" s="16">
        <v>1080</v>
      </c>
      <c r="F19" s="219" t="s">
        <f>=C19&amp;E19&amp;D19</f>
        <v>2120</v>
      </c>
      <c r="G19" s="219" t="s"/>
      <c r="H19" s="219" t="s"/>
      <c r="I19" s="219" t="s"/>
      <c r="J19" s="219" t="s"/>
      <c r="K19" s="219" t="s"/>
      <c r="L19" s="219" t="s"/>
      <c r="M19" s="219" t="s"/>
      <c r="N19" s="219" t="s"/>
    </row>
    <row r="20" spans="1:14" customHeight="true">
      <c r="A20" s="213">
        <f>=B20/13.123</f>
        <v>1.44631562904824</v>
      </c>
      <c r="B20" s="220">
        <v>18.98</v>
      </c>
      <c r="C20" s="223" t="s">
        <v>2116</v>
      </c>
      <c r="D20" s="175" t="s">
        <v>2091</v>
      </c>
      <c r="E20" s="175">
        <v>1080</v>
      </c>
      <c r="F20" s="219" t="s">
        <f>=C20&amp;E20&amp;D20</f>
        <v>2121</v>
      </c>
      <c r="G20" s="224" t="s"/>
      <c r="H20" s="224" t="s"/>
      <c r="I20" s="224" t="s"/>
      <c r="J20" s="224" t="s"/>
      <c r="K20" s="224" t="s"/>
      <c r="L20" s="224" t="s"/>
      <c r="M20" s="224" t="s"/>
      <c r="N20" s="224" t="s"/>
    </row>
    <row r="21" spans="1:14" customHeight="true">
      <c r="A21" s="213">
        <f>=B21/13.123</f>
        <v>1.66272955878991</v>
      </c>
      <c r="B21" s="220">
        <v>21.82</v>
      </c>
      <c r="C21" s="218" t="s">
        <v>2116</v>
      </c>
      <c r="D21" s="16" t="s">
        <v>2122</v>
      </c>
      <c r="E21" s="16">
        <v>1080</v>
      </c>
      <c r="F21" s="219" t="s">
        <f>=C21&amp;E21&amp;D21</f>
        <v>2123</v>
      </c>
      <c r="G21" s="219" t="s"/>
      <c r="H21" s="219" t="s"/>
      <c r="I21" s="219" t="s"/>
      <c r="J21" s="219" t="s"/>
      <c r="K21" s="219" t="s"/>
      <c r="L21" s="219" t="s"/>
      <c r="M21" s="219" t="s"/>
      <c r="N21" s="219" t="s"/>
    </row>
    <row r="22" spans="1:14" customHeight="true">
      <c r="A22" s="213">
        <f>=B22/13.123</f>
        <v>2.08946125123828</v>
      </c>
      <c r="B22" s="220">
        <v>27.42</v>
      </c>
      <c r="C22" s="218" t="s">
        <v>2116</v>
      </c>
      <c r="D22" s="16" t="s">
        <v>2095</v>
      </c>
      <c r="E22" s="16">
        <v>1506</v>
      </c>
      <c r="F22" s="219" t="s">
        <f>=C22&amp;E22&amp;D22</f>
        <v>2124</v>
      </c>
      <c r="G22" s="219" t="s"/>
      <c r="H22" s="219" t="s"/>
      <c r="I22" s="219" t="s"/>
      <c r="J22" s="219" t="s"/>
      <c r="K22" s="219" t="s"/>
      <c r="L22" s="219" t="s"/>
      <c r="M22" s="219" t="s"/>
      <c r="N22" s="219" t="s"/>
    </row>
    <row r="23" spans="1:14" customHeight="true">
      <c r="A23" s="213">
        <f>=B23/13.123</f>
        <v>1.72292920826031</v>
      </c>
      <c r="B23" s="220">
        <v>22.61</v>
      </c>
      <c r="C23" s="218" t="s">
        <v>2116</v>
      </c>
      <c r="D23" s="16" t="s">
        <v>2125</v>
      </c>
      <c r="E23" s="16">
        <v>2116</v>
      </c>
      <c r="F23" s="219" t="s">
        <f>=C23&amp;E23&amp;D23</f>
        <v>2126</v>
      </c>
      <c r="G23" s="219" t="s"/>
      <c r="H23" s="219" t="s"/>
      <c r="I23" s="219" t="s"/>
      <c r="J23" s="219" t="s"/>
      <c r="K23" s="219" t="s"/>
      <c r="L23" s="219" t="s"/>
      <c r="M23" s="219" t="s"/>
      <c r="N23" s="219" t="s"/>
    </row>
    <row r="24" spans="1:14" customHeight="true">
      <c r="A24" s="213">
        <f>=B24/13.123</f>
        <v>1.605577992837</v>
      </c>
      <c r="B24" s="220">
        <v>21.07</v>
      </c>
      <c r="C24" s="218" t="s">
        <v>2116</v>
      </c>
      <c r="D24" s="16" t="s">
        <v>2127</v>
      </c>
      <c r="E24" s="16">
        <v>2116</v>
      </c>
      <c r="F24" s="219" t="s">
        <f>=C24&amp;E24&amp;D24</f>
        <v>2128</v>
      </c>
      <c r="G24" s="219" t="s"/>
      <c r="H24" s="219" t="s"/>
      <c r="I24" s="219" t="s"/>
      <c r="J24" s="219" t="s"/>
      <c r="K24" s="219" t="s"/>
      <c r="L24" s="219" t="s"/>
      <c r="M24" s="219" t="s"/>
      <c r="N24" s="219" t="s"/>
    </row>
    <row r="25" spans="1:14" s="283" customFormat="true" customHeight="true">
      <c r="A25" s="225">
        <f>=B25/13.123</f>
        <v>1.49203688181056</v>
      </c>
      <c r="B25" s="226">
        <v>19.58</v>
      </c>
      <c r="C25" s="227" t="s">
        <v>2116</v>
      </c>
      <c r="D25" s="228" t="s">
        <v>2107</v>
      </c>
      <c r="E25" s="228">
        <v>2116</v>
      </c>
      <c r="F25" s="219" t="s">
        <f>=C25&amp;E25&amp;D25</f>
        <v>2129</v>
      </c>
      <c r="G25" s="229" t="s"/>
      <c r="H25" s="229" t="s"/>
      <c r="I25" s="229" t="s"/>
      <c r="J25" s="229" t="s"/>
      <c r="K25" s="229" t="s"/>
      <c r="L25" s="229" t="s"/>
      <c r="M25" s="229" t="s"/>
      <c r="N25" s="229" t="s"/>
    </row>
    <row r="26" spans="1:14" customHeight="true">
      <c r="A26" s="213">
        <f>=B26/13.123</f>
        <v>1.75798216871142</v>
      </c>
      <c r="B26" s="220">
        <v>23.07</v>
      </c>
      <c r="C26" s="218" t="s">
        <v>2116</v>
      </c>
      <c r="D26" s="16" t="s">
        <v>2130</v>
      </c>
      <c r="E26" s="16">
        <v>2116</v>
      </c>
      <c r="F26" s="219" t="s">
        <f>=C26&amp;E26&amp;D26</f>
        <v>2131</v>
      </c>
      <c r="G26" s="219" t="s"/>
      <c r="H26" s="219" t="s"/>
      <c r="I26" s="219" t="s"/>
      <c r="J26" s="219" t="s"/>
      <c r="K26" s="219" t="s"/>
      <c r="L26" s="219" t="s"/>
      <c r="M26" s="219" t="s"/>
      <c r="N26" s="219" t="s"/>
    </row>
    <row r="27" spans="1:14" customHeight="true">
      <c r="A27" s="213">
        <f>=B27/13.123</f>
        <v>1.87533338413473</v>
      </c>
      <c r="B27" s="220">
        <v>24.61</v>
      </c>
      <c r="C27" s="218" t="s">
        <v>2116</v>
      </c>
      <c r="D27" s="16" t="s">
        <v>2132</v>
      </c>
      <c r="E27" s="16">
        <v>2116</v>
      </c>
      <c r="F27" s="219" t="s">
        <f>=C27&amp;E27&amp;D27</f>
        <v>2133</v>
      </c>
      <c r="G27" s="219" t="s"/>
      <c r="H27" s="219" t="s"/>
      <c r="I27" s="219" t="s"/>
      <c r="J27" s="219" t="s"/>
      <c r="K27" s="219" t="s"/>
      <c r="L27" s="219" t="s"/>
      <c r="M27" s="219" t="s"/>
      <c r="N27" s="219" t="s"/>
    </row>
    <row r="28" spans="1:14" customHeight="true">
      <c r="A28" s="213">
        <f>=B28/13.123</f>
        <v>1.90276613579212</v>
      </c>
      <c r="B28" s="220">
        <v>24.97</v>
      </c>
      <c r="C28" s="218" t="s">
        <v>2116</v>
      </c>
      <c r="D28" s="16" t="s">
        <v>2107</v>
      </c>
      <c r="E28" s="16">
        <v>2313</v>
      </c>
      <c r="F28" s="219" t="s">
        <f>=C28&amp;E28&amp;D28</f>
        <v>2134</v>
      </c>
      <c r="G28" s="219" t="s"/>
      <c r="H28" s="219" t="s"/>
      <c r="I28" s="219" t="s"/>
      <c r="J28" s="219" t="s"/>
      <c r="K28" s="219" t="s"/>
      <c r="L28" s="219" t="s"/>
      <c r="M28" s="219" t="s"/>
      <c r="N28" s="219" t="s"/>
    </row>
    <row r="29" spans="1:14" customHeight="true">
      <c r="A29" s="213">
        <f>=B29/13.123</f>
        <v>1.67492189285986</v>
      </c>
      <c r="B29" s="220">
        <v>21.98</v>
      </c>
      <c r="C29" s="230" t="s">
        <v>2116</v>
      </c>
      <c r="D29" s="74" t="s">
        <v>2109</v>
      </c>
      <c r="E29" s="74">
        <v>7628</v>
      </c>
      <c r="F29" s="231" t="s">
        <f>=C29&amp;E29&amp;D29</f>
        <v>2135</v>
      </c>
      <c r="G29" s="231" t="s"/>
      <c r="H29" s="231" t="s"/>
      <c r="I29" s="231" t="s"/>
      <c r="J29" s="231" t="s"/>
      <c r="K29" s="231" t="s"/>
      <c r="L29" s="231" t="s"/>
      <c r="M29" s="231" t="s"/>
      <c r="N29" s="231" t="s"/>
    </row>
    <row r="30" spans="1:14" customHeight="true">
      <c r="A30" s="213">
        <f>=B30/13.123</f>
        <v>1.58347938733521</v>
      </c>
      <c r="B30" s="220">
        <v>20.78</v>
      </c>
      <c r="C30" s="223" t="s">
        <v>2116</v>
      </c>
      <c r="D30" s="175" t="s">
        <v>2136</v>
      </c>
      <c r="E30" s="175">
        <v>7628</v>
      </c>
      <c r="F30" s="219" t="s">
        <f>=C30&amp;E30&amp;D30</f>
        <v>2137</v>
      </c>
      <c r="G30" s="224" t="s"/>
      <c r="H30" s="224" t="s"/>
      <c r="I30" s="224" t="s"/>
      <c r="J30" s="224" t="s"/>
      <c r="K30" s="224" t="s"/>
      <c r="L30" s="224" t="s"/>
      <c r="M30" s="224" t="s"/>
      <c r="N30" s="224" t="s"/>
    </row>
    <row r="31" spans="1:14" customHeight="true">
      <c r="A31" s="213">
        <f>=B31/13.123</f>
        <v>1.76484035662577</v>
      </c>
      <c r="B31" s="220">
        <v>23.16</v>
      </c>
      <c r="C31" s="218" t="s">
        <v>2116</v>
      </c>
      <c r="D31" s="16" t="s">
        <v>2138</v>
      </c>
      <c r="E31" s="16">
        <v>7628</v>
      </c>
      <c r="F31" s="219" t="s">
        <f>=C31&amp;E31&amp;D31</f>
        <v>2139</v>
      </c>
      <c r="G31" s="219" t="s"/>
      <c r="H31" s="219" t="s"/>
      <c r="I31" s="219" t="s"/>
      <c r="J31" s="219" t="s"/>
      <c r="K31" s="219" t="s"/>
      <c r="L31" s="219" t="s"/>
      <c r="M31" s="219" t="s"/>
      <c r="N31" s="219" t="s"/>
    </row>
    <row r="32" spans="1:14" customHeight="true">
      <c r="A32" s="213">
        <f>=B32/13.123</f>
        <v>1.76484035662577</v>
      </c>
      <c r="B32" s="220">
        <v>23.16</v>
      </c>
      <c r="C32" s="218" t="s">
        <v>2116</v>
      </c>
      <c r="D32" s="16" t="s">
        <v>2140</v>
      </c>
      <c r="E32" s="16">
        <v>7628</v>
      </c>
      <c r="F32" s="219" t="s">
        <f>=C32&amp;E32&amp;D32</f>
        <v>2141</v>
      </c>
      <c r="G32" s="219" t="s"/>
      <c r="H32" s="219" t="s"/>
      <c r="I32" s="219" t="s"/>
      <c r="J32" s="219" t="s"/>
      <c r="K32" s="219" t="s"/>
      <c r="L32" s="219" t="s"/>
      <c r="M32" s="219" t="s"/>
      <c r="N32" s="219" t="s"/>
    </row>
    <row r="33" spans="1:14" customHeight="true">
      <c r="A33" s="213">
        <f>=B33/13.123</f>
        <v>1.90276613579212</v>
      </c>
      <c r="B33" s="220">
        <v>24.97</v>
      </c>
      <c r="C33" s="218" t="s">
        <v>2142</v>
      </c>
      <c r="D33" s="16" t="s">
        <v>2085</v>
      </c>
      <c r="E33" s="16">
        <v>106</v>
      </c>
      <c r="F33" s="219" t="s">
        <f>=C33&amp;E33&amp;D33</f>
        <v>2143</v>
      </c>
      <c r="G33" s="219" t="s"/>
      <c r="H33" s="219" t="s"/>
      <c r="I33" s="219" t="s"/>
      <c r="J33" s="219" t="s"/>
      <c r="K33" s="219" t="s"/>
      <c r="L33" s="219" t="s"/>
      <c r="M33" s="219" t="s"/>
      <c r="N33" s="219" t="s"/>
    </row>
    <row r="34" spans="1:14" customHeight="true">
      <c r="A34" s="213">
        <f>=B34/13.123</f>
        <v>1.90276613579212</v>
      </c>
      <c r="B34" s="220">
        <v>24.97</v>
      </c>
      <c r="C34" s="218" t="s">
        <v>2142</v>
      </c>
      <c r="D34" s="16" t="s">
        <v>2144</v>
      </c>
      <c r="E34" s="16">
        <v>106</v>
      </c>
      <c r="F34" s="219" t="s">
        <f>=C34&amp;E34&amp;D34</f>
        <v>2145</v>
      </c>
      <c r="G34" s="219" t="s"/>
      <c r="H34" s="219" t="s"/>
      <c r="I34" s="219" t="s"/>
      <c r="J34" s="219" t="s"/>
      <c r="K34" s="219" t="s"/>
      <c r="L34" s="219" t="s"/>
      <c r="M34" s="219" t="s"/>
      <c r="N34" s="219" t="s"/>
    </row>
    <row r="35" spans="1:14" customHeight="true">
      <c r="A35" s="213">
        <f>=B35/13.123</f>
        <v>1.90276613579212</v>
      </c>
      <c r="B35" s="220">
        <v>24.97</v>
      </c>
      <c r="C35" s="218" t="s">
        <v>2142</v>
      </c>
      <c r="D35" s="16" t="s">
        <v>2146</v>
      </c>
      <c r="E35" s="16">
        <v>106</v>
      </c>
      <c r="F35" s="219" t="s">
        <f>=C35&amp;E35&amp;D35</f>
        <v>2147</v>
      </c>
      <c r="G35" s="219" t="s"/>
      <c r="H35" s="219" t="s"/>
      <c r="I35" s="219" t="s"/>
      <c r="J35" s="219" t="s"/>
      <c r="K35" s="219" t="s"/>
      <c r="L35" s="219" t="s"/>
      <c r="M35" s="219" t="s"/>
      <c r="N35" s="219" t="s"/>
    </row>
    <row r="36" spans="1:14" customHeight="true">
      <c r="A36" s="213">
        <f>=B36/13.123</f>
        <v>1.99573268307552</v>
      </c>
      <c r="B36" s="220">
        <v>26.19</v>
      </c>
      <c r="C36" s="218" t="s">
        <v>2142</v>
      </c>
      <c r="D36" s="16" t="s">
        <v>2148</v>
      </c>
      <c r="E36" s="16">
        <v>106</v>
      </c>
      <c r="F36" s="219" t="s">
        <f>=C36&amp;E36&amp;D36</f>
        <v>2149</v>
      </c>
      <c r="G36" s="219" t="s"/>
      <c r="H36" s="219" t="s"/>
      <c r="I36" s="219" t="s"/>
      <c r="J36" s="219" t="s"/>
      <c r="K36" s="219" t="s"/>
      <c r="L36" s="219" t="s"/>
      <c r="M36" s="219" t="s"/>
      <c r="N36" s="219" t="s"/>
    </row>
    <row r="37" spans="1:14" customHeight="true">
      <c r="A37" s="213">
        <f>=B37/13.123</f>
        <v>1.43488531585765</v>
      </c>
      <c r="B37" s="220">
        <v>18.83</v>
      </c>
      <c r="C37" s="218" t="s">
        <v>2142</v>
      </c>
      <c r="D37" s="16" t="s">
        <v>2087</v>
      </c>
      <c r="E37" s="16">
        <v>1080</v>
      </c>
      <c r="F37" s="219" t="s">
        <f>=C37&amp;E37&amp;D37</f>
        <v>2150</v>
      </c>
      <c r="G37" s="219" t="s"/>
      <c r="H37" s="219" t="s"/>
      <c r="I37" s="219" t="s"/>
      <c r="J37" s="219" t="s"/>
      <c r="K37" s="219" t="s"/>
      <c r="L37" s="219" t="s"/>
      <c r="M37" s="219" t="s"/>
      <c r="N37" s="219" t="s"/>
    </row>
    <row r="38" spans="1:14" customHeight="true">
      <c r="A38" s="213">
        <f>=B38/13.123</f>
        <v>1.54461632248724</v>
      </c>
      <c r="B38" s="220">
        <v>20.27</v>
      </c>
      <c r="C38" s="218" t="s">
        <v>2142</v>
      </c>
      <c r="D38" s="16" t="s">
        <v>2151</v>
      </c>
      <c r="E38" s="16">
        <v>1080</v>
      </c>
      <c r="F38" s="219" t="s">
        <f>=C38&amp;E38&amp;D38</f>
        <v>2152</v>
      </c>
      <c r="G38" s="219" t="s"/>
      <c r="H38" s="219" t="s"/>
      <c r="I38" s="219" t="s"/>
      <c r="J38" s="219" t="s"/>
      <c r="K38" s="219" t="s"/>
      <c r="L38" s="219" t="s"/>
      <c r="M38" s="219" t="s"/>
      <c r="N38" s="219" t="s"/>
    </row>
    <row r="39" spans="1:14" customHeight="true">
      <c r="A39" s="213">
        <f>=B39/13.123</f>
        <v>1.44631562904824</v>
      </c>
      <c r="B39" s="220">
        <v>18.98</v>
      </c>
      <c r="C39" s="223" t="s">
        <v>2142</v>
      </c>
      <c r="D39" s="175" t="s">
        <v>2153</v>
      </c>
      <c r="E39" s="175">
        <v>1080</v>
      </c>
      <c r="F39" s="219" t="s">
        <f>=C39&amp;E39&amp;D39</f>
        <v>2154</v>
      </c>
      <c r="G39" s="224" t="s"/>
      <c r="H39" s="224" t="s"/>
      <c r="I39" s="224" t="s"/>
      <c r="J39" s="224" t="s"/>
      <c r="K39" s="224" t="s"/>
      <c r="L39" s="224" t="s"/>
      <c r="M39" s="224" t="s"/>
      <c r="N39" s="224" t="s"/>
    </row>
    <row r="40" spans="1:14" customHeight="true">
      <c r="A40" s="213">
        <f>=B40/13.123</f>
        <v>1.51870761258859</v>
      </c>
      <c r="B40" s="220">
        <v>19.93</v>
      </c>
      <c r="C40" s="223" t="s">
        <v>2142</v>
      </c>
      <c r="D40" s="175" t="s">
        <v>2155</v>
      </c>
      <c r="E40" s="175">
        <v>1080</v>
      </c>
      <c r="F40" s="219" t="s">
        <f>=C40&amp;E40&amp;D40</f>
        <v>2156</v>
      </c>
      <c r="G40" s="224" t="s"/>
      <c r="H40" s="224" t="s"/>
      <c r="I40" s="224" t="s"/>
      <c r="J40" s="224" t="s"/>
      <c r="K40" s="224" t="s"/>
      <c r="L40" s="224" t="s"/>
      <c r="M40" s="224" t="s"/>
      <c r="N40" s="224" t="s"/>
    </row>
    <row r="41" spans="1:14" customHeight="true">
      <c r="A41" s="213">
        <f>=B41/13.123</f>
        <v>1.97287205669435</v>
      </c>
      <c r="B41" s="220">
        <v>25.89</v>
      </c>
      <c r="C41" s="218" t="s">
        <v>2142</v>
      </c>
      <c r="D41" s="16" t="s">
        <v>2157</v>
      </c>
      <c r="E41" s="16">
        <v>1506</v>
      </c>
      <c r="F41" s="219" t="s">
        <f>=C41&amp;E41&amp;D41</f>
        <v>2158</v>
      </c>
      <c r="G41" s="219" t="s"/>
      <c r="H41" s="219" t="s"/>
      <c r="I41" s="219" t="s"/>
      <c r="J41" s="219" t="s"/>
      <c r="K41" s="219" t="s"/>
      <c r="L41" s="219" t="s"/>
      <c r="M41" s="219" t="s"/>
      <c r="N41" s="219" t="s"/>
    </row>
    <row r="42" spans="1:14" customHeight="true">
      <c r="A42" s="213">
        <f>=B42/13.123</f>
        <v>2.03154766440601</v>
      </c>
      <c r="B42" s="220">
        <v>26.66</v>
      </c>
      <c r="C42" s="218" t="s">
        <v>2142</v>
      </c>
      <c r="D42" s="16" t="s">
        <v>2097</v>
      </c>
      <c r="E42" s="16">
        <v>1506</v>
      </c>
      <c r="F42" s="219" t="s">
        <f>=C42&amp;E42&amp;D42</f>
        <v>2159</v>
      </c>
      <c r="G42" s="219" t="s"/>
      <c r="H42" s="219" t="s"/>
      <c r="I42" s="219" t="s"/>
      <c r="J42" s="219" t="s"/>
      <c r="K42" s="219" t="s"/>
      <c r="L42" s="219" t="s"/>
      <c r="M42" s="219" t="s"/>
      <c r="N42" s="219" t="s"/>
    </row>
    <row r="43" spans="1:14" customHeight="true">
      <c r="A43" s="213">
        <f>=B43/13.123</f>
        <v>2.18623790291854</v>
      </c>
      <c r="B43" s="220">
        <v>28.69</v>
      </c>
      <c r="C43" s="223" t="s">
        <v>2142</v>
      </c>
      <c r="D43" s="175" t="s">
        <v>2160</v>
      </c>
      <c r="E43" s="174">
        <v>3313</v>
      </c>
      <c r="F43" s="219" t="s">
        <f>=C43&amp;E43&amp;D43</f>
        <v>2161</v>
      </c>
      <c r="G43" s="224" t="s"/>
      <c r="H43" s="224" t="s"/>
      <c r="I43" s="224" t="s"/>
      <c r="J43" s="224" t="s"/>
      <c r="K43" s="224" t="s"/>
      <c r="L43" s="224" t="s"/>
      <c r="M43" s="224" t="s"/>
      <c r="N43" s="224" t="s"/>
    </row>
    <row r="44" spans="1:14" customHeight="true">
      <c r="A44" s="213">
        <f>=B44/13.123</f>
        <v>2.23424521831898</v>
      </c>
      <c r="B44" s="220">
        <v>29.32</v>
      </c>
      <c r="C44" s="223" t="s">
        <v>2142</v>
      </c>
      <c r="D44" s="175" t="s">
        <v>2162</v>
      </c>
      <c r="E44" s="174">
        <v>3313</v>
      </c>
      <c r="F44" s="219" t="s">
        <f>=C44&amp;E44&amp;D44</f>
        <v>2163</v>
      </c>
      <c r="G44" s="224" t="s"/>
      <c r="H44" s="224" t="s"/>
      <c r="I44" s="224" t="s"/>
      <c r="J44" s="224" t="s"/>
      <c r="K44" s="224" t="s"/>
      <c r="L44" s="224" t="s"/>
      <c r="M44" s="224" t="s"/>
      <c r="N44" s="224" t="s"/>
    </row>
    <row r="45" spans="1:14" customHeight="true">
      <c r="A45" s="213">
        <f>=B45/13.123</f>
        <v>1.40516650156214</v>
      </c>
      <c r="B45" s="220">
        <v>18.44</v>
      </c>
      <c r="C45" s="223" t="s">
        <v>2142</v>
      </c>
      <c r="D45" s="175" t="s">
        <v>2097</v>
      </c>
      <c r="E45" s="174">
        <v>2116</v>
      </c>
      <c r="F45" s="219" t="s">
        <f>=C45&amp;E45&amp;D45</f>
        <v>2164</v>
      </c>
      <c r="G45" s="224" t="s"/>
      <c r="H45" s="224" t="s"/>
      <c r="I45" s="224" t="s"/>
      <c r="J45" s="224" t="s"/>
      <c r="K45" s="224" t="s"/>
      <c r="L45" s="224" t="s"/>
      <c r="M45" s="224" t="s"/>
      <c r="N45" s="224" t="s"/>
    </row>
    <row r="46" spans="1:14" s="283" customFormat="true" customHeight="true">
      <c r="A46" s="225">
        <f>=B46/13.123</f>
        <v>1.40516650156214</v>
      </c>
      <c r="B46" s="226">
        <v>18.44</v>
      </c>
      <c r="C46" s="227" t="s">
        <v>2142</v>
      </c>
      <c r="D46" s="228" t="s">
        <v>2101</v>
      </c>
      <c r="E46" s="228">
        <v>2116</v>
      </c>
      <c r="F46" s="219" t="s">
        <f>=C46&amp;E46&amp;D46</f>
        <v>2165</v>
      </c>
      <c r="G46" s="229" t="s"/>
      <c r="H46" s="229" t="s"/>
      <c r="I46" s="229" t="s"/>
      <c r="J46" s="229" t="s"/>
      <c r="K46" s="229" t="s"/>
      <c r="L46" s="229" t="s"/>
      <c r="M46" s="229" t="s"/>
      <c r="N46" s="229" t="s"/>
    </row>
    <row r="47" spans="1:14" customHeight="true">
      <c r="A47" s="213">
        <f>=B47/13.123</f>
        <v>1.75798216871142</v>
      </c>
      <c r="B47" s="220">
        <v>23.07</v>
      </c>
      <c r="C47" s="218" t="s">
        <v>2142</v>
      </c>
      <c r="D47" s="16" t="s">
        <v>2166</v>
      </c>
      <c r="E47" s="16">
        <v>2116</v>
      </c>
      <c r="F47" s="219" t="s">
        <f>=C47&amp;E47&amp;D47</f>
        <v>2167</v>
      </c>
      <c r="G47" s="219" t="s"/>
      <c r="H47" s="219" t="s"/>
      <c r="I47" s="219" t="s"/>
      <c r="J47" s="219" t="s"/>
      <c r="K47" s="219" t="s"/>
      <c r="L47" s="219" t="s"/>
      <c r="M47" s="219" t="s"/>
      <c r="N47" s="219" t="s"/>
    </row>
    <row r="48" spans="1:14" customHeight="true">
      <c r="A48" s="213">
        <f>=B48/13.123</f>
        <v>1.58195534557647</v>
      </c>
      <c r="B48" s="220">
        <v>20.76</v>
      </c>
      <c r="C48" s="218" t="s">
        <v>2142</v>
      </c>
      <c r="D48" s="16" t="s">
        <v>2168</v>
      </c>
      <c r="E48" s="16">
        <v>2116</v>
      </c>
      <c r="F48" s="219" t="s">
        <f>=C48&amp;E48&amp;D48</f>
        <v>2169</v>
      </c>
      <c r="G48" s="219" t="s"/>
      <c r="H48" s="219" t="s"/>
      <c r="I48" s="219" t="s"/>
      <c r="J48" s="219" t="s"/>
      <c r="K48" s="219" t="s"/>
      <c r="L48" s="219" t="s"/>
      <c r="M48" s="219" t="s"/>
      <c r="N48" s="219" t="s"/>
    </row>
    <row r="49" spans="1:14" customHeight="true">
      <c r="A49" s="213">
        <f>=B49/13.123</f>
        <v>1.58195534557647</v>
      </c>
      <c r="B49" s="220">
        <v>20.76</v>
      </c>
      <c r="C49" s="218" t="s">
        <v>2142</v>
      </c>
      <c r="D49" s="16" t="s">
        <v>2105</v>
      </c>
      <c r="E49" s="16">
        <v>2116</v>
      </c>
      <c r="F49" s="219" t="s">
        <f>=C49&amp;E49&amp;D49</f>
        <v>2170</v>
      </c>
      <c r="G49" s="219" t="s"/>
      <c r="H49" s="219" t="s"/>
      <c r="I49" s="219" t="s"/>
      <c r="J49" s="219" t="s"/>
      <c r="K49" s="219" t="s"/>
      <c r="L49" s="219" t="s"/>
      <c r="M49" s="219" t="s"/>
      <c r="N49" s="219" t="s"/>
    </row>
    <row r="50" spans="1:14" s="283" customFormat="true" customHeight="true">
      <c r="A50" s="225">
        <f>=B50/13.123</f>
        <v>1.50499123675989</v>
      </c>
      <c r="B50" s="226">
        <v>19.75</v>
      </c>
      <c r="C50" s="232" t="s">
        <v>2142</v>
      </c>
      <c r="D50" s="233" t="s">
        <v>2107</v>
      </c>
      <c r="E50" s="233">
        <v>2116</v>
      </c>
      <c r="F50" s="219" t="s">
        <f>=C50&amp;E50&amp;D50</f>
        <v>2171</v>
      </c>
      <c r="G50" s="234" t="s"/>
      <c r="H50" s="234" t="s"/>
      <c r="I50" s="234" t="s"/>
      <c r="J50" s="234" t="s"/>
      <c r="K50" s="234" t="s"/>
      <c r="L50" s="234" t="s"/>
      <c r="M50" s="234" t="s"/>
      <c r="N50" s="234" t="s"/>
    </row>
    <row r="51" spans="1:14" customHeight="true">
      <c r="A51" s="213">
        <f>=B51/13.123</f>
        <v>1.55757067743656</v>
      </c>
      <c r="B51" s="220">
        <v>20.44</v>
      </c>
      <c r="C51" s="218" t="s">
        <v>2142</v>
      </c>
      <c r="D51" s="131" t="s">
        <v>2162</v>
      </c>
      <c r="E51" s="16">
        <v>2116</v>
      </c>
      <c r="F51" s="219" t="s">
        <f>=C51&amp;E51&amp;D51</f>
        <v>2172</v>
      </c>
      <c r="G51" s="219" t="s"/>
      <c r="H51" s="219" t="s"/>
      <c r="I51" s="219" t="s"/>
      <c r="J51" s="219" t="s"/>
      <c r="K51" s="219" t="s"/>
      <c r="L51" s="219" t="s"/>
      <c r="M51" s="219" t="s"/>
      <c r="N51" s="219" t="s"/>
    </row>
    <row r="52" spans="1:14" customHeight="true">
      <c r="A52" s="213">
        <f>=B52/13.123</f>
        <v>1.75798216871142</v>
      </c>
      <c r="B52" s="220">
        <v>23.07</v>
      </c>
      <c r="C52" s="218" t="s">
        <v>2142</v>
      </c>
      <c r="D52" s="16" t="s">
        <v>2173</v>
      </c>
      <c r="E52" s="16">
        <v>2116</v>
      </c>
      <c r="F52" s="219" t="s">
        <f>=C52&amp;E52&amp;D52</f>
        <v>2174</v>
      </c>
      <c r="G52" s="219" t="s"/>
      <c r="H52" s="219" t="s"/>
      <c r="I52" s="219" t="s"/>
      <c r="J52" s="219" t="s"/>
      <c r="K52" s="219" t="s"/>
      <c r="L52" s="219" t="s"/>
      <c r="M52" s="219" t="s"/>
      <c r="N52" s="219" t="s"/>
    </row>
    <row r="53" spans="1:14" customHeight="true">
      <c r="A53" s="213">
        <f>=B53/13.123</f>
        <v>1.7915110874038</v>
      </c>
      <c r="B53" s="220">
        <v>23.51</v>
      </c>
      <c r="C53" s="218" t="s">
        <v>2142</v>
      </c>
      <c r="D53" s="131" t="s">
        <v>2175</v>
      </c>
      <c r="E53" s="16">
        <v>2313</v>
      </c>
      <c r="F53" s="219" t="s">
        <f>=C53&amp;E53&amp;D53</f>
        <v>2176</v>
      </c>
      <c r="G53" s="219" t="s"/>
      <c r="H53" s="219" t="s"/>
      <c r="I53" s="219" t="s"/>
      <c r="J53" s="219" t="s"/>
      <c r="K53" s="219" t="s"/>
      <c r="L53" s="219" t="s"/>
      <c r="M53" s="219" t="s"/>
      <c r="N53" s="219" t="s"/>
    </row>
    <row r="54" spans="1:14" customHeight="true">
      <c r="A54" s="213">
        <f>=B54/13.123</f>
        <v>1.64825116208184</v>
      </c>
      <c r="B54" s="220">
        <v>21.63</v>
      </c>
      <c r="C54" s="218" t="s">
        <v>2142</v>
      </c>
      <c r="D54" s="16" t="s">
        <v>2109</v>
      </c>
      <c r="E54" s="16">
        <v>7628</v>
      </c>
      <c r="F54" s="219" t="s">
        <f>=C54&amp;E54&amp;D54</f>
        <v>2177</v>
      </c>
      <c r="G54" s="219" t="s"/>
      <c r="H54" s="219" t="s"/>
      <c r="I54" s="219" t="s"/>
      <c r="J54" s="219" t="s"/>
      <c r="K54" s="219" t="s"/>
      <c r="L54" s="219" t="s"/>
      <c r="M54" s="219" t="s"/>
      <c r="N54" s="219" t="s"/>
    </row>
    <row r="55" spans="1:14" customHeight="true">
      <c r="A55" s="213">
        <f>=B55/13.123</f>
        <v>1.56976301150652</v>
      </c>
      <c r="B55" s="220">
        <v>20.6</v>
      </c>
      <c r="C55" s="218" t="s">
        <v>2142</v>
      </c>
      <c r="D55" s="16" t="s">
        <v>2093</v>
      </c>
      <c r="E55" s="16">
        <v>7628</v>
      </c>
      <c r="F55" s="219" t="s">
        <f>=C55&amp;E55&amp;D55</f>
        <v>2178</v>
      </c>
      <c r="G55" s="219" t="s"/>
      <c r="H55" s="219" t="s"/>
      <c r="I55" s="219" t="s"/>
      <c r="J55" s="219" t="s"/>
      <c r="K55" s="219" t="s"/>
      <c r="L55" s="219" t="s"/>
      <c r="M55" s="219" t="s"/>
      <c r="N55" s="219" t="s"/>
    </row>
    <row r="56" spans="1:14" customHeight="true">
      <c r="A56" s="213">
        <f>=B56/13.123</f>
        <v>1.56976301150652</v>
      </c>
      <c r="B56" s="220">
        <v>20.6</v>
      </c>
      <c r="C56" s="218" t="s">
        <v>2142</v>
      </c>
      <c r="D56" s="131" t="s">
        <v>2179</v>
      </c>
      <c r="E56" s="16">
        <v>7628</v>
      </c>
      <c r="F56" s="219" t="s">
        <f>=C56&amp;E56&amp;D56</f>
        <v>2180</v>
      </c>
      <c r="G56" s="219" t="s"/>
      <c r="H56" s="219" t="s"/>
      <c r="I56" s="219" t="s"/>
      <c r="J56" s="219" t="s"/>
      <c r="K56" s="219" t="s"/>
      <c r="L56" s="219" t="s"/>
      <c r="M56" s="219" t="s"/>
      <c r="N56" s="235" t="s"/>
    </row>
    <row r="57" spans="1:14" customHeight="true">
      <c r="A57" s="213">
        <f>=B57/13.123</f>
        <v>1.72292920826031</v>
      </c>
      <c r="B57" s="220">
        <v>22.61</v>
      </c>
      <c r="C57" s="218" t="s">
        <v>2142</v>
      </c>
      <c r="D57" s="16" t="s">
        <v>2181</v>
      </c>
      <c r="E57" s="16">
        <v>7628</v>
      </c>
      <c r="F57" s="219" t="s">
        <f>=C57&amp;E57&amp;D57</f>
        <v>2182</v>
      </c>
      <c r="G57" s="219" t="s"/>
      <c r="H57" s="219" t="s"/>
      <c r="I57" s="219" t="s"/>
      <c r="J57" s="219" t="s"/>
      <c r="K57" s="219" t="s"/>
      <c r="L57" s="219" t="s"/>
      <c r="M57" s="235" t="s"/>
      <c r="N57" s="235" t="s"/>
    </row>
    <row r="58" spans="1:14" customHeight="true">
      <c r="A58" s="213">
        <f>=B58/13.123</f>
        <v>1.69092433132668</v>
      </c>
      <c r="B58" s="220">
        <v>22.19</v>
      </c>
      <c r="C58" s="218" t="s">
        <v>2142</v>
      </c>
      <c r="D58" s="16" t="s">
        <v>2125</v>
      </c>
      <c r="E58" s="16">
        <v>7628</v>
      </c>
      <c r="F58" s="219" t="s">
        <f>=C58&amp;E58&amp;D58</f>
        <v>2183</v>
      </c>
      <c r="G58" s="219" t="s"/>
      <c r="H58" s="219" t="s"/>
      <c r="I58" s="219" t="s"/>
      <c r="J58" s="219" t="s"/>
      <c r="K58" s="219" t="s"/>
      <c r="L58" s="219" t="s"/>
      <c r="M58" s="219" t="s"/>
      <c r="N58" s="219" t="s"/>
    </row>
    <row r="59" spans="1:14" customHeight="true">
      <c r="A59" s="213">
        <f>=B59/13.123</f>
        <v>1.97592014021184</v>
      </c>
      <c r="B59" s="220">
        <v>25.93</v>
      </c>
      <c r="C59" s="218" t="s">
        <v>2184</v>
      </c>
      <c r="D59" s="16" t="s">
        <v>2185</v>
      </c>
      <c r="E59" s="16">
        <v>106</v>
      </c>
      <c r="F59" s="219" t="s">
        <f>=C59&amp;E59&amp;D59</f>
        <v>2186</v>
      </c>
      <c r="G59" s="219" t="s"/>
      <c r="H59" s="219" t="s"/>
      <c r="I59" s="219" t="s"/>
      <c r="J59" s="219" t="s"/>
      <c r="K59" s="219" t="s"/>
      <c r="L59" s="219" t="s"/>
      <c r="M59" s="219" t="s"/>
      <c r="N59" s="219" t="s"/>
    </row>
    <row r="60" spans="1:14" customHeight="true">
      <c r="A60" s="213">
        <f>=B60/13.123</f>
        <v>1.97592014021184</v>
      </c>
      <c r="B60" s="220">
        <v>25.93</v>
      </c>
      <c r="C60" s="218" t="s">
        <v>2184</v>
      </c>
      <c r="D60" s="16" t="s">
        <v>2187</v>
      </c>
      <c r="E60" s="16">
        <v>106</v>
      </c>
      <c r="F60" s="219" t="s">
        <f>=C60&amp;E60&amp;D60</f>
        <v>2188</v>
      </c>
      <c r="G60" s="219" t="s"/>
      <c r="H60" s="219" t="s"/>
      <c r="I60" s="219" t="s"/>
      <c r="J60" s="219" t="s"/>
      <c r="K60" s="219" t="s"/>
      <c r="L60" s="219" t="s"/>
      <c r="M60" s="219" t="s"/>
      <c r="N60" s="219" t="s"/>
    </row>
    <row r="61" spans="1:14" customHeight="true">
      <c r="A61" s="213">
        <f>=B61/13.123</f>
        <v>2.07345881277147</v>
      </c>
      <c r="B61" s="220">
        <v>27.21</v>
      </c>
      <c r="C61" s="218" t="s">
        <v>2184</v>
      </c>
      <c r="D61" s="16" t="s">
        <v>2189</v>
      </c>
      <c r="E61" s="16">
        <v>106</v>
      </c>
      <c r="F61" s="219" t="s">
        <f>=C61&amp;E61&amp;D61</f>
        <v>2190</v>
      </c>
      <c r="G61" s="219" t="s"/>
      <c r="H61" s="219" t="s"/>
      <c r="I61" s="219" t="s"/>
      <c r="J61" s="219" t="s"/>
      <c r="K61" s="219" t="s"/>
      <c r="L61" s="219" t="s"/>
      <c r="M61" s="219" t="s"/>
      <c r="N61" s="219" t="s"/>
    </row>
    <row r="62" spans="1:14" customHeight="true">
      <c r="A62" s="213">
        <f>=B62/13.123</f>
        <v>1.58347938733521</v>
      </c>
      <c r="B62" s="220">
        <v>20.78</v>
      </c>
      <c r="C62" s="218" t="s">
        <v>2184</v>
      </c>
      <c r="D62" s="16" t="s">
        <v>2119</v>
      </c>
      <c r="E62" s="16">
        <v>1080</v>
      </c>
      <c r="F62" s="219" t="s">
        <f>=C62&amp;E62&amp;D62</f>
        <v>2191</v>
      </c>
      <c r="G62" s="219" t="s"/>
      <c r="H62" s="219" t="s"/>
      <c r="I62" s="219" t="s"/>
      <c r="J62" s="219" t="s"/>
      <c r="K62" s="219" t="s"/>
      <c r="L62" s="219" t="s"/>
      <c r="M62" s="219" t="s"/>
      <c r="N62" s="219" t="s"/>
    </row>
    <row r="63" spans="1:14" customHeight="true">
      <c r="A63" s="213">
        <f>=B63/13.123</f>
        <v>1.63224872361503</v>
      </c>
      <c r="B63" s="220">
        <v>21.42</v>
      </c>
      <c r="C63" s="218" t="s">
        <v>2184</v>
      </c>
      <c r="D63" s="16" t="s">
        <v>2192</v>
      </c>
      <c r="E63" s="16">
        <v>1080</v>
      </c>
      <c r="F63" s="219" t="s">
        <f>=C63&amp;E63&amp;D63</f>
        <v>2193</v>
      </c>
      <c r="G63" s="219" t="s"/>
      <c r="H63" s="219" t="s"/>
      <c r="I63" s="219" t="s"/>
      <c r="J63" s="219" t="s"/>
      <c r="K63" s="219" t="s"/>
      <c r="L63" s="219" t="s"/>
      <c r="M63" s="219" t="s"/>
      <c r="N63" s="219" t="s"/>
    </row>
    <row r="64" spans="1:14" customHeight="true">
      <c r="A64" s="213">
        <f>=B64/13.123</f>
        <v>1.55909471919531</v>
      </c>
      <c r="B64" s="220">
        <v>20.46</v>
      </c>
      <c r="C64" s="218" t="s">
        <v>2184</v>
      </c>
      <c r="D64" s="16" t="s">
        <v>2153</v>
      </c>
      <c r="E64" s="16">
        <v>1080</v>
      </c>
      <c r="F64" s="219" t="s">
        <f>=C64&amp;E64&amp;D64</f>
        <v>2194</v>
      </c>
      <c r="G64" s="219" t="s"/>
      <c r="H64" s="219" t="s"/>
      <c r="I64" s="219" t="s"/>
      <c r="J64" s="219" t="s"/>
      <c r="K64" s="219" t="s"/>
      <c r="L64" s="219" t="s"/>
      <c r="M64" s="219" t="s"/>
      <c r="N64" s="219" t="s"/>
    </row>
    <row r="65" spans="1:14" customHeight="true">
      <c r="A65" s="213">
        <f>=B65/13.123</f>
        <v>1.66882572582489</v>
      </c>
      <c r="B65" s="220">
        <v>21.9</v>
      </c>
      <c r="C65" s="218" t="s">
        <v>2184</v>
      </c>
      <c r="D65" s="16" t="s">
        <v>2195</v>
      </c>
      <c r="E65" s="16">
        <v>1080</v>
      </c>
      <c r="F65" s="219" t="s">
        <f>=C65&amp;E65&amp;D65</f>
        <v>2196</v>
      </c>
      <c r="G65" s="219" t="s"/>
      <c r="H65" s="219" t="s"/>
      <c r="I65" s="219" t="s"/>
      <c r="J65" s="219" t="s"/>
      <c r="K65" s="219" t="s"/>
      <c r="L65" s="219" t="s"/>
      <c r="M65" s="219" t="s"/>
      <c r="N65" s="219" t="s"/>
    </row>
    <row r="66" spans="1:14" customHeight="true">
      <c r="A66" s="213">
        <f>=B66/13.123</f>
        <v>1.75188600167645</v>
      </c>
      <c r="B66" s="220">
        <v>22.99</v>
      </c>
      <c r="C66" s="218" t="s">
        <v>2184</v>
      </c>
      <c r="D66" s="16" t="s">
        <v>2085</v>
      </c>
      <c r="E66" s="16">
        <v>1080</v>
      </c>
      <c r="F66" s="219" t="s">
        <f>=C66&amp;E66&amp;D66</f>
        <v>2197</v>
      </c>
      <c r="G66" s="219" t="s"/>
      <c r="H66" s="219" t="s"/>
      <c r="I66" s="219" t="s"/>
      <c r="J66" s="219" t="s"/>
      <c r="K66" s="219" t="s"/>
      <c r="L66" s="219" t="s"/>
      <c r="M66" s="219" t="s"/>
      <c r="N66" s="219" t="s"/>
    </row>
    <row r="67" spans="1:14" customHeight="true">
      <c r="A67" s="236">
        <f>=B67/13.123</f>
        <v>2.13365846224187</v>
      </c>
      <c r="B67" s="237">
        <v>28</v>
      </c>
      <c r="C67" s="238" t="s">
        <v>2184</v>
      </c>
      <c r="D67" s="11" t="s">
        <v>2091</v>
      </c>
      <c r="E67" s="11">
        <v>1078</v>
      </c>
      <c r="F67" s="216" t="s">
        <f>=C67&amp;E67&amp;D67</f>
        <v>2198</v>
      </c>
      <c r="G67" s="216" t="s"/>
      <c r="H67" s="216" t="s"/>
      <c r="I67" s="216" t="s"/>
      <c r="J67" s="216" t="s"/>
      <c r="K67" s="216" t="s"/>
      <c r="L67" s="216" t="s"/>
      <c r="M67" s="216" t="s"/>
      <c r="N67" s="216" t="s"/>
    </row>
    <row r="68" spans="1:14" customHeight="true">
      <c r="A68" s="213">
        <f>=B68/13.123</f>
        <v>2.12832431608626</v>
      </c>
      <c r="B68" s="220">
        <v>27.93</v>
      </c>
      <c r="C68" s="218" t="s">
        <v>2184</v>
      </c>
      <c r="D68" s="16" t="s">
        <v>2095</v>
      </c>
      <c r="E68" s="16">
        <v>1506</v>
      </c>
      <c r="F68" s="219" t="s">
        <f>=C68&amp;E68&amp;D68</f>
        <v>2199</v>
      </c>
      <c r="G68" s="219" t="s"/>
      <c r="H68" s="219" t="s"/>
      <c r="I68" s="219" t="s"/>
      <c r="J68" s="219" t="s"/>
      <c r="K68" s="219" t="s"/>
      <c r="L68" s="219" t="s"/>
      <c r="M68" s="219" t="s"/>
      <c r="N68" s="219" t="s"/>
    </row>
    <row r="69" spans="1:14" customHeight="true">
      <c r="A69" s="213">
        <f>=B69/13.123</f>
        <v>2.35312047550103</v>
      </c>
      <c r="B69" s="220">
        <v>30.88</v>
      </c>
      <c r="C69" s="218" t="s">
        <v>2184</v>
      </c>
      <c r="D69" s="16" t="s">
        <v>2097</v>
      </c>
      <c r="E69" s="16">
        <v>1506</v>
      </c>
      <c r="F69" s="219" t="s">
        <f>=C69&amp;E69&amp;D69</f>
        <v>2200</v>
      </c>
      <c r="G69" s="219" t="s"/>
      <c r="H69" s="219" t="s"/>
      <c r="I69" s="219" t="s"/>
      <c r="J69" s="219" t="s"/>
      <c r="K69" s="219" t="s"/>
      <c r="L69" s="219" t="s"/>
      <c r="M69" s="219" t="s"/>
      <c r="N69" s="219" t="s"/>
    </row>
    <row r="70" spans="1:14" customHeight="true">
      <c r="A70" s="236">
        <f>=B70/13.123</f>
        <v>2.00411491274861</v>
      </c>
      <c r="B70" s="237">
        <v>26.3</v>
      </c>
      <c r="C70" s="238" t="s">
        <v>2184</v>
      </c>
      <c r="D70" s="11" t="s">
        <v>2201</v>
      </c>
      <c r="E70" s="11">
        <v>2113</v>
      </c>
      <c r="F70" s="216" t="s">
        <f>=C70&amp;E70&amp;D70</f>
        <v>2202</v>
      </c>
      <c r="G70" s="216" t="s"/>
      <c r="H70" s="216" t="s"/>
      <c r="I70" s="216" t="s"/>
      <c r="J70" s="216" t="s"/>
      <c r="K70" s="216" t="s"/>
      <c r="L70" s="216" t="s"/>
      <c r="M70" s="216" t="s"/>
      <c r="N70" s="216" t="s"/>
    </row>
    <row r="71" spans="1:14" customHeight="true">
      <c r="A71" s="213">
        <f>=B71/13.123</f>
        <v>1.49051284005182</v>
      </c>
      <c r="B71" s="220">
        <v>19.56</v>
      </c>
      <c r="C71" s="218" t="s">
        <v>2184</v>
      </c>
      <c r="D71" s="16" t="s">
        <v>2203</v>
      </c>
      <c r="E71" s="16">
        <v>2116</v>
      </c>
      <c r="F71" s="219" t="s">
        <f>=C71&amp;E71&amp;D71</f>
        <v>2204</v>
      </c>
      <c r="G71" s="219" t="s"/>
      <c r="H71" s="219" t="s"/>
      <c r="I71" s="219" t="s"/>
      <c r="J71" s="219" t="s"/>
      <c r="K71" s="219" t="s"/>
      <c r="L71" s="219" t="s"/>
      <c r="M71" s="219" t="s"/>
      <c r="N71" s="219" t="s"/>
    </row>
    <row r="72" spans="1:14" customHeight="true">
      <c r="A72" s="213">
        <f>=B72/13.123</f>
        <v>1.867713175341</v>
      </c>
      <c r="B72" s="220">
        <v>24.51</v>
      </c>
      <c r="C72" s="218" t="s">
        <v>2184</v>
      </c>
      <c r="D72" s="16" t="s">
        <v>2205</v>
      </c>
      <c r="E72" s="16">
        <v>2116</v>
      </c>
      <c r="F72" s="219" t="s">
        <f>=C72&amp;E72&amp;D72</f>
        <v>2206</v>
      </c>
      <c r="G72" s="219" t="s"/>
      <c r="H72" s="219" t="s"/>
      <c r="I72" s="219" t="s"/>
      <c r="J72" s="219" t="s"/>
      <c r="K72" s="219" t="s"/>
      <c r="L72" s="219" t="s"/>
      <c r="M72" s="219" t="s"/>
      <c r="N72" s="219" t="s"/>
    </row>
    <row r="73" spans="1:14" customHeight="true">
      <c r="A73" s="213">
        <f>=B73/13.123</f>
        <v>1.62005638954507</v>
      </c>
      <c r="B73" s="220">
        <v>21.26</v>
      </c>
      <c r="C73" s="218" t="s">
        <v>2184</v>
      </c>
      <c r="D73" s="16" t="s">
        <v>2207</v>
      </c>
      <c r="E73" s="16">
        <v>2116</v>
      </c>
      <c r="F73" s="219" t="s">
        <f>=C73&amp;E73&amp;D73</f>
        <v>2208</v>
      </c>
      <c r="G73" s="219" t="s"/>
      <c r="H73" s="219" t="s"/>
      <c r="I73" s="219" t="s"/>
      <c r="J73" s="219" t="s"/>
      <c r="K73" s="219" t="s"/>
      <c r="L73" s="219" t="s"/>
      <c r="M73" s="219" t="s"/>
      <c r="N73" s="219" t="s"/>
    </row>
    <row r="74" spans="1:14" customHeight="true">
      <c r="A74" s="213">
        <f>=B74/13.123</f>
        <v>2.0452640402347</v>
      </c>
      <c r="B74" s="220">
        <v>26.84</v>
      </c>
      <c r="C74" s="218" t="s">
        <v>2184</v>
      </c>
      <c r="D74" s="16" t="s">
        <v>2105</v>
      </c>
      <c r="E74" s="16">
        <v>3313</v>
      </c>
      <c r="F74" s="219" t="s">
        <f>=C74&amp;E74&amp;D74</f>
        <v>2209</v>
      </c>
      <c r="G74" s="219" t="s"/>
      <c r="H74" s="219" t="s"/>
      <c r="I74" s="219" t="s"/>
      <c r="J74" s="219" t="s"/>
      <c r="K74" s="219" t="s"/>
      <c r="L74" s="219" t="s"/>
      <c r="M74" s="219" t="s"/>
      <c r="N74" s="219" t="s"/>
    </row>
    <row r="75" spans="1:14" customHeight="true">
      <c r="A75" s="213">
        <f>=B75/13.123</f>
        <v>2.0452640402347</v>
      </c>
      <c r="B75" s="220">
        <v>26.84</v>
      </c>
      <c r="C75" s="218" t="s">
        <v>2184</v>
      </c>
      <c r="D75" s="16" t="s">
        <v>2105</v>
      </c>
      <c r="E75" s="16">
        <v>2313</v>
      </c>
      <c r="F75" s="219" t="s">
        <f>=C75&amp;E75&amp;D75</f>
        <v>2210</v>
      </c>
      <c r="G75" s="219" t="s"/>
      <c r="H75" s="219" t="s"/>
      <c r="I75" s="219" t="s"/>
      <c r="J75" s="219" t="s"/>
      <c r="K75" s="219" t="s"/>
      <c r="L75" s="219" t="s"/>
      <c r="M75" s="219" t="s"/>
      <c r="N75" s="219" t="s"/>
    </row>
    <row r="76" spans="1:14" customHeight="true">
      <c r="A76" s="213">
        <f>=B76/13.123</f>
        <v>2.06888668749524</v>
      </c>
      <c r="B76" s="220">
        <v>27.15</v>
      </c>
      <c r="C76" s="218" t="s">
        <v>2184</v>
      </c>
      <c r="D76" s="16" t="s">
        <v>2211</v>
      </c>
      <c r="E76" s="16">
        <v>2313</v>
      </c>
      <c r="F76" s="219" t="s">
        <f>=C76&amp;E76&amp;D76</f>
        <v>2212</v>
      </c>
      <c r="G76" s="219" t="s"/>
      <c r="H76" s="219" t="s"/>
      <c r="I76" s="219" t="s"/>
      <c r="J76" s="219" t="s"/>
      <c r="K76" s="219" t="s"/>
      <c r="L76" s="219" t="s"/>
      <c r="M76" s="219" t="s"/>
      <c r="N76" s="219" t="s"/>
    </row>
    <row r="77" spans="1:14" customHeight="true">
      <c r="A77" s="213">
        <f>=B77/13.123</f>
        <v>1.97592014021184</v>
      </c>
      <c r="B77" s="220">
        <v>25.93</v>
      </c>
      <c r="C77" s="218" t="s">
        <v>2184</v>
      </c>
      <c r="D77" s="16" t="s">
        <v>2136</v>
      </c>
      <c r="E77" s="16">
        <v>7628</v>
      </c>
      <c r="F77" s="219" t="s"/>
      <c r="G77" s="219" t="s"/>
      <c r="H77" s="219" t="s"/>
      <c r="I77" s="219" t="s"/>
      <c r="J77" s="219" t="s"/>
      <c r="K77" s="219" t="s"/>
      <c r="L77" s="219" t="s"/>
      <c r="M77" s="219" t="s"/>
      <c r="N77" s="219" t="s"/>
    </row>
    <row r="78" spans="1:14" customHeight="true">
      <c r="A78" s="213">
        <f>=B78/13.123</f>
        <v>1.84104244456298</v>
      </c>
      <c r="B78" s="220">
        <v>24.16</v>
      </c>
      <c r="C78" s="218" t="s">
        <v>2184</v>
      </c>
      <c r="D78" s="16" t="s">
        <v>2095</v>
      </c>
      <c r="E78" s="16">
        <v>7628</v>
      </c>
      <c r="F78" s="219" t="s">
        <f>=C78&amp;E78&amp;D78</f>
        <v>2213</v>
      </c>
      <c r="G78" s="219" t="s"/>
      <c r="H78" s="219" t="s"/>
      <c r="I78" s="219" t="s"/>
      <c r="J78" s="219" t="s"/>
      <c r="K78" s="219" t="s"/>
      <c r="L78" s="219" t="s"/>
      <c r="M78" s="219" t="s"/>
      <c r="N78" s="219" t="s"/>
    </row>
    <row r="79" spans="1:14" customHeight="true">
      <c r="A79" s="213">
        <f>=B79/13.123</f>
        <v>1.91876857425894</v>
      </c>
      <c r="B79" s="220">
        <v>25.18</v>
      </c>
      <c r="C79" s="218" t="s">
        <v>2184</v>
      </c>
      <c r="D79" s="16" t="s">
        <v>2113</v>
      </c>
      <c r="E79" s="16">
        <v>7628</v>
      </c>
      <c r="F79" s="219" t="s">
        <f>=C79&amp;E79&amp;D79</f>
        <v>2214</v>
      </c>
      <c r="G79" s="219" t="s"/>
      <c r="H79" s="219" t="s"/>
      <c r="I79" s="219" t="s"/>
      <c r="J79" s="219" t="s"/>
      <c r="K79" s="219" t="s"/>
      <c r="L79" s="219" t="s"/>
      <c r="M79" s="219" t="s"/>
      <c r="N79" s="219" t="s"/>
    </row>
    <row r="80" spans="1:14" customHeight="true">
      <c r="A80" s="213">
        <f>=B80/13.123</f>
        <v>2.12070410729254</v>
      </c>
      <c r="B80" s="220">
        <v>27.83</v>
      </c>
      <c r="C80" s="218" t="s">
        <v>2184</v>
      </c>
      <c r="D80" s="16" t="s">
        <v>2140</v>
      </c>
      <c r="E80" s="16">
        <v>7628</v>
      </c>
      <c r="F80" s="219" t="s">
        <f>=C80&amp;E80&amp;D80</f>
        <v>2215</v>
      </c>
      <c r="G80" s="219" t="s"/>
      <c r="H80" s="219" t="s"/>
      <c r="I80" s="219" t="s"/>
      <c r="J80" s="219" t="s"/>
      <c r="K80" s="219" t="s"/>
      <c r="L80" s="219" t="s"/>
      <c r="M80" s="219" t="s"/>
      <c r="N80" s="219" t="s"/>
    </row>
    <row r="81" spans="1:14" customHeight="true">
      <c r="A81" s="213">
        <f>=B81/13.123</f>
        <v>2.09555741827326</v>
      </c>
      <c r="B81" s="220">
        <v>27.5</v>
      </c>
      <c r="C81" s="218" t="s">
        <v>2216</v>
      </c>
      <c r="D81" s="16" t="s">
        <v>2148</v>
      </c>
      <c r="E81" s="16">
        <v>106</v>
      </c>
      <c r="F81" s="219" t="s">
        <f>=C81&amp;E81&amp;D81</f>
        <v>2217</v>
      </c>
      <c r="G81" s="219" t="s"/>
      <c r="H81" s="219" t="s"/>
      <c r="I81" s="219" t="s"/>
      <c r="J81" s="219" t="s"/>
      <c r="K81" s="219" t="s"/>
      <c r="L81" s="219" t="s"/>
      <c r="M81" s="219" t="s"/>
      <c r="N81" s="219" t="s"/>
    </row>
    <row r="82" spans="1:14" customHeight="true">
      <c r="A82" s="213">
        <f>=B82/13.123</f>
        <v>2.0124971424217</v>
      </c>
      <c r="B82" s="220">
        <v>26.41</v>
      </c>
      <c r="C82" s="218" t="s">
        <v>2216</v>
      </c>
      <c r="D82" s="16" t="s">
        <v>2117</v>
      </c>
      <c r="E82" s="16">
        <v>106</v>
      </c>
      <c r="F82" s="219" t="s">
        <f>=C82&amp;E82&amp;D82</f>
        <v>2218</v>
      </c>
      <c r="G82" s="219" t="s"/>
      <c r="H82" s="219" t="s"/>
      <c r="I82" s="219" t="s"/>
      <c r="J82" s="219" t="s"/>
      <c r="K82" s="219" t="s"/>
      <c r="L82" s="219" t="s"/>
      <c r="M82" s="219" t="s"/>
      <c r="N82" s="219" t="s"/>
    </row>
    <row r="83" spans="1:14" customHeight="true">
      <c r="A83" s="236">
        <f>=B83/13.123</f>
        <v>1.98125428636745</v>
      </c>
      <c r="B83" s="214">
        <v>26</v>
      </c>
      <c r="C83" s="238" t="s">
        <v>2216</v>
      </c>
      <c r="D83" s="11" t="s">
        <v>2219</v>
      </c>
      <c r="E83" s="13">
        <v>1080</v>
      </c>
      <c r="F83" s="216" t="s">
        <f>=C83&amp;E83&amp;D83</f>
        <v>2220</v>
      </c>
      <c r="G83" s="216" t="s"/>
      <c r="H83" s="216" t="s"/>
      <c r="I83" s="216" t="s"/>
      <c r="J83" s="216" t="s"/>
      <c r="K83" s="216" t="s"/>
      <c r="L83" s="216" t="s"/>
      <c r="M83" s="216" t="s"/>
      <c r="N83" s="216" t="s"/>
    </row>
    <row r="84" spans="1:14" customHeight="true">
      <c r="A84" s="213">
        <f>=B84/13.123</f>
        <v>1.63224872361503</v>
      </c>
      <c r="B84" s="220">
        <v>21.42</v>
      </c>
      <c r="C84" s="218" t="s">
        <v>2216</v>
      </c>
      <c r="D84" s="16" t="s">
        <v>2221</v>
      </c>
      <c r="E84" s="16">
        <v>1080</v>
      </c>
      <c r="F84" s="219" t="s">
        <f>=C84&amp;E84&amp;D84</f>
        <v>2222</v>
      </c>
      <c r="G84" s="219" t="s"/>
      <c r="H84" s="219" t="s"/>
      <c r="I84" s="219" t="s"/>
      <c r="J84" s="219" t="s"/>
      <c r="K84" s="219" t="s"/>
      <c r="L84" s="219" t="s"/>
      <c r="M84" s="219" t="s"/>
      <c r="N84" s="219" t="s"/>
    </row>
    <row r="85" spans="1:14" customHeight="true">
      <c r="A85" s="213">
        <f>=B85/13.123</f>
        <v>1.81894383906119</v>
      </c>
      <c r="B85" s="220">
        <v>23.87</v>
      </c>
      <c r="C85" s="218" t="s">
        <v>2216</v>
      </c>
      <c r="D85" s="16" t="s">
        <v>2130</v>
      </c>
      <c r="E85" s="16">
        <v>2116</v>
      </c>
      <c r="F85" s="219" t="s">
        <f>=C85&amp;E85&amp;D85</f>
        <v>2223</v>
      </c>
      <c r="G85" s="219" t="s"/>
      <c r="H85" s="219" t="s"/>
      <c r="I85" s="219" t="s"/>
      <c r="J85" s="219" t="s"/>
      <c r="K85" s="219" t="s"/>
      <c r="L85" s="219" t="s"/>
      <c r="M85" s="219" t="s"/>
      <c r="N85" s="219" t="s"/>
    </row>
    <row r="86" spans="1:14" customHeight="true">
      <c r="A86" s="213">
        <f>=B86/13.123</f>
        <v>2.00106682923112</v>
      </c>
      <c r="B86" s="220">
        <v>26.26</v>
      </c>
      <c r="C86" s="218" t="s">
        <v>2216</v>
      </c>
      <c r="D86" s="16" t="s">
        <v>2173</v>
      </c>
      <c r="E86" s="16">
        <v>2116</v>
      </c>
      <c r="F86" s="219" t="s">
        <f>=C86&amp;E86&amp;D86</f>
        <v>2224</v>
      </c>
      <c r="G86" s="219" t="s"/>
      <c r="H86" s="219" t="s"/>
      <c r="I86" s="219" t="s"/>
      <c r="J86" s="219" t="s"/>
      <c r="K86" s="219" t="s"/>
      <c r="L86" s="219" t="s"/>
      <c r="M86" s="219" t="s"/>
      <c r="N86" s="219" t="s"/>
    </row>
    <row r="87" spans="1:14" customHeight="true">
      <c r="A87" s="213">
        <f>=B87/13.123</f>
        <v>2.24034138535396</v>
      </c>
      <c r="B87" s="220">
        <v>29.4</v>
      </c>
      <c r="C87" s="218" t="s">
        <v>2216</v>
      </c>
      <c r="D87" s="16" t="s">
        <v>2162</v>
      </c>
      <c r="E87" s="16">
        <v>2313</v>
      </c>
      <c r="F87" s="219" t="s">
        <f>=C87&amp;E87&amp;D87</f>
        <v>2225</v>
      </c>
      <c r="G87" s="219" t="s"/>
      <c r="H87" s="219" t="s"/>
      <c r="I87" s="219" t="s"/>
      <c r="J87" s="219" t="s"/>
      <c r="K87" s="219" t="s"/>
      <c r="L87" s="219" t="s"/>
      <c r="M87" s="219" t="s"/>
      <c r="N87" s="219" t="s"/>
    </row>
    <row r="88" spans="1:14" customHeight="true">
      <c r="A88" s="213">
        <f>=B88/13.123</f>
        <v>1.87761944677284</v>
      </c>
      <c r="B88" s="220">
        <v>24.64</v>
      </c>
      <c r="C88" s="218" t="s">
        <v>2226</v>
      </c>
      <c r="D88" s="16" t="s">
        <v>2151</v>
      </c>
      <c r="E88" s="16">
        <v>1080</v>
      </c>
      <c r="F88" s="219" t="s">
        <f>=C88&amp;E88&amp;D88</f>
        <v>2227</v>
      </c>
      <c r="G88" s="219" t="s"/>
      <c r="H88" s="219" t="s"/>
      <c r="I88" s="219" t="s"/>
      <c r="J88" s="219" t="s"/>
      <c r="K88" s="219" t="s"/>
      <c r="L88" s="219" t="s"/>
      <c r="M88" s="219" t="s"/>
      <c r="N88" s="219" t="s"/>
    </row>
    <row r="89" spans="1:14" customHeight="true">
      <c r="A89" s="213">
        <f>=B89/13.123</f>
        <v>1.9141964489827</v>
      </c>
      <c r="B89" s="220">
        <v>25.12</v>
      </c>
      <c r="C89" s="218" t="s">
        <v>2226</v>
      </c>
      <c r="D89" s="16" t="s">
        <v>2091</v>
      </c>
      <c r="E89" s="16">
        <v>1080</v>
      </c>
      <c r="F89" s="219" t="s">
        <f>=C89&amp;E89&amp;D89</f>
        <v>2228</v>
      </c>
      <c r="G89" s="219" t="s"/>
      <c r="H89" s="219" t="s"/>
      <c r="I89" s="219" t="s"/>
      <c r="J89" s="219" t="s"/>
      <c r="K89" s="219" t="s"/>
      <c r="L89" s="219" t="s"/>
      <c r="M89" s="219" t="s"/>
      <c r="N89" s="219" t="s"/>
    </row>
    <row r="90" spans="1:14" customHeight="true">
      <c r="A90" s="236">
        <f>=B90/13.123</f>
        <v>2.28606263811629</v>
      </c>
      <c r="B90" s="237">
        <v>30</v>
      </c>
      <c r="C90" s="238" t="s">
        <v>2226</v>
      </c>
      <c r="D90" s="11" t="s">
        <v>2095</v>
      </c>
      <c r="E90" s="11">
        <v>1506</v>
      </c>
      <c r="F90" s="216" t="s">
        <f>=C90&amp;E90&amp;D90</f>
        <v>2229</v>
      </c>
      <c r="G90" s="216" t="s"/>
      <c r="H90" s="216" t="s"/>
      <c r="I90" s="216" t="s"/>
      <c r="J90" s="216" t="s"/>
      <c r="K90" s="216" t="s"/>
      <c r="L90" s="216" t="s"/>
      <c r="M90" s="216" t="s"/>
      <c r="N90" s="216" t="s"/>
    </row>
    <row r="91" spans="1:14" customHeight="true">
      <c r="A91" s="213">
        <f>=B91/13.123</f>
        <v>1.91572049074145</v>
      </c>
      <c r="B91" s="220">
        <v>25.14</v>
      </c>
      <c r="C91" s="218" t="s">
        <v>2226</v>
      </c>
      <c r="D91" s="16" t="s">
        <v>2230</v>
      </c>
      <c r="E91" s="16">
        <v>2116</v>
      </c>
      <c r="F91" s="219" t="s">
        <f>=C91&amp;E91&amp;D91</f>
        <v>2231</v>
      </c>
      <c r="G91" s="219" t="s"/>
      <c r="H91" s="219" t="s"/>
      <c r="I91" s="219" t="s"/>
      <c r="J91" s="219" t="s"/>
      <c r="K91" s="219" t="s"/>
      <c r="L91" s="219" t="s"/>
      <c r="M91" s="219" t="s"/>
      <c r="N91" s="219" t="s"/>
    </row>
    <row r="92" spans="1:14" customHeight="true">
      <c r="A92" s="213">
        <f>=B92/13.123</f>
        <v>1.96220376438314</v>
      </c>
      <c r="B92" s="220">
        <v>25.75</v>
      </c>
      <c r="C92" s="218" t="s">
        <v>2226</v>
      </c>
      <c r="D92" s="16" t="s">
        <v>2175</v>
      </c>
      <c r="E92" s="16">
        <v>2116</v>
      </c>
      <c r="F92" s="219" t="s">
        <f>=C92&amp;E92&amp;D92</f>
        <v>2232</v>
      </c>
      <c r="G92" s="219" t="s"/>
      <c r="H92" s="219" t="s"/>
      <c r="I92" s="219" t="s"/>
      <c r="J92" s="219" t="s"/>
      <c r="K92" s="219" t="s"/>
      <c r="L92" s="219" t="s"/>
      <c r="M92" s="219" t="s"/>
      <c r="N92" s="219" t="s"/>
    </row>
    <row r="93" spans="1:14" customHeight="true">
      <c r="A93" s="213">
        <f>=B93/13.123</f>
        <v>2.23424521831898</v>
      </c>
      <c r="B93" s="220">
        <v>29.32</v>
      </c>
      <c r="C93" s="218" t="s">
        <v>2226</v>
      </c>
      <c r="D93" s="16" t="s">
        <v>2173</v>
      </c>
      <c r="E93" s="16">
        <v>2116</v>
      </c>
      <c r="F93" s="219" t="s">
        <f>=C93&amp;E93&amp;D93</f>
        <v>2233</v>
      </c>
      <c r="G93" s="219" t="s"/>
      <c r="H93" s="219" t="s"/>
      <c r="I93" s="219" t="s"/>
      <c r="J93" s="219" t="s"/>
      <c r="K93" s="219" t="s"/>
      <c r="L93" s="219" t="s"/>
      <c r="M93" s="219" t="s"/>
      <c r="N93" s="219" t="s"/>
    </row>
    <row r="94" spans="1:14" customHeight="true">
      <c r="A94" s="213">
        <f>=B94/13.123</f>
        <v>2.12832431608626</v>
      </c>
      <c r="B94" s="220">
        <v>27.93</v>
      </c>
      <c r="C94" s="218" t="s">
        <v>2226</v>
      </c>
      <c r="D94" s="16" t="s">
        <v>2109</v>
      </c>
      <c r="E94" s="16">
        <v>7628</v>
      </c>
      <c r="F94" s="219" t="s">
        <f>=C94&amp;E94&amp;D94</f>
        <v>2234</v>
      </c>
      <c r="G94" s="219" t="s"/>
      <c r="H94" s="219" t="s"/>
      <c r="I94" s="219" t="s"/>
      <c r="J94" s="219" t="s"/>
      <c r="K94" s="219" t="s"/>
      <c r="L94" s="219" t="s"/>
      <c r="M94" s="219" t="s"/>
      <c r="N94" s="219" t="s"/>
    </row>
    <row r="95" spans="1:14" customHeight="true">
      <c r="A95" s="213">
        <f>=B95/13.123</f>
        <v>2.19614417435038</v>
      </c>
      <c r="B95" s="220">
        <v>28.82</v>
      </c>
      <c r="C95" s="218" t="s">
        <v>2226</v>
      </c>
      <c r="D95" s="16" t="s">
        <v>2113</v>
      </c>
      <c r="E95" s="16">
        <v>7628</v>
      </c>
      <c r="F95" s="219" t="s">
        <f>=C95&amp;E95&amp;D95</f>
        <v>2235</v>
      </c>
      <c r="G95" s="219" t="s"/>
      <c r="H95" s="219" t="s"/>
      <c r="I95" s="219" t="s"/>
      <c r="J95" s="219" t="s"/>
      <c r="K95" s="219" t="s"/>
      <c r="L95" s="219" t="s"/>
      <c r="M95" s="219" t="s"/>
      <c r="N95" s="219" t="s"/>
    </row>
    <row r="96" spans="1:14" customHeight="true">
      <c r="A96" s="213">
        <f>=B96/13.123</f>
        <v>2.35464451725977</v>
      </c>
      <c r="B96" s="220">
        <v>30.9</v>
      </c>
      <c r="C96" s="218" t="s">
        <v>2226</v>
      </c>
      <c r="D96" s="16" t="s">
        <v>2097</v>
      </c>
      <c r="E96" s="16">
        <v>7628</v>
      </c>
      <c r="F96" s="219" t="s">
        <f>=C96&amp;E96&amp;D96</f>
        <v>2236</v>
      </c>
      <c r="G96" s="219" t="s"/>
      <c r="H96" s="219" t="s"/>
      <c r="I96" s="219" t="s"/>
      <c r="J96" s="219" t="s"/>
      <c r="K96" s="219" t="s"/>
      <c r="L96" s="219" t="s"/>
      <c r="M96" s="219" t="s"/>
      <c r="N96" s="219" t="s"/>
    </row>
    <row r="97" spans="1:14" customHeight="true">
      <c r="A97" s="213">
        <f>=B97/13.123</f>
        <v>2.36988493484722</v>
      </c>
      <c r="B97" s="220">
        <v>31.1</v>
      </c>
      <c r="C97" s="218" t="s">
        <v>2226</v>
      </c>
      <c r="D97" s="16" t="s">
        <v>2125</v>
      </c>
      <c r="E97" s="16">
        <v>7628</v>
      </c>
      <c r="F97" s="219" t="s">
        <f>=C97&amp;E97&amp;D97</f>
        <v>2237</v>
      </c>
      <c r="G97" s="219" t="s"/>
      <c r="H97" s="219" t="s"/>
      <c r="I97" s="219" t="s"/>
      <c r="J97" s="219" t="s"/>
      <c r="K97" s="219" t="s"/>
      <c r="L97" s="219" t="s"/>
      <c r="M97" s="219" t="s"/>
      <c r="N97" s="219" t="s"/>
    </row>
    <row r="98" spans="1:14" customHeight="true">
      <c r="A98" s="213">
        <f>=B98/13.123</f>
        <v>2.35159643374229</v>
      </c>
      <c r="B98" s="220">
        <v>30.86</v>
      </c>
      <c r="C98" s="218" t="s">
        <v>2238</v>
      </c>
      <c r="D98" s="16" t="s">
        <v>2144</v>
      </c>
      <c r="E98" s="16">
        <v>106</v>
      </c>
      <c r="F98" s="219" t="s">
        <f>=C98&amp;E98&amp;D98</f>
        <v>2239</v>
      </c>
      <c r="G98" s="219" t="s"/>
      <c r="H98" s="219" t="s"/>
      <c r="I98" s="219" t="s"/>
      <c r="J98" s="219" t="s"/>
      <c r="K98" s="219" t="s"/>
      <c r="L98" s="219" t="s"/>
      <c r="M98" s="219" t="s"/>
      <c r="N98" s="219" t="s"/>
    </row>
    <row r="99" spans="1:14" customHeight="true">
      <c r="A99" s="213">
        <f>=B99/13.123</f>
        <v>2.01173512154233</v>
      </c>
      <c r="B99" s="220">
        <v>26.4</v>
      </c>
      <c r="C99" s="218" t="s">
        <v>2238</v>
      </c>
      <c r="D99" s="16" t="s">
        <v>2240</v>
      </c>
      <c r="E99" s="16">
        <v>106</v>
      </c>
      <c r="F99" s="219" t="s">
        <f>=C99&amp;E99&amp;D99</f>
        <v>2241</v>
      </c>
      <c r="G99" s="219" t="s"/>
      <c r="H99" s="219" t="s"/>
      <c r="I99" s="219" t="s"/>
      <c r="J99" s="219" t="s"/>
      <c r="K99" s="219" t="s"/>
      <c r="L99" s="219" t="s"/>
      <c r="M99" s="219" t="s"/>
      <c r="N99" s="219" t="s"/>
    </row>
    <row r="100" spans="1:14" customHeight="true">
      <c r="A100" s="213">
        <f>=B100/13.123</f>
        <v>1.79532119180066</v>
      </c>
      <c r="B100" s="220">
        <v>23.56</v>
      </c>
      <c r="C100" s="218" t="s">
        <v>2238</v>
      </c>
      <c r="D100" s="16" t="s">
        <v>2242</v>
      </c>
      <c r="E100" s="16">
        <v>106</v>
      </c>
      <c r="F100" s="219" t="s">
        <f>=C100&amp;E100&amp;D100</f>
        <v>2243</v>
      </c>
      <c r="G100" s="219" t="s"/>
      <c r="H100" s="219" t="s"/>
      <c r="I100" s="219" t="s"/>
      <c r="J100" s="219" t="s"/>
      <c r="K100" s="219" t="s"/>
      <c r="L100" s="219" t="s"/>
      <c r="M100" s="219" t="s"/>
      <c r="N100" s="219" t="s"/>
    </row>
    <row r="101" spans="1:14" customHeight="true">
      <c r="A101" s="213">
        <f>=B101/13.123</f>
        <v>2.7661357921207</v>
      </c>
      <c r="B101" s="220">
        <v>36.3</v>
      </c>
      <c r="C101" s="218" t="s">
        <v>2238</v>
      </c>
      <c r="D101" s="16" t="s">
        <v>2244</v>
      </c>
      <c r="E101" s="16">
        <v>1506</v>
      </c>
      <c r="F101" s="219" t="s">
        <f>=C101&amp;E101&amp;D101</f>
        <v>2245</v>
      </c>
      <c r="G101" s="219" t="s"/>
      <c r="H101" s="219" t="s"/>
      <c r="I101" s="219" t="s"/>
      <c r="J101" s="219" t="s"/>
      <c r="K101" s="219" t="s"/>
      <c r="L101" s="219" t="s"/>
      <c r="M101" s="219" t="s"/>
      <c r="N101" s="219" t="s"/>
    </row>
    <row r="102" spans="1:14" customHeight="true">
      <c r="A102" s="213">
        <f>=B102/13.123</f>
        <v>2.12070410729254</v>
      </c>
      <c r="B102" s="220">
        <v>27.83</v>
      </c>
      <c r="C102" s="218" t="s">
        <v>2238</v>
      </c>
      <c r="D102" s="16" t="s">
        <v>2105</v>
      </c>
      <c r="E102" s="16">
        <v>2313</v>
      </c>
      <c r="F102" s="219" t="s">
        <f>=C102&amp;E102&amp;D102</f>
        <v>2246</v>
      </c>
      <c r="G102" s="219" t="s"/>
      <c r="H102" s="219" t="s"/>
      <c r="I102" s="219" t="s"/>
      <c r="J102" s="219" t="s"/>
      <c r="K102" s="219" t="s"/>
      <c r="L102" s="219" t="s"/>
      <c r="M102" s="219" t="s"/>
      <c r="N102" s="219" t="s"/>
    </row>
    <row r="103" spans="1:14" customHeight="true">
      <c r="A103" s="213">
        <f>=B103/13.123</f>
        <v>1.73816962584775</v>
      </c>
      <c r="B103" s="220">
        <v>22.81</v>
      </c>
      <c r="C103" s="218" t="s">
        <v>2238</v>
      </c>
      <c r="D103" s="16" t="s">
        <v>2097</v>
      </c>
      <c r="E103" s="16">
        <v>2116</v>
      </c>
      <c r="F103" s="219" t="s">
        <f>=C103&amp;E103&amp;D103</f>
        <v>2247</v>
      </c>
      <c r="G103" s="219" t="s"/>
      <c r="H103" s="219" t="s"/>
      <c r="I103" s="219" t="s"/>
      <c r="J103" s="219" t="s"/>
      <c r="K103" s="219" t="s"/>
      <c r="L103" s="219" t="s"/>
      <c r="M103" s="219" t="s"/>
      <c r="N103" s="219" t="s"/>
    </row>
    <row r="104" spans="1:14" customHeight="true">
      <c r="A104" s="213">
        <f>=B104/13.123</f>
        <v>1.83342223576926</v>
      </c>
      <c r="B104" s="220">
        <v>24.06</v>
      </c>
      <c r="C104" s="239" t="s">
        <v>2238</v>
      </c>
      <c r="D104" s="240" t="s">
        <v>2125</v>
      </c>
      <c r="E104" s="240">
        <v>2116</v>
      </c>
      <c r="F104" s="219" t="s">
        <f>=C104&amp;E104&amp;D104</f>
        <v>2248</v>
      </c>
      <c r="G104" s="219" t="s"/>
      <c r="H104" s="219" t="s"/>
      <c r="I104" s="219" t="s"/>
      <c r="J104" s="219" t="s"/>
      <c r="K104" s="219" t="s"/>
      <c r="L104" s="219" t="s"/>
      <c r="M104" s="219" t="s"/>
      <c r="N104" s="219" t="s"/>
    </row>
    <row r="105" spans="1:14" customHeight="true">
      <c r="A105" s="213">
        <f>=B105/13.123</f>
        <v>2.12070410729254</v>
      </c>
      <c r="B105" s="220">
        <v>27.83</v>
      </c>
      <c r="C105" s="16" t="s">
        <v>2238</v>
      </c>
      <c r="D105" s="16" t="s">
        <v>2162</v>
      </c>
      <c r="E105" s="16">
        <v>2116</v>
      </c>
      <c r="F105" s="219" t="s">
        <f>=C105&amp;E105&amp;D105</f>
        <v>2249</v>
      </c>
      <c r="G105" s="219" t="s"/>
      <c r="H105" s="219" t="s"/>
      <c r="I105" s="219" t="s"/>
      <c r="J105" s="219" t="s"/>
      <c r="K105" s="219" t="s"/>
      <c r="L105" s="219" t="s"/>
      <c r="M105" s="219" t="s"/>
      <c r="N105" s="219" t="s"/>
    </row>
    <row r="106" spans="1:14" customHeight="true">
      <c r="A106" s="213">
        <f>=B106/13.123</f>
        <v>1.98735045340242</v>
      </c>
      <c r="B106" s="220">
        <v>26.08</v>
      </c>
      <c r="C106" s="221" t="s">
        <v>2238</v>
      </c>
      <c r="D106" s="222" t="s">
        <v>2101</v>
      </c>
      <c r="E106" s="222">
        <v>2116</v>
      </c>
      <c r="F106" s="219" t="s">
        <f>=C106&amp;E106&amp;D106</f>
        <v>2250</v>
      </c>
      <c r="G106" s="219" t="s"/>
      <c r="H106" s="219" t="s"/>
      <c r="I106" s="219" t="s"/>
      <c r="J106" s="219" t="s"/>
      <c r="K106" s="219" t="s"/>
      <c r="L106" s="219" t="s"/>
      <c r="M106" s="219" t="s"/>
      <c r="N106" s="219" t="s"/>
    </row>
    <row r="107" spans="1:14" customHeight="true">
      <c r="A107" s="213">
        <f>=B107/13.123</f>
        <v>1.98735045340242</v>
      </c>
      <c r="B107" s="220">
        <v>26.08</v>
      </c>
      <c r="C107" s="218" t="s">
        <v>2238</v>
      </c>
      <c r="D107" s="16" t="s">
        <v>2175</v>
      </c>
      <c r="E107" s="16">
        <v>2116</v>
      </c>
      <c r="F107" s="219" t="s">
        <f>=C107&amp;E107&amp;D107</f>
        <v>2251</v>
      </c>
      <c r="G107" s="219" t="s"/>
      <c r="H107" s="219" t="s"/>
      <c r="I107" s="219" t="s"/>
      <c r="J107" s="219" t="s"/>
      <c r="K107" s="219" t="s"/>
      <c r="L107" s="219" t="s"/>
      <c r="M107" s="219" t="s"/>
      <c r="N107" s="219" t="s"/>
    </row>
    <row r="108" spans="1:14" customHeight="true">
      <c r="A108" s="213">
        <f>=B108/13.123</f>
        <v>2.06279052046026</v>
      </c>
      <c r="B108" s="220">
        <v>27.07</v>
      </c>
      <c r="C108" s="218" t="s">
        <v>2238</v>
      </c>
      <c r="D108" s="16" t="s">
        <v>2221</v>
      </c>
      <c r="E108" s="16">
        <v>1080</v>
      </c>
      <c r="F108" s="219" t="s">
        <f>=C108&amp;E108&amp;D108</f>
        <v>2252</v>
      </c>
      <c r="G108" s="219" t="s"/>
      <c r="H108" s="219" t="s"/>
      <c r="I108" s="219" t="s"/>
      <c r="J108" s="219" t="s"/>
      <c r="K108" s="219" t="s"/>
      <c r="L108" s="219" t="s"/>
      <c r="M108" s="219" t="s"/>
      <c r="N108" s="219" t="s"/>
    </row>
    <row r="109" spans="1:14" customHeight="true">
      <c r="A109" s="213">
        <f>=B109/13.123</f>
        <v>2.21290863369656</v>
      </c>
      <c r="B109" s="220">
        <v>29.04</v>
      </c>
      <c r="C109" s="218" t="s">
        <v>2238</v>
      </c>
      <c r="D109" s="16" t="s">
        <v>2091</v>
      </c>
      <c r="E109" s="16">
        <v>1080</v>
      </c>
      <c r="F109" s="219" t="s">
        <f>=C109&amp;E109&amp;D109</f>
        <v>2253</v>
      </c>
      <c r="G109" s="219" t="s"/>
      <c r="H109" s="219" t="s"/>
      <c r="I109" s="219" t="s"/>
      <c r="J109" s="219" t="s"/>
      <c r="K109" s="219" t="s"/>
      <c r="L109" s="219" t="s"/>
      <c r="M109" s="219" t="s"/>
      <c r="N109" s="219" t="s"/>
    </row>
    <row r="110" spans="1:14" customHeight="true">
      <c r="A110" s="213">
        <f>=B110/13.123</f>
        <v>2.24643755238894</v>
      </c>
      <c r="B110" s="220">
        <v>29.48</v>
      </c>
      <c r="C110" s="218" t="s">
        <v>2238</v>
      </c>
      <c r="D110" s="16" t="s">
        <v>2107</v>
      </c>
      <c r="E110" s="16">
        <v>2313</v>
      </c>
      <c r="F110" s="219" t="s">
        <f>=C110&amp;E110&amp;D110</f>
        <v>2254</v>
      </c>
      <c r="G110" s="219" t="s"/>
      <c r="H110" s="219" t="s"/>
      <c r="I110" s="219" t="s"/>
      <c r="J110" s="219" t="s"/>
      <c r="K110" s="219" t="s"/>
      <c r="L110" s="219" t="s"/>
      <c r="M110" s="219" t="s"/>
      <c r="N110" s="219" t="s"/>
    </row>
    <row r="111" spans="1:14" customHeight="true">
      <c r="A111" s="213">
        <f>=B111/13.123</f>
        <v>2.24338946887145</v>
      </c>
      <c r="B111" s="220">
        <v>29.44</v>
      </c>
      <c r="C111" s="218" t="s">
        <v>2238</v>
      </c>
      <c r="D111" s="16" t="s">
        <v>2136</v>
      </c>
      <c r="E111" s="16">
        <v>7628</v>
      </c>
      <c r="F111" s="219" t="s">
        <f>=C111&amp;E111&amp;D111</f>
        <v>2255</v>
      </c>
      <c r="G111" s="219" t="s"/>
      <c r="H111" s="219" t="s"/>
      <c r="I111" s="219" t="s"/>
      <c r="J111" s="219" t="s"/>
      <c r="K111" s="219" t="s"/>
      <c r="L111" s="219" t="s"/>
      <c r="M111" s="219" t="s"/>
      <c r="N111" s="219" t="s"/>
    </row>
    <row r="112" spans="1:14" customHeight="true">
      <c r="A112" s="213">
        <f>=B112/13.123</f>
        <v>2.35464451725977</v>
      </c>
      <c r="B112" s="220">
        <v>30.9</v>
      </c>
      <c r="C112" s="218" t="s">
        <v>2238</v>
      </c>
      <c r="D112" s="16" t="s">
        <v>2113</v>
      </c>
      <c r="E112" s="16">
        <v>7628</v>
      </c>
      <c r="F112" s="219" t="s">
        <f>=C112&amp;E112&amp;D112</f>
        <v>2256</v>
      </c>
      <c r="G112" s="219" t="s"/>
      <c r="H112" s="219" t="s"/>
      <c r="I112" s="219" t="s"/>
      <c r="J112" s="219" t="s"/>
      <c r="K112" s="219" t="s"/>
      <c r="L112" s="219" t="s"/>
      <c r="M112" s="219" t="s"/>
      <c r="N112" s="219" t="s"/>
    </row>
    <row r="113" spans="1:14" customHeight="true">
      <c r="A113" s="213">
        <f>=B113/13.123</f>
        <v>2.23119713480149</v>
      </c>
      <c r="B113" s="220">
        <v>29.28</v>
      </c>
      <c r="C113" s="239" t="s">
        <v>2238</v>
      </c>
      <c r="D113" s="240" t="s">
        <v>2097</v>
      </c>
      <c r="E113" s="240">
        <v>7628</v>
      </c>
      <c r="F113" s="219" t="s">
        <f>=C113&amp;E113&amp;D113</f>
        <v>2257</v>
      </c>
      <c r="G113" s="219" t="s"/>
      <c r="H113" s="219" t="s"/>
      <c r="I113" s="219" t="s"/>
      <c r="J113" s="219" t="s"/>
      <c r="K113" s="219" t="s"/>
      <c r="L113" s="219" t="s"/>
      <c r="M113" s="219" t="s"/>
      <c r="N113" s="219" t="s"/>
    </row>
    <row r="114" spans="1:14" customHeight="true">
      <c r="A114" s="213">
        <f>=B114/13.123</f>
        <v>2.30511316010059</v>
      </c>
      <c r="B114" s="220">
        <v>30.25</v>
      </c>
      <c r="C114" s="16" t="s">
        <v>2238</v>
      </c>
      <c r="D114" s="16" t="s">
        <v>2125</v>
      </c>
      <c r="E114" s="16">
        <v>7628</v>
      </c>
      <c r="F114" s="219" t="s">
        <f>=C114&amp;E114&amp;D114</f>
        <v>2258</v>
      </c>
      <c r="G114" s="219" t="s"/>
      <c r="H114" s="219" t="s"/>
      <c r="I114" s="219" t="s"/>
      <c r="J114" s="219" t="s"/>
      <c r="K114" s="219" t="s"/>
      <c r="L114" s="219" t="s"/>
      <c r="M114" s="219" t="s"/>
      <c r="N114" s="219" t="s"/>
    </row>
    <row r="115" spans="1:14" customHeight="true">
      <c r="A115" s="213">
        <f>=B115/13.123</f>
        <v>1.9553455764688</v>
      </c>
      <c r="B115" s="220">
        <v>25.66</v>
      </c>
      <c r="C115" s="221" t="s">
        <v>2259</v>
      </c>
      <c r="D115" s="222" t="s">
        <v>2219</v>
      </c>
      <c r="E115" s="222">
        <v>106</v>
      </c>
      <c r="F115" s="219" t="s">
        <f>=C115&amp;E115&amp;D115</f>
        <v>2260</v>
      </c>
      <c r="G115" s="219" t="s"/>
      <c r="H115" s="219" t="s"/>
      <c r="I115" s="219" t="s"/>
      <c r="J115" s="219" t="s"/>
      <c r="K115" s="219" t="s"/>
      <c r="L115" s="219" t="s"/>
      <c r="M115" s="219" t="s"/>
      <c r="N115" s="219" t="s"/>
    </row>
    <row r="116" spans="1:14" customHeight="true">
      <c r="A116" s="213">
        <f>=B116/13.123</f>
        <v>2.0124971424217</v>
      </c>
      <c r="B116" s="220">
        <v>26.41</v>
      </c>
      <c r="C116" s="218" t="s">
        <v>2259</v>
      </c>
      <c r="D116" s="16" t="s">
        <v>2261</v>
      </c>
      <c r="E116" s="16">
        <v>106</v>
      </c>
      <c r="F116" s="219" t="s">
        <f>=C116&amp;E116&amp;D116</f>
        <v>2262</v>
      </c>
      <c r="G116" s="219" t="s"/>
      <c r="H116" s="219" t="s"/>
      <c r="I116" s="219" t="s"/>
      <c r="J116" s="219" t="s"/>
      <c r="K116" s="219" t="s"/>
      <c r="L116" s="219" t="s"/>
      <c r="M116" s="219" t="s"/>
      <c r="N116" s="219" t="s"/>
    </row>
    <row r="117" spans="1:14" customHeight="true">
      <c r="A117" s="213">
        <f>=B117/13.123</f>
        <v>2.09555741827326</v>
      </c>
      <c r="B117" s="220">
        <v>27.5</v>
      </c>
      <c r="C117" s="218" t="s">
        <v>2259</v>
      </c>
      <c r="D117" s="16" t="s">
        <v>2117</v>
      </c>
      <c r="E117" s="16">
        <v>106</v>
      </c>
      <c r="F117" s="219" t="s">
        <f>=C117&amp;E117&amp;D117</f>
        <v>2263</v>
      </c>
      <c r="G117" s="219" t="s"/>
      <c r="H117" s="219" t="s"/>
      <c r="I117" s="219" t="s"/>
      <c r="J117" s="219" t="s"/>
      <c r="K117" s="219" t="s"/>
      <c r="L117" s="219" t="s"/>
      <c r="M117" s="219" t="s"/>
      <c r="N117" s="219" t="s"/>
    </row>
    <row r="118" spans="1:14" customHeight="true">
      <c r="A118" s="213">
        <f>=B118/13.123</f>
        <v>2.03611978968224</v>
      </c>
      <c r="B118" s="220">
        <v>26.72</v>
      </c>
      <c r="C118" s="218" t="s">
        <v>2259</v>
      </c>
      <c r="D118" s="16" t="s">
        <v>2264</v>
      </c>
      <c r="E118" s="16">
        <v>106</v>
      </c>
      <c r="F118" s="219" t="s">
        <f>=C118&amp;E118&amp;D118</f>
        <v>2265</v>
      </c>
      <c r="G118" s="219" t="s"/>
      <c r="H118" s="219" t="s"/>
      <c r="I118" s="219" t="s"/>
      <c r="J118" s="219" t="s"/>
      <c r="K118" s="219" t="s"/>
      <c r="L118" s="219" t="s"/>
      <c r="M118" s="219" t="s"/>
      <c r="N118" s="219" t="s"/>
    </row>
    <row r="119" spans="1:14" customHeight="true">
      <c r="A119" s="213">
        <f>=B119/13.123</f>
        <v>2.32949782824049</v>
      </c>
      <c r="B119" s="220">
        <v>30.57</v>
      </c>
      <c r="C119" s="218" t="s">
        <v>2259</v>
      </c>
      <c r="D119" s="16" t="s">
        <v>2151</v>
      </c>
      <c r="E119" s="16">
        <v>1080</v>
      </c>
      <c r="F119" s="219" t="s">
        <f>=C119&amp;E119&amp;D119</f>
        <v>2266</v>
      </c>
      <c r="G119" s="219" t="s"/>
      <c r="H119" s="219" t="s"/>
      <c r="I119" s="219" t="s"/>
      <c r="J119" s="219" t="s"/>
      <c r="K119" s="219" t="s"/>
      <c r="L119" s="219" t="s"/>
      <c r="M119" s="219" t="s"/>
      <c r="N119" s="219" t="s"/>
    </row>
    <row r="120" spans="1:14" customHeight="true">
      <c r="A120" s="213">
        <f>=B120/13.123</f>
        <v>2.4468490436638</v>
      </c>
      <c r="B120" s="220">
        <v>32.11</v>
      </c>
      <c r="C120" s="218" t="s">
        <v>2259</v>
      </c>
      <c r="D120" s="16" t="s">
        <v>2267</v>
      </c>
      <c r="E120" s="16">
        <v>1080</v>
      </c>
      <c r="F120" s="219" t="s">
        <f>=C120&amp;E120&amp;D120</f>
        <v>2268</v>
      </c>
      <c r="G120" s="219" t="s"/>
      <c r="H120" s="219" t="s"/>
      <c r="I120" s="219" t="s"/>
      <c r="J120" s="219" t="s"/>
      <c r="K120" s="219" t="s"/>
      <c r="L120" s="219" t="s"/>
      <c r="M120" s="219" t="s"/>
      <c r="N120" s="219" t="s"/>
    </row>
    <row r="121" spans="1:14" customHeight="true">
      <c r="A121" s="213">
        <f>=B121/13.123</f>
        <v>2.50781071401356</v>
      </c>
      <c r="B121" s="220">
        <v>32.91</v>
      </c>
      <c r="C121" s="218" t="s">
        <v>2259</v>
      </c>
      <c r="D121" s="16" t="s">
        <v>2242</v>
      </c>
      <c r="E121" s="16">
        <v>1080</v>
      </c>
      <c r="F121" s="219" t="s">
        <f>=C121&amp;E121&amp;D121</f>
        <v>2269</v>
      </c>
      <c r="G121" s="219" t="s"/>
      <c r="H121" s="219" t="s"/>
      <c r="I121" s="219" t="s"/>
      <c r="J121" s="219" t="s"/>
      <c r="K121" s="219" t="s"/>
      <c r="L121" s="219" t="s"/>
      <c r="M121" s="219" t="s"/>
      <c r="N121" s="219" t="s"/>
    </row>
    <row r="122" spans="1:14" customHeight="true">
      <c r="A122" s="213">
        <f>=B122/13.123</f>
        <v>2.3813152480378</v>
      </c>
      <c r="B122" s="220">
        <v>31.25</v>
      </c>
      <c r="C122" s="218" t="s">
        <v>2259</v>
      </c>
      <c r="D122" s="16" t="s">
        <v>2166</v>
      </c>
      <c r="E122" s="16">
        <v>2116</v>
      </c>
      <c r="F122" s="219" t="s">
        <f>=C122&amp;E122&amp;D122</f>
        <v>2270</v>
      </c>
      <c r="G122" s="219" t="s"/>
      <c r="H122" s="219" t="s"/>
      <c r="I122" s="219" t="s"/>
      <c r="J122" s="219" t="s"/>
      <c r="K122" s="219" t="s"/>
      <c r="L122" s="219" t="s"/>
      <c r="M122" s="219" t="s"/>
      <c r="N122" s="219" t="s"/>
    </row>
    <row r="123" spans="1:14" customHeight="true">
      <c r="A123" s="213">
        <f>=B123/13.123</f>
        <v>2.34321420406919</v>
      </c>
      <c r="B123" s="220">
        <v>30.75</v>
      </c>
      <c r="C123" s="218" t="s">
        <v>2259</v>
      </c>
      <c r="D123" s="16" t="s">
        <v>2175</v>
      </c>
      <c r="E123" s="16">
        <v>2116</v>
      </c>
      <c r="F123" s="219" t="s">
        <f>=C123&amp;E123&amp;D123</f>
        <v>2271</v>
      </c>
      <c r="G123" s="219" t="s"/>
      <c r="H123" s="219" t="s"/>
      <c r="I123" s="219" t="s"/>
      <c r="J123" s="219" t="s"/>
      <c r="K123" s="219" t="s"/>
      <c r="L123" s="219" t="s"/>
      <c r="M123" s="219" t="s"/>
      <c r="N123" s="219" t="s"/>
    </row>
    <row r="124" spans="1:14" customHeight="true">
      <c r="A124" s="213">
        <f>=B124/13.123</f>
        <v>2.44989712718129</v>
      </c>
      <c r="B124" s="220">
        <v>32.15</v>
      </c>
      <c r="C124" s="218" t="s">
        <v>2259</v>
      </c>
      <c r="D124" s="16" t="s">
        <v>2272</v>
      </c>
      <c r="E124" s="16">
        <v>2116</v>
      </c>
      <c r="F124" s="219" t="s">
        <f>=C124&amp;E124&amp;D124</f>
        <v>2273</v>
      </c>
      <c r="G124" s="219" t="s"/>
      <c r="H124" s="219" t="s"/>
      <c r="I124" s="219" t="s"/>
      <c r="J124" s="219" t="s"/>
      <c r="K124" s="219" t="s"/>
      <c r="L124" s="219" t="s"/>
      <c r="M124" s="219" t="s"/>
      <c r="N124" s="219" t="s"/>
    </row>
    <row r="125" spans="1:14" customHeight="true">
      <c r="A125" s="213">
        <f>=B125/13.123</f>
        <v>2.51695496456603</v>
      </c>
      <c r="B125" s="220">
        <v>33.03</v>
      </c>
      <c r="C125" s="218" t="s">
        <v>2259</v>
      </c>
      <c r="D125" s="16" t="s">
        <v>2274</v>
      </c>
      <c r="E125" s="16">
        <v>2116</v>
      </c>
      <c r="F125" s="219" t="s">
        <f>=C125&amp;E125&amp;D125</f>
        <v>2275</v>
      </c>
      <c r="G125" s="219" t="s"/>
      <c r="H125" s="219" t="s"/>
      <c r="I125" s="219" t="s"/>
      <c r="J125" s="219" t="s"/>
      <c r="K125" s="219" t="s"/>
      <c r="L125" s="219" t="s"/>
      <c r="M125" s="219" t="s"/>
      <c r="N125" s="219" t="s"/>
    </row>
    <row r="126" spans="1:14" customHeight="true">
      <c r="A126" s="213">
        <f>=B126/13.123</f>
        <v>2.72651070639336</v>
      </c>
      <c r="B126" s="220">
        <v>35.78</v>
      </c>
      <c r="C126" s="218" t="s">
        <v>2259</v>
      </c>
      <c r="D126" s="16" t="s">
        <v>2113</v>
      </c>
      <c r="E126" s="16">
        <v>7628</v>
      </c>
      <c r="F126" s="219" t="s">
        <f>=C126&amp;E126&amp;D126</f>
        <v>2276</v>
      </c>
      <c r="G126" s="219" t="s"/>
      <c r="H126" s="219" t="s"/>
      <c r="I126" s="219" t="s"/>
      <c r="J126" s="219" t="s"/>
      <c r="K126" s="219" t="s"/>
      <c r="L126" s="219" t="s"/>
      <c r="M126" s="219" t="s"/>
      <c r="N126" s="219" t="s"/>
    </row>
    <row r="127" spans="1:14" customHeight="true">
      <c r="A127" s="213">
        <f>=B127/13.123</f>
        <v>2.72651070639336</v>
      </c>
      <c r="B127" s="220">
        <v>35.78</v>
      </c>
      <c r="C127" s="218" t="s">
        <v>2259</v>
      </c>
      <c r="D127" s="16" t="s">
        <v>2125</v>
      </c>
      <c r="E127" s="16">
        <v>7628</v>
      </c>
      <c r="F127" s="219" t="s">
        <f>=C127&amp;E127&amp;D127</f>
        <v>2277</v>
      </c>
      <c r="G127" s="219" t="s"/>
      <c r="H127" s="219" t="s"/>
      <c r="I127" s="219" t="s"/>
      <c r="J127" s="219" t="s"/>
      <c r="K127" s="219" t="s"/>
      <c r="L127" s="219" t="s"/>
      <c r="M127" s="219" t="s"/>
      <c r="N127" s="219" t="s"/>
    </row>
    <row r="128" spans="1:14" customHeight="true">
      <c r="A128" s="213">
        <f>=B128/13.123</f>
        <v>2.06279052046026</v>
      </c>
      <c r="B128" s="220">
        <v>27.07</v>
      </c>
      <c r="C128" s="218" t="s">
        <v>2278</v>
      </c>
      <c r="D128" s="16" t="s">
        <v>2091</v>
      </c>
      <c r="E128" s="16">
        <v>1080</v>
      </c>
      <c r="F128" s="219" t="s">
        <f>=C128&amp;E128&amp;D128</f>
        <v>2279</v>
      </c>
      <c r="G128" s="219" t="s"/>
      <c r="H128" s="219" t="s"/>
      <c r="I128" s="219" t="s"/>
      <c r="J128" s="219" t="s"/>
      <c r="K128" s="219" t="s"/>
      <c r="L128" s="219" t="s"/>
      <c r="M128" s="219" t="s"/>
      <c r="N128" s="219" t="s"/>
    </row>
    <row r="129" spans="1:14" customHeight="true">
      <c r="A129" s="213">
        <f>=B129/13.123</f>
        <v>2.0452640402347</v>
      </c>
      <c r="B129" s="220">
        <v>26.84</v>
      </c>
      <c r="C129" s="218" t="s">
        <v>2278</v>
      </c>
      <c r="D129" s="16" t="s">
        <v>2219</v>
      </c>
      <c r="E129" s="16">
        <v>1080</v>
      </c>
      <c r="F129" s="219" t="s">
        <f>=C129&amp;E129&amp;D129</f>
        <v>2280</v>
      </c>
      <c r="G129" s="219" t="s"/>
      <c r="H129" s="219" t="s"/>
      <c r="I129" s="219" t="s"/>
      <c r="J129" s="219" t="s"/>
      <c r="K129" s="219" t="s"/>
      <c r="L129" s="219" t="s"/>
      <c r="M129" s="219" t="s"/>
      <c r="N129" s="219" t="s"/>
    </row>
    <row r="130" spans="1:14" customHeight="true">
      <c r="A130" s="236">
        <f>=B130/13.123</f>
        <v>2.13365846224187</v>
      </c>
      <c r="B130" s="214">
        <v>28</v>
      </c>
      <c r="C130" s="241" t="s">
        <v>2278</v>
      </c>
      <c r="D130" s="12" t="s">
        <v>2085</v>
      </c>
      <c r="E130" s="46">
        <v>1080</v>
      </c>
      <c r="F130" s="212" t="s">
        <f>=C130&amp;E130&amp;D130</f>
        <v>2281</v>
      </c>
      <c r="G130" s="242">
        <v>46184</v>
      </c>
      <c r="H130" s="212" t="s"/>
      <c r="I130" s="212" t="s"/>
      <c r="J130" s="212" t="s"/>
      <c r="K130" s="212" t="s"/>
      <c r="L130" s="212" t="s"/>
      <c r="M130" s="212" t="s"/>
      <c r="N130" s="212" t="s"/>
    </row>
    <row r="131" spans="1:14" customHeight="true">
      <c r="A131" s="213">
        <f>=B131/13.123</f>
        <v>2.28911072163377</v>
      </c>
      <c r="B131" s="217">
        <v>30.04</v>
      </c>
      <c r="C131" s="243" t="s">
        <v>2278</v>
      </c>
      <c r="D131" s="75" t="s">
        <v>2282</v>
      </c>
      <c r="E131" s="41">
        <v>2116</v>
      </c>
      <c r="F131" s="244" t="s">
        <f>=C131&amp;E131&amp;D131</f>
        <v>2283</v>
      </c>
      <c r="G131" s="244" t="s"/>
      <c r="H131" s="244" t="s"/>
      <c r="I131" s="244" t="s"/>
      <c r="J131" s="244" t="s"/>
      <c r="K131" s="244" t="s"/>
      <c r="L131" s="244" t="s"/>
      <c r="M131" s="244" t="s"/>
      <c r="N131" s="244" t="s"/>
    </row>
    <row r="132" spans="1:14" customHeight="true">
      <c r="A132" s="236">
        <f>=B132/13.123</f>
        <v>2.28606263811629</v>
      </c>
      <c r="B132" s="214">
        <v>30</v>
      </c>
      <c r="C132" s="241" t="s">
        <v>2278</v>
      </c>
      <c r="D132" s="12" t="s">
        <v>2093</v>
      </c>
      <c r="E132" s="12">
        <v>7628</v>
      </c>
      <c r="F132" s="212" t="s">
        <f>=C132&amp;E132&amp;D132</f>
        <v>2284</v>
      </c>
      <c r="G132" s="212" t="s"/>
      <c r="H132" s="212" t="s"/>
      <c r="I132" s="212" t="s"/>
      <c r="J132" s="212" t="s"/>
      <c r="K132" s="212" t="s"/>
      <c r="L132" s="212" t="s"/>
      <c r="M132" s="212" t="s"/>
      <c r="N132" s="212" t="s"/>
    </row>
    <row r="133" spans="1:14" customHeight="true">
      <c r="A133" s="236">
        <f>=B133/13.123</f>
        <v>2.36226472605349</v>
      </c>
      <c r="B133" s="214">
        <v>31</v>
      </c>
      <c r="C133" s="241" t="s">
        <v>2278</v>
      </c>
      <c r="D133" s="12" t="s">
        <v>2282</v>
      </c>
      <c r="E133" s="12">
        <v>7628</v>
      </c>
      <c r="F133" s="212" t="s">
        <f>=C133&amp;E133&amp;D133</f>
        <v>2285</v>
      </c>
      <c r="G133" s="212" t="s"/>
      <c r="H133" s="212" t="s"/>
      <c r="I133" s="212" t="s"/>
      <c r="J133" s="212" t="s"/>
      <c r="K133" s="212" t="s"/>
      <c r="L133" s="212" t="s"/>
      <c r="M133" s="212" t="s"/>
      <c r="N133" s="212" t="s"/>
    </row>
    <row r="134" spans="1:14" customHeight="true">
      <c r="A134" s="213">
        <f>=B134/13.123</f>
        <v>2.21290863369656</v>
      </c>
      <c r="B134" s="220">
        <v>29.04</v>
      </c>
      <c r="C134" s="16" t="s">
        <v>2286</v>
      </c>
      <c r="D134" s="16" t="s">
        <v>2287</v>
      </c>
      <c r="E134" s="16">
        <v>106</v>
      </c>
      <c r="F134" s="219" t="s">
        <f>=C134&amp;E134&amp;D134</f>
        <v>2288</v>
      </c>
      <c r="G134" s="219" t="s"/>
      <c r="H134" s="219" t="s"/>
      <c r="I134" s="219" t="s"/>
      <c r="J134" s="219" t="s"/>
      <c r="K134" s="219" t="s"/>
      <c r="L134" s="219" t="s"/>
      <c r="M134" s="219" t="s"/>
      <c r="N134" s="219" t="s"/>
    </row>
    <row r="135" spans="1:14" customHeight="true">
      <c r="A135" s="213">
        <f>=B135/13.123</f>
        <v>2.30511316010059</v>
      </c>
      <c r="B135" s="220">
        <v>30.25</v>
      </c>
      <c r="C135" s="16" t="s">
        <v>2286</v>
      </c>
      <c r="D135" s="16" t="s">
        <v>2144</v>
      </c>
      <c r="E135" s="16">
        <v>106</v>
      </c>
      <c r="F135" s="219" t="s">
        <f>=C135&amp;E135&amp;D135</f>
        <v>2289</v>
      </c>
      <c r="G135" s="219" t="s"/>
      <c r="H135" s="219" t="s"/>
      <c r="I135" s="219" t="s"/>
      <c r="J135" s="219" t="s"/>
      <c r="K135" s="219" t="s"/>
      <c r="L135" s="219" t="s"/>
      <c r="M135" s="219" t="s"/>
      <c r="N135" s="219" t="s"/>
    </row>
    <row r="136" spans="1:14" customHeight="true">
      <c r="A136" s="213">
        <f>=B136/13.123</f>
        <v>2.39731768650461</v>
      </c>
      <c r="B136" s="220">
        <v>31.46</v>
      </c>
      <c r="C136" s="16" t="s">
        <v>2286</v>
      </c>
      <c r="D136" s="16" t="s">
        <v>2290</v>
      </c>
      <c r="E136" s="16">
        <v>1035</v>
      </c>
      <c r="F136" s="219" t="s">
        <f>=C136&amp;E136&amp;D136</f>
        <v>2291</v>
      </c>
      <c r="G136" s="219" t="s"/>
      <c r="H136" s="219" t="s"/>
      <c r="I136" s="219" t="s"/>
      <c r="J136" s="219" t="s"/>
      <c r="K136" s="219" t="s"/>
      <c r="L136" s="219" t="s"/>
      <c r="M136" s="219" t="s"/>
      <c r="N136" s="219" t="s"/>
    </row>
    <row r="137" spans="1:14" customHeight="true">
      <c r="A137" s="213">
        <f>=B137/13.123</f>
        <v>2.67393126571668</v>
      </c>
      <c r="B137" s="220">
        <v>35.09</v>
      </c>
      <c r="C137" s="16" t="s">
        <v>2286</v>
      </c>
      <c r="D137" s="16" t="s">
        <v>2144</v>
      </c>
      <c r="E137" s="16">
        <v>1035</v>
      </c>
      <c r="F137" s="219" t="s">
        <f>=C137&amp;E137&amp;D137</f>
        <v>2292</v>
      </c>
      <c r="G137" s="219" t="s"/>
      <c r="H137" s="219" t="s"/>
      <c r="I137" s="219" t="s"/>
      <c r="J137" s="219" t="s"/>
      <c r="K137" s="219" t="s"/>
      <c r="L137" s="219" t="s"/>
      <c r="M137" s="219" t="s"/>
      <c r="N137" s="219" t="s"/>
    </row>
    <row r="138" spans="1:14" customHeight="true">
      <c r="A138" s="213">
        <f>=B138/13.123</f>
        <v>2.25939190733826</v>
      </c>
      <c r="B138" s="220">
        <v>29.65</v>
      </c>
      <c r="C138" s="16" t="s">
        <v>2286</v>
      </c>
      <c r="D138" s="16" t="s">
        <v>2122</v>
      </c>
      <c r="E138" s="16">
        <v>1067</v>
      </c>
      <c r="F138" s="219" t="s">
        <f>=C138&amp;E138&amp;D138</f>
        <v>2293</v>
      </c>
      <c r="G138" s="219" t="s"/>
      <c r="H138" s="219" t="s"/>
      <c r="I138" s="219" t="s"/>
      <c r="J138" s="219" t="s"/>
      <c r="K138" s="219" t="s"/>
      <c r="L138" s="219" t="s"/>
      <c r="M138" s="224" t="s"/>
      <c r="N138" s="224" t="s"/>
    </row>
    <row r="139" spans="1:14" customHeight="true">
      <c r="A139" s="213">
        <f>=B139/13.123</f>
        <v>2.39731768650461</v>
      </c>
      <c r="B139" s="220">
        <v>31.46</v>
      </c>
      <c r="C139" s="16" t="s">
        <v>2286</v>
      </c>
      <c r="D139" s="16" t="s">
        <v>2242</v>
      </c>
      <c r="E139" s="16">
        <v>1067</v>
      </c>
      <c r="F139" s="219" t="s">
        <f>=C139&amp;E139&amp;D139</f>
        <v>2294</v>
      </c>
      <c r="G139" s="245" t="s">
        <v>2295</v>
      </c>
      <c r="H139" s="219" t="s"/>
      <c r="I139" s="219" t="s"/>
      <c r="J139" s="219" t="s"/>
      <c r="K139" s="219" t="s"/>
      <c r="L139" s="219" t="s"/>
      <c r="M139" s="224" t="s"/>
      <c r="N139" s="224" t="s"/>
    </row>
    <row r="140" spans="1:14" customHeight="true">
      <c r="A140" s="213">
        <f>=B140/13.123</f>
        <v>2.58172673931266</v>
      </c>
      <c r="B140" s="220">
        <v>33.88</v>
      </c>
      <c r="C140" s="16" t="s">
        <v>2286</v>
      </c>
      <c r="D140" s="16" t="s">
        <v>2117</v>
      </c>
      <c r="E140" s="16">
        <v>1067</v>
      </c>
      <c r="F140" s="219" t="s">
        <f>=C140&amp;E140&amp;D140</f>
        <v>2296</v>
      </c>
      <c r="G140" s="219" t="s"/>
      <c r="H140" s="219" t="s"/>
      <c r="I140" s="219" t="s"/>
      <c r="J140" s="219" t="s"/>
      <c r="K140" s="219" t="s"/>
      <c r="L140" s="219" t="s"/>
      <c r="M140" s="219" t="s"/>
      <c r="N140" s="219" t="s"/>
    </row>
    <row r="141" spans="1:14" customHeight="true">
      <c r="A141" s="213">
        <f>=B141/13.123</f>
        <v>3.0176026823135</v>
      </c>
      <c r="B141" s="220">
        <v>39.6</v>
      </c>
      <c r="C141" s="16" t="s">
        <v>2286</v>
      </c>
      <c r="D141" s="16" t="s">
        <v>2085</v>
      </c>
      <c r="E141" s="16">
        <v>1078</v>
      </c>
      <c r="F141" s="219" t="s">
        <f>=C141&amp;E141&amp;D141</f>
        <v>2297</v>
      </c>
      <c r="G141" s="219" t="s"/>
      <c r="H141" s="219" t="s"/>
      <c r="I141" s="219" t="s"/>
      <c r="J141" s="219" t="s"/>
      <c r="K141" s="219" t="s"/>
      <c r="L141" s="219" t="s"/>
      <c r="M141" s="219" t="s"/>
      <c r="N141" s="219" t="s"/>
    </row>
    <row r="142" spans="1:14" customHeight="true">
      <c r="A142" s="213">
        <f>=B142/13.123</f>
        <v>1.93629505448449</v>
      </c>
      <c r="B142" s="220">
        <v>25.41</v>
      </c>
      <c r="C142" s="16" t="s">
        <v>2286</v>
      </c>
      <c r="D142" s="16" t="s">
        <v>2298</v>
      </c>
      <c r="E142" s="16">
        <v>1078</v>
      </c>
      <c r="F142" s="219" t="s">
        <f>=C142&amp;E142&amp;D142</f>
        <v>2299</v>
      </c>
      <c r="G142" s="219" t="s"/>
      <c r="H142" s="219" t="s"/>
      <c r="I142" s="219" t="s"/>
      <c r="J142" s="219" t="s"/>
      <c r="K142" s="219" t="s"/>
      <c r="L142" s="219" t="s"/>
      <c r="M142" s="219" t="s"/>
      <c r="N142" s="219" t="s"/>
    </row>
    <row r="143" spans="1:14" customHeight="true">
      <c r="A143" s="213">
        <f>=B143/13.123</f>
        <v>2.12070410729254</v>
      </c>
      <c r="B143" s="220">
        <v>27.83</v>
      </c>
      <c r="C143" s="16" t="s">
        <v>2286</v>
      </c>
      <c r="D143" s="16" t="s">
        <v>2219</v>
      </c>
      <c r="E143" s="16">
        <v>1078</v>
      </c>
      <c r="F143" s="219" t="s">
        <f>=C143&amp;E143&amp;D143</f>
        <v>2300</v>
      </c>
      <c r="G143" s="245" t="s">
        <v>2295</v>
      </c>
      <c r="H143" s="219" t="s"/>
      <c r="I143" s="219" t="s"/>
      <c r="J143" s="219" t="s"/>
      <c r="K143" s="219" t="s"/>
      <c r="L143" s="219" t="s"/>
      <c r="M143" s="219" t="s"/>
      <c r="N143" s="219" t="s"/>
    </row>
    <row r="144" spans="1:14" customHeight="true">
      <c r="A144" s="213">
        <f>=B144/13.123</f>
        <v>1.93629505448449</v>
      </c>
      <c r="B144" s="220">
        <v>25.41</v>
      </c>
      <c r="C144" s="16" t="s">
        <v>2286</v>
      </c>
      <c r="D144" s="16" t="s">
        <v>2301</v>
      </c>
      <c r="E144" s="16">
        <v>1078</v>
      </c>
      <c r="F144" s="219" t="s">
        <f>=C144&amp;E144&amp;D144</f>
        <v>2302</v>
      </c>
      <c r="G144" s="246" t="s">
        <v>2295</v>
      </c>
      <c r="H144" s="219" t="s"/>
      <c r="I144" s="219" t="s"/>
      <c r="J144" s="219" t="s"/>
      <c r="K144" s="219" t="s"/>
      <c r="L144" s="219" t="s"/>
      <c r="M144" s="219" t="s"/>
      <c r="N144" s="219" t="s"/>
    </row>
    <row r="145" spans="1:14" customHeight="true">
      <c r="A145" s="213">
        <f>=B145/13.123</f>
        <v>1.93629505448449</v>
      </c>
      <c r="B145" s="220">
        <v>25.41</v>
      </c>
      <c r="C145" s="16" t="s">
        <v>2286</v>
      </c>
      <c r="D145" s="16" t="s">
        <v>2173</v>
      </c>
      <c r="E145" s="16">
        <v>1080</v>
      </c>
      <c r="F145" s="219" t="s">
        <f>=C145&amp;E145&amp;D145</f>
        <v>2303</v>
      </c>
      <c r="G145" s="219" t="s"/>
      <c r="H145" s="219" t="s"/>
      <c r="I145" s="219" t="s"/>
      <c r="J145" s="219" t="s"/>
      <c r="K145" s="219" t="s"/>
      <c r="L145" s="219" t="s"/>
      <c r="M145" s="219" t="s"/>
      <c r="N145" s="219" t="s"/>
    </row>
    <row r="146" spans="1:14" customHeight="true">
      <c r="A146" s="213">
        <f>=B146/13.123</f>
        <v>1.93629505448449</v>
      </c>
      <c r="B146" s="220">
        <v>25.41</v>
      </c>
      <c r="C146" s="16" t="s">
        <v>2286</v>
      </c>
      <c r="D146" s="16" t="s">
        <v>2304</v>
      </c>
      <c r="E146" s="16">
        <v>1080</v>
      </c>
      <c r="F146" s="219" t="s">
        <f>=C146&amp;E146&amp;D146</f>
        <v>2305</v>
      </c>
      <c r="G146" s="219" t="s"/>
      <c r="H146" s="219" t="s"/>
      <c r="I146" s="219" t="s"/>
      <c r="J146" s="219" t="s"/>
      <c r="K146" s="219" t="s"/>
      <c r="L146" s="219" t="s"/>
      <c r="M146" s="219" t="s"/>
      <c r="N146" s="219" t="s"/>
    </row>
    <row r="147" spans="1:14" customHeight="true">
      <c r="A147" s="213">
        <f>=B147/13.123</f>
        <v>2.19462013259163</v>
      </c>
      <c r="B147" s="220">
        <v>28.8</v>
      </c>
      <c r="C147" s="16" t="s">
        <v>2286</v>
      </c>
      <c r="D147" s="16" t="s">
        <v>2219</v>
      </c>
      <c r="E147" s="16">
        <v>1080</v>
      </c>
      <c r="F147" s="219" t="s">
        <f>=C147&amp;E147&amp;D147</f>
        <v>2306</v>
      </c>
      <c r="G147" s="219" t="s"/>
      <c r="H147" s="219" t="s"/>
      <c r="I147" s="219" t="s"/>
      <c r="J147" s="219" t="s"/>
      <c r="K147" s="219" t="s"/>
      <c r="L147" s="219" t="s"/>
      <c r="M147" s="219" t="s"/>
      <c r="N147" s="219" t="s"/>
    </row>
    <row r="148" spans="1:14" customHeight="true">
      <c r="A148" s="213">
        <f>=B148/13.123</f>
        <v>2.25939190733826</v>
      </c>
      <c r="B148" s="220">
        <v>29.65</v>
      </c>
      <c r="C148" s="16" t="s">
        <v>2286</v>
      </c>
      <c r="D148" s="16" t="s">
        <v>2085</v>
      </c>
      <c r="E148" s="16">
        <v>1080</v>
      </c>
      <c r="F148" s="219" t="s">
        <f>=C148&amp;E148&amp;D148</f>
        <v>2307</v>
      </c>
      <c r="G148" s="219" t="s"/>
      <c r="H148" s="219" t="s"/>
      <c r="I148" s="219" t="s"/>
      <c r="J148" s="219" t="s"/>
      <c r="K148" s="219" t="s"/>
      <c r="L148" s="219" t="s"/>
      <c r="M148" s="224" t="s"/>
      <c r="N148" s="224" t="s"/>
    </row>
    <row r="149" spans="1:14" customHeight="true">
      <c r="A149" s="213">
        <f>=B149/13.123</f>
        <v>2.30511316010059</v>
      </c>
      <c r="B149" s="220">
        <v>30.25</v>
      </c>
      <c r="C149" s="16" t="s">
        <v>2286</v>
      </c>
      <c r="D149" s="16" t="s">
        <v>2308</v>
      </c>
      <c r="E149" s="16">
        <v>2116</v>
      </c>
      <c r="F149" s="219" t="s">
        <f>=C149&amp;E149&amp;D149</f>
        <v>2309</v>
      </c>
      <c r="G149" s="219" t="s"/>
      <c r="H149" s="219" t="s"/>
      <c r="I149" s="219" t="s"/>
      <c r="J149" s="219" t="s"/>
      <c r="K149" s="219" t="s"/>
      <c r="L149" s="219" t="s"/>
      <c r="M149" s="224" t="s"/>
      <c r="N149" s="224" t="s"/>
    </row>
    <row r="150" spans="1:14" customHeight="true">
      <c r="A150" s="213">
        <f>=B150/13.123</f>
        <v>2.16718738093424</v>
      </c>
      <c r="B150" s="220">
        <v>28.44</v>
      </c>
      <c r="C150" s="16" t="s">
        <v>2286</v>
      </c>
      <c r="D150" s="16" t="s">
        <v>2310</v>
      </c>
      <c r="E150" s="16">
        <v>2116</v>
      </c>
      <c r="F150" s="219" t="s">
        <f>=C150&amp;E150&amp;D150</f>
        <v>2311</v>
      </c>
      <c r="G150" s="219" t="s"/>
      <c r="H150" s="219" t="s"/>
      <c r="I150" s="219" t="s"/>
      <c r="J150" s="219" t="s"/>
      <c r="K150" s="219" t="s"/>
      <c r="L150" s="219" t="s"/>
      <c r="M150" s="219" t="s"/>
      <c r="N150" s="219" t="s"/>
    </row>
    <row r="151" spans="1:14" customHeight="true">
      <c r="A151" s="213">
        <f>=B151/13.123</f>
        <v>2.21290863369656</v>
      </c>
      <c r="B151" s="220">
        <v>29.04</v>
      </c>
      <c r="C151" s="16" t="s">
        <v>2286</v>
      </c>
      <c r="D151" s="16" t="s">
        <v>2130</v>
      </c>
      <c r="E151" s="16">
        <v>2116</v>
      </c>
      <c r="F151" s="219" t="s">
        <f>=C151&amp;E151&amp;D151</f>
        <v>2312</v>
      </c>
      <c r="G151" s="219" t="s"/>
      <c r="H151" s="219" t="s"/>
      <c r="I151" s="219" t="s"/>
      <c r="J151" s="219" t="s"/>
      <c r="K151" s="219" t="s"/>
      <c r="L151" s="219" t="s"/>
      <c r="M151" s="219" t="s"/>
      <c r="N151" s="219" t="s"/>
    </row>
    <row r="152" spans="1:14" customHeight="true">
      <c r="A152" s="213">
        <f>=B152/13.123</f>
        <v>2.02849958088852</v>
      </c>
      <c r="B152" s="220">
        <v>26.62</v>
      </c>
      <c r="C152" s="16" t="s">
        <v>2286</v>
      </c>
      <c r="D152" s="16" t="s">
        <v>2301</v>
      </c>
      <c r="E152" s="16">
        <v>2116</v>
      </c>
      <c r="F152" s="219" t="s">
        <f>=C152&amp;E152&amp;D152</f>
        <v>2313</v>
      </c>
      <c r="G152" s="219" t="s"/>
      <c r="H152" s="219" t="s"/>
      <c r="I152" s="219" t="s"/>
      <c r="J152" s="219" t="s"/>
      <c r="K152" s="219" t="s"/>
      <c r="L152" s="219" t="s"/>
      <c r="M152" s="219" t="s"/>
      <c r="N152" s="219" t="s"/>
    </row>
    <row r="153" spans="1:14" customHeight="true">
      <c r="A153" s="213">
        <f>=B153/13.123</f>
        <v>2.02849958088852</v>
      </c>
      <c r="B153" s="220">
        <v>26.62</v>
      </c>
      <c r="C153" s="16" t="s">
        <v>2286</v>
      </c>
      <c r="D153" s="247">
        <v>0.57</v>
      </c>
      <c r="E153" s="16">
        <v>3313</v>
      </c>
      <c r="F153" s="219" t="s">
        <f>=C153&amp;E153&amp;D153</f>
        <v>2314</v>
      </c>
      <c r="G153" s="219" t="s"/>
      <c r="H153" s="219" t="s"/>
      <c r="I153" s="219" t="s"/>
      <c r="J153" s="219" t="s"/>
      <c r="K153" s="219" t="s"/>
      <c r="L153" s="219" t="s"/>
      <c r="M153" s="224" t="s"/>
      <c r="N153" s="224" t="s"/>
    </row>
    <row r="154" spans="1:14" customHeight="true">
      <c r="A154" s="213">
        <f>=B154/13.123</f>
        <v>2.12070410729254</v>
      </c>
      <c r="B154" s="220">
        <v>27.83</v>
      </c>
      <c r="C154" s="16" t="s">
        <v>2286</v>
      </c>
      <c r="D154" s="16" t="s">
        <v>2315</v>
      </c>
      <c r="E154" s="16">
        <v>3313</v>
      </c>
      <c r="F154" s="219" t="s">
        <f>=C154&amp;E154&amp;D154</f>
        <v>2316</v>
      </c>
      <c r="G154" s="219" t="s"/>
      <c r="H154" s="219" t="s"/>
      <c r="I154" s="219" t="s"/>
      <c r="J154" s="219" t="s"/>
      <c r="K154" s="219" t="s"/>
      <c r="L154" s="219" t="s"/>
      <c r="M154" s="224" t="s"/>
      <c r="N154" s="224" t="s"/>
    </row>
    <row r="155" spans="1:14" customHeight="true">
      <c r="A155" s="213">
        <f>=B155/13.123</f>
        <v>2.67393126571668</v>
      </c>
      <c r="B155" s="220">
        <v>35.09</v>
      </c>
      <c r="C155" s="16" t="s">
        <v>2286</v>
      </c>
      <c r="D155" s="16" t="s">
        <v>2095</v>
      </c>
      <c r="E155" s="16">
        <v>7628</v>
      </c>
      <c r="F155" s="219" t="s">
        <f>=C155&amp;E155&amp;D155</f>
        <v>2317</v>
      </c>
      <c r="G155" s="219" t="s"/>
      <c r="H155" s="219" t="s"/>
      <c r="I155" s="219" t="s"/>
      <c r="J155" s="219" t="s"/>
      <c r="K155" s="219" t="s"/>
      <c r="L155" s="219" t="s"/>
      <c r="M155" s="219" t="s"/>
      <c r="N155" s="219" t="s"/>
    </row>
    <row r="156" spans="1:14" customHeight="true">
      <c r="A156" s="213">
        <f>=B156/13.123</f>
        <v>1.7915110874038</v>
      </c>
      <c r="B156" s="220">
        <v>23.51</v>
      </c>
      <c r="C156" s="16" t="s">
        <v>2318</v>
      </c>
      <c r="D156" s="16" t="s">
        <v>2085</v>
      </c>
      <c r="E156" s="157">
        <v>106</v>
      </c>
      <c r="F156" s="219" t="s">
        <f>=C156&amp;E156&amp;D156</f>
        <v>2319</v>
      </c>
      <c r="G156" s="219" t="s"/>
      <c r="H156" s="219" t="s"/>
      <c r="I156" s="219" t="s"/>
      <c r="J156" s="219" t="s"/>
      <c r="K156" s="219" t="s"/>
      <c r="L156" s="219" t="s"/>
      <c r="M156" s="235" t="s"/>
      <c r="N156" s="235" t="s"/>
    </row>
    <row r="157" spans="1:14" customHeight="true">
      <c r="A157" s="213">
        <f>=B157/13.123</f>
        <v>2.03840585232035</v>
      </c>
      <c r="B157" s="220">
        <v>26.75</v>
      </c>
      <c r="C157" s="16" t="s">
        <v>2318</v>
      </c>
      <c r="D157" s="16" t="s">
        <v>2144</v>
      </c>
      <c r="E157" s="157">
        <v>106</v>
      </c>
      <c r="F157" s="219" t="s">
        <f>=C157&amp;E157&amp;D157</f>
        <v>2320</v>
      </c>
      <c r="G157" s="219" t="s"/>
      <c r="H157" s="219" t="s"/>
      <c r="I157" s="219" t="s"/>
      <c r="J157" s="219" t="s"/>
      <c r="K157" s="219" t="s"/>
      <c r="L157" s="219" t="s"/>
      <c r="M157" s="219" t="s"/>
      <c r="N157" s="219" t="s"/>
    </row>
    <row r="158" spans="1:14" customHeight="true">
      <c r="A158" s="213">
        <f>=B158/13.123</f>
        <v>2.7935685437781</v>
      </c>
      <c r="B158" s="220">
        <v>36.66</v>
      </c>
      <c r="C158" s="16" t="s">
        <v>2318</v>
      </c>
      <c r="D158" s="16" t="s">
        <v>2122</v>
      </c>
      <c r="E158" s="157">
        <v>1035</v>
      </c>
      <c r="F158" s="219" t="s">
        <f>=C158&amp;E158&amp;D158</f>
        <v>2321</v>
      </c>
      <c r="G158" s="219" t="s"/>
      <c r="H158" s="219" t="s"/>
      <c r="I158" s="219" t="s"/>
      <c r="J158" s="219" t="s"/>
      <c r="K158" s="219" t="s"/>
      <c r="L158" s="219" t="s"/>
      <c r="M158" s="219" t="s"/>
      <c r="N158" s="219" t="s"/>
    </row>
    <row r="159" spans="1:14" customHeight="true">
      <c r="A159" s="236">
        <f>=B159/13.123</f>
        <v>2.81947725367675</v>
      </c>
      <c r="B159" s="237">
        <v>37</v>
      </c>
      <c r="C159" s="13" t="s">
        <v>2318</v>
      </c>
      <c r="D159" s="11" t="s">
        <v>2085</v>
      </c>
      <c r="E159" s="248">
        <v>1035</v>
      </c>
      <c r="F159" s="216" t="s">
        <f>=C159&amp;E159&amp;D159</f>
        <v>2322</v>
      </c>
      <c r="G159" s="216" t="s"/>
      <c r="H159" s="216" t="s"/>
      <c r="I159" s="216" t="s"/>
      <c r="J159" s="216" t="s"/>
      <c r="K159" s="216" t="s"/>
      <c r="L159" s="216" t="s"/>
      <c r="M159" s="216" t="s"/>
      <c r="N159" s="216" t="s"/>
    </row>
    <row r="160" spans="1:14" customHeight="true">
      <c r="A160" s="213">
        <f>=B160/13.123</f>
        <v>2.90482359216643</v>
      </c>
      <c r="B160" s="220">
        <v>38.12</v>
      </c>
      <c r="C160" s="16" t="s">
        <v>2318</v>
      </c>
      <c r="D160" s="16" t="s">
        <v>2323</v>
      </c>
      <c r="E160" s="157">
        <v>1035</v>
      </c>
      <c r="F160" s="219" t="s">
        <f>=C160&amp;E160&amp;D160</f>
        <v>2324</v>
      </c>
      <c r="G160" s="219" t="s"/>
      <c r="H160" s="219" t="s"/>
      <c r="I160" s="219" t="s"/>
      <c r="J160" s="219" t="s"/>
      <c r="K160" s="219" t="s"/>
      <c r="L160" s="219" t="s"/>
      <c r="M160" s="219" t="s"/>
      <c r="N160" s="219" t="s"/>
    </row>
    <row r="161" spans="1:14" customHeight="true">
      <c r="A161" s="213">
        <f>=B161/13.123</f>
        <v>2.36378876781224</v>
      </c>
      <c r="B161" s="220">
        <v>31.02</v>
      </c>
      <c r="C161" s="16" t="s">
        <v>2318</v>
      </c>
      <c r="D161" s="16" t="s">
        <v>2325</v>
      </c>
      <c r="E161" s="157">
        <v>1067</v>
      </c>
      <c r="F161" s="219" t="s">
        <f>=C161&amp;E161&amp;D161</f>
        <v>2326</v>
      </c>
      <c r="G161" s="219" t="s"/>
      <c r="H161" s="219" t="s"/>
      <c r="I161" s="219" t="s"/>
      <c r="J161" s="219" t="s"/>
      <c r="K161" s="219" t="s"/>
      <c r="L161" s="219" t="s"/>
      <c r="M161" s="219" t="s"/>
      <c r="N161" s="219" t="s"/>
    </row>
    <row r="162" spans="1:14" customHeight="true">
      <c r="A162" s="213">
        <f>=B162/13.123</f>
        <v>2.63354415910996</v>
      </c>
      <c r="B162" s="220">
        <v>34.56</v>
      </c>
      <c r="C162" s="16" t="s">
        <v>2318</v>
      </c>
      <c r="D162" s="16" t="s">
        <v>2144</v>
      </c>
      <c r="E162" s="157">
        <v>1067</v>
      </c>
      <c r="F162" s="219" t="s">
        <f>=C162&amp;E162&amp;D162</f>
        <v>2327</v>
      </c>
      <c r="G162" s="219" t="s"/>
      <c r="H162" s="219" t="s"/>
      <c r="I162" s="219" t="s"/>
      <c r="J162" s="219" t="s"/>
      <c r="K162" s="219" t="s"/>
      <c r="L162" s="219" t="s"/>
      <c r="M162" s="219" t="s"/>
      <c r="N162" s="219" t="s"/>
    </row>
    <row r="163" spans="1:14" customHeight="true">
      <c r="A163" s="213">
        <f>=B163/13.123</f>
        <v>2.63354415910996</v>
      </c>
      <c r="B163" s="220">
        <v>34.56</v>
      </c>
      <c r="C163" s="16" t="s">
        <v>2318</v>
      </c>
      <c r="D163" s="16" t="s">
        <v>2323</v>
      </c>
      <c r="E163" s="157">
        <v>1067</v>
      </c>
      <c r="F163" s="219" t="s">
        <f>=C163&amp;E163&amp;D163</f>
        <v>2328</v>
      </c>
      <c r="G163" s="219" t="s"/>
      <c r="H163" s="219" t="s"/>
      <c r="I163" s="219" t="s"/>
      <c r="J163" s="219" t="s"/>
      <c r="K163" s="219" t="s"/>
      <c r="L163" s="219" t="s"/>
      <c r="M163" s="219" t="s"/>
      <c r="N163" s="219" t="s"/>
    </row>
    <row r="164" spans="1:14" customHeight="true">
      <c r="A164" s="213">
        <f>=B164/13.123</f>
        <v>2.59620513602073</v>
      </c>
      <c r="B164" s="220">
        <v>34.07</v>
      </c>
      <c r="C164" s="20" t="s">
        <v>2318</v>
      </c>
      <c r="D164" s="20" t="s">
        <v>2329</v>
      </c>
      <c r="E164" s="157">
        <v>1078</v>
      </c>
      <c r="F164" s="219" t="s">
        <f>=C164&amp;E164&amp;D164</f>
        <v>2330</v>
      </c>
      <c r="G164" s="219" t="s"/>
      <c r="H164" s="219" t="s"/>
      <c r="I164" s="219" t="s"/>
      <c r="J164" s="219" t="s"/>
      <c r="K164" s="219" t="s"/>
      <c r="L164" s="219" t="s"/>
      <c r="M164" s="219" t="s"/>
      <c r="N164" s="219" t="s"/>
    </row>
    <row r="165" spans="1:14" customHeight="true">
      <c r="A165" s="213">
        <f>=B165/13.123</f>
        <v>2.82176331631487</v>
      </c>
      <c r="B165" s="220">
        <v>37.03</v>
      </c>
      <c r="C165" s="20" t="s">
        <v>2318</v>
      </c>
      <c r="D165" s="20" t="s">
        <v>2119</v>
      </c>
      <c r="E165" s="157">
        <v>1078</v>
      </c>
      <c r="F165" s="219" t="s">
        <f>=C165&amp;E165&amp;D165</f>
        <v>2331</v>
      </c>
      <c r="G165" s="219" t="s"/>
      <c r="H165" s="219" t="s"/>
      <c r="I165" s="219" t="s"/>
      <c r="J165" s="219" t="s"/>
      <c r="K165" s="219" t="s"/>
      <c r="L165" s="219" t="s"/>
      <c r="M165" s="219" t="s"/>
      <c r="N165" s="219" t="s"/>
    </row>
    <row r="166" spans="1:14" customHeight="true">
      <c r="A166" s="213">
        <f>=B166/13.123</f>
        <v>2.90177550864894</v>
      </c>
      <c r="B166" s="220">
        <v>38.08</v>
      </c>
      <c r="C166" s="20" t="s">
        <v>2318</v>
      </c>
      <c r="D166" s="20" t="s">
        <v>2151</v>
      </c>
      <c r="E166" s="157">
        <v>1078</v>
      </c>
      <c r="F166" s="219" t="s">
        <f>=C166&amp;E166&amp;D166</f>
        <v>2332</v>
      </c>
      <c r="G166" s="219" t="s"/>
      <c r="H166" s="219" t="s"/>
      <c r="I166" s="219" t="s"/>
      <c r="J166" s="219" t="s"/>
      <c r="K166" s="219" t="s"/>
      <c r="L166" s="219" t="s"/>
      <c r="M166" s="235" t="s"/>
      <c r="N166" s="235" t="s"/>
    </row>
    <row r="167" spans="1:14" customHeight="true">
      <c r="A167" s="213">
        <f>=B167/13.123</f>
        <v>3.00845843176103</v>
      </c>
      <c r="B167" s="220">
        <v>39.48</v>
      </c>
      <c r="C167" s="20" t="s">
        <v>2318</v>
      </c>
      <c r="D167" s="20" t="s">
        <v>2333</v>
      </c>
      <c r="E167" s="157">
        <v>1078</v>
      </c>
      <c r="F167" s="219" t="s">
        <f>=C167&amp;E167&amp;D167</f>
        <v>2334</v>
      </c>
      <c r="G167" s="219" t="s"/>
      <c r="H167" s="219" t="s"/>
      <c r="I167" s="219" t="s"/>
      <c r="J167" s="219" t="s"/>
      <c r="K167" s="219" t="s"/>
      <c r="L167" s="219" t="s"/>
      <c r="M167" s="235" t="s"/>
      <c r="N167" s="235" t="s"/>
    </row>
    <row r="168" spans="1:14" customHeight="true">
      <c r="A168" s="213">
        <f>=B168/13.123</f>
        <v>3.10142497904443</v>
      </c>
      <c r="B168" s="220">
        <v>40.7</v>
      </c>
      <c r="C168" s="20" t="s">
        <v>2318</v>
      </c>
      <c r="D168" s="20" t="s">
        <v>2085</v>
      </c>
      <c r="E168" s="157">
        <v>1078</v>
      </c>
      <c r="F168" s="219" t="s">
        <f>=C168&amp;E168&amp;D168</f>
        <v>2335</v>
      </c>
      <c r="G168" s="219" t="s"/>
      <c r="H168" s="219" t="s"/>
      <c r="I168" s="219" t="s"/>
      <c r="J168" s="219" t="s"/>
      <c r="K168" s="219" t="s"/>
      <c r="L168" s="219" t="s"/>
      <c r="M168" s="235" t="s"/>
      <c r="N168" s="235" t="s"/>
    </row>
    <row r="169" spans="1:14" customHeight="true">
      <c r="A169" s="213">
        <f>=B169/13.123</f>
        <v>1.74350377200335</v>
      </c>
      <c r="B169" s="220">
        <v>22.88</v>
      </c>
      <c r="C169" s="16" t="s">
        <v>2318</v>
      </c>
      <c r="D169" s="16" t="s">
        <v>2329</v>
      </c>
      <c r="E169" s="157">
        <v>1080</v>
      </c>
      <c r="F169" s="219" t="s">
        <f>=C169&amp;E169&amp;D169</f>
        <v>2336</v>
      </c>
      <c r="G169" s="219" t="s"/>
      <c r="H169" s="219" t="s"/>
      <c r="I169" s="219" t="s"/>
      <c r="J169" s="219" t="s"/>
      <c r="K169" s="219" t="s"/>
      <c r="L169" s="219" t="s"/>
      <c r="M169" s="235" t="s"/>
      <c r="N169" s="235" t="s"/>
    </row>
    <row r="170" spans="1:14" customHeight="true">
      <c r="A170" s="213">
        <f>=B170/13.123</f>
        <v>1.78541492036882</v>
      </c>
      <c r="B170" s="220">
        <v>23.43</v>
      </c>
      <c r="C170" s="16" t="s">
        <v>2318</v>
      </c>
      <c r="D170" s="16" t="s">
        <v>2087</v>
      </c>
      <c r="E170" s="157">
        <v>1080</v>
      </c>
      <c r="F170" s="219" t="s">
        <f>=C170&amp;E170&amp;D170</f>
        <v>2337</v>
      </c>
      <c r="G170" s="219" t="s"/>
      <c r="H170" s="219" t="s"/>
      <c r="I170" s="219" t="s"/>
      <c r="J170" s="219" t="s"/>
      <c r="K170" s="219" t="s"/>
      <c r="L170" s="219" t="s"/>
      <c r="M170" s="219" t="s"/>
      <c r="N170" s="219" t="s"/>
    </row>
    <row r="171" spans="1:14" customHeight="true">
      <c r="A171" s="213">
        <f>=B171/13.123</f>
        <v>1.87457136325535</v>
      </c>
      <c r="B171" s="220">
        <v>24.6</v>
      </c>
      <c r="C171" s="16" t="s">
        <v>2318</v>
      </c>
      <c r="D171" s="16" t="s">
        <v>2151</v>
      </c>
      <c r="E171" s="157">
        <v>1080</v>
      </c>
      <c r="F171" s="219" t="s">
        <f>=C171&amp;E171&amp;D171</f>
        <v>2338</v>
      </c>
      <c r="G171" s="219" t="s"/>
      <c r="H171" s="219" t="s"/>
      <c r="I171" s="219" t="s"/>
      <c r="J171" s="219" t="s"/>
      <c r="K171" s="219" t="s"/>
      <c r="L171" s="219" t="s"/>
      <c r="M171" s="219" t="s"/>
      <c r="N171" s="219" t="s"/>
    </row>
    <row r="172" spans="1:14" customHeight="true">
      <c r="A172" s="213">
        <f>=B172/13.123</f>
        <v>1.89666996875714</v>
      </c>
      <c r="B172" s="220">
        <v>24.89</v>
      </c>
      <c r="C172" s="16" t="s">
        <v>2318</v>
      </c>
      <c r="D172" s="16" t="s">
        <v>2267</v>
      </c>
      <c r="E172" s="157">
        <v>1080</v>
      </c>
      <c r="F172" s="219" t="s">
        <f>=C172&amp;E172&amp;D172</f>
        <v>2339</v>
      </c>
      <c r="G172" s="219" t="s"/>
      <c r="H172" s="219" t="s"/>
      <c r="I172" s="219" t="s"/>
      <c r="J172" s="219" t="s"/>
      <c r="K172" s="219" t="s"/>
      <c r="L172" s="219" t="s"/>
      <c r="M172" s="235" t="s"/>
      <c r="N172" s="235" t="s"/>
    </row>
    <row r="173" spans="1:14" customHeight="true">
      <c r="A173" s="213">
        <f>=B173/13.123</f>
        <v>1.89666996875714</v>
      </c>
      <c r="B173" s="220">
        <v>24.89</v>
      </c>
      <c r="C173" s="16" t="s">
        <v>2318</v>
      </c>
      <c r="D173" s="16" t="s">
        <v>2122</v>
      </c>
      <c r="E173" s="157">
        <v>1080</v>
      </c>
      <c r="F173" s="219" t="s">
        <f>=C173&amp;E173&amp;D173</f>
        <v>2340</v>
      </c>
      <c r="G173" s="219" t="s"/>
      <c r="H173" s="219" t="s"/>
      <c r="I173" s="219" t="s"/>
      <c r="J173" s="219" t="s"/>
      <c r="K173" s="219" t="s"/>
      <c r="L173" s="219" t="s"/>
      <c r="M173" s="235" t="s"/>
      <c r="N173" s="235" t="s"/>
    </row>
    <row r="174" spans="1:14" customHeight="true">
      <c r="A174" s="236">
        <f>=B174/13.123</f>
        <v>3.04808351748838</v>
      </c>
      <c r="B174" s="237">
        <v>40</v>
      </c>
      <c r="C174" s="13" t="s">
        <v>2318</v>
      </c>
      <c r="D174" s="13" t="s">
        <v>2122</v>
      </c>
      <c r="E174" s="248">
        <v>1080</v>
      </c>
      <c r="F174" s="216" t="s">
        <f>=C174&amp;E174&amp;D174</f>
        <v>2340</v>
      </c>
      <c r="G174" s="249">
        <v>46184</v>
      </c>
      <c r="H174" s="216" t="s"/>
      <c r="I174" s="216" t="s"/>
      <c r="J174" s="216" t="s"/>
      <c r="K174" s="216" t="s"/>
      <c r="L174" s="216" t="s"/>
      <c r="M174" s="250" t="s"/>
      <c r="N174" s="250" t="s"/>
    </row>
    <row r="175" spans="1:14" customHeight="true">
      <c r="A175" s="213">
        <f>=B175/13.123</f>
        <v>2.31120932713556</v>
      </c>
      <c r="B175" s="220">
        <v>30.33</v>
      </c>
      <c r="C175" s="16" t="s">
        <v>2318</v>
      </c>
      <c r="D175" s="16" t="s">
        <v>2105</v>
      </c>
      <c r="E175" s="157">
        <v>2313</v>
      </c>
      <c r="F175" s="219" t="s">
        <f>=C175&amp;E175&amp;D175</f>
        <v>2341</v>
      </c>
      <c r="G175" s="219" t="s"/>
      <c r="H175" s="219" t="s"/>
      <c r="I175" s="219" t="s"/>
      <c r="J175" s="219" t="s"/>
      <c r="K175" s="219" t="s"/>
      <c r="L175" s="219" t="s"/>
      <c r="M175" s="219" t="s"/>
      <c r="N175" s="219" t="s"/>
    </row>
    <row r="176" spans="1:14" customHeight="true">
      <c r="A176" s="213">
        <f>=B176/13.123</f>
        <v>2.59849119865884</v>
      </c>
      <c r="B176" s="220">
        <v>34.1</v>
      </c>
      <c r="C176" s="16" t="s">
        <v>2318</v>
      </c>
      <c r="D176" s="16" t="s">
        <v>2342</v>
      </c>
      <c r="E176" s="157">
        <v>2113</v>
      </c>
      <c r="F176" s="219" t="s">
        <f>=C176&amp;E176&amp;D176</f>
        <v>2343</v>
      </c>
      <c r="G176" s="219" t="s"/>
      <c r="H176" s="219" t="s"/>
      <c r="I176" s="219" t="s"/>
      <c r="J176" s="219" t="s"/>
      <c r="K176" s="219" t="s"/>
      <c r="L176" s="219" t="s"/>
      <c r="M176" s="219" t="s"/>
      <c r="N176" s="219" t="s"/>
    </row>
    <row r="177" spans="1:14" customHeight="true">
      <c r="A177" s="213">
        <f>=B177/13.123</f>
        <v>1.9606797226244</v>
      </c>
      <c r="B177" s="220">
        <v>25.73</v>
      </c>
      <c r="C177" s="74" t="s">
        <v>2318</v>
      </c>
      <c r="D177" s="74" t="s">
        <v>2101</v>
      </c>
      <c r="E177" s="251">
        <v>2116</v>
      </c>
      <c r="F177" s="231" t="s">
        <f>=C177&amp;E177&amp;D177</f>
        <v>2344</v>
      </c>
      <c r="G177" s="231" t="s"/>
      <c r="H177" s="231" t="s"/>
      <c r="I177" s="231" t="s"/>
      <c r="J177" s="231" t="s"/>
      <c r="K177" s="231" t="s"/>
      <c r="L177" s="231" t="s"/>
      <c r="M177" s="231" t="s"/>
      <c r="N177" s="231" t="s"/>
    </row>
    <row r="178" spans="1:14" customHeight="true">
      <c r="A178" s="213">
        <f>=B178/13.123</f>
        <v>2.12832431608626</v>
      </c>
      <c r="B178" s="220">
        <v>27.93</v>
      </c>
      <c r="C178" s="74" t="s">
        <v>2318</v>
      </c>
      <c r="D178" s="74" t="s">
        <v>2166</v>
      </c>
      <c r="E178" s="251">
        <v>2116</v>
      </c>
      <c r="F178" s="231" t="s">
        <f>=C178&amp;E178&amp;D178</f>
        <v>2345</v>
      </c>
      <c r="G178" s="231" t="s"/>
      <c r="H178" s="231" t="s"/>
      <c r="I178" s="231" t="s"/>
      <c r="J178" s="231" t="s"/>
      <c r="K178" s="231" t="s"/>
      <c r="L178" s="231" t="s"/>
      <c r="M178" s="231" t="s"/>
      <c r="N178" s="231" t="s"/>
    </row>
    <row r="179" spans="1:14" customHeight="true">
      <c r="A179" s="213">
        <f>=B179/13.123</f>
        <v>2.2037643831441</v>
      </c>
      <c r="B179" s="220">
        <v>28.92</v>
      </c>
      <c r="C179" s="74" t="s">
        <v>2318</v>
      </c>
      <c r="D179" s="74" t="s">
        <v>2105</v>
      </c>
      <c r="E179" s="251">
        <v>2116</v>
      </c>
      <c r="F179" s="231" t="s">
        <f>=C179&amp;E179&amp;D179</f>
        <v>2346</v>
      </c>
      <c r="G179" s="231" t="s"/>
      <c r="H179" s="231" t="s"/>
      <c r="I179" s="231" t="s"/>
      <c r="J179" s="231" t="s"/>
      <c r="K179" s="231" t="s"/>
      <c r="L179" s="231" t="s"/>
      <c r="M179" s="231" t="s"/>
      <c r="N179" s="231" t="s"/>
    </row>
    <row r="180" spans="1:14" customHeight="true">
      <c r="A180" s="213">
        <f>=B180/13.123</f>
        <v>2.31120932713556</v>
      </c>
      <c r="B180" s="220">
        <v>30.33</v>
      </c>
      <c r="C180" s="16" t="s">
        <v>2318</v>
      </c>
      <c r="D180" s="16" t="s">
        <v>2107</v>
      </c>
      <c r="E180" s="157">
        <v>2116</v>
      </c>
      <c r="F180" s="219" t="s">
        <f>=C180&amp;E180&amp;D180</f>
        <v>2347</v>
      </c>
      <c r="G180" s="219" t="s"/>
      <c r="H180" s="219" t="s"/>
      <c r="I180" s="219" t="s"/>
      <c r="J180" s="219" t="s"/>
      <c r="K180" s="219" t="s"/>
      <c r="L180" s="219" t="s"/>
      <c r="M180" s="219" t="s"/>
      <c r="N180" s="219" t="s"/>
    </row>
    <row r="181" spans="1:14" customHeight="true">
      <c r="A181" s="213">
        <f>=B181/13.123</f>
        <v>2.68688562066601</v>
      </c>
      <c r="B181" s="220">
        <v>35.26</v>
      </c>
      <c r="C181" s="16" t="s">
        <v>2318</v>
      </c>
      <c r="D181" s="16" t="s">
        <v>2301</v>
      </c>
      <c r="E181" s="157">
        <v>2116</v>
      </c>
      <c r="F181" s="219" t="s">
        <f>=C181&amp;E181&amp;D181</f>
        <v>2348</v>
      </c>
      <c r="G181" s="219" t="s"/>
      <c r="H181" s="219" t="s"/>
      <c r="I181" s="219" t="s"/>
      <c r="J181" s="219" t="s"/>
      <c r="K181" s="219" t="s"/>
      <c r="L181" s="219" t="s"/>
      <c r="M181" s="219" t="s"/>
      <c r="N181" s="219" t="s"/>
    </row>
    <row r="182" spans="1:14" customHeight="true">
      <c r="A182" s="213">
        <f>=B182/13.123</f>
        <v>2.36378876781224</v>
      </c>
      <c r="B182" s="220">
        <v>31.02</v>
      </c>
      <c r="C182" s="74" t="s">
        <v>2318</v>
      </c>
      <c r="D182" s="74" t="s">
        <v>2162</v>
      </c>
      <c r="E182" s="251">
        <v>2116</v>
      </c>
      <c r="F182" s="231" t="s">
        <f>=C182&amp;E182&amp;D182</f>
        <v>2349</v>
      </c>
      <c r="G182" s="231" t="s"/>
      <c r="H182" s="231" t="s"/>
      <c r="I182" s="231" t="s"/>
      <c r="J182" s="231" t="s"/>
      <c r="K182" s="231" t="s"/>
      <c r="L182" s="231" t="s"/>
      <c r="M182" s="231" t="s"/>
      <c r="N182" s="231" t="s"/>
    </row>
    <row r="183" spans="1:14" customHeight="true">
      <c r="A183" s="213">
        <f>=B183/13.123</f>
        <v>3.00769641088166</v>
      </c>
      <c r="B183" s="220">
        <v>39.47</v>
      </c>
      <c r="C183" s="16" t="s">
        <v>2318</v>
      </c>
      <c r="D183" s="16" t="s">
        <v>2350</v>
      </c>
      <c r="E183" s="157">
        <v>3313</v>
      </c>
      <c r="F183" s="219" t="s">
        <f>=C183&amp;E183&amp;D183</f>
        <v>2351</v>
      </c>
      <c r="G183" s="219" t="s"/>
      <c r="H183" s="219" t="s"/>
      <c r="I183" s="219" t="s"/>
      <c r="J183" s="219" t="s"/>
      <c r="K183" s="219" t="s"/>
      <c r="L183" s="219" t="s"/>
      <c r="M183" s="219" t="s"/>
      <c r="N183" s="219" t="s"/>
    </row>
    <row r="184" spans="1:14" customHeight="true">
      <c r="A184" s="213">
        <f>=B184/13.123</f>
        <v>2.90787167568391</v>
      </c>
      <c r="B184" s="220">
        <v>38.16</v>
      </c>
      <c r="C184" s="16" t="s">
        <v>2318</v>
      </c>
      <c r="D184" s="16" t="s">
        <v>2352</v>
      </c>
      <c r="E184" s="157">
        <v>3313</v>
      </c>
      <c r="F184" s="219" t="s">
        <f>=C184&amp;E184&amp;D184</f>
        <v>2353</v>
      </c>
      <c r="G184" s="219" t="s"/>
      <c r="H184" s="219" t="s"/>
      <c r="I184" s="219" t="s"/>
      <c r="J184" s="219" t="s"/>
      <c r="K184" s="219" t="s"/>
      <c r="L184" s="219" t="s"/>
      <c r="M184" s="219" t="s"/>
      <c r="N184" s="219" t="s"/>
    </row>
    <row r="185" spans="1:14" customHeight="true">
      <c r="A185" s="213">
        <f>=B185/13.123</f>
        <v>2.74403718661891</v>
      </c>
      <c r="B185" s="220">
        <v>36.01</v>
      </c>
      <c r="C185" s="16" t="s">
        <v>2318</v>
      </c>
      <c r="D185" s="16" t="s">
        <v>2107</v>
      </c>
      <c r="E185" s="157">
        <v>3313</v>
      </c>
      <c r="F185" s="219" t="s">
        <f>=C185&amp;E185&amp;D185</f>
        <v>2354</v>
      </c>
      <c r="G185" s="219" t="s"/>
      <c r="H185" s="219" t="s"/>
      <c r="I185" s="219" t="s"/>
      <c r="J185" s="219" t="s"/>
      <c r="K185" s="219" t="s"/>
      <c r="L185" s="219" t="s"/>
      <c r="M185" s="219" t="s"/>
      <c r="N185" s="219" t="s"/>
    </row>
    <row r="186" spans="1:14" customHeight="true">
      <c r="A186" s="213">
        <f>=B186/13.123</f>
        <v>2.32187761944677</v>
      </c>
      <c r="B186" s="220">
        <v>30.47</v>
      </c>
      <c r="C186" s="16" t="s">
        <v>2318</v>
      </c>
      <c r="D186" s="16" t="s">
        <v>2168</v>
      </c>
      <c r="E186" s="157">
        <v>3313</v>
      </c>
      <c r="F186" s="219" t="s">
        <f>=C186&amp;E186&amp;D186</f>
        <v>2355</v>
      </c>
      <c r="G186" s="219" t="s"/>
      <c r="H186" s="219" t="s"/>
      <c r="I186" s="219" t="s"/>
      <c r="J186" s="219" t="s"/>
      <c r="K186" s="219" t="s"/>
      <c r="L186" s="219" t="s"/>
      <c r="M186" s="219" t="s"/>
      <c r="N186" s="219" t="s"/>
    </row>
    <row r="187" spans="1:14" customHeight="true">
      <c r="A187" s="213">
        <f>=B187/13.123</f>
        <v>2.71812847672026</v>
      </c>
      <c r="B187" s="220">
        <v>35.67</v>
      </c>
      <c r="C187" s="16" t="s">
        <v>2318</v>
      </c>
      <c r="D187" s="131" t="s">
        <v>2179</v>
      </c>
      <c r="E187" s="157">
        <v>7628</v>
      </c>
      <c r="F187" s="219" t="s">
        <f>=C187&amp;E187&amp;D187</f>
        <v>2356</v>
      </c>
      <c r="G187" s="219" t="s"/>
      <c r="H187" s="219" t="s"/>
      <c r="I187" s="219" t="s"/>
      <c r="J187" s="219" t="s"/>
      <c r="K187" s="219" t="s"/>
      <c r="L187" s="219" t="s"/>
      <c r="M187" s="219" t="s"/>
      <c r="N187" s="219" t="s"/>
    </row>
    <row r="188" spans="1:14" customHeight="true">
      <c r="A188" s="213">
        <f>=B188/13.123</f>
        <v>2.36378876781224</v>
      </c>
      <c r="B188" s="220">
        <v>31.02</v>
      </c>
      <c r="C188" s="16" t="s">
        <v>2318</v>
      </c>
      <c r="D188" s="16" t="s">
        <v>2113</v>
      </c>
      <c r="E188" s="157">
        <v>7628</v>
      </c>
      <c r="F188" s="219" t="s">
        <f>=C188&amp;E188&amp;D188</f>
        <v>2357</v>
      </c>
      <c r="G188" s="219" t="s"/>
      <c r="H188" s="219" t="s"/>
      <c r="I188" s="219" t="s"/>
      <c r="J188" s="219" t="s"/>
      <c r="K188" s="219" t="s"/>
      <c r="L188" s="219" t="s"/>
      <c r="M188" s="219" t="s"/>
      <c r="N188" s="219" t="s"/>
    </row>
    <row r="189" spans="1:14" customHeight="true">
      <c r="A189" s="213">
        <f>=B189/13.123</f>
        <v>3.87259010896899</v>
      </c>
      <c r="B189" s="220">
        <v>50.82</v>
      </c>
      <c r="C189" s="16" t="s">
        <v>2358</v>
      </c>
      <c r="D189" s="16" t="s">
        <v>2130</v>
      </c>
      <c r="E189" s="157">
        <v>3313</v>
      </c>
      <c r="F189" s="219" t="s">
        <f>=C189&amp;E189&amp;D189</f>
        <v>2359</v>
      </c>
      <c r="G189" s="219" t="s"/>
      <c r="H189" s="219" t="s"/>
      <c r="I189" s="219" t="s"/>
      <c r="J189" s="219" t="s"/>
      <c r="K189" s="219" t="s"/>
      <c r="L189" s="219" t="s"/>
      <c r="M189" s="219" t="s"/>
      <c r="N189" s="219" t="s"/>
    </row>
    <row r="190" spans="1:14" customHeight="true">
      <c r="A190" s="213">
        <f>=B190/13.123</f>
        <v>4.64680332241104</v>
      </c>
      <c r="B190" s="220">
        <v>60.98</v>
      </c>
      <c r="C190" s="16" t="s">
        <v>2358</v>
      </c>
      <c r="D190" s="16" t="s">
        <v>2162</v>
      </c>
      <c r="E190" s="157">
        <v>2116</v>
      </c>
      <c r="F190" s="219" t="s">
        <f>=C190&amp;E190&amp;D190</f>
        <v>2360</v>
      </c>
      <c r="G190" s="219" t="s"/>
      <c r="H190" s="219" t="s"/>
      <c r="I190" s="219" t="s"/>
      <c r="J190" s="219" t="s"/>
      <c r="K190" s="219" t="s"/>
      <c r="L190" s="219" t="s"/>
      <c r="M190" s="219" t="s"/>
      <c r="N190" s="219" t="s"/>
    </row>
    <row r="191" spans="1:14" customHeight="true">
      <c r="A191" s="213">
        <f>=B191/13.123</f>
        <v>2.24796159414768</v>
      </c>
      <c r="B191" s="220">
        <v>29.5</v>
      </c>
      <c r="C191" s="16" t="s">
        <v>2361</v>
      </c>
      <c r="D191" s="16" t="s">
        <v>2085</v>
      </c>
      <c r="E191" s="16">
        <v>106</v>
      </c>
      <c r="F191" s="219" t="s">
        <f>=C191&amp;E191&amp;D191</f>
        <v>2362</v>
      </c>
      <c r="G191" s="219" t="s"/>
      <c r="H191" s="219" t="s"/>
      <c r="I191" s="219" t="s"/>
      <c r="J191" s="219" t="s"/>
      <c r="K191" s="219" t="s"/>
      <c r="L191" s="219" t="s"/>
      <c r="M191" s="219" t="s"/>
      <c r="N191" s="219" t="s"/>
    </row>
    <row r="192" spans="1:14" customHeight="true">
      <c r="A192" s="213">
        <f>=B192/13.123</f>
        <v>2.35312047550103</v>
      </c>
      <c r="B192" s="220">
        <v>30.88</v>
      </c>
      <c r="C192" s="16" t="s">
        <v>2361</v>
      </c>
      <c r="D192" s="16" t="s">
        <v>2144</v>
      </c>
      <c r="E192" s="16">
        <v>106</v>
      </c>
      <c r="F192" s="219" t="s">
        <f>=C192&amp;E192&amp;D192</f>
        <v>2363</v>
      </c>
      <c r="G192" s="219" t="s"/>
      <c r="H192" s="219" t="s"/>
      <c r="I192" s="219" t="s"/>
      <c r="J192" s="219" t="s"/>
      <c r="K192" s="219" t="s"/>
      <c r="L192" s="219" t="s"/>
      <c r="M192" s="219" t="s"/>
      <c r="N192" s="219" t="s"/>
    </row>
    <row r="193" spans="1:14" customHeight="true">
      <c r="A193" s="213">
        <f>=B193/13.123</f>
        <v>2.57944067667454</v>
      </c>
      <c r="B193" s="220">
        <v>33.85</v>
      </c>
      <c r="C193" s="16" t="s">
        <v>2361</v>
      </c>
      <c r="D193" s="16" t="s">
        <v>2122</v>
      </c>
      <c r="E193" s="16">
        <v>1035</v>
      </c>
      <c r="F193" s="219" t="s">
        <f>=C193&amp;E193&amp;D193</f>
        <v>2364</v>
      </c>
      <c r="G193" s="219" t="s"/>
      <c r="H193" s="219" t="s"/>
      <c r="I193" s="219" t="s"/>
      <c r="J193" s="219" t="s"/>
      <c r="K193" s="219" t="s"/>
      <c r="L193" s="219" t="s"/>
      <c r="M193" s="219" t="s"/>
      <c r="N193" s="219" t="s"/>
    </row>
    <row r="194" spans="1:14" customHeight="true">
      <c r="A194" s="213">
        <f>=B194/13.123</f>
        <v>2.84843404709289</v>
      </c>
      <c r="B194" s="220">
        <v>37.38</v>
      </c>
      <c r="C194" s="16" t="s">
        <v>2361</v>
      </c>
      <c r="D194" s="16" t="s">
        <v>2365</v>
      </c>
      <c r="E194" s="16">
        <v>1035</v>
      </c>
      <c r="F194" s="219" t="s">
        <f>=C194&amp;E194&amp;D194</f>
        <v>2366</v>
      </c>
      <c r="G194" s="219" t="s"/>
      <c r="H194" s="219" t="s"/>
      <c r="I194" s="219" t="s"/>
      <c r="J194" s="219" t="s"/>
      <c r="K194" s="219" t="s"/>
      <c r="L194" s="219" t="s"/>
      <c r="M194" s="219" t="s"/>
      <c r="N194" s="219" t="s"/>
    </row>
    <row r="195" spans="1:14" customHeight="true">
      <c r="A195" s="213">
        <f>=B195/13.123</f>
        <v>2.57944067667454</v>
      </c>
      <c r="B195" s="220">
        <v>33.85</v>
      </c>
      <c r="C195" s="16" t="s">
        <v>2361</v>
      </c>
      <c r="D195" s="16" t="s">
        <v>2333</v>
      </c>
      <c r="E195" s="16">
        <v>1037</v>
      </c>
      <c r="F195" s="219" t="s">
        <f>=C195&amp;E195&amp;D195</f>
        <v>2367</v>
      </c>
      <c r="G195" s="219" t="s"/>
      <c r="H195" s="219" t="s"/>
      <c r="I195" s="219" t="s"/>
      <c r="J195" s="219" t="s"/>
      <c r="K195" s="219" t="s"/>
      <c r="L195" s="219" t="s"/>
      <c r="M195" s="219" t="s"/>
      <c r="N195" s="219" t="s"/>
    </row>
    <row r="196" spans="1:14" customHeight="true">
      <c r="A196" s="213">
        <f>=B196/13.123</f>
        <v>2.84843404709289</v>
      </c>
      <c r="B196" s="220">
        <v>37.38</v>
      </c>
      <c r="C196" s="16" t="s">
        <v>2361</v>
      </c>
      <c r="D196" s="16" t="s">
        <v>2365</v>
      </c>
      <c r="E196" s="16">
        <v>1037</v>
      </c>
      <c r="F196" s="219" t="s">
        <f>=C196&amp;E196&amp;D196</f>
        <v>2368</v>
      </c>
      <c r="G196" s="219" t="s"/>
      <c r="H196" s="219" t="s"/>
      <c r="I196" s="219" t="s"/>
      <c r="J196" s="219" t="s"/>
      <c r="K196" s="219" t="s"/>
      <c r="L196" s="219" t="s"/>
      <c r="M196" s="219" t="s"/>
      <c r="N196" s="219" t="s"/>
    </row>
    <row r="197" spans="1:14" customHeight="true">
      <c r="A197" s="213">
        <f>=B197/13.123</f>
        <v>2.47199573268308</v>
      </c>
      <c r="B197" s="220">
        <v>32.44</v>
      </c>
      <c r="C197" s="16" t="s">
        <v>2361</v>
      </c>
      <c r="D197" s="16" t="s">
        <v>2325</v>
      </c>
      <c r="E197" s="16">
        <v>1067</v>
      </c>
      <c r="F197" s="219" t="s">
        <f>=C197&amp;E197&amp;D197</f>
        <v>2369</v>
      </c>
      <c r="G197" s="219" t="s"/>
      <c r="H197" s="219" t="s"/>
      <c r="I197" s="219" t="s"/>
      <c r="J197" s="219" t="s"/>
      <c r="K197" s="219" t="s"/>
      <c r="L197" s="219" t="s"/>
      <c r="M197" s="219" t="s"/>
      <c r="N197" s="219" t="s"/>
    </row>
    <row r="198" spans="1:14" customHeight="true">
      <c r="A198" s="213">
        <f>=B198/13.123</f>
        <v>2.21290863369656</v>
      </c>
      <c r="B198" s="220">
        <v>29.04</v>
      </c>
      <c r="C198" s="16" t="s">
        <v>2361</v>
      </c>
      <c r="D198" s="16" t="s">
        <v>2221</v>
      </c>
      <c r="E198" s="16">
        <v>1078</v>
      </c>
      <c r="F198" s="219" t="s">
        <f>=C198&amp;E198&amp;D198</f>
        <v>2370</v>
      </c>
      <c r="G198" s="219" t="s"/>
      <c r="H198" s="219" t="s"/>
      <c r="I198" s="219" t="s"/>
      <c r="J198" s="219" t="s"/>
      <c r="K198" s="219" t="s"/>
      <c r="L198" s="219" t="s"/>
      <c r="M198" s="219" t="s"/>
      <c r="N198" s="219" t="s"/>
    </row>
    <row r="199" spans="1:14" customHeight="true">
      <c r="A199" s="213">
        <f>=B199/13.123</f>
        <v>2.30511316010059</v>
      </c>
      <c r="B199" s="220">
        <v>30.25</v>
      </c>
      <c r="C199" s="16" t="s">
        <v>2361</v>
      </c>
      <c r="D199" s="16" t="s">
        <v>2371</v>
      </c>
      <c r="E199" s="16">
        <v>1078</v>
      </c>
      <c r="F199" s="219" t="s">
        <f>=C199&amp;E199&amp;D199</f>
        <v>2372</v>
      </c>
      <c r="G199" s="219" t="s"/>
      <c r="H199" s="219" t="s"/>
      <c r="I199" s="219" t="s"/>
      <c r="J199" s="219" t="s"/>
      <c r="K199" s="219" t="s"/>
      <c r="L199" s="219" t="s"/>
      <c r="M199" s="219" t="s"/>
      <c r="N199" s="219" t="s"/>
    </row>
    <row r="200" spans="1:14" customHeight="true">
      <c r="A200" s="213">
        <f>=B200/13.123</f>
        <v>3.35289186923722</v>
      </c>
      <c r="B200" s="220">
        <v>44</v>
      </c>
      <c r="C200" s="16" t="s">
        <v>2361</v>
      </c>
      <c r="D200" s="16" t="s">
        <v>2261</v>
      </c>
      <c r="E200" s="16">
        <v>1035</v>
      </c>
      <c r="F200" s="219" t="s">
        <f>=C200&amp;E200&amp;D200</f>
        <v>2373</v>
      </c>
      <c r="G200" s="219" t="s"/>
      <c r="H200" s="219" t="s"/>
      <c r="I200" s="219" t="s"/>
      <c r="J200" s="219" t="s"/>
      <c r="K200" s="219" t="s"/>
      <c r="L200" s="219" t="s"/>
      <c r="M200" s="219" t="s"/>
      <c r="N200" s="219" t="s"/>
    </row>
    <row r="201" spans="1:14" customHeight="true">
      <c r="A201" s="213">
        <f>=B201/13.123</f>
        <v>2.11994208641317</v>
      </c>
      <c r="B201" s="220">
        <v>27.82</v>
      </c>
      <c r="C201" s="16" t="s">
        <v>2361</v>
      </c>
      <c r="D201" s="16" t="s">
        <v>2374</v>
      </c>
      <c r="E201" s="16">
        <v>1080</v>
      </c>
      <c r="F201" s="219" t="s">
        <f>=C201&amp;E201&amp;D201</f>
        <v>2375</v>
      </c>
      <c r="G201" s="219" t="s"/>
      <c r="H201" s="219" t="s"/>
      <c r="I201" s="219" t="s"/>
      <c r="J201" s="219" t="s"/>
      <c r="K201" s="219" t="s"/>
      <c r="L201" s="219" t="s"/>
      <c r="M201" s="219" t="s"/>
      <c r="N201" s="219" t="s"/>
    </row>
    <row r="202" spans="1:14" customHeight="true">
      <c r="A202" s="213">
        <f>=B202/13.123</f>
        <v>2.23119713480149</v>
      </c>
      <c r="B202" s="220">
        <v>29.28</v>
      </c>
      <c r="C202" s="16" t="s">
        <v>2361</v>
      </c>
      <c r="D202" s="16" t="s">
        <v>2221</v>
      </c>
      <c r="E202" s="16">
        <v>1080</v>
      </c>
      <c r="F202" s="219" t="s">
        <f>=C202&amp;E202&amp;D202</f>
        <v>2376</v>
      </c>
      <c r="G202" s="219" t="s"/>
      <c r="H202" s="219" t="s"/>
      <c r="I202" s="219" t="s"/>
      <c r="J202" s="219" t="s"/>
      <c r="K202" s="219" t="s"/>
      <c r="L202" s="219" t="s"/>
      <c r="M202" s="219" t="s"/>
      <c r="N202" s="219" t="s"/>
    </row>
    <row r="203" spans="1:14" customHeight="true">
      <c r="A203" s="213">
        <f>=B203/13.123</f>
        <v>2.34321420406919</v>
      </c>
      <c r="B203" s="220">
        <v>30.75</v>
      </c>
      <c r="C203" s="16" t="s">
        <v>2361</v>
      </c>
      <c r="D203" s="16" t="s">
        <v>2371</v>
      </c>
      <c r="E203" s="16">
        <v>1080</v>
      </c>
      <c r="F203" s="219" t="s">
        <f>=C203&amp;E203&amp;D203</f>
        <v>2377</v>
      </c>
      <c r="G203" s="219" t="s"/>
      <c r="H203" s="219" t="s"/>
      <c r="I203" s="219" t="s"/>
      <c r="J203" s="219" t="s"/>
      <c r="K203" s="219" t="s"/>
      <c r="L203" s="219" t="s"/>
      <c r="M203" s="219" t="s"/>
      <c r="N203" s="219" t="s"/>
    </row>
    <row r="204" spans="1:14" customHeight="true">
      <c r="A204" s="213">
        <f>=B204/13.123</f>
        <v>2.45446925245752</v>
      </c>
      <c r="B204" s="220">
        <v>32.21</v>
      </c>
      <c r="C204" s="16" t="s">
        <v>2361</v>
      </c>
      <c r="D204" s="16" t="s">
        <v>2122</v>
      </c>
      <c r="E204" s="16">
        <v>1080</v>
      </c>
      <c r="F204" s="219" t="s">
        <f>=C204&amp;E204&amp;D204</f>
        <v>2378</v>
      </c>
      <c r="G204" s="219" t="s"/>
      <c r="H204" s="219" t="s"/>
      <c r="I204" s="219" t="s"/>
      <c r="J204" s="219" t="s"/>
      <c r="K204" s="219" t="s"/>
      <c r="L204" s="219" t="s"/>
      <c r="M204" s="219" t="s"/>
      <c r="N204" s="219" t="s"/>
    </row>
    <row r="205" spans="1:14" customHeight="true">
      <c r="A205" s="213">
        <f>=B205/13.123</f>
        <v>3.35289186923722</v>
      </c>
      <c r="B205" s="220">
        <v>44</v>
      </c>
      <c r="C205" s="16" t="s">
        <v>2361</v>
      </c>
      <c r="D205" s="16" t="s">
        <v>2242</v>
      </c>
      <c r="E205" s="16">
        <v>1080</v>
      </c>
      <c r="F205" s="219" t="s">
        <f>=C205&amp;E205&amp;D205</f>
        <v>2379</v>
      </c>
      <c r="G205" s="219" t="s"/>
      <c r="H205" s="219" t="s"/>
      <c r="I205" s="219" t="s"/>
      <c r="J205" s="219" t="s"/>
      <c r="K205" s="219" t="s"/>
      <c r="L205" s="219" t="s"/>
      <c r="M205" s="219" t="s"/>
      <c r="N205" s="219" t="s"/>
    </row>
    <row r="206" spans="1:14" customHeight="true">
      <c r="A206" s="213">
        <f>=B206/13.123</f>
        <v>2.37674312276156</v>
      </c>
      <c r="B206" s="220">
        <v>31.19</v>
      </c>
      <c r="C206" s="16" t="s">
        <v>2361</v>
      </c>
      <c r="D206" s="16" t="s">
        <v>2290</v>
      </c>
      <c r="E206" s="16">
        <v>1080</v>
      </c>
      <c r="F206" s="219" t="s">
        <f>=C206&amp;E206&amp;D206</f>
        <v>2380</v>
      </c>
      <c r="G206" s="219" t="s"/>
      <c r="H206" s="219" t="s"/>
      <c r="I206" s="219" t="s"/>
      <c r="J206" s="219" t="s"/>
      <c r="K206" s="219" t="s"/>
      <c r="L206" s="219" t="s"/>
      <c r="M206" s="219" t="s"/>
      <c r="N206" s="219" t="s"/>
    </row>
    <row r="207" spans="1:14" customHeight="true">
      <c r="A207" s="213">
        <f>=B207/13.123</f>
        <v>2.45065914806066</v>
      </c>
      <c r="B207" s="220">
        <v>32.16</v>
      </c>
      <c r="C207" s="16" t="s">
        <v>2361</v>
      </c>
      <c r="D207" s="16" t="s">
        <v>2381</v>
      </c>
      <c r="E207" s="16">
        <v>2116</v>
      </c>
      <c r="F207" s="219" t="s">
        <f>=C207&amp;E207&amp;D207</f>
        <v>2382</v>
      </c>
      <c r="G207" s="219" t="s"/>
      <c r="H207" s="219" t="s"/>
      <c r="I207" s="219" t="s"/>
      <c r="J207" s="219" t="s"/>
      <c r="K207" s="219" t="s"/>
      <c r="L207" s="219" t="s"/>
      <c r="M207" s="219" t="s"/>
      <c r="N207" s="219" t="s"/>
    </row>
    <row r="208" spans="1:14" customHeight="true">
      <c r="A208" s="213">
        <f>=B208/13.123</f>
        <v>2.45065914806066</v>
      </c>
      <c r="B208" s="220">
        <v>32.16</v>
      </c>
      <c r="C208" s="16" t="s">
        <v>2361</v>
      </c>
      <c r="D208" s="16" t="s">
        <v>2383</v>
      </c>
      <c r="E208" s="16">
        <v>2116</v>
      </c>
      <c r="F208" s="219" t="s">
        <f>=C208&amp;E208&amp;D208</f>
        <v>2384</v>
      </c>
      <c r="G208" s="219" t="s"/>
      <c r="H208" s="219" t="s"/>
      <c r="I208" s="219" t="s"/>
      <c r="J208" s="219" t="s"/>
      <c r="K208" s="219" t="s"/>
      <c r="L208" s="219" t="s"/>
      <c r="M208" s="219" t="s"/>
      <c r="N208" s="219" t="s"/>
    </row>
    <row r="209" spans="1:14" customHeight="true">
      <c r="A209" s="213">
        <f>=B209/13.123</f>
        <v>2.74098910310143</v>
      </c>
      <c r="B209" s="220">
        <v>35.97</v>
      </c>
      <c r="C209" s="16" t="s">
        <v>2361</v>
      </c>
      <c r="D209" s="16" t="s">
        <v>2211</v>
      </c>
      <c r="E209" s="16">
        <v>2116</v>
      </c>
      <c r="F209" s="219" t="s">
        <f>=C209&amp;E209&amp;D209</f>
        <v>2385</v>
      </c>
      <c r="G209" s="219" t="s"/>
      <c r="H209" s="219" t="s"/>
      <c r="I209" s="219" t="s"/>
      <c r="J209" s="219" t="s"/>
      <c r="K209" s="219" t="s"/>
      <c r="L209" s="219" t="s"/>
      <c r="M209" s="219" t="s"/>
      <c r="N209" s="219" t="s"/>
    </row>
    <row r="210" spans="1:14" customHeight="true">
      <c r="A210" s="213">
        <f>=B210/13.123</f>
        <v>2.47199573268308</v>
      </c>
      <c r="B210" s="220">
        <v>32.44</v>
      </c>
      <c r="C210" s="16" t="s">
        <v>2361</v>
      </c>
      <c r="D210" s="16" t="s">
        <v>2173</v>
      </c>
      <c r="E210" s="16">
        <v>2116</v>
      </c>
      <c r="F210" s="219" t="s">
        <f>=C210&amp;E210&amp;D210</f>
        <v>2386</v>
      </c>
      <c r="G210" s="219" t="s"/>
      <c r="H210" s="219" t="s"/>
      <c r="I210" s="219" t="s"/>
      <c r="J210" s="219" t="s"/>
      <c r="K210" s="219" t="s"/>
      <c r="L210" s="219" t="s"/>
      <c r="M210" s="219" t="s"/>
      <c r="N210" s="219" t="s"/>
    </row>
    <row r="211" spans="1:14" customHeight="true">
      <c r="A211" s="213">
        <f>=B211/13.123</f>
        <v>2.53829154918845</v>
      </c>
      <c r="B211" s="220">
        <v>33.31</v>
      </c>
      <c r="C211" s="16" t="s">
        <v>2361</v>
      </c>
      <c r="D211" s="16" t="s">
        <v>2374</v>
      </c>
      <c r="E211" s="16">
        <v>2116</v>
      </c>
      <c r="F211" s="219" t="s">
        <f>=C211&amp;E211&amp;D211</f>
        <v>2387</v>
      </c>
      <c r="G211" s="219" t="s"/>
      <c r="H211" s="219" t="s"/>
      <c r="I211" s="219" t="s"/>
      <c r="J211" s="219" t="s"/>
      <c r="K211" s="219" t="s"/>
      <c r="L211" s="219" t="s"/>
      <c r="M211" s="219" t="s"/>
      <c r="N211" s="219" t="s"/>
    </row>
    <row r="212" spans="1:14" customHeight="true">
      <c r="A212" s="213">
        <f>=B212/13.123</f>
        <v>2.57944067667454</v>
      </c>
      <c r="B212" s="220">
        <v>33.85</v>
      </c>
      <c r="C212" s="16" t="s">
        <v>2361</v>
      </c>
      <c r="D212" s="16" t="s">
        <v>2105</v>
      </c>
      <c r="E212" s="16">
        <v>3313</v>
      </c>
      <c r="F212" s="219" t="s">
        <f>=C212&amp;E212&amp;D212</f>
        <v>2388</v>
      </c>
      <c r="G212" s="219" t="s"/>
      <c r="H212" s="219" t="s"/>
      <c r="I212" s="219" t="s"/>
      <c r="J212" s="219" t="s"/>
      <c r="K212" s="219" t="s"/>
      <c r="L212" s="219" t="s"/>
      <c r="M212" s="219" t="s"/>
      <c r="N212" s="219" t="s"/>
    </row>
    <row r="213" spans="1:14" customHeight="true">
      <c r="A213" s="213">
        <f>=B213/13.123</f>
        <v>2.63354415910996</v>
      </c>
      <c r="B213" s="220">
        <v>34.56</v>
      </c>
      <c r="C213" s="16" t="s">
        <v>2361</v>
      </c>
      <c r="D213" s="16" t="s">
        <v>2130</v>
      </c>
      <c r="E213" s="16">
        <v>3313</v>
      </c>
      <c r="F213" s="219" t="s">
        <f>=C213&amp;E213&amp;D213</f>
        <v>2389</v>
      </c>
      <c r="G213" s="219" t="s"/>
      <c r="H213" s="219" t="s"/>
      <c r="I213" s="219" t="s"/>
      <c r="J213" s="219" t="s"/>
      <c r="K213" s="219" t="s"/>
      <c r="L213" s="219" t="s"/>
      <c r="M213" s="219" t="s"/>
      <c r="N213" s="219" t="s"/>
    </row>
    <row r="214" spans="1:14" customHeight="true">
      <c r="A214" s="213">
        <f>=B214/13.123</f>
        <v>2.68688562066601</v>
      </c>
      <c r="B214" s="220">
        <v>35.26</v>
      </c>
      <c r="C214" s="16" t="s">
        <v>2361</v>
      </c>
      <c r="D214" s="16" t="s">
        <v>2173</v>
      </c>
      <c r="E214" s="16">
        <v>3313</v>
      </c>
      <c r="F214" s="219" t="s">
        <f>=C214&amp;E214&amp;D214</f>
        <v>2390</v>
      </c>
      <c r="G214" s="219" t="s"/>
      <c r="H214" s="219" t="s"/>
      <c r="I214" s="219" t="s"/>
      <c r="J214" s="219" t="s"/>
      <c r="K214" s="219" t="s"/>
      <c r="L214" s="219" t="s"/>
      <c r="M214" s="219" t="s"/>
      <c r="N214" s="219" t="s"/>
    </row>
    <row r="215" spans="1:14" customHeight="true">
      <c r="A215" s="213">
        <f>=B215/13.123</f>
        <v>2.45446925245752</v>
      </c>
      <c r="B215" s="220">
        <v>32.21</v>
      </c>
      <c r="C215" s="16" t="s">
        <v>2391</v>
      </c>
      <c r="D215" s="16" t="s">
        <v>2122</v>
      </c>
      <c r="E215" s="16">
        <v>1080</v>
      </c>
      <c r="F215" s="219" t="s">
        <f>=C215&amp;E215&amp;D215</f>
        <v>2392</v>
      </c>
      <c r="G215" s="219" t="s"/>
      <c r="H215" s="219" t="s"/>
      <c r="I215" s="219" t="s"/>
      <c r="J215" s="219" t="s"/>
      <c r="K215" s="219" t="s"/>
      <c r="L215" s="219" t="s"/>
      <c r="M215" s="219" t="s"/>
      <c r="N215" s="219" t="s"/>
    </row>
    <row r="216" spans="1:14" customHeight="true">
      <c r="A216" s="213">
        <f>=B216/13.123</f>
        <v>3.60664482206813</v>
      </c>
      <c r="B216" s="220">
        <v>47.33</v>
      </c>
      <c r="C216" s="16" t="s">
        <v>2393</v>
      </c>
      <c r="D216" s="16" t="s">
        <v>2264</v>
      </c>
      <c r="E216" s="16">
        <v>106</v>
      </c>
      <c r="F216" s="219" t="s">
        <f>=C216&amp;E216&amp;D216</f>
        <v>2394</v>
      </c>
      <c r="G216" s="219" t="s"/>
      <c r="H216" s="219" t="s"/>
      <c r="I216" s="219" t="s"/>
      <c r="J216" s="219" t="s"/>
      <c r="K216" s="219" t="s"/>
      <c r="L216" s="219" t="s"/>
      <c r="M216" s="219" t="s"/>
      <c r="N216" s="219" t="s"/>
    </row>
    <row r="217" spans="1:14" customHeight="true">
      <c r="A217" s="236">
        <f>=B217/13.123</f>
        <v>3.96250857273489</v>
      </c>
      <c r="B217" s="237">
        <v>52</v>
      </c>
      <c r="C217" s="13" t="s">
        <v>2393</v>
      </c>
      <c r="D217" s="11" t="s">
        <v>2395</v>
      </c>
      <c r="E217" s="13">
        <v>106</v>
      </c>
      <c r="F217" s="216" t="s">
        <f>=C217&amp;E217&amp;D217</f>
        <v>2396</v>
      </c>
      <c r="G217" s="216" t="s"/>
      <c r="H217" s="216" t="s"/>
      <c r="I217" s="216" t="s"/>
      <c r="J217" s="216" t="s"/>
      <c r="K217" s="216" t="s"/>
      <c r="L217" s="216" t="s"/>
      <c r="M217" s="216" t="s"/>
      <c r="N217" s="216" t="s"/>
    </row>
    <row r="218" spans="1:14" customHeight="true">
      <c r="A218" s="236">
        <f>=B218/13.123</f>
        <v>4.11491274860931</v>
      </c>
      <c r="B218" s="237">
        <v>54</v>
      </c>
      <c r="C218" s="13" t="s">
        <v>2393</v>
      </c>
      <c r="D218" s="11" t="s">
        <v>2397</v>
      </c>
      <c r="E218" s="13">
        <v>106</v>
      </c>
      <c r="F218" s="216" t="s">
        <f>=C218&amp;E218&amp;D218</f>
        <v>2398</v>
      </c>
      <c r="G218" s="216" t="s"/>
      <c r="H218" s="216" t="s"/>
      <c r="I218" s="216" t="s"/>
      <c r="J218" s="216" t="s"/>
      <c r="K218" s="216" t="s"/>
      <c r="L218" s="216" t="s"/>
      <c r="M218" s="216" t="s"/>
      <c r="N218" s="216" t="s"/>
    </row>
    <row r="219" spans="1:14" customHeight="true">
      <c r="A219" s="213">
        <f>=B219/13.123</f>
        <v>3.00845843176103</v>
      </c>
      <c r="B219" s="220">
        <v>39.48</v>
      </c>
      <c r="C219" s="16" t="s">
        <v>2393</v>
      </c>
      <c r="D219" s="16" t="s">
        <v>2085</v>
      </c>
      <c r="E219" s="16">
        <v>1067</v>
      </c>
      <c r="F219" s="219" t="s">
        <f>=C219&amp;E219&amp;D219</f>
        <v>2399</v>
      </c>
      <c r="G219" s="219" t="s"/>
      <c r="H219" s="219" t="s"/>
      <c r="I219" s="219" t="s"/>
      <c r="J219" s="219" t="s"/>
      <c r="K219" s="219" t="s"/>
      <c r="L219" s="219" t="s"/>
      <c r="M219" s="219" t="s"/>
      <c r="N219" s="219" t="s"/>
    </row>
    <row r="220" spans="1:14" customHeight="true">
      <c r="A220" s="213">
        <f>=B220/13.123</f>
        <v>3.11666539663187</v>
      </c>
      <c r="B220" s="220">
        <v>40.9</v>
      </c>
      <c r="C220" s="16" t="s">
        <v>2393</v>
      </c>
      <c r="D220" s="16" t="s">
        <v>2261</v>
      </c>
      <c r="E220" s="16">
        <v>1067</v>
      </c>
      <c r="F220" s="219" t="s">
        <f>=C220&amp;E220&amp;D220</f>
        <v>2400</v>
      </c>
      <c r="G220" s="219" t="s"/>
      <c r="H220" s="219" t="s"/>
      <c r="I220" s="219" t="s"/>
      <c r="J220" s="219" t="s"/>
      <c r="K220" s="219" t="s"/>
      <c r="L220" s="219" t="s"/>
      <c r="M220" s="219" t="s"/>
      <c r="N220" s="219" t="s"/>
    </row>
    <row r="221" spans="1:14" customHeight="true">
      <c r="A221" s="236">
        <f>=B221/13.123</f>
        <v>3.42909395717443</v>
      </c>
      <c r="B221" s="237">
        <v>45</v>
      </c>
      <c r="C221" s="13" t="s">
        <v>2393</v>
      </c>
      <c r="D221" s="11" t="s">
        <v>2264</v>
      </c>
      <c r="E221" s="13">
        <v>1067</v>
      </c>
      <c r="F221" s="216" t="s">
        <f>=C221&amp;E221&amp;D221</f>
        <v>2401</v>
      </c>
      <c r="G221" s="216" t="s"/>
      <c r="H221" s="216" t="s"/>
      <c r="I221" s="216" t="s"/>
      <c r="J221" s="216" t="s"/>
      <c r="K221" s="216" t="s"/>
      <c r="L221" s="216" t="s"/>
      <c r="M221" s="216" t="s"/>
      <c r="N221" s="216" t="s"/>
    </row>
    <row r="222" spans="1:14" customHeight="true">
      <c r="A222" s="213">
        <f>=B222/13.123</f>
        <v>3.6538901165892</v>
      </c>
      <c r="B222" s="220">
        <v>47.95</v>
      </c>
      <c r="C222" s="16" t="s">
        <v>2393</v>
      </c>
      <c r="D222" s="16" t="s">
        <v>2085</v>
      </c>
      <c r="E222" s="16">
        <v>1078</v>
      </c>
      <c r="F222" s="219" t="s">
        <f>=C222&amp;E222&amp;D222</f>
        <v>2402</v>
      </c>
      <c r="G222" s="219" t="s"/>
      <c r="H222" s="219" t="s"/>
      <c r="I222" s="219" t="s"/>
      <c r="J222" s="219" t="s"/>
      <c r="K222" s="219" t="s"/>
      <c r="L222" s="219" t="s"/>
      <c r="M222" s="219" t="s"/>
      <c r="N222" s="219" t="s"/>
    </row>
    <row r="223" spans="1:14" customHeight="true">
      <c r="A223" s="213">
        <f>=B223/13.123</f>
        <v>3.11666539663187</v>
      </c>
      <c r="B223" s="220">
        <v>40.9</v>
      </c>
      <c r="C223" s="16" t="s">
        <v>2393</v>
      </c>
      <c r="D223" s="16" t="s">
        <v>2403</v>
      </c>
      <c r="E223" s="16">
        <v>1078</v>
      </c>
      <c r="F223" s="219" t="s">
        <f>=C223&amp;E223&amp;D223</f>
        <v>2404</v>
      </c>
      <c r="G223" s="219" t="s"/>
      <c r="H223" s="219" t="s"/>
      <c r="I223" s="219" t="s"/>
      <c r="J223" s="219" t="s"/>
      <c r="K223" s="219" t="s"/>
      <c r="L223" s="219" t="s"/>
      <c r="M223" s="235" t="s"/>
      <c r="N223" s="235" t="s"/>
    </row>
    <row r="224" spans="1:14" customHeight="true">
      <c r="A224" s="213">
        <f>=B224/13.123</f>
        <v>3.1814371713785</v>
      </c>
      <c r="B224" s="220">
        <v>41.75</v>
      </c>
      <c r="C224" s="16" t="s">
        <v>2393</v>
      </c>
      <c r="D224" s="69" t="s">
        <v>2219</v>
      </c>
      <c r="E224" s="16">
        <v>1078</v>
      </c>
      <c r="F224" s="219" t="s">
        <f>=C224&amp;E224&amp;D224</f>
        <v>2405</v>
      </c>
      <c r="G224" s="219" t="s"/>
      <c r="H224" s="219" t="s"/>
      <c r="I224" s="219" t="s"/>
      <c r="J224" s="219" t="s"/>
      <c r="K224" s="219" t="s"/>
      <c r="L224" s="219" t="s"/>
      <c r="M224" s="235" t="s"/>
      <c r="N224" s="235" t="s"/>
    </row>
    <row r="225" spans="1:14" customHeight="true">
      <c r="A225" s="213">
        <f>=B225/13.123</f>
        <v>3.35289186923722</v>
      </c>
      <c r="B225" s="220">
        <v>44</v>
      </c>
      <c r="C225" s="16" t="s">
        <v>2393</v>
      </c>
      <c r="D225" s="16" t="s">
        <v>2301</v>
      </c>
      <c r="E225" s="16">
        <v>1080</v>
      </c>
      <c r="F225" s="219" t="s">
        <f>=C225&amp;E225&amp;D225</f>
        <v>2406</v>
      </c>
      <c r="G225" s="219" t="s"/>
      <c r="H225" s="219" t="s"/>
      <c r="I225" s="219" t="s"/>
      <c r="J225" s="219" t="s"/>
      <c r="K225" s="219" t="s"/>
      <c r="L225" s="219" t="s"/>
      <c r="M225" s="219" t="s"/>
      <c r="N225" s="219" t="s"/>
    </row>
    <row r="226" spans="1:14" customHeight="true">
      <c r="A226" s="213">
        <f>=B226/13.123</f>
        <v>3.01226853615789</v>
      </c>
      <c r="B226" s="220">
        <v>39.53</v>
      </c>
      <c r="C226" s="16" t="s">
        <v>2393</v>
      </c>
      <c r="D226" s="16" t="s">
        <v>2403</v>
      </c>
      <c r="E226" s="16">
        <v>1080</v>
      </c>
      <c r="F226" s="219" t="s">
        <f>=C226&amp;E226&amp;D226</f>
        <v>2407</v>
      </c>
      <c r="G226" s="219" t="s"/>
      <c r="H226" s="219" t="s"/>
      <c r="I226" s="219" t="s"/>
      <c r="J226" s="219" t="s"/>
      <c r="K226" s="219" t="s"/>
      <c r="L226" s="219" t="s"/>
      <c r="M226" s="219" t="s"/>
      <c r="N226" s="219" t="s"/>
    </row>
    <row r="227" spans="1:14" customHeight="true">
      <c r="A227" s="213">
        <f>=B227/13.123</f>
        <v>3.40318524727578</v>
      </c>
      <c r="B227" s="220">
        <v>44.66</v>
      </c>
      <c r="C227" s="16" t="s">
        <v>2393</v>
      </c>
      <c r="D227" s="16" t="s">
        <v>2122</v>
      </c>
      <c r="E227" s="16">
        <v>1080</v>
      </c>
      <c r="F227" s="219" t="s">
        <f>=C227&amp;E227&amp;D227</f>
        <v>2408</v>
      </c>
      <c r="G227" s="219" t="s"/>
      <c r="H227" s="219" t="s"/>
      <c r="I227" s="219" t="s"/>
      <c r="J227" s="219" t="s"/>
      <c r="K227" s="219" t="s"/>
      <c r="L227" s="219" t="s"/>
      <c r="M227" s="219" t="s"/>
      <c r="N227" s="219" t="s"/>
    </row>
    <row r="228" spans="1:14" customHeight="true">
      <c r="A228" s="236">
        <f>=B228/13.123</f>
        <v>3.45195458355559</v>
      </c>
      <c r="B228" s="237">
        <v>45.3</v>
      </c>
      <c r="C228" s="13" t="s">
        <v>2393</v>
      </c>
      <c r="D228" s="11" t="s">
        <v>2085</v>
      </c>
      <c r="E228" s="13">
        <v>1080</v>
      </c>
      <c r="F228" s="216" t="s">
        <f>=C228&amp;E228&amp;D228</f>
        <v>2409</v>
      </c>
      <c r="G228" s="216" t="s"/>
      <c r="H228" s="216" t="s"/>
      <c r="I228" s="216" t="s"/>
      <c r="J228" s="216" t="s"/>
      <c r="K228" s="216" t="s"/>
      <c r="L228" s="216" t="s"/>
      <c r="M228" s="216" t="s"/>
      <c r="N228" s="216" t="s"/>
    </row>
    <row r="229" spans="1:14" customHeight="true">
      <c r="A229" s="213">
        <f>=B229/13.123</f>
        <v>4.86169321039397</v>
      </c>
      <c r="B229" s="220">
        <v>63.8</v>
      </c>
      <c r="C229" s="16" t="s">
        <v>2393</v>
      </c>
      <c r="D229" s="16" t="s">
        <v>2323</v>
      </c>
      <c r="E229" s="16">
        <v>1080</v>
      </c>
      <c r="F229" s="219" t="s">
        <f>=C229&amp;E229&amp;D229</f>
        <v>2410</v>
      </c>
      <c r="G229" s="219" t="s"/>
      <c r="H229" s="219" t="s"/>
      <c r="I229" s="219" t="s"/>
      <c r="J229" s="219" t="s"/>
      <c r="K229" s="219" t="s"/>
      <c r="L229" s="219" t="s"/>
      <c r="M229" s="219" t="s"/>
      <c r="N229" s="219" t="s"/>
    </row>
    <row r="230" spans="1:14" customHeight="true">
      <c r="A230" s="213">
        <f>=B230/13.123</f>
        <v>3.38870685056771</v>
      </c>
      <c r="B230" s="220">
        <v>44.47</v>
      </c>
      <c r="C230" s="16" t="s">
        <v>2393</v>
      </c>
      <c r="D230" s="16" t="s">
        <v>2125</v>
      </c>
      <c r="E230" s="16">
        <v>2116</v>
      </c>
      <c r="F230" s="219" t="s">
        <f>=C230&amp;E230&amp;D230</f>
        <v>2411</v>
      </c>
      <c r="G230" s="219" t="s"/>
      <c r="H230" s="219" t="s"/>
      <c r="I230" s="219" t="s"/>
      <c r="J230" s="219" t="s"/>
      <c r="K230" s="219" t="s"/>
      <c r="L230" s="219" t="s"/>
      <c r="M230" s="219" t="s"/>
      <c r="N230" s="219" t="s"/>
    </row>
    <row r="231" spans="1:14" customHeight="true">
      <c r="A231" s="213">
        <f>=B231/13.123</f>
        <v>3.78724377047931</v>
      </c>
      <c r="B231" s="220">
        <v>49.7</v>
      </c>
      <c r="C231" s="16" t="s">
        <v>2393</v>
      </c>
      <c r="D231" s="16" t="s">
        <v>2383</v>
      </c>
      <c r="E231" s="16">
        <v>2116</v>
      </c>
      <c r="F231" s="219" t="s">
        <f>=C231&amp;E231&amp;D231</f>
        <v>2412</v>
      </c>
      <c r="G231" s="219" t="s"/>
      <c r="H231" s="219" t="s"/>
      <c r="I231" s="219" t="s"/>
      <c r="J231" s="219" t="s"/>
      <c r="K231" s="219" t="s"/>
      <c r="L231" s="219" t="s"/>
      <c r="M231" s="219" t="s"/>
      <c r="N231" s="219" t="s"/>
    </row>
    <row r="232" spans="1:14" customHeight="true">
      <c r="A232" s="213">
        <f>=B232/13.123</f>
        <v>3.58226015392822</v>
      </c>
      <c r="B232" s="220">
        <v>47.01</v>
      </c>
      <c r="C232" s="16" t="s">
        <v>2393</v>
      </c>
      <c r="D232" s="16" t="s">
        <v>2130</v>
      </c>
      <c r="E232" s="16">
        <v>2116</v>
      </c>
      <c r="F232" s="219" t="s">
        <f>=C232&amp;E232&amp;D232</f>
        <v>2413</v>
      </c>
      <c r="G232" s="219" t="s"/>
      <c r="H232" s="219" t="s"/>
      <c r="I232" s="219" t="s"/>
      <c r="J232" s="219" t="s"/>
      <c r="K232" s="219" t="s"/>
      <c r="L232" s="219" t="s"/>
      <c r="M232" s="219" t="s"/>
      <c r="N232" s="219" t="s"/>
    </row>
    <row r="233" spans="1:14" customHeight="true">
      <c r="A233" s="213">
        <f>=B233/13.123</f>
        <v>3.53425283852778</v>
      </c>
      <c r="B233" s="220">
        <v>46.38</v>
      </c>
      <c r="C233" s="16" t="s">
        <v>2393</v>
      </c>
      <c r="D233" s="16" t="s">
        <v>2162</v>
      </c>
      <c r="E233" s="16">
        <v>2116</v>
      </c>
      <c r="F233" s="219" t="s">
        <f>=C233&amp;E233&amp;D233</f>
        <v>2414</v>
      </c>
      <c r="G233" s="219" t="s"/>
      <c r="H233" s="219" t="s"/>
      <c r="I233" s="219" t="s"/>
      <c r="J233" s="219" t="s"/>
      <c r="K233" s="219" t="s"/>
      <c r="L233" s="219" t="s"/>
      <c r="M233" s="219" t="s"/>
      <c r="N233" s="219" t="s"/>
    </row>
    <row r="234" spans="1:14" customHeight="true">
      <c r="A234" s="213">
        <f>=B234/13.123</f>
        <v>3.71789987045645</v>
      </c>
      <c r="B234" s="220">
        <v>48.79</v>
      </c>
      <c r="C234" s="16" t="s">
        <v>2393</v>
      </c>
      <c r="D234" s="16" t="s">
        <v>2087</v>
      </c>
      <c r="E234" s="16">
        <v>2116</v>
      </c>
      <c r="F234" s="219" t="s">
        <f>=C234&amp;E234&amp;D234</f>
        <v>2415</v>
      </c>
      <c r="G234" s="219" t="s"/>
      <c r="H234" s="219" t="s"/>
      <c r="I234" s="219" t="s"/>
      <c r="J234" s="219" t="s"/>
      <c r="K234" s="219" t="s"/>
      <c r="L234" s="219" t="s"/>
      <c r="M234" s="219" t="s"/>
      <c r="N234" s="219" t="s"/>
    </row>
    <row r="235" spans="1:14" customHeight="true">
      <c r="A235" s="213">
        <f>=B235/13.123</f>
        <v>3.71789987045645</v>
      </c>
      <c r="B235" s="220">
        <v>48.79</v>
      </c>
      <c r="C235" s="16" t="s">
        <v>2393</v>
      </c>
      <c r="D235" s="16" t="s">
        <v>2301</v>
      </c>
      <c r="E235" s="16">
        <v>2116</v>
      </c>
      <c r="F235" s="219" t="s">
        <f>=C235&amp;E235&amp;D235</f>
        <v>2416</v>
      </c>
      <c r="G235" s="219" t="s"/>
      <c r="H235" s="219" t="s"/>
      <c r="I235" s="219" t="s"/>
      <c r="J235" s="219" t="s"/>
      <c r="K235" s="219" t="s"/>
      <c r="L235" s="219" t="s"/>
      <c r="M235" s="219" t="s"/>
      <c r="N235" s="219" t="s"/>
    </row>
    <row r="236" spans="1:14" customHeight="true">
      <c r="A236" s="213">
        <f>=B236/13.123</f>
        <v>3.64245980339861</v>
      </c>
      <c r="B236" s="220">
        <v>47.8</v>
      </c>
      <c r="C236" s="16" t="s">
        <v>2393</v>
      </c>
      <c r="D236" s="69" t="s">
        <v>2168</v>
      </c>
      <c r="E236" s="16">
        <v>3313</v>
      </c>
      <c r="F236" s="219" t="s">
        <f>=C236&amp;E236&amp;D236</f>
        <v>2417</v>
      </c>
      <c r="G236" s="219" t="s"/>
      <c r="H236" s="219" t="s"/>
      <c r="I236" s="219" t="s"/>
      <c r="J236" s="219" t="s"/>
      <c r="K236" s="219" t="s"/>
      <c r="L236" s="219" t="s"/>
      <c r="M236" s="219" t="s"/>
      <c r="N236" s="219" t="s"/>
    </row>
    <row r="237" spans="1:14" customHeight="true">
      <c r="A237" s="213">
        <f>=B237/13.123</f>
        <v>3.67903680560847</v>
      </c>
      <c r="B237" s="220">
        <v>48.28</v>
      </c>
      <c r="C237" s="16" t="s">
        <v>2393</v>
      </c>
      <c r="D237" s="16" t="s">
        <v>2130</v>
      </c>
      <c r="E237" s="16">
        <v>3313</v>
      </c>
      <c r="F237" s="219" t="s">
        <f>=C237&amp;E237&amp;D237</f>
        <v>2418</v>
      </c>
      <c r="G237" s="219" t="s"/>
      <c r="H237" s="219" t="s"/>
      <c r="I237" s="219" t="s"/>
      <c r="J237" s="219" t="s"/>
      <c r="K237" s="219" t="s"/>
      <c r="L237" s="219" t="s"/>
      <c r="M237" s="219" t="s"/>
      <c r="N237" s="219" t="s"/>
    </row>
    <row r="238" spans="1:14" customHeight="true">
      <c r="A238" s="213">
        <f>=B238/13.123</f>
        <v>3.67903680560847</v>
      </c>
      <c r="B238" s="220">
        <v>48.28</v>
      </c>
      <c r="C238" s="16" t="s">
        <v>2393</v>
      </c>
      <c r="D238" s="16" t="s">
        <v>2087</v>
      </c>
      <c r="E238" s="16">
        <v>3313</v>
      </c>
      <c r="F238" s="219" t="s">
        <f>=C238&amp;E238&amp;D238</f>
        <v>2419</v>
      </c>
      <c r="G238" s="219" t="s"/>
      <c r="H238" s="219" t="s"/>
      <c r="I238" s="219" t="s"/>
      <c r="J238" s="219" t="s"/>
      <c r="K238" s="219" t="s"/>
      <c r="L238" s="219" t="s"/>
      <c r="M238" s="219" t="s"/>
      <c r="N238" s="219" t="s"/>
    </row>
    <row r="239" spans="1:14" customHeight="true">
      <c r="A239" s="236">
        <f>=B239/13.123</f>
        <v>3.65770022098606</v>
      </c>
      <c r="B239" s="237">
        <v>48</v>
      </c>
      <c r="C239" s="13" t="s">
        <v>2420</v>
      </c>
      <c r="D239" s="11" t="s">
        <v>2122</v>
      </c>
      <c r="E239" s="13">
        <v>106</v>
      </c>
      <c r="F239" s="216" t="s">
        <f>=C239&amp;E239&amp;D239</f>
        <v>2421</v>
      </c>
      <c r="G239" s="216" t="s"/>
      <c r="H239" s="216" t="s"/>
      <c r="I239" s="216" t="s"/>
      <c r="J239" s="216" t="s"/>
      <c r="K239" s="216" t="s"/>
      <c r="L239" s="216" t="s"/>
      <c r="M239" s="216" t="s"/>
      <c r="N239" s="216" t="s"/>
    </row>
    <row r="240" spans="1:14" customHeight="true">
      <c r="A240" s="213">
        <f>=B240/13.123</f>
        <v>3.04274937133278</v>
      </c>
      <c r="B240" s="220">
        <v>39.93</v>
      </c>
      <c r="C240" s="16" t="s">
        <v>2420</v>
      </c>
      <c r="D240" s="16" t="s">
        <v>2422</v>
      </c>
      <c r="E240" s="16">
        <v>106</v>
      </c>
      <c r="F240" s="219" t="s">
        <f>=C240&amp;E240&amp;D240</f>
        <v>2423</v>
      </c>
      <c r="G240" s="219" t="s"/>
      <c r="H240" s="219" t="s"/>
      <c r="I240" s="219" t="s"/>
      <c r="J240" s="219" t="s"/>
      <c r="K240" s="219" t="s"/>
      <c r="L240" s="219" t="s"/>
      <c r="M240" s="219" t="s"/>
      <c r="N240" s="219" t="s"/>
    </row>
    <row r="241" spans="1:14" customHeight="true">
      <c r="A241" s="213">
        <f>=B241/13.123</f>
        <v>3.27364169778252</v>
      </c>
      <c r="B241" s="220">
        <v>42.96</v>
      </c>
      <c r="C241" s="16" t="s">
        <v>2420</v>
      </c>
      <c r="D241" s="16" t="s">
        <v>2117</v>
      </c>
      <c r="E241" s="16">
        <v>106</v>
      </c>
      <c r="F241" s="219" t="s">
        <f>=C241&amp;E241&amp;D241</f>
        <v>2424</v>
      </c>
      <c r="G241" s="219" t="s"/>
      <c r="H241" s="219" t="s"/>
      <c r="I241" s="219" t="s"/>
      <c r="J241" s="219" t="s"/>
      <c r="K241" s="219" t="s"/>
      <c r="L241" s="219" t="s"/>
      <c r="M241" s="219" t="s"/>
      <c r="N241" s="219" t="s"/>
    </row>
    <row r="242" spans="1:14" customHeight="true">
      <c r="A242" s="213">
        <f>=B242/13.123</f>
        <v>3.68818105616094</v>
      </c>
      <c r="B242" s="220">
        <v>48.4</v>
      </c>
      <c r="C242" s="16" t="s">
        <v>2420</v>
      </c>
      <c r="D242" s="16" t="s">
        <v>2333</v>
      </c>
      <c r="E242" s="16">
        <v>1037</v>
      </c>
      <c r="F242" s="219" t="s">
        <f>=C242&amp;E242&amp;D242</f>
        <v>2425</v>
      </c>
      <c r="G242" s="219" t="s"/>
      <c r="H242" s="219" t="s"/>
      <c r="I242" s="219" t="s"/>
      <c r="J242" s="219" t="s"/>
      <c r="K242" s="219" t="s"/>
      <c r="L242" s="219" t="s"/>
      <c r="M242" s="219" t="s"/>
      <c r="N242" s="219" t="s"/>
    </row>
    <row r="243" spans="1:14" customHeight="true">
      <c r="A243" s="213">
        <f>=B243/13.123</f>
        <v>4.15834793873352</v>
      </c>
      <c r="B243" s="220">
        <v>54.57</v>
      </c>
      <c r="C243" s="16" t="s">
        <v>2420</v>
      </c>
      <c r="D243" s="16" t="s">
        <v>2426</v>
      </c>
      <c r="E243" s="240">
        <v>1067</v>
      </c>
      <c r="F243" s="219" t="s">
        <f>=C243&amp;E243&amp;D243</f>
        <v>2427</v>
      </c>
      <c r="G243" s="219" t="s"/>
      <c r="H243" s="219" t="s"/>
      <c r="I243" s="219" t="s"/>
      <c r="J243" s="219" t="s"/>
      <c r="K243" s="219" t="s"/>
      <c r="L243" s="219" t="s"/>
      <c r="M243" s="219" t="s"/>
      <c r="N243" s="219" t="s"/>
    </row>
    <row r="244" spans="1:14" customHeight="true">
      <c r="A244" s="213">
        <f>=B244/13.123</f>
        <v>3.1349538977368</v>
      </c>
      <c r="B244" s="220">
        <v>41.14</v>
      </c>
      <c r="C244" s="16" t="s">
        <v>2420</v>
      </c>
      <c r="D244" s="252" t="s">
        <v>2242</v>
      </c>
      <c r="E244" s="16">
        <v>1067</v>
      </c>
      <c r="F244" s="219" t="s">
        <f>=C244&amp;E244&amp;D244</f>
        <v>2428</v>
      </c>
      <c r="G244" s="219" t="s"/>
      <c r="H244" s="219" t="s"/>
      <c r="I244" s="219" t="s"/>
      <c r="J244" s="219" t="s"/>
      <c r="K244" s="219" t="s"/>
      <c r="L244" s="219" t="s"/>
      <c r="M244" s="219" t="s"/>
      <c r="N244" s="219" t="s"/>
    </row>
    <row r="245" spans="1:14" customHeight="true">
      <c r="A245" s="213">
        <f>=B245/13.123</f>
        <v>3.68818105616094</v>
      </c>
      <c r="B245" s="220">
        <v>48.4</v>
      </c>
      <c r="C245" s="253" t="s">
        <v>2420</v>
      </c>
      <c r="D245" s="254" t="s">
        <v>2117</v>
      </c>
      <c r="E245" s="253">
        <v>1067</v>
      </c>
      <c r="F245" s="219" t="s">
        <f>=C245&amp;E245&amp;D245</f>
        <v>2429</v>
      </c>
      <c r="G245" s="255" t="s"/>
      <c r="H245" s="255" t="s"/>
      <c r="I245" s="255" t="s"/>
      <c r="J245" s="255" t="s"/>
      <c r="K245" s="255" t="s"/>
      <c r="L245" s="255" t="s"/>
      <c r="M245" s="255" t="s"/>
      <c r="N245" s="255" t="s"/>
    </row>
    <row r="246" spans="1:14" customHeight="true">
      <c r="A246" s="213">
        <f>=B246/13.123</f>
        <v>2.95054484492875</v>
      </c>
      <c r="B246" s="220">
        <v>38.72</v>
      </c>
      <c r="C246" s="16" t="s">
        <v>2420</v>
      </c>
      <c r="D246" s="252" t="s">
        <v>2089</v>
      </c>
      <c r="E246" s="16">
        <v>1078</v>
      </c>
      <c r="F246" s="219" t="s">
        <f>=C246&amp;E246&amp;D246</f>
        <v>2430</v>
      </c>
      <c r="G246" s="219" t="s"/>
      <c r="H246" s="219" t="s"/>
      <c r="I246" s="219" t="s"/>
      <c r="J246" s="219" t="s"/>
      <c r="K246" s="219" t="s"/>
      <c r="L246" s="219" t="s"/>
      <c r="M246" s="219" t="s"/>
      <c r="N246" s="219" t="s"/>
    </row>
    <row r="247" spans="1:14" customHeight="true">
      <c r="A247" s="213">
        <f>=B247/13.123</f>
        <v>3.04274937133278</v>
      </c>
      <c r="B247" s="220">
        <v>39.93</v>
      </c>
      <c r="C247" s="16" t="s">
        <v>2420</v>
      </c>
      <c r="D247" s="252" t="s">
        <v>2426</v>
      </c>
      <c r="E247" s="16">
        <v>1078</v>
      </c>
      <c r="F247" s="219" t="s">
        <f>=C247&amp;E247&amp;D247</f>
        <v>2431</v>
      </c>
      <c r="G247" s="219" t="s"/>
      <c r="H247" s="219" t="s"/>
      <c r="I247" s="219" t="s"/>
      <c r="J247" s="219" t="s"/>
      <c r="K247" s="219" t="s"/>
      <c r="L247" s="219" t="s"/>
      <c r="M247" s="219" t="s"/>
      <c r="N247" s="219" t="s"/>
    </row>
    <row r="248" spans="1:14" customHeight="true">
      <c r="A248" s="213">
        <f>=B248/13.123</f>
        <v>3.52053646269908</v>
      </c>
      <c r="B248" s="220">
        <v>46.2</v>
      </c>
      <c r="C248" s="16" t="s">
        <v>2420</v>
      </c>
      <c r="D248" s="256">
        <v>0.62</v>
      </c>
      <c r="E248" s="16">
        <v>1080</v>
      </c>
      <c r="F248" s="219" t="s">
        <f>=C248&amp;E248&amp;D248</f>
        <v>2432</v>
      </c>
      <c r="G248" s="219" t="s"/>
      <c r="H248" s="219" t="s"/>
      <c r="I248" s="219" t="s"/>
      <c r="J248" s="219" t="s"/>
      <c r="K248" s="219" t="s"/>
      <c r="L248" s="219" t="s"/>
      <c r="M248" s="219" t="s"/>
      <c r="N248" s="219" t="s"/>
    </row>
    <row r="249" spans="1:14" customHeight="true">
      <c r="A249" s="213">
        <f>=B249/13.123</f>
        <v>2.67393126571668</v>
      </c>
      <c r="B249" s="220">
        <v>35.09</v>
      </c>
      <c r="C249" s="16" t="s">
        <v>2420</v>
      </c>
      <c r="D249" s="256">
        <v>0.64</v>
      </c>
      <c r="E249" s="16">
        <v>1080</v>
      </c>
      <c r="F249" s="219" t="s">
        <f>=C249&amp;E249&amp;D249</f>
        <v>2433</v>
      </c>
      <c r="G249" s="219" t="s"/>
      <c r="H249" s="219" t="s"/>
      <c r="I249" s="219" t="s"/>
      <c r="J249" s="219" t="s"/>
      <c r="K249" s="219" t="s"/>
      <c r="L249" s="219" t="s"/>
      <c r="M249" s="219" t="s"/>
      <c r="N249" s="219" t="s"/>
    </row>
    <row r="250" spans="1:14" customHeight="true">
      <c r="A250" s="213">
        <f>=B250/13.123</f>
        <v>3.46719500114303</v>
      </c>
      <c r="B250" s="220">
        <v>45.5</v>
      </c>
      <c r="C250" s="16" t="s">
        <v>2420</v>
      </c>
      <c r="D250" s="252" t="s">
        <v>2089</v>
      </c>
      <c r="E250" s="16">
        <v>1080</v>
      </c>
      <c r="F250" s="219" t="s">
        <f>=C250&amp;E250&amp;D250</f>
        <v>2434</v>
      </c>
      <c r="G250" s="219" t="s"/>
      <c r="H250" s="219" t="s"/>
      <c r="I250" s="219" t="s"/>
      <c r="J250" s="219" t="s"/>
      <c r="K250" s="219" t="s"/>
      <c r="L250" s="219" t="s"/>
      <c r="M250" s="219" t="s"/>
      <c r="N250" s="219" t="s"/>
    </row>
    <row r="251" spans="1:14" customHeight="true">
      <c r="A251" s="213">
        <f>=B251/13.123</f>
        <v>2.67393126571668</v>
      </c>
      <c r="B251" s="220">
        <v>35.09</v>
      </c>
      <c r="C251" s="16" t="s">
        <v>2420</v>
      </c>
      <c r="D251" s="252" t="s">
        <v>2333</v>
      </c>
      <c r="E251" s="16">
        <v>1080</v>
      </c>
      <c r="F251" s="219" t="s">
        <f>=C251&amp;E251&amp;D251</f>
        <v>2435</v>
      </c>
      <c r="G251" s="219" t="s"/>
      <c r="H251" s="219" t="s"/>
      <c r="I251" s="219" t="s"/>
      <c r="J251" s="219" t="s"/>
      <c r="K251" s="219" t="s"/>
      <c r="L251" s="219" t="s"/>
      <c r="M251" s="219" t="s"/>
      <c r="N251" s="219" t="s"/>
    </row>
    <row r="252" spans="1:14" customHeight="true">
      <c r="A252" s="213">
        <f>=B252/13.123</f>
        <v>2.67393126571668</v>
      </c>
      <c r="B252" s="220">
        <v>35.09</v>
      </c>
      <c r="C252" s="16" t="s">
        <v>2420</v>
      </c>
      <c r="D252" s="252" t="s">
        <v>2422</v>
      </c>
      <c r="E252" s="16">
        <v>1080</v>
      </c>
      <c r="F252" s="219" t="s">
        <f>=C252&amp;E252&amp;D252</f>
        <v>2436</v>
      </c>
      <c r="G252" s="219" t="s"/>
      <c r="H252" s="219" t="s"/>
      <c r="I252" s="219" t="s"/>
      <c r="J252" s="219" t="s"/>
      <c r="K252" s="219" t="s"/>
      <c r="L252" s="219" t="s"/>
      <c r="M252" s="219" t="s"/>
      <c r="N252" s="219" t="s"/>
    </row>
    <row r="253" spans="1:14" customHeight="true">
      <c r="A253" s="213">
        <f>=B253/13.123</f>
        <v>3.78038558256496</v>
      </c>
      <c r="B253" s="220">
        <v>49.61</v>
      </c>
      <c r="C253" s="16" t="s">
        <v>2420</v>
      </c>
      <c r="D253" s="252" t="s">
        <v>2103</v>
      </c>
      <c r="E253" s="16">
        <v>2116</v>
      </c>
      <c r="F253" s="219" t="s">
        <f>=C253&amp;E253&amp;D253</f>
        <v>2437</v>
      </c>
      <c r="G253" s="219" t="s"/>
      <c r="H253" s="219" t="s"/>
      <c r="I253" s="219" t="s"/>
      <c r="J253" s="219" t="s"/>
      <c r="K253" s="219" t="s"/>
      <c r="L253" s="219" t="s"/>
      <c r="M253" s="219" t="s"/>
      <c r="N253" s="219" t="s"/>
    </row>
    <row r="254" spans="1:14" customHeight="true">
      <c r="A254" s="213">
        <f>=B254/13.123</f>
        <v>3.31936295054485</v>
      </c>
      <c r="B254" s="220">
        <v>43.56</v>
      </c>
      <c r="C254" s="16" t="s">
        <v>2420</v>
      </c>
      <c r="D254" s="252" t="s">
        <v>2438</v>
      </c>
      <c r="E254" s="16">
        <v>2116</v>
      </c>
      <c r="F254" s="219" t="s">
        <f>=C254&amp;E254&amp;D254</f>
        <v>2439</v>
      </c>
      <c r="G254" s="219" t="s"/>
      <c r="H254" s="219" t="s"/>
      <c r="I254" s="219" t="s"/>
      <c r="J254" s="219" t="s"/>
      <c r="K254" s="219" t="s"/>
      <c r="L254" s="219" t="s"/>
      <c r="M254" s="219" t="s"/>
      <c r="N254" s="219" t="s"/>
    </row>
    <row r="255" spans="1:14" customHeight="true">
      <c r="A255" s="213">
        <f>=B255/13.123</f>
        <v>3.96479463537301</v>
      </c>
      <c r="B255" s="220">
        <v>52.03</v>
      </c>
      <c r="C255" s="16" t="s">
        <v>2420</v>
      </c>
      <c r="D255" s="252" t="s">
        <v>2105</v>
      </c>
      <c r="E255" s="16">
        <v>2116</v>
      </c>
      <c r="F255" s="219" t="s">
        <f>=C255&amp;E255&amp;D255</f>
        <v>2440</v>
      </c>
      <c r="G255" s="219" t="s"/>
      <c r="H255" s="219" t="s"/>
      <c r="I255" s="219" t="s"/>
      <c r="J255" s="219" t="s"/>
      <c r="K255" s="219" t="s"/>
      <c r="L255" s="219" t="s"/>
      <c r="M255" s="219" t="s"/>
      <c r="N255" s="219" t="s"/>
    </row>
    <row r="256" spans="1:14" customHeight="true">
      <c r="A256" s="213">
        <f>=B256/13.123</f>
        <v>4.10729253981559</v>
      </c>
      <c r="B256" s="220">
        <v>53.9</v>
      </c>
      <c r="C256" s="16" t="s">
        <v>2420</v>
      </c>
      <c r="D256" s="257" t="s">
        <v>2441</v>
      </c>
      <c r="E256" s="16">
        <v>2116</v>
      </c>
      <c r="F256" s="219" t="s">
        <f>=C256&amp;E256&amp;D256</f>
        <v>2442</v>
      </c>
      <c r="G256" s="219" t="s"/>
      <c r="H256" s="219" t="s"/>
      <c r="I256" s="219" t="s"/>
      <c r="J256" s="219" t="s"/>
      <c r="K256" s="219" t="s"/>
      <c r="L256" s="219" t="s"/>
      <c r="M256" s="219" t="s"/>
      <c r="N256" s="219" t="s"/>
    </row>
    <row r="257" spans="1:14" customHeight="true">
      <c r="A257" s="213">
        <f>=B257/13.123</f>
        <v>4.14920368818106</v>
      </c>
      <c r="B257" s="220">
        <v>54.45</v>
      </c>
      <c r="C257" s="16" t="s">
        <v>2420</v>
      </c>
      <c r="D257" s="131" t="s">
        <v>2162</v>
      </c>
      <c r="E257" s="222">
        <v>2116</v>
      </c>
      <c r="F257" s="219" t="s">
        <f>=C257&amp;E257&amp;D257</f>
        <v>2443</v>
      </c>
      <c r="G257" s="219" t="s"/>
      <c r="H257" s="219" t="s"/>
      <c r="I257" s="219" t="s"/>
      <c r="J257" s="219" t="s"/>
      <c r="K257" s="219" t="s"/>
      <c r="L257" s="219" t="s"/>
      <c r="M257" s="219" t="s"/>
      <c r="N257" s="219" t="s"/>
    </row>
    <row r="258" spans="1:14" customHeight="true">
      <c r="A258" s="213">
        <f>=B258/13.123</f>
        <v>4.15834793873352</v>
      </c>
      <c r="B258" s="220">
        <v>54.57</v>
      </c>
      <c r="C258" s="16" t="s">
        <v>2420</v>
      </c>
      <c r="D258" s="16" t="s">
        <v>2105</v>
      </c>
      <c r="E258" s="16">
        <v>3313</v>
      </c>
      <c r="F258" s="219" t="s">
        <f>=C258&amp;E258&amp;D258</f>
        <v>2444</v>
      </c>
      <c r="G258" s="219" t="s"/>
      <c r="H258" s="219" t="s"/>
      <c r="I258" s="219" t="s"/>
      <c r="J258" s="219" t="s"/>
      <c r="K258" s="219" t="s"/>
      <c r="L258" s="219" t="s"/>
      <c r="M258" s="219" t="s"/>
      <c r="N258" s="219" t="s"/>
    </row>
    <row r="259" spans="1:14" customHeight="true">
      <c r="A259" s="213">
        <f>=B259/13.123</f>
        <v>3.50377200335289</v>
      </c>
      <c r="B259" s="220">
        <v>45.98</v>
      </c>
      <c r="C259" s="16" t="s">
        <v>2420</v>
      </c>
      <c r="D259" s="16" t="s">
        <v>2130</v>
      </c>
      <c r="E259" s="16">
        <v>3313</v>
      </c>
      <c r="F259" s="219" t="s">
        <f>=C259&amp;E259&amp;D259</f>
        <v>2445</v>
      </c>
      <c r="G259" s="219" t="s"/>
      <c r="H259" s="219" t="s"/>
      <c r="I259" s="219" t="s"/>
      <c r="J259" s="219" t="s"/>
      <c r="K259" s="219" t="s"/>
      <c r="L259" s="219" t="s"/>
      <c r="M259" s="219" t="s"/>
      <c r="N259" s="219" t="s"/>
    </row>
    <row r="260" spans="1:14" customHeight="true">
      <c r="A260" s="213">
        <f>=B260/13.123</f>
        <v>3.50377200335289</v>
      </c>
      <c r="B260" s="220">
        <v>45.98</v>
      </c>
      <c r="C260" s="16" t="s">
        <v>2420</v>
      </c>
      <c r="D260" s="252" t="s">
        <v>2173</v>
      </c>
      <c r="E260" s="16">
        <v>3313</v>
      </c>
      <c r="F260" s="219" t="s">
        <f>=C260&amp;E260&amp;D260</f>
        <v>2446</v>
      </c>
      <c r="G260" s="219" t="s"/>
      <c r="H260" s="219" t="s"/>
      <c r="I260" s="219" t="s"/>
      <c r="J260" s="219" t="s"/>
      <c r="K260" s="219" t="s"/>
      <c r="L260" s="219" t="s"/>
      <c r="M260" s="219" t="s"/>
      <c r="N260" s="219" t="s"/>
    </row>
    <row r="261" spans="1:14" customHeight="true">
      <c r="A261" s="213">
        <f>=B261/13.123</f>
        <v>3.68818105616094</v>
      </c>
      <c r="B261" s="220">
        <v>48.4</v>
      </c>
      <c r="C261" s="253" t="s">
        <v>2420</v>
      </c>
      <c r="D261" s="254" t="s">
        <v>2087</v>
      </c>
      <c r="E261" s="253">
        <v>3313</v>
      </c>
      <c r="F261" s="219" t="s">
        <f>=C261&amp;E261&amp;D261</f>
        <v>2447</v>
      </c>
      <c r="G261" s="255" t="s"/>
      <c r="H261" s="255" t="s"/>
      <c r="I261" s="255" t="s"/>
      <c r="J261" s="255" t="s"/>
      <c r="K261" s="255" t="s"/>
      <c r="L261" s="255" t="s"/>
      <c r="M261" s="255" t="s"/>
      <c r="N261" s="255" t="s"/>
    </row>
    <row r="262" spans="1:14" customHeight="true">
      <c r="A262" s="213">
        <f>=B262/13.123</f>
        <v>3.87259010896899</v>
      </c>
      <c r="B262" s="220">
        <v>50.82</v>
      </c>
      <c r="C262" s="16" t="s">
        <v>2448</v>
      </c>
      <c r="D262" s="16" t="s">
        <v>2261</v>
      </c>
      <c r="E262" s="16">
        <v>1067</v>
      </c>
      <c r="F262" s="219" t="s">
        <f>=C262&amp;E262&amp;D262</f>
        <v>2449</v>
      </c>
      <c r="G262" s="219" t="s"/>
      <c r="H262" s="219" t="s"/>
      <c r="I262" s="219" t="s"/>
      <c r="J262" s="219" t="s"/>
      <c r="K262" s="219" t="s"/>
      <c r="L262" s="219" t="s"/>
      <c r="M262" s="219" t="s"/>
      <c r="N262" s="219" t="s"/>
    </row>
    <row r="263" spans="1:14" customHeight="true">
      <c r="A263" s="213">
        <f>=B263/13.123</f>
        <v>3.41156747694887</v>
      </c>
      <c r="B263" s="220">
        <v>44.77</v>
      </c>
      <c r="C263" s="16" t="s">
        <v>2448</v>
      </c>
      <c r="D263" s="16" t="s">
        <v>2403</v>
      </c>
      <c r="E263" s="16">
        <v>1078</v>
      </c>
      <c r="F263" s="219" t="s">
        <f>=C263&amp;E263&amp;D263</f>
        <v>2450</v>
      </c>
      <c r="G263" s="219" t="s"/>
      <c r="H263" s="219" t="s"/>
      <c r="I263" s="219" t="s"/>
      <c r="J263" s="219" t="s"/>
      <c r="K263" s="219" t="s"/>
      <c r="L263" s="219" t="s"/>
      <c r="M263" s="219" t="s"/>
      <c r="N263" s="219" t="s"/>
    </row>
    <row r="264" spans="1:14" customHeight="true">
      <c r="A264" s="213">
        <f>=B264/13.123</f>
        <v>3.22715842414082</v>
      </c>
      <c r="B264" s="220">
        <v>42.35</v>
      </c>
      <c r="C264" s="16" t="s">
        <v>2448</v>
      </c>
      <c r="D264" s="16" t="s">
        <v>2403</v>
      </c>
      <c r="E264" s="16">
        <v>1080</v>
      </c>
      <c r="F264" s="219" t="s">
        <f>=C264&amp;E264&amp;D264</f>
        <v>2451</v>
      </c>
      <c r="G264" s="219" t="s"/>
      <c r="H264" s="219" t="s"/>
      <c r="I264" s="219" t="s"/>
      <c r="J264" s="219" t="s"/>
      <c r="K264" s="219" t="s"/>
      <c r="L264" s="219" t="s"/>
      <c r="M264" s="219" t="s"/>
      <c r="N264" s="219" t="s"/>
    </row>
    <row r="265" spans="1:14" customHeight="true">
      <c r="A265" s="213">
        <f>=B265/13.123</f>
        <v>3.50377200335289</v>
      </c>
      <c r="B265" s="220">
        <v>45.98</v>
      </c>
      <c r="C265" s="16" t="s">
        <v>2448</v>
      </c>
      <c r="D265" s="16" t="s">
        <v>2122</v>
      </c>
      <c r="E265" s="16">
        <v>1080</v>
      </c>
      <c r="F265" s="219" t="s">
        <f>=C265&amp;E265&amp;D265</f>
        <v>2452</v>
      </c>
      <c r="G265" s="219" t="s"/>
      <c r="H265" s="219" t="s"/>
      <c r="I265" s="219" t="s"/>
      <c r="J265" s="219" t="s"/>
      <c r="K265" s="219" t="s"/>
      <c r="L265" s="219" t="s"/>
      <c r="M265" s="219" t="s"/>
      <c r="N265" s="219" t="s"/>
    </row>
    <row r="266" spans="1:14" customHeight="true">
      <c r="A266" s="213">
        <f>=B266/13.123</f>
        <v>4.24140821458508</v>
      </c>
      <c r="B266" s="220">
        <v>55.66</v>
      </c>
      <c r="C266" s="16" t="s">
        <v>2448</v>
      </c>
      <c r="D266" s="16" t="s">
        <v>2301</v>
      </c>
      <c r="E266" s="16">
        <v>2116</v>
      </c>
      <c r="F266" s="219" t="s">
        <f>=C266&amp;E266&amp;D266</f>
        <v>2453</v>
      </c>
      <c r="G266" s="219" t="s"/>
      <c r="H266" s="219" t="s"/>
      <c r="I266" s="219" t="s"/>
      <c r="J266" s="219" t="s"/>
      <c r="K266" s="219" t="s"/>
      <c r="L266" s="219" t="s"/>
      <c r="M266" s="219" t="s"/>
      <c r="N266" s="219" t="s"/>
    </row>
    <row r="267" spans="1:14" customHeight="true">
      <c r="A267" s="213">
        <f>=B267/13.123</f>
        <v>4.05699916177703</v>
      </c>
      <c r="B267" s="220">
        <v>53.24</v>
      </c>
      <c r="C267" s="16" t="s">
        <v>2448</v>
      </c>
      <c r="D267" s="16" t="s">
        <v>2173</v>
      </c>
      <c r="E267" s="16">
        <v>3313</v>
      </c>
      <c r="F267" s="219" t="s">
        <f>=C267&amp;E267&amp;D267</f>
        <v>2454</v>
      </c>
      <c r="G267" s="219" t="s"/>
      <c r="H267" s="219" t="s"/>
      <c r="I267" s="219" t="s"/>
      <c r="J267" s="219" t="s"/>
      <c r="K267" s="219" t="s"/>
      <c r="L267" s="219" t="s"/>
      <c r="M267" s="219" t="s"/>
      <c r="N267" s="219" t="s"/>
    </row>
    <row r="268" spans="1:14" customHeight="true">
      <c r="A268" s="236">
        <f>=B268/13.123</f>
        <v>4.86169321039397</v>
      </c>
      <c r="B268" s="258">
        <v>63.8</v>
      </c>
      <c r="C268" s="13" t="s">
        <v>2455</v>
      </c>
      <c r="D268" s="12" t="s">
        <v>2185</v>
      </c>
      <c r="E268" s="11">
        <v>106</v>
      </c>
      <c r="F268" s="216" t="s">
        <f>=C268&amp;E268&amp;D268</f>
        <v>2456</v>
      </c>
      <c r="G268" s="216" t="s"/>
      <c r="H268" s="216" t="s"/>
      <c r="I268" s="216" t="s"/>
      <c r="J268" s="216" t="s"/>
      <c r="K268" s="216" t="s"/>
      <c r="L268" s="216" t="s"/>
      <c r="M268" s="216" t="s"/>
      <c r="N268" s="216" t="s"/>
    </row>
    <row r="269" spans="1:14" customHeight="true">
      <c r="A269" s="213">
        <f>=B269/13.123</f>
        <v>5.28080469404862</v>
      </c>
      <c r="B269" s="220">
        <v>69.3</v>
      </c>
      <c r="C269" s="16" t="s">
        <v>2455</v>
      </c>
      <c r="D269" s="16" t="s">
        <v>2144</v>
      </c>
      <c r="E269" s="16">
        <v>106</v>
      </c>
      <c r="F269" s="219" t="s">
        <f>=C269&amp;E269&amp;D269</f>
        <v>2457</v>
      </c>
      <c r="G269" s="219" t="s"/>
      <c r="H269" s="219" t="s"/>
      <c r="I269" s="219" t="s"/>
      <c r="J269" s="219" t="s"/>
      <c r="K269" s="219" t="s"/>
      <c r="L269" s="219" t="s"/>
      <c r="M269" s="219" t="s"/>
      <c r="N269" s="219" t="s"/>
    </row>
    <row r="270" spans="1:14" customHeight="true">
      <c r="A270" s="213">
        <f>=B270/13.123</f>
        <v>5.32271584241408</v>
      </c>
      <c r="B270" s="220">
        <v>69.85</v>
      </c>
      <c r="C270" s="16" t="s">
        <v>2455</v>
      </c>
      <c r="D270" s="16" t="s">
        <v>2117</v>
      </c>
      <c r="E270" s="16">
        <v>106</v>
      </c>
      <c r="F270" s="219" t="s">
        <f>=C270&amp;E270&amp;D270</f>
        <v>2458</v>
      </c>
      <c r="G270" s="219" t="s"/>
      <c r="H270" s="219" t="s"/>
      <c r="I270" s="219" t="s"/>
      <c r="J270" s="219" t="s"/>
      <c r="K270" s="219" t="s"/>
      <c r="L270" s="219" t="s"/>
      <c r="M270" s="219" t="s"/>
      <c r="N270" s="219" t="s"/>
    </row>
    <row r="271" spans="1:14" customHeight="true">
      <c r="A271" s="213">
        <f>=B271/13.123</f>
        <v>5.44844928751048</v>
      </c>
      <c r="B271" s="220">
        <v>71.5</v>
      </c>
      <c r="C271" s="16" t="s">
        <v>2455</v>
      </c>
      <c r="D271" s="16" t="s">
        <v>2459</v>
      </c>
      <c r="E271" s="16">
        <v>106</v>
      </c>
      <c r="F271" s="219" t="s">
        <f>=C271&amp;E271&amp;D271</f>
        <v>2460</v>
      </c>
      <c r="G271" s="219" t="s"/>
      <c r="H271" s="219" t="s"/>
      <c r="I271" s="219" t="s"/>
      <c r="J271" s="219" t="s"/>
      <c r="K271" s="219" t="s"/>
      <c r="L271" s="219" t="s"/>
      <c r="M271" s="219" t="s"/>
      <c r="N271" s="219" t="s"/>
    </row>
    <row r="272" spans="1:14" customHeight="true">
      <c r="A272" s="213">
        <f>=B272/13.123</f>
        <v>5.11316010058676</v>
      </c>
      <c r="B272" s="220">
        <v>67.1</v>
      </c>
      <c r="C272" s="16" t="s">
        <v>2455</v>
      </c>
      <c r="D272" s="16" t="s">
        <v>2365</v>
      </c>
      <c r="E272" s="16">
        <v>1035</v>
      </c>
      <c r="F272" s="219" t="s">
        <f>=C272&amp;E272&amp;D272</f>
        <v>2461</v>
      </c>
      <c r="G272" s="219" t="s"/>
      <c r="H272" s="219" t="s"/>
      <c r="I272" s="219" t="s"/>
      <c r="J272" s="219" t="s"/>
      <c r="K272" s="219" t="s"/>
      <c r="L272" s="219" t="s"/>
      <c r="M272" s="219" t="s"/>
      <c r="N272" s="219" t="s"/>
    </row>
    <row r="273" spans="1:14" customHeight="true">
      <c r="A273" s="213">
        <f>=B273/13.123</f>
        <v>5.36462699077955</v>
      </c>
      <c r="B273" s="220">
        <v>70.4</v>
      </c>
      <c r="C273" s="16" t="s">
        <v>2455</v>
      </c>
      <c r="D273" s="16" t="s">
        <v>2323</v>
      </c>
      <c r="E273" s="16">
        <v>1035</v>
      </c>
      <c r="F273" s="219" t="s">
        <f>=C273&amp;E273&amp;D273</f>
        <v>2462</v>
      </c>
      <c r="G273" s="219" t="s"/>
      <c r="H273" s="219" t="s"/>
      <c r="I273" s="219" t="s"/>
      <c r="J273" s="219" t="s"/>
      <c r="K273" s="219" t="s"/>
      <c r="L273" s="219" t="s"/>
      <c r="M273" s="219" t="s"/>
      <c r="N273" s="219" t="s"/>
    </row>
    <row r="274" spans="1:14" customHeight="true">
      <c r="A274" s="213">
        <f>=B274/13.123</f>
        <v>5.11316010058676</v>
      </c>
      <c r="B274" s="220">
        <v>67.1</v>
      </c>
      <c r="C274" s="16" t="s">
        <v>2455</v>
      </c>
      <c r="D274" s="16" t="s">
        <v>2122</v>
      </c>
      <c r="E274" s="16">
        <v>1037</v>
      </c>
      <c r="F274" s="219" t="s">
        <f>=C274&amp;E274&amp;D274</f>
        <v>2463</v>
      </c>
      <c r="G274" s="219" t="s"/>
      <c r="H274" s="219" t="s"/>
      <c r="I274" s="219" t="s"/>
      <c r="J274" s="219" t="s"/>
      <c r="K274" s="219" t="s"/>
      <c r="L274" s="219" t="s"/>
      <c r="M274" s="219" t="s"/>
      <c r="N274" s="219" t="s"/>
    </row>
    <row r="275" spans="1:14" customHeight="true">
      <c r="A275" s="213">
        <f>=B275/13.123</f>
        <v>7.79547359597653</v>
      </c>
      <c r="B275" s="220">
        <v>102.3</v>
      </c>
      <c r="C275" s="16" t="s">
        <v>2455</v>
      </c>
      <c r="D275" s="16" t="s">
        <v>2117</v>
      </c>
      <c r="E275" s="16">
        <v>1067</v>
      </c>
      <c r="F275" s="219" t="s">
        <f>=C275&amp;E275&amp;D275</f>
        <v>2464</v>
      </c>
      <c r="G275" s="219" t="s"/>
      <c r="H275" s="219" t="s"/>
      <c r="I275" s="219" t="s"/>
      <c r="J275" s="219" t="s"/>
      <c r="K275" s="219" t="s"/>
      <c r="L275" s="219" t="s"/>
      <c r="M275" s="219" t="s"/>
      <c r="N275" s="219" t="s"/>
    </row>
    <row r="276" spans="1:14" customHeight="true">
      <c r="A276" s="213">
        <f>=B276/13.123</f>
        <v>7.54400670578374</v>
      </c>
      <c r="B276" s="220">
        <v>99</v>
      </c>
      <c r="C276" s="16" t="s">
        <v>2455</v>
      </c>
      <c r="D276" s="131" t="s">
        <v>2185</v>
      </c>
      <c r="E276" s="16">
        <v>1067</v>
      </c>
      <c r="F276" s="219" t="s">
        <f>=C276&amp;E276&amp;D276</f>
        <v>2465</v>
      </c>
      <c r="G276" s="219" t="s"/>
      <c r="H276" s="219" t="s"/>
      <c r="I276" s="219" t="s"/>
      <c r="J276" s="219" t="s"/>
      <c r="K276" s="219" t="s"/>
      <c r="L276" s="219" t="s"/>
      <c r="M276" s="219" t="s"/>
      <c r="N276" s="219" t="s"/>
    </row>
    <row r="277" spans="1:14" customHeight="true">
      <c r="A277" s="213">
        <f>=B277/13.123</f>
        <v>6.70578373847444</v>
      </c>
      <c r="B277" s="220">
        <v>88</v>
      </c>
      <c r="C277" s="16" t="s">
        <v>2455</v>
      </c>
      <c r="D277" s="16" t="s">
        <v>2089</v>
      </c>
      <c r="E277" s="16">
        <v>1067</v>
      </c>
      <c r="F277" s="219" t="s">
        <f>=C277&amp;E277&amp;D277</f>
        <v>2466</v>
      </c>
      <c r="G277" s="219" t="s"/>
      <c r="H277" s="219" t="s"/>
      <c r="I277" s="219" t="s"/>
      <c r="J277" s="219" t="s"/>
      <c r="K277" s="219" t="s"/>
      <c r="L277" s="219" t="s"/>
      <c r="M277" s="219" t="s"/>
      <c r="N277" s="219" t="s"/>
    </row>
    <row r="278" spans="1:14" customHeight="true">
      <c r="A278" s="213">
        <f>=B278/13.123</f>
        <v>4.86169321039397</v>
      </c>
      <c r="B278" s="220">
        <v>63.8</v>
      </c>
      <c r="C278" s="16" t="s">
        <v>2455</v>
      </c>
      <c r="D278" s="16" t="s">
        <v>2151</v>
      </c>
      <c r="E278" s="16">
        <v>1078</v>
      </c>
      <c r="F278" s="219" t="s">
        <f>=C278&amp;E278&amp;D278</f>
        <v>2467</v>
      </c>
      <c r="G278" s="219" t="s"/>
      <c r="H278" s="219" t="s"/>
      <c r="I278" s="219" t="s"/>
      <c r="J278" s="219" t="s"/>
      <c r="K278" s="219" t="s"/>
      <c r="L278" s="219" t="s"/>
      <c r="M278" s="219" t="s"/>
      <c r="N278" s="219" t="s"/>
    </row>
    <row r="279" spans="1:14" customHeight="true">
      <c r="A279" s="213">
        <f>=B279/13.123</f>
        <v>7.12489522212909</v>
      </c>
      <c r="B279" s="220">
        <v>93.5</v>
      </c>
      <c r="C279" s="16" t="s">
        <v>2455</v>
      </c>
      <c r="D279" s="16" t="s">
        <v>2091</v>
      </c>
      <c r="E279" s="16">
        <v>1078</v>
      </c>
      <c r="F279" s="219" t="s">
        <f>=C279&amp;E279&amp;D279</f>
        <v>2468</v>
      </c>
      <c r="G279" s="219" t="s"/>
      <c r="H279" s="219" t="s"/>
      <c r="I279" s="219" t="s"/>
      <c r="J279" s="219" t="s"/>
      <c r="K279" s="219" t="s"/>
      <c r="L279" s="219" t="s"/>
      <c r="M279" s="219" t="s"/>
      <c r="N279" s="219" t="s"/>
    </row>
    <row r="280" spans="1:14" customHeight="true">
      <c r="A280" s="213">
        <f>=B280/13.123</f>
        <v>7.29253981559095</v>
      </c>
      <c r="B280" s="220">
        <v>95.7</v>
      </c>
      <c r="C280" s="16" t="s">
        <v>2455</v>
      </c>
      <c r="D280" s="16" t="s">
        <v>2261</v>
      </c>
      <c r="E280" s="16">
        <v>1078</v>
      </c>
      <c r="F280" s="219" t="s">
        <f>=C280&amp;E280&amp;D280</f>
        <v>2469</v>
      </c>
      <c r="G280" s="219" t="s"/>
      <c r="H280" s="219" t="s"/>
      <c r="I280" s="219" t="s"/>
      <c r="J280" s="219" t="s"/>
      <c r="K280" s="219" t="s"/>
      <c r="L280" s="219" t="s"/>
      <c r="M280" s="219" t="s"/>
      <c r="N280" s="219" t="s"/>
    </row>
    <row r="281" spans="1:14" customHeight="true">
      <c r="A281" s="213">
        <f>=B281/13.123</f>
        <v>5.11316010058676</v>
      </c>
      <c r="B281" s="220">
        <v>67.1</v>
      </c>
      <c r="C281" s="16" t="s">
        <v>2455</v>
      </c>
      <c r="D281" s="16" t="s">
        <v>2221</v>
      </c>
      <c r="E281" s="16">
        <v>1080</v>
      </c>
      <c r="F281" s="219" t="s">
        <f>=C281&amp;E281&amp;D281</f>
        <v>2470</v>
      </c>
      <c r="G281" s="219" t="s"/>
      <c r="H281" s="219" t="s"/>
      <c r="I281" s="219" t="s"/>
      <c r="J281" s="219" t="s"/>
      <c r="K281" s="219" t="s"/>
      <c r="L281" s="219" t="s"/>
      <c r="M281" s="219" t="s"/>
      <c r="N281" s="219" t="s"/>
    </row>
    <row r="282" spans="1:14" customHeight="true">
      <c r="A282" s="213">
        <f>=B282/13.123</f>
        <v>5.28080469404862</v>
      </c>
      <c r="B282" s="220">
        <v>69.3</v>
      </c>
      <c r="C282" s="16" t="s">
        <v>2455</v>
      </c>
      <c r="D282" s="16" t="s">
        <v>2151</v>
      </c>
      <c r="E282" s="16">
        <v>1080</v>
      </c>
      <c r="F282" s="219" t="s">
        <f>=C282&amp;E282&amp;D282</f>
        <v>2471</v>
      </c>
      <c r="G282" s="219" t="s"/>
      <c r="H282" s="219" t="s"/>
      <c r="I282" s="219" t="s"/>
      <c r="J282" s="219" t="s"/>
      <c r="K282" s="219" t="s"/>
      <c r="L282" s="219" t="s"/>
      <c r="M282" s="219" t="s"/>
      <c r="N282" s="219" t="s"/>
    </row>
    <row r="283" spans="1:14" customHeight="true">
      <c r="A283" s="213">
        <f>=B283/13.123</f>
        <v>5.53227158424141</v>
      </c>
      <c r="B283" s="220">
        <v>72.6</v>
      </c>
      <c r="C283" s="16" t="s">
        <v>2455</v>
      </c>
      <c r="D283" s="16" t="s">
        <v>2091</v>
      </c>
      <c r="E283" s="16">
        <v>1080</v>
      </c>
      <c r="F283" s="219" t="s">
        <f>=C283&amp;E283&amp;D283</f>
        <v>2472</v>
      </c>
      <c r="G283" s="219" t="s"/>
      <c r="H283" s="219" t="s"/>
      <c r="I283" s="219" t="s"/>
      <c r="J283" s="219" t="s"/>
      <c r="K283" s="219" t="s"/>
      <c r="L283" s="219" t="s"/>
      <c r="M283" s="219" t="s"/>
      <c r="N283" s="219" t="s"/>
    </row>
    <row r="284" spans="1:14" customHeight="true">
      <c r="A284" s="213">
        <f>=B284/13.123</f>
        <v>6.37049455155071</v>
      </c>
      <c r="B284" s="220">
        <v>83.6</v>
      </c>
      <c r="C284" s="16" t="s">
        <v>2455</v>
      </c>
      <c r="D284" s="16" t="s">
        <v>2290</v>
      </c>
      <c r="E284" s="16">
        <v>1080</v>
      </c>
      <c r="F284" s="219" t="s">
        <f>=C284&amp;E284&amp;D284</f>
        <v>2473</v>
      </c>
      <c r="G284" s="219" t="s"/>
      <c r="H284" s="219" t="s"/>
      <c r="I284" s="219" t="s"/>
      <c r="J284" s="219" t="s"/>
      <c r="K284" s="219" t="s"/>
      <c r="L284" s="219" t="s"/>
      <c r="M284" s="219" t="s"/>
      <c r="N284" s="219" t="s"/>
    </row>
    <row r="285" spans="1:14" customHeight="true">
      <c r="A285" s="213">
        <f>=B285/13.123</f>
        <v>6.93210393964795</v>
      </c>
      <c r="B285" s="220">
        <v>90.97</v>
      </c>
      <c r="C285" s="16" t="s">
        <v>2455</v>
      </c>
      <c r="D285" s="16" t="s">
        <v>2085</v>
      </c>
      <c r="E285" s="16">
        <v>1080</v>
      </c>
      <c r="F285" s="219" t="s">
        <f>=C285&amp;E285&amp;D285</f>
        <v>2474</v>
      </c>
      <c r="G285" s="219" t="s"/>
      <c r="H285" s="219" t="s"/>
      <c r="I285" s="219" t="s"/>
      <c r="J285" s="219" t="s"/>
      <c r="K285" s="219" t="s"/>
      <c r="L285" s="219" t="s"/>
      <c r="M285" s="219" t="s"/>
      <c r="N285" s="219" t="s"/>
    </row>
    <row r="286" spans="1:14" customHeight="true">
      <c r="A286" s="213">
        <f>=B286/13.123</f>
        <v>7.25062866722548</v>
      </c>
      <c r="B286" s="220">
        <v>95.15</v>
      </c>
      <c r="C286" s="16" t="s">
        <v>2455</v>
      </c>
      <c r="D286" s="16" t="s">
        <v>2261</v>
      </c>
      <c r="E286" s="16">
        <v>1080</v>
      </c>
      <c r="F286" s="219" t="s">
        <f>=C286&amp;E286&amp;D286</f>
        <v>2475</v>
      </c>
      <c r="G286" s="219" t="s"/>
      <c r="H286" s="219" t="s"/>
      <c r="I286" s="219" t="s"/>
      <c r="J286" s="219" t="s"/>
      <c r="K286" s="219" t="s"/>
      <c r="L286" s="219" t="s"/>
      <c r="M286" s="219" t="s"/>
      <c r="N286" s="219" t="s"/>
    </row>
    <row r="287" spans="1:14" customHeight="true">
      <c r="A287" s="213">
        <f>=B287/13.123</f>
        <v>6.8734283319363</v>
      </c>
      <c r="B287" s="220">
        <v>90.2</v>
      </c>
      <c r="C287" s="16" t="s">
        <v>2455</v>
      </c>
      <c r="D287" s="16" t="s">
        <v>2103</v>
      </c>
      <c r="E287" s="16">
        <v>2116</v>
      </c>
      <c r="F287" s="219" t="s">
        <f>=C287&amp;E287&amp;D287</f>
        <v>2476</v>
      </c>
      <c r="G287" s="219" t="s"/>
      <c r="H287" s="219" t="s"/>
      <c r="I287" s="219" t="s"/>
      <c r="J287" s="219" t="s"/>
      <c r="K287" s="219" t="s"/>
      <c r="L287" s="219" t="s"/>
      <c r="M287" s="219" t="s"/>
      <c r="N287" s="219" t="s"/>
    </row>
    <row r="288" spans="1:14" customHeight="true">
      <c r="A288" s="213">
        <f>=B288/13.123</f>
        <v>6.8734283319363</v>
      </c>
      <c r="B288" s="220">
        <v>90.2</v>
      </c>
      <c r="C288" s="16" t="s">
        <v>2455</v>
      </c>
      <c r="D288" s="16" t="s">
        <v>2166</v>
      </c>
      <c r="E288" s="16">
        <v>2116</v>
      </c>
      <c r="F288" s="219" t="s">
        <f>=C288&amp;E288&amp;D288</f>
        <v>2477</v>
      </c>
      <c r="G288" s="219" t="s"/>
      <c r="H288" s="219" t="s"/>
      <c r="I288" s="219" t="s"/>
      <c r="J288" s="219" t="s"/>
      <c r="K288" s="219" t="s"/>
      <c r="L288" s="219" t="s"/>
      <c r="M288" s="219" t="s"/>
      <c r="N288" s="219" t="s"/>
    </row>
    <row r="289" spans="1:14" customHeight="true">
      <c r="A289" s="213">
        <f>=B289/13.123</f>
        <v>7.12489522212909</v>
      </c>
      <c r="B289" s="220">
        <v>93.5</v>
      </c>
      <c r="C289" s="16" t="s">
        <v>2455</v>
      </c>
      <c r="D289" s="16" t="s">
        <v>2310</v>
      </c>
      <c r="E289" s="16">
        <v>2116</v>
      </c>
      <c r="F289" s="219" t="s">
        <f>=C289&amp;E289&amp;D289</f>
        <v>2478</v>
      </c>
      <c r="G289" s="219" t="s"/>
      <c r="H289" s="219" t="s"/>
      <c r="I289" s="219" t="s"/>
      <c r="J289" s="219" t="s"/>
      <c r="K289" s="219" t="s"/>
      <c r="L289" s="219" t="s"/>
      <c r="M289" s="219" t="s"/>
      <c r="N289" s="219" t="s"/>
    </row>
    <row r="290" spans="1:14" customHeight="true">
      <c r="A290" s="213">
        <f>=B290/13.123</f>
        <v>8.8013411567477</v>
      </c>
      <c r="B290" s="220">
        <v>115.5</v>
      </c>
      <c r="C290" s="16" t="s">
        <v>2455</v>
      </c>
      <c r="D290" s="16" t="s">
        <v>2130</v>
      </c>
      <c r="E290" s="16">
        <v>2116</v>
      </c>
      <c r="F290" s="219" t="s">
        <f>=C290&amp;E290&amp;D290</f>
        <v>2479</v>
      </c>
      <c r="G290" s="219" t="s"/>
      <c r="H290" s="219" t="s"/>
      <c r="I290" s="219" t="s"/>
      <c r="J290" s="219" t="s"/>
      <c r="K290" s="219" t="s"/>
      <c r="L290" s="219" t="s"/>
      <c r="M290" s="219" t="s"/>
      <c r="N290" s="219" t="s"/>
    </row>
    <row r="291" spans="1:14" customHeight="true">
      <c r="A291" s="213">
        <f>=B291/13.123</f>
        <v>7.54400670578374</v>
      </c>
      <c r="B291" s="220">
        <v>99</v>
      </c>
      <c r="C291" s="16" t="s">
        <v>2455</v>
      </c>
      <c r="D291" s="16" t="s">
        <v>2480</v>
      </c>
      <c r="E291" s="16">
        <v>3313</v>
      </c>
      <c r="F291" s="219" t="s">
        <f>=C291&amp;E291&amp;D291</f>
        <v>2481</v>
      </c>
      <c r="G291" s="219" t="s"/>
      <c r="H291" s="219" t="s"/>
      <c r="I291" s="219" t="s"/>
      <c r="J291" s="219" t="s"/>
      <c r="K291" s="219" t="s"/>
      <c r="L291" s="219" t="s"/>
      <c r="M291" s="219" t="s"/>
      <c r="N291" s="219" t="s"/>
    </row>
    <row r="292" spans="1:14" customHeight="true">
      <c r="A292" s="213">
        <f>=B292/13.123</f>
        <v>7.7116512992456</v>
      </c>
      <c r="B292" s="220">
        <v>101.2</v>
      </c>
      <c r="C292" s="16" t="s">
        <v>2455</v>
      </c>
      <c r="D292" s="16" t="s">
        <v>2173</v>
      </c>
      <c r="E292" s="16">
        <v>3313</v>
      </c>
      <c r="F292" s="219" t="s">
        <f>=C292&amp;E292&amp;D292</f>
        <v>2482</v>
      </c>
      <c r="G292" s="219" t="s"/>
      <c r="H292" s="219" t="s"/>
      <c r="I292" s="219" t="s"/>
      <c r="J292" s="219" t="s"/>
      <c r="K292" s="219" t="s"/>
      <c r="L292" s="219" t="s"/>
      <c r="M292" s="219" t="s"/>
      <c r="N292" s="219" t="s"/>
    </row>
    <row r="293" spans="1:14" customHeight="true">
      <c r="A293" s="213">
        <f>=B293/13.123</f>
        <v>8.54987426655491</v>
      </c>
      <c r="B293" s="220">
        <v>112.2</v>
      </c>
      <c r="C293" s="16" t="s">
        <v>2483</v>
      </c>
      <c r="D293" s="16" t="s">
        <v>2484</v>
      </c>
      <c r="E293" s="16">
        <v>1035</v>
      </c>
      <c r="F293" s="219" t="s">
        <f>=C293&amp;E293&amp;D293</f>
        <v>2485</v>
      </c>
      <c r="G293" s="219" t="s"/>
      <c r="H293" s="219" t="s"/>
      <c r="I293" s="219" t="s"/>
      <c r="J293" s="219" t="s"/>
      <c r="K293" s="219" t="s"/>
      <c r="L293" s="219" t="s"/>
      <c r="M293" s="219" t="s"/>
      <c r="N293" s="219" t="s"/>
    </row>
    <row r="294" spans="1:14" customHeight="true">
      <c r="A294" s="213">
        <f>=B294/13.123</f>
        <v>8.8013411567477</v>
      </c>
      <c r="B294" s="220">
        <v>115.5</v>
      </c>
      <c r="C294" s="16" t="s">
        <v>2483</v>
      </c>
      <c r="D294" s="16" t="s">
        <v>2486</v>
      </c>
      <c r="E294" s="16">
        <v>1035</v>
      </c>
      <c r="F294" s="219" t="s">
        <f>=C294&amp;E294&amp;D294</f>
        <v>2487</v>
      </c>
      <c r="G294" s="219" t="s"/>
      <c r="H294" s="219" t="s"/>
      <c r="I294" s="219" t="s"/>
      <c r="J294" s="219" t="s"/>
      <c r="K294" s="219" t="s"/>
      <c r="L294" s="219" t="s"/>
      <c r="M294" s="219" t="s"/>
      <c r="N294" s="219" t="s"/>
    </row>
    <row r="295" spans="1:14" customHeight="true">
      <c r="A295" s="213">
        <f>=B295/13.123</f>
        <v>9.22045264040235</v>
      </c>
      <c r="B295" s="220">
        <v>121</v>
      </c>
      <c r="C295" s="16" t="s">
        <v>2483</v>
      </c>
      <c r="D295" s="16" t="s">
        <v>2488</v>
      </c>
      <c r="E295" s="16">
        <v>1035</v>
      </c>
      <c r="F295" s="219" t="s">
        <f>=C295&amp;E295&amp;D295</f>
        <v>2489</v>
      </c>
      <c r="G295" s="219" t="s"/>
      <c r="H295" s="219" t="s"/>
      <c r="I295" s="219" t="s"/>
      <c r="J295" s="219" t="s"/>
      <c r="K295" s="219" t="s"/>
      <c r="L295" s="219" t="s"/>
      <c r="M295" s="219" t="s"/>
      <c r="N295" s="219" t="s"/>
    </row>
    <row r="296" spans="1:14" customHeight="true">
      <c r="A296" s="213">
        <f>=B296/13.123</f>
        <v>10.0586756077117</v>
      </c>
      <c r="B296" s="220">
        <v>132</v>
      </c>
      <c r="C296" s="16" t="s">
        <v>2483</v>
      </c>
      <c r="D296" s="16" t="s">
        <v>2490</v>
      </c>
      <c r="E296" s="16">
        <v>1078</v>
      </c>
      <c r="F296" s="219" t="s">
        <f>=C296&amp;E296&amp;D296</f>
        <v>2491</v>
      </c>
      <c r="G296" s="219" t="s"/>
      <c r="H296" s="219" t="s"/>
      <c r="I296" s="219" t="s"/>
      <c r="J296" s="219" t="s"/>
      <c r="K296" s="219" t="s"/>
      <c r="L296" s="219" t="s"/>
      <c r="M296" s="219" t="s"/>
      <c r="N296" s="219" t="s"/>
    </row>
    <row r="297" spans="1:14" customHeight="true">
      <c r="A297" s="213">
        <f>=B297/13.123</f>
        <v>9.0360435875943</v>
      </c>
      <c r="B297" s="220">
        <v>118.58</v>
      </c>
      <c r="C297" s="69" t="s">
        <v>2483</v>
      </c>
      <c r="D297" s="69" t="s">
        <v>2492</v>
      </c>
      <c r="E297" s="69">
        <v>1078</v>
      </c>
      <c r="F297" s="219" t="s">
        <f>=C297&amp;E297&amp;D297</f>
        <v>2493</v>
      </c>
      <c r="G297" s="219" t="s"/>
      <c r="H297" s="219" t="s"/>
      <c r="I297" s="219" t="s"/>
      <c r="J297" s="219" t="s"/>
      <c r="K297" s="219" t="s"/>
      <c r="L297" s="219" t="s"/>
      <c r="M297" s="219" t="s"/>
      <c r="N297" s="219" t="s"/>
    </row>
    <row r="298" spans="1:14" customHeight="true">
      <c r="A298" s="213">
        <f>=B298/13.123</f>
        <v>8.48281642917016</v>
      </c>
      <c r="B298" s="220">
        <v>111.32</v>
      </c>
      <c r="C298" s="69" t="s">
        <v>2483</v>
      </c>
      <c r="D298" s="69" t="s">
        <v>2494</v>
      </c>
      <c r="E298" s="69">
        <v>1078</v>
      </c>
      <c r="F298" s="219" t="s">
        <f>=C298&amp;E298&amp;D298</f>
        <v>2495</v>
      </c>
      <c r="G298" s="219" t="s"/>
      <c r="H298" s="219" t="s"/>
      <c r="I298" s="219" t="s"/>
      <c r="J298" s="219" t="s"/>
      <c r="K298" s="219" t="s"/>
      <c r="L298" s="219" t="s"/>
      <c r="M298" s="219" t="s"/>
      <c r="N298" s="219" t="s"/>
    </row>
    <row r="299" spans="1:14" customHeight="true">
      <c r="A299" s="213">
        <f>=B299/13.123</f>
        <v>9.0360435875943</v>
      </c>
      <c r="B299" s="220">
        <v>118.58</v>
      </c>
      <c r="C299" s="69" t="s">
        <v>2483</v>
      </c>
      <c r="D299" s="69" t="s">
        <v>2496</v>
      </c>
      <c r="E299" s="69">
        <v>1078</v>
      </c>
      <c r="F299" s="219" t="s">
        <f>=C299&amp;E299&amp;D299</f>
        <v>2497</v>
      </c>
      <c r="G299" s="219" t="s"/>
      <c r="H299" s="219" t="s"/>
      <c r="I299" s="219" t="s"/>
      <c r="J299" s="219" t="s"/>
      <c r="K299" s="219" t="s"/>
      <c r="L299" s="219" t="s"/>
      <c r="M299" s="219" t="s"/>
      <c r="N299" s="219" t="s"/>
    </row>
    <row r="300" spans="1:14" customHeight="true">
      <c r="A300" s="213">
        <f>=B300/13.123</f>
        <v>11.3160100586756</v>
      </c>
      <c r="B300" s="220">
        <v>148.5</v>
      </c>
      <c r="C300" s="16" t="s">
        <v>2483</v>
      </c>
      <c r="D300" s="16" t="s">
        <v>2498</v>
      </c>
      <c r="E300" s="16">
        <v>1078</v>
      </c>
      <c r="F300" s="219" t="s">
        <f>=C300&amp;E300&amp;D300</f>
        <v>2499</v>
      </c>
      <c r="G300" s="219" t="s"/>
      <c r="H300" s="219" t="s"/>
      <c r="I300" s="219" t="s"/>
      <c r="J300" s="219" t="s"/>
      <c r="K300" s="219" t="s"/>
      <c r="L300" s="219" t="s"/>
      <c r="M300" s="219" t="s"/>
      <c r="N300" s="219" t="s"/>
    </row>
    <row r="301" spans="1:14" customHeight="true">
      <c r="A301" s="236">
        <f>=B301/13.123</f>
        <v>11.8113236302675</v>
      </c>
      <c r="B301" s="237">
        <v>155</v>
      </c>
      <c r="C301" s="13" t="s">
        <v>2483</v>
      </c>
      <c r="D301" s="11" t="s">
        <v>2488</v>
      </c>
      <c r="E301" s="13">
        <v>1078</v>
      </c>
      <c r="F301" s="216" t="s">
        <f>=C301&amp;E301&amp;D301</f>
        <v>2500</v>
      </c>
      <c r="G301" s="216" t="s"/>
      <c r="H301" s="216" t="s"/>
      <c r="I301" s="216" t="s"/>
      <c r="J301" s="216" t="s"/>
      <c r="K301" s="216" t="s"/>
      <c r="L301" s="216" t="s"/>
      <c r="M301" s="216" t="s"/>
      <c r="N301" s="216" t="s"/>
    </row>
    <row r="302" spans="1:14" customHeight="true">
      <c r="A302" s="213">
        <f>=B302/13.123</f>
        <v>7.56077116512993</v>
      </c>
      <c r="B302" s="220">
        <v>99.22</v>
      </c>
      <c r="C302" s="16" t="s">
        <v>2483</v>
      </c>
      <c r="D302" s="16" t="s">
        <v>2290</v>
      </c>
      <c r="E302" s="16">
        <v>1067</v>
      </c>
      <c r="F302" s="219" t="s">
        <f>=C302&amp;E302&amp;D302</f>
        <v>2501</v>
      </c>
      <c r="G302" s="219" t="s"/>
      <c r="H302" s="219" t="s"/>
      <c r="I302" s="219" t="s"/>
      <c r="J302" s="219" t="s"/>
      <c r="K302" s="219" t="s"/>
      <c r="L302" s="219" t="s"/>
      <c r="M302" s="219" t="s"/>
      <c r="N302" s="219" t="s"/>
    </row>
    <row r="303" spans="1:14" customHeight="true">
      <c r="A303" s="213">
        <f>=B303/13.123</f>
        <v>8.38222967309305</v>
      </c>
      <c r="B303" s="220">
        <v>110</v>
      </c>
      <c r="C303" s="16" t="s">
        <v>2483</v>
      </c>
      <c r="D303" s="16" t="s">
        <v>2502</v>
      </c>
      <c r="E303" s="16">
        <v>1067</v>
      </c>
      <c r="F303" s="219" t="s">
        <f>=C303&amp;E303&amp;D303</f>
        <v>2503</v>
      </c>
      <c r="G303" s="219" t="s"/>
      <c r="H303" s="219" t="s"/>
      <c r="I303" s="219" t="s"/>
      <c r="J303" s="219" t="s"/>
      <c r="K303" s="219" t="s"/>
      <c r="L303" s="219" t="s"/>
      <c r="M303" s="219" t="s"/>
      <c r="N303" s="219" t="s"/>
    </row>
    <row r="304" spans="1:14" customHeight="true">
      <c r="A304" s="213">
        <f>=B304/13.123</f>
        <v>9.55574182732607</v>
      </c>
      <c r="B304" s="220">
        <v>125.4</v>
      </c>
      <c r="C304" s="16" t="s">
        <v>2483</v>
      </c>
      <c r="D304" s="16" t="s">
        <v>2168</v>
      </c>
      <c r="E304" s="16">
        <v>2116</v>
      </c>
      <c r="F304" s="219" t="s">
        <f>=C304&amp;E304&amp;D304</f>
        <v>2504</v>
      </c>
      <c r="G304" s="219" t="s"/>
      <c r="H304" s="219" t="s"/>
      <c r="I304" s="219" t="s"/>
      <c r="J304" s="219" t="s"/>
      <c r="K304" s="219" t="s"/>
      <c r="L304" s="219" t="s"/>
      <c r="M304" s="219" t="s"/>
      <c r="N304" s="219" t="s"/>
    </row>
    <row r="305" spans="1:14" customHeight="true">
      <c r="A305" s="213">
        <f>=B305/13.123</f>
        <v>9.55574182732607</v>
      </c>
      <c r="B305" s="220">
        <v>125.4</v>
      </c>
      <c r="C305" s="16" t="s">
        <v>2483</v>
      </c>
      <c r="D305" s="16" t="s">
        <v>2091</v>
      </c>
      <c r="E305" s="16">
        <v>2116</v>
      </c>
      <c r="F305" s="219" t="s">
        <f>=C305&amp;E305&amp;D305</f>
        <v>2505</v>
      </c>
      <c r="G305" s="219" t="s"/>
      <c r="H305" s="219" t="s"/>
      <c r="I305" s="219" t="s"/>
      <c r="J305" s="219" t="s"/>
      <c r="K305" s="219" t="s"/>
      <c r="L305" s="219" t="s"/>
      <c r="M305" s="219" t="s"/>
      <c r="N305" s="219" t="s"/>
    </row>
    <row r="306" spans="1:14" customHeight="true">
      <c r="A306" s="213">
        <f>=B306/13.123</f>
        <v>4.51802179379715</v>
      </c>
      <c r="B306" s="220">
        <v>59.29</v>
      </c>
      <c r="C306" s="16" t="s">
        <v>2506</v>
      </c>
      <c r="D306" s="131" t="s">
        <v>2507</v>
      </c>
      <c r="E306" s="16">
        <v>106</v>
      </c>
      <c r="F306" s="219" t="s">
        <f>=C306&amp;E306&amp;D306</f>
        <v>2508</v>
      </c>
      <c r="G306" s="219" t="s"/>
      <c r="H306" s="219" t="s"/>
      <c r="I306" s="219" t="s"/>
      <c r="J306" s="219" t="s"/>
      <c r="K306" s="219" t="s"/>
      <c r="L306" s="219" t="s"/>
      <c r="M306" s="219" t="s"/>
      <c r="N306" s="219" t="s"/>
    </row>
    <row r="307" spans="1:14" customHeight="true">
      <c r="A307" s="213">
        <f>=B307/13.123</f>
        <v>4.47230054103483</v>
      </c>
      <c r="B307" s="220">
        <v>58.69</v>
      </c>
      <c r="C307" s="16" t="s">
        <v>2506</v>
      </c>
      <c r="D307" s="16" t="s">
        <v>2502</v>
      </c>
      <c r="E307" s="16">
        <v>106</v>
      </c>
      <c r="F307" s="219" t="s">
        <f>=C307&amp;E307&amp;D307</f>
        <v>2509</v>
      </c>
      <c r="G307" s="219" t="s"/>
      <c r="H307" s="219" t="s"/>
      <c r="I307" s="219" t="s"/>
      <c r="J307" s="219" t="s"/>
      <c r="K307" s="219" t="s"/>
      <c r="L307" s="219" t="s"/>
      <c r="M307" s="255" t="s"/>
      <c r="N307" s="255" t="s"/>
    </row>
    <row r="308" spans="1:14" customHeight="true">
      <c r="A308" s="213">
        <f>=B308/13.123</f>
        <v>4.97904442581727</v>
      </c>
      <c r="B308" s="220">
        <v>65.34</v>
      </c>
      <c r="C308" s="16" t="s">
        <v>2506</v>
      </c>
      <c r="D308" s="16" t="s">
        <v>2122</v>
      </c>
      <c r="E308" s="16">
        <v>1035</v>
      </c>
      <c r="F308" s="219" t="s">
        <f>=C308&amp;E308&amp;D308</f>
        <v>2510</v>
      </c>
      <c r="G308" s="219" t="s"/>
      <c r="H308" s="219" t="s"/>
      <c r="I308" s="219" t="s"/>
      <c r="J308" s="219" t="s"/>
      <c r="K308" s="219" t="s"/>
      <c r="L308" s="219" t="s"/>
      <c r="M308" s="219" t="s"/>
      <c r="N308" s="219" t="s"/>
    </row>
    <row r="309" spans="1:14" customHeight="true">
      <c r="A309" s="236">
        <f>=B309/13.123</f>
        <v>4.11491274860931</v>
      </c>
      <c r="B309" s="214">
        <v>54</v>
      </c>
      <c r="C309" s="13" t="s">
        <v>2506</v>
      </c>
      <c r="D309" s="259" t="s">
        <v>2242</v>
      </c>
      <c r="E309" s="13">
        <v>1035</v>
      </c>
      <c r="F309" s="216" t="s">
        <f>=C309&amp;E309&amp;D309</f>
        <v>2511</v>
      </c>
      <c r="G309" s="216" t="s"/>
      <c r="H309" s="216" t="s"/>
      <c r="I309" s="216" t="s"/>
      <c r="J309" s="216" t="s"/>
      <c r="K309" s="216" t="s"/>
      <c r="L309" s="216" t="s"/>
      <c r="M309" s="250" t="s"/>
      <c r="N309" s="250" t="s"/>
    </row>
    <row r="310" spans="1:14" customHeight="true">
      <c r="A310" s="213">
        <f>=B310/13.123</f>
        <v>4.97904442581727</v>
      </c>
      <c r="B310" s="220">
        <v>65.34</v>
      </c>
      <c r="C310" s="16" t="s">
        <v>2506</v>
      </c>
      <c r="D310" s="260" t="s">
        <v>2144</v>
      </c>
      <c r="E310" s="16">
        <v>1035</v>
      </c>
      <c r="F310" s="219" t="s">
        <f>=C310&amp;E310&amp;D310</f>
        <v>2512</v>
      </c>
      <c r="G310" s="219" t="s"/>
      <c r="H310" s="219" t="s"/>
      <c r="I310" s="219" t="s"/>
      <c r="J310" s="219" t="s"/>
      <c r="K310" s="219" t="s"/>
      <c r="L310" s="219" t="s"/>
      <c r="M310" s="235" t="s"/>
      <c r="N310" s="235" t="s"/>
    </row>
    <row r="311" spans="1:14" customHeight="true">
      <c r="A311" s="213">
        <f>=B311/13.123</f>
        <v>5.07124895222129</v>
      </c>
      <c r="B311" s="220">
        <v>66.55</v>
      </c>
      <c r="C311" s="16" t="s">
        <v>2506</v>
      </c>
      <c r="D311" s="16" t="s">
        <v>2323</v>
      </c>
      <c r="E311" s="16">
        <v>1035</v>
      </c>
      <c r="F311" s="219" t="s">
        <f>=C311&amp;E311&amp;D311</f>
        <v>2513</v>
      </c>
      <c r="G311" s="219" t="s"/>
      <c r="H311" s="219" t="s"/>
      <c r="I311" s="219" t="s"/>
      <c r="J311" s="219" t="s"/>
      <c r="K311" s="219" t="s"/>
      <c r="L311" s="219" t="s"/>
      <c r="M311" s="219" t="s"/>
      <c r="N311" s="219" t="s"/>
    </row>
    <row r="312" spans="1:14" customHeight="true">
      <c r="A312" s="213">
        <f>=B312/13.123</f>
        <v>4.88683989941324</v>
      </c>
      <c r="B312" s="220">
        <v>64.13</v>
      </c>
      <c r="C312" s="16" t="s">
        <v>2506</v>
      </c>
      <c r="D312" s="16" t="s">
        <v>2403</v>
      </c>
      <c r="E312" s="16">
        <v>1067</v>
      </c>
      <c r="F312" s="219" t="s">
        <f>=C312&amp;E312&amp;D312</f>
        <v>2514</v>
      </c>
      <c r="G312" s="219" t="s"/>
      <c r="H312" s="219" t="s"/>
      <c r="I312" s="219" t="s"/>
      <c r="J312" s="219" t="s"/>
      <c r="K312" s="219" t="s"/>
      <c r="L312" s="219" t="s"/>
      <c r="M312" s="219" t="s"/>
      <c r="N312" s="219" t="s"/>
    </row>
    <row r="313" spans="1:14" customHeight="true">
      <c r="A313" s="236">
        <f>=B313/13.123</f>
        <v>4.88683989941324</v>
      </c>
      <c r="B313" s="237">
        <v>64.13</v>
      </c>
      <c r="C313" s="13" t="s">
        <v>2506</v>
      </c>
      <c r="D313" s="11" t="s">
        <v>2122</v>
      </c>
      <c r="E313" s="13">
        <v>1067</v>
      </c>
      <c r="F313" s="216" t="s">
        <f>=C313&amp;E313&amp;D313</f>
        <v>2515</v>
      </c>
      <c r="G313" s="216" t="s"/>
      <c r="H313" s="216" t="s"/>
      <c r="I313" s="216" t="s"/>
      <c r="J313" s="216" t="s"/>
      <c r="K313" s="216" t="s"/>
      <c r="L313" s="216" t="s"/>
      <c r="M313" s="216" t="s"/>
      <c r="N313" s="216" t="s"/>
    </row>
    <row r="314" spans="1:14" customHeight="true">
      <c r="A314" s="236">
        <f>=B314/13.123</f>
        <v>4.57212527623257</v>
      </c>
      <c r="B314" s="237">
        <v>60</v>
      </c>
      <c r="C314" s="13" t="s">
        <v>2506</v>
      </c>
      <c r="D314" s="12" t="s">
        <v>2242</v>
      </c>
      <c r="E314" s="13">
        <v>1067</v>
      </c>
      <c r="F314" s="216" t="s">
        <f>=C314&amp;E314&amp;D314</f>
        <v>2516</v>
      </c>
      <c r="G314" s="261" t="s">
        <v>1534</v>
      </c>
      <c r="H314" s="216" t="s"/>
      <c r="I314" s="216" t="s"/>
      <c r="J314" s="216" t="s"/>
      <c r="K314" s="216" t="s"/>
      <c r="L314" s="216" t="s"/>
      <c r="M314" s="216" t="s"/>
      <c r="N314" s="216" t="s"/>
    </row>
    <row r="315" spans="1:14" customHeight="true">
      <c r="A315" s="213">
        <f>=B315/13.123</f>
        <v>4.88683989941324</v>
      </c>
      <c r="B315" s="220">
        <v>64.13</v>
      </c>
      <c r="C315" s="16" t="s">
        <v>2506</v>
      </c>
      <c r="D315" s="131" t="s">
        <v>2261</v>
      </c>
      <c r="E315" s="16">
        <v>1067</v>
      </c>
      <c r="F315" s="219" t="s">
        <f>=C315&amp;E315&amp;D315</f>
        <v>2517</v>
      </c>
      <c r="G315" s="219" t="s"/>
      <c r="H315" s="219" t="s"/>
      <c r="I315" s="219" t="s"/>
      <c r="J315" s="219" t="s"/>
      <c r="K315" s="219" t="s"/>
      <c r="L315" s="219" t="s"/>
      <c r="M315" s="219" t="s"/>
      <c r="N315" s="219" t="s"/>
    </row>
    <row r="316" spans="1:14" customHeight="true">
      <c r="A316" s="213">
        <f>=B316/13.123</f>
        <v>5.02933780385583</v>
      </c>
      <c r="B316" s="220">
        <v>66</v>
      </c>
      <c r="C316" s="240" t="s">
        <v>2506</v>
      </c>
      <c r="D316" s="240" t="s">
        <v>2117</v>
      </c>
      <c r="E316" s="240">
        <v>1067</v>
      </c>
      <c r="F316" s="219" t="s">
        <f>=C316&amp;E316&amp;D316</f>
        <v>2518</v>
      </c>
      <c r="G316" s="219" t="s"/>
      <c r="H316" s="219" t="s"/>
      <c r="I316" s="219" t="s"/>
      <c r="J316" s="219" t="s"/>
      <c r="K316" s="219" t="s"/>
      <c r="L316" s="219" t="s"/>
      <c r="M316" s="219" t="s"/>
      <c r="N316" s="219" t="s"/>
    </row>
    <row r="317" spans="1:14" customHeight="true">
      <c r="A317" s="213">
        <f>=B317/13.123</f>
        <v>4.61022632020118</v>
      </c>
      <c r="B317" s="220">
        <v>60.5</v>
      </c>
      <c r="C317" s="16" t="s">
        <v>2506</v>
      </c>
      <c r="D317" s="16" t="s">
        <v>2519</v>
      </c>
      <c r="E317" s="16">
        <v>1078</v>
      </c>
      <c r="F317" s="219" t="s">
        <f>=C317&amp;E317&amp;D317</f>
        <v>2520</v>
      </c>
      <c r="G317" s="219" t="s"/>
      <c r="H317" s="219" t="s"/>
      <c r="I317" s="219" t="s"/>
      <c r="J317" s="219" t="s"/>
      <c r="K317" s="219" t="s"/>
      <c r="L317" s="219" t="s"/>
      <c r="M317" s="219" t="s"/>
      <c r="N317" s="219" t="s"/>
    </row>
    <row r="318" spans="1:14" customHeight="true">
      <c r="A318" s="236">
        <f>=B318/13.123</f>
        <v>4.34351901242094</v>
      </c>
      <c r="B318" s="237">
        <v>57</v>
      </c>
      <c r="C318" s="13" t="s">
        <v>2506</v>
      </c>
      <c r="D318" s="11" t="s">
        <v>2221</v>
      </c>
      <c r="E318" s="13">
        <v>1078</v>
      </c>
      <c r="F318" s="216" t="s">
        <f>=C318&amp;E318&amp;D318</f>
        <v>2521</v>
      </c>
      <c r="G318" s="261" t="s">
        <v>1224</v>
      </c>
      <c r="H318" s="216" t="s"/>
      <c r="I318" s="216" t="s"/>
      <c r="J318" s="216" t="s"/>
      <c r="K318" s="216" t="s"/>
      <c r="L318" s="216" t="s"/>
      <c r="M318" s="262" t="s"/>
      <c r="N318" s="262" t="s"/>
    </row>
    <row r="319" spans="1:14" customHeight="true">
      <c r="A319" s="213">
        <f>=B319/13.123</f>
        <v>4.79463537300922</v>
      </c>
      <c r="B319" s="220">
        <v>62.92</v>
      </c>
      <c r="C319" s="16" t="s">
        <v>2506</v>
      </c>
      <c r="D319" s="131" t="s">
        <v>2192</v>
      </c>
      <c r="E319" s="16">
        <v>1078</v>
      </c>
      <c r="F319" s="219" t="s">
        <f>=C319&amp;E319&amp;D319</f>
        <v>2522</v>
      </c>
      <c r="G319" s="219" t="s"/>
      <c r="H319" s="219" t="s"/>
      <c r="I319" s="219" t="s"/>
      <c r="J319" s="219" t="s"/>
      <c r="K319" s="219" t="s"/>
      <c r="L319" s="219" t="s"/>
      <c r="M319" s="255" t="s"/>
      <c r="N319" s="255" t="s"/>
    </row>
    <row r="320" spans="1:14" customHeight="true">
      <c r="A320" s="213">
        <f>=B320/13.123</f>
        <v>4.97904442581727</v>
      </c>
      <c r="B320" s="220">
        <v>65.34</v>
      </c>
      <c r="C320" s="16" t="s">
        <v>2506</v>
      </c>
      <c r="D320" s="69" t="s">
        <v>2153</v>
      </c>
      <c r="E320" s="16">
        <v>1078</v>
      </c>
      <c r="F320" s="219" t="s">
        <f>=C320&amp;E320&amp;D320</f>
        <v>2523</v>
      </c>
      <c r="G320" s="246" t="s"/>
      <c r="H320" s="219" t="s"/>
      <c r="I320" s="219" t="s"/>
      <c r="J320" s="219" t="s"/>
      <c r="K320" s="219" t="s"/>
      <c r="L320" s="219" t="s"/>
      <c r="M320" s="219" t="s"/>
      <c r="N320" s="219" t="s"/>
    </row>
    <row r="321" spans="1:14" customHeight="true">
      <c r="A321" s="213">
        <f>=B321/13.123</f>
        <v>4.77787091366304</v>
      </c>
      <c r="B321" s="220">
        <v>62.7</v>
      </c>
      <c r="C321" s="16" t="s">
        <v>2506</v>
      </c>
      <c r="D321" s="16" t="s">
        <v>2155</v>
      </c>
      <c r="E321" s="16">
        <v>1078</v>
      </c>
      <c r="F321" s="219" t="s">
        <f>=C321&amp;E321&amp;D321</f>
        <v>2524</v>
      </c>
      <c r="G321" s="219" t="s"/>
      <c r="H321" s="219" t="s"/>
      <c r="I321" s="219" t="s"/>
      <c r="J321" s="219" t="s"/>
      <c r="K321" s="219" t="s"/>
      <c r="L321" s="219" t="s"/>
      <c r="M321" s="219" t="s"/>
      <c r="N321" s="219" t="s"/>
    </row>
    <row r="322" spans="1:14" customHeight="true">
      <c r="A322" s="213">
        <f>=B322/13.123</f>
        <v>5.02933780385583</v>
      </c>
      <c r="B322" s="220">
        <v>66</v>
      </c>
      <c r="C322" s="16" t="s">
        <v>2506</v>
      </c>
      <c r="D322" s="16" t="s">
        <v>2422</v>
      </c>
      <c r="E322" s="16">
        <v>1078</v>
      </c>
      <c r="F322" s="219" t="s">
        <f>=C322&amp;E322&amp;D322</f>
        <v>2525</v>
      </c>
      <c r="G322" s="219" t="s"/>
      <c r="H322" s="219" t="s"/>
      <c r="I322" s="219" t="s"/>
      <c r="J322" s="219" t="s"/>
      <c r="K322" s="219" t="s"/>
      <c r="L322" s="219" t="s"/>
      <c r="M322" s="219" t="s"/>
      <c r="N322" s="219" t="s"/>
    </row>
    <row r="323" spans="1:14" customHeight="true">
      <c r="A323" s="213">
        <f>=B323/13.123</f>
        <v>3.84515735731159</v>
      </c>
      <c r="B323" s="220">
        <v>50.46</v>
      </c>
      <c r="C323" s="222" t="s">
        <v>2506</v>
      </c>
      <c r="D323" s="222" t="s">
        <v>2329</v>
      </c>
      <c r="E323" s="222">
        <v>1080</v>
      </c>
      <c r="F323" s="219" t="s">
        <f>=C323&amp;E323&amp;D323</f>
        <v>2526</v>
      </c>
      <c r="G323" s="246" t="s">
        <v>1224</v>
      </c>
      <c r="H323" s="219" t="s"/>
      <c r="I323" s="219" t="s"/>
      <c r="J323" s="219" t="s"/>
      <c r="K323" s="219" t="s"/>
      <c r="L323" s="219" t="s"/>
      <c r="M323" s="219" t="s"/>
      <c r="N323" s="219" t="s"/>
    </row>
    <row r="324" spans="1:14" customHeight="true">
      <c r="A324" s="213">
        <f>=B324/13.123</f>
        <v>3.91907338261068</v>
      </c>
      <c r="B324" s="220">
        <v>51.43</v>
      </c>
      <c r="C324" s="16" t="s">
        <v>2506</v>
      </c>
      <c r="D324" s="69" t="s">
        <v>2527</v>
      </c>
      <c r="E324" s="16">
        <v>1080</v>
      </c>
      <c r="F324" s="219" t="s">
        <f>=C324&amp;E324&amp;D324</f>
        <v>2528</v>
      </c>
      <c r="G324" s="219" t="s"/>
      <c r="H324" s="219" t="s"/>
      <c r="I324" s="219" t="s"/>
      <c r="J324" s="219" t="s"/>
      <c r="K324" s="219" t="s"/>
      <c r="L324" s="219" t="s"/>
      <c r="M324" s="235" t="s"/>
      <c r="N324" s="235" t="s"/>
    </row>
    <row r="325" spans="1:14" customHeight="true">
      <c r="A325" s="213">
        <f>=B325/13.123</f>
        <v>4.21397546292769</v>
      </c>
      <c r="B325" s="220">
        <v>55.3</v>
      </c>
      <c r="C325" s="16" t="s">
        <v>2506</v>
      </c>
      <c r="D325" s="16" t="s">
        <v>2333</v>
      </c>
      <c r="E325" s="16">
        <v>1080</v>
      </c>
      <c r="F325" s="219" t="s">
        <f>=C325&amp;E325&amp;D325</f>
        <v>2529</v>
      </c>
      <c r="G325" s="219" t="s"/>
      <c r="H325" s="219" t="s"/>
      <c r="I325" s="219" t="s"/>
      <c r="J325" s="219" t="s"/>
      <c r="K325" s="219" t="s"/>
      <c r="L325" s="219" t="s"/>
      <c r="M325" s="219" t="s"/>
      <c r="N325" s="219" t="s"/>
    </row>
    <row r="326" spans="1:14" customHeight="true">
      <c r="A326" s="213">
        <f>=B326/13.123</f>
        <v>4.88683989941324</v>
      </c>
      <c r="B326" s="220">
        <v>64.13</v>
      </c>
      <c r="C326" s="16" t="s">
        <v>2506</v>
      </c>
      <c r="D326" s="16" t="s">
        <v>2530</v>
      </c>
      <c r="E326" s="16">
        <v>1080</v>
      </c>
      <c r="F326" s="219" t="s">
        <f>=C326&amp;E326&amp;D326</f>
        <v>2531</v>
      </c>
      <c r="G326" s="219" t="s"/>
      <c r="H326" s="219" t="s"/>
      <c r="I326" s="219" t="s"/>
      <c r="J326" s="219" t="s"/>
      <c r="K326" s="219" t="s"/>
      <c r="L326" s="219" t="s"/>
      <c r="M326" s="219" t="s"/>
      <c r="N326" s="219" t="s"/>
    </row>
    <row r="327" spans="1:14" customHeight="true">
      <c r="A327" s="213">
        <f>=B327/13.123</f>
        <v>6.62196144174351</v>
      </c>
      <c r="B327" s="220">
        <v>86.9</v>
      </c>
      <c r="C327" s="16" t="s">
        <v>2506</v>
      </c>
      <c r="D327" s="131" t="s">
        <v>2532</v>
      </c>
      <c r="E327" s="16">
        <v>2116</v>
      </c>
      <c r="F327" s="219" t="s">
        <f>=C327&amp;E327&amp;D327</f>
        <v>2533</v>
      </c>
      <c r="G327" s="219" t="s"/>
      <c r="H327" s="219" t="s"/>
      <c r="I327" s="219" t="s"/>
      <c r="J327" s="219" t="s"/>
      <c r="K327" s="219" t="s"/>
      <c r="L327" s="219" t="s"/>
      <c r="M327" s="219" t="s"/>
      <c r="N327" s="219" t="s"/>
    </row>
    <row r="328" spans="1:14" s="274" customFormat="true" customHeight="true">
      <c r="A328" s="263">
        <f>=B328/13.123</f>
        <v>6.01996494703955</v>
      </c>
      <c r="B328" s="264">
        <v>79</v>
      </c>
      <c r="C328" s="150" t="s">
        <v>2506</v>
      </c>
      <c r="D328" s="150" t="s">
        <v>2534</v>
      </c>
      <c r="E328" s="150">
        <v>2116</v>
      </c>
      <c r="F328" s="265" t="s">
        <f>=C328&amp;E328&amp;D328</f>
        <v>2535</v>
      </c>
      <c r="G328" s="265" t="s"/>
      <c r="H328" s="265" t="s"/>
      <c r="I328" s="265" t="s"/>
      <c r="J328" s="265" t="s"/>
      <c r="K328" s="265" t="s"/>
      <c r="L328" s="265" t="s"/>
      <c r="M328" s="265" t="s"/>
      <c r="N328" s="265" t="s"/>
    </row>
    <row r="329" spans="1:14" customHeight="true">
      <c r="A329" s="213">
        <f>=B329/13.123</f>
        <v>6.28667225481978</v>
      </c>
      <c r="B329" s="220">
        <v>82.5</v>
      </c>
      <c r="C329" s="16" t="s">
        <v>2506</v>
      </c>
      <c r="D329" s="16" t="s">
        <v>2536</v>
      </c>
      <c r="E329" s="16">
        <v>2116</v>
      </c>
      <c r="F329" s="219" t="s">
        <f>=C329&amp;E329&amp;D329</f>
        <v>2537</v>
      </c>
      <c r="G329" s="219" t="s"/>
      <c r="H329" s="219" t="s"/>
      <c r="I329" s="219" t="s"/>
      <c r="J329" s="219" t="s"/>
      <c r="K329" s="219" t="s"/>
      <c r="L329" s="219" t="s"/>
      <c r="M329" s="235" t="s"/>
      <c r="N329" s="235" t="s"/>
    </row>
    <row r="330" spans="1:14" customHeight="true">
      <c r="A330" s="213">
        <f>=B330/13.123</f>
        <v>6.62196144174351</v>
      </c>
      <c r="B330" s="220">
        <v>86.9</v>
      </c>
      <c r="C330" s="16" t="s">
        <v>2506</v>
      </c>
      <c r="D330" s="16" t="s">
        <v>2538</v>
      </c>
      <c r="E330" s="16">
        <v>2116</v>
      </c>
      <c r="F330" s="219" t="s">
        <f>=C330&amp;E330&amp;D330</f>
        <v>2539</v>
      </c>
      <c r="G330" s="219" t="s"/>
      <c r="H330" s="219" t="s"/>
      <c r="I330" s="219" t="s"/>
      <c r="J330" s="219" t="s"/>
      <c r="K330" s="219" t="s"/>
      <c r="L330" s="219" t="s"/>
      <c r="M330" s="219" t="s"/>
      <c r="N330" s="219" t="s"/>
    </row>
    <row r="331" spans="1:14" customHeight="true">
      <c r="A331" s="213">
        <f>=B331/13.123</f>
        <v>6.8734283319363</v>
      </c>
      <c r="B331" s="220">
        <v>90.2</v>
      </c>
      <c r="C331" s="16" t="s">
        <v>2506</v>
      </c>
      <c r="D331" s="16" t="s">
        <v>2540</v>
      </c>
      <c r="E331" s="16">
        <v>2116</v>
      </c>
      <c r="F331" s="219" t="s">
        <f>=C331&amp;E331&amp;D331</f>
        <v>2541</v>
      </c>
      <c r="G331" s="219" t="s"/>
      <c r="H331" s="219" t="s"/>
      <c r="I331" s="219" t="s"/>
      <c r="J331" s="219" t="s"/>
      <c r="K331" s="219" t="s"/>
      <c r="L331" s="219" t="s"/>
      <c r="M331" s="219" t="s"/>
      <c r="N331" s="219" t="s"/>
    </row>
    <row r="332" spans="1:14" customHeight="true">
      <c r="A332" s="213">
        <f>=B332/13.123</f>
        <v>4.88683989941324</v>
      </c>
      <c r="B332" s="220">
        <v>64.13</v>
      </c>
      <c r="C332" s="16" t="s">
        <v>2506</v>
      </c>
      <c r="D332" s="16" t="s">
        <v>2383</v>
      </c>
      <c r="E332" s="16">
        <v>3313</v>
      </c>
      <c r="F332" s="219" t="s">
        <f>=C332&amp;E332&amp;D332</f>
        <v>2542</v>
      </c>
      <c r="G332" s="219" t="s"/>
      <c r="H332" s="219" t="s"/>
      <c r="I332" s="219" t="s"/>
      <c r="J332" s="219" t="s"/>
      <c r="K332" s="219" t="s"/>
      <c r="L332" s="219" t="s"/>
      <c r="M332" s="255" t="s"/>
      <c r="N332" s="255" t="s"/>
    </row>
    <row r="333" spans="1:14" customHeight="true">
      <c r="A333" s="213">
        <f>=B333/13.123</f>
        <v>4.78549112245676</v>
      </c>
      <c r="B333" s="220">
        <v>62.8</v>
      </c>
      <c r="C333" s="16" t="s">
        <v>2506</v>
      </c>
      <c r="D333" s="16" t="s">
        <v>2441</v>
      </c>
      <c r="E333" s="16">
        <v>3313</v>
      </c>
      <c r="F333" s="219" t="s">
        <f>=C333&amp;E333&amp;D333</f>
        <v>2543</v>
      </c>
      <c r="G333" s="219" t="s"/>
      <c r="H333" s="219" t="s"/>
      <c r="I333" s="219" t="s"/>
      <c r="J333" s="219" t="s"/>
      <c r="K333" s="219" t="s"/>
      <c r="L333" s="219" t="s"/>
      <c r="M333" s="219" t="s"/>
      <c r="N333" s="219" t="s"/>
    </row>
    <row r="334" spans="1:14" customHeight="true">
      <c r="A334" s="213">
        <f>=B334/13.123</f>
        <v>8.04694048616932</v>
      </c>
      <c r="B334" s="220">
        <v>105.6</v>
      </c>
      <c r="C334" s="16" t="s">
        <v>2544</v>
      </c>
      <c r="D334" s="16" t="s">
        <v>2301</v>
      </c>
      <c r="E334" s="16">
        <v>1078</v>
      </c>
      <c r="F334" s="219" t="s">
        <f>=C334&amp;E334&amp;D334</f>
        <v>2545</v>
      </c>
      <c r="G334" s="219" t="s"/>
      <c r="H334" s="219" t="s"/>
      <c r="I334" s="219" t="s"/>
      <c r="J334" s="219" t="s"/>
      <c r="K334" s="219" t="s"/>
      <c r="L334" s="219" t="s"/>
      <c r="M334" s="219" t="s"/>
      <c r="N334" s="219" t="s"/>
    </row>
    <row r="335" spans="1:14" customHeight="true">
      <c r="A335" s="213">
        <f>=B335/13.123</f>
        <v>8.71751886001677</v>
      </c>
      <c r="B335" s="220">
        <v>114.4</v>
      </c>
      <c r="C335" s="16" t="s">
        <v>2544</v>
      </c>
      <c r="D335" s="16" t="s">
        <v>2089</v>
      </c>
      <c r="E335" s="16">
        <v>1078</v>
      </c>
      <c r="F335" s="219" t="s">
        <f>=C335&amp;E335&amp;D335</f>
        <v>2546</v>
      </c>
      <c r="G335" s="219" t="s"/>
      <c r="H335" s="219" t="s"/>
      <c r="I335" s="219" t="s"/>
      <c r="J335" s="219" t="s"/>
      <c r="K335" s="219" t="s"/>
      <c r="L335" s="219" t="s"/>
      <c r="M335" s="219" t="s"/>
      <c r="N335" s="219" t="s"/>
    </row>
    <row r="336" spans="1:14" customHeight="true">
      <c r="A336" s="213">
        <f>=B336/13.123</f>
        <v>10.2263202011735</v>
      </c>
      <c r="B336" s="220">
        <v>134.2</v>
      </c>
      <c r="C336" s="16" t="s">
        <v>2544</v>
      </c>
      <c r="D336" s="16" t="s">
        <v>2122</v>
      </c>
      <c r="E336" s="16">
        <v>1078</v>
      </c>
      <c r="F336" s="219" t="s">
        <f>=C336&amp;E336&amp;D336</f>
        <v>2547</v>
      </c>
      <c r="G336" s="219" t="s"/>
      <c r="H336" s="219" t="s"/>
      <c r="I336" s="219" t="s"/>
      <c r="J336" s="219" t="s"/>
      <c r="K336" s="219" t="s"/>
      <c r="L336" s="219" t="s"/>
      <c r="M336" s="219" t="s"/>
      <c r="N336" s="219" t="s"/>
    </row>
    <row r="337" spans="1:14" customHeight="true">
      <c r="A337" s="213">
        <f>=B337/13.123</f>
        <v>8.04694048616932</v>
      </c>
      <c r="B337" s="220">
        <v>105.6</v>
      </c>
      <c r="C337" s="16" t="s">
        <v>2544</v>
      </c>
      <c r="D337" s="16" t="s">
        <v>2089</v>
      </c>
      <c r="E337" s="16">
        <v>1080</v>
      </c>
      <c r="F337" s="219" t="s">
        <f>=C337&amp;E337&amp;D337</f>
        <v>2548</v>
      </c>
      <c r="G337" s="219" t="s"/>
      <c r="H337" s="219" t="s"/>
      <c r="I337" s="219" t="s"/>
      <c r="J337" s="219" t="s"/>
      <c r="K337" s="219" t="s"/>
      <c r="L337" s="219" t="s"/>
      <c r="M337" s="219" t="s"/>
      <c r="N337" s="219" t="s"/>
    </row>
    <row r="338" spans="1:14" customHeight="true">
      <c r="A338" s="213">
        <f>=B338/13.123</f>
        <v>8.63369656328584</v>
      </c>
      <c r="B338" s="220">
        <v>113.3</v>
      </c>
      <c r="C338" s="16" t="s">
        <v>2544</v>
      </c>
      <c r="D338" s="16" t="s">
        <v>2091</v>
      </c>
      <c r="E338" s="16">
        <v>1080</v>
      </c>
      <c r="F338" s="219" t="s">
        <f>=C338&amp;E338&amp;D338</f>
        <v>2549</v>
      </c>
      <c r="G338" s="219" t="s"/>
      <c r="H338" s="219" t="s"/>
      <c r="I338" s="219" t="s"/>
      <c r="J338" s="219" t="s"/>
      <c r="K338" s="219" t="s"/>
      <c r="L338" s="219" t="s"/>
      <c r="M338" s="219" t="s"/>
      <c r="N338" s="219" t="s"/>
    </row>
    <row r="339" spans="1:14" customHeight="true">
      <c r="A339" s="213">
        <f>=B339/13.123</f>
        <v>9.22045264040235</v>
      </c>
      <c r="B339" s="220">
        <v>121</v>
      </c>
      <c r="C339" s="16" t="s">
        <v>2544</v>
      </c>
      <c r="D339" s="16" t="s">
        <v>2122</v>
      </c>
      <c r="E339" s="16">
        <v>1080</v>
      </c>
      <c r="F339" s="219" t="s">
        <f>=C339&amp;E339&amp;D339</f>
        <v>2550</v>
      </c>
      <c r="G339" s="219" t="s"/>
      <c r="H339" s="219" t="s"/>
      <c r="I339" s="219" t="s"/>
      <c r="J339" s="219" t="s"/>
      <c r="K339" s="219" t="s"/>
      <c r="L339" s="219" t="s"/>
      <c r="M339" s="219" t="s"/>
      <c r="N339" s="219" t="s"/>
    </row>
    <row r="340" spans="1:14" customHeight="true">
      <c r="A340" s="213">
        <f>=B340/13.123</f>
        <v>6.53813914501258</v>
      </c>
      <c r="B340" s="220">
        <v>85.8</v>
      </c>
      <c r="C340" s="16" t="s">
        <v>2544</v>
      </c>
      <c r="D340" s="16" t="s">
        <v>2122</v>
      </c>
      <c r="E340" s="16">
        <v>1035</v>
      </c>
      <c r="F340" s="219" t="s">
        <f>=C340&amp;E340&amp;D340</f>
        <v>2551</v>
      </c>
      <c r="G340" s="219" t="s"/>
      <c r="H340" s="219" t="s"/>
      <c r="I340" s="219" t="s"/>
      <c r="J340" s="219" t="s"/>
      <c r="K340" s="219" t="s"/>
      <c r="L340" s="219" t="s"/>
      <c r="M340" s="219" t="s"/>
      <c r="N340" s="219" t="s"/>
    </row>
    <row r="341" spans="1:14" customHeight="true">
      <c r="A341" s="213">
        <f>=B341/13.123</f>
        <v>7.46018440905281</v>
      </c>
      <c r="B341" s="220">
        <v>97.9</v>
      </c>
      <c r="C341" s="16" t="s">
        <v>2544</v>
      </c>
      <c r="D341" s="16" t="s">
        <v>2261</v>
      </c>
      <c r="E341" s="16">
        <v>1035</v>
      </c>
      <c r="F341" s="219" t="s">
        <f>=C341&amp;E341&amp;D341</f>
        <v>2552</v>
      </c>
      <c r="G341" s="219" t="s"/>
      <c r="H341" s="219" t="s"/>
      <c r="I341" s="219" t="s"/>
      <c r="J341" s="219" t="s"/>
      <c r="K341" s="219" t="s"/>
      <c r="L341" s="219" t="s"/>
      <c r="M341" s="219" t="s"/>
      <c r="N341" s="219" t="s"/>
    </row>
    <row r="342" spans="1:14" customHeight="true">
      <c r="A342" s="213">
        <f>=B342/13.123</f>
        <v>16.7644593461861</v>
      </c>
      <c r="B342" s="220">
        <v>220</v>
      </c>
      <c r="C342" s="16" t="s">
        <v>1732</v>
      </c>
      <c r="D342" s="16" t="s">
        <v>2089</v>
      </c>
      <c r="E342" s="16">
        <v>1035</v>
      </c>
      <c r="F342" s="219" t="s">
        <f>=C342&amp;E342&amp;D342</f>
        <v>2553</v>
      </c>
      <c r="G342" s="219" t="s"/>
      <c r="H342" s="219" t="s"/>
      <c r="I342" s="219" t="s"/>
      <c r="J342" s="219" t="s"/>
      <c r="K342" s="219" t="s"/>
      <c r="L342" s="219" t="s"/>
      <c r="M342" s="219" t="s"/>
      <c r="N342" s="219" t="s"/>
    </row>
    <row r="343" spans="1:14" customHeight="true">
      <c r="A343" s="213">
        <f>=B343/13.123</f>
        <v>18.4409052808047</v>
      </c>
      <c r="B343" s="220">
        <v>242</v>
      </c>
      <c r="C343" s="16" t="s">
        <v>1732</v>
      </c>
      <c r="D343" s="16" t="s">
        <v>2554</v>
      </c>
      <c r="E343" s="16">
        <v>1035</v>
      </c>
      <c r="F343" s="219" t="s">
        <f>=C343&amp;E343&amp;D343</f>
        <v>2555</v>
      </c>
      <c r="G343" s="219" t="s"/>
      <c r="H343" s="219" t="s"/>
      <c r="I343" s="219" t="s"/>
      <c r="J343" s="219" t="s"/>
      <c r="K343" s="219" t="s"/>
      <c r="L343" s="219" t="s"/>
      <c r="M343" s="219" t="s"/>
      <c r="N343" s="219" t="s"/>
    </row>
    <row r="344" spans="1:14" customHeight="true">
      <c r="A344" s="213">
        <f>=B344/13.123</f>
        <v>20.1173512154233</v>
      </c>
      <c r="B344" s="220">
        <v>264</v>
      </c>
      <c r="C344" s="16" t="s">
        <v>1732</v>
      </c>
      <c r="D344" s="16" t="s">
        <v>2089</v>
      </c>
      <c r="E344" s="16">
        <v>1080</v>
      </c>
      <c r="F344" s="219" t="s">
        <f>=C344&amp;E344&amp;D344</f>
        <v>2556</v>
      </c>
      <c r="G344" s="219" t="s"/>
      <c r="H344" s="219" t="s"/>
      <c r="I344" s="219" t="s"/>
      <c r="J344" s="219" t="s"/>
      <c r="K344" s="219" t="s"/>
      <c r="L344" s="219" t="s"/>
      <c r="M344" s="219" t="s"/>
      <c r="N344" s="219" t="s"/>
    </row>
    <row r="345" spans="1:14" customHeight="true">
      <c r="A345" s="213">
        <f>=B345/13.123</f>
        <v>32.6906957250629</v>
      </c>
      <c r="B345" s="220">
        <v>429</v>
      </c>
      <c r="C345" s="16" t="s">
        <v>1739</v>
      </c>
      <c r="D345" s="16" t="s">
        <v>2557</v>
      </c>
      <c r="E345" s="16">
        <v>1035</v>
      </c>
      <c r="F345" s="219" t="s">
        <f>=C345&amp;E345&amp;D345</f>
        <v>2558</v>
      </c>
      <c r="G345" s="219" t="s"/>
      <c r="H345" s="219" t="s"/>
      <c r="I345" s="219" t="s"/>
      <c r="J345" s="219" t="s"/>
      <c r="K345" s="219" t="s"/>
      <c r="L345" s="219" t="s"/>
      <c r="M345" s="219" t="s"/>
      <c r="N345" s="219" t="s"/>
    </row>
    <row r="346" spans="1:14" customHeight="true">
      <c r="A346" s="213">
        <f>=B346/13.123</f>
        <v>33.5289186923722</v>
      </c>
      <c r="B346" s="220">
        <v>440</v>
      </c>
      <c r="C346" s="16" t="s">
        <v>1739</v>
      </c>
      <c r="D346" s="16" t="s">
        <v>2559</v>
      </c>
      <c r="E346" s="16">
        <v>1035</v>
      </c>
      <c r="F346" s="219" t="s">
        <f>=C346&amp;E346&amp;D346</f>
        <v>2560</v>
      </c>
      <c r="G346" s="219" t="s"/>
      <c r="H346" s="219" t="s"/>
      <c r="I346" s="219" t="s"/>
      <c r="J346" s="219" t="s"/>
      <c r="K346" s="219" t="s"/>
      <c r="L346" s="219" t="s"/>
      <c r="M346" s="219" t="s"/>
      <c r="N346" s="219" t="s"/>
    </row>
    <row r="347" spans="1:14" customHeight="true">
      <c r="A347" s="213">
        <f>=B347/13.123</f>
        <v>34.3671416596815</v>
      </c>
      <c r="B347" s="220">
        <v>451</v>
      </c>
      <c r="C347" s="16" t="s">
        <v>1739</v>
      </c>
      <c r="D347" s="16" t="s">
        <v>2148</v>
      </c>
      <c r="E347" s="16">
        <v>1035</v>
      </c>
      <c r="F347" s="219" t="s">
        <f>=C347&amp;E347&amp;D347</f>
        <v>2561</v>
      </c>
      <c r="G347" s="219" t="s"/>
      <c r="H347" s="219" t="s"/>
      <c r="I347" s="219" t="s"/>
      <c r="J347" s="219" t="s"/>
      <c r="K347" s="219" t="s"/>
      <c r="L347" s="219" t="s"/>
      <c r="M347" s="219" t="s"/>
      <c r="N347" s="219" t="s"/>
    </row>
    <row r="348" spans="1:14" customHeight="true">
      <c r="A348" s="213">
        <f>=B348/13.123</f>
        <v>28.6672254819782</v>
      </c>
      <c r="B348" s="220">
        <v>376.2</v>
      </c>
      <c r="C348" s="16" t="s">
        <v>1739</v>
      </c>
      <c r="D348" s="16" t="s">
        <v>2562</v>
      </c>
      <c r="E348" s="16">
        <v>1078</v>
      </c>
      <c r="F348" s="219" t="s">
        <f>=C348&amp;E348&amp;D348</f>
        <v>2563</v>
      </c>
      <c r="G348" s="219" t="s"/>
      <c r="H348" s="219" t="s"/>
      <c r="I348" s="219" t="s"/>
      <c r="J348" s="219" t="s"/>
      <c r="K348" s="219" t="s"/>
      <c r="L348" s="219" t="s"/>
      <c r="M348" s="219" t="s"/>
      <c r="N348" s="219" t="s"/>
    </row>
    <row r="349" spans="1:14" customHeight="true">
      <c r="A349" s="213">
        <f>=B349/13.123</f>
        <v>33.5289186923722</v>
      </c>
      <c r="B349" s="220">
        <v>440</v>
      </c>
      <c r="C349" s="16" t="s">
        <v>1739</v>
      </c>
      <c r="D349" s="16" t="s">
        <v>2219</v>
      </c>
      <c r="E349" s="16">
        <v>1078</v>
      </c>
      <c r="F349" s="219" t="s">
        <f>=C349&amp;E349&amp;D349</f>
        <v>2564</v>
      </c>
      <c r="G349" s="219" t="s"/>
      <c r="H349" s="219" t="s"/>
      <c r="I349" s="219" t="s"/>
      <c r="J349" s="219" t="s"/>
      <c r="K349" s="219" t="s"/>
      <c r="L349" s="219" t="s"/>
      <c r="M349" s="219" t="s"/>
      <c r="N349" s="219" t="s"/>
    </row>
    <row r="350" spans="1:14" customHeight="true">
      <c r="A350" s="213">
        <f>=B350/13.123</f>
        <v>37.7200335289187</v>
      </c>
      <c r="B350" s="220">
        <v>495</v>
      </c>
      <c r="C350" s="16" t="s">
        <v>1739</v>
      </c>
      <c r="D350" s="16" t="s">
        <v>2290</v>
      </c>
      <c r="E350" s="16">
        <v>1078</v>
      </c>
      <c r="F350" s="219" t="s">
        <f>=C350&amp;E350&amp;D350</f>
        <v>2565</v>
      </c>
      <c r="G350" s="219" t="s"/>
      <c r="H350" s="219" t="s"/>
      <c r="I350" s="219" t="s"/>
      <c r="J350" s="219" t="s"/>
      <c r="K350" s="219" t="s"/>
      <c r="L350" s="219" t="s"/>
      <c r="M350" s="219" t="s"/>
      <c r="N350" s="219" t="s"/>
    </row>
    <row r="351" spans="1:14" customHeight="true">
      <c r="A351" s="213">
        <f>=B351/13.123</f>
        <v>34.3671416596815</v>
      </c>
      <c r="B351" s="220">
        <v>451</v>
      </c>
      <c r="C351" s="16" t="s">
        <v>1739</v>
      </c>
      <c r="D351" s="16" t="s">
        <v>2151</v>
      </c>
      <c r="E351" s="16">
        <v>1080</v>
      </c>
      <c r="F351" s="219" t="s">
        <f>=C351&amp;E351&amp;D351</f>
        <v>2566</v>
      </c>
      <c r="G351" s="219" t="s"/>
      <c r="H351" s="219" t="s"/>
      <c r="I351" s="219" t="s"/>
      <c r="J351" s="219" t="s"/>
      <c r="K351" s="219" t="s"/>
      <c r="L351" s="219" t="s"/>
      <c r="M351" s="219" t="s"/>
      <c r="N351" s="219" t="s"/>
    </row>
    <row r="352" spans="1:14" customHeight="true">
      <c r="A352" s="213">
        <f>=B352/13.123</f>
        <v>36.0435875943001</v>
      </c>
      <c r="B352" s="220">
        <v>473</v>
      </c>
      <c r="C352" s="16" t="s">
        <v>1739</v>
      </c>
      <c r="D352" s="16" t="s">
        <v>2267</v>
      </c>
      <c r="E352" s="16">
        <v>1080</v>
      </c>
      <c r="F352" s="219" t="s">
        <f>=C352&amp;E352&amp;D352</f>
        <v>2567</v>
      </c>
      <c r="G352" s="219" t="s"/>
      <c r="H352" s="219" t="s"/>
      <c r="I352" s="219" t="s"/>
      <c r="J352" s="219" t="s"/>
      <c r="K352" s="219" t="s"/>
      <c r="L352" s="219" t="s"/>
      <c r="M352" s="219" t="s"/>
      <c r="N352" s="219" t="s"/>
    </row>
    <row r="353" spans="1:14" customHeight="true">
      <c r="A353" s="213">
        <f>=B353/13.123</f>
        <v>33.5289186923722</v>
      </c>
      <c r="B353" s="220">
        <v>440</v>
      </c>
      <c r="C353" s="240" t="s">
        <v>1739</v>
      </c>
      <c r="D353" s="240" t="s">
        <v>2310</v>
      </c>
      <c r="E353" s="240">
        <v>2116</v>
      </c>
      <c r="F353" s="219" t="s">
        <f>=C353&amp;E353&amp;D353</f>
        <v>2568</v>
      </c>
      <c r="G353" s="219" t="s"/>
      <c r="H353" s="219" t="s"/>
      <c r="I353" s="219" t="s"/>
      <c r="J353" s="219" t="s"/>
      <c r="K353" s="219" t="s"/>
      <c r="L353" s="219" t="s"/>
      <c r="M353" s="219" t="s"/>
      <c r="N353" s="219" t="s"/>
    </row>
    <row r="354" spans="1:14" customHeight="true">
      <c r="A354" s="213">
        <f>=B354/13.123</f>
        <v>23.0892326449745</v>
      </c>
      <c r="B354" s="220">
        <v>303</v>
      </c>
      <c r="C354" s="16" t="s">
        <v>2569</v>
      </c>
      <c r="D354" s="16" t="s">
        <v>2242</v>
      </c>
      <c r="E354" s="157">
        <v>1035</v>
      </c>
      <c r="F354" s="219" t="s">
        <f>=C354&amp;E354&amp;D354</f>
        <v>2570</v>
      </c>
      <c r="G354" s="219" t="s"/>
      <c r="H354" s="219" t="s"/>
      <c r="I354" s="219" t="s"/>
      <c r="J354" s="219" t="s"/>
      <c r="K354" s="219" t="s"/>
      <c r="L354" s="219" t="s"/>
      <c r="M354" s="219" t="s"/>
      <c r="N354" s="219" t="s"/>
    </row>
    <row r="355" spans="1:14" customHeight="true">
      <c r="A355" s="213">
        <f>=B355/13.123</f>
        <v>23.3940409967233</v>
      </c>
      <c r="B355" s="220">
        <v>307</v>
      </c>
      <c r="C355" s="16" t="s">
        <v>2569</v>
      </c>
      <c r="D355" s="16" t="s">
        <v>2144</v>
      </c>
      <c r="E355" s="157">
        <v>1035</v>
      </c>
      <c r="F355" s="219" t="s">
        <f>=C355&amp;E355&amp;D355</f>
        <v>2571</v>
      </c>
      <c r="G355" s="219" t="s"/>
      <c r="H355" s="219" t="s"/>
      <c r="I355" s="219" t="s"/>
      <c r="J355" s="219" t="s"/>
      <c r="K355" s="219" t="s"/>
      <c r="L355" s="219" t="s"/>
      <c r="M355" s="219" t="s"/>
      <c r="N355" s="219" t="s"/>
    </row>
    <row r="356" spans="1:14" customHeight="true">
      <c r="A356" s="213">
        <f>=B356/13.123</f>
        <v>24.2322639640326</v>
      </c>
      <c r="B356" s="220">
        <v>318</v>
      </c>
      <c r="C356" s="16" t="s">
        <v>2569</v>
      </c>
      <c r="D356" s="16" t="s">
        <v>2323</v>
      </c>
      <c r="E356" s="157">
        <v>1035</v>
      </c>
      <c r="F356" s="219" t="s">
        <f>=C356&amp;E356&amp;D356</f>
        <v>2572</v>
      </c>
      <c r="G356" s="219" t="s"/>
      <c r="H356" s="219" t="s"/>
      <c r="I356" s="219" t="s"/>
      <c r="J356" s="219" t="s"/>
      <c r="K356" s="219" t="s"/>
      <c r="L356" s="219" t="s"/>
      <c r="M356" s="219" t="s"/>
      <c r="N356" s="219" t="s"/>
    </row>
    <row r="357" spans="1:14" customHeight="true">
      <c r="A357" s="213">
        <f>=B357/13.123</f>
        <v>23.6226472605349</v>
      </c>
      <c r="B357" s="220">
        <v>310</v>
      </c>
      <c r="C357" s="16" t="s">
        <v>2569</v>
      </c>
      <c r="D357" s="16" t="s">
        <v>2144</v>
      </c>
      <c r="E357" s="16">
        <v>1067</v>
      </c>
      <c r="F357" s="219" t="s">
        <f>=C357&amp;E357&amp;D357</f>
        <v>2573</v>
      </c>
      <c r="G357" s="219" t="s"/>
      <c r="H357" s="219" t="s"/>
      <c r="I357" s="219" t="s"/>
      <c r="J357" s="219" t="s"/>
      <c r="K357" s="219" t="s"/>
      <c r="L357" s="219" t="s"/>
      <c r="M357" s="219" t="s"/>
      <c r="N357" s="219" t="s"/>
    </row>
    <row r="358" spans="1:14" customHeight="true">
      <c r="A358" s="213">
        <f>=B358/13.123</f>
        <v>24.384668139907</v>
      </c>
      <c r="B358" s="220">
        <v>320</v>
      </c>
      <c r="C358" s="16" t="s">
        <v>2569</v>
      </c>
      <c r="D358" s="16" t="s">
        <v>2403</v>
      </c>
      <c r="E358" s="16">
        <v>1078</v>
      </c>
      <c r="F358" s="219" t="s">
        <f>=C358&amp;E358&amp;D358</f>
        <v>2574</v>
      </c>
      <c r="G358" s="219" t="s"/>
      <c r="H358" s="219" t="s"/>
      <c r="I358" s="219" t="s"/>
      <c r="J358" s="219" t="s"/>
      <c r="K358" s="219" t="s"/>
      <c r="L358" s="219" t="s"/>
      <c r="M358" s="219" t="s"/>
      <c r="N358" s="219" t="s"/>
    </row>
    <row r="359" spans="1:14" customHeight="true">
      <c r="A359" s="213">
        <f>=B359/13.123</f>
        <v>24.7656785795931</v>
      </c>
      <c r="B359" s="220">
        <v>325</v>
      </c>
      <c r="C359" s="16" t="s">
        <v>2569</v>
      </c>
      <c r="D359" s="16" t="s">
        <v>2219</v>
      </c>
      <c r="E359" s="16">
        <v>1078</v>
      </c>
      <c r="F359" s="219" t="s">
        <f>=C359&amp;E359&amp;D359</f>
        <v>2575</v>
      </c>
      <c r="G359" s="219" t="s"/>
      <c r="H359" s="219" t="s"/>
      <c r="I359" s="219" t="s"/>
      <c r="J359" s="219" t="s"/>
      <c r="K359" s="219" t="s"/>
      <c r="L359" s="219" t="s"/>
      <c r="M359" s="219" t="s"/>
      <c r="N359" s="219" t="s"/>
    </row>
    <row r="360" spans="1:14" customHeight="true">
      <c r="A360" s="213">
        <f>=B360/13.123</f>
        <v>61.7236912291397</v>
      </c>
      <c r="B360" s="220">
        <v>810</v>
      </c>
      <c r="C360" s="16" t="s">
        <v>2576</v>
      </c>
      <c r="D360" s="16" t="s">
        <v>2403</v>
      </c>
      <c r="E360" s="157">
        <v>1035</v>
      </c>
      <c r="F360" s="219" t="s">
        <f>=C360&amp;E360&amp;D360</f>
        <v>2577</v>
      </c>
      <c r="G360" s="219" t="s"/>
      <c r="H360" s="219" t="s"/>
      <c r="I360" s="219" t="s"/>
      <c r="J360" s="219" t="s"/>
      <c r="K360" s="219" t="s"/>
      <c r="L360" s="219" t="s"/>
      <c r="M360" s="219" t="s"/>
      <c r="N360" s="219" t="s"/>
    </row>
    <row r="361" spans="1:14" customHeight="true">
      <c r="A361" s="213">
        <f>=B361/13.123</f>
        <v>72.391983540349</v>
      </c>
      <c r="B361" s="220">
        <v>950</v>
      </c>
      <c r="C361" s="222" t="s">
        <v>2576</v>
      </c>
      <c r="D361" s="222" t="s">
        <v>2242</v>
      </c>
      <c r="E361" s="266">
        <v>1035</v>
      </c>
      <c r="F361" s="219" t="s">
        <f>=C361&amp;E361&amp;D361</f>
        <v>2578</v>
      </c>
      <c r="G361" s="219" t="s"/>
      <c r="H361" s="219" t="s"/>
      <c r="I361" s="219" t="s"/>
      <c r="J361" s="219" t="s"/>
      <c r="K361" s="219" t="s"/>
      <c r="L361" s="219" t="s"/>
      <c r="M361" s="219" t="s"/>
      <c r="N361" s="219" t="s"/>
    </row>
    <row r="362" spans="1:14" customHeight="true">
      <c r="A362" s="213">
        <f>=B362/13.123</f>
        <v>73.3064085955955</v>
      </c>
      <c r="B362" s="220">
        <v>962</v>
      </c>
      <c r="C362" s="16" t="s">
        <v>2576</v>
      </c>
      <c r="D362" s="16" t="s">
        <v>2144</v>
      </c>
      <c r="E362" s="157">
        <v>1035</v>
      </c>
      <c r="F362" s="219" t="s">
        <f>=C362&amp;E362&amp;D362</f>
        <v>2579</v>
      </c>
      <c r="G362" s="219" t="s"/>
      <c r="H362" s="219" t="s"/>
      <c r="I362" s="219" t="s"/>
      <c r="J362" s="219" t="s"/>
      <c r="K362" s="219" t="s"/>
      <c r="L362" s="219" t="s"/>
      <c r="M362" s="219" t="s"/>
      <c r="N362" s="219" t="s"/>
    </row>
    <row r="363" spans="1:14" customHeight="true">
      <c r="A363" s="213">
        <f>=B363/13.123</f>
        <v>74.6780461784653</v>
      </c>
      <c r="B363" s="220">
        <v>980</v>
      </c>
      <c r="C363" s="16" t="s">
        <v>2576</v>
      </c>
      <c r="D363" s="16" t="s">
        <v>2117</v>
      </c>
      <c r="E363" s="157">
        <v>1035</v>
      </c>
      <c r="F363" s="219" t="s">
        <f>=C363&amp;E363&amp;D363</f>
        <v>2580</v>
      </c>
      <c r="G363" s="219" t="s"/>
      <c r="H363" s="219" t="s"/>
      <c r="I363" s="219" t="s"/>
      <c r="J363" s="219" t="s"/>
      <c r="K363" s="219" t="s"/>
      <c r="L363" s="219" t="s"/>
      <c r="M363" s="219" t="s"/>
      <c r="N363" s="219" t="s"/>
    </row>
    <row r="364" spans="1:14" customHeight="true">
      <c r="A364" s="213">
        <f>=B364/13.123</f>
        <v>79.6311818943839</v>
      </c>
      <c r="B364" s="220">
        <v>1045</v>
      </c>
      <c r="C364" s="16" t="s">
        <v>2576</v>
      </c>
      <c r="D364" s="16" t="s">
        <v>2323</v>
      </c>
      <c r="E364" s="157">
        <v>1035</v>
      </c>
      <c r="F364" s="219" t="s">
        <f>=C364&amp;E364&amp;D364</f>
        <v>2581</v>
      </c>
      <c r="G364" s="219" t="s"/>
      <c r="H364" s="219" t="s"/>
      <c r="I364" s="219" t="s"/>
      <c r="J364" s="219" t="s"/>
      <c r="K364" s="219" t="s"/>
      <c r="L364" s="219" t="s"/>
      <c r="M364" s="219" t="s"/>
      <c r="N364" s="219" t="s"/>
    </row>
    <row r="365" spans="1:14" customHeight="true">
      <c r="A365" s="213">
        <f>=B365/13.123</f>
        <v>83.8222967309305</v>
      </c>
      <c r="B365" s="220">
        <v>1100</v>
      </c>
      <c r="C365" s="16" t="s">
        <v>2576</v>
      </c>
      <c r="D365" s="16" t="s">
        <v>2162</v>
      </c>
      <c r="E365" s="157">
        <v>1078</v>
      </c>
      <c r="F365" s="219" t="s">
        <f>=C365&amp;E365&amp;D365</f>
        <v>2582</v>
      </c>
      <c r="G365" s="219" t="s"/>
      <c r="H365" s="219" t="s"/>
      <c r="I365" s="219" t="s"/>
      <c r="J365" s="219" t="s"/>
      <c r="K365" s="219" t="s"/>
      <c r="L365" s="219" t="s"/>
      <c r="M365" s="219" t="s"/>
      <c r="N365" s="219" t="s"/>
    </row>
    <row r="366" spans="1:14" customHeight="true">
      <c r="A366" s="213">
        <f>=B366/13.123</f>
        <v>87.6324011277909</v>
      </c>
      <c r="B366" s="220">
        <v>1150</v>
      </c>
      <c r="C366" s="16" t="s">
        <v>2576</v>
      </c>
      <c r="D366" s="16" t="s">
        <v>2151</v>
      </c>
      <c r="E366" s="157">
        <v>1078</v>
      </c>
      <c r="F366" s="219" t="s">
        <f>=C366&amp;E366&amp;D366</f>
        <v>2583</v>
      </c>
      <c r="G366" s="219" t="s"/>
      <c r="H366" s="219" t="s"/>
      <c r="I366" s="219" t="s"/>
      <c r="J366" s="219" t="s"/>
      <c r="K366" s="219" t="s"/>
      <c r="L366" s="219" t="s"/>
      <c r="M366" s="219" t="s"/>
      <c r="N366" s="219" t="s"/>
    </row>
    <row r="367" spans="1:14" customHeight="true">
      <c r="A367" s="213">
        <f>=B367/13.123</f>
        <v>91.4425055246514</v>
      </c>
      <c r="B367" s="220">
        <v>1200</v>
      </c>
      <c r="C367" s="16" t="s">
        <v>2576</v>
      </c>
      <c r="D367" s="16" t="s">
        <v>2584</v>
      </c>
      <c r="E367" s="157">
        <v>1078</v>
      </c>
      <c r="F367" s="219" t="s">
        <f>=C367&amp;E367&amp;D367</f>
        <v>2585</v>
      </c>
      <c r="G367" s="219" t="s"/>
      <c r="H367" s="219" t="s"/>
      <c r="I367" s="219" t="s"/>
      <c r="J367" s="219" t="s"/>
      <c r="K367" s="219" t="s"/>
      <c r="L367" s="219" t="s"/>
      <c r="M367" s="219" t="s"/>
      <c r="N367" s="219" t="s"/>
    </row>
    <row r="368" spans="1:14" customHeight="true">
      <c r="A368" s="213">
        <f>=B368/13.123</f>
        <v>1.53623409281414</v>
      </c>
      <c r="B368" s="220">
        <v>20.16</v>
      </c>
      <c r="C368" s="218" t="s">
        <v>2586</v>
      </c>
      <c r="D368" s="16" t="s">
        <v>2101</v>
      </c>
      <c r="E368" s="16">
        <v>2116</v>
      </c>
      <c r="F368" s="219" t="s">
        <f>=C368&amp;E368&amp;D368</f>
        <v>2587</v>
      </c>
      <c r="G368" s="219" t="s"/>
      <c r="H368" s="219" t="s"/>
      <c r="I368" s="219" t="s"/>
      <c r="J368" s="219" t="s"/>
      <c r="K368" s="219" t="s"/>
      <c r="L368" s="219" t="s"/>
      <c r="M368" s="219" t="s"/>
      <c r="N368" s="219" t="s"/>
    </row>
    <row r="369" spans="1:14" customHeight="true">
      <c r="A369" s="213">
        <f>=B369/13.123</f>
        <v>1.59567172140517</v>
      </c>
      <c r="B369" s="220">
        <v>20.94</v>
      </c>
      <c r="C369" s="218" t="s">
        <v>2586</v>
      </c>
      <c r="D369" s="16" t="s">
        <v>2103</v>
      </c>
      <c r="E369" s="16">
        <v>2116</v>
      </c>
      <c r="F369" s="219" t="s">
        <f>=C369&amp;E369&amp;D369</f>
        <v>2588</v>
      </c>
      <c r="G369" s="219" t="s"/>
      <c r="H369" s="219" t="s"/>
      <c r="I369" s="219" t="s"/>
      <c r="J369" s="219" t="s"/>
      <c r="K369" s="219" t="s"/>
      <c r="L369" s="219" t="s"/>
      <c r="M369" s="219" t="s"/>
      <c r="N369" s="219" t="s"/>
    </row>
    <row r="370" spans="1:14" customHeight="true">
      <c r="A370" s="213">
        <f>=B370/13.123</f>
        <v>1.7259772917778</v>
      </c>
      <c r="B370" s="220">
        <v>22.65</v>
      </c>
      <c r="C370" s="218" t="s">
        <v>2586</v>
      </c>
      <c r="D370" s="16" t="s">
        <v>2107</v>
      </c>
      <c r="E370" s="16">
        <v>2116</v>
      </c>
      <c r="F370" s="219" t="s">
        <f>=C370&amp;E370&amp;D370</f>
        <v>2589</v>
      </c>
      <c r="G370" s="219" t="s"/>
      <c r="H370" s="219" t="s"/>
      <c r="I370" s="219" t="s"/>
      <c r="J370" s="219" t="s"/>
      <c r="K370" s="219" t="s"/>
      <c r="L370" s="219" t="s"/>
      <c r="M370" s="219" t="s"/>
      <c r="N370" s="219" t="s"/>
    </row>
    <row r="371" spans="1:14" customHeight="true">
      <c r="A371" s="213">
        <f>=B371/13.123</f>
        <v>1.58271736645584</v>
      </c>
      <c r="B371" s="220">
        <v>20.77</v>
      </c>
      <c r="C371" s="218" t="s">
        <v>2586</v>
      </c>
      <c r="D371" s="16" t="s">
        <v>2323</v>
      </c>
      <c r="E371" s="16">
        <v>1035</v>
      </c>
      <c r="F371" s="219" t="s">
        <f>=C371&amp;E371&amp;D371</f>
        <v>2590</v>
      </c>
      <c r="G371" s="219" t="s"/>
      <c r="H371" s="219" t="s"/>
      <c r="I371" s="219" t="s"/>
      <c r="J371" s="219" t="s"/>
      <c r="K371" s="219" t="s"/>
      <c r="L371" s="219" t="s"/>
      <c r="M371" s="219" t="s"/>
      <c r="N371" s="219" t="s"/>
    </row>
    <row r="372" spans="1:14" customHeight="true">
      <c r="A372" s="213">
        <f>=B372/13.123</f>
        <v>1.50956336203612</v>
      </c>
      <c r="B372" s="220">
        <v>19.81</v>
      </c>
      <c r="C372" s="218" t="s">
        <v>2586</v>
      </c>
      <c r="D372" s="16" t="s">
        <v>2221</v>
      </c>
      <c r="E372" s="16">
        <v>1080</v>
      </c>
      <c r="F372" s="219" t="s">
        <f>=C372&amp;E372&amp;D372</f>
        <v>2591</v>
      </c>
      <c r="G372" s="219" t="s"/>
      <c r="H372" s="219" t="s"/>
      <c r="I372" s="219" t="s"/>
      <c r="J372" s="219" t="s"/>
      <c r="K372" s="219" t="s"/>
      <c r="L372" s="219" t="s"/>
      <c r="M372" s="219" t="s"/>
      <c r="N372" s="219" t="s"/>
    </row>
    <row r="373" spans="1:14" customHeight="true">
      <c r="A373" s="213">
        <f>=B373/13.123</f>
        <v>1.57052503238589</v>
      </c>
      <c r="B373" s="220">
        <v>20.61</v>
      </c>
      <c r="C373" s="218" t="s">
        <v>2586</v>
      </c>
      <c r="D373" s="16" t="s">
        <v>2403</v>
      </c>
      <c r="E373" s="16">
        <v>1080</v>
      </c>
      <c r="F373" s="219" t="s">
        <f>=C373&amp;E373&amp;D373</f>
        <v>2592</v>
      </c>
      <c r="G373" s="219" t="s"/>
      <c r="H373" s="219" t="s"/>
      <c r="I373" s="219" t="s"/>
      <c r="J373" s="219" t="s"/>
      <c r="K373" s="219" t="s"/>
      <c r="L373" s="219" t="s"/>
      <c r="M373" s="219" t="s"/>
      <c r="N373" s="219" t="s"/>
    </row>
    <row r="374" spans="1:14" customHeight="true">
      <c r="A374" s="213">
        <f>=B374/13.123</f>
        <v>1.59490970052579</v>
      </c>
      <c r="B374" s="220">
        <v>20.93</v>
      </c>
      <c r="C374" s="218" t="s">
        <v>2586</v>
      </c>
      <c r="D374" s="16" t="s">
        <v>2091</v>
      </c>
      <c r="E374" s="16">
        <v>1080</v>
      </c>
      <c r="F374" s="219" t="s">
        <f>=C374&amp;E374&amp;D374</f>
        <v>2593</v>
      </c>
      <c r="G374" s="219" t="s"/>
      <c r="H374" s="219" t="s"/>
      <c r="I374" s="219" t="s"/>
      <c r="J374" s="219" t="s"/>
      <c r="K374" s="219" t="s"/>
      <c r="L374" s="219" t="s"/>
      <c r="M374" s="219" t="s"/>
      <c r="N374" s="219" t="s"/>
    </row>
    <row r="375" spans="1:14" customHeight="true">
      <c r="A375" s="213">
        <f>=B375/13.123</f>
        <v>1.62005638954507</v>
      </c>
      <c r="B375" s="220">
        <v>21.26</v>
      </c>
      <c r="C375" s="218" t="s">
        <v>2586</v>
      </c>
      <c r="D375" s="16" t="s">
        <v>2122</v>
      </c>
      <c r="E375" s="16">
        <v>1080</v>
      </c>
      <c r="F375" s="219" t="s">
        <f>=C375&amp;E375&amp;D375</f>
        <v>2594</v>
      </c>
      <c r="G375" s="219" t="s"/>
      <c r="H375" s="219" t="s"/>
      <c r="I375" s="219" t="s"/>
      <c r="J375" s="219" t="s"/>
      <c r="K375" s="219" t="s"/>
      <c r="L375" s="219" t="s"/>
      <c r="M375" s="219" t="s"/>
      <c r="N375" s="219" t="s"/>
    </row>
    <row r="376" spans="1:14" customHeight="true">
      <c r="A376" s="213">
        <f>=B376/13.123</f>
        <v>1.93400899184638</v>
      </c>
      <c r="B376" s="220">
        <v>25.38</v>
      </c>
      <c r="C376" s="218" t="s">
        <v>2586</v>
      </c>
      <c r="D376" s="16" t="s">
        <v>2095</v>
      </c>
      <c r="E376" s="16">
        <v>1506</v>
      </c>
      <c r="F376" s="219" t="s">
        <f>=C376&amp;E376&amp;D376</f>
        <v>2595</v>
      </c>
      <c r="G376" s="219" t="s"/>
      <c r="H376" s="219" t="s"/>
      <c r="I376" s="219" t="s"/>
      <c r="J376" s="219" t="s"/>
      <c r="K376" s="219" t="s"/>
      <c r="L376" s="219" t="s"/>
      <c r="M376" s="219" t="s"/>
      <c r="N376" s="219" t="s"/>
    </row>
    <row r="377" spans="1:14" customHeight="true">
      <c r="A377" s="213">
        <f>=B377/13.123</f>
        <v>1.77398460717824</v>
      </c>
      <c r="B377" s="220">
        <v>23.28</v>
      </c>
      <c r="C377" s="218" t="s">
        <v>2586</v>
      </c>
      <c r="D377" s="16" t="s">
        <v>2162</v>
      </c>
      <c r="E377" s="16">
        <v>2116</v>
      </c>
      <c r="F377" s="219" t="s">
        <f>=C377&amp;E377&amp;D377</f>
        <v>2596</v>
      </c>
      <c r="G377" s="219" t="s"/>
      <c r="H377" s="219" t="s"/>
      <c r="I377" s="219" t="s"/>
      <c r="J377" s="219" t="s"/>
      <c r="K377" s="219" t="s"/>
      <c r="L377" s="219" t="s"/>
      <c r="M377" s="219" t="s"/>
      <c r="N377" s="219" t="s"/>
    </row>
    <row r="378" spans="1:14" customHeight="true">
      <c r="A378" s="213">
        <f>=B378/13.123</f>
        <v>1.69930656099977</v>
      </c>
      <c r="B378" s="220">
        <v>22.3</v>
      </c>
      <c r="C378" s="218" t="s">
        <v>2586</v>
      </c>
      <c r="D378" s="16" t="s">
        <v>2109</v>
      </c>
      <c r="E378" s="16">
        <v>7628</v>
      </c>
      <c r="F378" s="219" t="s">
        <f>=C378&amp;E378&amp;D378</f>
        <v>2597</v>
      </c>
      <c r="G378" s="219" t="s"/>
      <c r="H378" s="219" t="s"/>
      <c r="I378" s="219" t="s"/>
      <c r="J378" s="219" t="s"/>
      <c r="K378" s="219" t="s"/>
      <c r="L378" s="219" t="s"/>
      <c r="M378" s="219" t="s"/>
      <c r="N378" s="219" t="s"/>
    </row>
    <row r="379" spans="1:14" customHeight="true">
      <c r="A379" s="213">
        <f>=B379/13.123</f>
        <v>1.78008077421321</v>
      </c>
      <c r="B379" s="220">
        <v>23.36</v>
      </c>
      <c r="C379" s="218" t="s">
        <v>2586</v>
      </c>
      <c r="D379" s="16" t="s">
        <v>2598</v>
      </c>
      <c r="E379" s="16">
        <v>7628</v>
      </c>
      <c r="F379" s="219" t="s">
        <f>=C379&amp;E379&amp;D379</f>
        <v>2599</v>
      </c>
      <c r="G379" s="219" t="s"/>
      <c r="H379" s="219" t="s"/>
      <c r="I379" s="219" t="s"/>
      <c r="J379" s="219" t="s"/>
      <c r="K379" s="219" t="s"/>
      <c r="L379" s="219" t="s"/>
      <c r="M379" s="219" t="s"/>
      <c r="N379" s="219" t="s"/>
    </row>
    <row r="380" spans="1:14" customHeight="true">
      <c r="A380" s="213">
        <f>=B380/13.123</f>
        <v>1.81665777642307</v>
      </c>
      <c r="B380" s="220">
        <v>23.84</v>
      </c>
      <c r="C380" s="218" t="s">
        <v>2586</v>
      </c>
      <c r="D380" s="16" t="s">
        <v>2095</v>
      </c>
      <c r="E380" s="16">
        <v>7628</v>
      </c>
      <c r="F380" s="219" t="s">
        <f>=C380&amp;E380&amp;D380</f>
        <v>2600</v>
      </c>
      <c r="G380" s="219" t="s"/>
      <c r="H380" s="219" t="s"/>
      <c r="I380" s="219" t="s"/>
      <c r="J380" s="219" t="s"/>
      <c r="K380" s="219" t="s"/>
      <c r="L380" s="219" t="s"/>
      <c r="M380" s="219" t="s"/>
      <c r="N380" s="219" t="s"/>
    </row>
    <row r="381" spans="1:14" customHeight="true">
      <c r="A381" s="213">
        <f>=B381/13.123</f>
        <v>1.81665777642307</v>
      </c>
      <c r="B381" s="220">
        <v>23.84</v>
      </c>
      <c r="C381" s="218" t="s">
        <v>2586</v>
      </c>
      <c r="D381" s="16" t="s">
        <v>2113</v>
      </c>
      <c r="E381" s="16">
        <v>7628</v>
      </c>
      <c r="F381" s="219" t="s">
        <f>=C381&amp;E381&amp;D381</f>
        <v>2601</v>
      </c>
      <c r="G381" s="219" t="s"/>
      <c r="H381" s="219" t="s"/>
      <c r="I381" s="219" t="s"/>
      <c r="J381" s="219" t="s"/>
      <c r="K381" s="219" t="s"/>
      <c r="L381" s="219" t="s"/>
      <c r="M381" s="219" t="s"/>
      <c r="N381" s="219" t="s"/>
    </row>
    <row r="382" spans="1:14" customHeight="true">
      <c r="A382" s="213">
        <f>=B382/13.123</f>
        <v>1.81665777642307</v>
      </c>
      <c r="B382" s="220">
        <v>23.84</v>
      </c>
      <c r="C382" s="218" t="s">
        <v>2586</v>
      </c>
      <c r="D382" s="16" t="s">
        <v>2097</v>
      </c>
      <c r="E382" s="16">
        <v>7628</v>
      </c>
      <c r="F382" s="219" t="s">
        <f>=C382&amp;E382&amp;D382</f>
        <v>2602</v>
      </c>
      <c r="G382" s="219" t="s"/>
      <c r="H382" s="219" t="s"/>
      <c r="I382" s="219" t="s"/>
      <c r="J382" s="219" t="s"/>
      <c r="K382" s="219" t="s"/>
      <c r="L382" s="219" t="s"/>
      <c r="M382" s="219" t="s"/>
      <c r="N382" s="219" t="s"/>
    </row>
    <row r="383" spans="1:14" customHeight="true">
      <c r="A383" s="213">
        <f>=B383/13.123</f>
        <v>1.93400899184638</v>
      </c>
      <c r="B383" s="220">
        <v>25.38</v>
      </c>
      <c r="C383" s="218" t="s">
        <v>2586</v>
      </c>
      <c r="D383" s="16" t="s">
        <v>2125</v>
      </c>
      <c r="E383" s="16">
        <v>7628</v>
      </c>
      <c r="F383" s="219" t="s">
        <f>=C383&amp;E383&amp;D383</f>
        <v>2603</v>
      </c>
      <c r="G383" s="219" t="s"/>
      <c r="H383" s="219" t="s"/>
      <c r="I383" s="219" t="s"/>
      <c r="J383" s="219" t="s"/>
      <c r="K383" s="219" t="s"/>
      <c r="L383" s="219" t="s"/>
      <c r="M383" s="219" t="s"/>
      <c r="N383" s="219" t="s"/>
    </row>
    <row r="384" spans="1:14" customHeight="true">
      <c r="A384" s="236">
        <f>=B384/13.123</f>
        <v>1.98125428636745</v>
      </c>
      <c r="B384" s="237">
        <v>26</v>
      </c>
      <c r="C384" s="238" t="s">
        <v>2586</v>
      </c>
      <c r="D384" s="11" t="s">
        <v>2103</v>
      </c>
      <c r="E384" s="13">
        <v>7628</v>
      </c>
      <c r="F384" s="216" t="s">
        <f>=C384&amp;E384&amp;D384</f>
        <v>2604</v>
      </c>
      <c r="G384" s="216" t="s"/>
      <c r="H384" s="216" t="s"/>
      <c r="I384" s="216" t="s"/>
      <c r="J384" s="216" t="s"/>
      <c r="K384" s="216" t="s"/>
      <c r="L384" s="216" t="s"/>
      <c r="M384" s="216" t="s"/>
      <c r="N384" s="216" t="s"/>
    </row>
    <row r="385" spans="1:14" customHeight="true">
      <c r="A385" s="213">
        <f>=B385/13.123</f>
        <v>1.50956336203612</v>
      </c>
      <c r="B385" s="220">
        <v>19.81</v>
      </c>
      <c r="C385" s="218" t="s">
        <v>2605</v>
      </c>
      <c r="D385" s="16" t="s">
        <v>2221</v>
      </c>
      <c r="E385" s="16">
        <v>1080</v>
      </c>
      <c r="F385" s="219" t="s">
        <f>=C385&amp;E385&amp;D385</f>
        <v>2606</v>
      </c>
      <c r="G385" s="219" t="s"/>
      <c r="H385" s="219" t="s"/>
      <c r="I385" s="219" t="s"/>
      <c r="J385" s="219" t="s"/>
      <c r="K385" s="219" t="s"/>
      <c r="L385" s="219" t="s"/>
      <c r="M385" s="219" t="s"/>
      <c r="N385" s="219" t="s"/>
    </row>
    <row r="386" spans="1:14" customHeight="true">
      <c r="A386" s="213">
        <f>=B386/13.123</f>
        <v>1.57052503238589</v>
      </c>
      <c r="B386" s="220">
        <v>20.61</v>
      </c>
      <c r="C386" s="218" t="s">
        <v>2605</v>
      </c>
      <c r="D386" s="16" t="s">
        <v>2403</v>
      </c>
      <c r="E386" s="16">
        <v>1080</v>
      </c>
      <c r="F386" s="219" t="s">
        <f>=C386&amp;E386&amp;D386</f>
        <v>2607</v>
      </c>
      <c r="G386" s="219" t="s"/>
      <c r="H386" s="219" t="s"/>
      <c r="I386" s="219" t="s"/>
      <c r="J386" s="219" t="s"/>
      <c r="K386" s="219" t="s"/>
      <c r="L386" s="219" t="s"/>
      <c r="M386" s="219" t="s"/>
      <c r="N386" s="219" t="s"/>
    </row>
    <row r="387" spans="1:14" customHeight="true">
      <c r="A387" s="213">
        <f>=B387/13.123</f>
        <v>1.59490970052579</v>
      </c>
      <c r="B387" s="220">
        <v>20.93</v>
      </c>
      <c r="C387" s="218" t="s">
        <v>2605</v>
      </c>
      <c r="D387" s="16" t="s">
        <v>2091</v>
      </c>
      <c r="E387" s="16">
        <v>1080</v>
      </c>
      <c r="F387" s="219" t="s">
        <f>=C387&amp;E387&amp;D387</f>
        <v>2608</v>
      </c>
      <c r="G387" s="219" t="s"/>
      <c r="H387" s="219" t="s"/>
      <c r="I387" s="219" t="s"/>
      <c r="J387" s="219" t="s"/>
      <c r="K387" s="219" t="s"/>
      <c r="L387" s="219" t="s"/>
      <c r="M387" s="219" t="s"/>
      <c r="N387" s="219" t="s"/>
    </row>
    <row r="388" spans="1:14" customHeight="true">
      <c r="A388" s="213">
        <f>=B388/13.123</f>
        <v>1.62005638954507</v>
      </c>
      <c r="B388" s="220">
        <v>21.26</v>
      </c>
      <c r="C388" s="218" t="s">
        <v>2605</v>
      </c>
      <c r="D388" s="16" t="s">
        <v>2122</v>
      </c>
      <c r="E388" s="16">
        <v>1080</v>
      </c>
      <c r="F388" s="219" t="s">
        <f>=C388&amp;E388&amp;D388</f>
        <v>2609</v>
      </c>
      <c r="G388" s="219" t="s"/>
      <c r="H388" s="219" t="s"/>
      <c r="I388" s="219" t="s"/>
      <c r="J388" s="219" t="s"/>
      <c r="K388" s="219" t="s"/>
      <c r="L388" s="219" t="s"/>
      <c r="M388" s="219" t="s"/>
      <c r="N388" s="219" t="s"/>
    </row>
    <row r="389" spans="1:14" customHeight="true">
      <c r="A389" s="213">
        <f>=B389/13.123</f>
        <v>1.93400899184638</v>
      </c>
      <c r="B389" s="220">
        <v>25.38</v>
      </c>
      <c r="C389" s="218" t="s">
        <v>2605</v>
      </c>
      <c r="D389" s="16" t="s">
        <v>2095</v>
      </c>
      <c r="E389" s="16">
        <v>1506</v>
      </c>
      <c r="F389" s="219" t="s">
        <f>=C389&amp;E389&amp;D389</f>
        <v>2610</v>
      </c>
      <c r="G389" s="219" t="s"/>
      <c r="H389" s="219" t="s"/>
      <c r="I389" s="219" t="s"/>
      <c r="J389" s="219" t="s"/>
      <c r="K389" s="219" t="s"/>
      <c r="L389" s="219" t="s"/>
      <c r="M389" s="219" t="s"/>
      <c r="N389" s="219" t="s"/>
    </row>
    <row r="390" spans="1:14" customHeight="true">
      <c r="A390" s="213">
        <f>=B390/13.123</f>
        <v>1.53623409281414</v>
      </c>
      <c r="B390" s="220">
        <v>20.16</v>
      </c>
      <c r="C390" s="218" t="s">
        <v>2605</v>
      </c>
      <c r="D390" s="16" t="s">
        <v>2611</v>
      </c>
      <c r="E390" s="16">
        <v>2116</v>
      </c>
      <c r="F390" s="219" t="s">
        <f>=C390&amp;E390&amp;D390</f>
        <v>2612</v>
      </c>
      <c r="G390" s="219" t="s"/>
      <c r="H390" s="219" t="s"/>
      <c r="I390" s="219" t="s"/>
      <c r="J390" s="219" t="s"/>
      <c r="K390" s="219" t="s"/>
      <c r="L390" s="219" t="s"/>
      <c r="M390" s="219" t="s"/>
      <c r="N390" s="219" t="s"/>
    </row>
    <row r="391" spans="1:14" customHeight="true">
      <c r="A391" s="213">
        <f>=B391/13.123</f>
        <v>1.59567172140517</v>
      </c>
      <c r="B391" s="220">
        <v>20.94</v>
      </c>
      <c r="C391" s="218" t="s">
        <v>2605</v>
      </c>
      <c r="D391" s="16" t="s">
        <v>2613</v>
      </c>
      <c r="E391" s="16">
        <v>2116</v>
      </c>
      <c r="F391" s="219" t="s">
        <f>=C391&amp;E391&amp;D391</f>
        <v>2614</v>
      </c>
      <c r="G391" s="219" t="s"/>
      <c r="H391" s="219" t="s"/>
      <c r="I391" s="219" t="s"/>
      <c r="J391" s="219" t="s"/>
      <c r="K391" s="219" t="s"/>
      <c r="L391" s="219" t="s"/>
      <c r="M391" s="219" t="s"/>
      <c r="N391" s="219" t="s"/>
    </row>
    <row r="392" spans="1:14" customHeight="true">
      <c r="A392" s="213">
        <f>=B392/13.123</f>
        <v>1.67644593461861</v>
      </c>
      <c r="B392" s="220">
        <v>22</v>
      </c>
      <c r="C392" s="218" t="s">
        <v>2605</v>
      </c>
      <c r="D392" s="16" t="s">
        <v>2211</v>
      </c>
      <c r="E392" s="16">
        <v>2116</v>
      </c>
      <c r="F392" s="219" t="s">
        <f>=C392&amp;E392&amp;D392</f>
        <v>2615</v>
      </c>
      <c r="G392" s="219" t="s"/>
      <c r="H392" s="219" t="s"/>
      <c r="I392" s="219" t="s"/>
      <c r="J392" s="219" t="s"/>
      <c r="K392" s="219" t="s"/>
      <c r="L392" s="219" t="s"/>
      <c r="M392" s="219" t="s"/>
      <c r="N392" s="219" t="s"/>
    </row>
    <row r="393" spans="1:14" customHeight="true">
      <c r="A393" s="213">
        <f>=B393/13.123</f>
        <v>1.58271736645584</v>
      </c>
      <c r="B393" s="220">
        <v>20.77</v>
      </c>
      <c r="C393" s="218" t="s">
        <v>2605</v>
      </c>
      <c r="D393" s="16" t="s">
        <v>2105</v>
      </c>
      <c r="E393" s="16">
        <v>2313</v>
      </c>
      <c r="F393" s="219" t="s">
        <f>=C393&amp;E393&amp;D393</f>
        <v>2616</v>
      </c>
      <c r="G393" s="219" t="s"/>
      <c r="H393" s="219" t="s"/>
      <c r="I393" s="219" t="s"/>
      <c r="J393" s="219" t="s"/>
      <c r="K393" s="219" t="s"/>
      <c r="L393" s="219" t="s"/>
      <c r="M393" s="219" t="s"/>
      <c r="N393" s="219" t="s"/>
    </row>
    <row r="394" spans="1:14" customHeight="true">
      <c r="A394" s="213">
        <f>=B394/13.123</f>
        <v>1.69930656099977</v>
      </c>
      <c r="B394" s="220">
        <v>22.3</v>
      </c>
      <c r="C394" s="218" t="s">
        <v>2605</v>
      </c>
      <c r="D394" s="16" t="s">
        <v>2109</v>
      </c>
      <c r="E394" s="16">
        <v>7628</v>
      </c>
      <c r="F394" s="219" t="s">
        <f>=C394&amp;E394&amp;D394</f>
        <v>2617</v>
      </c>
      <c r="G394" s="219" t="s"/>
      <c r="H394" s="219" t="s"/>
      <c r="I394" s="219" t="s"/>
      <c r="J394" s="219" t="s"/>
      <c r="K394" s="219" t="s"/>
      <c r="L394" s="219" t="s"/>
      <c r="M394" s="219" t="s"/>
      <c r="N394" s="219" t="s"/>
    </row>
    <row r="395" spans="1:14" customHeight="true">
      <c r="A395" s="213">
        <f>=B395/13.123</f>
        <v>1.78008077421321</v>
      </c>
      <c r="B395" s="220">
        <v>23.36</v>
      </c>
      <c r="C395" s="218" t="s">
        <v>2605</v>
      </c>
      <c r="D395" s="16" t="s">
        <v>2136</v>
      </c>
      <c r="E395" s="16">
        <v>7628</v>
      </c>
      <c r="F395" s="219" t="s">
        <f>=C395&amp;E395&amp;D395</f>
        <v>2618</v>
      </c>
      <c r="G395" s="219" t="s"/>
      <c r="H395" s="219" t="s"/>
      <c r="I395" s="219" t="s"/>
      <c r="J395" s="219" t="s"/>
      <c r="K395" s="219" t="s"/>
      <c r="L395" s="219" t="s"/>
      <c r="M395" s="219" t="s"/>
      <c r="N395" s="219" t="s"/>
    </row>
    <row r="396" spans="1:14" customHeight="true">
      <c r="A396" s="213">
        <f>=B396/13.123</f>
        <v>1.67644593461861</v>
      </c>
      <c r="B396" s="220">
        <v>22</v>
      </c>
      <c r="C396" s="218" t="s">
        <v>2605</v>
      </c>
      <c r="D396" s="16" t="s">
        <v>2095</v>
      </c>
      <c r="E396" s="16">
        <v>7628</v>
      </c>
      <c r="F396" s="219" t="s">
        <f>=C396&amp;E396&amp;D396</f>
        <v>2619</v>
      </c>
      <c r="G396" s="219" t="s"/>
      <c r="H396" s="219" t="s"/>
      <c r="I396" s="219" t="s"/>
      <c r="J396" s="219" t="s"/>
      <c r="K396" s="219" t="s"/>
      <c r="L396" s="219" t="s"/>
      <c r="M396" s="219" t="s"/>
      <c r="N396" s="219" t="s"/>
    </row>
    <row r="397" spans="1:14" customHeight="true">
      <c r="A397" s="213">
        <f>=B397/13.123</f>
        <v>1.81665777642307</v>
      </c>
      <c r="B397" s="220">
        <v>23.84</v>
      </c>
      <c r="C397" s="218" t="s">
        <v>2605</v>
      </c>
      <c r="D397" s="16" t="s">
        <v>2113</v>
      </c>
      <c r="E397" s="16">
        <v>7628</v>
      </c>
      <c r="F397" s="219" t="s">
        <f>=C397&amp;E397&amp;D397</f>
        <v>2620</v>
      </c>
      <c r="G397" s="219" t="s"/>
      <c r="H397" s="219" t="s"/>
      <c r="I397" s="219" t="s"/>
      <c r="J397" s="219" t="s"/>
      <c r="K397" s="219" t="s"/>
      <c r="L397" s="219" t="s"/>
      <c r="M397" s="219" t="s"/>
      <c r="N397" s="219" t="s"/>
    </row>
    <row r="398" spans="1:14" customHeight="true">
      <c r="A398" s="213">
        <f>=B398/13.123</f>
        <v>1.81665777642307</v>
      </c>
      <c r="B398" s="220">
        <v>23.84</v>
      </c>
      <c r="C398" s="218" t="s">
        <v>2605</v>
      </c>
      <c r="D398" s="16" t="s">
        <v>2097</v>
      </c>
      <c r="E398" s="16">
        <v>7628</v>
      </c>
      <c r="F398" s="219" t="s">
        <f>=C398&amp;E398&amp;D398</f>
        <v>2621</v>
      </c>
      <c r="G398" s="219" t="s"/>
      <c r="H398" s="219" t="s"/>
      <c r="I398" s="219" t="s"/>
      <c r="J398" s="219" t="s"/>
      <c r="K398" s="219" t="s"/>
      <c r="L398" s="219" t="s"/>
      <c r="M398" s="219" t="s"/>
      <c r="N398" s="219" t="s"/>
    </row>
    <row r="399" spans="1:14" customHeight="true">
      <c r="A399" s="213">
        <f>=B399/13.123</f>
        <v>1.67644593461861</v>
      </c>
      <c r="B399" s="220">
        <v>22</v>
      </c>
      <c r="C399" s="218" t="s">
        <v>2605</v>
      </c>
      <c r="D399" s="16" t="s">
        <v>2125</v>
      </c>
      <c r="E399" s="16">
        <v>7628</v>
      </c>
      <c r="F399" s="219" t="s">
        <f>=C399&amp;E399&amp;D399</f>
        <v>2622</v>
      </c>
      <c r="G399" s="219" t="s"/>
      <c r="H399" s="219" t="s"/>
      <c r="I399" s="219" t="s"/>
      <c r="J399" s="219" t="s"/>
      <c r="K399" s="219" t="s"/>
      <c r="L399" s="219" t="s"/>
      <c r="M399" s="219" t="s"/>
      <c r="N399" s="219" t="s"/>
    </row>
    <row r="400" spans="1:14" customHeight="true">
      <c r="A400" s="213">
        <f>=B400/13.123</f>
        <v>1.76026823134954</v>
      </c>
      <c r="B400" s="220">
        <v>23.1</v>
      </c>
      <c r="C400" s="218" t="s">
        <v>2623</v>
      </c>
      <c r="D400" s="16" t="s">
        <v>2117</v>
      </c>
      <c r="E400" s="16">
        <v>106</v>
      </c>
      <c r="F400" s="219" t="s">
        <f>=C400&amp;E400&amp;D400</f>
        <v>2624</v>
      </c>
      <c r="G400" s="219" t="s"/>
      <c r="H400" s="219" t="s"/>
      <c r="I400" s="219" t="s"/>
      <c r="J400" s="219" t="s"/>
      <c r="K400" s="219" t="s"/>
      <c r="L400" s="219" t="s"/>
      <c r="M400" s="219" t="s"/>
      <c r="N400" s="219" t="s"/>
    </row>
    <row r="401" spans="1:14" customHeight="true">
      <c r="A401" s="213">
        <f>=B401/13.123</f>
        <v>1.52327973786482</v>
      </c>
      <c r="B401" s="220">
        <v>19.99</v>
      </c>
      <c r="C401" s="218" t="s">
        <v>2623</v>
      </c>
      <c r="D401" s="16" t="s">
        <v>2261</v>
      </c>
      <c r="E401" s="16">
        <v>106</v>
      </c>
      <c r="F401" s="219" t="s">
        <f>=C401&amp;E401&amp;D401</f>
        <v>2625</v>
      </c>
      <c r="G401" s="219" t="s"/>
      <c r="H401" s="219" t="s"/>
      <c r="I401" s="219" t="s"/>
      <c r="J401" s="219" t="s"/>
      <c r="K401" s="219" t="s"/>
      <c r="L401" s="219" t="s"/>
      <c r="M401" s="219" t="s"/>
      <c r="N401" s="219" t="s"/>
    </row>
    <row r="402" spans="1:14" customHeight="true">
      <c r="A402" s="213">
        <f>=B402/13.123</f>
        <v>1.58271736645584</v>
      </c>
      <c r="B402" s="220">
        <v>20.77</v>
      </c>
      <c r="C402" s="218" t="s">
        <v>2623</v>
      </c>
      <c r="D402" s="16" t="s">
        <v>2261</v>
      </c>
      <c r="E402" s="16">
        <v>1067</v>
      </c>
      <c r="F402" s="219" t="s">
        <f>=C402&amp;E402&amp;D402</f>
        <v>2626</v>
      </c>
      <c r="G402" s="219" t="s"/>
      <c r="H402" s="219" t="s"/>
      <c r="I402" s="219" t="s"/>
      <c r="J402" s="219" t="s"/>
      <c r="K402" s="219" t="s"/>
      <c r="L402" s="219" t="s"/>
      <c r="M402" s="219" t="s"/>
      <c r="N402" s="219" t="s"/>
    </row>
    <row r="403" spans="1:14" customHeight="true">
      <c r="A403" s="213">
        <f>=B403/13.123</f>
        <v>1.93629505448449</v>
      </c>
      <c r="B403" s="220">
        <v>25.41</v>
      </c>
      <c r="C403" s="218" t="s">
        <v>2623</v>
      </c>
      <c r="D403" s="16" t="s">
        <v>2494</v>
      </c>
      <c r="E403" s="16">
        <v>1035</v>
      </c>
      <c r="F403" s="219" t="s">
        <f>=C403&amp;E403&amp;D403</f>
        <v>2627</v>
      </c>
      <c r="G403" s="219" t="s"/>
      <c r="H403" s="219" t="s"/>
      <c r="I403" s="219" t="s"/>
      <c r="J403" s="219" t="s"/>
      <c r="K403" s="219" t="s"/>
      <c r="L403" s="219" t="s"/>
      <c r="M403" s="219" t="s"/>
      <c r="N403" s="219" t="s"/>
    </row>
    <row r="404" spans="1:14" customHeight="true">
      <c r="A404" s="213">
        <f>=B404/13.123</f>
        <v>1.57052503238589</v>
      </c>
      <c r="B404" s="220">
        <v>20.61</v>
      </c>
      <c r="C404" s="218" t="s">
        <v>2623</v>
      </c>
      <c r="D404" s="16" t="s">
        <v>2628</v>
      </c>
      <c r="E404" s="16">
        <v>1080</v>
      </c>
      <c r="F404" s="219" t="s">
        <f>=C404&amp;E404&amp;D404</f>
        <v>2629</v>
      </c>
      <c r="G404" s="219" t="s"/>
      <c r="H404" s="219" t="s"/>
      <c r="I404" s="219" t="s"/>
      <c r="J404" s="219" t="s"/>
      <c r="K404" s="219" t="s"/>
      <c r="L404" s="219" t="s"/>
      <c r="M404" s="219" t="s"/>
      <c r="N404" s="219" t="s"/>
    </row>
    <row r="405" spans="1:14" customHeight="true">
      <c r="A405" s="213">
        <f>=B405/13.123</f>
        <v>1.59490970052579</v>
      </c>
      <c r="B405" s="220">
        <v>20.93</v>
      </c>
      <c r="C405" s="218" t="s">
        <v>2623</v>
      </c>
      <c r="D405" s="16" t="s">
        <v>2153</v>
      </c>
      <c r="E405" s="16">
        <v>1080</v>
      </c>
      <c r="F405" s="219" t="s">
        <f>=C405&amp;E405&amp;D405</f>
        <v>2630</v>
      </c>
      <c r="G405" s="219" t="s"/>
      <c r="H405" s="219" t="s"/>
      <c r="I405" s="219" t="s"/>
      <c r="J405" s="219" t="s"/>
      <c r="K405" s="219" t="s"/>
      <c r="L405" s="219" t="s"/>
      <c r="M405" s="219" t="s"/>
      <c r="N405" s="219" t="s"/>
    </row>
    <row r="406" spans="1:14" customHeight="true">
      <c r="A406" s="213">
        <f>=B406/13.123</f>
        <v>1.74274175112398</v>
      </c>
      <c r="B406" s="220">
        <v>22.87</v>
      </c>
      <c r="C406" s="218" t="s">
        <v>2623</v>
      </c>
      <c r="D406" s="16" t="s">
        <v>2325</v>
      </c>
      <c r="E406" s="16">
        <v>1080</v>
      </c>
      <c r="F406" s="219" t="s">
        <f>=C406&amp;E406&amp;D406</f>
        <v>2631</v>
      </c>
      <c r="G406" s="219" t="s"/>
      <c r="H406" s="219" t="s"/>
      <c r="I406" s="219" t="s"/>
      <c r="J406" s="219" t="s"/>
      <c r="K406" s="219" t="s"/>
      <c r="L406" s="219" t="s"/>
      <c r="M406" s="219" t="s"/>
      <c r="N406" s="219" t="s"/>
    </row>
    <row r="407" spans="1:14" customHeight="true">
      <c r="A407" s="213">
        <f>=B407/13.123</f>
        <v>2.01478320505982</v>
      </c>
      <c r="B407" s="220">
        <v>26.44</v>
      </c>
      <c r="C407" s="218" t="s">
        <v>2623</v>
      </c>
      <c r="D407" s="16" t="s">
        <v>2097</v>
      </c>
      <c r="E407" s="16">
        <v>1506</v>
      </c>
      <c r="F407" s="219" t="s">
        <f>=C407&amp;E407&amp;D407</f>
        <v>2632</v>
      </c>
      <c r="G407" s="219" t="s"/>
      <c r="H407" s="219" t="s"/>
      <c r="I407" s="219" t="s"/>
      <c r="J407" s="219" t="s"/>
      <c r="K407" s="219" t="s"/>
      <c r="L407" s="219" t="s"/>
      <c r="M407" s="219" t="s"/>
      <c r="N407" s="219" t="s"/>
    </row>
    <row r="408" spans="1:14" customHeight="true">
      <c r="A408" s="213">
        <f>=B408/13.123</f>
        <v>2.0536462699078</v>
      </c>
      <c r="B408" s="220">
        <v>26.95</v>
      </c>
      <c r="C408" s="218" t="s">
        <v>2623</v>
      </c>
      <c r="D408" s="16" t="s">
        <v>2107</v>
      </c>
      <c r="E408" s="16">
        <v>2313</v>
      </c>
      <c r="F408" s="219" t="s">
        <f>=C408&amp;E408&amp;D408</f>
        <v>2633</v>
      </c>
      <c r="G408" s="219" t="s"/>
      <c r="H408" s="219" t="s"/>
      <c r="I408" s="219" t="s"/>
      <c r="J408" s="219" t="s"/>
      <c r="K408" s="219" t="s"/>
      <c r="L408" s="219" t="s"/>
      <c r="M408" s="219" t="s"/>
      <c r="N408" s="219" t="s"/>
    </row>
    <row r="409" spans="1:14" customHeight="true">
      <c r="A409" s="213">
        <f>=B409/13.123</f>
        <v>1.9279128248114</v>
      </c>
      <c r="B409" s="220">
        <v>25.3</v>
      </c>
      <c r="C409" s="218" t="s">
        <v>2623</v>
      </c>
      <c r="D409" s="16" t="s">
        <v>2107</v>
      </c>
      <c r="E409" s="16">
        <v>2113</v>
      </c>
      <c r="F409" s="219" t="s">
        <f>=C409&amp;E409&amp;D409</f>
        <v>2634</v>
      </c>
      <c r="G409" s="219" t="s"/>
      <c r="H409" s="219" t="s"/>
      <c r="I409" s="219" t="s"/>
      <c r="J409" s="219" t="s"/>
      <c r="K409" s="219" t="s"/>
      <c r="L409" s="219" t="s"/>
      <c r="M409" s="219" t="s"/>
      <c r="N409" s="219" t="s"/>
    </row>
    <row r="410" spans="1:14" customHeight="true">
      <c r="A410" s="213">
        <f>=B410/13.123</f>
        <v>1.77398460717824</v>
      </c>
      <c r="B410" s="220">
        <v>23.28</v>
      </c>
      <c r="C410" s="218" t="s">
        <v>2623</v>
      </c>
      <c r="D410" s="16" t="s">
        <v>2230</v>
      </c>
      <c r="E410" s="16">
        <v>2116</v>
      </c>
      <c r="F410" s="219" t="s">
        <f>=C410&amp;E410&amp;D410</f>
        <v>2635</v>
      </c>
      <c r="G410" s="219" t="s"/>
      <c r="H410" s="219" t="s"/>
      <c r="I410" s="219" t="s"/>
      <c r="J410" s="219" t="s"/>
      <c r="K410" s="219" t="s"/>
      <c r="L410" s="219" t="s"/>
      <c r="M410" s="219" t="s"/>
      <c r="N410" s="219" t="s"/>
    </row>
    <row r="411" spans="1:14" customHeight="true">
      <c r="A411" s="213">
        <f>=B411/13.123</f>
        <v>1.7968452335594</v>
      </c>
      <c r="B411" s="220">
        <v>23.58</v>
      </c>
      <c r="C411" s="218" t="s">
        <v>2623</v>
      </c>
      <c r="D411" s="16" t="s">
        <v>2383</v>
      </c>
      <c r="E411" s="16">
        <v>2116</v>
      </c>
      <c r="F411" s="219" t="s">
        <f>=C411&amp;E411&amp;D411</f>
        <v>2636</v>
      </c>
      <c r="G411" s="219" t="s"/>
      <c r="H411" s="219" t="s"/>
      <c r="I411" s="219" t="s"/>
      <c r="J411" s="219" t="s"/>
      <c r="K411" s="219" t="s"/>
      <c r="L411" s="219" t="s"/>
      <c r="M411" s="219" t="s"/>
      <c r="N411" s="219" t="s"/>
    </row>
    <row r="412" spans="1:14" customHeight="true">
      <c r="A412" s="213">
        <f>=B412/13.123</f>
        <v>1.81970585994056</v>
      </c>
      <c r="B412" s="220">
        <v>23.88</v>
      </c>
      <c r="C412" s="218" t="s">
        <v>2623</v>
      </c>
      <c r="D412" s="16" t="s">
        <v>2272</v>
      </c>
      <c r="E412" s="16">
        <v>2116</v>
      </c>
      <c r="F412" s="219" t="s">
        <f>=C412&amp;E412&amp;D412</f>
        <v>2637</v>
      </c>
      <c r="G412" s="219" t="s"/>
      <c r="H412" s="219" t="s"/>
      <c r="I412" s="219" t="s"/>
      <c r="J412" s="219" t="s"/>
      <c r="K412" s="219" t="s"/>
      <c r="L412" s="219" t="s"/>
      <c r="M412" s="219" t="s"/>
      <c r="N412" s="219" t="s"/>
    </row>
    <row r="413" spans="1:14" customHeight="true">
      <c r="A413" s="213">
        <f>=B413/13.123</f>
        <v>1.867713175341</v>
      </c>
      <c r="B413" s="220">
        <v>24.51</v>
      </c>
      <c r="C413" s="218" t="s">
        <v>2623</v>
      </c>
      <c r="D413" s="16" t="s">
        <v>2173</v>
      </c>
      <c r="E413" s="16">
        <v>2116</v>
      </c>
      <c r="F413" s="219" t="s">
        <f>=C413&amp;E413&amp;D413</f>
        <v>2638</v>
      </c>
      <c r="G413" s="219" t="s"/>
      <c r="H413" s="219" t="s"/>
      <c r="I413" s="219" t="s"/>
      <c r="J413" s="219" t="s"/>
      <c r="K413" s="219" t="s"/>
      <c r="L413" s="219" t="s"/>
      <c r="M413" s="219" t="s"/>
      <c r="N413" s="219" t="s"/>
    </row>
    <row r="414" spans="1:14" customHeight="true">
      <c r="A414" s="236">
        <f>=B414/13.123</f>
        <v>1.88219157204907</v>
      </c>
      <c r="B414" s="237">
        <v>24.7</v>
      </c>
      <c r="C414" s="238" t="s">
        <v>2623</v>
      </c>
      <c r="D414" s="11" t="s">
        <v>2087</v>
      </c>
      <c r="E414" s="13">
        <v>2116</v>
      </c>
      <c r="F414" s="216" t="s">
        <f>=C414&amp;E414&amp;D414</f>
        <v>2639</v>
      </c>
      <c r="G414" s="216" t="s"/>
      <c r="H414" s="216" t="s"/>
      <c r="I414" s="216" t="s"/>
      <c r="J414" s="216" t="s"/>
      <c r="K414" s="216" t="s"/>
      <c r="L414" s="216" t="s"/>
      <c r="M414" s="216" t="s"/>
      <c r="N414" s="216" t="s"/>
    </row>
    <row r="415" spans="1:14" customHeight="true">
      <c r="A415" s="213">
        <f>=B415/13.123</f>
        <v>2.05059818639031</v>
      </c>
      <c r="B415" s="220">
        <v>26.91</v>
      </c>
      <c r="C415" s="218" t="s">
        <v>2623</v>
      </c>
      <c r="D415" s="131" t="s">
        <v>2640</v>
      </c>
      <c r="E415" s="16">
        <v>7628</v>
      </c>
      <c r="F415" s="219" t="s">
        <f>=C415&amp;E415&amp;D415</f>
        <v>2641</v>
      </c>
      <c r="G415" s="219" t="s"/>
      <c r="H415" s="219" t="s"/>
      <c r="I415" s="219" t="s"/>
      <c r="J415" s="219" t="s"/>
      <c r="K415" s="219" t="s"/>
      <c r="L415" s="219" t="s"/>
      <c r="M415" s="219" t="s"/>
      <c r="N415" s="219" t="s"/>
    </row>
    <row r="416" spans="1:14" customHeight="true">
      <c r="A416" s="213">
        <f>=B416/13.123</f>
        <v>2.10927379410196</v>
      </c>
      <c r="B416" s="220">
        <v>27.68</v>
      </c>
      <c r="C416" s="218" t="s">
        <v>2623</v>
      </c>
      <c r="D416" s="16" t="s">
        <v>2642</v>
      </c>
      <c r="E416" s="16">
        <v>7628</v>
      </c>
      <c r="F416" s="219" t="s">
        <f>=C416&amp;E416&amp;D416</f>
        <v>2643</v>
      </c>
      <c r="G416" s="219" t="s"/>
      <c r="H416" s="219" t="s"/>
      <c r="I416" s="219" t="s"/>
      <c r="J416" s="219" t="s"/>
      <c r="K416" s="219" t="s"/>
      <c r="L416" s="219" t="s"/>
      <c r="M416" s="219" t="s"/>
      <c r="N416" s="219" t="s"/>
    </row>
    <row r="417" spans="1:14" customHeight="true">
      <c r="A417" s="213">
        <f>=B417/13.123</f>
        <v>2.10927379410196</v>
      </c>
      <c r="B417" s="220">
        <v>27.68</v>
      </c>
      <c r="C417" s="218" t="s">
        <v>2623</v>
      </c>
      <c r="D417" s="16" t="s">
        <v>2125</v>
      </c>
      <c r="E417" s="16">
        <v>7628</v>
      </c>
      <c r="F417" s="219" t="s">
        <f>=C417&amp;E417&amp;D417</f>
        <v>2644</v>
      </c>
      <c r="G417" s="219" t="s"/>
      <c r="H417" s="219" t="s"/>
      <c r="I417" s="219" t="s"/>
      <c r="J417" s="219" t="s"/>
      <c r="K417" s="219" t="s"/>
      <c r="L417" s="219" t="s"/>
      <c r="M417" s="219" t="s"/>
      <c r="N417" s="219" t="s"/>
    </row>
    <row r="418" spans="1:14" customHeight="true">
      <c r="A418" s="213">
        <f>=B418/13.123</f>
        <v>1.59490970052579</v>
      </c>
      <c r="B418" s="220">
        <v>20.93</v>
      </c>
      <c r="C418" s="218" t="s">
        <v>2645</v>
      </c>
      <c r="D418" s="16" t="s">
        <v>2153</v>
      </c>
      <c r="E418" s="16">
        <v>1080</v>
      </c>
      <c r="F418" s="219" t="s">
        <f>=C418&amp;E418&amp;D418</f>
        <v>2646</v>
      </c>
      <c r="G418" s="219" t="s"/>
      <c r="H418" s="219" t="s"/>
      <c r="I418" s="219" t="s"/>
      <c r="J418" s="219" t="s"/>
      <c r="K418" s="219" t="s"/>
      <c r="L418" s="219" t="s"/>
      <c r="M418" s="219" t="s"/>
      <c r="N418" s="219" t="s"/>
    </row>
    <row r="419" spans="1:14" customHeight="true">
      <c r="A419" s="213">
        <f>=B419/13.123</f>
        <v>1.77398460717824</v>
      </c>
      <c r="B419" s="220">
        <v>23.28</v>
      </c>
      <c r="C419" s="218" t="s">
        <v>2645</v>
      </c>
      <c r="D419" s="16" t="s">
        <v>2438</v>
      </c>
      <c r="E419" s="16">
        <v>2116</v>
      </c>
      <c r="F419" s="219" t="s">
        <f>=C419&amp;E419&amp;D419</f>
        <v>2647</v>
      </c>
      <c r="G419" s="219" t="s"/>
      <c r="H419" s="219" t="s"/>
      <c r="I419" s="219" t="s"/>
      <c r="J419" s="219" t="s"/>
      <c r="K419" s="219" t="s"/>
      <c r="L419" s="219" t="s"/>
      <c r="M419" s="219" t="s"/>
      <c r="N419" s="219" t="s"/>
    </row>
    <row r="420" spans="1:14" customHeight="true">
      <c r="A420" s="213">
        <f>=B420/13.123</f>
        <v>1.81970585994056</v>
      </c>
      <c r="B420" s="220">
        <v>23.88</v>
      </c>
      <c r="C420" s="218" t="s">
        <v>2645</v>
      </c>
      <c r="D420" s="16" t="s">
        <v>2211</v>
      </c>
      <c r="E420" s="16">
        <v>2116</v>
      </c>
      <c r="F420" s="219" t="s">
        <f>=C420&amp;E420&amp;D420</f>
        <v>2648</v>
      </c>
      <c r="G420" s="219" t="s"/>
      <c r="H420" s="219" t="s"/>
      <c r="I420" s="219" t="s"/>
      <c r="J420" s="219" t="s"/>
      <c r="K420" s="219" t="s"/>
      <c r="L420" s="219" t="s"/>
      <c r="M420" s="219" t="s"/>
      <c r="N420" s="219" t="s"/>
    </row>
    <row r="421" spans="1:14" customHeight="true">
      <c r="A421" s="213">
        <f>=B421/13.123</f>
        <v>1.99192257867866</v>
      </c>
      <c r="B421" s="220">
        <v>26.14</v>
      </c>
      <c r="C421" s="218" t="s">
        <v>2645</v>
      </c>
      <c r="D421" s="16" t="s">
        <v>2649</v>
      </c>
      <c r="E421" s="16">
        <v>7628</v>
      </c>
      <c r="F421" s="219" t="s">
        <f>=C421&amp;E421&amp;D421</f>
        <v>2650</v>
      </c>
      <c r="G421" s="219" t="s"/>
      <c r="H421" s="219" t="s"/>
      <c r="I421" s="219" t="s"/>
      <c r="J421" s="219" t="s"/>
      <c r="K421" s="219" t="s"/>
      <c r="L421" s="219" t="s"/>
      <c r="M421" s="219" t="s"/>
      <c r="N421" s="219" t="s"/>
    </row>
    <row r="422" spans="1:14" customHeight="true">
      <c r="A422" s="213">
        <f>=B422/13.123</f>
        <v>1.87457136325535</v>
      </c>
      <c r="B422" s="220">
        <v>24.6</v>
      </c>
      <c r="C422" s="218" t="s">
        <v>2645</v>
      </c>
      <c r="D422" s="16" t="s">
        <v>2093</v>
      </c>
      <c r="E422" s="16">
        <v>7628</v>
      </c>
      <c r="F422" s="219" t="s">
        <f>=C422&amp;E422&amp;D422</f>
        <v>2651</v>
      </c>
      <c r="G422" s="219" t="s"/>
      <c r="H422" s="219" t="s"/>
      <c r="I422" s="219" t="s"/>
      <c r="J422" s="219" t="s"/>
      <c r="K422" s="219" t="s"/>
      <c r="L422" s="219" t="s"/>
      <c r="M422" s="219" t="s"/>
      <c r="N422" s="219" t="s"/>
    </row>
    <row r="423" spans="1:14" customHeight="true">
      <c r="A423" s="213">
        <f>=B423/13.123</f>
        <v>2.09555741827326</v>
      </c>
      <c r="B423" s="220">
        <v>27.5</v>
      </c>
      <c r="C423" s="218" t="s">
        <v>1960</v>
      </c>
      <c r="D423" s="16" t="s">
        <v>2403</v>
      </c>
      <c r="E423" s="16">
        <v>1080</v>
      </c>
      <c r="F423" s="219" t="s">
        <f>=C423&amp;E423&amp;D423</f>
        <v>2652</v>
      </c>
      <c r="G423" s="219" t="s"/>
      <c r="H423" s="219" t="s"/>
      <c r="I423" s="219" t="s"/>
      <c r="J423" s="219" t="s"/>
      <c r="K423" s="219" t="s"/>
      <c r="L423" s="219" t="s"/>
      <c r="M423" s="219" t="s"/>
      <c r="N423" s="219" t="s"/>
    </row>
    <row r="424" spans="1:14" customHeight="true">
      <c r="A424" s="213">
        <f>=B424/13.123</f>
        <v>2.26320201173512</v>
      </c>
      <c r="B424" s="220">
        <v>29.7</v>
      </c>
      <c r="C424" s="218" t="s">
        <v>1960</v>
      </c>
      <c r="D424" s="16" t="s">
        <v>2290</v>
      </c>
      <c r="E424" s="16">
        <v>1080</v>
      </c>
      <c r="F424" s="219" t="s">
        <f>=C424&amp;E424&amp;D424</f>
        <v>2653</v>
      </c>
      <c r="G424" s="219" t="s"/>
      <c r="H424" s="219" t="s"/>
      <c r="I424" s="219" t="s"/>
      <c r="J424" s="219" t="s"/>
      <c r="K424" s="219" t="s"/>
      <c r="L424" s="219" t="s"/>
      <c r="M424" s="219" t="s"/>
      <c r="N424" s="219" t="s"/>
    </row>
    <row r="425" spans="1:14" customHeight="true">
      <c r="A425" s="213">
        <f>=B425/13.123</f>
        <v>2.34702430846605</v>
      </c>
      <c r="B425" s="220">
        <v>30.8</v>
      </c>
      <c r="C425" s="218" t="s">
        <v>1960</v>
      </c>
      <c r="D425" s="16" t="s">
        <v>2290</v>
      </c>
      <c r="E425" s="16">
        <v>106</v>
      </c>
      <c r="F425" s="219" t="s">
        <f>=C425&amp;E425&amp;D425</f>
        <v>2654</v>
      </c>
      <c r="G425" s="219" t="s"/>
      <c r="H425" s="219" t="s"/>
      <c r="I425" s="219" t="s"/>
      <c r="J425" s="219" t="s"/>
      <c r="K425" s="219" t="s"/>
      <c r="L425" s="219" t="s"/>
      <c r="M425" s="219" t="s"/>
      <c r="N425" s="219" t="s"/>
    </row>
    <row r="426" spans="1:14" customHeight="true">
      <c r="A426" s="213">
        <f>=B426/13.123</f>
        <v>2.43084660519698</v>
      </c>
      <c r="B426" s="220">
        <v>31.9</v>
      </c>
      <c r="C426" s="218" t="s">
        <v>1960</v>
      </c>
      <c r="D426" s="16" t="s">
        <v>2323</v>
      </c>
      <c r="E426" s="16">
        <v>106</v>
      </c>
      <c r="F426" s="219" t="s">
        <f>=C426&amp;E426&amp;D426</f>
        <v>2655</v>
      </c>
      <c r="G426" s="219" t="s"/>
      <c r="H426" s="219" t="s"/>
      <c r="I426" s="219" t="s"/>
      <c r="J426" s="219" t="s"/>
      <c r="K426" s="219" t="s"/>
      <c r="L426" s="219" t="s"/>
      <c r="M426" s="219" t="s"/>
      <c r="N426" s="219" t="s"/>
    </row>
    <row r="427" spans="1:14" customHeight="true">
      <c r="A427" s="213">
        <f>=B427/13.123</f>
        <v>8.21458507963118</v>
      </c>
      <c r="B427" s="220">
        <v>107.8</v>
      </c>
      <c r="C427" s="16" t="s">
        <v>2656</v>
      </c>
      <c r="D427" s="16" t="s">
        <v>2085</v>
      </c>
      <c r="E427" s="16">
        <v>106</v>
      </c>
      <c r="F427" s="219" t="s">
        <f>=C427&amp;E427&amp;D427</f>
        <v>2657</v>
      </c>
      <c r="G427" s="219" t="s"/>
      <c r="H427" s="219" t="s"/>
      <c r="I427" s="219" t="s"/>
      <c r="J427" s="219" t="s"/>
      <c r="K427" s="219" t="s"/>
      <c r="L427" s="219" t="s"/>
      <c r="M427" s="219" t="s"/>
      <c r="N427" s="219" t="s"/>
    </row>
    <row r="428" spans="1:14" customHeight="true">
      <c r="A428" s="213">
        <f>=B428/13.123</f>
        <v>8.38222967309305</v>
      </c>
      <c r="B428" s="220">
        <v>110</v>
      </c>
      <c r="C428" s="16" t="s">
        <v>2656</v>
      </c>
      <c r="D428" s="16" t="s">
        <v>2187</v>
      </c>
      <c r="E428" s="16">
        <v>106</v>
      </c>
      <c r="F428" s="219" t="s">
        <f>=C428&amp;E428&amp;D428</f>
        <v>2658</v>
      </c>
      <c r="G428" s="219" t="s"/>
      <c r="H428" s="219" t="s"/>
      <c r="I428" s="219" t="s"/>
      <c r="J428" s="219" t="s"/>
      <c r="K428" s="219" t="s"/>
      <c r="L428" s="219" t="s"/>
      <c r="M428" s="219" t="s"/>
      <c r="N428" s="219" t="s"/>
    </row>
    <row r="429" spans="1:14" customHeight="true">
      <c r="A429" s="236">
        <f>=B429/13.123</f>
        <v>9.14425055246514</v>
      </c>
      <c r="B429" s="237">
        <v>120</v>
      </c>
      <c r="C429" s="13" t="s">
        <v>2656</v>
      </c>
      <c r="D429" s="11" t="s">
        <v>2323</v>
      </c>
      <c r="E429" s="13">
        <v>106</v>
      </c>
      <c r="F429" s="216" t="s">
        <f>=C429&amp;E429&amp;D429</f>
        <v>2659</v>
      </c>
      <c r="G429" s="216" t="s"/>
      <c r="H429" s="216" t="s"/>
      <c r="I429" s="216" t="s"/>
      <c r="J429" s="216" t="s"/>
      <c r="K429" s="216" t="s"/>
      <c r="L429" s="216" t="s"/>
      <c r="M429" s="216" t="s"/>
      <c r="N429" s="216" t="s"/>
    </row>
    <row r="430" spans="1:14" customHeight="true">
      <c r="A430" s="213">
        <f>=B430/13.123</f>
        <v>5.86756077116513</v>
      </c>
      <c r="B430" s="220">
        <v>77</v>
      </c>
      <c r="C430" s="16" t="s">
        <v>2656</v>
      </c>
      <c r="D430" s="16" t="s">
        <v>2507</v>
      </c>
      <c r="E430" s="16">
        <v>1035</v>
      </c>
      <c r="F430" s="219" t="s">
        <f>=C430&amp;E430&amp;D430</f>
        <v>2660</v>
      </c>
      <c r="G430" s="219" t="s"/>
      <c r="H430" s="219" t="s"/>
      <c r="I430" s="219" t="s"/>
      <c r="J430" s="219" t="s"/>
      <c r="K430" s="219" t="s"/>
      <c r="L430" s="219" t="s"/>
      <c r="M430" s="219" t="s"/>
      <c r="N430" s="219" t="s"/>
    </row>
    <row r="431" spans="1:14" customHeight="true">
      <c r="A431" s="213">
        <f>=B431/13.123</f>
        <v>6.37049455155071</v>
      </c>
      <c r="B431" s="220">
        <v>83.6</v>
      </c>
      <c r="C431" s="16" t="s">
        <v>2656</v>
      </c>
      <c r="D431" s="131" t="s">
        <v>2661</v>
      </c>
      <c r="E431" s="16">
        <v>1035</v>
      </c>
      <c r="F431" s="219" t="s">
        <f>=C431&amp;E431&amp;D431</f>
        <v>2662</v>
      </c>
      <c r="G431" s="219" t="s"/>
      <c r="H431" s="219" t="s"/>
      <c r="I431" s="219" t="s"/>
      <c r="J431" s="219" t="s"/>
      <c r="K431" s="219" t="s"/>
      <c r="L431" s="219" t="s"/>
      <c r="M431" s="219" t="s"/>
      <c r="N431" s="219" t="s"/>
    </row>
    <row r="432" spans="1:14" customHeight="true">
      <c r="A432" s="213">
        <f>=B432/13.123</f>
        <v>5.69991617770327</v>
      </c>
      <c r="B432" s="220">
        <v>74.8</v>
      </c>
      <c r="C432" s="16" t="s">
        <v>2656</v>
      </c>
      <c r="D432" s="16" t="s">
        <v>2267</v>
      </c>
      <c r="E432" s="16">
        <v>1078</v>
      </c>
      <c r="F432" s="219" t="s">
        <f>=C432&amp;E432&amp;D432</f>
        <v>2663</v>
      </c>
      <c r="G432" s="219" t="s"/>
      <c r="H432" s="219" t="s"/>
      <c r="I432" s="219" t="s"/>
      <c r="J432" s="219" t="s"/>
      <c r="K432" s="219" t="s"/>
      <c r="L432" s="219" t="s"/>
      <c r="M432" s="219" t="s"/>
      <c r="N432" s="219" t="s"/>
    </row>
    <row r="433" spans="1:14" customHeight="true">
      <c r="A433" s="213">
        <f>=B433/13.123</f>
        <v>6.28667225481978</v>
      </c>
      <c r="B433" s="220">
        <v>82.5</v>
      </c>
      <c r="C433" s="16" t="s">
        <v>2656</v>
      </c>
      <c r="D433" s="16" t="s">
        <v>2507</v>
      </c>
      <c r="E433" s="16">
        <v>1078</v>
      </c>
      <c r="F433" s="219" t="s">
        <f>=C433&amp;E433&amp;D433</f>
        <v>2664</v>
      </c>
      <c r="G433" s="219" t="s"/>
      <c r="H433" s="219" t="s"/>
      <c r="I433" s="219" t="s"/>
      <c r="J433" s="219" t="s"/>
      <c r="K433" s="219" t="s"/>
      <c r="L433" s="219" t="s"/>
      <c r="M433" s="219" t="s"/>
      <c r="N433" s="219" t="s"/>
    </row>
    <row r="434" spans="1:14" customHeight="true">
      <c r="A434" s="213">
        <f>=B434/13.123</f>
        <v>5.44844928751048</v>
      </c>
      <c r="B434" s="220">
        <v>71.5</v>
      </c>
      <c r="C434" s="16" t="s">
        <v>2656</v>
      </c>
      <c r="D434" s="16" t="s">
        <v>2151</v>
      </c>
      <c r="E434" s="16">
        <v>1080</v>
      </c>
      <c r="F434" s="219" t="s">
        <f>=C434&amp;E434&amp;D434</f>
        <v>2665</v>
      </c>
      <c r="G434" s="219" t="s"/>
      <c r="H434" s="219" t="s"/>
      <c r="I434" s="219" t="s"/>
      <c r="J434" s="219" t="s"/>
      <c r="K434" s="219" t="s"/>
      <c r="L434" s="219" t="s"/>
      <c r="M434" s="219" t="s"/>
      <c r="N434" s="219" t="s"/>
    </row>
    <row r="435" spans="1:14" customHeight="true">
      <c r="A435" s="213">
        <f>=B435/13.123</f>
        <v>5.61609388097234</v>
      </c>
      <c r="B435" s="220">
        <v>73.7</v>
      </c>
      <c r="C435" s="16" t="s">
        <v>2656</v>
      </c>
      <c r="D435" s="16" t="s">
        <v>2267</v>
      </c>
      <c r="E435" s="16">
        <v>1080</v>
      </c>
      <c r="F435" s="219" t="s">
        <f>=C435&amp;E435&amp;D435</f>
        <v>2666</v>
      </c>
      <c r="G435" s="219" t="s"/>
      <c r="H435" s="219" t="s"/>
      <c r="I435" s="219" t="s"/>
      <c r="J435" s="219" t="s"/>
      <c r="K435" s="219" t="s"/>
      <c r="L435" s="219" t="s"/>
      <c r="M435" s="219" t="s"/>
      <c r="N435" s="219" t="s"/>
    </row>
    <row r="436" spans="1:14" customHeight="true">
      <c r="A436" s="213">
        <f>=B436/13.123</f>
        <v>5.7837384744342</v>
      </c>
      <c r="B436" s="220">
        <v>75.9</v>
      </c>
      <c r="C436" s="16" t="s">
        <v>2656</v>
      </c>
      <c r="D436" s="16" t="s">
        <v>2290</v>
      </c>
      <c r="E436" s="16">
        <v>1080</v>
      </c>
      <c r="F436" s="219" t="s">
        <f>=C436&amp;E436&amp;D436</f>
        <v>2667</v>
      </c>
      <c r="G436" s="219" t="s"/>
      <c r="H436" s="219" t="s"/>
      <c r="I436" s="219" t="s"/>
      <c r="J436" s="219" t="s"/>
      <c r="K436" s="219" t="s"/>
      <c r="L436" s="219" t="s"/>
      <c r="M436" s="219" t="s"/>
      <c r="N436" s="219" t="s"/>
    </row>
    <row r="437" spans="1:14" customHeight="true">
      <c r="A437" s="213">
        <f>=B437/13.123</f>
        <v>5.95138306789606</v>
      </c>
      <c r="B437" s="220">
        <v>78.1</v>
      </c>
      <c r="C437" s="16" t="s">
        <v>2656</v>
      </c>
      <c r="D437" s="16" t="s">
        <v>2242</v>
      </c>
      <c r="E437" s="16">
        <v>1080</v>
      </c>
      <c r="F437" s="219" t="s">
        <f>=C437&amp;E437&amp;D437</f>
        <v>2668</v>
      </c>
      <c r="G437" s="219" t="s"/>
      <c r="H437" s="219" t="s"/>
      <c r="I437" s="219" t="s"/>
      <c r="J437" s="219" t="s"/>
      <c r="K437" s="219" t="s"/>
      <c r="L437" s="219" t="s"/>
      <c r="M437" s="219" t="s"/>
      <c r="N437" s="219" t="s"/>
    </row>
    <row r="438" spans="1:14" customHeight="true">
      <c r="A438" s="213">
        <f>=B438/13.123</f>
        <v>6.70578373847444</v>
      </c>
      <c r="B438" s="220">
        <v>88</v>
      </c>
      <c r="C438" s="16" t="s">
        <v>2656</v>
      </c>
      <c r="D438" s="16" t="s">
        <v>2105</v>
      </c>
      <c r="E438" s="16">
        <v>2116</v>
      </c>
      <c r="F438" s="219" t="s">
        <f>=C438&amp;E438&amp;D438</f>
        <v>2669</v>
      </c>
      <c r="G438" s="219" t="s"/>
      <c r="H438" s="219" t="s"/>
      <c r="I438" s="219" t="s"/>
      <c r="J438" s="219" t="s"/>
      <c r="K438" s="219" t="s"/>
      <c r="L438" s="219" t="s"/>
      <c r="M438" s="219" t="s"/>
      <c r="N438" s="219" t="s"/>
    </row>
    <row r="439" spans="1:14" customHeight="true">
      <c r="A439" s="213">
        <f>=B439/13.123</f>
        <v>6.62196144174351</v>
      </c>
      <c r="B439" s="220">
        <v>86.9</v>
      </c>
      <c r="C439" s="16" t="s">
        <v>2656</v>
      </c>
      <c r="D439" s="16" t="s">
        <v>2480</v>
      </c>
      <c r="E439" s="16">
        <v>3313</v>
      </c>
      <c r="F439" s="219" t="s">
        <f>=C439&amp;E439&amp;D439</f>
        <v>2670</v>
      </c>
      <c r="G439" s="219" t="s"/>
      <c r="H439" s="219" t="s"/>
      <c r="I439" s="219" t="s"/>
      <c r="J439" s="219" t="s"/>
      <c r="K439" s="219" t="s"/>
      <c r="L439" s="219" t="s"/>
      <c r="M439" s="219" t="s"/>
      <c r="N439" s="219" t="s"/>
    </row>
    <row r="440" spans="1:14" customHeight="true">
      <c r="A440" s="213">
        <f>=B440/13.123</f>
        <v>10.2263202011735</v>
      </c>
      <c r="B440" s="220">
        <v>134.2</v>
      </c>
      <c r="C440" s="240" t="s">
        <v>2671</v>
      </c>
      <c r="D440" s="240" t="s">
        <v>2091</v>
      </c>
      <c r="E440" s="240">
        <v>1078</v>
      </c>
      <c r="F440" s="219" t="s">
        <f>=C440&amp;E440&amp;D440</f>
        <v>2672</v>
      </c>
      <c r="G440" s="219" t="s"/>
      <c r="H440" s="219" t="s"/>
      <c r="I440" s="219" t="s"/>
      <c r="J440" s="219" t="s"/>
      <c r="K440" s="219" t="s"/>
      <c r="L440" s="219" t="s"/>
      <c r="M440" s="219" t="s"/>
      <c r="N440" s="219" t="s"/>
    </row>
    <row r="441" spans="1:14" customHeight="true">
      <c r="A441" s="213">
        <f>=B441/13.123</f>
        <v>10.896898575021</v>
      </c>
      <c r="B441" s="220">
        <v>143</v>
      </c>
      <c r="C441" s="240" t="s">
        <v>2671</v>
      </c>
      <c r="D441" s="240" t="s">
        <v>2091</v>
      </c>
      <c r="E441" s="240">
        <v>1080</v>
      </c>
      <c r="F441" s="219" t="s">
        <f>=C441&amp;E441&amp;D441</f>
        <v>2673</v>
      </c>
      <c r="G441" s="219" t="s"/>
      <c r="H441" s="219" t="s"/>
      <c r="I441" s="219" t="s"/>
      <c r="J441" s="219" t="s"/>
      <c r="K441" s="219" t="s"/>
      <c r="L441" s="219" t="s"/>
      <c r="M441" s="219" t="s"/>
      <c r="N441" s="219" t="s"/>
    </row>
    <row r="442" spans="1:14" customHeight="true">
      <c r="A442" s="213">
        <f>=B442/13.123</f>
        <v>11.7351215423303</v>
      </c>
      <c r="B442" s="220">
        <v>154</v>
      </c>
      <c r="C442" s="240" t="s">
        <v>2671</v>
      </c>
      <c r="D442" s="240" t="s">
        <v>2085</v>
      </c>
      <c r="E442" s="240">
        <v>1080</v>
      </c>
      <c r="F442" s="219" t="s">
        <f>=C442&amp;E442&amp;D442</f>
        <v>2674</v>
      </c>
      <c r="G442" s="219" t="s"/>
      <c r="H442" s="219" t="s"/>
      <c r="I442" s="219" t="s"/>
      <c r="J442" s="219" t="s"/>
      <c r="K442" s="219" t="s"/>
      <c r="L442" s="219" t="s"/>
      <c r="M442" s="219" t="s"/>
      <c r="N442" s="219" t="s"/>
    </row>
    <row r="443" spans="1:14" customHeight="true">
      <c r="A443" s="213">
        <f>=B443/13.123</f>
        <v>23.8055322715842</v>
      </c>
      <c r="B443" s="220">
        <v>312.4</v>
      </c>
      <c r="C443" s="240" t="s">
        <v>2671</v>
      </c>
      <c r="D443" s="16" t="s">
        <v>2085</v>
      </c>
      <c r="E443" s="16">
        <v>1035</v>
      </c>
      <c r="F443" s="219" t="s">
        <f>=C443&amp;E443&amp;D443</f>
        <v>2675</v>
      </c>
      <c r="G443" s="219" t="s"/>
      <c r="H443" s="219" t="s"/>
      <c r="I443" s="219" t="s"/>
      <c r="J443" s="219" t="s"/>
      <c r="K443" s="219" t="s"/>
      <c r="L443" s="219" t="s"/>
      <c r="M443" s="219" t="s"/>
      <c r="N443" s="219" t="s"/>
    </row>
    <row r="444" spans="1:14" customHeight="true">
      <c r="A444" s="213">
        <f>=B444/13.123</f>
        <v>22.2129086336966</v>
      </c>
      <c r="B444" s="220">
        <v>291.5</v>
      </c>
      <c r="C444" s="240" t="s">
        <v>2671</v>
      </c>
      <c r="D444" s="240" t="s">
        <v>2146</v>
      </c>
      <c r="E444" s="240">
        <v>1035</v>
      </c>
      <c r="F444" s="219" t="s">
        <f>=C444&amp;E444&amp;D444</f>
        <v>2676</v>
      </c>
      <c r="G444" s="219" t="s"/>
      <c r="H444" s="219" t="s"/>
      <c r="I444" s="219" t="s"/>
      <c r="J444" s="219" t="s"/>
      <c r="K444" s="219" t="s"/>
      <c r="L444" s="219" t="s"/>
      <c r="M444" s="219" t="s"/>
      <c r="N444" s="219" t="s"/>
    </row>
    <row r="445" spans="1:14" customHeight="true">
      <c r="A445" s="213">
        <f>=B445/13.123</f>
        <v>29.9245599329422</v>
      </c>
      <c r="B445" s="220">
        <v>392.7</v>
      </c>
      <c r="C445" s="240" t="s">
        <v>2671</v>
      </c>
      <c r="D445" s="240" t="s">
        <v>2162</v>
      </c>
      <c r="E445" s="240">
        <v>2116</v>
      </c>
      <c r="F445" s="219" t="s">
        <f>=C445&amp;E445&amp;D445</f>
        <v>2677</v>
      </c>
      <c r="G445" s="219" t="s"/>
      <c r="H445" s="219" t="s"/>
      <c r="I445" s="219" t="s"/>
      <c r="J445" s="219" t="s"/>
      <c r="K445" s="219" t="s"/>
      <c r="L445" s="219" t="s"/>
      <c r="M445" s="219" t="s"/>
      <c r="N445" s="219" t="s"/>
    </row>
    <row r="446" spans="1:14" customHeight="true">
      <c r="A446" s="213">
        <f>=B446/13.123</f>
        <v>22.3416901623105</v>
      </c>
      <c r="B446" s="220">
        <v>293.19</v>
      </c>
      <c r="C446" s="16" t="s">
        <v>2678</v>
      </c>
      <c r="D446" s="16" t="s">
        <v>2679</v>
      </c>
      <c r="E446" s="16">
        <v>106</v>
      </c>
      <c r="F446" s="219" t="s">
        <f>=C446&amp;E446&amp;D446</f>
        <v>2680</v>
      </c>
      <c r="G446" s="219" t="s"/>
      <c r="H446" s="219" t="s"/>
      <c r="I446" s="219" t="s"/>
      <c r="J446" s="219" t="s"/>
      <c r="K446" s="219" t="s"/>
      <c r="L446" s="219" t="s"/>
      <c r="M446" s="219" t="s"/>
      <c r="N446" s="219" t="s"/>
    </row>
    <row r="447" spans="1:14" customHeight="true">
      <c r="A447" s="213">
        <f>=B447/13.123</f>
        <v>22.785186314105</v>
      </c>
      <c r="B447" s="220">
        <v>299.01</v>
      </c>
      <c r="C447" s="16" t="s">
        <v>2678</v>
      </c>
      <c r="D447" s="16" t="s">
        <v>2146</v>
      </c>
      <c r="E447" s="16">
        <v>106</v>
      </c>
      <c r="F447" s="219" t="s">
        <f>=C447&amp;E447&amp;D447</f>
        <v>2681</v>
      </c>
      <c r="G447" s="219" t="s"/>
      <c r="H447" s="219" t="s"/>
      <c r="I447" s="219" t="s"/>
      <c r="J447" s="219" t="s"/>
      <c r="K447" s="219" t="s"/>
      <c r="L447" s="219" t="s"/>
      <c r="M447" s="219" t="s"/>
      <c r="N447" s="219" t="s"/>
    </row>
    <row r="448" spans="1:14" customHeight="true">
      <c r="A448" s="213">
        <f>=B448/13.123</f>
        <v>18.629886458889</v>
      </c>
      <c r="B448" s="220">
        <v>244.48</v>
      </c>
      <c r="C448" s="16" t="s">
        <v>2678</v>
      </c>
      <c r="D448" s="16" t="s">
        <v>2151</v>
      </c>
      <c r="E448" s="16">
        <v>1035</v>
      </c>
      <c r="F448" s="219" t="s">
        <f>=C448&amp;E448&amp;D448</f>
        <v>2682</v>
      </c>
      <c r="G448" s="219" t="s"/>
      <c r="H448" s="219" t="s"/>
      <c r="I448" s="219" t="s"/>
      <c r="J448" s="219" t="s"/>
      <c r="K448" s="219" t="s"/>
      <c r="L448" s="219" t="s"/>
      <c r="M448" s="219" t="s"/>
      <c r="N448" s="219" t="s"/>
    </row>
    <row r="449" spans="1:14" customHeight="true">
      <c r="A449" s="213">
        <f>=B449/13.123</f>
        <v>18.9232644974472</v>
      </c>
      <c r="B449" s="220">
        <v>248.33</v>
      </c>
      <c r="C449" s="240" t="s">
        <v>2678</v>
      </c>
      <c r="D449" s="240" t="s">
        <v>2403</v>
      </c>
      <c r="E449" s="240">
        <v>1035</v>
      </c>
      <c r="F449" s="219" t="s">
        <f>=C449&amp;E449&amp;D449</f>
        <v>2683</v>
      </c>
      <c r="G449" s="219" t="s"/>
      <c r="H449" s="219" t="s"/>
      <c r="I449" s="219" t="s"/>
      <c r="J449" s="219" t="s"/>
      <c r="K449" s="219" t="s"/>
      <c r="L449" s="219" t="s"/>
      <c r="M449" s="219" t="s"/>
      <c r="N449" s="219" t="s"/>
    </row>
    <row r="450" spans="1:14" customHeight="true">
      <c r="A450" s="213">
        <f>=B450/13.123</f>
        <v>20.0952526099215</v>
      </c>
      <c r="B450" s="220">
        <v>263.71</v>
      </c>
      <c r="C450" s="16" t="s">
        <v>2678</v>
      </c>
      <c r="D450" s="16" t="s">
        <v>2091</v>
      </c>
      <c r="E450" s="16">
        <v>1035</v>
      </c>
      <c r="F450" s="219" t="s">
        <f>=C450&amp;E450&amp;D450</f>
        <v>2684</v>
      </c>
      <c r="G450" s="219" t="s"/>
      <c r="H450" s="219" t="s"/>
      <c r="I450" s="219" t="s"/>
      <c r="J450" s="219" t="s"/>
      <c r="K450" s="219" t="s"/>
      <c r="L450" s="219" t="s"/>
      <c r="M450" s="219" t="s"/>
      <c r="N450" s="219" t="s"/>
    </row>
    <row r="451" spans="1:14" customHeight="true">
      <c r="A451" s="213">
        <f>=B451/13.123</f>
        <v>20.3017602682314</v>
      </c>
      <c r="B451" s="220">
        <v>266.42</v>
      </c>
      <c r="C451" s="16" t="s">
        <v>2678</v>
      </c>
      <c r="D451" s="16" t="s">
        <v>2122</v>
      </c>
      <c r="E451" s="16">
        <v>1035</v>
      </c>
      <c r="F451" s="219" t="s">
        <f>=C451&amp;E451&amp;D451</f>
        <v>2685</v>
      </c>
      <c r="G451" s="219" t="s"/>
      <c r="H451" s="219" t="s"/>
      <c r="I451" s="219" t="s"/>
      <c r="J451" s="219" t="s"/>
      <c r="K451" s="219" t="s"/>
      <c r="L451" s="219" t="s"/>
      <c r="M451" s="219" t="s"/>
      <c r="N451" s="219" t="s"/>
    </row>
    <row r="452" spans="1:14" customHeight="true">
      <c r="A452" s="213">
        <f>=B452/13.123</f>
        <v>21.4615560466357</v>
      </c>
      <c r="B452" s="220">
        <v>281.64</v>
      </c>
      <c r="C452" s="16" t="s">
        <v>2678</v>
      </c>
      <c r="D452" s="16" t="s">
        <v>2085</v>
      </c>
      <c r="E452" s="16">
        <v>1035</v>
      </c>
      <c r="F452" s="219" t="s">
        <f>=C452&amp;E452&amp;D452</f>
        <v>2686</v>
      </c>
      <c r="G452" s="219" t="s"/>
      <c r="H452" s="219" t="s"/>
      <c r="I452" s="219" t="s"/>
      <c r="J452" s="219" t="s"/>
      <c r="K452" s="219" t="s"/>
      <c r="L452" s="219" t="s"/>
      <c r="M452" s="219" t="s"/>
      <c r="N452" s="219" t="s"/>
    </row>
    <row r="453" spans="1:14" customHeight="true">
      <c r="A453" s="213">
        <f>=B453/13.123</f>
        <v>11.7351215423303</v>
      </c>
      <c r="B453" s="220">
        <v>154</v>
      </c>
      <c r="C453" s="16" t="s">
        <v>2678</v>
      </c>
      <c r="D453" s="16" t="s">
        <v>2242</v>
      </c>
      <c r="E453" s="16">
        <v>1035</v>
      </c>
      <c r="F453" s="219" t="s">
        <f>=C453&amp;E453&amp;D453</f>
        <v>2687</v>
      </c>
      <c r="G453" s="219" t="s"/>
      <c r="H453" s="219" t="s"/>
      <c r="I453" s="219" t="s"/>
      <c r="J453" s="219" t="s"/>
      <c r="K453" s="219" t="s"/>
      <c r="L453" s="219" t="s"/>
      <c r="M453" s="219" t="s"/>
      <c r="N453" s="219" t="s"/>
    </row>
    <row r="454" spans="1:14" customHeight="true">
      <c r="A454" s="213">
        <f>=B454/13.123</f>
        <v>23.7079935990246</v>
      </c>
      <c r="B454" s="220">
        <v>311.12</v>
      </c>
      <c r="C454" s="16" t="s">
        <v>2678</v>
      </c>
      <c r="D454" s="16" t="s">
        <v>2688</v>
      </c>
      <c r="E454" s="16">
        <v>1035</v>
      </c>
      <c r="F454" s="219" t="s">
        <f>=C454&amp;E454&amp;D454</f>
        <v>2689</v>
      </c>
      <c r="G454" s="219" t="s"/>
      <c r="H454" s="219" t="s"/>
      <c r="I454" s="219" t="s"/>
      <c r="J454" s="219" t="s"/>
      <c r="K454" s="219" t="s"/>
      <c r="L454" s="219" t="s"/>
      <c r="M454" s="219" t="s"/>
      <c r="N454" s="219" t="s"/>
    </row>
    <row r="455" spans="1:14" customHeight="true">
      <c r="A455" s="213">
        <f>=B455/13.123</f>
        <v>12.1542330259849</v>
      </c>
      <c r="B455" s="220">
        <v>159.5</v>
      </c>
      <c r="C455" s="240" t="s">
        <v>2678</v>
      </c>
      <c r="D455" s="240" t="s">
        <v>2144</v>
      </c>
      <c r="E455" s="240">
        <v>1035</v>
      </c>
      <c r="F455" s="219" t="s">
        <f>=C455&amp;E455&amp;D455</f>
        <v>2690</v>
      </c>
      <c r="G455" s="219" t="s"/>
      <c r="H455" s="219" t="s"/>
      <c r="I455" s="219" t="s"/>
      <c r="J455" s="219" t="s"/>
      <c r="K455" s="219" t="s"/>
      <c r="L455" s="219" t="s"/>
      <c r="M455" s="219" t="s"/>
      <c r="N455" s="219" t="s"/>
    </row>
    <row r="456" spans="1:14" customHeight="true">
      <c r="A456" s="213">
        <f>=B456/13.123</f>
        <v>24.6704259696716</v>
      </c>
      <c r="B456" s="220">
        <v>323.75</v>
      </c>
      <c r="C456" s="240" t="s">
        <v>2678</v>
      </c>
      <c r="D456" s="240" t="s">
        <v>2146</v>
      </c>
      <c r="E456" s="240">
        <v>1035</v>
      </c>
      <c r="F456" s="219" t="s">
        <f>=C456&amp;E456&amp;D456</f>
        <v>2691</v>
      </c>
      <c r="G456" s="219" t="s"/>
      <c r="H456" s="219" t="s"/>
      <c r="I456" s="219" t="s"/>
      <c r="J456" s="219" t="s"/>
      <c r="K456" s="219" t="s"/>
      <c r="L456" s="219" t="s"/>
      <c r="M456" s="219" t="s"/>
      <c r="N456" s="219" t="s"/>
    </row>
    <row r="457" spans="1:14" customHeight="true">
      <c r="A457" s="213">
        <f>=B457/13.123</f>
        <v>29.1465366151033</v>
      </c>
      <c r="B457" s="220">
        <v>382.49</v>
      </c>
      <c r="C457" s="240" t="s">
        <v>2678</v>
      </c>
      <c r="D457" s="240" t="s">
        <v>2692</v>
      </c>
      <c r="E457" s="240">
        <v>1035</v>
      </c>
      <c r="F457" s="219" t="s">
        <f>=C457&amp;E457&amp;D457</f>
        <v>2693</v>
      </c>
      <c r="G457" s="219" t="s"/>
      <c r="H457" s="219" t="s"/>
      <c r="I457" s="219" t="s"/>
      <c r="J457" s="219" t="s"/>
      <c r="K457" s="219" t="s"/>
      <c r="L457" s="219" t="s"/>
      <c r="M457" s="219" t="s"/>
      <c r="N457" s="219" t="s"/>
    </row>
    <row r="458" spans="1:14" customHeight="true">
      <c r="A458" s="213">
        <f>=B458/13.123</f>
        <v>14.6689019279128</v>
      </c>
      <c r="B458" s="220">
        <v>192.5</v>
      </c>
      <c r="C458" s="240" t="s">
        <v>2678</v>
      </c>
      <c r="D458" s="240" t="s">
        <v>2298</v>
      </c>
      <c r="E458" s="240">
        <v>1078</v>
      </c>
      <c r="F458" s="219" t="s">
        <f>=C458&amp;E458&amp;D458</f>
        <v>2694</v>
      </c>
      <c r="G458" s="219" t="s"/>
      <c r="H458" s="219" t="s"/>
      <c r="I458" s="219" t="s"/>
      <c r="J458" s="219" t="s"/>
      <c r="K458" s="219" t="s"/>
      <c r="L458" s="219" t="s"/>
      <c r="M458" s="219" t="s"/>
      <c r="N458" s="219" t="s"/>
    </row>
    <row r="459" spans="1:14" customHeight="true">
      <c r="A459" s="213">
        <f>=B459/13.123</f>
        <v>15.0880134115675</v>
      </c>
      <c r="B459" s="220">
        <v>198</v>
      </c>
      <c r="C459" s="240" t="s">
        <v>2678</v>
      </c>
      <c r="D459" s="240" t="s">
        <v>2091</v>
      </c>
      <c r="E459" s="267">
        <v>1078</v>
      </c>
      <c r="F459" s="219" t="s">
        <f>=C459&amp;E459&amp;D459</f>
        <v>2695</v>
      </c>
      <c r="G459" s="219" t="s"/>
      <c r="H459" s="219" t="s"/>
      <c r="I459" s="219" t="s"/>
      <c r="J459" s="219" t="s"/>
      <c r="K459" s="219" t="s"/>
      <c r="L459" s="219" t="s"/>
      <c r="M459" s="219" t="s"/>
      <c r="N459" s="219" t="s"/>
    </row>
    <row r="460" spans="1:14" customHeight="true">
      <c r="A460" s="213">
        <f>=B460/13.123</f>
        <v>16.7644593461861</v>
      </c>
      <c r="B460" s="220">
        <v>220</v>
      </c>
      <c r="C460" s="240" t="s">
        <v>2678</v>
      </c>
      <c r="D460" s="240" t="s">
        <v>2122</v>
      </c>
      <c r="E460" s="267">
        <v>1078</v>
      </c>
      <c r="F460" s="219" t="s">
        <f>=C460&amp;E460&amp;D460</f>
        <v>2696</v>
      </c>
      <c r="G460" s="219" t="s"/>
      <c r="H460" s="219" t="s"/>
      <c r="I460" s="219" t="s"/>
      <c r="J460" s="219" t="s"/>
      <c r="K460" s="219" t="s"/>
      <c r="L460" s="219" t="s"/>
      <c r="M460" s="219" t="s"/>
      <c r="N460" s="219" t="s"/>
    </row>
    <row r="461" spans="1:14" customHeight="true">
      <c r="A461" s="213">
        <f>=B461/13.123</f>
        <v>18.9438390611903</v>
      </c>
      <c r="B461" s="220">
        <v>248.6</v>
      </c>
      <c r="C461" s="240" t="s">
        <v>2678</v>
      </c>
      <c r="D461" s="240" t="s">
        <v>2221</v>
      </c>
      <c r="E461" s="240">
        <v>1080</v>
      </c>
      <c r="F461" s="219" t="s">
        <f>=C461&amp;E461&amp;D461</f>
        <v>2697</v>
      </c>
      <c r="G461" s="219" t="s"/>
      <c r="H461" s="219" t="s"/>
      <c r="I461" s="219" t="s"/>
      <c r="J461" s="219" t="s"/>
      <c r="K461" s="219" t="s"/>
      <c r="L461" s="219" t="s"/>
      <c r="M461" s="219" t="s"/>
      <c r="N461" s="219" t="s"/>
    </row>
    <row r="462" spans="1:14" customHeight="true">
      <c r="A462" s="213">
        <f>=B462/13.123</f>
        <v>20.2011735121542</v>
      </c>
      <c r="B462" s="220">
        <v>265.1</v>
      </c>
      <c r="C462" s="240" t="s">
        <v>2678</v>
      </c>
      <c r="D462" s="240" t="s">
        <v>2403</v>
      </c>
      <c r="E462" s="267">
        <v>1080</v>
      </c>
      <c r="F462" s="219" t="s">
        <f>=C462&amp;E462&amp;D462</f>
        <v>2698</v>
      </c>
      <c r="G462" s="219" t="s"/>
      <c r="H462" s="219" t="s"/>
      <c r="I462" s="219" t="s"/>
      <c r="J462" s="219" t="s"/>
      <c r="K462" s="219" t="s"/>
      <c r="L462" s="219" t="s"/>
      <c r="M462" s="219" t="s"/>
      <c r="N462" s="219" t="s"/>
    </row>
    <row r="463" spans="1:14" customHeight="true">
      <c r="A463" s="213">
        <f>=B463/13.123</f>
        <v>23.7217099748533</v>
      </c>
      <c r="B463" s="220">
        <v>311.3</v>
      </c>
      <c r="C463" s="240" t="s">
        <v>2678</v>
      </c>
      <c r="D463" s="240" t="s">
        <v>2422</v>
      </c>
      <c r="E463" s="267">
        <v>1080</v>
      </c>
      <c r="F463" s="219" t="s">
        <f>=C463&amp;E463&amp;D463</f>
        <v>2699</v>
      </c>
      <c r="G463" s="219" t="s"/>
      <c r="H463" s="219" t="s"/>
      <c r="I463" s="219" t="s"/>
      <c r="J463" s="219" t="s"/>
      <c r="K463" s="219" t="s"/>
      <c r="L463" s="219" t="s"/>
      <c r="M463" s="219" t="s"/>
      <c r="N463" s="219" t="s"/>
    </row>
    <row r="464" spans="1:14" customHeight="true">
      <c r="A464" s="213">
        <f>=B464/13.123</f>
        <v>12.9924559932942</v>
      </c>
      <c r="B464" s="220">
        <v>170.5</v>
      </c>
      <c r="C464" s="240" t="s">
        <v>2678</v>
      </c>
      <c r="D464" s="240" t="s">
        <v>2105</v>
      </c>
      <c r="E464" s="267">
        <v>2116</v>
      </c>
      <c r="F464" s="219" t="s">
        <f>=C464&amp;E464&amp;D464</f>
        <v>2700</v>
      </c>
      <c r="G464" s="219" t="s"/>
      <c r="H464" s="219" t="s"/>
      <c r="I464" s="219" t="s"/>
      <c r="J464" s="219" t="s"/>
      <c r="K464" s="219" t="s"/>
      <c r="L464" s="219" t="s"/>
      <c r="M464" s="219" t="s"/>
      <c r="N464" s="219" t="s"/>
    </row>
    <row r="465" spans="1:14" customHeight="true">
      <c r="A465" s="213">
        <f>=B465/13.123</f>
        <v>13.5792120704107</v>
      </c>
      <c r="B465" s="220">
        <v>178.2</v>
      </c>
      <c r="C465" s="240" t="s">
        <v>2678</v>
      </c>
      <c r="D465" s="240" t="s">
        <v>2107</v>
      </c>
      <c r="E465" s="267">
        <v>3313</v>
      </c>
      <c r="F465" s="219" t="s">
        <f>=C465&amp;E465&amp;D465</f>
        <v>2701</v>
      </c>
      <c r="G465" s="219" t="s"/>
      <c r="H465" s="219" t="s"/>
      <c r="I465" s="219" t="s"/>
      <c r="J465" s="219" t="s"/>
      <c r="K465" s="219" t="s"/>
      <c r="L465" s="219" t="s"/>
      <c r="M465" s="219" t="s"/>
      <c r="N465" s="219" t="s"/>
    </row>
    <row r="466" spans="1:14" customHeight="true">
      <c r="A466" s="213">
        <f>=B466/13.123</f>
        <v>44.0067057837385</v>
      </c>
      <c r="B466" s="220">
        <v>577.5</v>
      </c>
      <c r="C466" s="16" t="s">
        <v>2702</v>
      </c>
      <c r="D466" s="16" t="s">
        <v>2261</v>
      </c>
      <c r="E466" s="239">
        <v>1035</v>
      </c>
      <c r="F466" s="219" t="s">
        <f>=C466&amp;E466&amp;D466</f>
        <v>2703</v>
      </c>
      <c r="G466" s="219" t="s"/>
      <c r="H466" s="219" t="s"/>
      <c r="I466" s="219" t="s"/>
      <c r="J466" s="219" t="s"/>
      <c r="K466" s="219" t="s"/>
      <c r="L466" s="219" t="s"/>
      <c r="M466" s="219" t="s"/>
      <c r="N466" s="219" t="s"/>
    </row>
    <row r="467" spans="1:14" customHeight="true">
      <c r="A467" s="213">
        <f>=B467/13.123</f>
        <v>43.5875943000838</v>
      </c>
      <c r="B467" s="220">
        <v>572</v>
      </c>
      <c r="C467" s="16" t="s">
        <v>2702</v>
      </c>
      <c r="D467" s="16" t="s">
        <v>2089</v>
      </c>
      <c r="E467" s="239">
        <v>1078</v>
      </c>
      <c r="F467" s="219" t="s">
        <f>=C467&amp;E467&amp;D467</f>
        <v>2704</v>
      </c>
      <c r="G467" s="219" t="s"/>
      <c r="H467" s="219" t="s"/>
      <c r="I467" s="219" t="s"/>
      <c r="J467" s="219" t="s"/>
      <c r="K467" s="219" t="s"/>
      <c r="L467" s="219" t="s"/>
      <c r="M467" s="219" t="s"/>
      <c r="N467" s="219" t="s"/>
    </row>
    <row r="468" spans="1:14" customHeight="true">
      <c r="A468" s="213">
        <f>=B468/13.123</f>
        <v>44.4258172673931</v>
      </c>
      <c r="B468" s="220">
        <v>583</v>
      </c>
      <c r="C468" s="16" t="s">
        <v>2702</v>
      </c>
      <c r="D468" s="16" t="s">
        <v>2290</v>
      </c>
      <c r="E468" s="239">
        <v>1078</v>
      </c>
      <c r="F468" s="219" t="s">
        <f>=C468&amp;E468&amp;D468</f>
        <v>2705</v>
      </c>
      <c r="G468" s="219" t="s"/>
      <c r="H468" s="219" t="s"/>
      <c r="I468" s="219" t="s"/>
      <c r="J468" s="219" t="s"/>
      <c r="K468" s="219" t="s"/>
      <c r="L468" s="219" t="s"/>
      <c r="M468" s="219" t="s"/>
      <c r="N468" s="219" t="s"/>
    </row>
    <row r="469" spans="1:14" customHeight="true">
      <c r="A469" s="213">
        <f>=B469/13.123</f>
        <v>15.0880134115675</v>
      </c>
      <c r="B469" s="220">
        <v>198</v>
      </c>
      <c r="C469" s="268" t="s">
        <v>2706</v>
      </c>
      <c r="D469" s="16" t="s">
        <v>2290</v>
      </c>
      <c r="E469" s="239">
        <v>1078</v>
      </c>
      <c r="F469" s="219" t="s">
        <f>=C469&amp;E469&amp;D469</f>
        <v>2707</v>
      </c>
      <c r="G469" s="219" t="s"/>
      <c r="H469" s="219" t="s"/>
      <c r="I469" s="219" t="s"/>
      <c r="J469" s="219" t="s"/>
      <c r="K469" s="219" t="s"/>
      <c r="L469" s="219" t="s"/>
      <c r="M469" s="219" t="s"/>
      <c r="N469" s="219" t="s"/>
    </row>
    <row r="470" spans="1:14" customHeight="true">
      <c r="A470" s="213">
        <f>=B470/13.123</f>
        <v>17.6865046102263</v>
      </c>
      <c r="B470" s="220">
        <v>232.1</v>
      </c>
      <c r="C470" s="131" t="s">
        <v>2708</v>
      </c>
      <c r="D470" s="269" t="s">
        <v>2709</v>
      </c>
      <c r="E470" s="239">
        <v>3313</v>
      </c>
      <c r="F470" s="219" t="s">
        <f>=C470&amp;E470&amp;D470</f>
        <v>2710</v>
      </c>
      <c r="G470" s="219" t="s"/>
      <c r="H470" s="219" t="s"/>
      <c r="I470" s="219" t="s"/>
      <c r="J470" s="219" t="s"/>
      <c r="K470" s="219" t="s"/>
      <c r="L470" s="219" t="s"/>
      <c r="M470" s="219" t="s"/>
      <c r="N470" s="219" t="s"/>
    </row>
    <row r="471" spans="1:14" customHeight="true">
      <c r="A471" s="213">
        <f>=B471/13.123</f>
        <v>18.02179379715</v>
      </c>
      <c r="B471" s="220">
        <v>236.5</v>
      </c>
      <c r="C471" s="75" t="s">
        <v>2708</v>
      </c>
      <c r="D471" s="269" t="s">
        <v>2175</v>
      </c>
      <c r="E471" s="239">
        <v>3313</v>
      </c>
      <c r="F471" s="219" t="s">
        <f>=C471&amp;E471&amp;D471</f>
        <v>2711</v>
      </c>
      <c r="G471" s="219" t="s"/>
      <c r="H471" s="219" t="s"/>
      <c r="I471" s="219" t="s"/>
      <c r="J471" s="219" t="s"/>
      <c r="K471" s="219" t="s"/>
      <c r="L471" s="219" t="s"/>
      <c r="M471" s="219" t="s"/>
      <c r="N471" s="219" t="s"/>
    </row>
    <row r="472" spans="1:14" customHeight="true">
      <c r="A472" s="213">
        <f>=B472/13.123</f>
        <v>13.243922883487</v>
      </c>
      <c r="B472" s="220">
        <v>173.8</v>
      </c>
      <c r="C472" s="75" t="s">
        <v>2708</v>
      </c>
      <c r="D472" s="218" t="s">
        <v>2122</v>
      </c>
      <c r="E472" s="16">
        <v>1035</v>
      </c>
      <c r="F472" s="219" t="s">
        <f>=C472&amp;E472&amp;D472</f>
        <v>2712</v>
      </c>
      <c r="G472" s="219" t="s"/>
      <c r="H472" s="219" t="s"/>
      <c r="I472" s="219" t="s"/>
      <c r="J472" s="219" t="s"/>
      <c r="K472" s="219" t="s"/>
      <c r="L472" s="219" t="s"/>
      <c r="M472" s="219" t="s"/>
      <c r="N472" s="219" t="s"/>
    </row>
    <row r="473" spans="1:14" customHeight="true">
      <c r="A473" s="213">
        <f>=B473/13.123</f>
        <v>14.2497904442582</v>
      </c>
      <c r="B473" s="220">
        <v>187</v>
      </c>
      <c r="C473" s="75" t="s">
        <v>2708</v>
      </c>
      <c r="D473" s="218" t="s">
        <v>2459</v>
      </c>
      <c r="E473" s="16">
        <v>1035</v>
      </c>
      <c r="F473" s="219" t="s">
        <f>=C473&amp;E473&amp;D473</f>
        <v>2713</v>
      </c>
      <c r="G473" s="219" t="s"/>
      <c r="H473" s="219" t="s"/>
      <c r="I473" s="219" t="s"/>
      <c r="J473" s="219" t="s"/>
      <c r="K473" s="219" t="s"/>
      <c r="L473" s="219" t="s"/>
      <c r="M473" s="219" t="s"/>
      <c r="N473" s="219" t="s"/>
    </row>
    <row r="474" spans="1:14" customHeight="true">
      <c r="A474" s="213">
        <f>=B474/13.123</f>
        <v>14.5850796311819</v>
      </c>
      <c r="B474" s="220">
        <v>191.4</v>
      </c>
      <c r="C474" s="75" t="s">
        <v>2708</v>
      </c>
      <c r="D474" s="16" t="s">
        <v>2714</v>
      </c>
      <c r="E474" s="239">
        <v>1078</v>
      </c>
      <c r="F474" s="219" t="s">
        <f>=C474&amp;E474&amp;D474</f>
        <v>2715</v>
      </c>
      <c r="G474" s="219" t="s"/>
      <c r="H474" s="219" t="s"/>
      <c r="I474" s="219" t="s"/>
      <c r="J474" s="219" t="s"/>
      <c r="K474" s="219" t="s"/>
      <c r="L474" s="219" t="s"/>
      <c r="M474" s="219" t="s"/>
      <c r="N474" s="219" t="s"/>
    </row>
    <row r="475" spans="1:14" customHeight="true">
      <c r="A475" s="213">
        <f>=B475/13.123</f>
        <v>14.6689019279128</v>
      </c>
      <c r="B475" s="220">
        <v>192.5</v>
      </c>
      <c r="C475" s="75" t="s">
        <v>2708</v>
      </c>
      <c r="D475" s="16" t="s">
        <v>2085</v>
      </c>
      <c r="E475" s="239">
        <v>1078</v>
      </c>
      <c r="F475" s="219" t="s">
        <f>=C475&amp;E475&amp;D475</f>
        <v>2716</v>
      </c>
      <c r="G475" s="219" t="s"/>
      <c r="H475" s="219" t="s"/>
      <c r="I475" s="219" t="s"/>
      <c r="J475" s="219" t="s"/>
      <c r="K475" s="219" t="s"/>
      <c r="L475" s="219" t="s"/>
      <c r="M475" s="219" t="s"/>
      <c r="N475" s="219" t="s"/>
    </row>
    <row r="476" spans="1:14" customHeight="true">
      <c r="A476" s="213">
        <f>=B476/13.123</f>
        <v>19.279128248114</v>
      </c>
      <c r="B476" s="220">
        <v>253</v>
      </c>
      <c r="C476" s="75" t="s">
        <v>2708</v>
      </c>
      <c r="D476" s="16" t="s">
        <v>2144</v>
      </c>
      <c r="E476" s="239">
        <v>1078</v>
      </c>
      <c r="F476" s="219" t="s">
        <f>=C476&amp;E476&amp;D476</f>
        <v>2717</v>
      </c>
      <c r="G476" s="219" t="s"/>
      <c r="H476" s="219" t="s"/>
      <c r="I476" s="219" t="s"/>
      <c r="J476" s="219" t="s"/>
      <c r="K476" s="219" t="s"/>
      <c r="L476" s="219" t="s"/>
      <c r="M476" s="219" t="s"/>
      <c r="N476" s="219" t="s"/>
    </row>
    <row r="477" spans="1:14" customHeight="true">
      <c r="A477" s="213">
        <f>=B477/13.123</f>
        <v>19.279128248114</v>
      </c>
      <c r="B477" s="220">
        <v>253</v>
      </c>
      <c r="C477" s="75" t="s">
        <v>2708</v>
      </c>
      <c r="D477" s="16" t="s">
        <v>2189</v>
      </c>
      <c r="E477" s="239">
        <v>1078</v>
      </c>
      <c r="F477" s="219" t="s">
        <f>=C477&amp;E477&amp;D477</f>
        <v>2718</v>
      </c>
      <c r="G477" s="219" t="s"/>
      <c r="H477" s="219" t="s"/>
      <c r="I477" s="219" t="s"/>
      <c r="J477" s="219" t="s"/>
      <c r="K477" s="219" t="s"/>
      <c r="L477" s="219" t="s"/>
      <c r="M477" s="219" t="s"/>
      <c r="N477" s="219" t="s"/>
    </row>
    <row r="478" spans="1:14" customHeight="true">
      <c r="A478" s="213">
        <f>=B478/13.123</f>
        <v>14.6689019279128</v>
      </c>
      <c r="B478" s="220">
        <v>192.5</v>
      </c>
      <c r="C478" s="75" t="s">
        <v>2708</v>
      </c>
      <c r="D478" s="240" t="s">
        <v>2155</v>
      </c>
      <c r="E478" s="239">
        <v>1080</v>
      </c>
      <c r="F478" s="219" t="s">
        <f>=C478&amp;E478&amp;D478</f>
        <v>2719</v>
      </c>
      <c r="G478" s="219" t="s"/>
      <c r="H478" s="219" t="s"/>
      <c r="I478" s="219" t="s"/>
      <c r="J478" s="219" t="s"/>
      <c r="K478" s="219" t="s"/>
      <c r="L478" s="219" t="s"/>
      <c r="M478" s="219" t="s"/>
      <c r="N478" s="219" t="s"/>
    </row>
    <row r="479" spans="1:14" customHeight="true">
      <c r="A479" s="213">
        <f>=B479/13.123</f>
        <v>14.8365465213747</v>
      </c>
      <c r="B479" s="220">
        <v>194.7</v>
      </c>
      <c r="C479" s="75" t="s">
        <v>2708</v>
      </c>
      <c r="D479" s="240" t="s">
        <v>2085</v>
      </c>
      <c r="E479" s="240">
        <v>1080</v>
      </c>
      <c r="F479" s="219" t="s">
        <f>=C479&amp;E479&amp;D479</f>
        <v>2720</v>
      </c>
      <c r="G479" s="219" t="s"/>
      <c r="H479" s="219" t="s"/>
      <c r="I479" s="219" t="s"/>
      <c r="J479" s="219" t="s"/>
      <c r="K479" s="219" t="s"/>
      <c r="L479" s="219" t="s"/>
      <c r="M479" s="219" t="s"/>
      <c r="N479" s="219" t="s"/>
    </row>
    <row r="480" spans="1:14" customHeight="true">
      <c r="A480" s="213">
        <f>=B480/13.123</f>
        <v>1.55909471919531</v>
      </c>
      <c r="B480" s="220">
        <v>20.46</v>
      </c>
      <c r="C480" s="218" t="s">
        <v>2116</v>
      </c>
      <c r="D480" s="16" t="s">
        <v>2151</v>
      </c>
      <c r="E480" s="16">
        <v>1080</v>
      </c>
      <c r="F480" s="219" t="s">
        <f>=C480&amp;E480&amp;D480</f>
        <v>2721</v>
      </c>
      <c r="G480" s="219" t="s"/>
      <c r="H480" s="219" t="s"/>
      <c r="I480" s="219" t="s"/>
      <c r="J480" s="219" t="s"/>
      <c r="K480" s="219" t="s"/>
      <c r="L480" s="219" t="s"/>
      <c r="M480" s="219" t="s"/>
      <c r="N480" s="219" t="s"/>
    </row>
    <row r="481" spans="1:14" customHeight="true">
      <c r="A481" s="213">
        <f>=B481/13.123</f>
        <v>77.9547359597653</v>
      </c>
      <c r="B481" s="220">
        <v>1023</v>
      </c>
      <c r="C481" s="240" t="s">
        <v>2722</v>
      </c>
      <c r="D481" s="240" t="s">
        <v>2148</v>
      </c>
      <c r="E481" s="240">
        <v>1035</v>
      </c>
      <c r="F481" s="219" t="s">
        <f>=C481&amp;E481&amp;D481</f>
        <v>2723</v>
      </c>
      <c r="G481" s="219" t="s"/>
      <c r="H481" s="219" t="s"/>
      <c r="I481" s="219" t="s"/>
      <c r="J481" s="219" t="s"/>
      <c r="K481" s="219" t="s"/>
      <c r="L481" s="219" t="s"/>
      <c r="M481" s="219" t="s"/>
      <c r="N481" s="219" t="s"/>
    </row>
    <row r="482" spans="1:14" customHeight="true">
      <c r="A482" s="213">
        <f>=B482/13.123</f>
        <v>4.69404861693211</v>
      </c>
      <c r="B482" s="220">
        <v>61.6</v>
      </c>
      <c r="C482" s="240" t="s">
        <v>2506</v>
      </c>
      <c r="D482" s="240" t="s">
        <v>2168</v>
      </c>
      <c r="E482" s="240">
        <v>1067</v>
      </c>
      <c r="F482" s="219" t="s">
        <f>=C482&amp;E482&amp;D482</f>
        <v>2724</v>
      </c>
      <c r="G482" s="219" t="s"/>
      <c r="H482" s="219" t="s"/>
      <c r="I482" s="219" t="s"/>
      <c r="J482" s="219" t="s"/>
      <c r="K482" s="219" t="s"/>
      <c r="L482" s="219" t="s"/>
      <c r="M482" s="219" t="s"/>
      <c r="N482" s="219" t="s"/>
    </row>
    <row r="483" spans="1:14" customHeight="true">
      <c r="A483" s="213">
        <f>=B483/13.123</f>
        <v>4.88683989941324</v>
      </c>
      <c r="B483" s="220">
        <v>64.13</v>
      </c>
      <c r="C483" s="16" t="s">
        <v>2506</v>
      </c>
      <c r="D483" s="16" t="s">
        <v>2085</v>
      </c>
      <c r="E483" s="16">
        <v>1080</v>
      </c>
      <c r="F483" s="219" t="s">
        <f>=C483&amp;E483&amp;D483</f>
        <v>2725</v>
      </c>
      <c r="G483" s="219" t="s"/>
      <c r="H483" s="219" t="s"/>
      <c r="I483" s="219" t="s"/>
      <c r="J483" s="219" t="s"/>
      <c r="K483" s="219" t="s"/>
      <c r="L483" s="219" t="s"/>
      <c r="M483" s="219" t="s"/>
      <c r="N483" s="219" t="s"/>
    </row>
    <row r="484" spans="1:14" customHeight="true">
      <c r="A484" s="213">
        <f>=B484/13.123</f>
        <v>7.54400670578374</v>
      </c>
      <c r="B484" s="220">
        <v>99</v>
      </c>
      <c r="C484" s="16" t="s">
        <v>2483</v>
      </c>
      <c r="D484" s="16" t="s">
        <v>2151</v>
      </c>
      <c r="E484" s="16">
        <v>1080</v>
      </c>
      <c r="F484" s="219" t="s">
        <f>=C484&amp;E484&amp;D484</f>
        <v>2726</v>
      </c>
      <c r="G484" s="219" t="s"/>
      <c r="H484" s="219" t="s"/>
      <c r="I484" s="219" t="s"/>
      <c r="J484" s="219" t="s"/>
      <c r="K484" s="219" t="s"/>
      <c r="L484" s="219" t="s"/>
      <c r="M484" s="219" t="s"/>
      <c r="N484" s="219" t="s"/>
    </row>
    <row r="485" spans="1:14" customHeight="true">
      <c r="A485" s="213">
        <f>=B485/13.123</f>
        <v>11.3160100586756</v>
      </c>
      <c r="B485" s="220">
        <v>148.5</v>
      </c>
      <c r="C485" s="16" t="s">
        <v>2483</v>
      </c>
      <c r="D485" s="16" t="s">
        <v>2107</v>
      </c>
      <c r="E485" s="16">
        <v>2116</v>
      </c>
      <c r="F485" s="219" t="s">
        <f>=C485&amp;E485&amp;D485</f>
        <v>2727</v>
      </c>
      <c r="G485" s="219" t="s"/>
      <c r="H485" s="219" t="s"/>
      <c r="I485" s="219" t="s"/>
      <c r="J485" s="219" t="s"/>
      <c r="K485" s="219" t="s"/>
      <c r="L485" s="219" t="s"/>
      <c r="M485" s="219" t="s"/>
      <c r="N485" s="219" t="s"/>
    </row>
    <row r="486" spans="1:14" customHeight="true">
      <c r="A486" s="236">
        <f>=B486/13.123</f>
        <v>10.1348776956489</v>
      </c>
      <c r="B486" s="237">
        <v>133</v>
      </c>
      <c r="C486" s="13" t="s">
        <v>2483</v>
      </c>
      <c r="D486" s="11" t="s">
        <v>2168</v>
      </c>
      <c r="E486" s="11">
        <v>3313</v>
      </c>
      <c r="F486" s="216" t="s">
        <f>=C486&amp;E486&amp;D486</f>
        <v>2728</v>
      </c>
      <c r="G486" s="216" t="s"/>
      <c r="H486" s="216" t="s"/>
      <c r="I486" s="216" t="s"/>
      <c r="J486" s="216" t="s"/>
      <c r="K486" s="216" t="s"/>
      <c r="L486" s="216" t="s"/>
      <c r="M486" s="216" t="s"/>
      <c r="N486" s="216" t="s"/>
    </row>
    <row r="487" spans="1:14" customHeight="true">
      <c r="A487" s="213">
        <f>=B487/13.123</f>
        <v>9.55574182732607</v>
      </c>
      <c r="B487" s="220">
        <v>125.4</v>
      </c>
      <c r="C487" s="16" t="s">
        <v>2483</v>
      </c>
      <c r="D487" s="16" t="s">
        <v>2091</v>
      </c>
      <c r="E487" s="16">
        <v>1080</v>
      </c>
      <c r="F487" s="219" t="s">
        <f>=C487&amp;E487&amp;D487</f>
        <v>2729</v>
      </c>
      <c r="G487" s="219" t="s"/>
      <c r="H487" s="219" t="s"/>
      <c r="I487" s="219" t="s"/>
      <c r="J487" s="219" t="s"/>
      <c r="K487" s="219" t="s"/>
      <c r="L487" s="219" t="s"/>
      <c r="M487" s="219" t="s"/>
      <c r="N487" s="219" t="s"/>
    </row>
    <row r="488" spans="1:14" customHeight="true">
      <c r="A488" s="213">
        <f>=B488/13.123</f>
        <v>9.55574182732607</v>
      </c>
      <c r="B488" s="220">
        <v>125.4</v>
      </c>
      <c r="C488" s="16" t="s">
        <v>2483</v>
      </c>
      <c r="D488" s="16" t="s">
        <v>2155</v>
      </c>
      <c r="E488" s="16">
        <v>1080</v>
      </c>
      <c r="F488" s="219" t="s">
        <f>=C488&amp;E488&amp;D488</f>
        <v>2730</v>
      </c>
      <c r="G488" s="219" t="s"/>
      <c r="H488" s="219" t="s"/>
      <c r="I488" s="219" t="s"/>
      <c r="J488" s="219" t="s"/>
      <c r="K488" s="219" t="s"/>
      <c r="L488" s="219" t="s"/>
      <c r="M488" s="219" t="s"/>
      <c r="N488" s="219" t="s"/>
    </row>
    <row r="489" spans="1:14" customHeight="true">
      <c r="A489" s="236">
        <f>=B489/13.123</f>
        <v>11.4303131905814</v>
      </c>
      <c r="B489" s="237">
        <v>150</v>
      </c>
      <c r="C489" s="13" t="s">
        <v>2483</v>
      </c>
      <c r="D489" s="11" t="s">
        <v>2323</v>
      </c>
      <c r="E489" s="13">
        <v>1080</v>
      </c>
      <c r="F489" s="216" t="s">
        <f>=C489&amp;E489&amp;D489</f>
        <v>2731</v>
      </c>
      <c r="G489" s="216" t="s"/>
      <c r="H489" s="216" t="s"/>
      <c r="I489" s="216" t="s"/>
      <c r="J489" s="216" t="s"/>
      <c r="K489" s="216" t="s"/>
      <c r="L489" s="216" t="s"/>
      <c r="M489" s="216" t="s"/>
      <c r="N489" s="216" t="s"/>
    </row>
    <row r="490" spans="1:14" customHeight="true">
      <c r="A490" s="213">
        <f>=B490/13.123</f>
        <v>2.13899260839747</v>
      </c>
      <c r="B490" s="220">
        <v>28.07</v>
      </c>
      <c r="C490" s="16" t="s">
        <v>2286</v>
      </c>
      <c r="D490" s="16" t="s">
        <v>2162</v>
      </c>
      <c r="E490" s="16">
        <v>2116</v>
      </c>
      <c r="F490" s="219" t="s">
        <f>=C490&amp;E490&amp;D490</f>
        <v>2732</v>
      </c>
      <c r="G490" s="219" t="s"/>
      <c r="H490" s="219" t="s"/>
      <c r="I490" s="219" t="s"/>
      <c r="J490" s="219" t="s"/>
      <c r="K490" s="219" t="s"/>
      <c r="L490" s="219" t="s"/>
      <c r="M490" s="219" t="s"/>
      <c r="N490" s="219" t="s"/>
    </row>
    <row r="491" spans="1:14" customHeight="true">
      <c r="A491" s="236">
        <f>=B491/13.123</f>
        <v>1.86695115446163</v>
      </c>
      <c r="B491" s="270">
        <v>24.5</v>
      </c>
      <c r="C491" s="271" t="s">
        <v>2586</v>
      </c>
      <c r="D491" s="271" t="s">
        <v>2148</v>
      </c>
      <c r="E491" s="271">
        <v>106</v>
      </c>
      <c r="F491" s="216" t="s">
        <f>=C491&amp;E491&amp;D491</f>
        <v>2733</v>
      </c>
      <c r="G491" s="216" t="s"/>
      <c r="H491" s="216" t="s"/>
      <c r="I491" s="216" t="s"/>
      <c r="J491" s="216" t="s"/>
      <c r="K491" s="216" t="s"/>
      <c r="L491" s="216" t="s"/>
      <c r="M491" s="216" t="s"/>
      <c r="N491" s="216" t="s"/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2026-06-15T09:20:24Z</dcterms:created>
  <dcterms:modified xsi:type="dcterms:W3CDTF">2026-06-15T09:20:24Z</dcterms:modified>
</cp:coreProperties>
</file>