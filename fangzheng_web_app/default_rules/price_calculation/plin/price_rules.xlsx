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tabRatio="1000"/>
  </bookViews>
  <sheets>
    <sheet name="NY2150基板" sheetId="5" r:id="rId1"/>
    <sheet name="NY2150PP" sheetId="6" r:id="rId2"/>
    <sheet name="NY2170基板" sheetId="7" r:id="rId3"/>
    <sheet name="NY2170PP" sheetId="8" r:id="rId4"/>
    <sheet name="NY2170H基板" sheetId="21" r:id="rId5"/>
    <sheet name="NY2170HPP" sheetId="22" r:id="rId6"/>
    <sheet name="NY3150HF基板已修改" sheetId="12" r:id="rId7"/>
    <sheet name="NY3150HFPP已修改" sheetId="10" r:id="rId8"/>
    <sheet name="NY3170HF基板" sheetId="23" r:id="rId9"/>
    <sheet name="NY3170HFPP" sheetId="20" r:id="rId10"/>
    <sheet name="NY3150HC已修改" sheetId="13" r:id="rId11"/>
    <sheet name="NY3150HCPP已修改" sheetId="14" r:id="rId12"/>
    <sheet name="NY2150" sheetId="15" r:id="rId13"/>
    <sheet name="NY3170HC基板" sheetId="16" r:id="rId14"/>
    <sheet name="NY3170HCPP" sheetId="17" r:id="rId15"/>
    <sheet name="NY3170M" sheetId="18" r:id="rId16"/>
    <sheet name="NY3170MPP" sheetId="19" r:id="rId17"/>
    <sheet name="NY3170M2" sheetId="24" r:id="rId18"/>
    <sheet name="NY3170M2P" sheetId="25" r:id="rId19"/>
  </sheets>
  <definedNames>
    <definedName name="_xlnm._FilterDatabase" localSheetId="0" hidden="1">NY2150基板!$A$8:$J$69</definedName>
    <definedName name="_xlnm._FilterDatabase" localSheetId="2" hidden="1">NY2170基板!$B:$B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<sst xmlns="http://schemas.openxmlformats.org/spreadsheetml/2006/main" count="1976" uniqueCount="141">
  <si>
    <t>客户名称：</t>
  </si>
  <si>
    <t>天津普林电路股份有限公司</t>
  </si>
  <si>
    <t>发件人：</t>
  </si>
  <si>
    <t>齐怀远</t>
  </si>
  <si>
    <t xml:space="preserve">收件人：               </t>
  </si>
  <si>
    <t>吴杰年</t>
  </si>
  <si>
    <t>联系方式：</t>
  </si>
  <si>
    <t>抄送：</t>
  </si>
  <si>
    <t xml:space="preserve">徐美娟 滕部长 王总 </t>
  </si>
  <si>
    <t>币种：</t>
  </si>
  <si>
    <t>RMB</t>
  </si>
  <si>
    <t>13195061182</t>
  </si>
  <si>
    <t>生效日期：</t>
  </si>
  <si>
    <t>2026/6/15出货</t>
  </si>
  <si>
    <t>主题：NY2150 覆铜板价格表</t>
  </si>
  <si>
    <t>产品类别</t>
  </si>
  <si>
    <t>厚度mm</t>
  </si>
  <si>
    <t>厚度mil</t>
  </si>
  <si>
    <t>铜厚</t>
  </si>
  <si>
    <t>铜箔类型</t>
  </si>
  <si>
    <t>组合叠构</t>
  </si>
  <si>
    <t>Per SF</t>
  </si>
  <si>
    <t>37*49</t>
  </si>
  <si>
    <t>41*49</t>
  </si>
  <si>
    <t>43*49</t>
  </si>
  <si>
    <t>NY2150</t>
  </si>
  <si>
    <t>0.10</t>
  </si>
  <si>
    <t>11</t>
  </si>
  <si>
    <t>HTE</t>
  </si>
  <si>
    <t>1*2116</t>
  </si>
  <si>
    <t>0.13</t>
  </si>
  <si>
    <t>0.15</t>
  </si>
  <si>
    <t>1*1506</t>
  </si>
  <si>
    <t>2*1080</t>
  </si>
  <si>
    <t>0.20</t>
  </si>
  <si>
    <t>1*7628</t>
  </si>
  <si>
    <t>2*2116</t>
  </si>
  <si>
    <t>0.25</t>
  </si>
  <si>
    <t>0.30</t>
  </si>
  <si>
    <t>2*1506</t>
  </si>
  <si>
    <t>3*2116</t>
  </si>
  <si>
    <t>0.36</t>
  </si>
  <si>
    <t>2*7628</t>
  </si>
  <si>
    <t>0.38</t>
  </si>
  <si>
    <t>0.40</t>
  </si>
  <si>
    <t>2*7628+1*1080</t>
  </si>
  <si>
    <t>2*7628+1*2116</t>
  </si>
  <si>
    <t>0.60</t>
  </si>
  <si>
    <t>3*7628</t>
  </si>
  <si>
    <t>4*7628</t>
  </si>
  <si>
    <t>4*7628+1*2116</t>
  </si>
  <si>
    <t>1.00</t>
  </si>
  <si>
    <t>5*7628</t>
  </si>
  <si>
    <t>1.10</t>
  </si>
  <si>
    <t>6*7628</t>
  </si>
  <si>
    <t>1.20</t>
  </si>
  <si>
    <t>7*7628</t>
  </si>
  <si>
    <t>1.40</t>
  </si>
  <si>
    <t>1.50</t>
  </si>
  <si>
    <t>8*7628</t>
  </si>
  <si>
    <t>1.60</t>
  </si>
  <si>
    <t>9*7628</t>
  </si>
  <si>
    <t>10*7628</t>
  </si>
  <si>
    <t>2.00</t>
  </si>
  <si>
    <t>11*7628</t>
  </si>
  <si>
    <t>12*7628</t>
  </si>
  <si>
    <t>2.40</t>
  </si>
  <si>
    <t>13*7628</t>
  </si>
  <si>
    <t>3.00</t>
  </si>
  <si>
    <t>16*7628</t>
  </si>
  <si>
    <t>HH</t>
  </si>
  <si>
    <t>F/F</t>
  </si>
  <si>
    <t>说明：</t>
  </si>
  <si>
    <t>1、以上未含13%增值税报价；</t>
  </si>
  <si>
    <t>2、有效期至新报价止。</t>
  </si>
  <si>
    <t xml:space="preserve">3、2/2比1/1高98.45RMB/SH(36"*48")，3/3oz比1/1OZ高205.19RMB/SH(36"*48")。H/0与H/H单价一样。1/H与1/1的单价一样
</t>
  </si>
  <si>
    <r>
      <rPr>
        <sz val="12"/>
        <rFont val="宋体"/>
        <charset val="134"/>
      </rPr>
      <t>客户回签：</t>
    </r>
    <r>
      <rPr>
        <sz val="12"/>
        <rFont val="Arial"/>
        <charset val="0"/>
      </rPr>
      <t>__________________________</t>
    </r>
  </si>
  <si>
    <r>
      <rPr>
        <sz val="12"/>
        <rFont val="宋体"/>
        <charset val="134"/>
      </rPr>
      <t>公司审核：</t>
    </r>
    <r>
      <rPr>
        <sz val="12"/>
        <rFont val="Arial"/>
        <charset val="0"/>
      </rPr>
      <t>__________________________</t>
    </r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</si>
  <si>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NY2150</t>
    </r>
    <r>
      <rPr>
        <b/>
        <sz val="16"/>
        <rFont val="宋体"/>
        <charset val="134"/>
      </rPr>
      <t>半固化片价格表</t>
    </r>
  </si>
  <si>
    <t>产品型号</t>
  </si>
  <si>
    <t>树脂含量(%)</t>
  </si>
  <si>
    <t>卷装长度</t>
  </si>
  <si>
    <t>卷装宽度</t>
  </si>
  <si>
    <r>
      <rPr>
        <sz val="11"/>
        <rFont val="宋体"/>
        <charset val="0"/>
        <scheme val="major"/>
      </rPr>
      <t xml:space="preserve">半固化片单价 </t>
    </r>
    <r>
      <rPr>
        <sz val="11"/>
        <rFont val="宋体"/>
        <charset val="134"/>
        <scheme val="major"/>
      </rPr>
      <t>（</t>
    </r>
    <r>
      <rPr>
        <sz val="11"/>
        <rFont val="宋体"/>
        <charset val="0"/>
        <scheme val="major"/>
      </rPr>
      <t>RMB</t>
    </r>
    <r>
      <rPr>
        <sz val="11"/>
        <rFont val="宋体"/>
        <charset val="134"/>
        <scheme val="major"/>
      </rPr>
      <t>）</t>
    </r>
  </si>
  <si>
    <t>Products</t>
  </si>
  <si>
    <t>Glass type</t>
  </si>
  <si>
    <t>Resin Content</t>
  </si>
  <si>
    <t>Length (m)</t>
  </si>
  <si>
    <t>Width (inch)</t>
  </si>
  <si>
    <t>Per M</t>
  </si>
  <si>
    <t>Per Roll</t>
  </si>
  <si>
    <t>43%-45%</t>
  </si>
  <si>
    <t>46%-48%</t>
  </si>
  <si>
    <t>49%-51%</t>
  </si>
  <si>
    <t>53%-55%</t>
  </si>
  <si>
    <t>56%-60%</t>
  </si>
  <si>
    <t>63%-65%</t>
  </si>
  <si>
    <t>66%-71%</t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</si>
  <si>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NY2170</t>
    </r>
    <r>
      <rPr>
        <b/>
        <sz val="16"/>
        <rFont val="宋体"/>
        <charset val="134"/>
      </rPr>
      <t>覆铜板价格表</t>
    </r>
  </si>
  <si>
    <t>NY2170</t>
  </si>
  <si>
    <t>RTF</t>
  </si>
  <si>
    <t>1*106</t>
  </si>
  <si>
    <t>1*1080</t>
  </si>
  <si>
    <t>2*106</t>
  </si>
  <si>
    <t>17*7628</t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</si>
  <si>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NY2170</t>
    </r>
    <r>
      <rPr>
        <b/>
        <sz val="16"/>
        <rFont val="宋体"/>
        <charset val="134"/>
      </rPr>
      <t>半固化片价格表</t>
    </r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</si>
  <si>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NY2170H</t>
    </r>
    <r>
      <rPr>
        <b/>
        <sz val="16"/>
        <rFont val="宋体"/>
        <charset val="134"/>
      </rPr>
      <t>覆铜板价格表</t>
    </r>
  </si>
  <si>
    <t>NY2170H</t>
  </si>
  <si>
    <t>5/5</t>
  </si>
  <si>
    <t>2/2</t>
  </si>
  <si>
    <t>3/3</t>
  </si>
  <si>
    <t>4/4</t>
  </si>
  <si>
    <t>6/6</t>
  </si>
  <si>
    <t>1/1</t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</si>
  <si>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NY2170H</t>
    </r>
    <r>
      <rPr>
        <b/>
        <sz val="16"/>
        <rFont val="宋体"/>
        <charset val="134"/>
      </rPr>
      <t>半固化片价格表</t>
    </r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</si>
  <si>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NY3150HF</t>
    </r>
    <r>
      <rPr>
        <b/>
        <sz val="16"/>
        <rFont val="宋体"/>
        <charset val="134"/>
      </rPr>
      <t>覆铜板价格表</t>
    </r>
  </si>
  <si>
    <t>NY3150HF</t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</si>
  <si>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NY3150HF</t>
    </r>
    <r>
      <rPr>
        <b/>
        <sz val="16"/>
        <rFont val="宋体"/>
        <charset val="134"/>
      </rPr>
      <t>半固化片价格表</t>
    </r>
  </si>
  <si>
    <t>/</t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</si>
  <si>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NY3170HF</t>
    </r>
    <r>
      <rPr>
        <b/>
        <sz val="16"/>
        <rFont val="宋体"/>
        <charset val="134"/>
      </rPr>
      <t>覆铜板价格表</t>
    </r>
  </si>
  <si>
    <t>NY3170HF</t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</si>
  <si>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NY3170HF</t>
    </r>
    <r>
      <rPr>
        <b/>
        <sz val="16"/>
        <rFont val="宋体"/>
        <charset val="134"/>
      </rPr>
      <t>半固化片价格表</t>
    </r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</si>
  <si>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NY3150HC</t>
    </r>
    <r>
      <rPr>
        <b/>
        <sz val="16"/>
        <rFont val="宋体"/>
        <charset val="134"/>
      </rPr>
      <t>覆铜板价格表</t>
    </r>
  </si>
  <si>
    <t>NY3150HC</t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</si>
  <si>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NY3150HC</t>
    </r>
    <r>
      <rPr>
        <b/>
        <sz val="16"/>
        <rFont val="宋体"/>
        <charset val="134"/>
      </rPr>
      <t>半固化片价格表</t>
    </r>
  </si>
  <si>
    <t>主题：覆铜板价格表</t>
  </si>
  <si>
    <t>3、此报价铜厚保证大于35um</t>
  </si>
  <si>
    <t>中 国 上 海 市 嘉 定 区 南 翔 镇 昌 翔 路 158 号</t>
  </si>
  <si>
    <t>TEL：021-59175555(上海)， 0755-33231030(深圳)</t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</si>
  <si>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NY3170HC</t>
    </r>
    <r>
      <rPr>
        <b/>
        <sz val="16"/>
        <rFont val="宋体"/>
        <charset val="134"/>
      </rPr>
      <t>覆铜板价格表</t>
    </r>
  </si>
  <si>
    <t>NY3170HC</t>
  </si>
  <si>
    <t>H/H</t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</si>
  <si>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NY3170HC</t>
    </r>
    <r>
      <rPr>
        <b/>
        <sz val="16"/>
        <rFont val="宋体"/>
        <charset val="134"/>
      </rPr>
      <t>半固化片价格表</t>
    </r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</si>
  <si>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NY3170M</t>
    </r>
    <r>
      <rPr>
        <b/>
        <sz val="16"/>
        <rFont val="宋体"/>
        <charset val="134"/>
      </rPr>
      <t>覆铜板价格表</t>
    </r>
  </si>
  <si>
    <t>NY3170M</t>
  </si>
  <si>
    <t>1*3313</t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</si>
  <si>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NY3170M</t>
    </r>
    <r>
      <rPr>
        <b/>
        <sz val="16"/>
        <rFont val="宋体"/>
        <charset val="134"/>
      </rPr>
      <t>半固化片价格表</t>
    </r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</si>
  <si>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NY3170M2</t>
    </r>
    <r>
      <rPr>
        <b/>
        <sz val="16"/>
        <rFont val="宋体"/>
        <charset val="134"/>
      </rPr>
      <t>覆铜板价格表</t>
    </r>
  </si>
  <si>
    <t>NY3170M2</t>
  </si>
  <si>
    <t>RTF2</t>
  </si>
  <si>
    <r>
      <rPr>
        <b/>
        <sz val="16"/>
        <rFont val="宋体"/>
        <charset val="134"/>
      </rPr>
      <t>主题：</t>
    </r>
    <r>
      <rPr>
        <b/>
        <sz val="16"/>
        <color rgb="FFFF0000"/>
        <rFont val="宋体"/>
        <charset val="134"/>
      </rPr>
      <t>NY3170M2</t>
    </r>
    <r>
      <rPr>
        <b/>
        <sz val="16"/>
        <rFont val="宋体"/>
        <charset val="134"/>
      </rPr>
      <t>半固化片价格表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</si>
</sst>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_ "/>
    <numFmt numFmtId="178" formatCode="0_ "/>
    <numFmt numFmtId="179" formatCode="0.00_ "/>
    <numFmt numFmtId="180" formatCode="0.00_);[Red]\(0.00\)"/>
  </numFmts>
  <fonts count="40">
    <font>
      <sz val="12"/>
      <name val="宋体"/>
      <charset val="134"/>
    </font>
    <font>
      <sz val="12"/>
      <name val="Arial"/>
      <charset val="0"/>
    </font>
    <font>
      <sz val="10"/>
      <name val="Arial"/>
      <charset val="0"/>
    </font>
    <font>
      <sz val="11"/>
      <name val="Arial"/>
      <charset val="0"/>
    </font>
    <font>
      <i/>
      <sz val="16"/>
      <name val="Arial"/>
      <charset val="0"/>
    </font>
    <font>
      <sz val="10"/>
      <name val="宋体"/>
      <charset val="134"/>
    </font>
    <font>
      <sz val="11"/>
      <name val="宋体"/>
      <charset val="134"/>
    </font>
    <font>
      <sz val="11"/>
      <name val="宋体"/>
      <charset val="0"/>
    </font>
    <font>
      <b/>
      <sz val="16"/>
      <name val="宋体"/>
      <charset val="134"/>
    </font>
    <font>
      <sz val="11"/>
      <name val="宋体"/>
      <charset val="0"/>
      <scheme val="major"/>
    </font>
    <font>
      <sz val="11"/>
      <name val="宋体"/>
      <charset val="134"/>
      <scheme val="major"/>
    </font>
    <font>
      <b/>
      <i/>
      <sz val="18"/>
      <name val="Arial"/>
      <charset val="0"/>
    </font>
    <font>
      <sz val="10"/>
      <color theme="1"/>
      <name val="宋体"/>
      <charset val="134"/>
    </font>
    <font>
      <sz val="10"/>
      <color theme="1"/>
      <name val="宋体"/>
      <charset val="0"/>
    </font>
    <font>
      <sz val="11"/>
      <color indexed="8"/>
      <name val="Times New Roman"/>
      <charset val="0"/>
    </font>
    <font>
      <sz val="10"/>
      <name val="宋体"/>
      <charset val="134"/>
      <scheme val="major"/>
    </font>
    <font>
      <sz val="10"/>
      <name val="宋体"/>
      <charset val="0"/>
    </font>
    <font>
      <sz val="12"/>
      <color rgb="FFFF0000"/>
      <name val="Arial"/>
      <charset val="0"/>
    </font>
    <font>
      <sz val="11"/>
      <name val="Times New Roman"/>
      <charset val="0"/>
    </font>
    <font>
      <sz val="11"/>
      <color theme="1"/>
      <name val="宋体"/>
      <charset val="134"/>
      <scheme val="minor"/>
    </font>
    <font>
      <u/>
      <sz val="12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9" fillId="3" borderId="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6" applyNumberFormat="0" applyAlignment="0" applyProtection="0">
      <alignment vertical="center"/>
    </xf>
    <xf numFmtId="0" fontId="29" fillId="5" borderId="7" applyNumberFormat="0" applyAlignment="0" applyProtection="0">
      <alignment vertical="center"/>
    </xf>
    <xf numFmtId="0" fontId="30" fillId="5" borderId="6" applyNumberFormat="0" applyAlignment="0" applyProtection="0">
      <alignment vertical="center"/>
    </xf>
    <xf numFmtId="0" fontId="31" fillId="6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2" fillId="0" borderId="0"/>
    <xf numFmtId="0" fontId="2" fillId="0" borderId="0"/>
  </cellStyleXfs>
  <cellXfs count="10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176" fontId="6" fillId="0" borderId="0" xfId="0" applyNumberFormat="1" applyFont="1" applyFill="1" applyAlignment="1">
      <alignment vertical="center"/>
    </xf>
    <xf numFmtId="177" fontId="3" fillId="0" borderId="0" xfId="0" applyNumberFormat="1" applyFont="1" applyFill="1" applyAlignment="1">
      <alignment vertical="center"/>
    </xf>
    <xf numFmtId="177" fontId="6" fillId="0" borderId="0" xfId="0" applyNumberFormat="1" applyFont="1" applyFill="1" applyAlignment="1">
      <alignment vertical="center"/>
    </xf>
    <xf numFmtId="178" fontId="6" fillId="0" borderId="0" xfId="0" applyNumberFormat="1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176" fontId="3" fillId="0" borderId="0" xfId="0" applyNumberFormat="1" applyFont="1" applyFill="1" applyAlignment="1">
      <alignment vertical="center"/>
    </xf>
    <xf numFmtId="49" fontId="6" fillId="0" borderId="0" xfId="0" applyNumberFormat="1" applyFont="1" applyFill="1"/>
    <xf numFmtId="0" fontId="8" fillId="0" borderId="0" xfId="0" applyFont="1" applyFill="1" applyAlignment="1">
      <alignment horizontal="center" vertical="center"/>
    </xf>
    <xf numFmtId="0" fontId="9" fillId="0" borderId="1" xfId="49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/>
    </xf>
    <xf numFmtId="9" fontId="9" fillId="0" borderId="1" xfId="49" applyNumberFormat="1" applyFont="1" applyFill="1" applyBorder="1" applyAlignment="1">
      <alignment horizontal="center" vertical="center" wrapText="1"/>
    </xf>
    <xf numFmtId="179" fontId="10" fillId="0" borderId="1" xfId="0" applyNumberFormat="1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  <xf numFmtId="0" fontId="7" fillId="0" borderId="0" xfId="49" applyFont="1" applyFill="1" applyBorder="1" applyAlignment="1">
      <alignment horizontal="center" vertical="center" wrapText="1"/>
    </xf>
    <xf numFmtId="177" fontId="1" fillId="0" borderId="0" xfId="0" applyNumberFormat="1" applyFont="1" applyFill="1" applyAlignment="1">
      <alignment vertical="center"/>
    </xf>
    <xf numFmtId="0" fontId="1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26" fontId="1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177" fontId="0" fillId="0" borderId="0" xfId="0" applyNumberFormat="1" applyFont="1" applyFill="1" applyAlignment="1">
      <alignment vertical="center"/>
    </xf>
    <xf numFmtId="0" fontId="0" fillId="0" borderId="0" xfId="0" applyFont="1" applyFill="1"/>
    <xf numFmtId="0" fontId="6" fillId="0" borderId="0" xfId="0" applyFont="1" applyFill="1"/>
    <xf numFmtId="0" fontId="4" fillId="0" borderId="0" xfId="0" applyFon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177" fontId="4" fillId="0" borderId="0" xfId="0" applyNumberFormat="1" applyFont="1" applyFill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13" fillId="0" borderId="1" xfId="5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 wrapText="1"/>
    </xf>
    <xf numFmtId="177" fontId="14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shrinkToFit="1"/>
    </xf>
    <xf numFmtId="176" fontId="3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Border="1" applyAlignment="1">
      <alignment horizontal="center" vertical="center"/>
    </xf>
    <xf numFmtId="177" fontId="6" fillId="0" borderId="0" xfId="0" applyNumberFormat="1" applyFont="1" applyFill="1"/>
    <xf numFmtId="0" fontId="3" fillId="0" borderId="0" xfId="0" applyNumberFormat="1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177" fontId="1" fillId="0" borderId="0" xfId="0" applyNumberFormat="1" applyFont="1" applyFill="1" applyBorder="1" applyAlignment="1">
      <alignment vertical="center"/>
    </xf>
    <xf numFmtId="179" fontId="13" fillId="0" borderId="1" xfId="5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vertical="center"/>
    </xf>
    <xf numFmtId="49" fontId="13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16" fillId="0" borderId="1" xfId="5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/>
    </xf>
    <xf numFmtId="176" fontId="1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/>
    </xf>
    <xf numFmtId="179" fontId="16" fillId="2" borderId="1" xfId="50" applyNumberFormat="1" applyFont="1" applyFill="1" applyBorder="1" applyAlignment="1">
      <alignment horizontal="center" vertical="center" wrapText="1"/>
    </xf>
    <xf numFmtId="179" fontId="16" fillId="2" borderId="1" xfId="0" applyNumberFormat="1" applyFont="1" applyFill="1" applyBorder="1" applyAlignment="1">
      <alignment horizontal="center" vertical="center"/>
    </xf>
    <xf numFmtId="179" fontId="15" fillId="0" borderId="1" xfId="0" applyNumberFormat="1" applyFont="1" applyFill="1" applyBorder="1" applyAlignment="1">
      <alignment horizontal="center" vertical="center"/>
    </xf>
    <xf numFmtId="9" fontId="9" fillId="0" borderId="1" xfId="0" applyNumberFormat="1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/>
    </xf>
    <xf numFmtId="179" fontId="1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176" fontId="16" fillId="0" borderId="2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0" fontId="16" fillId="0" borderId="2" xfId="5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49" fontId="16" fillId="0" borderId="1" xfId="0" applyNumberFormat="1" applyFont="1" applyFill="1" applyBorder="1" applyAlignment="1">
      <alignment horizontal="center" vertical="center"/>
    </xf>
    <xf numFmtId="179" fontId="16" fillId="0" borderId="1" xfId="50" applyNumberFormat="1" applyFont="1" applyFill="1" applyBorder="1" applyAlignment="1">
      <alignment horizontal="center" vertical="center" wrapText="1"/>
    </xf>
    <xf numFmtId="0" fontId="9" fillId="0" borderId="2" xfId="49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5" fillId="0" borderId="0" xfId="0" applyNumberFormat="1" applyFont="1" applyFill="1" applyAlignment="1">
      <alignment horizontal="center" vertical="center"/>
    </xf>
    <xf numFmtId="179" fontId="5" fillId="0" borderId="1" xfId="0" applyNumberFormat="1" applyFont="1" applyFill="1" applyBorder="1" applyAlignment="1">
      <alignment horizontal="center" vertical="center"/>
    </xf>
    <xf numFmtId="179" fontId="9" fillId="0" borderId="1" xfId="0" applyNumberFormat="1" applyFont="1" applyFill="1" applyBorder="1" applyAlignment="1">
      <alignment horizontal="center" vertical="center"/>
    </xf>
    <xf numFmtId="179" fontId="0" fillId="0" borderId="0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2" fillId="0" borderId="1" xfId="50" applyFont="1" applyFill="1" applyBorder="1" applyAlignment="1">
      <alignment horizontal="center" vertical="center" wrapText="1"/>
    </xf>
    <xf numFmtId="9" fontId="1" fillId="0" borderId="0" xfId="0" applyNumberFormat="1" applyFont="1" applyFill="1" applyAlignment="1">
      <alignment vertical="center"/>
    </xf>
    <xf numFmtId="10" fontId="1" fillId="0" borderId="0" xfId="0" applyNumberFormat="1" applyFont="1" applyFill="1" applyAlignment="1">
      <alignment vertical="center"/>
    </xf>
    <xf numFmtId="176" fontId="18" fillId="0" borderId="0" xfId="0" applyNumberFormat="1" applyFont="1" applyFill="1" applyBorder="1" applyAlignment="1">
      <alignment horizontal="center" vertical="center" wrapText="1"/>
    </xf>
    <xf numFmtId="177" fontId="18" fillId="0" borderId="0" xfId="0" applyNumberFormat="1" applyFont="1" applyFill="1" applyBorder="1" applyAlignment="1">
      <alignment horizontal="center" vertical="center" wrapText="1"/>
    </xf>
    <xf numFmtId="9" fontId="3" fillId="0" borderId="0" xfId="0" applyNumberFormat="1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1e_" xfId="49"/>
    <cellStyle name="常规 4" xfId="50"/>
  </cellStyles>
  <tableStyles count="0" defaultTableStyle="TableStyleMedium2" defaultPivotStyle="PivotStyleLight16"/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9525</xdr:colOff>
      <xdr:row>5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155700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0</xdr:row>
      <xdr:rowOff>508000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488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9525</xdr:colOff>
      <xdr:row>2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155700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0</xdr:row>
      <xdr:rowOff>7620</xdr:rowOff>
    </xdr:from>
    <xdr:to>
      <xdr:col>9</xdr:col>
      <xdr:colOff>592455</xdr:colOff>
      <xdr:row>1</xdr:row>
      <xdr:rowOff>211455</xdr:rowOff>
    </xdr:to>
    <xdr:pic>
      <xdr:nvPicPr>
        <xdr:cNvPr id="3" name="图片 2" descr="IMG_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6536055" cy="838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391160</xdr:colOff>
      <xdr:row>0</xdr:row>
      <xdr:rowOff>29210</xdr:rowOff>
    </xdr:from>
    <xdr:to>
      <xdr:col>7</xdr:col>
      <xdr:colOff>309880</xdr:colOff>
      <xdr:row>1</xdr:row>
      <xdr:rowOff>19050</xdr:rowOff>
    </xdr:to>
    <xdr:pic>
      <xdr:nvPicPr>
        <xdr:cNvPr id="8" name="图片 1" descr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1160" y="29210"/>
          <a:ext cx="5703570" cy="49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34290</xdr:colOff>
      <xdr:row>0</xdr:row>
      <xdr:rowOff>29210</xdr:rowOff>
    </xdr:from>
    <xdr:to>
      <xdr:col>7</xdr:col>
      <xdr:colOff>1369695</xdr:colOff>
      <xdr:row>2</xdr:row>
      <xdr:rowOff>61595</xdr:rowOff>
    </xdr:to>
    <xdr:pic>
      <xdr:nvPicPr>
        <xdr:cNvPr id="3" name="图片 2" descr="IMG_25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4290" y="29210"/>
          <a:ext cx="7120255" cy="702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9525</xdr:colOff>
      <xdr:row>4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36600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0</xdr:row>
      <xdr:rowOff>736600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1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9525</xdr:colOff>
      <xdr:row>1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36600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9525</xdr:colOff>
      <xdr:row>4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36600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9525</xdr:colOff>
      <xdr:row>1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36600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0</xdr:row>
      <xdr:rowOff>7620</xdr:rowOff>
    </xdr:from>
    <xdr:to>
      <xdr:col>9</xdr:col>
      <xdr:colOff>600075</xdr:colOff>
      <xdr:row>0</xdr:row>
      <xdr:rowOff>715645</xdr:rowOff>
    </xdr:to>
    <xdr:pic>
      <xdr:nvPicPr>
        <xdr:cNvPr id="6" name="图片 2" descr="IMG_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6543675" cy="70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9525</xdr:colOff>
      <xdr:row>4</xdr:row>
      <xdr:rowOff>285750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36600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9525</xdr:colOff>
      <xdr:row>1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36600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0</xdr:row>
      <xdr:rowOff>7620</xdr:rowOff>
    </xdr:from>
    <xdr:to>
      <xdr:col>7</xdr:col>
      <xdr:colOff>1318260</xdr:colOff>
      <xdr:row>1</xdr:row>
      <xdr:rowOff>154940</xdr:rowOff>
    </xdr:to>
    <xdr:pic>
      <xdr:nvPicPr>
        <xdr:cNvPr id="6" name="图片 2" descr="IMG_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7228840" cy="655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9525</xdr:colOff>
      <xdr:row>4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36600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0</xdr:row>
      <xdr:rowOff>736600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1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9525</xdr:colOff>
      <xdr:row>1</xdr:row>
      <xdr:rowOff>285750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36600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9525</xdr:colOff>
      <xdr:row>4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36600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9525</xdr:colOff>
      <xdr:row>1</xdr:row>
      <xdr:rowOff>285750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36600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0</xdr:row>
      <xdr:rowOff>7620</xdr:rowOff>
    </xdr:from>
    <xdr:to>
      <xdr:col>9</xdr:col>
      <xdr:colOff>600075</xdr:colOff>
      <xdr:row>0</xdr:row>
      <xdr:rowOff>715645</xdr:rowOff>
    </xdr:to>
    <xdr:pic>
      <xdr:nvPicPr>
        <xdr:cNvPr id="7" name="图片 2" descr="IMG_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6627495" cy="70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9525</xdr:colOff>
      <xdr:row>4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36600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9525</xdr:colOff>
      <xdr:row>1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36600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0</xdr:row>
      <xdr:rowOff>7620</xdr:rowOff>
    </xdr:from>
    <xdr:to>
      <xdr:col>7</xdr:col>
      <xdr:colOff>1360170</xdr:colOff>
      <xdr:row>2</xdr:row>
      <xdr:rowOff>32385</xdr:rowOff>
    </xdr:to>
    <xdr:pic>
      <xdr:nvPicPr>
        <xdr:cNvPr id="7" name="图片 2" descr="IMG_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5356860" cy="694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9</xdr:col>
      <xdr:colOff>592455</xdr:colOff>
      <xdr:row>2</xdr:row>
      <xdr:rowOff>32385</xdr:rowOff>
    </xdr:to>
    <xdr:pic>
      <xdr:nvPicPr>
        <xdr:cNvPr id="6" name="图片 2" descr="IMG_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6543675" cy="702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0</xdr:row>
      <xdr:rowOff>7620</xdr:rowOff>
    </xdr:from>
    <xdr:to>
      <xdr:col>7</xdr:col>
      <xdr:colOff>1360170</xdr:colOff>
      <xdr:row>2</xdr:row>
      <xdr:rowOff>32385</xdr:rowOff>
    </xdr:to>
    <xdr:pic>
      <xdr:nvPicPr>
        <xdr:cNvPr id="6" name="图片 2" descr="IMG_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7137400" cy="694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0</xdr:row>
      <xdr:rowOff>7620</xdr:rowOff>
    </xdr:from>
    <xdr:to>
      <xdr:col>10</xdr:col>
      <xdr:colOff>13335</xdr:colOff>
      <xdr:row>2</xdr:row>
      <xdr:rowOff>32385</xdr:rowOff>
    </xdr:to>
    <xdr:pic>
      <xdr:nvPicPr>
        <xdr:cNvPr id="7" name="图片 2" descr="IMG_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6711315" cy="694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0</xdr:row>
      <xdr:rowOff>7620</xdr:rowOff>
    </xdr:from>
    <xdr:to>
      <xdr:col>7</xdr:col>
      <xdr:colOff>1360170</xdr:colOff>
      <xdr:row>2</xdr:row>
      <xdr:rowOff>32385</xdr:rowOff>
    </xdr:to>
    <xdr:pic>
      <xdr:nvPicPr>
        <xdr:cNvPr id="7" name="图片 2" descr="IMG_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5356860" cy="694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0</xdr:row>
      <xdr:rowOff>7620</xdr:rowOff>
    </xdr:from>
    <xdr:to>
      <xdr:col>9</xdr:col>
      <xdr:colOff>628650</xdr:colOff>
      <xdr:row>2</xdr:row>
      <xdr:rowOff>32385</xdr:rowOff>
    </xdr:to>
    <xdr:pic>
      <xdr:nvPicPr>
        <xdr:cNvPr id="6" name="图片 2" descr="IMG_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6572250" cy="694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0</xdr:row>
      <xdr:rowOff>7620</xdr:rowOff>
    </xdr:from>
    <xdr:to>
      <xdr:col>7</xdr:col>
      <xdr:colOff>1360805</xdr:colOff>
      <xdr:row>2</xdr:row>
      <xdr:rowOff>32385</xdr:rowOff>
    </xdr:to>
    <xdr:pic>
      <xdr:nvPicPr>
        <xdr:cNvPr id="10" name="图片 2" descr="IMG_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7138035" cy="694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1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9</xdr:col>
      <xdr:colOff>592455</xdr:colOff>
      <xdr:row>2</xdr:row>
      <xdr:rowOff>32385</xdr:rowOff>
    </xdr:to>
    <xdr:pic>
      <xdr:nvPicPr>
        <xdr:cNvPr id="3" name="图片 2" descr="IMG_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6543675" cy="702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355600</xdr:colOff>
      <xdr:row>0</xdr:row>
      <xdr:rowOff>11430</xdr:rowOff>
    </xdr:from>
    <xdr:to>
      <xdr:col>9</xdr:col>
      <xdr:colOff>160020</xdr:colOff>
      <xdr:row>1</xdr:row>
      <xdr:rowOff>1270</xdr:rowOff>
    </xdr:to>
    <xdr:pic>
      <xdr:nvPicPr>
        <xdr:cNvPr id="4" name="图片 1" descr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5600" y="11430"/>
          <a:ext cx="5755640" cy="49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355600</xdr:colOff>
      <xdr:row>0</xdr:row>
      <xdr:rowOff>11430</xdr:rowOff>
    </xdr:from>
    <xdr:to>
      <xdr:col>10</xdr:col>
      <xdr:colOff>319405</xdr:colOff>
      <xdr:row>2</xdr:row>
      <xdr:rowOff>43815</xdr:rowOff>
    </xdr:to>
    <xdr:pic>
      <xdr:nvPicPr>
        <xdr:cNvPr id="8" name="图片 7" descr="IMG_25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55600" y="11430"/>
          <a:ext cx="6543675" cy="702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391160</xdr:colOff>
      <xdr:row>0</xdr:row>
      <xdr:rowOff>29210</xdr:rowOff>
    </xdr:from>
    <xdr:to>
      <xdr:col>7</xdr:col>
      <xdr:colOff>309880</xdr:colOff>
      <xdr:row>1</xdr:row>
      <xdr:rowOff>19050</xdr:rowOff>
    </xdr:to>
    <xdr:pic>
      <xdr:nvPicPr>
        <xdr:cNvPr id="4" name="图片 1" descr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1160" y="29210"/>
          <a:ext cx="5703570" cy="49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391160</xdr:colOff>
      <xdr:row>0</xdr:row>
      <xdr:rowOff>29210</xdr:rowOff>
    </xdr:from>
    <xdr:to>
      <xdr:col>7</xdr:col>
      <xdr:colOff>1149985</xdr:colOff>
      <xdr:row>2</xdr:row>
      <xdr:rowOff>61595</xdr:rowOff>
    </xdr:to>
    <xdr:pic>
      <xdr:nvPicPr>
        <xdr:cNvPr id="10" name="图片 9" descr="IMG_25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1160" y="29210"/>
          <a:ext cx="6543675" cy="702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1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1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355600</xdr:colOff>
      <xdr:row>0</xdr:row>
      <xdr:rowOff>11430</xdr:rowOff>
    </xdr:from>
    <xdr:to>
      <xdr:col>9</xdr:col>
      <xdr:colOff>160020</xdr:colOff>
      <xdr:row>1</xdr:row>
      <xdr:rowOff>1270</xdr:rowOff>
    </xdr:to>
    <xdr:pic>
      <xdr:nvPicPr>
        <xdr:cNvPr id="4" name="图片 1" descr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5600" y="11430"/>
          <a:ext cx="5755640" cy="49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355600</xdr:colOff>
      <xdr:row>0</xdr:row>
      <xdr:rowOff>11430</xdr:rowOff>
    </xdr:from>
    <xdr:to>
      <xdr:col>9</xdr:col>
      <xdr:colOff>628650</xdr:colOff>
      <xdr:row>2</xdr:row>
      <xdr:rowOff>43815</xdr:rowOff>
    </xdr:to>
    <xdr:pic>
      <xdr:nvPicPr>
        <xdr:cNvPr id="8" name="图片 7" descr="IMG_25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55600" y="11430"/>
          <a:ext cx="6224270" cy="702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391160</xdr:colOff>
      <xdr:row>0</xdr:row>
      <xdr:rowOff>29210</xdr:rowOff>
    </xdr:from>
    <xdr:to>
      <xdr:col>7</xdr:col>
      <xdr:colOff>309880</xdr:colOff>
      <xdr:row>1</xdr:row>
      <xdr:rowOff>19050</xdr:rowOff>
    </xdr:to>
    <xdr:pic>
      <xdr:nvPicPr>
        <xdr:cNvPr id="4" name="图片 1" descr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1160" y="29210"/>
          <a:ext cx="5703570" cy="49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391160</xdr:colOff>
      <xdr:row>0</xdr:row>
      <xdr:rowOff>29210</xdr:rowOff>
    </xdr:from>
    <xdr:to>
      <xdr:col>7</xdr:col>
      <xdr:colOff>1149985</xdr:colOff>
      <xdr:row>2</xdr:row>
      <xdr:rowOff>61595</xdr:rowOff>
    </xdr:to>
    <xdr:pic>
      <xdr:nvPicPr>
        <xdr:cNvPr id="10" name="图片 9" descr="IMG_25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1160" y="29210"/>
          <a:ext cx="6543675" cy="702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1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1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355600</xdr:colOff>
      <xdr:row>0</xdr:row>
      <xdr:rowOff>11430</xdr:rowOff>
    </xdr:from>
    <xdr:to>
      <xdr:col>9</xdr:col>
      <xdr:colOff>160020</xdr:colOff>
      <xdr:row>1</xdr:row>
      <xdr:rowOff>1270</xdr:rowOff>
    </xdr:to>
    <xdr:pic>
      <xdr:nvPicPr>
        <xdr:cNvPr id="11" name="图片 1" descr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5600" y="11430"/>
          <a:ext cx="5839460" cy="49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1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1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1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355600</xdr:colOff>
      <xdr:row>0</xdr:row>
      <xdr:rowOff>11430</xdr:rowOff>
    </xdr:from>
    <xdr:to>
      <xdr:col>10</xdr:col>
      <xdr:colOff>319405</xdr:colOff>
      <xdr:row>2</xdr:row>
      <xdr:rowOff>43815</xdr:rowOff>
    </xdr:to>
    <xdr:pic>
      <xdr:nvPicPr>
        <xdr:cNvPr id="15" name="图片 14" descr="IMG_25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55600" y="11430"/>
          <a:ext cx="6669405" cy="702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391160</xdr:colOff>
      <xdr:row>0</xdr:row>
      <xdr:rowOff>29210</xdr:rowOff>
    </xdr:from>
    <xdr:to>
      <xdr:col>7</xdr:col>
      <xdr:colOff>309880</xdr:colOff>
      <xdr:row>1</xdr:row>
      <xdr:rowOff>19050</xdr:rowOff>
    </xdr:to>
    <xdr:pic>
      <xdr:nvPicPr>
        <xdr:cNvPr id="11" name="图片 1" descr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1160" y="29210"/>
          <a:ext cx="4612640" cy="49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1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1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1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1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6</xdr:row>
      <xdr:rowOff>285750</xdr:rowOff>
    </xdr:to>
    <xdr:pic>
      <xdr:nvPicPr>
        <xdr:cNvPr id="1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688975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391160</xdr:colOff>
      <xdr:row>0</xdr:row>
      <xdr:rowOff>29210</xdr:rowOff>
    </xdr:from>
    <xdr:to>
      <xdr:col>7</xdr:col>
      <xdr:colOff>1149985</xdr:colOff>
      <xdr:row>2</xdr:row>
      <xdr:rowOff>61595</xdr:rowOff>
    </xdr:to>
    <xdr:pic>
      <xdr:nvPicPr>
        <xdr:cNvPr id="17" name="图片 16" descr="IMG_25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1160" y="29210"/>
          <a:ext cx="4973320" cy="702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6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98525"/>
          <a:ext cx="9525" cy="2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V83"/>
  <sheetViews>
    <sheetView tabSelected="1" workbookViewId="0">
      <pane ySplit="9" topLeftCell="A55" activePane="bottomLeft" state="frozen"/>
      <selection/>
      <selection pane="bottomLeft" activeCell="R61" sqref="R61"/>
    </sheetView>
  </sheetViews>
  <sheetFormatPr defaultColWidth="8" defaultRowHeight="15"/>
  <cols>
    <col min="1" max="1" width="8.25" style="1" customWidth="1"/>
    <col min="2" max="2" width="8.58333333333333" style="1" customWidth="1"/>
    <col min="3" max="4" width="8.25" style="1" customWidth="1"/>
    <col min="5" max="5" width="8.25" style="28" customWidth="1"/>
    <col min="6" max="6" width="11.7666666666667" style="26" customWidth="1"/>
    <col min="7" max="7" width="8.25" style="1" customWidth="1"/>
    <col min="8" max="8" width="8.25" style="26" customWidth="1"/>
    <col min="9" max="9" width="8.25" style="28" customWidth="1"/>
    <col min="10" max="10" width="8.25" style="26" customWidth="1"/>
    <col min="11" max="137" width="7.83333333333333" style="1" customWidth="1"/>
    <col min="138" max="138" width="7.83333333333333" style="1"/>
    <col min="139" max="16384" width="8" style="1"/>
  </cols>
  <sheetData>
    <row r="1" s="1" customFormat="1" ht="50" customHeight="1" spans="1:10">
      <c r="A1" s="34"/>
      <c r="B1" s="34"/>
      <c r="C1" s="34"/>
      <c r="D1" s="34"/>
      <c r="E1" s="35"/>
      <c r="F1" s="36"/>
      <c r="G1" s="34"/>
      <c r="H1" s="36"/>
      <c r="I1" s="35"/>
      <c r="J1" s="36"/>
    </row>
    <row r="2" s="1" customFormat="1" ht="41" customHeight="1" spans="1:10">
      <c r="A2" s="34"/>
      <c r="B2" s="34"/>
      <c r="C2" s="34"/>
      <c r="D2" s="34"/>
      <c r="E2" s="35"/>
      <c r="F2" s="36"/>
      <c r="G2" s="34"/>
      <c r="H2" s="36"/>
      <c r="I2" s="35"/>
      <c r="J2" s="36"/>
    </row>
    <row r="3" s="3" customFormat="1" ht="17" customHeight="1" spans="1:126">
      <c r="A3" s="8" t="s">
        <v>0</v>
      </c>
      <c r="B3" s="9" t="s">
        <v>1</v>
      </c>
      <c r="C3" s="9"/>
      <c r="D3" s="9"/>
      <c r="E3" s="10"/>
      <c r="H3" s="8" t="s">
        <v>2</v>
      </c>
      <c r="I3" s="12" t="s">
        <v>3</v>
      </c>
      <c r="J3" s="9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</row>
    <row r="4" s="3" customFormat="1" ht="17" customHeight="1" spans="1:126">
      <c r="A4" s="8" t="s">
        <v>4</v>
      </c>
      <c r="B4" s="9" t="s">
        <v>5</v>
      </c>
      <c r="C4" s="9"/>
      <c r="D4" s="9"/>
      <c r="E4" s="10"/>
      <c r="H4" s="8" t="s">
        <v>6</v>
      </c>
      <c r="I4" s="13">
        <v>13633926127</v>
      </c>
      <c r="J4" s="1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</row>
    <row r="5" s="3" customFormat="1" ht="17" customHeight="1" spans="1:126">
      <c r="A5" s="14" t="s">
        <v>7</v>
      </c>
      <c r="B5" s="9" t="s">
        <v>8</v>
      </c>
      <c r="C5" s="9"/>
      <c r="D5" s="9"/>
      <c r="E5" s="10"/>
      <c r="H5" s="14" t="s">
        <v>9</v>
      </c>
      <c r="I5" s="12" t="s">
        <v>10</v>
      </c>
      <c r="J5" s="9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</row>
    <row r="6" s="3" customFormat="1" ht="17" customHeight="1" spans="1:126">
      <c r="A6" s="8" t="s">
        <v>6</v>
      </c>
      <c r="B6" s="15" t="s">
        <v>11</v>
      </c>
      <c r="H6" s="8" t="s">
        <v>12</v>
      </c>
      <c r="I6" s="17" t="s">
        <v>13</v>
      </c>
      <c r="J6" s="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</row>
    <row r="7" s="3" customFormat="1" ht="17" customHeight="1" spans="1:126">
      <c r="A7" s="9"/>
      <c r="B7" s="15"/>
      <c r="H7" s="9"/>
      <c r="I7" s="49"/>
      <c r="J7" s="9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</row>
    <row r="8" s="4" customFormat="1" ht="26.25" customHeight="1" spans="1:10">
      <c r="A8" s="18" t="s">
        <v>14</v>
      </c>
      <c r="B8" s="18"/>
      <c r="C8" s="18"/>
      <c r="D8" s="18"/>
      <c r="E8" s="18"/>
      <c r="F8" s="18"/>
      <c r="G8" s="18"/>
      <c r="H8" s="18"/>
      <c r="I8" s="18"/>
      <c r="J8" s="18"/>
    </row>
    <row r="9" s="1" customFormat="1" spans="1:10">
      <c r="A9" s="61" t="s">
        <v>15</v>
      </c>
      <c r="B9" s="61" t="s">
        <v>16</v>
      </c>
      <c r="C9" s="61" t="s">
        <v>17</v>
      </c>
      <c r="D9" s="62" t="s">
        <v>18</v>
      </c>
      <c r="E9" s="63" t="s">
        <v>19</v>
      </c>
      <c r="F9" s="61" t="s">
        <v>20</v>
      </c>
      <c r="G9" s="64" t="s">
        <v>21</v>
      </c>
      <c r="H9" s="97" t="s">
        <v>22</v>
      </c>
      <c r="I9" s="97" t="s">
        <v>23</v>
      </c>
      <c r="J9" s="97" t="s">
        <v>24</v>
      </c>
    </row>
    <row r="10" s="1" customFormat="1" spans="1:10">
      <c r="A10" s="61" t="s">
        <v>25</v>
      </c>
      <c r="B10" s="86" t="s">
        <v>26</v>
      </c>
      <c r="C10" s="87">
        <v>4</v>
      </c>
      <c r="D10" s="62" t="s">
        <v>27</v>
      </c>
      <c r="E10" s="63" t="s">
        <v>28</v>
      </c>
      <c r="F10" s="61" t="s">
        <v>29</v>
      </c>
      <c r="G10" s="64">
        <f t="shared" ref="G10:G15" si="0">ROUND(I10/13.33,3)</f>
        <v>9.439</v>
      </c>
      <c r="H10" s="89">
        <f t="shared" ref="H10:H15" si="1">ROUND(G10*12,2)</f>
        <v>113.27</v>
      </c>
      <c r="I10" s="89">
        <v>125.8277328</v>
      </c>
      <c r="J10" s="89">
        <f t="shared" ref="J10:J15" si="2">ROUND(G10*14,2)</f>
        <v>132.15</v>
      </c>
    </row>
    <row r="11" s="1" customFormat="1" spans="1:10">
      <c r="A11" s="61" t="s">
        <v>25</v>
      </c>
      <c r="B11" s="86">
        <v>0.127</v>
      </c>
      <c r="C11" s="87">
        <v>5</v>
      </c>
      <c r="D11" s="62" t="s">
        <v>27</v>
      </c>
      <c r="E11" s="63" t="s">
        <v>28</v>
      </c>
      <c r="F11" s="61" t="s">
        <v>29</v>
      </c>
      <c r="G11" s="64">
        <f t="shared" si="0"/>
        <v>9.439</v>
      </c>
      <c r="H11" s="89">
        <f t="shared" si="1"/>
        <v>113.27</v>
      </c>
      <c r="I11" s="89">
        <v>125.8277328</v>
      </c>
      <c r="J11" s="89">
        <f t="shared" si="2"/>
        <v>132.15</v>
      </c>
    </row>
    <row r="12" s="1" customFormat="1" spans="1:10">
      <c r="A12" s="61" t="s">
        <v>25</v>
      </c>
      <c r="B12" s="86" t="s">
        <v>30</v>
      </c>
      <c r="C12" s="87">
        <v>5</v>
      </c>
      <c r="D12" s="62" t="s">
        <v>27</v>
      </c>
      <c r="E12" s="63" t="s">
        <v>28</v>
      </c>
      <c r="F12" s="61" t="s">
        <v>29</v>
      </c>
      <c r="G12" s="64">
        <f t="shared" si="0"/>
        <v>9.452</v>
      </c>
      <c r="H12" s="89">
        <f t="shared" si="1"/>
        <v>113.42</v>
      </c>
      <c r="I12" s="89">
        <v>125.994528</v>
      </c>
      <c r="J12" s="89">
        <f t="shared" si="2"/>
        <v>132.33</v>
      </c>
    </row>
    <row r="13" s="1" customFormat="1" spans="1:10">
      <c r="A13" s="61" t="s">
        <v>25</v>
      </c>
      <c r="B13" s="86" t="s">
        <v>31</v>
      </c>
      <c r="C13" s="87">
        <v>6</v>
      </c>
      <c r="D13" s="62" t="s">
        <v>27</v>
      </c>
      <c r="E13" s="63" t="s">
        <v>28</v>
      </c>
      <c r="F13" s="61" t="s">
        <v>32</v>
      </c>
      <c r="G13" s="64">
        <f t="shared" si="0"/>
        <v>9.635</v>
      </c>
      <c r="H13" s="89">
        <f t="shared" si="1"/>
        <v>115.62</v>
      </c>
      <c r="I13" s="89">
        <v>128.432304</v>
      </c>
      <c r="J13" s="89">
        <f t="shared" si="2"/>
        <v>134.89</v>
      </c>
    </row>
    <row r="14" s="1" customFormat="1" spans="1:11">
      <c r="A14" s="61" t="s">
        <v>25</v>
      </c>
      <c r="B14" s="86" t="s">
        <v>31</v>
      </c>
      <c r="C14" s="87">
        <v>6</v>
      </c>
      <c r="D14" s="62" t="s">
        <v>27</v>
      </c>
      <c r="E14" s="63" t="s">
        <v>28</v>
      </c>
      <c r="F14" s="61" t="s">
        <v>33</v>
      </c>
      <c r="G14" s="64">
        <f t="shared" si="0"/>
        <v>11.587</v>
      </c>
      <c r="H14" s="89">
        <f t="shared" si="1"/>
        <v>139.04</v>
      </c>
      <c r="I14" s="89">
        <v>154.4523552</v>
      </c>
      <c r="J14" s="89">
        <f t="shared" si="2"/>
        <v>162.22</v>
      </c>
      <c r="K14" s="98"/>
    </row>
    <row r="15" s="1" customFormat="1" spans="1:10">
      <c r="A15" s="61" t="s">
        <v>25</v>
      </c>
      <c r="B15" s="86" t="s">
        <v>34</v>
      </c>
      <c r="C15" s="87">
        <v>8</v>
      </c>
      <c r="D15" s="62" t="s">
        <v>27</v>
      </c>
      <c r="E15" s="63" t="s">
        <v>28</v>
      </c>
      <c r="F15" s="61" t="s">
        <v>35</v>
      </c>
      <c r="G15" s="64">
        <f t="shared" si="0"/>
        <v>9.661</v>
      </c>
      <c r="H15" s="89">
        <f t="shared" si="1"/>
        <v>115.93</v>
      </c>
      <c r="I15" s="89">
        <v>128.7787248</v>
      </c>
      <c r="J15" s="89">
        <f t="shared" si="2"/>
        <v>135.25</v>
      </c>
    </row>
    <row r="16" s="1" customFormat="1" spans="1:11">
      <c r="A16" s="61" t="s">
        <v>25</v>
      </c>
      <c r="B16" s="86" t="s">
        <v>34</v>
      </c>
      <c r="C16" s="87">
        <v>8</v>
      </c>
      <c r="D16" s="62" t="s">
        <v>27</v>
      </c>
      <c r="E16" s="63" t="s">
        <v>28</v>
      </c>
      <c r="F16" s="61" t="s">
        <v>36</v>
      </c>
      <c r="G16" s="64">
        <f t="shared" ref="G16:G24" si="3">ROUND(I16/13.33,3)</f>
        <v>10.895</v>
      </c>
      <c r="H16" s="89">
        <f t="shared" ref="H16:H24" si="4">ROUND(G16*12,2)</f>
        <v>130.74</v>
      </c>
      <c r="I16" s="89">
        <v>145.2272976</v>
      </c>
      <c r="J16" s="89">
        <f t="shared" ref="J16:J24" si="5">ROUND(G16*14,2)</f>
        <v>152.53</v>
      </c>
      <c r="K16" s="98"/>
    </row>
    <row r="17" s="1" customFormat="1" spans="1:10">
      <c r="A17" s="61" t="s">
        <v>25</v>
      </c>
      <c r="B17" s="86" t="s">
        <v>37</v>
      </c>
      <c r="C17" s="87">
        <v>10</v>
      </c>
      <c r="D17" s="62" t="s">
        <v>27</v>
      </c>
      <c r="E17" s="63" t="s">
        <v>28</v>
      </c>
      <c r="F17" s="61" t="s">
        <v>36</v>
      </c>
      <c r="G17" s="64">
        <f t="shared" ref="G17:G19" si="6">ROUND(I17/13.33,3)</f>
        <v>10.592</v>
      </c>
      <c r="H17" s="89">
        <f t="shared" ref="H17:H19" si="7">ROUND(G17*12,2)</f>
        <v>127.1</v>
      </c>
      <c r="I17" s="89">
        <v>141.1857216</v>
      </c>
      <c r="J17" s="89">
        <f t="shared" ref="J17:J19" si="8">ROUND(G17*14,2)</f>
        <v>148.29</v>
      </c>
    </row>
    <row r="18" s="1" customFormat="1" spans="1:10">
      <c r="A18" s="61" t="s">
        <v>25</v>
      </c>
      <c r="B18" s="86" t="s">
        <v>38</v>
      </c>
      <c r="C18" s="87">
        <v>12</v>
      </c>
      <c r="D18" s="62" t="s">
        <v>27</v>
      </c>
      <c r="E18" s="63" t="s">
        <v>28</v>
      </c>
      <c r="F18" s="61" t="s">
        <v>39</v>
      </c>
      <c r="G18" s="64">
        <f t="shared" si="6"/>
        <v>10.903</v>
      </c>
      <c r="H18" s="89">
        <f t="shared" si="7"/>
        <v>130.84</v>
      </c>
      <c r="I18" s="89">
        <v>145.3427712</v>
      </c>
      <c r="J18" s="89">
        <f t="shared" si="8"/>
        <v>152.64</v>
      </c>
    </row>
    <row r="19" s="1" customFormat="1" spans="1:11">
      <c r="A19" s="61" t="s">
        <v>25</v>
      </c>
      <c r="B19" s="86" t="s">
        <v>38</v>
      </c>
      <c r="C19" s="87">
        <v>12</v>
      </c>
      <c r="D19" s="62" t="s">
        <v>27</v>
      </c>
      <c r="E19" s="63" t="s">
        <v>28</v>
      </c>
      <c r="F19" s="61" t="s">
        <v>40</v>
      </c>
      <c r="G19" s="64">
        <f t="shared" si="6"/>
        <v>12.215</v>
      </c>
      <c r="H19" s="89">
        <f t="shared" si="7"/>
        <v>146.58</v>
      </c>
      <c r="I19" s="89">
        <v>162.8306064</v>
      </c>
      <c r="J19" s="89">
        <f t="shared" si="8"/>
        <v>171.01</v>
      </c>
      <c r="K19" s="98"/>
    </row>
    <row r="20" s="1" customFormat="1" spans="1:10">
      <c r="A20" s="61" t="s">
        <v>25</v>
      </c>
      <c r="B20" s="86" t="s">
        <v>41</v>
      </c>
      <c r="C20" s="87">
        <v>14</v>
      </c>
      <c r="D20" s="62" t="s">
        <v>27</v>
      </c>
      <c r="E20" s="63" t="s">
        <v>28</v>
      </c>
      <c r="F20" s="61" t="s">
        <v>42</v>
      </c>
      <c r="G20" s="64">
        <f t="shared" si="3"/>
        <v>10.694</v>
      </c>
      <c r="H20" s="89">
        <f t="shared" si="4"/>
        <v>128.33</v>
      </c>
      <c r="I20" s="89">
        <v>142.545744</v>
      </c>
      <c r="J20" s="89">
        <f t="shared" si="5"/>
        <v>149.72</v>
      </c>
    </row>
    <row r="21" s="1" customFormat="1" spans="1:11">
      <c r="A21" s="61" t="s">
        <v>25</v>
      </c>
      <c r="B21" s="86" t="s">
        <v>41</v>
      </c>
      <c r="C21" s="87">
        <v>14</v>
      </c>
      <c r="D21" s="62" t="s">
        <v>27</v>
      </c>
      <c r="E21" s="63" t="s">
        <v>28</v>
      </c>
      <c r="F21" s="61" t="s">
        <v>40</v>
      </c>
      <c r="G21" s="64">
        <f t="shared" si="3"/>
        <v>12.787</v>
      </c>
      <c r="H21" s="89">
        <f t="shared" si="4"/>
        <v>153.44</v>
      </c>
      <c r="I21" s="89">
        <v>170.451864</v>
      </c>
      <c r="J21" s="89">
        <f t="shared" si="5"/>
        <v>179.02</v>
      </c>
      <c r="K21" s="98"/>
    </row>
    <row r="22" s="1" customFormat="1" spans="1:10">
      <c r="A22" s="61" t="s">
        <v>25</v>
      </c>
      <c r="B22" s="86" t="s">
        <v>43</v>
      </c>
      <c r="C22" s="87">
        <v>15</v>
      </c>
      <c r="D22" s="62" t="s">
        <v>27</v>
      </c>
      <c r="E22" s="63" t="s">
        <v>28</v>
      </c>
      <c r="F22" s="61" t="s">
        <v>42</v>
      </c>
      <c r="G22" s="64">
        <f t="shared" si="3"/>
        <v>10.589</v>
      </c>
      <c r="H22" s="89">
        <f t="shared" si="4"/>
        <v>127.07</v>
      </c>
      <c r="I22" s="89">
        <v>141.1472304</v>
      </c>
      <c r="J22" s="89">
        <f t="shared" si="5"/>
        <v>148.25</v>
      </c>
    </row>
    <row r="23" s="1" customFormat="1" spans="1:10">
      <c r="A23" s="61" t="s">
        <v>25</v>
      </c>
      <c r="B23" s="86" t="s">
        <v>44</v>
      </c>
      <c r="C23" s="87">
        <v>16</v>
      </c>
      <c r="D23" s="62" t="s">
        <v>27</v>
      </c>
      <c r="E23" s="63" t="s">
        <v>28</v>
      </c>
      <c r="F23" s="61" t="s">
        <v>42</v>
      </c>
      <c r="G23" s="64">
        <f t="shared" si="3"/>
        <v>10.8</v>
      </c>
      <c r="H23" s="89">
        <f t="shared" si="4"/>
        <v>129.6</v>
      </c>
      <c r="I23" s="89">
        <v>143.9699184</v>
      </c>
      <c r="J23" s="89">
        <f t="shared" si="5"/>
        <v>151.2</v>
      </c>
    </row>
    <row r="24" s="1" customFormat="1" spans="1:11">
      <c r="A24" s="61" t="s">
        <v>25</v>
      </c>
      <c r="B24" s="86" t="s">
        <v>44</v>
      </c>
      <c r="C24" s="87">
        <v>16</v>
      </c>
      <c r="D24" s="62" t="s">
        <v>27</v>
      </c>
      <c r="E24" s="63" t="s">
        <v>28</v>
      </c>
      <c r="F24" s="61" t="s">
        <v>40</v>
      </c>
      <c r="G24" s="64">
        <f t="shared" si="3"/>
        <v>12.787</v>
      </c>
      <c r="H24" s="89">
        <f t="shared" si="4"/>
        <v>153.44</v>
      </c>
      <c r="I24" s="89">
        <v>170.451864</v>
      </c>
      <c r="J24" s="89">
        <f t="shared" si="5"/>
        <v>179.02</v>
      </c>
      <c r="K24" s="99"/>
    </row>
    <row r="25" s="1" customFormat="1" spans="1:10">
      <c r="A25" s="61" t="s">
        <v>25</v>
      </c>
      <c r="B25" s="86">
        <v>0.45</v>
      </c>
      <c r="C25" s="87">
        <v>20</v>
      </c>
      <c r="D25" s="62" t="s">
        <v>27</v>
      </c>
      <c r="E25" s="63" t="s">
        <v>28</v>
      </c>
      <c r="F25" s="61" t="s">
        <v>45</v>
      </c>
      <c r="G25" s="64">
        <f t="shared" ref="G25:G52" si="9">ROUND(I25/13.33,3)</f>
        <v>11.542</v>
      </c>
      <c r="H25" s="89">
        <f t="shared" ref="H25:H52" si="10">ROUND(G25*12,2)</f>
        <v>138.5</v>
      </c>
      <c r="I25" s="89">
        <v>153.8493264</v>
      </c>
      <c r="J25" s="89">
        <f t="shared" ref="J25:J52" si="11">ROUND(G25*14,2)</f>
        <v>161.59</v>
      </c>
    </row>
    <row r="26" s="1" customFormat="1" spans="1:10">
      <c r="A26" s="61" t="s">
        <v>25</v>
      </c>
      <c r="B26" s="93">
        <v>0.5</v>
      </c>
      <c r="C26" s="87">
        <v>20</v>
      </c>
      <c r="D26" s="62" t="s">
        <v>27</v>
      </c>
      <c r="E26" s="63" t="s">
        <v>28</v>
      </c>
      <c r="F26" s="61" t="s">
        <v>46</v>
      </c>
      <c r="G26" s="64">
        <f t="shared" si="9"/>
        <v>11.651</v>
      </c>
      <c r="H26" s="89">
        <f t="shared" si="10"/>
        <v>139.81</v>
      </c>
      <c r="I26" s="89">
        <v>155.311992</v>
      </c>
      <c r="J26" s="89">
        <f t="shared" si="11"/>
        <v>163.11</v>
      </c>
    </row>
    <row r="27" s="1" customFormat="1" spans="1:10">
      <c r="A27" s="61" t="s">
        <v>25</v>
      </c>
      <c r="B27" s="86" t="s">
        <v>47</v>
      </c>
      <c r="C27" s="87">
        <v>24</v>
      </c>
      <c r="D27" s="62" t="s">
        <v>27</v>
      </c>
      <c r="E27" s="63" t="s">
        <v>28</v>
      </c>
      <c r="F27" s="61" t="s">
        <v>48</v>
      </c>
      <c r="G27" s="64">
        <f t="shared" si="9"/>
        <v>11.904</v>
      </c>
      <c r="H27" s="89">
        <f t="shared" si="10"/>
        <v>142.85</v>
      </c>
      <c r="I27" s="89">
        <v>158.6863872</v>
      </c>
      <c r="J27" s="89">
        <f t="shared" si="11"/>
        <v>166.66</v>
      </c>
    </row>
    <row r="28" s="1" customFormat="1" spans="1:10">
      <c r="A28" s="61" t="s">
        <v>25</v>
      </c>
      <c r="B28" s="93">
        <v>0.7</v>
      </c>
      <c r="C28" s="87">
        <v>28</v>
      </c>
      <c r="D28" s="62" t="s">
        <v>27</v>
      </c>
      <c r="E28" s="63" t="s">
        <v>28</v>
      </c>
      <c r="F28" s="61" t="s">
        <v>49</v>
      </c>
      <c r="G28" s="64">
        <f t="shared" si="9"/>
        <v>12.751</v>
      </c>
      <c r="H28" s="89">
        <f t="shared" si="10"/>
        <v>153.01</v>
      </c>
      <c r="I28" s="89">
        <v>169.9643088</v>
      </c>
      <c r="J28" s="89">
        <f t="shared" si="11"/>
        <v>178.51</v>
      </c>
    </row>
    <row r="29" s="1" customFormat="1" spans="1:10">
      <c r="A29" s="61" t="s">
        <v>25</v>
      </c>
      <c r="B29" s="93">
        <v>0.8</v>
      </c>
      <c r="C29" s="87">
        <v>32</v>
      </c>
      <c r="D29" s="62" t="s">
        <v>27</v>
      </c>
      <c r="E29" s="63" t="s">
        <v>28</v>
      </c>
      <c r="F29" s="61" t="s">
        <v>49</v>
      </c>
      <c r="G29" s="64">
        <f t="shared" si="9"/>
        <v>12.877</v>
      </c>
      <c r="H29" s="89">
        <f t="shared" si="10"/>
        <v>154.52</v>
      </c>
      <c r="I29" s="89">
        <v>171.6450912</v>
      </c>
      <c r="J29" s="89">
        <f t="shared" si="11"/>
        <v>180.28</v>
      </c>
    </row>
    <row r="30" s="1" customFormat="1" spans="1:10">
      <c r="A30" s="61" t="s">
        <v>25</v>
      </c>
      <c r="B30" s="93">
        <v>0.9</v>
      </c>
      <c r="C30" s="87">
        <v>36</v>
      </c>
      <c r="D30" s="62" t="s">
        <v>27</v>
      </c>
      <c r="E30" s="63" t="s">
        <v>28</v>
      </c>
      <c r="F30" s="61" t="s">
        <v>50</v>
      </c>
      <c r="G30" s="64">
        <f t="shared" si="9"/>
        <v>13.92</v>
      </c>
      <c r="H30" s="89">
        <f t="shared" si="10"/>
        <v>167.04</v>
      </c>
      <c r="I30" s="89">
        <v>185.552532</v>
      </c>
      <c r="J30" s="89">
        <f t="shared" si="11"/>
        <v>194.88</v>
      </c>
    </row>
    <row r="31" s="1" customFormat="1" spans="1:10">
      <c r="A31" s="61" t="s">
        <v>25</v>
      </c>
      <c r="B31" s="86" t="s">
        <v>51</v>
      </c>
      <c r="C31" s="87">
        <v>39</v>
      </c>
      <c r="D31" s="62" t="s">
        <v>27</v>
      </c>
      <c r="E31" s="63" t="s">
        <v>28</v>
      </c>
      <c r="F31" s="61" t="s">
        <v>52</v>
      </c>
      <c r="G31" s="64">
        <f t="shared" si="9"/>
        <v>13.611</v>
      </c>
      <c r="H31" s="89">
        <f t="shared" si="10"/>
        <v>163.33</v>
      </c>
      <c r="I31" s="89">
        <v>181.436112</v>
      </c>
      <c r="J31" s="89">
        <f t="shared" si="11"/>
        <v>190.55</v>
      </c>
    </row>
    <row r="32" s="1" customFormat="1" spans="1:10">
      <c r="A32" s="61" t="s">
        <v>25</v>
      </c>
      <c r="B32" s="86" t="s">
        <v>53</v>
      </c>
      <c r="C32" s="87">
        <v>43</v>
      </c>
      <c r="D32" s="62" t="s">
        <v>27</v>
      </c>
      <c r="E32" s="63" t="s">
        <v>28</v>
      </c>
      <c r="F32" s="61" t="s">
        <v>54</v>
      </c>
      <c r="G32" s="64">
        <f t="shared" si="9"/>
        <v>14.756</v>
      </c>
      <c r="H32" s="89">
        <f t="shared" si="10"/>
        <v>177.07</v>
      </c>
      <c r="I32" s="89">
        <v>196.699536</v>
      </c>
      <c r="J32" s="89">
        <f t="shared" si="11"/>
        <v>206.58</v>
      </c>
    </row>
    <row r="33" s="1" customFormat="1" spans="1:10">
      <c r="A33" s="61" t="s">
        <v>25</v>
      </c>
      <c r="B33" s="86" t="s">
        <v>55</v>
      </c>
      <c r="C33" s="87">
        <v>47</v>
      </c>
      <c r="D33" s="62" t="s">
        <v>27</v>
      </c>
      <c r="E33" s="63" t="s">
        <v>28</v>
      </c>
      <c r="F33" s="61" t="s">
        <v>54</v>
      </c>
      <c r="G33" s="64">
        <f t="shared" si="9"/>
        <v>15.332</v>
      </c>
      <c r="H33" s="89">
        <f t="shared" si="10"/>
        <v>183.98</v>
      </c>
      <c r="I33" s="89">
        <v>204.370452</v>
      </c>
      <c r="J33" s="89">
        <f t="shared" si="11"/>
        <v>214.65</v>
      </c>
    </row>
    <row r="34" s="1" customFormat="1" spans="1:10">
      <c r="A34" s="61" t="s">
        <v>25</v>
      </c>
      <c r="B34" s="93">
        <v>1.3</v>
      </c>
      <c r="C34" s="87">
        <v>55</v>
      </c>
      <c r="D34" s="62" t="s">
        <v>27</v>
      </c>
      <c r="E34" s="63" t="s">
        <v>28</v>
      </c>
      <c r="F34" s="61" t="s">
        <v>56</v>
      </c>
      <c r="G34" s="64">
        <f t="shared" si="9"/>
        <v>16.52</v>
      </c>
      <c r="H34" s="89">
        <f t="shared" si="10"/>
        <v>198.24</v>
      </c>
      <c r="I34" s="89">
        <v>220.208868</v>
      </c>
      <c r="J34" s="89">
        <f t="shared" si="11"/>
        <v>231.28</v>
      </c>
    </row>
    <row r="35" s="1" customFormat="1" spans="1:10">
      <c r="A35" s="61" t="s">
        <v>25</v>
      </c>
      <c r="B35" s="86" t="s">
        <v>57</v>
      </c>
      <c r="C35" s="87">
        <v>55</v>
      </c>
      <c r="D35" s="62" t="s">
        <v>27</v>
      </c>
      <c r="E35" s="63" t="s">
        <v>28</v>
      </c>
      <c r="F35" s="61" t="s">
        <v>56</v>
      </c>
      <c r="G35" s="64">
        <f t="shared" si="9"/>
        <v>16.13</v>
      </c>
      <c r="H35" s="89">
        <f t="shared" si="10"/>
        <v>193.56</v>
      </c>
      <c r="I35" s="89">
        <v>215.007804</v>
      </c>
      <c r="J35" s="89">
        <f t="shared" si="11"/>
        <v>225.82</v>
      </c>
    </row>
    <row r="36" s="1" customFormat="1" spans="1:10">
      <c r="A36" s="61" t="s">
        <v>25</v>
      </c>
      <c r="B36" s="86" t="s">
        <v>58</v>
      </c>
      <c r="C36" s="87">
        <v>59</v>
      </c>
      <c r="D36" s="62" t="s">
        <v>27</v>
      </c>
      <c r="E36" s="63" t="s">
        <v>28</v>
      </c>
      <c r="F36" s="61" t="s">
        <v>59</v>
      </c>
      <c r="G36" s="64">
        <f t="shared" si="9"/>
        <v>17.978</v>
      </c>
      <c r="H36" s="89">
        <f t="shared" si="10"/>
        <v>215.74</v>
      </c>
      <c r="I36" s="89">
        <v>239.6471616</v>
      </c>
      <c r="J36" s="89">
        <f t="shared" si="11"/>
        <v>251.69</v>
      </c>
    </row>
    <row r="37" s="1" customFormat="1" spans="1:10">
      <c r="A37" s="61" t="s">
        <v>25</v>
      </c>
      <c r="B37" s="86" t="s">
        <v>60</v>
      </c>
      <c r="C37" s="87">
        <v>63</v>
      </c>
      <c r="D37" s="62" t="s">
        <v>27</v>
      </c>
      <c r="E37" s="63" t="s">
        <v>28</v>
      </c>
      <c r="F37" s="61" t="s">
        <v>59</v>
      </c>
      <c r="G37" s="64">
        <f t="shared" si="9"/>
        <v>17.533</v>
      </c>
      <c r="H37" s="89">
        <f t="shared" si="10"/>
        <v>210.4</v>
      </c>
      <c r="I37" s="89">
        <v>233.712864</v>
      </c>
      <c r="J37" s="89">
        <f t="shared" si="11"/>
        <v>245.46</v>
      </c>
    </row>
    <row r="38" s="1" customFormat="1" spans="1:10">
      <c r="A38" s="61" t="s">
        <v>25</v>
      </c>
      <c r="B38" s="93">
        <v>1.8</v>
      </c>
      <c r="C38" s="87">
        <v>71</v>
      </c>
      <c r="D38" s="62" t="s">
        <v>27</v>
      </c>
      <c r="E38" s="63" t="s">
        <v>28</v>
      </c>
      <c r="F38" s="61" t="s">
        <v>61</v>
      </c>
      <c r="G38" s="64">
        <f t="shared" si="9"/>
        <v>19.471</v>
      </c>
      <c r="H38" s="89">
        <f t="shared" si="10"/>
        <v>233.65</v>
      </c>
      <c r="I38" s="89">
        <v>259.5523392</v>
      </c>
      <c r="J38" s="89">
        <f t="shared" si="11"/>
        <v>272.59</v>
      </c>
    </row>
    <row r="39" s="1" customFormat="1" spans="1:10">
      <c r="A39" s="61" t="s">
        <v>25</v>
      </c>
      <c r="B39" s="93">
        <v>1.9</v>
      </c>
      <c r="C39" s="87">
        <v>75</v>
      </c>
      <c r="D39" s="62" t="s">
        <v>27</v>
      </c>
      <c r="E39" s="63" t="s">
        <v>28</v>
      </c>
      <c r="F39" s="61" t="s">
        <v>62</v>
      </c>
      <c r="G39" s="64">
        <f t="shared" si="9"/>
        <v>20.802</v>
      </c>
      <c r="H39" s="89">
        <f t="shared" si="10"/>
        <v>249.62</v>
      </c>
      <c r="I39" s="89">
        <v>277.288704</v>
      </c>
      <c r="J39" s="89">
        <f t="shared" si="11"/>
        <v>291.23</v>
      </c>
    </row>
    <row r="40" s="1" customFormat="1" spans="1:10">
      <c r="A40" s="61" t="s">
        <v>25</v>
      </c>
      <c r="B40" s="86" t="s">
        <v>63</v>
      </c>
      <c r="C40" s="87">
        <v>79</v>
      </c>
      <c r="D40" s="62" t="s">
        <v>27</v>
      </c>
      <c r="E40" s="63" t="s">
        <v>28</v>
      </c>
      <c r="F40" s="61" t="s">
        <v>64</v>
      </c>
      <c r="G40" s="64">
        <f t="shared" si="9"/>
        <v>21.811</v>
      </c>
      <c r="H40" s="89">
        <f t="shared" si="10"/>
        <v>261.73</v>
      </c>
      <c r="I40" s="89">
        <v>290.7406656</v>
      </c>
      <c r="J40" s="89">
        <f t="shared" si="11"/>
        <v>305.35</v>
      </c>
    </row>
    <row r="41" s="1" customFormat="1" spans="1:10">
      <c r="A41" s="61" t="s">
        <v>25</v>
      </c>
      <c r="B41" s="93">
        <v>2.2</v>
      </c>
      <c r="C41" s="87">
        <v>79</v>
      </c>
      <c r="D41" s="62" t="s">
        <v>27</v>
      </c>
      <c r="E41" s="63" t="s">
        <v>28</v>
      </c>
      <c r="F41" s="61" t="s">
        <v>65</v>
      </c>
      <c r="G41" s="64">
        <f t="shared" si="9"/>
        <v>22.921</v>
      </c>
      <c r="H41" s="89">
        <f t="shared" si="10"/>
        <v>275.05</v>
      </c>
      <c r="I41" s="89">
        <v>305.5364928</v>
      </c>
      <c r="J41" s="89">
        <f t="shared" si="11"/>
        <v>320.89</v>
      </c>
    </row>
    <row r="42" s="1" customFormat="1" spans="1:10">
      <c r="A42" s="61" t="s">
        <v>25</v>
      </c>
      <c r="B42" s="86" t="s">
        <v>66</v>
      </c>
      <c r="C42" s="87">
        <v>94</v>
      </c>
      <c r="D42" s="62" t="s">
        <v>27</v>
      </c>
      <c r="E42" s="63" t="s">
        <v>28</v>
      </c>
      <c r="F42" s="61" t="s">
        <v>67</v>
      </c>
      <c r="G42" s="64">
        <f t="shared" si="9"/>
        <v>25.447</v>
      </c>
      <c r="H42" s="89">
        <f t="shared" si="10"/>
        <v>305.36</v>
      </c>
      <c r="I42" s="89">
        <v>339.2129664</v>
      </c>
      <c r="J42" s="89">
        <f t="shared" si="11"/>
        <v>356.26</v>
      </c>
    </row>
    <row r="43" s="1" customFormat="1" spans="1:10">
      <c r="A43" s="61" t="s">
        <v>25</v>
      </c>
      <c r="B43" s="86" t="s">
        <v>68</v>
      </c>
      <c r="C43" s="87">
        <v>118</v>
      </c>
      <c r="D43" s="62" t="s">
        <v>27</v>
      </c>
      <c r="E43" s="63" t="s">
        <v>28</v>
      </c>
      <c r="F43" s="61" t="s">
        <v>69</v>
      </c>
      <c r="G43" s="64">
        <f t="shared" si="9"/>
        <v>28.073</v>
      </c>
      <c r="H43" s="89">
        <f t="shared" si="10"/>
        <v>336.88</v>
      </c>
      <c r="I43" s="89">
        <v>374.2066944</v>
      </c>
      <c r="J43" s="89">
        <f t="shared" si="11"/>
        <v>393.02</v>
      </c>
    </row>
    <row r="44" s="1" customFormat="1" spans="1:10">
      <c r="A44" s="61" t="s">
        <v>25</v>
      </c>
      <c r="B44" s="86" t="s">
        <v>26</v>
      </c>
      <c r="C44" s="87">
        <v>4</v>
      </c>
      <c r="D44" s="62" t="s">
        <v>70</v>
      </c>
      <c r="E44" s="63" t="s">
        <v>28</v>
      </c>
      <c r="F44" s="61" t="s">
        <v>29</v>
      </c>
      <c r="G44" s="64">
        <f t="shared" si="9"/>
        <v>6.127</v>
      </c>
      <c r="H44" s="89">
        <f t="shared" si="10"/>
        <v>73.52</v>
      </c>
      <c r="I44" s="89">
        <v>81.6783264</v>
      </c>
      <c r="J44" s="89">
        <f t="shared" si="11"/>
        <v>85.78</v>
      </c>
    </row>
    <row r="45" s="1" customFormat="1" spans="1:10">
      <c r="A45" s="61" t="s">
        <v>25</v>
      </c>
      <c r="B45" s="86" t="s">
        <v>30</v>
      </c>
      <c r="C45" s="87">
        <v>5</v>
      </c>
      <c r="D45" s="62" t="s">
        <v>70</v>
      </c>
      <c r="E45" s="63" t="s">
        <v>28</v>
      </c>
      <c r="F45" s="61" t="s">
        <v>29</v>
      </c>
      <c r="G45" s="64">
        <f t="shared" si="9"/>
        <v>6.232</v>
      </c>
      <c r="H45" s="89">
        <f t="shared" si="10"/>
        <v>74.78</v>
      </c>
      <c r="I45" s="89">
        <v>83.07684</v>
      </c>
      <c r="J45" s="89">
        <f t="shared" si="11"/>
        <v>87.25</v>
      </c>
    </row>
    <row r="46" s="1" customFormat="1" spans="1:10">
      <c r="A46" s="61" t="s">
        <v>25</v>
      </c>
      <c r="B46" s="86" t="s">
        <v>31</v>
      </c>
      <c r="C46" s="87">
        <v>6</v>
      </c>
      <c r="D46" s="62" t="s">
        <v>70</v>
      </c>
      <c r="E46" s="63" t="s">
        <v>28</v>
      </c>
      <c r="F46" s="61" t="s">
        <v>32</v>
      </c>
      <c r="G46" s="64">
        <f t="shared" si="9"/>
        <v>6.293</v>
      </c>
      <c r="H46" s="89">
        <f t="shared" si="10"/>
        <v>75.52</v>
      </c>
      <c r="I46" s="89">
        <v>83.8851552</v>
      </c>
      <c r="J46" s="89">
        <f t="shared" si="11"/>
        <v>88.1</v>
      </c>
    </row>
    <row r="47" s="1" customFormat="1" spans="1:11">
      <c r="A47" s="61" t="s">
        <v>25</v>
      </c>
      <c r="B47" s="86" t="s">
        <v>31</v>
      </c>
      <c r="C47" s="87">
        <v>6</v>
      </c>
      <c r="D47" s="62" t="s">
        <v>70</v>
      </c>
      <c r="E47" s="63" t="s">
        <v>28</v>
      </c>
      <c r="F47" s="61" t="s">
        <v>33</v>
      </c>
      <c r="G47" s="64">
        <f t="shared" si="9"/>
        <v>7.486</v>
      </c>
      <c r="H47" s="89">
        <f t="shared" si="10"/>
        <v>89.83</v>
      </c>
      <c r="I47" s="89">
        <v>99.7948512</v>
      </c>
      <c r="J47" s="89">
        <f t="shared" si="11"/>
        <v>104.8</v>
      </c>
      <c r="K47" s="98"/>
    </row>
    <row r="48" s="1" customFormat="1" spans="1:10">
      <c r="A48" s="61" t="s">
        <v>25</v>
      </c>
      <c r="B48" s="86" t="s">
        <v>34</v>
      </c>
      <c r="C48" s="87">
        <v>8</v>
      </c>
      <c r="D48" s="62" t="s">
        <v>70</v>
      </c>
      <c r="E48" s="63" t="s">
        <v>28</v>
      </c>
      <c r="F48" s="61" t="s">
        <v>35</v>
      </c>
      <c r="G48" s="64">
        <f t="shared" si="9"/>
        <v>6.413</v>
      </c>
      <c r="H48" s="89">
        <f t="shared" si="10"/>
        <v>76.96</v>
      </c>
      <c r="I48" s="89">
        <v>85.4889552</v>
      </c>
      <c r="J48" s="89">
        <f t="shared" si="11"/>
        <v>89.78</v>
      </c>
    </row>
    <row r="49" s="1" customFormat="1" spans="1:11">
      <c r="A49" s="61" t="s">
        <v>25</v>
      </c>
      <c r="B49" s="86" t="s">
        <v>34</v>
      </c>
      <c r="C49" s="87">
        <v>8</v>
      </c>
      <c r="D49" s="62" t="s">
        <v>70</v>
      </c>
      <c r="E49" s="63" t="s">
        <v>28</v>
      </c>
      <c r="F49" s="61" t="s">
        <v>36</v>
      </c>
      <c r="G49" s="64">
        <f t="shared" si="9"/>
        <v>7.349</v>
      </c>
      <c r="H49" s="89">
        <f t="shared" si="10"/>
        <v>88.19</v>
      </c>
      <c r="I49" s="89">
        <v>97.960104</v>
      </c>
      <c r="J49" s="89">
        <f t="shared" si="11"/>
        <v>102.89</v>
      </c>
      <c r="K49" s="98"/>
    </row>
    <row r="50" s="1" customFormat="1" spans="1:10">
      <c r="A50" s="61" t="s">
        <v>25</v>
      </c>
      <c r="B50" s="86" t="s">
        <v>37</v>
      </c>
      <c r="C50" s="87">
        <v>10</v>
      </c>
      <c r="D50" s="62" t="s">
        <v>70</v>
      </c>
      <c r="E50" s="63" t="s">
        <v>28</v>
      </c>
      <c r="F50" s="61" t="s">
        <v>36</v>
      </c>
      <c r="G50" s="64">
        <f t="shared" si="9"/>
        <v>7.243</v>
      </c>
      <c r="H50" s="89">
        <f t="shared" si="10"/>
        <v>86.92</v>
      </c>
      <c r="I50" s="89">
        <v>96.54876</v>
      </c>
      <c r="J50" s="89">
        <f t="shared" si="11"/>
        <v>101.4</v>
      </c>
    </row>
    <row r="51" s="1" customFormat="1" spans="1:10">
      <c r="A51" s="61" t="s">
        <v>25</v>
      </c>
      <c r="B51" s="86" t="s">
        <v>38</v>
      </c>
      <c r="C51" s="87">
        <v>12</v>
      </c>
      <c r="D51" s="62" t="s">
        <v>70</v>
      </c>
      <c r="E51" s="63" t="s">
        <v>28</v>
      </c>
      <c r="F51" s="61" t="s">
        <v>39</v>
      </c>
      <c r="G51" s="64">
        <f t="shared" si="9"/>
        <v>7.344</v>
      </c>
      <c r="H51" s="89">
        <f t="shared" si="10"/>
        <v>88.13</v>
      </c>
      <c r="I51" s="89">
        <v>97.895952</v>
      </c>
      <c r="J51" s="89">
        <f t="shared" si="11"/>
        <v>102.82</v>
      </c>
    </row>
    <row r="52" s="1" customFormat="1" spans="1:10">
      <c r="A52" s="61" t="s">
        <v>25</v>
      </c>
      <c r="B52" s="86" t="s">
        <v>41</v>
      </c>
      <c r="C52" s="87">
        <v>14</v>
      </c>
      <c r="D52" s="62" t="s">
        <v>70</v>
      </c>
      <c r="E52" s="63" t="s">
        <v>28</v>
      </c>
      <c r="F52" s="61" t="s">
        <v>42</v>
      </c>
      <c r="G52" s="64">
        <f t="shared" si="9"/>
        <v>7.243</v>
      </c>
      <c r="H52" s="89">
        <f t="shared" si="10"/>
        <v>86.92</v>
      </c>
      <c r="I52" s="89">
        <v>96.54876</v>
      </c>
      <c r="J52" s="89">
        <f t="shared" si="11"/>
        <v>101.4</v>
      </c>
    </row>
    <row r="53" s="1" customFormat="1" spans="1:10">
      <c r="A53" s="61" t="s">
        <v>25</v>
      </c>
      <c r="B53" s="86" t="s">
        <v>44</v>
      </c>
      <c r="C53" s="87">
        <v>16</v>
      </c>
      <c r="D53" s="62" t="s">
        <v>70</v>
      </c>
      <c r="E53" s="63" t="s">
        <v>28</v>
      </c>
      <c r="F53" s="61" t="s">
        <v>42</v>
      </c>
      <c r="G53" s="64">
        <f t="shared" ref="G53:G75" si="12">ROUND(I53/13.33,3)</f>
        <v>7.313</v>
      </c>
      <c r="H53" s="89">
        <f t="shared" ref="H53:H75" si="13">ROUND(G53*12,2)</f>
        <v>87.76</v>
      </c>
      <c r="I53" s="89">
        <v>97.4853792</v>
      </c>
      <c r="J53" s="89">
        <f t="shared" ref="J53:J75" si="14">ROUND(G53*14,2)</f>
        <v>102.38</v>
      </c>
    </row>
    <row r="54" s="1" customFormat="1" spans="1:10">
      <c r="A54" s="61" t="s">
        <v>25</v>
      </c>
      <c r="B54" s="86">
        <v>0.45</v>
      </c>
      <c r="C54" s="87">
        <v>16</v>
      </c>
      <c r="D54" s="62" t="s">
        <v>70</v>
      </c>
      <c r="E54" s="63" t="s">
        <v>28</v>
      </c>
      <c r="F54" s="61" t="s">
        <v>45</v>
      </c>
      <c r="G54" s="64">
        <f t="shared" si="12"/>
        <v>8.365</v>
      </c>
      <c r="H54" s="89">
        <f t="shared" si="13"/>
        <v>100.38</v>
      </c>
      <c r="I54" s="89">
        <v>111.5090064</v>
      </c>
      <c r="J54" s="89">
        <f t="shared" si="14"/>
        <v>117.11</v>
      </c>
    </row>
    <row r="55" s="1" customFormat="1" spans="1:10">
      <c r="A55" s="61" t="s">
        <v>25</v>
      </c>
      <c r="B55" s="93">
        <v>0.5</v>
      </c>
      <c r="C55" s="87">
        <v>20</v>
      </c>
      <c r="D55" s="62" t="s">
        <v>70</v>
      </c>
      <c r="E55" s="63" t="s">
        <v>28</v>
      </c>
      <c r="F55" s="61" t="s">
        <v>46</v>
      </c>
      <c r="G55" s="64">
        <f t="shared" si="12"/>
        <v>8.365</v>
      </c>
      <c r="H55" s="89">
        <f t="shared" si="13"/>
        <v>100.38</v>
      </c>
      <c r="I55" s="89">
        <v>111.5090064</v>
      </c>
      <c r="J55" s="89">
        <f t="shared" si="14"/>
        <v>117.11</v>
      </c>
    </row>
    <row r="56" s="1" customFormat="1" spans="1:10">
      <c r="A56" s="61" t="s">
        <v>25</v>
      </c>
      <c r="B56" s="86" t="s">
        <v>47</v>
      </c>
      <c r="C56" s="87">
        <v>24</v>
      </c>
      <c r="D56" s="62" t="s">
        <v>70</v>
      </c>
      <c r="E56" s="63" t="s">
        <v>28</v>
      </c>
      <c r="F56" s="61" t="s">
        <v>48</v>
      </c>
      <c r="G56" s="64">
        <f t="shared" si="12"/>
        <v>8.517</v>
      </c>
      <c r="H56" s="89">
        <f t="shared" si="13"/>
        <v>102.2</v>
      </c>
      <c r="I56" s="89">
        <v>113.5362096</v>
      </c>
      <c r="J56" s="89">
        <f t="shared" si="14"/>
        <v>119.24</v>
      </c>
    </row>
    <row r="57" s="1" customFormat="1" spans="1:10">
      <c r="A57" s="61" t="s">
        <v>25</v>
      </c>
      <c r="B57" s="93">
        <v>0.7</v>
      </c>
      <c r="C57" s="87">
        <v>28</v>
      </c>
      <c r="D57" s="62" t="s">
        <v>70</v>
      </c>
      <c r="E57" s="63" t="s">
        <v>28</v>
      </c>
      <c r="F57" s="61" t="s">
        <v>49</v>
      </c>
      <c r="G57" s="64">
        <f t="shared" si="12"/>
        <v>9.616</v>
      </c>
      <c r="H57" s="89">
        <f t="shared" si="13"/>
        <v>115.39</v>
      </c>
      <c r="I57" s="89">
        <v>128.175696</v>
      </c>
      <c r="J57" s="89">
        <f t="shared" si="14"/>
        <v>134.62</v>
      </c>
    </row>
    <row r="58" s="1" customFormat="1" spans="1:10">
      <c r="A58" s="61" t="s">
        <v>25</v>
      </c>
      <c r="B58" s="93">
        <v>0.8</v>
      </c>
      <c r="C58" s="87">
        <v>32</v>
      </c>
      <c r="D58" s="62" t="s">
        <v>70</v>
      </c>
      <c r="E58" s="63" t="s">
        <v>28</v>
      </c>
      <c r="F58" s="61" t="s">
        <v>49</v>
      </c>
      <c r="G58" s="64">
        <f t="shared" si="12"/>
        <v>9.816</v>
      </c>
      <c r="H58" s="89">
        <f t="shared" si="13"/>
        <v>117.79</v>
      </c>
      <c r="I58" s="89">
        <v>130.8444192</v>
      </c>
      <c r="J58" s="89">
        <f t="shared" si="14"/>
        <v>137.42</v>
      </c>
    </row>
    <row r="59" s="1" customFormat="1" spans="1:10">
      <c r="A59" s="61" t="s">
        <v>25</v>
      </c>
      <c r="B59" s="93">
        <v>0.9</v>
      </c>
      <c r="C59" s="87">
        <v>36</v>
      </c>
      <c r="D59" s="62" t="s">
        <v>70</v>
      </c>
      <c r="E59" s="63" t="s">
        <v>28</v>
      </c>
      <c r="F59" s="61" t="s">
        <v>52</v>
      </c>
      <c r="G59" s="64">
        <f t="shared" si="12"/>
        <v>10.507</v>
      </c>
      <c r="H59" s="89">
        <f t="shared" si="13"/>
        <v>126.08</v>
      </c>
      <c r="I59" s="89">
        <v>140.062824</v>
      </c>
      <c r="J59" s="89">
        <f t="shared" si="14"/>
        <v>147.1</v>
      </c>
    </row>
    <row r="60" s="1" customFormat="1" spans="1:10">
      <c r="A60" s="61" t="s">
        <v>25</v>
      </c>
      <c r="B60" s="86" t="s">
        <v>51</v>
      </c>
      <c r="C60" s="87">
        <v>39</v>
      </c>
      <c r="D60" s="62" t="s">
        <v>70</v>
      </c>
      <c r="E60" s="63" t="s">
        <v>28</v>
      </c>
      <c r="F60" s="61" t="s">
        <v>52</v>
      </c>
      <c r="G60" s="64">
        <f t="shared" si="12"/>
        <v>10.71</v>
      </c>
      <c r="H60" s="89">
        <f t="shared" si="13"/>
        <v>128.52</v>
      </c>
      <c r="I60" s="89">
        <v>142.7679</v>
      </c>
      <c r="J60" s="89">
        <f t="shared" si="14"/>
        <v>149.94</v>
      </c>
    </row>
    <row r="61" s="1" customFormat="1" spans="1:10">
      <c r="A61" s="61" t="s">
        <v>25</v>
      </c>
      <c r="B61" s="86" t="s">
        <v>53</v>
      </c>
      <c r="C61" s="87">
        <v>43</v>
      </c>
      <c r="D61" s="62" t="s">
        <v>70</v>
      </c>
      <c r="E61" s="63" t="s">
        <v>28</v>
      </c>
      <c r="F61" s="61" t="s">
        <v>54</v>
      </c>
      <c r="G61" s="64">
        <f t="shared" si="12"/>
        <v>11.613</v>
      </c>
      <c r="H61" s="89">
        <f t="shared" si="13"/>
        <v>139.36</v>
      </c>
      <c r="I61" s="89">
        <v>154.803528</v>
      </c>
      <c r="J61" s="89">
        <f t="shared" si="14"/>
        <v>162.58</v>
      </c>
    </row>
    <row r="62" s="1" customFormat="1" spans="1:10">
      <c r="A62" s="61" t="s">
        <v>25</v>
      </c>
      <c r="B62" s="86" t="s">
        <v>55</v>
      </c>
      <c r="C62" s="87">
        <v>47</v>
      </c>
      <c r="D62" s="62" t="s">
        <v>70</v>
      </c>
      <c r="E62" s="63" t="s">
        <v>28</v>
      </c>
      <c r="F62" s="61" t="s">
        <v>54</v>
      </c>
      <c r="G62" s="64">
        <f t="shared" si="12"/>
        <v>11.814</v>
      </c>
      <c r="H62" s="89">
        <f t="shared" si="13"/>
        <v>141.77</v>
      </c>
      <c r="I62" s="89">
        <v>157.482468</v>
      </c>
      <c r="J62" s="89">
        <f t="shared" si="14"/>
        <v>165.4</v>
      </c>
    </row>
    <row r="63" s="1" customFormat="1" spans="1:10">
      <c r="A63" s="61" t="s">
        <v>25</v>
      </c>
      <c r="B63" s="93">
        <v>1.3</v>
      </c>
      <c r="C63" s="87">
        <v>55</v>
      </c>
      <c r="D63" s="62" t="s">
        <v>70</v>
      </c>
      <c r="E63" s="63" t="s">
        <v>28</v>
      </c>
      <c r="F63" s="61" t="s">
        <v>56</v>
      </c>
      <c r="G63" s="64">
        <f t="shared" si="12"/>
        <v>13.416</v>
      </c>
      <c r="H63" s="89">
        <f t="shared" si="13"/>
        <v>160.99</v>
      </c>
      <c r="I63" s="89">
        <v>178.83558</v>
      </c>
      <c r="J63" s="89">
        <f t="shared" si="14"/>
        <v>187.82</v>
      </c>
    </row>
    <row r="64" s="96" customFormat="1" spans="1:10">
      <c r="A64" s="61" t="s">
        <v>25</v>
      </c>
      <c r="B64" s="86" t="s">
        <v>57</v>
      </c>
      <c r="C64" s="87">
        <v>55</v>
      </c>
      <c r="D64" s="62" t="s">
        <v>70</v>
      </c>
      <c r="E64" s="63" t="s">
        <v>28</v>
      </c>
      <c r="F64" s="61" t="s">
        <v>56</v>
      </c>
      <c r="G64" s="64">
        <f t="shared" si="12"/>
        <v>12.693</v>
      </c>
      <c r="H64" s="89">
        <f t="shared" si="13"/>
        <v>152.32</v>
      </c>
      <c r="I64" s="89">
        <v>169.1940096</v>
      </c>
      <c r="J64" s="89">
        <f t="shared" si="14"/>
        <v>177.7</v>
      </c>
    </row>
    <row r="65" s="1" customFormat="1" spans="1:10">
      <c r="A65" s="61" t="s">
        <v>25</v>
      </c>
      <c r="B65" s="86" t="s">
        <v>58</v>
      </c>
      <c r="C65" s="87">
        <v>59</v>
      </c>
      <c r="D65" s="62" t="s">
        <v>70</v>
      </c>
      <c r="E65" s="63" t="s">
        <v>28</v>
      </c>
      <c r="F65" s="61" t="s">
        <v>59</v>
      </c>
      <c r="G65" s="64">
        <f t="shared" si="12"/>
        <v>14.17</v>
      </c>
      <c r="H65" s="89">
        <f t="shared" si="13"/>
        <v>170.04</v>
      </c>
      <c r="I65" s="89">
        <v>188.8862976</v>
      </c>
      <c r="J65" s="89">
        <f t="shared" si="14"/>
        <v>198.38</v>
      </c>
    </row>
    <row r="66" s="1" customFormat="1" spans="1:10">
      <c r="A66" s="61" t="s">
        <v>25</v>
      </c>
      <c r="B66" s="86" t="s">
        <v>60</v>
      </c>
      <c r="C66" s="87">
        <v>63</v>
      </c>
      <c r="D66" s="62" t="s">
        <v>70</v>
      </c>
      <c r="E66" s="63" t="s">
        <v>28</v>
      </c>
      <c r="F66" s="61" t="s">
        <v>59</v>
      </c>
      <c r="G66" s="64">
        <f t="shared" si="12"/>
        <v>14.679</v>
      </c>
      <c r="H66" s="89">
        <f t="shared" si="13"/>
        <v>176.15</v>
      </c>
      <c r="I66" s="89">
        <v>195.6721536</v>
      </c>
      <c r="J66" s="89">
        <f t="shared" si="14"/>
        <v>205.51</v>
      </c>
    </row>
    <row r="67" s="1" customFormat="1" spans="1:10">
      <c r="A67" s="61" t="s">
        <v>25</v>
      </c>
      <c r="B67" s="93">
        <v>1.8</v>
      </c>
      <c r="C67" s="87">
        <v>71</v>
      </c>
      <c r="D67" s="62" t="s">
        <v>70</v>
      </c>
      <c r="E67" s="63" t="s">
        <v>28</v>
      </c>
      <c r="F67" s="61" t="s">
        <v>62</v>
      </c>
      <c r="G67" s="64">
        <f t="shared" si="12"/>
        <v>15.801</v>
      </c>
      <c r="H67" s="89">
        <f t="shared" si="13"/>
        <v>189.61</v>
      </c>
      <c r="I67" s="89">
        <v>210.627648</v>
      </c>
      <c r="J67" s="89">
        <f t="shared" si="14"/>
        <v>221.21</v>
      </c>
    </row>
    <row r="68" s="1" customFormat="1" spans="1:10">
      <c r="A68" s="61" t="s">
        <v>25</v>
      </c>
      <c r="B68" s="93">
        <v>1.9</v>
      </c>
      <c r="C68" s="87">
        <v>75</v>
      </c>
      <c r="D68" s="62" t="s">
        <v>70</v>
      </c>
      <c r="E68" s="63" t="s">
        <v>28</v>
      </c>
      <c r="F68" s="61" t="s">
        <v>62</v>
      </c>
      <c r="G68" s="64">
        <f t="shared" si="12"/>
        <v>16.413</v>
      </c>
      <c r="H68" s="89">
        <f t="shared" si="13"/>
        <v>196.96</v>
      </c>
      <c r="I68" s="89">
        <v>218.7839808</v>
      </c>
      <c r="J68" s="89">
        <f t="shared" si="14"/>
        <v>229.78</v>
      </c>
    </row>
    <row r="69" s="1" customFormat="1" spans="1:10">
      <c r="A69" s="61" t="s">
        <v>25</v>
      </c>
      <c r="B69" s="86" t="s">
        <v>63</v>
      </c>
      <c r="C69" s="87">
        <v>79</v>
      </c>
      <c r="D69" s="62" t="s">
        <v>70</v>
      </c>
      <c r="E69" s="63" t="s">
        <v>28</v>
      </c>
      <c r="F69" s="61" t="s">
        <v>64</v>
      </c>
      <c r="G69" s="64">
        <f t="shared" si="12"/>
        <v>17.329</v>
      </c>
      <c r="H69" s="89">
        <f t="shared" si="13"/>
        <v>207.95</v>
      </c>
      <c r="I69" s="89">
        <v>230.9985216</v>
      </c>
      <c r="J69" s="89">
        <f t="shared" si="14"/>
        <v>242.61</v>
      </c>
    </row>
    <row r="70" s="1" customFormat="1" spans="1:10">
      <c r="A70" s="61" t="s">
        <v>25</v>
      </c>
      <c r="B70" s="86">
        <v>2.2</v>
      </c>
      <c r="C70" s="87">
        <v>87</v>
      </c>
      <c r="D70" s="62" t="s">
        <v>70</v>
      </c>
      <c r="E70" s="63" t="s">
        <v>28</v>
      </c>
      <c r="F70" s="61" t="s">
        <v>65</v>
      </c>
      <c r="G70" s="64">
        <f t="shared" si="12"/>
        <v>18.721</v>
      </c>
      <c r="H70" s="89">
        <f t="shared" si="13"/>
        <v>224.65</v>
      </c>
      <c r="I70" s="89">
        <v>249.546528</v>
      </c>
      <c r="J70" s="89">
        <f t="shared" si="14"/>
        <v>262.09</v>
      </c>
    </row>
    <row r="71" s="1" customFormat="1" spans="1:10">
      <c r="A71" s="61" t="s">
        <v>25</v>
      </c>
      <c r="B71" s="93">
        <v>2.4</v>
      </c>
      <c r="C71" s="87">
        <v>94</v>
      </c>
      <c r="D71" s="62" t="s">
        <v>70</v>
      </c>
      <c r="E71" s="63" t="s">
        <v>28</v>
      </c>
      <c r="F71" s="61" t="s">
        <v>67</v>
      </c>
      <c r="G71" s="64">
        <f t="shared" si="12"/>
        <v>20.802</v>
      </c>
      <c r="H71" s="89">
        <f t="shared" si="13"/>
        <v>249.62</v>
      </c>
      <c r="I71" s="89">
        <v>277.288704</v>
      </c>
      <c r="J71" s="89">
        <f t="shared" si="14"/>
        <v>291.23</v>
      </c>
    </row>
    <row r="72" s="3" customFormat="1" ht="14.25" spans="1:11">
      <c r="A72" s="61" t="s">
        <v>25</v>
      </c>
      <c r="B72" s="93">
        <v>3</v>
      </c>
      <c r="C72" s="87">
        <v>118</v>
      </c>
      <c r="D72" s="62" t="s">
        <v>70</v>
      </c>
      <c r="E72" s="63" t="s">
        <v>28</v>
      </c>
      <c r="F72" s="61" t="s">
        <v>69</v>
      </c>
      <c r="G72" s="64">
        <f t="shared" si="12"/>
        <v>27.014</v>
      </c>
      <c r="H72" s="89">
        <f t="shared" si="13"/>
        <v>324.17</v>
      </c>
      <c r="I72" s="89">
        <v>360.1027584</v>
      </c>
      <c r="J72" s="89">
        <f t="shared" si="14"/>
        <v>378.2</v>
      </c>
      <c r="K72" s="102"/>
    </row>
    <row r="73" s="3" customFormat="1" ht="14.25" spans="1:11">
      <c r="A73" s="61" t="s">
        <v>25</v>
      </c>
      <c r="B73" s="93">
        <v>0.36</v>
      </c>
      <c r="C73" s="87">
        <v>14</v>
      </c>
      <c r="D73" s="62" t="s">
        <v>71</v>
      </c>
      <c r="E73" s="63" t="s">
        <v>28</v>
      </c>
      <c r="F73" s="61" t="s">
        <v>42</v>
      </c>
      <c r="G73" s="64">
        <f t="shared" si="12"/>
        <v>17.045</v>
      </c>
      <c r="H73" s="89">
        <f t="shared" si="13"/>
        <v>204.54</v>
      </c>
      <c r="I73" s="89">
        <v>227.2064256</v>
      </c>
      <c r="J73" s="89">
        <f t="shared" si="14"/>
        <v>238.63</v>
      </c>
      <c r="K73" s="102"/>
    </row>
    <row r="74" s="3" customFormat="1" spans="1:10">
      <c r="A74" s="42"/>
      <c r="B74" s="100"/>
      <c r="C74" s="101"/>
      <c r="D74" s="45"/>
      <c r="E74" s="46"/>
      <c r="F74" s="47"/>
      <c r="G74" s="48"/>
      <c r="H74" s="47"/>
      <c r="I74" s="50"/>
      <c r="J74" s="47"/>
    </row>
    <row r="75" s="3" customFormat="1" ht="14.25" spans="1:10">
      <c r="A75" s="9" t="s">
        <v>72</v>
      </c>
      <c r="E75" s="16"/>
      <c r="F75" s="11"/>
      <c r="H75" s="11"/>
      <c r="I75" s="16"/>
      <c r="J75" s="11"/>
    </row>
    <row r="76" s="1" customFormat="1" spans="1:10">
      <c r="A76" s="9" t="s">
        <v>73</v>
      </c>
      <c r="B76" s="3"/>
      <c r="C76" s="3"/>
      <c r="D76" s="3"/>
      <c r="E76" s="28"/>
      <c r="F76" s="26"/>
      <c r="H76" s="26"/>
      <c r="I76" s="28"/>
      <c r="J76" s="31"/>
    </row>
    <row r="77" s="1" customFormat="1" spans="1:10">
      <c r="A77" s="9" t="s">
        <v>74</v>
      </c>
      <c r="B77" s="3"/>
      <c r="C77" s="3"/>
      <c r="D77" s="3"/>
      <c r="E77" s="28"/>
      <c r="F77" s="26"/>
      <c r="H77" s="26"/>
      <c r="I77" s="28"/>
      <c r="J77" s="31"/>
    </row>
    <row r="78" s="1" customFormat="1" ht="28" customHeight="1" spans="1:10">
      <c r="A78" s="56" t="s">
        <v>75</v>
      </c>
      <c r="B78" s="56"/>
      <c r="C78" s="56"/>
      <c r="D78" s="56"/>
      <c r="E78" s="56"/>
      <c r="F78" s="56"/>
      <c r="G78" s="56"/>
      <c r="H78" s="56"/>
      <c r="I78" s="56"/>
      <c r="J78" s="56"/>
    </row>
    <row r="79" s="32" customFormat="1" spans="1:124">
      <c r="A79" s="9"/>
      <c r="B79" s="3"/>
      <c r="C79" s="3"/>
      <c r="D79" s="3"/>
      <c r="E79" s="28"/>
      <c r="G79" s="1"/>
      <c r="H79" s="26"/>
      <c r="J79" s="3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</row>
    <row r="80" s="1" customFormat="1" spans="1:124">
      <c r="A80" s="30" t="s">
        <v>76</v>
      </c>
      <c r="E80" s="31" t="s">
        <v>77</v>
      </c>
      <c r="G80" s="26"/>
      <c r="H80" s="28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</row>
    <row r="81" s="1" customFormat="1" spans="5:125">
      <c r="E81" s="28"/>
      <c r="F81" s="26"/>
      <c r="H81" s="26"/>
      <c r="I81" s="28"/>
      <c r="J81" s="26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</row>
    <row r="82" s="1" customFormat="1" ht="18" customHeight="1" spans="5:10">
      <c r="E82" s="28"/>
      <c r="F82" s="26"/>
      <c r="H82" s="26"/>
      <c r="I82" s="28"/>
      <c r="J82" s="26"/>
    </row>
    <row r="83" s="1" customFormat="1" spans="1:10">
      <c r="A83" s="30"/>
      <c r="E83" s="28"/>
      <c r="F83" s="31"/>
      <c r="G83" s="4"/>
      <c r="H83" s="57"/>
      <c r="I83" s="59"/>
      <c r="J83" s="57"/>
    </row>
  </sheetData>
  <mergeCells count="3">
    <mergeCell ref="I4:J4"/>
    <mergeCell ref="A8:J8"/>
    <mergeCell ref="A78:J78"/>
  </mergeCells>
  <pageMargins left="0.75" right="0.75" top="1" bottom="1" header="0.5" footer="0.5"/>
  <pageSetup paperSize="9" scale="56" fitToHeight="0" orientation="portrait"/>
  <headerFooter/>
  <ignoredErrors>
    <ignoredError sqref="B10 B12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M26"/>
  <sheetViews>
    <sheetView workbookViewId="0">
      <selection activeCell="J12" sqref="J12"/>
    </sheetView>
  </sheetViews>
  <sheetFormatPr defaultColWidth="8" defaultRowHeight="15"/>
  <cols>
    <col min="1" max="1" width="11.125" style="1" customWidth="1"/>
    <col min="2" max="2" width="10.75" style="1" customWidth="1"/>
    <col min="3" max="3" width="12.75" style="1" customWidth="1"/>
    <col min="4" max="4" width="9.75" style="1" customWidth="1"/>
    <col min="5" max="5" width="11.1666666666667" style="28" customWidth="1"/>
    <col min="6" max="6" width="9.5" style="26" customWidth="1"/>
    <col min="7" max="7" width="10.875" style="1" customWidth="1"/>
    <col min="8" max="8" width="18.25" style="26" customWidth="1"/>
    <col min="9" max="179" width="7.83333333333333" style="1" customWidth="1"/>
    <col min="180" max="180" width="7.83333333333333" style="1"/>
    <col min="181" max="16309" width="8" style="1"/>
  </cols>
  <sheetData>
    <row r="1" s="1" customFormat="1" ht="40" customHeight="1" spans="1:8">
      <c r="A1" s="6"/>
      <c r="B1" s="6"/>
      <c r="C1" s="6"/>
      <c r="D1" s="6"/>
      <c r="E1" s="6"/>
      <c r="F1" s="6"/>
      <c r="G1" s="6"/>
      <c r="H1" s="6"/>
    </row>
    <row r="2" s="2" customFormat="1" ht="12.75" spans="1:8">
      <c r="A2" s="7"/>
      <c r="B2" s="7"/>
      <c r="C2" s="7"/>
      <c r="D2" s="7"/>
      <c r="E2" s="7"/>
      <c r="F2" s="7"/>
      <c r="G2" s="7"/>
      <c r="H2" s="7"/>
    </row>
    <row r="3" s="1" customFormat="1" ht="18" customHeight="1" spans="1:169">
      <c r="A3" s="7"/>
      <c r="B3" s="7"/>
      <c r="C3" s="7"/>
      <c r="D3" s="7"/>
      <c r="E3" s="7"/>
      <c r="F3" s="7"/>
      <c r="G3" s="7"/>
      <c r="H3" s="7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</row>
    <row r="4" s="3" customFormat="1" ht="17" customHeight="1" spans="1:169">
      <c r="A4" s="8" t="s">
        <v>0</v>
      </c>
      <c r="B4" s="9" t="s">
        <v>1</v>
      </c>
      <c r="C4" s="9"/>
      <c r="D4" s="9"/>
      <c r="E4" s="10"/>
      <c r="F4" s="11"/>
      <c r="G4" s="8" t="s">
        <v>2</v>
      </c>
      <c r="H4" s="12" t="s">
        <v>3</v>
      </c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</row>
    <row r="5" s="3" customFormat="1" ht="17" customHeight="1" spans="1:169">
      <c r="A5" s="8" t="s">
        <v>4</v>
      </c>
      <c r="B5" s="9" t="s">
        <v>5</v>
      </c>
      <c r="C5" s="9"/>
      <c r="D5" s="9"/>
      <c r="E5" s="10"/>
      <c r="F5" s="11"/>
      <c r="G5" s="8" t="s">
        <v>6</v>
      </c>
      <c r="H5" s="13">
        <v>13633926127</v>
      </c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</row>
    <row r="6" s="3" customFormat="1" ht="17" customHeight="1" spans="1:169">
      <c r="A6" s="14" t="s">
        <v>7</v>
      </c>
      <c r="B6" s="9" t="s">
        <v>8</v>
      </c>
      <c r="C6" s="9"/>
      <c r="D6" s="9"/>
      <c r="E6" s="10"/>
      <c r="F6" s="11"/>
      <c r="G6" s="14" t="s">
        <v>9</v>
      </c>
      <c r="H6" s="12" t="s">
        <v>10</v>
      </c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</row>
    <row r="7" s="3" customFormat="1" ht="17" customHeight="1" spans="1:169">
      <c r="A7" s="8" t="s">
        <v>6</v>
      </c>
      <c r="B7" s="15" t="s">
        <v>11</v>
      </c>
      <c r="E7" s="16"/>
      <c r="F7" s="11"/>
      <c r="G7" s="8" t="s">
        <v>12</v>
      </c>
      <c r="H7" s="17" t="s">
        <v>13</v>
      </c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</row>
    <row r="8" s="4" customFormat="1" ht="26.25" customHeight="1" spans="1:8">
      <c r="A8" s="18" t="s">
        <v>78</v>
      </c>
      <c r="B8" s="18"/>
      <c r="C8" s="18"/>
      <c r="D8" s="18"/>
      <c r="E8" s="18"/>
      <c r="F8" s="18"/>
      <c r="G8" s="18"/>
      <c r="H8" s="18"/>
    </row>
    <row r="9" s="5" customFormat="1" ht="21" customHeight="1" spans="1:8">
      <c r="A9" s="19" t="s">
        <v>15</v>
      </c>
      <c r="B9" s="19" t="s">
        <v>79</v>
      </c>
      <c r="C9" s="19" t="s">
        <v>80</v>
      </c>
      <c r="D9" s="19" t="s">
        <v>81</v>
      </c>
      <c r="E9" s="90" t="s">
        <v>82</v>
      </c>
      <c r="F9" s="91" t="s">
        <v>83</v>
      </c>
      <c r="G9" s="91"/>
      <c r="H9" s="91"/>
    </row>
    <row r="10" s="3" customFormat="1" ht="16" customHeight="1" spans="1:8">
      <c r="A10" s="19" t="s">
        <v>84</v>
      </c>
      <c r="B10" s="19" t="s">
        <v>85</v>
      </c>
      <c r="C10" s="19" t="s">
        <v>86</v>
      </c>
      <c r="D10" s="19" t="s">
        <v>87</v>
      </c>
      <c r="E10" s="19" t="s">
        <v>88</v>
      </c>
      <c r="F10" s="21" t="s">
        <v>21</v>
      </c>
      <c r="G10" s="21" t="s">
        <v>89</v>
      </c>
      <c r="H10" s="21" t="s">
        <v>90</v>
      </c>
    </row>
    <row r="11" s="3" customFormat="1" ht="16" customHeight="1" spans="1:8">
      <c r="A11" s="19" t="s">
        <v>25</v>
      </c>
      <c r="B11" s="19">
        <v>7628</v>
      </c>
      <c r="C11" s="19" t="s">
        <v>91</v>
      </c>
      <c r="D11" s="19">
        <v>100</v>
      </c>
      <c r="E11" s="19">
        <v>49.5</v>
      </c>
      <c r="F11" s="21">
        <f>G11/13.12</f>
        <v>1.47168445121951</v>
      </c>
      <c r="G11" s="74">
        <v>19.3085</v>
      </c>
      <c r="H11" s="94">
        <f t="shared" ref="H11:H20" si="0">G11*D11</f>
        <v>1930.85</v>
      </c>
    </row>
    <row r="12" s="3" customFormat="1" ht="16" customHeight="1" spans="1:8">
      <c r="A12" s="19" t="s">
        <v>25</v>
      </c>
      <c r="B12" s="19">
        <v>7628</v>
      </c>
      <c r="C12" s="19" t="s">
        <v>92</v>
      </c>
      <c r="D12" s="19">
        <v>100</v>
      </c>
      <c r="E12" s="19">
        <v>49.5</v>
      </c>
      <c r="F12" s="21">
        <f t="shared" ref="F12:F20" si="1">G12/13.12</f>
        <v>1.55407774390244</v>
      </c>
      <c r="G12" s="95">
        <v>20.3895</v>
      </c>
      <c r="H12" s="94">
        <f t="shared" si="0"/>
        <v>2038.95</v>
      </c>
    </row>
    <row r="13" s="3" customFormat="1" ht="16" customHeight="1" spans="1:8">
      <c r="A13" s="19" t="s">
        <v>25</v>
      </c>
      <c r="B13" s="19">
        <v>7628</v>
      </c>
      <c r="C13" s="19" t="s">
        <v>93</v>
      </c>
      <c r="D13" s="19">
        <v>100</v>
      </c>
      <c r="E13" s="19">
        <v>49.5</v>
      </c>
      <c r="F13" s="21">
        <f t="shared" si="1"/>
        <v>1.67591463414634</v>
      </c>
      <c r="G13" s="74">
        <v>21.988</v>
      </c>
      <c r="H13" s="94">
        <f t="shared" si="0"/>
        <v>2198.8</v>
      </c>
    </row>
    <row r="14" s="3" customFormat="1" ht="16" customHeight="1" spans="1:8">
      <c r="A14" s="19" t="s">
        <v>25</v>
      </c>
      <c r="B14" s="19">
        <v>2116</v>
      </c>
      <c r="C14" s="19" t="s">
        <v>94</v>
      </c>
      <c r="D14" s="19">
        <v>150</v>
      </c>
      <c r="E14" s="19">
        <v>49.5</v>
      </c>
      <c r="F14" s="21">
        <f t="shared" si="1"/>
        <v>1.53567073170732</v>
      </c>
      <c r="G14" s="74">
        <v>20.148</v>
      </c>
      <c r="H14" s="94">
        <f t="shared" si="0"/>
        <v>3022.2</v>
      </c>
    </row>
    <row r="15" s="3" customFormat="1" ht="16" customHeight="1" spans="1:8">
      <c r="A15" s="19" t="s">
        <v>25</v>
      </c>
      <c r="B15" s="19">
        <v>2116</v>
      </c>
      <c r="C15" s="19" t="s">
        <v>95</v>
      </c>
      <c r="D15" s="19">
        <v>150</v>
      </c>
      <c r="E15" s="19">
        <v>49.5</v>
      </c>
      <c r="F15" s="21">
        <f t="shared" si="1"/>
        <v>1.67854420731707</v>
      </c>
      <c r="G15" s="74">
        <v>22.0225</v>
      </c>
      <c r="H15" s="94">
        <f t="shared" si="0"/>
        <v>3303.375</v>
      </c>
    </row>
    <row r="16" s="3" customFormat="1" ht="16" customHeight="1" spans="1:8">
      <c r="A16" s="19" t="s">
        <v>25</v>
      </c>
      <c r="B16" s="19">
        <v>1506</v>
      </c>
      <c r="C16" s="22">
        <v>0.5</v>
      </c>
      <c r="D16" s="19">
        <v>150</v>
      </c>
      <c r="E16" s="19">
        <v>49.5</v>
      </c>
      <c r="F16" s="21">
        <f t="shared" si="1"/>
        <v>2.30964176829268</v>
      </c>
      <c r="G16" s="74">
        <v>30.3025</v>
      </c>
      <c r="H16" s="94">
        <f t="shared" si="0"/>
        <v>4545.375</v>
      </c>
    </row>
    <row r="17" s="3" customFormat="1" ht="16" customHeight="1" spans="1:8">
      <c r="A17" s="19" t="s">
        <v>25</v>
      </c>
      <c r="B17" s="19">
        <v>1080</v>
      </c>
      <c r="C17" s="19" t="s">
        <v>96</v>
      </c>
      <c r="D17" s="19">
        <v>150</v>
      </c>
      <c r="E17" s="19">
        <v>49.5</v>
      </c>
      <c r="F17" s="21">
        <f t="shared" si="1"/>
        <v>1.60491615853659</v>
      </c>
      <c r="G17" s="74">
        <v>21.0565</v>
      </c>
      <c r="H17" s="94">
        <f t="shared" si="0"/>
        <v>3158.475</v>
      </c>
    </row>
    <row r="18" s="3" customFormat="1" ht="16" customHeight="1" spans="1:8">
      <c r="A18" s="19" t="s">
        <v>25</v>
      </c>
      <c r="B18" s="19">
        <v>1080</v>
      </c>
      <c r="C18" s="19" t="s">
        <v>97</v>
      </c>
      <c r="D18" s="19">
        <v>150</v>
      </c>
      <c r="E18" s="19">
        <v>49.5</v>
      </c>
      <c r="F18" s="21">
        <f t="shared" si="1"/>
        <v>1.69519817073171</v>
      </c>
      <c r="G18" s="74">
        <v>22.241</v>
      </c>
      <c r="H18" s="94">
        <f t="shared" si="0"/>
        <v>3336.15</v>
      </c>
    </row>
    <row r="19" s="3" customFormat="1" ht="16" customHeight="1" spans="1:8">
      <c r="A19" s="19" t="s">
        <v>25</v>
      </c>
      <c r="B19" s="53">
        <v>106</v>
      </c>
      <c r="C19" s="75">
        <v>0.72</v>
      </c>
      <c r="D19" s="53">
        <v>150</v>
      </c>
      <c r="E19" s="19">
        <v>49.5</v>
      </c>
      <c r="F19" s="21">
        <f t="shared" si="1"/>
        <v>2.17290396341463</v>
      </c>
      <c r="G19" s="74">
        <v>28.5085</v>
      </c>
      <c r="H19" s="94">
        <f t="shared" si="0"/>
        <v>4276.275</v>
      </c>
    </row>
    <row r="20" s="3" customFormat="1" ht="16" customHeight="1" spans="1:8">
      <c r="A20" s="19" t="s">
        <v>25</v>
      </c>
      <c r="B20" s="53">
        <v>3313</v>
      </c>
      <c r="C20" s="75">
        <v>0.57</v>
      </c>
      <c r="D20" s="53">
        <v>150</v>
      </c>
      <c r="E20" s="19">
        <v>49.5</v>
      </c>
      <c r="F20" s="21">
        <f t="shared" si="1"/>
        <v>2.05983231707317</v>
      </c>
      <c r="G20" s="74">
        <v>27.025</v>
      </c>
      <c r="H20" s="94">
        <f t="shared" si="0"/>
        <v>4053.75</v>
      </c>
    </row>
    <row r="21" s="3" customFormat="1" ht="14.25" spans="1:8">
      <c r="A21" s="9" t="s">
        <v>72</v>
      </c>
      <c r="E21" s="25"/>
      <c r="F21" s="11"/>
      <c r="H21" s="11"/>
    </row>
    <row r="22" s="1" customFormat="1" spans="1:8">
      <c r="A22" s="9" t="s">
        <v>73</v>
      </c>
      <c r="B22" s="3"/>
      <c r="C22" s="3"/>
      <c r="D22" s="3"/>
      <c r="E22" s="25"/>
      <c r="F22" s="26"/>
      <c r="H22" s="26"/>
    </row>
    <row r="23" s="1" customFormat="1" spans="1:8">
      <c r="A23" s="9" t="s">
        <v>74</v>
      </c>
      <c r="B23" s="3"/>
      <c r="C23" s="3"/>
      <c r="D23" s="3"/>
      <c r="E23" s="25"/>
      <c r="F23" s="26"/>
      <c r="H23" s="26"/>
    </row>
    <row r="24" s="1" customFormat="1" ht="23.25" spans="1:8">
      <c r="A24" s="27"/>
      <c r="B24" s="27"/>
      <c r="E24" s="28"/>
      <c r="F24" s="26"/>
      <c r="G24" s="29"/>
      <c r="H24" s="26"/>
    </row>
    <row r="25" s="1" customFormat="1" spans="1:167">
      <c r="A25" s="30" t="s">
        <v>76</v>
      </c>
      <c r="E25" s="31" t="s">
        <v>77</v>
      </c>
      <c r="G25" s="26"/>
      <c r="H25" s="28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</row>
    <row r="26" s="1" customFormat="1" ht="18" customHeight="1" spans="5:8">
      <c r="E26" s="28"/>
      <c r="F26" s="26"/>
      <c r="H26" s="26"/>
    </row>
  </sheetData>
  <mergeCells count="5">
    <mergeCell ref="A1:H1"/>
    <mergeCell ref="A2:H2"/>
    <mergeCell ref="A3:H3"/>
    <mergeCell ref="A8:H8"/>
    <mergeCell ref="F9:H9"/>
  </mergeCells>
  <pageMargins left="0.75" right="0.75" top="1" bottom="1" header="0.5" footer="0.5"/>
  <pageSetup paperSize="9" scale="58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V82"/>
  <sheetViews>
    <sheetView workbookViewId="0">
      <selection activeCell="H19" sqref="H19:J19"/>
    </sheetView>
  </sheetViews>
  <sheetFormatPr defaultColWidth="8" defaultRowHeight="15"/>
  <cols>
    <col min="1" max="1" width="8.25" style="1" customWidth="1"/>
    <col min="2" max="2" width="8.58333333333333" style="1" customWidth="1"/>
    <col min="3" max="4" width="8.25" style="1" customWidth="1"/>
    <col min="5" max="5" width="8.25" style="28" customWidth="1"/>
    <col min="6" max="6" width="11.7666666666667" style="26" customWidth="1"/>
    <col min="7" max="7" width="8.25" style="1" customWidth="1"/>
    <col min="8" max="8" width="8.25" style="26" customWidth="1"/>
    <col min="9" max="9" width="8.25" style="28" customWidth="1"/>
    <col min="10" max="10" width="8.25" style="26" customWidth="1"/>
    <col min="11" max="137" width="7.83333333333333" style="1" customWidth="1"/>
    <col min="138" max="138" width="7.83333333333333" style="1"/>
    <col min="139" max="16384" width="8" style="1"/>
  </cols>
  <sheetData>
    <row r="1" s="1" customFormat="1" ht="58" customHeight="1" spans="1:10">
      <c r="A1" s="34"/>
      <c r="B1" s="34"/>
      <c r="C1" s="34"/>
      <c r="D1" s="34"/>
      <c r="E1" s="35"/>
      <c r="F1" s="36"/>
      <c r="G1" s="34"/>
      <c r="H1" s="36"/>
      <c r="I1" s="35"/>
      <c r="J1" s="36"/>
    </row>
    <row r="2" s="3" customFormat="1" ht="17" customHeight="1" spans="1:126">
      <c r="A2" s="8" t="s">
        <v>0</v>
      </c>
      <c r="B2" s="9" t="s">
        <v>1</v>
      </c>
      <c r="C2" s="9"/>
      <c r="D2" s="9"/>
      <c r="E2" s="10"/>
      <c r="H2" s="8" t="s">
        <v>2</v>
      </c>
      <c r="I2" s="12" t="s">
        <v>3</v>
      </c>
      <c r="J2" s="9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</row>
    <row r="3" s="3" customFormat="1" ht="17" customHeight="1" spans="1:126">
      <c r="A3" s="8" t="s">
        <v>4</v>
      </c>
      <c r="B3" s="9" t="s">
        <v>5</v>
      </c>
      <c r="C3" s="9"/>
      <c r="D3" s="9"/>
      <c r="E3" s="10"/>
      <c r="H3" s="8" t="s">
        <v>6</v>
      </c>
      <c r="I3" s="13">
        <v>13633926127</v>
      </c>
      <c r="J3" s="1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</row>
    <row r="4" s="3" customFormat="1" ht="17" customHeight="1" spans="1:126">
      <c r="A4" s="14" t="s">
        <v>7</v>
      </c>
      <c r="B4" s="9" t="s">
        <v>8</v>
      </c>
      <c r="C4" s="9"/>
      <c r="D4" s="9"/>
      <c r="E4" s="10"/>
      <c r="H4" s="14" t="s">
        <v>9</v>
      </c>
      <c r="I4" s="12" t="s">
        <v>10</v>
      </c>
      <c r="J4" s="9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</row>
    <row r="5" s="3" customFormat="1" ht="17" customHeight="1" spans="1:126">
      <c r="A5" s="8" t="s">
        <v>6</v>
      </c>
      <c r="B5" s="15" t="s">
        <v>11</v>
      </c>
      <c r="H5" s="8" t="s">
        <v>12</v>
      </c>
      <c r="I5" s="17" t="s">
        <v>13</v>
      </c>
      <c r="J5" s="9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</row>
    <row r="6" s="3" customFormat="1" ht="17" customHeight="1" spans="1:126">
      <c r="A6" s="9"/>
      <c r="B6" s="15"/>
      <c r="H6" s="9"/>
      <c r="I6" s="49"/>
      <c r="J6" s="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</row>
    <row r="7" s="4" customFormat="1" ht="26.25" customHeight="1" spans="1:10">
      <c r="A7" s="18" t="s">
        <v>98</v>
      </c>
      <c r="B7" s="18"/>
      <c r="C7" s="18"/>
      <c r="D7" s="18"/>
      <c r="E7" s="18"/>
      <c r="F7" s="18"/>
      <c r="G7" s="18"/>
      <c r="H7" s="18"/>
      <c r="I7" s="18"/>
      <c r="J7" s="18"/>
    </row>
    <row r="8" s="1" customFormat="1" spans="1:10">
      <c r="A8" s="81" t="s">
        <v>15</v>
      </c>
      <c r="B8" s="81" t="s">
        <v>16</v>
      </c>
      <c r="C8" s="81" t="s">
        <v>17</v>
      </c>
      <c r="D8" s="82" t="s">
        <v>18</v>
      </c>
      <c r="E8" s="83" t="s">
        <v>19</v>
      </c>
      <c r="F8" s="81" t="s">
        <v>20</v>
      </c>
      <c r="G8" s="84" t="s">
        <v>21</v>
      </c>
      <c r="H8" s="85" t="s">
        <v>22</v>
      </c>
      <c r="I8" s="85" t="s">
        <v>23</v>
      </c>
      <c r="J8" s="85" t="s">
        <v>24</v>
      </c>
    </row>
    <row r="9" s="1" customFormat="1" spans="1:10">
      <c r="A9" s="61" t="s">
        <v>99</v>
      </c>
      <c r="B9" s="86">
        <v>0.05</v>
      </c>
      <c r="C9" s="87">
        <v>4</v>
      </c>
      <c r="D9" s="62" t="s">
        <v>27</v>
      </c>
      <c r="E9" s="63" t="s">
        <v>100</v>
      </c>
      <c r="F9" s="61" t="s">
        <v>101</v>
      </c>
      <c r="G9" s="64">
        <f>ROUND(I9/13.33,3)</f>
        <v>10.701</v>
      </c>
      <c r="H9" s="89">
        <f>ROUND(G9*12,2)</f>
        <v>128.41</v>
      </c>
      <c r="I9" s="89">
        <v>142.6386456</v>
      </c>
      <c r="J9" s="89">
        <f>ROUND(G9*14,2)</f>
        <v>149.81</v>
      </c>
    </row>
    <row r="10" s="1" customFormat="1" spans="1:10">
      <c r="A10" s="61" t="s">
        <v>99</v>
      </c>
      <c r="B10" s="86">
        <v>0.076</v>
      </c>
      <c r="C10" s="87">
        <v>4</v>
      </c>
      <c r="D10" s="62" t="s">
        <v>27</v>
      </c>
      <c r="E10" s="63" t="s">
        <v>28</v>
      </c>
      <c r="F10" s="61" t="s">
        <v>102</v>
      </c>
      <c r="G10" s="64">
        <f>ROUND(I10/13.33,3)</f>
        <v>9.865</v>
      </c>
      <c r="H10" s="89">
        <f>ROUND(G10*12,2)</f>
        <v>118.38</v>
      </c>
      <c r="I10" s="89">
        <v>131.4940176</v>
      </c>
      <c r="J10" s="89">
        <f>ROUND(G10*14,2)</f>
        <v>138.11</v>
      </c>
    </row>
    <row r="11" s="1" customFormat="1" spans="1:10">
      <c r="A11" s="61" t="s">
        <v>99</v>
      </c>
      <c r="B11" s="86" t="s">
        <v>26</v>
      </c>
      <c r="C11" s="87">
        <v>4</v>
      </c>
      <c r="D11" s="62" t="s">
        <v>27</v>
      </c>
      <c r="E11" s="63" t="s">
        <v>28</v>
      </c>
      <c r="F11" s="61" t="s">
        <v>29</v>
      </c>
      <c r="G11" s="64">
        <f>ROUND(I11/13.33,3)</f>
        <v>9.53</v>
      </c>
      <c r="H11" s="89">
        <f>ROUND(G11*12,2)</f>
        <v>114.36</v>
      </c>
      <c r="I11" s="89">
        <v>127.0337904</v>
      </c>
      <c r="J11" s="89">
        <f>ROUND(G11*14,2)</f>
        <v>133.42</v>
      </c>
    </row>
    <row r="12" s="1" customFormat="1" spans="1:10">
      <c r="A12" s="61" t="s">
        <v>99</v>
      </c>
      <c r="B12" s="86" t="s">
        <v>26</v>
      </c>
      <c r="C12" s="87">
        <v>4</v>
      </c>
      <c r="D12" s="62" t="s">
        <v>27</v>
      </c>
      <c r="E12" s="63" t="s">
        <v>28</v>
      </c>
      <c r="F12" s="61" t="s">
        <v>103</v>
      </c>
      <c r="G12" s="64">
        <f>ROUND(I12/13.33,3)</f>
        <v>12.21</v>
      </c>
      <c r="H12" s="89">
        <f>ROUND(G12*12,2)</f>
        <v>146.52</v>
      </c>
      <c r="I12" s="89">
        <v>162.753624</v>
      </c>
      <c r="J12" s="89">
        <f>ROUND(G12*14,2)</f>
        <v>170.94</v>
      </c>
    </row>
    <row r="13" s="1" customFormat="1" spans="1:10">
      <c r="A13" s="61" t="s">
        <v>99</v>
      </c>
      <c r="B13" s="86">
        <v>0.127</v>
      </c>
      <c r="C13" s="87">
        <v>5</v>
      </c>
      <c r="D13" s="62" t="s">
        <v>27</v>
      </c>
      <c r="E13" s="63" t="s">
        <v>28</v>
      </c>
      <c r="F13" s="61" t="s">
        <v>29</v>
      </c>
      <c r="G13" s="64">
        <f>ROUND(I13/13.33,3)</f>
        <v>10.69</v>
      </c>
      <c r="H13" s="89">
        <f>ROUND(G13*12,2)</f>
        <v>128.28</v>
      </c>
      <c r="I13" s="89">
        <v>142.4944224</v>
      </c>
      <c r="J13" s="89">
        <f>ROUND(G13*14,2)</f>
        <v>149.66</v>
      </c>
    </row>
    <row r="14" s="1" customFormat="1" spans="1:10">
      <c r="A14" s="61" t="s">
        <v>99</v>
      </c>
      <c r="B14" s="86" t="s">
        <v>30</v>
      </c>
      <c r="C14" s="87">
        <v>5</v>
      </c>
      <c r="D14" s="62" t="s">
        <v>27</v>
      </c>
      <c r="E14" s="63" t="s">
        <v>28</v>
      </c>
      <c r="F14" s="61" t="s">
        <v>29</v>
      </c>
      <c r="G14" s="64">
        <f t="shared" ref="G14:G20" si="0">ROUND(I14/13.33,3)</f>
        <v>9.703</v>
      </c>
      <c r="H14" s="89">
        <f t="shared" ref="H14:H20" si="1">ROUND(G14*12,2)</f>
        <v>116.44</v>
      </c>
      <c r="I14" s="89">
        <v>129.3432624</v>
      </c>
      <c r="J14" s="89">
        <f t="shared" ref="J14:J20" si="2">ROUND(G14*14,2)</f>
        <v>135.84</v>
      </c>
    </row>
    <row r="15" s="1" customFormat="1" spans="1:10">
      <c r="A15" s="61" t="s">
        <v>99</v>
      </c>
      <c r="B15" s="86" t="s">
        <v>31</v>
      </c>
      <c r="C15" s="87">
        <v>6</v>
      </c>
      <c r="D15" s="62" t="s">
        <v>27</v>
      </c>
      <c r="E15" s="63" t="s">
        <v>28</v>
      </c>
      <c r="F15" s="61" t="s">
        <v>32</v>
      </c>
      <c r="G15" s="64">
        <f t="shared" si="0"/>
        <v>9.703</v>
      </c>
      <c r="H15" s="89">
        <f t="shared" si="1"/>
        <v>116.44</v>
      </c>
      <c r="I15" s="89">
        <v>129.3432624</v>
      </c>
      <c r="J15" s="89">
        <f t="shared" si="2"/>
        <v>135.84</v>
      </c>
    </row>
    <row r="16" s="1" customFormat="1" spans="1:10">
      <c r="A16" s="61" t="s">
        <v>99</v>
      </c>
      <c r="B16" s="86" t="s">
        <v>34</v>
      </c>
      <c r="C16" s="87">
        <v>8</v>
      </c>
      <c r="D16" s="62" t="s">
        <v>27</v>
      </c>
      <c r="E16" s="63" t="s">
        <v>28</v>
      </c>
      <c r="F16" s="61" t="s">
        <v>35</v>
      </c>
      <c r="G16" s="64">
        <f t="shared" si="0"/>
        <v>9.779</v>
      </c>
      <c r="H16" s="89">
        <f t="shared" si="1"/>
        <v>117.35</v>
      </c>
      <c r="I16" s="89">
        <v>130.3480728</v>
      </c>
      <c r="J16" s="89">
        <f t="shared" si="2"/>
        <v>136.91</v>
      </c>
    </row>
    <row r="17" s="1" customFormat="1" spans="1:10">
      <c r="A17" s="61" t="s">
        <v>99</v>
      </c>
      <c r="B17" s="86" t="s">
        <v>34</v>
      </c>
      <c r="C17" s="87">
        <v>8</v>
      </c>
      <c r="D17" s="62" t="s">
        <v>27</v>
      </c>
      <c r="E17" s="63" t="s">
        <v>28</v>
      </c>
      <c r="F17" s="61" t="s">
        <v>36</v>
      </c>
      <c r="G17" s="64">
        <f t="shared" si="0"/>
        <v>11.275</v>
      </c>
      <c r="H17" s="89">
        <f t="shared" si="1"/>
        <v>135.3</v>
      </c>
      <c r="I17" s="89">
        <v>150.295068</v>
      </c>
      <c r="J17" s="89">
        <f t="shared" si="2"/>
        <v>157.85</v>
      </c>
    </row>
    <row r="18" s="1" customFormat="1" spans="1:10">
      <c r="A18" s="61" t="s">
        <v>99</v>
      </c>
      <c r="B18" s="86" t="s">
        <v>37</v>
      </c>
      <c r="C18" s="87">
        <v>10</v>
      </c>
      <c r="D18" s="62" t="s">
        <v>27</v>
      </c>
      <c r="E18" s="63" t="s">
        <v>28</v>
      </c>
      <c r="F18" s="61" t="s">
        <v>36</v>
      </c>
      <c r="G18" s="64">
        <f t="shared" si="0"/>
        <v>11.144</v>
      </c>
      <c r="H18" s="89">
        <f t="shared" si="1"/>
        <v>133.73</v>
      </c>
      <c r="I18" s="89">
        <v>148.5446688</v>
      </c>
      <c r="J18" s="89">
        <f t="shared" si="2"/>
        <v>156.02</v>
      </c>
    </row>
    <row r="19" s="1" customFormat="1" spans="1:10">
      <c r="A19" s="61" t="s">
        <v>99</v>
      </c>
      <c r="B19" s="86" t="s">
        <v>38</v>
      </c>
      <c r="C19" s="87">
        <v>12</v>
      </c>
      <c r="D19" s="62" t="s">
        <v>27</v>
      </c>
      <c r="E19" s="63" t="s">
        <v>28</v>
      </c>
      <c r="F19" s="61" t="s">
        <v>39</v>
      </c>
      <c r="G19" s="64">
        <f t="shared" si="0"/>
        <v>11.039</v>
      </c>
      <c r="H19" s="89">
        <f t="shared" si="1"/>
        <v>132.47</v>
      </c>
      <c r="I19" s="89">
        <v>147.146868</v>
      </c>
      <c r="J19" s="89">
        <f t="shared" si="2"/>
        <v>154.55</v>
      </c>
    </row>
    <row r="20" s="1" customFormat="1" spans="1:10">
      <c r="A20" s="61" t="s">
        <v>99</v>
      </c>
      <c r="B20" s="86" t="s">
        <v>41</v>
      </c>
      <c r="C20" s="87">
        <v>14</v>
      </c>
      <c r="D20" s="62" t="s">
        <v>27</v>
      </c>
      <c r="E20" s="63" t="s">
        <v>28</v>
      </c>
      <c r="F20" s="61" t="s">
        <v>42</v>
      </c>
      <c r="G20" s="64">
        <f t="shared" si="0"/>
        <v>10.953</v>
      </c>
      <c r="H20" s="89">
        <f t="shared" si="1"/>
        <v>131.44</v>
      </c>
      <c r="I20" s="89">
        <v>146.0009232</v>
      </c>
      <c r="J20" s="89">
        <f t="shared" si="2"/>
        <v>153.34</v>
      </c>
    </row>
    <row r="21" s="1" customFormat="1" spans="1:10">
      <c r="A21" s="61" t="s">
        <v>99</v>
      </c>
      <c r="B21" s="86" t="s">
        <v>44</v>
      </c>
      <c r="C21" s="87">
        <v>16</v>
      </c>
      <c r="D21" s="62" t="s">
        <v>27</v>
      </c>
      <c r="E21" s="63" t="s">
        <v>28</v>
      </c>
      <c r="F21" s="61" t="s">
        <v>42</v>
      </c>
      <c r="G21" s="64">
        <f t="shared" ref="G21:G48" si="3">ROUND(I21/13.33,3)</f>
        <v>11.045</v>
      </c>
      <c r="H21" s="89">
        <f t="shared" ref="H21:H48" si="4">ROUND(G21*12,2)</f>
        <v>132.54</v>
      </c>
      <c r="I21" s="89">
        <v>147.22884</v>
      </c>
      <c r="J21" s="89">
        <f t="shared" ref="J21:J48" si="5">ROUND(G21*14,2)</f>
        <v>154.63</v>
      </c>
    </row>
    <row r="22" s="1" customFormat="1" spans="1:10">
      <c r="A22" s="61" t="s">
        <v>99</v>
      </c>
      <c r="B22" s="86">
        <v>0.45</v>
      </c>
      <c r="C22" s="87">
        <v>18</v>
      </c>
      <c r="D22" s="62" t="s">
        <v>27</v>
      </c>
      <c r="E22" s="63" t="s">
        <v>28</v>
      </c>
      <c r="F22" s="61" t="s">
        <v>45</v>
      </c>
      <c r="G22" s="64">
        <f t="shared" si="3"/>
        <v>12.021</v>
      </c>
      <c r="H22" s="89">
        <f t="shared" si="4"/>
        <v>144.25</v>
      </c>
      <c r="I22" s="89">
        <v>160.24338</v>
      </c>
      <c r="J22" s="89">
        <f t="shared" si="5"/>
        <v>168.29</v>
      </c>
    </row>
    <row r="23" s="1" customFormat="1" spans="1:10">
      <c r="A23" s="61" t="s">
        <v>99</v>
      </c>
      <c r="B23" s="86">
        <v>0.5</v>
      </c>
      <c r="C23" s="87">
        <v>20</v>
      </c>
      <c r="D23" s="62" t="s">
        <v>27</v>
      </c>
      <c r="E23" s="63" t="s">
        <v>28</v>
      </c>
      <c r="F23" s="61" t="s">
        <v>46</v>
      </c>
      <c r="G23" s="64">
        <f t="shared" si="3"/>
        <v>12.256</v>
      </c>
      <c r="H23" s="89">
        <f t="shared" si="4"/>
        <v>147.07</v>
      </c>
      <c r="I23" s="89">
        <v>163.3663944</v>
      </c>
      <c r="J23" s="89">
        <f t="shared" si="5"/>
        <v>171.58</v>
      </c>
    </row>
    <row r="24" s="1" customFormat="1" spans="1:10">
      <c r="A24" s="61" t="s">
        <v>99</v>
      </c>
      <c r="B24" s="86" t="s">
        <v>47</v>
      </c>
      <c r="C24" s="87">
        <v>24</v>
      </c>
      <c r="D24" s="62" t="s">
        <v>27</v>
      </c>
      <c r="E24" s="63" t="s">
        <v>28</v>
      </c>
      <c r="F24" s="61" t="s">
        <v>48</v>
      </c>
      <c r="G24" s="64">
        <f t="shared" si="3"/>
        <v>12.112</v>
      </c>
      <c r="H24" s="89">
        <f t="shared" si="4"/>
        <v>145.34</v>
      </c>
      <c r="I24" s="89">
        <v>161.4522888</v>
      </c>
      <c r="J24" s="89">
        <f t="shared" si="5"/>
        <v>169.57</v>
      </c>
    </row>
    <row r="25" s="1" customFormat="1" spans="1:10">
      <c r="A25" s="61" t="s">
        <v>99</v>
      </c>
      <c r="B25" s="86">
        <v>0.7</v>
      </c>
      <c r="C25" s="87">
        <v>28</v>
      </c>
      <c r="D25" s="62" t="s">
        <v>27</v>
      </c>
      <c r="E25" s="63" t="s">
        <v>28</v>
      </c>
      <c r="F25" s="61" t="s">
        <v>49</v>
      </c>
      <c r="G25" s="64">
        <f t="shared" si="3"/>
        <v>13.405</v>
      </c>
      <c r="H25" s="89">
        <f t="shared" si="4"/>
        <v>160.86</v>
      </c>
      <c r="I25" s="89">
        <v>178.691832</v>
      </c>
      <c r="J25" s="89">
        <f t="shared" si="5"/>
        <v>187.67</v>
      </c>
    </row>
    <row r="26" s="1" customFormat="1" spans="1:10">
      <c r="A26" s="61" t="s">
        <v>99</v>
      </c>
      <c r="B26" s="86">
        <v>0.8</v>
      </c>
      <c r="C26" s="87">
        <v>32</v>
      </c>
      <c r="D26" s="62" t="s">
        <v>27</v>
      </c>
      <c r="E26" s="63" t="s">
        <v>28</v>
      </c>
      <c r="F26" s="61" t="s">
        <v>49</v>
      </c>
      <c r="G26" s="64">
        <f t="shared" si="3"/>
        <v>13.611</v>
      </c>
      <c r="H26" s="89">
        <f t="shared" si="4"/>
        <v>163.33</v>
      </c>
      <c r="I26" s="89">
        <v>181.4370624</v>
      </c>
      <c r="J26" s="89">
        <f t="shared" si="5"/>
        <v>190.55</v>
      </c>
    </row>
    <row r="27" s="1" customFormat="1" spans="1:10">
      <c r="A27" s="61" t="s">
        <v>99</v>
      </c>
      <c r="B27" s="86">
        <v>0.9</v>
      </c>
      <c r="C27" s="87">
        <v>36</v>
      </c>
      <c r="D27" s="62" t="s">
        <v>27</v>
      </c>
      <c r="E27" s="63" t="s">
        <v>28</v>
      </c>
      <c r="F27" s="61" t="s">
        <v>50</v>
      </c>
      <c r="G27" s="64">
        <f t="shared" si="3"/>
        <v>14.649</v>
      </c>
      <c r="H27" s="89">
        <f t="shared" si="4"/>
        <v>175.79</v>
      </c>
      <c r="I27" s="89">
        <v>195.2658576</v>
      </c>
      <c r="J27" s="89">
        <f t="shared" si="5"/>
        <v>205.09</v>
      </c>
    </row>
    <row r="28" s="1" customFormat="1" spans="1:10">
      <c r="A28" s="61" t="s">
        <v>99</v>
      </c>
      <c r="B28" s="86" t="s">
        <v>51</v>
      </c>
      <c r="C28" s="87">
        <v>39</v>
      </c>
      <c r="D28" s="62" t="s">
        <v>27</v>
      </c>
      <c r="E28" s="63" t="s">
        <v>28</v>
      </c>
      <c r="F28" s="61" t="s">
        <v>52</v>
      </c>
      <c r="G28" s="64">
        <f t="shared" si="3"/>
        <v>15.13</v>
      </c>
      <c r="H28" s="89">
        <f t="shared" si="4"/>
        <v>181.56</v>
      </c>
      <c r="I28" s="89">
        <v>201.6810576</v>
      </c>
      <c r="J28" s="89">
        <f t="shared" si="5"/>
        <v>211.82</v>
      </c>
    </row>
    <row r="29" s="1" customFormat="1" spans="1:10">
      <c r="A29" s="61" t="s">
        <v>99</v>
      </c>
      <c r="B29" s="86" t="s">
        <v>53</v>
      </c>
      <c r="C29" s="87">
        <v>43</v>
      </c>
      <c r="D29" s="62" t="s">
        <v>27</v>
      </c>
      <c r="E29" s="63" t="s">
        <v>28</v>
      </c>
      <c r="F29" s="61" t="s">
        <v>54</v>
      </c>
      <c r="G29" s="64">
        <f t="shared" si="3"/>
        <v>16.076</v>
      </c>
      <c r="H29" s="89">
        <f t="shared" si="4"/>
        <v>192.91</v>
      </c>
      <c r="I29" s="89">
        <v>214.2933408</v>
      </c>
      <c r="J29" s="89">
        <f t="shared" si="5"/>
        <v>225.06</v>
      </c>
    </row>
    <row r="30" s="1" customFormat="1" spans="1:10">
      <c r="A30" s="61" t="s">
        <v>99</v>
      </c>
      <c r="B30" s="86" t="s">
        <v>55</v>
      </c>
      <c r="C30" s="87">
        <v>47</v>
      </c>
      <c r="D30" s="62" t="s">
        <v>27</v>
      </c>
      <c r="E30" s="63" t="s">
        <v>28</v>
      </c>
      <c r="F30" s="61" t="s">
        <v>54</v>
      </c>
      <c r="G30" s="64">
        <f t="shared" si="3"/>
        <v>15.99</v>
      </c>
      <c r="H30" s="89">
        <f t="shared" si="4"/>
        <v>191.88</v>
      </c>
      <c r="I30" s="89">
        <v>213.1514352</v>
      </c>
      <c r="J30" s="89">
        <f t="shared" si="5"/>
        <v>223.86</v>
      </c>
    </row>
    <row r="31" s="1" customFormat="1" spans="1:10">
      <c r="A31" s="61" t="s">
        <v>99</v>
      </c>
      <c r="B31" s="86">
        <v>1.3</v>
      </c>
      <c r="C31" s="87">
        <v>51</v>
      </c>
      <c r="D31" s="62" t="s">
        <v>27</v>
      </c>
      <c r="E31" s="63" t="s">
        <v>28</v>
      </c>
      <c r="F31" s="61" t="s">
        <v>56</v>
      </c>
      <c r="G31" s="64">
        <f t="shared" si="3"/>
        <v>17.861</v>
      </c>
      <c r="H31" s="89">
        <f t="shared" si="4"/>
        <v>214.33</v>
      </c>
      <c r="I31" s="89">
        <v>238.0937328</v>
      </c>
      <c r="J31" s="89">
        <f t="shared" si="5"/>
        <v>250.05</v>
      </c>
    </row>
    <row r="32" s="1" customFormat="1" spans="1:10">
      <c r="A32" s="61" t="s">
        <v>99</v>
      </c>
      <c r="B32" s="86" t="s">
        <v>57</v>
      </c>
      <c r="C32" s="87">
        <v>55</v>
      </c>
      <c r="D32" s="62" t="s">
        <v>27</v>
      </c>
      <c r="E32" s="63" t="s">
        <v>28</v>
      </c>
      <c r="F32" s="61" t="s">
        <v>56</v>
      </c>
      <c r="G32" s="64">
        <f t="shared" si="3"/>
        <v>17.021</v>
      </c>
      <c r="H32" s="89">
        <f t="shared" si="4"/>
        <v>204.25</v>
      </c>
      <c r="I32" s="89">
        <v>226.8927936</v>
      </c>
      <c r="J32" s="89">
        <f t="shared" si="5"/>
        <v>238.29</v>
      </c>
    </row>
    <row r="33" s="1" customFormat="1" spans="1:10">
      <c r="A33" s="61" t="s">
        <v>99</v>
      </c>
      <c r="B33" s="86" t="s">
        <v>58</v>
      </c>
      <c r="C33" s="87">
        <v>59</v>
      </c>
      <c r="D33" s="62" t="s">
        <v>27</v>
      </c>
      <c r="E33" s="63" t="s">
        <v>28</v>
      </c>
      <c r="F33" s="61" t="s">
        <v>59</v>
      </c>
      <c r="G33" s="64">
        <f t="shared" si="3"/>
        <v>18.703</v>
      </c>
      <c r="H33" s="89">
        <f t="shared" si="4"/>
        <v>224.44</v>
      </c>
      <c r="I33" s="89">
        <v>249.3075024</v>
      </c>
      <c r="J33" s="89">
        <f t="shared" si="5"/>
        <v>261.84</v>
      </c>
    </row>
    <row r="34" s="1" customFormat="1" spans="1:10">
      <c r="A34" s="61" t="s">
        <v>99</v>
      </c>
      <c r="B34" s="86" t="s">
        <v>60</v>
      </c>
      <c r="C34" s="87">
        <v>63</v>
      </c>
      <c r="D34" s="62" t="s">
        <v>27</v>
      </c>
      <c r="E34" s="63" t="s">
        <v>28</v>
      </c>
      <c r="F34" s="61" t="s">
        <v>59</v>
      </c>
      <c r="G34" s="64">
        <f t="shared" si="3"/>
        <v>18.913</v>
      </c>
      <c r="H34" s="89">
        <f t="shared" si="4"/>
        <v>226.96</v>
      </c>
      <c r="I34" s="89">
        <v>252.1045296</v>
      </c>
      <c r="J34" s="89">
        <f t="shared" si="5"/>
        <v>264.78</v>
      </c>
    </row>
    <row r="35" s="1" customFormat="1" spans="1:10">
      <c r="A35" s="61" t="s">
        <v>99</v>
      </c>
      <c r="B35" s="93">
        <v>1.8</v>
      </c>
      <c r="C35" s="87">
        <v>71</v>
      </c>
      <c r="D35" s="62" t="s">
        <v>27</v>
      </c>
      <c r="E35" s="63" t="s">
        <v>28</v>
      </c>
      <c r="F35" s="61" t="s">
        <v>62</v>
      </c>
      <c r="G35" s="64">
        <f t="shared" si="3"/>
        <v>20.625</v>
      </c>
      <c r="H35" s="89">
        <f t="shared" si="4"/>
        <v>247.5</v>
      </c>
      <c r="I35" s="89">
        <v>274.937652</v>
      </c>
      <c r="J35" s="89">
        <f t="shared" si="5"/>
        <v>288.75</v>
      </c>
    </row>
    <row r="36" s="1" customFormat="1" spans="1:10">
      <c r="A36" s="61" t="s">
        <v>99</v>
      </c>
      <c r="B36" s="93">
        <v>1.9</v>
      </c>
      <c r="C36" s="87">
        <v>75</v>
      </c>
      <c r="D36" s="62" t="s">
        <v>27</v>
      </c>
      <c r="E36" s="63" t="s">
        <v>28</v>
      </c>
      <c r="F36" s="61" t="s">
        <v>62</v>
      </c>
      <c r="G36" s="64">
        <f t="shared" si="3"/>
        <v>22.172</v>
      </c>
      <c r="H36" s="89">
        <f t="shared" si="4"/>
        <v>266.06</v>
      </c>
      <c r="I36" s="89">
        <v>295.558956</v>
      </c>
      <c r="J36" s="89">
        <f t="shared" si="5"/>
        <v>310.41</v>
      </c>
    </row>
    <row r="37" s="1" customFormat="1" spans="1:10">
      <c r="A37" s="61" t="s">
        <v>99</v>
      </c>
      <c r="B37" s="86" t="s">
        <v>63</v>
      </c>
      <c r="C37" s="87">
        <v>79</v>
      </c>
      <c r="D37" s="62" t="s">
        <v>27</v>
      </c>
      <c r="E37" s="63" t="s">
        <v>28</v>
      </c>
      <c r="F37" s="61" t="s">
        <v>64</v>
      </c>
      <c r="G37" s="64">
        <f t="shared" si="3"/>
        <v>23.495</v>
      </c>
      <c r="H37" s="89">
        <f t="shared" si="4"/>
        <v>281.94</v>
      </c>
      <c r="I37" s="89">
        <v>313.187688</v>
      </c>
      <c r="J37" s="89">
        <f t="shared" si="5"/>
        <v>328.93</v>
      </c>
    </row>
    <row r="38" s="1" customFormat="1" spans="1:10">
      <c r="A38" s="61" t="s">
        <v>99</v>
      </c>
      <c r="B38" s="93">
        <v>2.2</v>
      </c>
      <c r="C38" s="87">
        <v>87</v>
      </c>
      <c r="D38" s="62" t="s">
        <v>27</v>
      </c>
      <c r="E38" s="63" t="s">
        <v>28</v>
      </c>
      <c r="F38" s="61" t="s">
        <v>65</v>
      </c>
      <c r="G38" s="64">
        <f t="shared" si="3"/>
        <v>25.026</v>
      </c>
      <c r="H38" s="89">
        <f t="shared" si="4"/>
        <v>300.31</v>
      </c>
      <c r="I38" s="89">
        <v>333.599904</v>
      </c>
      <c r="J38" s="89">
        <f t="shared" si="5"/>
        <v>350.36</v>
      </c>
    </row>
    <row r="39" s="1" customFormat="1" spans="1:10">
      <c r="A39" s="61" t="s">
        <v>99</v>
      </c>
      <c r="B39" s="86" t="s">
        <v>66</v>
      </c>
      <c r="C39" s="87">
        <v>94</v>
      </c>
      <c r="D39" s="62" t="s">
        <v>27</v>
      </c>
      <c r="E39" s="63" t="s">
        <v>28</v>
      </c>
      <c r="F39" s="61" t="s">
        <v>67</v>
      </c>
      <c r="G39" s="64">
        <f t="shared" si="3"/>
        <v>26.559</v>
      </c>
      <c r="H39" s="89">
        <f t="shared" si="4"/>
        <v>318.71</v>
      </c>
      <c r="I39" s="89">
        <v>354.025188</v>
      </c>
      <c r="J39" s="89">
        <f t="shared" si="5"/>
        <v>371.83</v>
      </c>
    </row>
    <row r="40" s="1" customFormat="1" spans="1:10">
      <c r="A40" s="61" t="s">
        <v>99</v>
      </c>
      <c r="B40" s="86" t="s">
        <v>68</v>
      </c>
      <c r="C40" s="87">
        <v>118</v>
      </c>
      <c r="D40" s="62" t="s">
        <v>27</v>
      </c>
      <c r="E40" s="63" t="s">
        <v>28</v>
      </c>
      <c r="F40" s="61" t="s">
        <v>69</v>
      </c>
      <c r="G40" s="64">
        <f t="shared" si="3"/>
        <v>29.624</v>
      </c>
      <c r="H40" s="89">
        <f t="shared" si="4"/>
        <v>355.49</v>
      </c>
      <c r="I40" s="89">
        <v>394.888824</v>
      </c>
      <c r="J40" s="89">
        <f t="shared" si="5"/>
        <v>414.74</v>
      </c>
    </row>
    <row r="41" s="1" customFormat="1" spans="1:10">
      <c r="A41" s="61" t="s">
        <v>99</v>
      </c>
      <c r="B41" s="93">
        <v>3.2</v>
      </c>
      <c r="C41" s="87">
        <v>126</v>
      </c>
      <c r="D41" s="62" t="s">
        <v>27</v>
      </c>
      <c r="E41" s="63" t="s">
        <v>28</v>
      </c>
      <c r="F41" s="61" t="s">
        <v>104</v>
      </c>
      <c r="G41" s="64">
        <f t="shared" si="3"/>
        <v>31.667</v>
      </c>
      <c r="H41" s="89">
        <f t="shared" si="4"/>
        <v>380</v>
      </c>
      <c r="I41" s="89">
        <v>422.122536</v>
      </c>
      <c r="J41" s="89">
        <f t="shared" si="5"/>
        <v>443.34</v>
      </c>
    </row>
    <row r="42" s="1" customFormat="1" spans="1:10">
      <c r="A42" s="61" t="s">
        <v>99</v>
      </c>
      <c r="B42" s="86" t="s">
        <v>26</v>
      </c>
      <c r="C42" s="87">
        <v>4</v>
      </c>
      <c r="D42" s="62" t="s">
        <v>70</v>
      </c>
      <c r="E42" s="63" t="s">
        <v>28</v>
      </c>
      <c r="F42" s="61" t="s">
        <v>29</v>
      </c>
      <c r="G42" s="64">
        <f t="shared" si="3"/>
        <v>6.146</v>
      </c>
      <c r="H42" s="89">
        <f t="shared" si="4"/>
        <v>73.75</v>
      </c>
      <c r="I42" s="89">
        <v>81.922104</v>
      </c>
      <c r="J42" s="89">
        <f t="shared" si="5"/>
        <v>86.04</v>
      </c>
    </row>
    <row r="43" s="1" customFormat="1" spans="1:10">
      <c r="A43" s="61" t="s">
        <v>99</v>
      </c>
      <c r="B43" s="86" t="s">
        <v>26</v>
      </c>
      <c r="C43" s="87">
        <v>4</v>
      </c>
      <c r="D43" s="62" t="s">
        <v>70</v>
      </c>
      <c r="E43" s="63" t="s">
        <v>28</v>
      </c>
      <c r="F43" s="61" t="s">
        <v>103</v>
      </c>
      <c r="G43" s="64">
        <f t="shared" si="3"/>
        <v>7.725</v>
      </c>
      <c r="H43" s="89">
        <f t="shared" si="4"/>
        <v>92.7</v>
      </c>
      <c r="I43" s="89">
        <v>102.9767904</v>
      </c>
      <c r="J43" s="89">
        <f t="shared" si="5"/>
        <v>108.15</v>
      </c>
    </row>
    <row r="44" s="1" customFormat="1" spans="1:10">
      <c r="A44" s="61" t="s">
        <v>99</v>
      </c>
      <c r="B44" s="86">
        <v>0.127</v>
      </c>
      <c r="C44" s="87">
        <v>5</v>
      </c>
      <c r="D44" s="62" t="s">
        <v>70</v>
      </c>
      <c r="E44" s="63" t="s">
        <v>28</v>
      </c>
      <c r="F44" s="61" t="s">
        <v>29</v>
      </c>
      <c r="G44" s="64">
        <f t="shared" si="3"/>
        <v>6.776</v>
      </c>
      <c r="H44" s="89">
        <f t="shared" si="4"/>
        <v>81.31</v>
      </c>
      <c r="I44" s="89">
        <v>90.326016</v>
      </c>
      <c r="J44" s="89">
        <f t="shared" si="5"/>
        <v>94.86</v>
      </c>
    </row>
    <row r="45" s="1" customFormat="1" spans="1:10">
      <c r="A45" s="61" t="s">
        <v>99</v>
      </c>
      <c r="B45" s="86" t="s">
        <v>30</v>
      </c>
      <c r="C45" s="87">
        <v>5</v>
      </c>
      <c r="D45" s="62" t="s">
        <v>70</v>
      </c>
      <c r="E45" s="63" t="s">
        <v>28</v>
      </c>
      <c r="F45" s="61" t="s">
        <v>29</v>
      </c>
      <c r="G45" s="64">
        <f t="shared" ref="G45:G51" si="6">ROUND(I45/13.33,3)</f>
        <v>6.326</v>
      </c>
      <c r="H45" s="89">
        <f t="shared" ref="H45:H51" si="7">ROUND(G45*12,2)</f>
        <v>75.91</v>
      </c>
      <c r="I45" s="89">
        <v>84.327804</v>
      </c>
      <c r="J45" s="89">
        <f t="shared" ref="J45:J51" si="8">ROUND(G45*14,2)</f>
        <v>88.56</v>
      </c>
    </row>
    <row r="46" s="1" customFormat="1" spans="1:10">
      <c r="A46" s="61" t="s">
        <v>99</v>
      </c>
      <c r="B46" s="86" t="s">
        <v>31</v>
      </c>
      <c r="C46" s="87">
        <v>6</v>
      </c>
      <c r="D46" s="62" t="s">
        <v>70</v>
      </c>
      <c r="E46" s="63" t="s">
        <v>28</v>
      </c>
      <c r="F46" s="61" t="s">
        <v>32</v>
      </c>
      <c r="G46" s="64">
        <f t="shared" si="6"/>
        <v>6.326</v>
      </c>
      <c r="H46" s="89">
        <f t="shared" si="7"/>
        <v>75.91</v>
      </c>
      <c r="I46" s="89">
        <v>84.327804</v>
      </c>
      <c r="J46" s="89">
        <f t="shared" si="8"/>
        <v>88.56</v>
      </c>
    </row>
    <row r="47" s="1" customFormat="1" spans="1:10">
      <c r="A47" s="61" t="s">
        <v>99</v>
      </c>
      <c r="B47" s="86" t="s">
        <v>31</v>
      </c>
      <c r="C47" s="87">
        <v>6</v>
      </c>
      <c r="D47" s="62" t="s">
        <v>70</v>
      </c>
      <c r="E47" s="63" t="s">
        <v>28</v>
      </c>
      <c r="F47" s="61" t="s">
        <v>33</v>
      </c>
      <c r="G47" s="64">
        <f t="shared" si="6"/>
        <v>7.582</v>
      </c>
      <c r="H47" s="89">
        <f t="shared" si="7"/>
        <v>90.98</v>
      </c>
      <c r="I47" s="89">
        <v>101.067912</v>
      </c>
      <c r="J47" s="89">
        <f t="shared" si="8"/>
        <v>106.15</v>
      </c>
    </row>
    <row r="48" s="1" customFormat="1" spans="1:10">
      <c r="A48" s="61" t="s">
        <v>99</v>
      </c>
      <c r="B48" s="86" t="s">
        <v>34</v>
      </c>
      <c r="C48" s="87">
        <v>8</v>
      </c>
      <c r="D48" s="62" t="s">
        <v>70</v>
      </c>
      <c r="E48" s="63" t="s">
        <v>28</v>
      </c>
      <c r="F48" s="61" t="s">
        <v>35</v>
      </c>
      <c r="G48" s="64">
        <f t="shared" si="6"/>
        <v>6.453</v>
      </c>
      <c r="H48" s="89">
        <f t="shared" si="7"/>
        <v>77.44</v>
      </c>
      <c r="I48" s="89">
        <v>86.020704</v>
      </c>
      <c r="J48" s="89">
        <f t="shared" si="8"/>
        <v>90.34</v>
      </c>
    </row>
    <row r="49" s="1" customFormat="1" spans="1:10">
      <c r="A49" s="61" t="s">
        <v>99</v>
      </c>
      <c r="B49" s="86" t="s">
        <v>37</v>
      </c>
      <c r="C49" s="87">
        <v>10</v>
      </c>
      <c r="D49" s="62" t="s">
        <v>70</v>
      </c>
      <c r="E49" s="63" t="s">
        <v>28</v>
      </c>
      <c r="F49" s="61" t="s">
        <v>36</v>
      </c>
      <c r="G49" s="64">
        <f t="shared" si="6"/>
        <v>7.776</v>
      </c>
      <c r="H49" s="89">
        <f t="shared" si="7"/>
        <v>93.31</v>
      </c>
      <c r="I49" s="89">
        <v>103.650624</v>
      </c>
      <c r="J49" s="89">
        <f t="shared" si="8"/>
        <v>108.86</v>
      </c>
    </row>
    <row r="50" s="1" customFormat="1" spans="1:10">
      <c r="A50" s="61" t="s">
        <v>99</v>
      </c>
      <c r="B50" s="86" t="s">
        <v>38</v>
      </c>
      <c r="C50" s="87">
        <v>12</v>
      </c>
      <c r="D50" s="62" t="s">
        <v>70</v>
      </c>
      <c r="E50" s="63" t="s">
        <v>28</v>
      </c>
      <c r="F50" s="61" t="s">
        <v>39</v>
      </c>
      <c r="G50" s="64">
        <f t="shared" si="6"/>
        <v>7.707</v>
      </c>
      <c r="H50" s="89">
        <f t="shared" si="7"/>
        <v>92.48</v>
      </c>
      <c r="I50" s="89">
        <v>102.7325376</v>
      </c>
      <c r="J50" s="89">
        <f t="shared" si="8"/>
        <v>107.9</v>
      </c>
    </row>
    <row r="51" s="1" customFormat="1" spans="1:10">
      <c r="A51" s="61" t="s">
        <v>99</v>
      </c>
      <c r="B51" s="86" t="s">
        <v>41</v>
      </c>
      <c r="C51" s="87">
        <v>14</v>
      </c>
      <c r="D51" s="62" t="s">
        <v>70</v>
      </c>
      <c r="E51" s="63" t="s">
        <v>28</v>
      </c>
      <c r="F51" s="61" t="s">
        <v>42</v>
      </c>
      <c r="G51" s="64">
        <f t="shared" si="6"/>
        <v>7.573</v>
      </c>
      <c r="H51" s="89">
        <f t="shared" si="7"/>
        <v>90.88</v>
      </c>
      <c r="I51" s="89">
        <v>100.9495872</v>
      </c>
      <c r="J51" s="89">
        <f t="shared" si="8"/>
        <v>106.02</v>
      </c>
    </row>
    <row r="52" s="1" customFormat="1" spans="1:10">
      <c r="A52" s="61" t="s">
        <v>99</v>
      </c>
      <c r="B52" s="86" t="s">
        <v>44</v>
      </c>
      <c r="C52" s="87">
        <v>16</v>
      </c>
      <c r="D52" s="62" t="s">
        <v>70</v>
      </c>
      <c r="E52" s="63" t="s">
        <v>28</v>
      </c>
      <c r="F52" s="61" t="s">
        <v>42</v>
      </c>
      <c r="G52" s="64">
        <f t="shared" ref="G52:G73" si="9">ROUND(I52/13.33,3)</f>
        <v>7.573</v>
      </c>
      <c r="H52" s="89">
        <f t="shared" ref="H52:H73" si="10">ROUND(G52*12,2)</f>
        <v>90.88</v>
      </c>
      <c r="I52" s="89">
        <v>100.9495872</v>
      </c>
      <c r="J52" s="89">
        <f t="shared" ref="J52:J73" si="11">ROUND(G52*14,2)</f>
        <v>106.02</v>
      </c>
    </row>
    <row r="53" s="1" customFormat="1" spans="1:10">
      <c r="A53" s="61" t="s">
        <v>99</v>
      </c>
      <c r="B53" s="86">
        <v>0.45</v>
      </c>
      <c r="C53" s="87">
        <v>18</v>
      </c>
      <c r="D53" s="62" t="s">
        <v>70</v>
      </c>
      <c r="E53" s="63" t="s">
        <v>28</v>
      </c>
      <c r="F53" s="61" t="s">
        <v>45</v>
      </c>
      <c r="G53" s="64">
        <f t="shared" si="9"/>
        <v>8.743</v>
      </c>
      <c r="H53" s="89">
        <f t="shared" si="10"/>
        <v>104.92</v>
      </c>
      <c r="I53" s="89">
        <v>116.546364</v>
      </c>
      <c r="J53" s="89">
        <f t="shared" si="11"/>
        <v>122.4</v>
      </c>
    </row>
    <row r="54" s="1" customFormat="1" spans="1:10">
      <c r="A54" s="61" t="s">
        <v>99</v>
      </c>
      <c r="B54" s="86">
        <v>0.5</v>
      </c>
      <c r="C54" s="87">
        <v>20</v>
      </c>
      <c r="D54" s="62" t="s">
        <v>70</v>
      </c>
      <c r="E54" s="63" t="s">
        <v>28</v>
      </c>
      <c r="F54" s="61" t="s">
        <v>46</v>
      </c>
      <c r="G54" s="64">
        <f t="shared" si="9"/>
        <v>8.743</v>
      </c>
      <c r="H54" s="89">
        <f t="shared" si="10"/>
        <v>104.92</v>
      </c>
      <c r="I54" s="89">
        <v>116.546364</v>
      </c>
      <c r="J54" s="89">
        <f t="shared" si="11"/>
        <v>122.4</v>
      </c>
    </row>
    <row r="55" s="1" customFormat="1" ht="14" customHeight="1" spans="1:10">
      <c r="A55" s="61" t="s">
        <v>99</v>
      </c>
      <c r="B55" s="86" t="s">
        <v>47</v>
      </c>
      <c r="C55" s="87">
        <v>24</v>
      </c>
      <c r="D55" s="62" t="s">
        <v>70</v>
      </c>
      <c r="E55" s="63" t="s">
        <v>28</v>
      </c>
      <c r="F55" s="61" t="s">
        <v>48</v>
      </c>
      <c r="G55" s="64">
        <f t="shared" si="9"/>
        <v>8.829</v>
      </c>
      <c r="H55" s="89">
        <f t="shared" si="10"/>
        <v>105.95</v>
      </c>
      <c r="I55" s="89">
        <v>117.6923088</v>
      </c>
      <c r="J55" s="89">
        <f t="shared" si="11"/>
        <v>123.61</v>
      </c>
    </row>
    <row r="56" s="1" customFormat="1" spans="1:10">
      <c r="A56" s="61" t="s">
        <v>99</v>
      </c>
      <c r="B56" s="86">
        <v>0.7</v>
      </c>
      <c r="C56" s="87">
        <v>28</v>
      </c>
      <c r="D56" s="62" t="s">
        <v>70</v>
      </c>
      <c r="E56" s="63" t="s">
        <v>28</v>
      </c>
      <c r="F56" s="61" t="s">
        <v>49</v>
      </c>
      <c r="G56" s="64">
        <f t="shared" si="9"/>
        <v>10.039</v>
      </c>
      <c r="H56" s="89">
        <f t="shared" si="10"/>
        <v>120.47</v>
      </c>
      <c r="I56" s="89">
        <v>133.8236856</v>
      </c>
      <c r="J56" s="89">
        <f t="shared" si="11"/>
        <v>140.55</v>
      </c>
    </row>
    <row r="57" s="1" customFormat="1" spans="1:10">
      <c r="A57" s="61" t="s">
        <v>99</v>
      </c>
      <c r="B57" s="86">
        <v>0.8</v>
      </c>
      <c r="C57" s="87">
        <v>32</v>
      </c>
      <c r="D57" s="62" t="s">
        <v>70</v>
      </c>
      <c r="E57" s="63" t="s">
        <v>28</v>
      </c>
      <c r="F57" s="61" t="s">
        <v>49</v>
      </c>
      <c r="G57" s="64">
        <f t="shared" si="9"/>
        <v>10.039</v>
      </c>
      <c r="H57" s="89">
        <f t="shared" si="10"/>
        <v>120.47</v>
      </c>
      <c r="I57" s="89">
        <v>133.8236856</v>
      </c>
      <c r="J57" s="89">
        <f t="shared" si="11"/>
        <v>140.55</v>
      </c>
    </row>
    <row r="58" s="1" customFormat="1" spans="1:10">
      <c r="A58" s="61" t="s">
        <v>99</v>
      </c>
      <c r="B58" s="86">
        <v>0.9</v>
      </c>
      <c r="C58" s="87">
        <v>36</v>
      </c>
      <c r="D58" s="62" t="s">
        <v>70</v>
      </c>
      <c r="E58" s="63" t="s">
        <v>28</v>
      </c>
      <c r="F58" s="61" t="s">
        <v>52</v>
      </c>
      <c r="G58" s="64">
        <f t="shared" si="9"/>
        <v>11.129</v>
      </c>
      <c r="H58" s="89">
        <f t="shared" si="10"/>
        <v>133.55</v>
      </c>
      <c r="I58" s="89">
        <v>148.3557768</v>
      </c>
      <c r="J58" s="89">
        <f t="shared" si="11"/>
        <v>155.81</v>
      </c>
    </row>
    <row r="59" s="1" customFormat="1" spans="1:10">
      <c r="A59" s="61" t="s">
        <v>99</v>
      </c>
      <c r="B59" s="86" t="s">
        <v>51</v>
      </c>
      <c r="C59" s="87">
        <v>39</v>
      </c>
      <c r="D59" s="62" t="s">
        <v>70</v>
      </c>
      <c r="E59" s="63" t="s">
        <v>28</v>
      </c>
      <c r="F59" s="61" t="s">
        <v>52</v>
      </c>
      <c r="G59" s="64">
        <f t="shared" si="9"/>
        <v>11.329</v>
      </c>
      <c r="H59" s="89">
        <f t="shared" si="10"/>
        <v>135.95</v>
      </c>
      <c r="I59" s="89">
        <v>151.0128576</v>
      </c>
      <c r="J59" s="89">
        <f t="shared" si="11"/>
        <v>158.61</v>
      </c>
    </row>
    <row r="60" s="1" customFormat="1" spans="1:10">
      <c r="A60" s="61" t="s">
        <v>99</v>
      </c>
      <c r="B60" s="86" t="s">
        <v>53</v>
      </c>
      <c r="C60" s="87">
        <v>43</v>
      </c>
      <c r="D60" s="62" t="s">
        <v>70</v>
      </c>
      <c r="E60" s="63" t="s">
        <v>28</v>
      </c>
      <c r="F60" s="61" t="s">
        <v>54</v>
      </c>
      <c r="G60" s="64">
        <f t="shared" si="9"/>
        <v>12.454</v>
      </c>
      <c r="H60" s="89">
        <f t="shared" si="10"/>
        <v>149.45</v>
      </c>
      <c r="I60" s="89">
        <v>166.0125456</v>
      </c>
      <c r="J60" s="89">
        <f t="shared" si="11"/>
        <v>174.36</v>
      </c>
    </row>
    <row r="61" s="1" customFormat="1" spans="1:10">
      <c r="A61" s="61" t="s">
        <v>99</v>
      </c>
      <c r="B61" s="86" t="s">
        <v>55</v>
      </c>
      <c r="C61" s="87">
        <v>47</v>
      </c>
      <c r="D61" s="62" t="s">
        <v>70</v>
      </c>
      <c r="E61" s="63" t="s">
        <v>28</v>
      </c>
      <c r="F61" s="61" t="s">
        <v>54</v>
      </c>
      <c r="G61" s="64">
        <f t="shared" si="9"/>
        <v>12.656</v>
      </c>
      <c r="H61" s="89">
        <f t="shared" si="10"/>
        <v>151.87</v>
      </c>
      <c r="I61" s="89">
        <v>168.7069296</v>
      </c>
      <c r="J61" s="89">
        <f t="shared" si="11"/>
        <v>177.18</v>
      </c>
    </row>
    <row r="62" s="1" customFormat="1" spans="1:10">
      <c r="A62" s="61" t="s">
        <v>99</v>
      </c>
      <c r="B62" s="93">
        <v>1.3</v>
      </c>
      <c r="C62" s="87">
        <v>51</v>
      </c>
      <c r="D62" s="62" t="s">
        <v>70</v>
      </c>
      <c r="E62" s="63" t="s">
        <v>28</v>
      </c>
      <c r="F62" s="61" t="s">
        <v>56</v>
      </c>
      <c r="G62" s="64">
        <f t="shared" si="9"/>
        <v>13.769</v>
      </c>
      <c r="H62" s="89">
        <f t="shared" si="10"/>
        <v>165.23</v>
      </c>
      <c r="I62" s="89">
        <v>183.538872</v>
      </c>
      <c r="J62" s="89">
        <f t="shared" si="11"/>
        <v>192.77</v>
      </c>
    </row>
    <row r="63" s="1" customFormat="1" spans="1:10">
      <c r="A63" s="61" t="s">
        <v>99</v>
      </c>
      <c r="B63" s="86" t="s">
        <v>57</v>
      </c>
      <c r="C63" s="87">
        <v>55</v>
      </c>
      <c r="D63" s="62" t="s">
        <v>70</v>
      </c>
      <c r="E63" s="63" t="s">
        <v>28</v>
      </c>
      <c r="F63" s="61" t="s">
        <v>56</v>
      </c>
      <c r="G63" s="64">
        <f t="shared" si="9"/>
        <v>13.028</v>
      </c>
      <c r="H63" s="89">
        <f t="shared" si="10"/>
        <v>156.34</v>
      </c>
      <c r="I63" s="89">
        <v>173.659464</v>
      </c>
      <c r="J63" s="89">
        <f t="shared" si="11"/>
        <v>182.39</v>
      </c>
    </row>
    <row r="64" s="1" customFormat="1" spans="1:10">
      <c r="A64" s="61" t="s">
        <v>99</v>
      </c>
      <c r="B64" s="86" t="s">
        <v>58</v>
      </c>
      <c r="C64" s="87">
        <v>59</v>
      </c>
      <c r="D64" s="62" t="s">
        <v>70</v>
      </c>
      <c r="E64" s="63" t="s">
        <v>28</v>
      </c>
      <c r="F64" s="61" t="s">
        <v>59</v>
      </c>
      <c r="G64" s="64">
        <f t="shared" si="9"/>
        <v>14.681</v>
      </c>
      <c r="H64" s="89">
        <f t="shared" si="10"/>
        <v>176.17</v>
      </c>
      <c r="I64" s="89">
        <v>195.7020912</v>
      </c>
      <c r="J64" s="89">
        <f t="shared" si="11"/>
        <v>205.53</v>
      </c>
    </row>
    <row r="65" s="1" customFormat="1" spans="1:10">
      <c r="A65" s="61" t="s">
        <v>99</v>
      </c>
      <c r="B65" s="86" t="s">
        <v>60</v>
      </c>
      <c r="C65" s="87">
        <v>63</v>
      </c>
      <c r="D65" s="62" t="s">
        <v>70</v>
      </c>
      <c r="E65" s="63" t="s">
        <v>28</v>
      </c>
      <c r="F65" s="61" t="s">
        <v>59</v>
      </c>
      <c r="G65" s="64">
        <f t="shared" si="9"/>
        <v>14.984</v>
      </c>
      <c r="H65" s="89">
        <f t="shared" si="10"/>
        <v>179.81</v>
      </c>
      <c r="I65" s="89">
        <v>199.7308368</v>
      </c>
      <c r="J65" s="89">
        <f t="shared" si="11"/>
        <v>209.78</v>
      </c>
    </row>
    <row r="66" s="1" customFormat="1" spans="1:10">
      <c r="A66" s="61" t="s">
        <v>99</v>
      </c>
      <c r="B66" s="93">
        <v>1.8</v>
      </c>
      <c r="C66" s="87">
        <v>71</v>
      </c>
      <c r="D66" s="62" t="s">
        <v>70</v>
      </c>
      <c r="E66" s="63" t="s">
        <v>28</v>
      </c>
      <c r="F66" s="61" t="s">
        <v>61</v>
      </c>
      <c r="G66" s="64">
        <f t="shared" si="9"/>
        <v>17.016</v>
      </c>
      <c r="H66" s="89">
        <f t="shared" si="10"/>
        <v>204.19</v>
      </c>
      <c r="I66" s="89">
        <v>226.821276</v>
      </c>
      <c r="J66" s="89">
        <f t="shared" si="11"/>
        <v>238.22</v>
      </c>
    </row>
    <row r="67" s="1" customFormat="1" spans="1:10">
      <c r="A67" s="61" t="s">
        <v>99</v>
      </c>
      <c r="B67" s="93">
        <v>1.9</v>
      </c>
      <c r="C67" s="87">
        <v>75</v>
      </c>
      <c r="D67" s="62" t="s">
        <v>70</v>
      </c>
      <c r="E67" s="63" t="s">
        <v>28</v>
      </c>
      <c r="F67" s="61" t="s">
        <v>62</v>
      </c>
      <c r="G67" s="64">
        <f t="shared" si="9"/>
        <v>17.53</v>
      </c>
      <c r="H67" s="89">
        <f t="shared" si="10"/>
        <v>210.36</v>
      </c>
      <c r="I67" s="89">
        <v>233.668908</v>
      </c>
      <c r="J67" s="89">
        <f t="shared" si="11"/>
        <v>245.42</v>
      </c>
    </row>
    <row r="68" s="1" customFormat="1" spans="1:10">
      <c r="A68" s="61" t="s">
        <v>99</v>
      </c>
      <c r="B68" s="86" t="s">
        <v>63</v>
      </c>
      <c r="C68" s="87">
        <v>79</v>
      </c>
      <c r="D68" s="62" t="s">
        <v>70</v>
      </c>
      <c r="E68" s="63" t="s">
        <v>28</v>
      </c>
      <c r="F68" s="61" t="s">
        <v>64</v>
      </c>
      <c r="G68" s="64">
        <f t="shared" si="9"/>
        <v>19.078</v>
      </c>
      <c r="H68" s="89">
        <f t="shared" si="10"/>
        <v>228.94</v>
      </c>
      <c r="I68" s="89">
        <v>254.30328</v>
      </c>
      <c r="J68" s="89">
        <f t="shared" si="11"/>
        <v>267.09</v>
      </c>
    </row>
    <row r="69" s="1" customFormat="1" spans="1:10">
      <c r="A69" s="61" t="s">
        <v>99</v>
      </c>
      <c r="B69" s="93">
        <v>2.2</v>
      </c>
      <c r="C69" s="87">
        <v>87</v>
      </c>
      <c r="D69" s="62" t="s">
        <v>70</v>
      </c>
      <c r="E69" s="63" t="s">
        <v>28</v>
      </c>
      <c r="F69" s="61" t="s">
        <v>65</v>
      </c>
      <c r="G69" s="64">
        <f t="shared" si="9"/>
        <v>20.625</v>
      </c>
      <c r="H69" s="89">
        <f t="shared" si="10"/>
        <v>247.5</v>
      </c>
      <c r="I69" s="89">
        <v>274.937652</v>
      </c>
      <c r="J69" s="89">
        <f t="shared" si="11"/>
        <v>288.75</v>
      </c>
    </row>
    <row r="70" s="1" customFormat="1" spans="1:10">
      <c r="A70" s="61" t="s">
        <v>99</v>
      </c>
      <c r="B70" s="93">
        <v>2.4</v>
      </c>
      <c r="C70" s="87">
        <v>94</v>
      </c>
      <c r="D70" s="62" t="s">
        <v>70</v>
      </c>
      <c r="E70" s="63" t="s">
        <v>28</v>
      </c>
      <c r="F70" s="61" t="s">
        <v>67</v>
      </c>
      <c r="G70" s="64">
        <f t="shared" si="9"/>
        <v>22.376</v>
      </c>
      <c r="H70" s="89">
        <f t="shared" si="10"/>
        <v>268.51</v>
      </c>
      <c r="I70" s="89">
        <v>298.2771</v>
      </c>
      <c r="J70" s="89">
        <f t="shared" si="11"/>
        <v>313.26</v>
      </c>
    </row>
    <row r="71" s="1" customFormat="1" spans="1:10">
      <c r="A71" s="61" t="s">
        <v>99</v>
      </c>
      <c r="B71" s="93">
        <v>3</v>
      </c>
      <c r="C71" s="87">
        <v>118</v>
      </c>
      <c r="D71" s="62" t="s">
        <v>70</v>
      </c>
      <c r="E71" s="63" t="s">
        <v>28</v>
      </c>
      <c r="F71" s="61" t="s">
        <v>69</v>
      </c>
      <c r="G71" s="64">
        <f t="shared" si="9"/>
        <v>27.372</v>
      </c>
      <c r="H71" s="89">
        <f t="shared" si="10"/>
        <v>328.46</v>
      </c>
      <c r="I71" s="89">
        <v>364.8709152</v>
      </c>
      <c r="J71" s="89">
        <f t="shared" si="11"/>
        <v>383.21</v>
      </c>
    </row>
    <row r="72" s="3" customFormat="1" ht="14.25" spans="1:10">
      <c r="A72" s="61" t="s">
        <v>99</v>
      </c>
      <c r="B72" s="93">
        <v>3.2</v>
      </c>
      <c r="C72" s="87">
        <v>118</v>
      </c>
      <c r="D72" s="62" t="s">
        <v>70</v>
      </c>
      <c r="E72" s="63" t="s">
        <v>28</v>
      </c>
      <c r="F72" s="61" t="s">
        <v>104</v>
      </c>
      <c r="G72" s="64">
        <f t="shared" si="9"/>
        <v>27.703</v>
      </c>
      <c r="H72" s="89">
        <f t="shared" si="10"/>
        <v>332.44</v>
      </c>
      <c r="I72" s="89">
        <v>369.275544</v>
      </c>
      <c r="J72" s="89">
        <f t="shared" si="11"/>
        <v>387.84</v>
      </c>
    </row>
    <row r="73" s="3" customFormat="1" spans="1:10">
      <c r="A73" s="42"/>
      <c r="B73" s="43"/>
      <c r="C73" s="44"/>
      <c r="D73" s="45"/>
      <c r="E73" s="46"/>
      <c r="F73" s="47"/>
      <c r="G73" s="48"/>
      <c r="H73" s="47"/>
      <c r="I73" s="50"/>
      <c r="J73" s="47"/>
    </row>
    <row r="74" s="3" customFormat="1" ht="14.25" spans="1:10">
      <c r="A74" s="9" t="s">
        <v>72</v>
      </c>
      <c r="B74" s="3"/>
      <c r="C74" s="3"/>
      <c r="D74" s="3"/>
      <c r="E74" s="16"/>
      <c r="F74" s="11"/>
      <c r="G74" s="3"/>
      <c r="H74" s="11"/>
      <c r="I74" s="16"/>
      <c r="J74" s="11"/>
    </row>
    <row r="75" s="1" customFormat="1" spans="1:10">
      <c r="A75" s="9" t="s">
        <v>73</v>
      </c>
      <c r="B75" s="3"/>
      <c r="C75" s="3"/>
      <c r="D75" s="3"/>
      <c r="E75" s="28"/>
      <c r="F75" s="26"/>
      <c r="H75" s="26"/>
      <c r="I75" s="28"/>
      <c r="J75" s="31"/>
    </row>
    <row r="76" s="1" customFormat="1" spans="1:10">
      <c r="A76" s="9" t="s">
        <v>74</v>
      </c>
      <c r="B76" s="3"/>
      <c r="C76" s="3"/>
      <c r="D76" s="3"/>
      <c r="E76" s="28"/>
      <c r="F76" s="26"/>
      <c r="H76" s="26"/>
      <c r="I76" s="28"/>
      <c r="J76" s="31"/>
    </row>
    <row r="77" s="1" customFormat="1" ht="28" customHeight="1" spans="1:10">
      <c r="A77" s="56" t="s">
        <v>75</v>
      </c>
      <c r="B77" s="56"/>
      <c r="C77" s="56"/>
      <c r="D77" s="56"/>
      <c r="E77" s="56"/>
      <c r="F77" s="56"/>
      <c r="G77" s="56"/>
      <c r="H77" s="56"/>
      <c r="I77" s="56"/>
      <c r="J77" s="56"/>
    </row>
    <row r="78" s="32" customFormat="1" spans="1:121">
      <c r="A78" s="9"/>
      <c r="B78" s="3"/>
      <c r="C78" s="3"/>
      <c r="D78" s="3"/>
      <c r="E78" s="28"/>
      <c r="G78" s="1"/>
      <c r="H78" s="26"/>
      <c r="J78" s="3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</row>
    <row r="79" s="1" customFormat="1" spans="1:121">
      <c r="A79" s="30" t="s">
        <v>76</v>
      </c>
      <c r="E79" s="31" t="s">
        <v>77</v>
      </c>
      <c r="G79" s="26"/>
      <c r="H79" s="28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</row>
    <row r="80" s="1" customFormat="1" spans="5:125">
      <c r="E80" s="28"/>
      <c r="F80" s="26"/>
      <c r="H80" s="26"/>
      <c r="I80" s="28"/>
      <c r="J80" s="26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</row>
    <row r="81" s="1" customFormat="1" ht="18" customHeight="1" spans="5:10">
      <c r="E81" s="28"/>
      <c r="F81" s="26"/>
      <c r="H81" s="26"/>
      <c r="I81" s="28"/>
      <c r="J81" s="26"/>
    </row>
    <row r="82" s="1" customFormat="1" spans="1:10">
      <c r="A82" s="30"/>
      <c r="E82" s="28"/>
      <c r="F82" s="31"/>
      <c r="G82" s="4"/>
      <c r="H82" s="57"/>
      <c r="I82" s="59"/>
      <c r="J82" s="57"/>
    </row>
  </sheetData>
  <mergeCells count="3">
    <mergeCell ref="I3:J3"/>
    <mergeCell ref="A7:J7"/>
    <mergeCell ref="A77:J77"/>
  </mergeCells>
  <pageMargins left="0.75" right="0.75" top="1" bottom="1" header="0.5" footer="0.5"/>
  <pageSetup paperSize="9" scale="93" fitToHeight="0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N25"/>
  <sheetViews>
    <sheetView workbookViewId="0">
      <selection activeCell="J11" sqref="J11:J12"/>
    </sheetView>
  </sheetViews>
  <sheetFormatPr defaultColWidth="8" defaultRowHeight="15"/>
  <cols>
    <col min="1" max="1" width="11.125" style="1" customWidth="1"/>
    <col min="2" max="2" width="12.5" style="1" customWidth="1"/>
    <col min="3" max="3" width="12.75" style="1" customWidth="1"/>
    <col min="4" max="4" width="9.75" style="1" customWidth="1"/>
    <col min="5" max="5" width="11.1666666666667" style="28" customWidth="1"/>
    <col min="6" max="6" width="9.5" style="26" customWidth="1"/>
    <col min="7" max="7" width="10.875" style="1" customWidth="1"/>
    <col min="8" max="8" width="18.25" style="26" customWidth="1"/>
    <col min="9" max="9" width="4.1" style="1" customWidth="1"/>
    <col min="10" max="180" width="7.83333333333333" style="1" customWidth="1"/>
    <col min="181" max="181" width="7.83333333333333" style="1"/>
    <col min="182" max="16310" width="8" style="1"/>
  </cols>
  <sheetData>
    <row r="1" s="1" customFormat="1" ht="40" customHeight="1" spans="1:8">
      <c r="A1" s="6"/>
      <c r="B1" s="6"/>
      <c r="C1" s="6"/>
      <c r="D1" s="6"/>
      <c r="E1" s="6"/>
      <c r="F1" s="6"/>
      <c r="G1" s="6"/>
      <c r="H1" s="6"/>
    </row>
    <row r="2" s="2" customFormat="1" ht="12.75" spans="1:8">
      <c r="A2" s="7"/>
      <c r="B2" s="7"/>
      <c r="C2" s="7"/>
      <c r="D2" s="7"/>
      <c r="E2" s="7"/>
      <c r="F2" s="7"/>
      <c r="G2" s="7"/>
      <c r="H2" s="7"/>
    </row>
    <row r="3" s="1" customFormat="1" ht="18" customHeight="1" spans="1:170">
      <c r="A3" s="7"/>
      <c r="B3" s="7"/>
      <c r="C3" s="7"/>
      <c r="D3" s="7"/>
      <c r="E3" s="7"/>
      <c r="F3" s="7"/>
      <c r="G3" s="7"/>
      <c r="H3" s="7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</row>
    <row r="4" s="3" customFormat="1" ht="17" customHeight="1" spans="1:170">
      <c r="A4" s="8" t="s">
        <v>0</v>
      </c>
      <c r="B4" s="9" t="s">
        <v>1</v>
      </c>
      <c r="C4" s="9"/>
      <c r="D4" s="9"/>
      <c r="E4" s="10"/>
      <c r="F4" s="11"/>
      <c r="G4" s="8" t="s">
        <v>2</v>
      </c>
      <c r="H4" s="12" t="s">
        <v>3</v>
      </c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</row>
    <row r="5" s="3" customFormat="1" ht="17" customHeight="1" spans="1:170">
      <c r="A5" s="8" t="s">
        <v>4</v>
      </c>
      <c r="B5" s="9" t="s">
        <v>5</v>
      </c>
      <c r="C5" s="9"/>
      <c r="D5" s="9"/>
      <c r="E5" s="10"/>
      <c r="F5" s="11"/>
      <c r="G5" s="8" t="s">
        <v>6</v>
      </c>
      <c r="H5" s="13">
        <v>13633926127</v>
      </c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</row>
    <row r="6" s="3" customFormat="1" ht="17" customHeight="1" spans="1:170">
      <c r="A6" s="14" t="s">
        <v>7</v>
      </c>
      <c r="B6" s="9" t="s">
        <v>8</v>
      </c>
      <c r="C6" s="9"/>
      <c r="D6" s="9"/>
      <c r="E6" s="10"/>
      <c r="F6" s="11"/>
      <c r="G6" s="14" t="s">
        <v>9</v>
      </c>
      <c r="H6" s="12" t="s">
        <v>10</v>
      </c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</row>
    <row r="7" s="3" customFormat="1" ht="17" customHeight="1" spans="1:170">
      <c r="A7" s="8" t="s">
        <v>6</v>
      </c>
      <c r="B7" s="15" t="s">
        <v>11</v>
      </c>
      <c r="E7" s="16"/>
      <c r="F7" s="11"/>
      <c r="G7" s="8" t="s">
        <v>12</v>
      </c>
      <c r="H7" s="17" t="s">
        <v>13</v>
      </c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</row>
    <row r="8" s="4" customFormat="1" ht="26.25" customHeight="1" spans="1:8">
      <c r="A8" s="18" t="s">
        <v>105</v>
      </c>
      <c r="B8" s="18"/>
      <c r="C8" s="18"/>
      <c r="D8" s="18"/>
      <c r="E8" s="18"/>
      <c r="F8" s="18"/>
      <c r="G8" s="18"/>
      <c r="H8" s="18"/>
    </row>
    <row r="9" s="5" customFormat="1" ht="21" customHeight="1" spans="1:8">
      <c r="A9" s="19" t="s">
        <v>15</v>
      </c>
      <c r="B9" s="19" t="s">
        <v>79</v>
      </c>
      <c r="C9" s="19" t="s">
        <v>80</v>
      </c>
      <c r="D9" s="19" t="s">
        <v>81</v>
      </c>
      <c r="E9" s="90" t="s">
        <v>82</v>
      </c>
      <c r="F9" s="91" t="s">
        <v>83</v>
      </c>
      <c r="G9" s="91"/>
      <c r="H9" s="91"/>
    </row>
    <row r="10" s="3" customFormat="1" ht="16" customHeight="1" spans="1:9">
      <c r="A10" s="19" t="s">
        <v>84</v>
      </c>
      <c r="B10" s="19" t="s">
        <v>85</v>
      </c>
      <c r="C10" s="19" t="s">
        <v>86</v>
      </c>
      <c r="D10" s="19" t="s">
        <v>87</v>
      </c>
      <c r="E10" s="19" t="s">
        <v>88</v>
      </c>
      <c r="F10" s="21" t="s">
        <v>21</v>
      </c>
      <c r="G10" s="21" t="s">
        <v>89</v>
      </c>
      <c r="H10" s="21" t="s">
        <v>90</v>
      </c>
      <c r="I10" s="14"/>
    </row>
    <row r="11" s="3" customFormat="1" ht="16" customHeight="1" spans="1:9">
      <c r="A11" s="19" t="s">
        <v>99</v>
      </c>
      <c r="B11" s="19">
        <v>7628</v>
      </c>
      <c r="C11" s="19" t="s">
        <v>91</v>
      </c>
      <c r="D11" s="19">
        <v>100</v>
      </c>
      <c r="E11" s="19">
        <v>49.5</v>
      </c>
      <c r="F11" s="21">
        <f>G11/13.12</f>
        <v>1.61981707317073</v>
      </c>
      <c r="G11" s="74">
        <v>21.252</v>
      </c>
      <c r="H11" s="53">
        <f t="shared" ref="H11:H19" si="0">G11*D11</f>
        <v>2125.2</v>
      </c>
      <c r="I11" s="92"/>
    </row>
    <row r="12" s="3" customFormat="1" ht="16" customHeight="1" spans="1:9">
      <c r="A12" s="19" t="s">
        <v>99</v>
      </c>
      <c r="B12" s="19">
        <v>7628</v>
      </c>
      <c r="C12" s="19" t="s">
        <v>92</v>
      </c>
      <c r="D12" s="19">
        <v>100</v>
      </c>
      <c r="E12" s="19">
        <v>49.5</v>
      </c>
      <c r="F12" s="21">
        <f t="shared" ref="F12:F19" si="1">G12/13.12</f>
        <v>1.74077743902439</v>
      </c>
      <c r="G12" s="74">
        <v>22.839</v>
      </c>
      <c r="H12" s="53">
        <f t="shared" si="0"/>
        <v>2283.9</v>
      </c>
      <c r="I12" s="92"/>
    </row>
    <row r="13" s="3" customFormat="1" ht="16" customHeight="1" spans="1:9">
      <c r="A13" s="19" t="s">
        <v>99</v>
      </c>
      <c r="B13" s="19">
        <v>7628</v>
      </c>
      <c r="C13" s="19" t="s">
        <v>93</v>
      </c>
      <c r="D13" s="19">
        <v>100</v>
      </c>
      <c r="E13" s="19">
        <v>49.5</v>
      </c>
      <c r="F13" s="21">
        <f t="shared" si="1"/>
        <v>1.85560213414634</v>
      </c>
      <c r="G13" s="74">
        <v>24.3455</v>
      </c>
      <c r="H13" s="53">
        <f t="shared" si="0"/>
        <v>2434.55</v>
      </c>
      <c r="I13" s="92"/>
    </row>
    <row r="14" s="3" customFormat="1" ht="16" customHeight="1" spans="1:9">
      <c r="A14" s="19" t="s">
        <v>99</v>
      </c>
      <c r="B14" s="19">
        <v>7628</v>
      </c>
      <c r="C14" s="22">
        <v>0.52</v>
      </c>
      <c r="D14" s="19">
        <v>100</v>
      </c>
      <c r="E14" s="19">
        <v>49.5</v>
      </c>
      <c r="F14" s="21">
        <f t="shared" si="1"/>
        <v>2.01162347560976</v>
      </c>
      <c r="G14" s="74">
        <v>26.3925</v>
      </c>
      <c r="H14" s="53">
        <f t="shared" si="0"/>
        <v>2639.25</v>
      </c>
      <c r="I14" s="92"/>
    </row>
    <row r="15" s="3" customFormat="1" ht="16" customHeight="1" spans="1:9">
      <c r="A15" s="19" t="s">
        <v>99</v>
      </c>
      <c r="B15" s="19">
        <v>2116</v>
      </c>
      <c r="C15" s="19" t="s">
        <v>94</v>
      </c>
      <c r="D15" s="19">
        <v>150</v>
      </c>
      <c r="E15" s="19">
        <v>49.5</v>
      </c>
      <c r="F15" s="21">
        <f t="shared" si="1"/>
        <v>1.60403963414634</v>
      </c>
      <c r="G15" s="74">
        <v>21.045</v>
      </c>
      <c r="H15" s="53">
        <f t="shared" si="0"/>
        <v>3156.75</v>
      </c>
      <c r="I15" s="92"/>
    </row>
    <row r="16" s="3" customFormat="1" ht="16" customHeight="1" spans="1:9">
      <c r="A16" s="19" t="s">
        <v>99</v>
      </c>
      <c r="B16" s="19">
        <v>2116</v>
      </c>
      <c r="C16" s="19" t="s">
        <v>95</v>
      </c>
      <c r="D16" s="19">
        <v>150</v>
      </c>
      <c r="E16" s="19">
        <v>49.5</v>
      </c>
      <c r="F16" s="21">
        <f t="shared" si="1"/>
        <v>1.81440548780488</v>
      </c>
      <c r="G16" s="74">
        <v>23.805</v>
      </c>
      <c r="H16" s="53">
        <f t="shared" si="0"/>
        <v>3570.75</v>
      </c>
      <c r="I16" s="92"/>
    </row>
    <row r="17" s="3" customFormat="1" ht="16" customHeight="1" spans="1:9">
      <c r="A17" s="19" t="s">
        <v>99</v>
      </c>
      <c r="B17" s="19">
        <v>1080</v>
      </c>
      <c r="C17" s="19" t="s">
        <v>96</v>
      </c>
      <c r="D17" s="19">
        <v>150</v>
      </c>
      <c r="E17" s="19">
        <v>49.5</v>
      </c>
      <c r="F17" s="21">
        <f t="shared" si="1"/>
        <v>1.69169207317073</v>
      </c>
      <c r="G17" s="74">
        <v>22.195</v>
      </c>
      <c r="H17" s="53">
        <f t="shared" si="0"/>
        <v>3329.25</v>
      </c>
      <c r="I17" s="92"/>
    </row>
    <row r="18" s="3" customFormat="1" ht="16" customHeight="1" spans="1:9">
      <c r="A18" s="19" t="s">
        <v>99</v>
      </c>
      <c r="B18" s="19">
        <v>1080</v>
      </c>
      <c r="C18" s="19" t="s">
        <v>97</v>
      </c>
      <c r="D18" s="19">
        <v>150</v>
      </c>
      <c r="E18" s="19">
        <v>49.5</v>
      </c>
      <c r="F18" s="21">
        <f t="shared" si="1"/>
        <v>1.84946646341463</v>
      </c>
      <c r="G18" s="74">
        <v>24.265</v>
      </c>
      <c r="H18" s="53">
        <f t="shared" si="0"/>
        <v>3639.75</v>
      </c>
      <c r="I18" s="92"/>
    </row>
    <row r="19" s="3" customFormat="1" ht="16" customHeight="1" spans="1:9">
      <c r="A19" s="19" t="s">
        <v>99</v>
      </c>
      <c r="B19" s="53">
        <v>106</v>
      </c>
      <c r="C19" s="75">
        <v>0.72</v>
      </c>
      <c r="D19" s="53">
        <v>100</v>
      </c>
      <c r="E19" s="19">
        <v>49.5</v>
      </c>
      <c r="F19" s="21">
        <f t="shared" si="1"/>
        <v>2.17465701219512</v>
      </c>
      <c r="G19" s="74">
        <v>28.5315</v>
      </c>
      <c r="H19" s="53">
        <f t="shared" si="0"/>
        <v>2853.15</v>
      </c>
      <c r="I19" s="92"/>
    </row>
    <row r="20" s="3" customFormat="1" ht="14.25" spans="1:8">
      <c r="A20" s="9" t="s">
        <v>72</v>
      </c>
      <c r="E20" s="25"/>
      <c r="F20" s="11"/>
      <c r="H20" s="11"/>
    </row>
    <row r="21" s="1" customFormat="1" spans="1:8">
      <c r="A21" s="9" t="s">
        <v>73</v>
      </c>
      <c r="B21" s="3"/>
      <c r="C21" s="3"/>
      <c r="D21" s="3"/>
      <c r="E21" s="25"/>
      <c r="F21" s="26"/>
      <c r="H21" s="26"/>
    </row>
    <row r="22" s="1" customFormat="1" spans="1:8">
      <c r="A22" s="9" t="s">
        <v>74</v>
      </c>
      <c r="B22" s="3"/>
      <c r="C22" s="3"/>
      <c r="D22" s="3"/>
      <c r="E22" s="25"/>
      <c r="F22" s="26"/>
      <c r="H22" s="26"/>
    </row>
    <row r="23" s="1" customFormat="1" ht="23.25" spans="1:8">
      <c r="A23" s="27"/>
      <c r="B23" s="27"/>
      <c r="E23" s="28"/>
      <c r="F23" s="26"/>
      <c r="G23" s="29"/>
      <c r="H23" s="26"/>
    </row>
    <row r="24" s="1" customFormat="1" spans="1:168">
      <c r="A24" s="30" t="s">
        <v>76</v>
      </c>
      <c r="E24" s="31" t="s">
        <v>77</v>
      </c>
      <c r="G24" s="26"/>
      <c r="H24" s="28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</row>
    <row r="25" s="1" customFormat="1" ht="18" customHeight="1" spans="5:8">
      <c r="E25" s="28"/>
      <c r="F25" s="26"/>
      <c r="H25" s="26"/>
    </row>
  </sheetData>
  <mergeCells count="5">
    <mergeCell ref="A1:H1"/>
    <mergeCell ref="A2:H2"/>
    <mergeCell ref="A3:H3"/>
    <mergeCell ref="A8:H8"/>
    <mergeCell ref="F9:H9"/>
  </mergeCells>
  <pageMargins left="0.75" right="0.75" top="1" bottom="1" header="0.5" footer="0.5"/>
  <pageSetup paperSize="9" scale="87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P26"/>
  <sheetViews>
    <sheetView workbookViewId="0">
      <selection activeCell="D16" sqref="D16:D19"/>
    </sheetView>
  </sheetViews>
  <sheetFormatPr defaultColWidth="8.8" defaultRowHeight="14.25"/>
  <sheetData>
    <row r="1" s="1" customFormat="1" ht="58" customHeight="1" spans="1:10">
      <c r="A1" s="34"/>
      <c r="B1" s="34"/>
      <c r="C1" s="34"/>
      <c r="D1" s="34"/>
      <c r="E1" s="35"/>
      <c r="F1" s="36"/>
      <c r="G1" s="34"/>
      <c r="H1" s="36"/>
      <c r="I1" s="35"/>
      <c r="J1" s="36"/>
    </row>
    <row r="2" s="3" customFormat="1" ht="17" customHeight="1" spans="1:144">
      <c r="A2" s="8" t="s">
        <v>0</v>
      </c>
      <c r="B2" s="9" t="s">
        <v>1</v>
      </c>
      <c r="C2" s="9"/>
      <c r="D2" s="9"/>
      <c r="E2" s="10"/>
      <c r="H2" s="8" t="s">
        <v>2</v>
      </c>
      <c r="I2" s="12" t="s">
        <v>3</v>
      </c>
      <c r="J2" s="9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</row>
    <row r="3" s="3" customFormat="1" ht="17" customHeight="1" spans="1:144">
      <c r="A3" s="8" t="s">
        <v>4</v>
      </c>
      <c r="B3" s="9" t="s">
        <v>5</v>
      </c>
      <c r="C3" s="9"/>
      <c r="D3" s="9"/>
      <c r="E3" s="10"/>
      <c r="H3" s="8" t="s">
        <v>6</v>
      </c>
      <c r="I3" s="13">
        <v>13633926127</v>
      </c>
      <c r="J3" s="1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</row>
    <row r="4" s="3" customFormat="1" ht="17" customHeight="1" spans="1:144">
      <c r="A4" s="14" t="s">
        <v>7</v>
      </c>
      <c r="B4" s="9" t="s">
        <v>8</v>
      </c>
      <c r="C4" s="9"/>
      <c r="D4" s="9"/>
      <c r="E4" s="10"/>
      <c r="H4" s="14" t="s">
        <v>9</v>
      </c>
      <c r="I4" s="12" t="s">
        <v>10</v>
      </c>
      <c r="J4" s="9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</row>
    <row r="5" s="3" customFormat="1" ht="17" customHeight="1" spans="1:144">
      <c r="A5" s="8" t="s">
        <v>6</v>
      </c>
      <c r="B5" s="15" t="s">
        <v>11</v>
      </c>
      <c r="H5" s="8" t="s">
        <v>12</v>
      </c>
      <c r="I5" s="17" t="s">
        <v>13</v>
      </c>
      <c r="J5" s="9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</row>
    <row r="6" s="3" customFormat="1" ht="17" customHeight="1" spans="1:144">
      <c r="A6" s="9"/>
      <c r="B6" s="15"/>
      <c r="H6" s="9"/>
      <c r="I6" s="49"/>
      <c r="J6" s="9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</row>
    <row r="7" s="4" customFormat="1" ht="26.25" customHeight="1" spans="1:10">
      <c r="A7" s="18" t="s">
        <v>106</v>
      </c>
      <c r="B7" s="18"/>
      <c r="C7" s="18"/>
      <c r="D7" s="18"/>
      <c r="E7" s="18"/>
      <c r="F7" s="18"/>
      <c r="G7" s="18"/>
      <c r="H7" s="18"/>
      <c r="I7" s="18"/>
      <c r="J7" s="18"/>
    </row>
    <row r="8" s="1" customFormat="1" ht="15" spans="1:10">
      <c r="A8" s="81" t="s">
        <v>15</v>
      </c>
      <c r="B8" s="81" t="s">
        <v>16</v>
      </c>
      <c r="C8" s="81" t="s">
        <v>17</v>
      </c>
      <c r="D8" s="82" t="s">
        <v>18</v>
      </c>
      <c r="E8" s="83" t="s">
        <v>19</v>
      </c>
      <c r="F8" s="81" t="s">
        <v>20</v>
      </c>
      <c r="G8" s="84" t="s">
        <v>21</v>
      </c>
      <c r="H8" s="85" t="s">
        <v>22</v>
      </c>
      <c r="I8" s="85" t="s">
        <v>23</v>
      </c>
      <c r="J8" s="85" t="s">
        <v>24</v>
      </c>
    </row>
    <row r="9" s="1" customFormat="1" ht="15" spans="1:10">
      <c r="A9" s="61" t="s">
        <v>107</v>
      </c>
      <c r="B9" s="86">
        <v>0.043</v>
      </c>
      <c r="C9" s="87">
        <v>1.69291338582677</v>
      </c>
      <c r="D9" s="88" t="s">
        <v>108</v>
      </c>
      <c r="E9" s="63" t="s">
        <v>100</v>
      </c>
      <c r="F9" s="87" t="s">
        <v>101</v>
      </c>
      <c r="G9" s="64">
        <f>ROUND(I9/13.33,3)</f>
        <v>53.741</v>
      </c>
      <c r="H9" s="89">
        <f>ROUND(G9*12,2)</f>
        <v>644.89</v>
      </c>
      <c r="I9" s="89">
        <v>716.365461888</v>
      </c>
      <c r="J9" s="89">
        <f>ROUND(G9*14,2)</f>
        <v>752.37</v>
      </c>
    </row>
    <row r="10" s="1" customFormat="1" ht="15" spans="1:10">
      <c r="A10" s="61" t="s">
        <v>107</v>
      </c>
      <c r="B10" s="86">
        <v>0.05</v>
      </c>
      <c r="C10" s="87">
        <v>1.96850393700787</v>
      </c>
      <c r="D10" s="88" t="s">
        <v>109</v>
      </c>
      <c r="E10" s="63" t="s">
        <v>100</v>
      </c>
      <c r="F10" s="87" t="s">
        <v>101</v>
      </c>
      <c r="G10" s="64">
        <f t="shared" ref="G10:G19" si="0">ROUND(I10/13.33,3)</f>
        <v>25.554</v>
      </c>
      <c r="H10" s="89">
        <f t="shared" ref="H10:H19" si="1">ROUND(G10*12,2)</f>
        <v>306.65</v>
      </c>
      <c r="I10" s="89">
        <v>340.635456</v>
      </c>
      <c r="J10" s="89">
        <f t="shared" ref="J10:J19" si="2">ROUND(G10*14,2)</f>
        <v>357.76</v>
      </c>
    </row>
    <row r="11" s="1" customFormat="1" ht="15" spans="1:10">
      <c r="A11" s="61" t="s">
        <v>107</v>
      </c>
      <c r="B11" s="86">
        <v>0.05</v>
      </c>
      <c r="C11" s="87">
        <v>1.96850393700787</v>
      </c>
      <c r="D11" s="88" t="s">
        <v>108</v>
      </c>
      <c r="E11" s="63" t="s">
        <v>100</v>
      </c>
      <c r="F11" s="87" t="s">
        <v>101</v>
      </c>
      <c r="G11" s="64">
        <f t="shared" si="0"/>
        <v>53.741</v>
      </c>
      <c r="H11" s="89">
        <f t="shared" si="1"/>
        <v>644.89</v>
      </c>
      <c r="I11" s="89">
        <v>716.365461888</v>
      </c>
      <c r="J11" s="89">
        <f t="shared" si="2"/>
        <v>752.37</v>
      </c>
    </row>
    <row r="12" s="1" customFormat="1" ht="15" spans="1:10">
      <c r="A12" s="61" t="s">
        <v>107</v>
      </c>
      <c r="B12" s="86">
        <v>0.05</v>
      </c>
      <c r="C12" s="87">
        <v>1.96850393700787</v>
      </c>
      <c r="D12" s="88" t="s">
        <v>110</v>
      </c>
      <c r="E12" s="63" t="s">
        <v>100</v>
      </c>
      <c r="F12" s="87" t="s">
        <v>101</v>
      </c>
      <c r="G12" s="64">
        <f t="shared" si="0"/>
        <v>33.87</v>
      </c>
      <c r="H12" s="89">
        <f t="shared" si="1"/>
        <v>406.44</v>
      </c>
      <c r="I12" s="89">
        <v>451.49337792</v>
      </c>
      <c r="J12" s="89">
        <f t="shared" si="2"/>
        <v>474.18</v>
      </c>
    </row>
    <row r="13" s="1" customFormat="1" ht="15" spans="1:10">
      <c r="A13" s="61" t="s">
        <v>107</v>
      </c>
      <c r="B13" s="86">
        <v>0.05</v>
      </c>
      <c r="C13" s="87">
        <v>1.96850393700787</v>
      </c>
      <c r="D13" s="88" t="s">
        <v>111</v>
      </c>
      <c r="E13" s="63" t="s">
        <v>100</v>
      </c>
      <c r="F13" s="87" t="s">
        <v>101</v>
      </c>
      <c r="G13" s="64">
        <f t="shared" si="0"/>
        <v>45.997</v>
      </c>
      <c r="H13" s="89">
        <f t="shared" si="1"/>
        <v>551.96</v>
      </c>
      <c r="I13" s="89">
        <v>613.13962176</v>
      </c>
      <c r="J13" s="89">
        <f t="shared" si="2"/>
        <v>643.96</v>
      </c>
    </row>
    <row r="14" s="1" customFormat="1" ht="15" spans="1:10">
      <c r="A14" s="61" t="s">
        <v>107</v>
      </c>
      <c r="B14" s="86">
        <v>0.05</v>
      </c>
      <c r="C14" s="87">
        <v>1.96850393700787</v>
      </c>
      <c r="D14" s="88" t="s">
        <v>112</v>
      </c>
      <c r="E14" s="63" t="s">
        <v>100</v>
      </c>
      <c r="F14" s="87" t="s">
        <v>101</v>
      </c>
      <c r="G14" s="64">
        <f t="shared" si="0"/>
        <v>98.684</v>
      </c>
      <c r="H14" s="89">
        <f t="shared" si="1"/>
        <v>1184.21</v>
      </c>
      <c r="I14" s="89">
        <v>1315.454256</v>
      </c>
      <c r="J14" s="89">
        <f t="shared" si="2"/>
        <v>1381.58</v>
      </c>
    </row>
    <row r="15" s="1" customFormat="1" ht="15" spans="1:10">
      <c r="A15" s="61" t="s">
        <v>107</v>
      </c>
      <c r="B15" s="86">
        <v>0.7</v>
      </c>
      <c r="C15" s="87">
        <v>28</v>
      </c>
      <c r="D15" s="88" t="s">
        <v>113</v>
      </c>
      <c r="E15" s="63" t="s">
        <v>28</v>
      </c>
      <c r="F15" s="87" t="s">
        <v>49</v>
      </c>
      <c r="G15" s="64">
        <f t="shared" si="0"/>
        <v>13.61</v>
      </c>
      <c r="H15" s="89">
        <f t="shared" si="1"/>
        <v>163.32</v>
      </c>
      <c r="I15" s="89">
        <v>181.42</v>
      </c>
      <c r="J15" s="89">
        <f t="shared" si="2"/>
        <v>190.54</v>
      </c>
    </row>
    <row r="16" s="1" customFormat="1" ht="15" spans="1:10">
      <c r="A16" s="61" t="s">
        <v>107</v>
      </c>
      <c r="B16" s="86">
        <v>0.7</v>
      </c>
      <c r="C16" s="87">
        <v>28</v>
      </c>
      <c r="D16" s="88" t="s">
        <v>108</v>
      </c>
      <c r="E16" s="63" t="s">
        <v>28</v>
      </c>
      <c r="F16" s="87" t="s">
        <v>49</v>
      </c>
      <c r="G16" s="64">
        <f t="shared" si="0"/>
        <v>57.287</v>
      </c>
      <c r="H16" s="89">
        <f t="shared" si="1"/>
        <v>687.44</v>
      </c>
      <c r="I16" s="89">
        <v>763.6374144</v>
      </c>
      <c r="J16" s="89">
        <f t="shared" si="2"/>
        <v>802.02</v>
      </c>
    </row>
    <row r="17" s="1" customFormat="1" ht="15" spans="1:10">
      <c r="A17" s="61" t="s">
        <v>107</v>
      </c>
      <c r="B17" s="86">
        <v>1.4</v>
      </c>
      <c r="C17" s="87">
        <f>B17/0.0254</f>
        <v>55.1181102362205</v>
      </c>
      <c r="D17" s="88" t="s">
        <v>108</v>
      </c>
      <c r="E17" s="63" t="s">
        <v>28</v>
      </c>
      <c r="F17" s="87" t="s">
        <v>54</v>
      </c>
      <c r="G17" s="64">
        <f t="shared" si="0"/>
        <v>62.707</v>
      </c>
      <c r="H17" s="89">
        <f t="shared" si="1"/>
        <v>752.48</v>
      </c>
      <c r="I17" s="89">
        <v>835.8818976</v>
      </c>
      <c r="J17" s="89">
        <f t="shared" si="2"/>
        <v>877.9</v>
      </c>
    </row>
    <row r="18" s="3" customFormat="1" spans="1:11">
      <c r="A18" s="61" t="s">
        <v>107</v>
      </c>
      <c r="B18" s="86">
        <v>2.2</v>
      </c>
      <c r="C18" s="87">
        <f>B18/0.0254</f>
        <v>86.6141732283465</v>
      </c>
      <c r="D18" s="88" t="s">
        <v>108</v>
      </c>
      <c r="E18" s="63" t="s">
        <v>28</v>
      </c>
      <c r="F18" s="87" t="s">
        <v>64</v>
      </c>
      <c r="G18" s="64">
        <f t="shared" si="0"/>
        <v>90.599</v>
      </c>
      <c r="H18" s="89">
        <f t="shared" si="1"/>
        <v>1087.19</v>
      </c>
      <c r="I18" s="89">
        <v>1207.69056</v>
      </c>
      <c r="J18" s="89">
        <f t="shared" si="2"/>
        <v>1268.39</v>
      </c>
      <c r="K18" s="11"/>
    </row>
    <row r="19" s="3" customFormat="1" spans="1:11">
      <c r="A19" s="61" t="s">
        <v>107</v>
      </c>
      <c r="B19" s="86">
        <v>2.4</v>
      </c>
      <c r="C19" s="87">
        <f>B19/0.0254</f>
        <v>94.488188976378</v>
      </c>
      <c r="D19" s="88" t="s">
        <v>108</v>
      </c>
      <c r="E19" s="63" t="s">
        <v>28</v>
      </c>
      <c r="F19" s="87" t="s">
        <v>65</v>
      </c>
      <c r="G19" s="64">
        <f t="shared" si="0"/>
        <v>94.471</v>
      </c>
      <c r="H19" s="89">
        <f t="shared" si="1"/>
        <v>1133.65</v>
      </c>
      <c r="I19" s="89">
        <v>1259.30376</v>
      </c>
      <c r="J19" s="89">
        <f t="shared" si="2"/>
        <v>1322.59</v>
      </c>
      <c r="K19" s="11"/>
    </row>
    <row r="20" s="3" customFormat="1" spans="1:11">
      <c r="A20" s="9"/>
      <c r="E20" s="16"/>
      <c r="F20" s="11"/>
      <c r="H20" s="11"/>
      <c r="I20" s="16"/>
      <c r="J20" s="11"/>
      <c r="K20" s="11"/>
    </row>
    <row r="21" s="3" customFormat="1" spans="1:11">
      <c r="A21" s="9" t="s">
        <v>72</v>
      </c>
      <c r="E21" s="16"/>
      <c r="F21" s="11"/>
      <c r="H21" s="11"/>
      <c r="I21" s="16"/>
      <c r="J21" s="11"/>
      <c r="K21" s="11"/>
    </row>
    <row r="22" s="1" customFormat="1" ht="15" spans="1:11">
      <c r="A22" s="9" t="s">
        <v>73</v>
      </c>
      <c r="B22" s="3"/>
      <c r="C22" s="3"/>
      <c r="D22" s="3"/>
      <c r="E22" s="28"/>
      <c r="F22" s="26"/>
      <c r="H22" s="26"/>
      <c r="I22" s="28"/>
      <c r="J22" s="31"/>
      <c r="K22" s="31"/>
    </row>
    <row r="23" s="1" customFormat="1" ht="15" spans="1:11">
      <c r="A23" s="9" t="s">
        <v>74</v>
      </c>
      <c r="B23" s="3"/>
      <c r="C23" s="3"/>
      <c r="D23" s="3"/>
      <c r="E23" s="28"/>
      <c r="F23" s="26"/>
      <c r="H23" s="26"/>
      <c r="I23" s="28"/>
      <c r="J23" s="31"/>
      <c r="K23" s="31"/>
    </row>
    <row r="24" s="1" customFormat="1" ht="39" customHeight="1" spans="1:1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</row>
    <row r="25" customFormat="1" ht="15" spans="1:146">
      <c r="A25" s="9"/>
      <c r="B25" s="3"/>
      <c r="C25" s="3"/>
      <c r="D25" s="3"/>
      <c r="E25" s="28"/>
      <c r="G25" s="1"/>
      <c r="H25" s="26"/>
      <c r="J25" s="31"/>
      <c r="K25" s="3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</row>
    <row r="26" s="1" customFormat="1" ht="15" spans="1:146">
      <c r="A26" s="30" t="s">
        <v>76</v>
      </c>
      <c r="E26" s="31" t="s">
        <v>77</v>
      </c>
      <c r="G26" s="26"/>
      <c r="H26" s="28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</row>
  </sheetData>
  <sortState ref="A9:J15">
    <sortCondition ref="B9"/>
  </sortState>
  <mergeCells count="3">
    <mergeCell ref="I3:J3"/>
    <mergeCell ref="A7:J7"/>
    <mergeCell ref="A24:J24"/>
  </mergeCells>
  <pageMargins left="0.75" right="0.75" top="1" bottom="1" header="0.5" footer="0.5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23"/>
  <sheetViews>
    <sheetView workbookViewId="0">
      <selection activeCell="K13" sqref="K13"/>
    </sheetView>
  </sheetViews>
  <sheetFormatPr defaultColWidth="8.8" defaultRowHeight="14.25"/>
  <sheetData>
    <row r="1" s="1" customFormat="1" ht="40" customHeight="1" spans="1:8">
      <c r="A1" s="6"/>
      <c r="B1" s="6"/>
      <c r="C1" s="6"/>
      <c r="D1" s="6"/>
      <c r="E1" s="6"/>
      <c r="F1" s="6"/>
      <c r="G1" s="6"/>
      <c r="H1" s="6"/>
    </row>
    <row r="2" s="2" customFormat="1" ht="12.75" spans="1:8">
      <c r="A2" s="7"/>
      <c r="B2" s="7"/>
      <c r="C2" s="7"/>
      <c r="D2" s="7"/>
      <c r="E2" s="7"/>
      <c r="F2" s="7"/>
      <c r="G2" s="7"/>
      <c r="H2" s="7"/>
    </row>
    <row r="3" s="1" customFormat="1" ht="18" customHeight="1" spans="1:196">
      <c r="A3" s="7"/>
      <c r="B3" s="7"/>
      <c r="C3" s="7"/>
      <c r="D3" s="7"/>
      <c r="E3" s="7"/>
      <c r="F3" s="7"/>
      <c r="G3" s="7"/>
      <c r="H3" s="7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</row>
    <row r="4" s="3" customFormat="1" ht="17" customHeight="1" spans="1:196">
      <c r="A4" s="8" t="s">
        <v>0</v>
      </c>
      <c r="B4" s="9" t="s">
        <v>1</v>
      </c>
      <c r="C4" s="9"/>
      <c r="D4" s="9"/>
      <c r="E4" s="10"/>
      <c r="F4" s="11"/>
      <c r="G4" s="8" t="s">
        <v>2</v>
      </c>
      <c r="H4" s="12" t="s">
        <v>3</v>
      </c>
      <c r="I4" s="9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</row>
    <row r="5" s="3" customFormat="1" ht="17" customHeight="1" spans="1:196">
      <c r="A5" s="8" t="s">
        <v>4</v>
      </c>
      <c r="B5" s="9" t="s">
        <v>5</v>
      </c>
      <c r="C5" s="9"/>
      <c r="D5" s="9"/>
      <c r="E5" s="10"/>
      <c r="F5" s="11"/>
      <c r="G5" s="8" t="s">
        <v>6</v>
      </c>
      <c r="H5" s="13">
        <v>13633926127</v>
      </c>
      <c r="I5" s="1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</row>
    <row r="6" s="3" customFormat="1" ht="17" customHeight="1" spans="1:196">
      <c r="A6" s="14" t="s">
        <v>7</v>
      </c>
      <c r="B6" s="9" t="s">
        <v>8</v>
      </c>
      <c r="C6" s="9"/>
      <c r="D6" s="9"/>
      <c r="E6" s="10"/>
      <c r="F6" s="11"/>
      <c r="G6" s="14" t="s">
        <v>9</v>
      </c>
      <c r="H6" s="12" t="s">
        <v>10</v>
      </c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</row>
    <row r="7" s="3" customFormat="1" ht="17" customHeight="1" spans="1:196">
      <c r="A7" s="8" t="s">
        <v>6</v>
      </c>
      <c r="B7" s="15" t="s">
        <v>11</v>
      </c>
      <c r="E7" s="16"/>
      <c r="F7" s="11"/>
      <c r="G7" s="8" t="s">
        <v>12</v>
      </c>
      <c r="H7" s="17" t="s">
        <v>13</v>
      </c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</row>
    <row r="8" s="4" customFormat="1" ht="26.25" customHeight="1" spans="1:8">
      <c r="A8" s="18" t="s">
        <v>114</v>
      </c>
      <c r="B8" s="18"/>
      <c r="C8" s="18"/>
      <c r="D8" s="18"/>
      <c r="E8" s="18"/>
      <c r="F8" s="18"/>
      <c r="G8" s="18"/>
      <c r="H8" s="18"/>
    </row>
    <row r="9" s="5" customFormat="1" ht="21" customHeight="1" spans="1:8">
      <c r="A9" s="19" t="s">
        <v>15</v>
      </c>
      <c r="B9" s="19" t="s">
        <v>79</v>
      </c>
      <c r="C9" s="19" t="s">
        <v>80</v>
      </c>
      <c r="D9" s="19" t="s">
        <v>81</v>
      </c>
      <c r="E9" s="19" t="s">
        <v>82</v>
      </c>
      <c r="F9" s="20" t="s">
        <v>83</v>
      </c>
      <c r="G9" s="20"/>
      <c r="H9" s="20"/>
    </row>
    <row r="10" s="3" customFormat="1" ht="16" customHeight="1" spans="1:8">
      <c r="A10" s="19" t="s">
        <v>84</v>
      </c>
      <c r="B10" s="19" t="s">
        <v>85</v>
      </c>
      <c r="C10" s="19" t="s">
        <v>86</v>
      </c>
      <c r="D10" s="19" t="s">
        <v>87</v>
      </c>
      <c r="E10" s="19" t="s">
        <v>88</v>
      </c>
      <c r="F10" s="21" t="s">
        <v>21</v>
      </c>
      <c r="G10" s="21" t="s">
        <v>89</v>
      </c>
      <c r="H10" s="21" t="s">
        <v>90</v>
      </c>
    </row>
    <row r="11" s="3" customFormat="1" ht="16" customHeight="1" spans="1:8">
      <c r="A11" s="19" t="s">
        <v>107</v>
      </c>
      <c r="B11" s="19">
        <v>1080</v>
      </c>
      <c r="C11" s="22">
        <v>0.66</v>
      </c>
      <c r="D11" s="19">
        <v>300</v>
      </c>
      <c r="E11" s="19">
        <v>49.5</v>
      </c>
      <c r="F11" s="21">
        <f>G11/13.12</f>
        <v>1.5625</v>
      </c>
      <c r="G11" s="74">
        <v>20.5</v>
      </c>
      <c r="H11" s="53">
        <f>G11*D11</f>
        <v>6150</v>
      </c>
    </row>
    <row r="12" s="3" customFormat="1" ht="16" customHeight="1" spans="1:8">
      <c r="A12" s="19" t="s">
        <v>107</v>
      </c>
      <c r="B12" s="19">
        <v>1080</v>
      </c>
      <c r="C12" s="22">
        <v>0.67</v>
      </c>
      <c r="D12" s="19">
        <v>300</v>
      </c>
      <c r="E12" s="19">
        <v>49.5</v>
      </c>
      <c r="F12" s="21">
        <f t="shared" ref="F12:F15" si="0">G12/13.12</f>
        <v>1.64710365853659</v>
      </c>
      <c r="G12" s="74">
        <v>21.61</v>
      </c>
      <c r="H12" s="53">
        <f t="shared" ref="H12:H15" si="1">G12*D12</f>
        <v>6483</v>
      </c>
    </row>
    <row r="13" s="3" customFormat="1" ht="16" customHeight="1" spans="1:8">
      <c r="A13" s="19" t="s">
        <v>107</v>
      </c>
      <c r="B13" s="19">
        <v>1080</v>
      </c>
      <c r="C13" s="22">
        <v>0.71</v>
      </c>
      <c r="D13" s="19">
        <v>300</v>
      </c>
      <c r="E13" s="19">
        <v>49.5</v>
      </c>
      <c r="F13" s="21">
        <f t="shared" si="0"/>
        <v>1.69664634146341</v>
      </c>
      <c r="G13" s="74">
        <v>22.26</v>
      </c>
      <c r="H13" s="53">
        <f t="shared" si="1"/>
        <v>6678</v>
      </c>
    </row>
    <row r="14" s="3" customFormat="1" ht="16" customHeight="1" spans="1:8">
      <c r="A14" s="19" t="s">
        <v>107</v>
      </c>
      <c r="B14" s="19">
        <v>106</v>
      </c>
      <c r="C14" s="22">
        <v>0.78</v>
      </c>
      <c r="D14" s="19">
        <v>300</v>
      </c>
      <c r="E14" s="19">
        <v>49.5</v>
      </c>
      <c r="F14" s="21">
        <f t="shared" si="0"/>
        <v>1.64862804878049</v>
      </c>
      <c r="G14" s="74">
        <v>21.63</v>
      </c>
      <c r="H14" s="53">
        <f t="shared" si="1"/>
        <v>6489</v>
      </c>
    </row>
    <row r="15" customFormat="1" spans="1:8">
      <c r="A15" s="19" t="s">
        <v>107</v>
      </c>
      <c r="B15" s="19">
        <v>2116</v>
      </c>
      <c r="C15" s="22">
        <v>0.78</v>
      </c>
      <c r="D15" s="19">
        <v>300</v>
      </c>
      <c r="E15" s="19">
        <v>49.5</v>
      </c>
      <c r="F15" s="21">
        <f t="shared" si="0"/>
        <v>1.52439024390244</v>
      </c>
      <c r="G15" s="74">
        <v>20</v>
      </c>
      <c r="H15" s="53">
        <f t="shared" si="1"/>
        <v>6000</v>
      </c>
    </row>
    <row r="16" customFormat="1"/>
    <row r="19" s="3" customFormat="1" spans="1:8">
      <c r="A19" s="9" t="s">
        <v>72</v>
      </c>
      <c r="E19" s="25"/>
      <c r="F19" s="11"/>
      <c r="H19" s="11"/>
    </row>
    <row r="20" s="1" customFormat="1" ht="15" spans="1:8">
      <c r="A20" s="9" t="s">
        <v>73</v>
      </c>
      <c r="B20" s="3"/>
      <c r="C20" s="3"/>
      <c r="D20" s="3"/>
      <c r="E20" s="25"/>
      <c r="F20" s="26"/>
      <c r="H20" s="26"/>
    </row>
    <row r="21" s="1" customFormat="1" ht="15" spans="1:8">
      <c r="A21" s="9" t="s">
        <v>74</v>
      </c>
      <c r="B21" s="3"/>
      <c r="C21" s="3"/>
      <c r="D21" s="3"/>
      <c r="E21" s="25"/>
      <c r="F21" s="26"/>
      <c r="H21" s="26"/>
    </row>
    <row r="22" s="1" customFormat="1" ht="23.25" spans="1:8">
      <c r="A22" s="27"/>
      <c r="B22" s="27"/>
      <c r="E22" s="28"/>
      <c r="F22" s="26"/>
      <c r="G22" s="29"/>
      <c r="H22" s="26"/>
    </row>
    <row r="23" s="1" customFormat="1" ht="15" spans="1:194">
      <c r="A23" s="30" t="s">
        <v>76</v>
      </c>
      <c r="E23" s="31" t="s">
        <v>77</v>
      </c>
      <c r="G23" s="26"/>
      <c r="H23" s="28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</row>
  </sheetData>
  <mergeCells count="6">
    <mergeCell ref="A1:H1"/>
    <mergeCell ref="A2:H2"/>
    <mergeCell ref="A3:H3"/>
    <mergeCell ref="H5:I5"/>
    <mergeCell ref="A8:H8"/>
    <mergeCell ref="F9:H9"/>
  </mergeCells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K66"/>
  <sheetViews>
    <sheetView workbookViewId="0">
      <selection activeCell="M57" sqref="M57"/>
    </sheetView>
  </sheetViews>
  <sheetFormatPr defaultColWidth="8" defaultRowHeight="15"/>
  <cols>
    <col min="1" max="1" width="8.25" style="1" customWidth="1"/>
    <col min="2" max="2" width="8.58333333333333" style="1" customWidth="1"/>
    <col min="3" max="4" width="8.25" style="1" customWidth="1"/>
    <col min="5" max="5" width="8.25" style="28" customWidth="1"/>
    <col min="6" max="6" width="11.7666666666667" style="26" customWidth="1"/>
    <col min="7" max="7" width="8.25" style="1" customWidth="1"/>
    <col min="8" max="8" width="8.25" style="26" customWidth="1"/>
    <col min="9" max="9" width="8.25" style="28" customWidth="1"/>
    <col min="10" max="10" width="8.25" style="26" customWidth="1"/>
    <col min="11" max="177" width="7.83333333333333" style="1" customWidth="1"/>
    <col min="178" max="178" width="7.83333333333333" style="1"/>
    <col min="179" max="16384" width="8" style="1"/>
  </cols>
  <sheetData>
    <row r="1" s="1" customFormat="1" ht="40" customHeight="1" spans="1:10">
      <c r="A1" s="34"/>
      <c r="B1" s="34"/>
      <c r="C1" s="34"/>
      <c r="D1" s="34"/>
      <c r="E1" s="35"/>
      <c r="F1" s="36"/>
      <c r="G1" s="34"/>
      <c r="H1" s="36"/>
      <c r="I1" s="35"/>
      <c r="J1" s="36"/>
    </row>
    <row r="2" s="2" customFormat="1" ht="12.75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1" customFormat="1" ht="18" customHeight="1" spans="1:167">
      <c r="A3" s="7"/>
      <c r="B3" s="7"/>
      <c r="C3" s="7"/>
      <c r="D3" s="7"/>
      <c r="E3" s="7"/>
      <c r="F3" s="7"/>
      <c r="G3" s="7"/>
      <c r="H3" s="7"/>
      <c r="I3" s="7"/>
      <c r="J3" s="7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</row>
    <row r="4" s="3" customFormat="1" ht="17" customHeight="1" spans="1:166">
      <c r="A4" s="8" t="s">
        <v>0</v>
      </c>
      <c r="B4" s="9" t="s">
        <v>1</v>
      </c>
      <c r="C4" s="9"/>
      <c r="D4" s="9"/>
      <c r="E4" s="10"/>
      <c r="H4" s="8" t="s">
        <v>2</v>
      </c>
      <c r="I4" s="12" t="s">
        <v>3</v>
      </c>
      <c r="J4" s="9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</row>
    <row r="5" s="3" customFormat="1" ht="17" customHeight="1" spans="1:166">
      <c r="A5" s="8" t="s">
        <v>4</v>
      </c>
      <c r="B5" s="9" t="s">
        <v>5</v>
      </c>
      <c r="C5" s="9"/>
      <c r="D5" s="9"/>
      <c r="E5" s="10"/>
      <c r="H5" s="8" t="s">
        <v>6</v>
      </c>
      <c r="I5" s="13">
        <v>13633926127</v>
      </c>
      <c r="J5" s="1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</row>
    <row r="6" s="3" customFormat="1" ht="17" customHeight="1" spans="1:166">
      <c r="A6" s="14" t="s">
        <v>7</v>
      </c>
      <c r="B6" s="9" t="s">
        <v>8</v>
      </c>
      <c r="C6" s="9"/>
      <c r="D6" s="9"/>
      <c r="E6" s="10"/>
      <c r="H6" s="14" t="s">
        <v>9</v>
      </c>
      <c r="I6" s="12" t="s">
        <v>10</v>
      </c>
      <c r="J6" s="9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</row>
    <row r="7" s="3" customFormat="1" ht="17" customHeight="1" spans="1:166">
      <c r="A7" s="8" t="s">
        <v>6</v>
      </c>
      <c r="B7" s="15" t="s">
        <v>11</v>
      </c>
      <c r="H7" s="8" t="s">
        <v>12</v>
      </c>
      <c r="I7" s="17" t="s">
        <v>13</v>
      </c>
      <c r="J7" s="9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</row>
    <row r="8" s="3" customFormat="1" ht="17" customHeight="1" spans="1:166">
      <c r="A8" s="9"/>
      <c r="B8" s="15"/>
      <c r="H8" s="9"/>
      <c r="I8" s="49"/>
      <c r="J8" s="9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</row>
    <row r="9" s="4" customFormat="1" ht="26.25" customHeight="1" spans="1:10">
      <c r="A9" s="18" t="s">
        <v>115</v>
      </c>
      <c r="B9" s="18"/>
      <c r="C9" s="18"/>
      <c r="D9" s="18"/>
      <c r="E9" s="18"/>
      <c r="F9" s="18"/>
      <c r="G9" s="18"/>
      <c r="H9" s="18"/>
      <c r="I9" s="18"/>
      <c r="J9" s="18"/>
    </row>
    <row r="10" s="1" customFormat="1" spans="1:10">
      <c r="A10" s="37" t="s">
        <v>15</v>
      </c>
      <c r="B10" s="37" t="s">
        <v>16</v>
      </c>
      <c r="C10" s="37" t="s">
        <v>17</v>
      </c>
      <c r="D10" s="38" t="s">
        <v>18</v>
      </c>
      <c r="E10" s="39" t="s">
        <v>19</v>
      </c>
      <c r="F10" s="37" t="s">
        <v>20</v>
      </c>
      <c r="G10" s="40" t="s">
        <v>21</v>
      </c>
      <c r="H10" s="41" t="s">
        <v>22</v>
      </c>
      <c r="I10" s="41" t="s">
        <v>23</v>
      </c>
      <c r="J10" s="41" t="s">
        <v>24</v>
      </c>
    </row>
    <row r="11" s="1" customFormat="1" spans="1:10">
      <c r="A11" s="37" t="s">
        <v>116</v>
      </c>
      <c r="B11" s="54">
        <v>0.075</v>
      </c>
      <c r="C11" s="55">
        <v>3</v>
      </c>
      <c r="D11" s="38" t="s">
        <v>27</v>
      </c>
      <c r="E11" s="39" t="s">
        <v>28</v>
      </c>
      <c r="F11" s="37" t="s">
        <v>102</v>
      </c>
      <c r="G11" s="40">
        <f>ROUND(I11/13.33,3)</f>
        <v>10.622</v>
      </c>
      <c r="H11" s="58">
        <f>ROUND(G11*12,2)</f>
        <v>127.46</v>
      </c>
      <c r="I11" s="58">
        <v>141.5880059616</v>
      </c>
      <c r="J11" s="58">
        <f>ROUND(G11*14,2)</f>
        <v>148.71</v>
      </c>
    </row>
    <row r="12" s="1" customFormat="1" spans="1:10">
      <c r="A12" s="37" t="s">
        <v>116</v>
      </c>
      <c r="B12" s="54" t="s">
        <v>26</v>
      </c>
      <c r="C12" s="55">
        <v>4</v>
      </c>
      <c r="D12" s="38" t="s">
        <v>27</v>
      </c>
      <c r="E12" s="39" t="s">
        <v>28</v>
      </c>
      <c r="F12" s="37" t="s">
        <v>29</v>
      </c>
      <c r="G12" s="40">
        <f t="shared" ref="G12:G43" si="0">ROUND(I12/13.33,3)</f>
        <v>10.355</v>
      </c>
      <c r="H12" s="58">
        <f t="shared" ref="H12:H43" si="1">ROUND(G12*12,2)</f>
        <v>124.26</v>
      </c>
      <c r="I12" s="58">
        <v>138.031560216</v>
      </c>
      <c r="J12" s="58">
        <f t="shared" ref="J12:J43" si="2">ROUND(G12*14,2)</f>
        <v>144.97</v>
      </c>
    </row>
    <row r="13" s="1" customFormat="1" spans="1:10">
      <c r="A13" s="37" t="s">
        <v>116</v>
      </c>
      <c r="B13" s="54" t="s">
        <v>30</v>
      </c>
      <c r="C13" s="55">
        <v>5</v>
      </c>
      <c r="D13" s="38" t="s">
        <v>27</v>
      </c>
      <c r="E13" s="39" t="s">
        <v>28</v>
      </c>
      <c r="F13" s="37" t="s">
        <v>29</v>
      </c>
      <c r="G13" s="40">
        <f t="shared" si="0"/>
        <v>10.355</v>
      </c>
      <c r="H13" s="58">
        <f t="shared" si="1"/>
        <v>124.26</v>
      </c>
      <c r="I13" s="58">
        <v>138.031560216</v>
      </c>
      <c r="J13" s="58">
        <f t="shared" si="2"/>
        <v>144.97</v>
      </c>
    </row>
    <row r="14" s="1" customFormat="1" spans="1:10">
      <c r="A14" s="37" t="s">
        <v>116</v>
      </c>
      <c r="B14" s="54" t="s">
        <v>31</v>
      </c>
      <c r="C14" s="55">
        <v>6</v>
      </c>
      <c r="D14" s="38" t="s">
        <v>27</v>
      </c>
      <c r="E14" s="39" t="s">
        <v>28</v>
      </c>
      <c r="F14" s="37" t="s">
        <v>32</v>
      </c>
      <c r="G14" s="40">
        <f t="shared" si="0"/>
        <v>10.355</v>
      </c>
      <c r="H14" s="58">
        <f t="shared" si="1"/>
        <v>124.26</v>
      </c>
      <c r="I14" s="58">
        <v>138.031560216</v>
      </c>
      <c r="J14" s="58">
        <f t="shared" si="2"/>
        <v>144.97</v>
      </c>
    </row>
    <row r="15" s="1" customFormat="1" spans="1:10">
      <c r="A15" s="37" t="s">
        <v>116</v>
      </c>
      <c r="B15" s="54">
        <v>0.18</v>
      </c>
      <c r="C15" s="55">
        <v>7</v>
      </c>
      <c r="D15" s="38" t="s">
        <v>27</v>
      </c>
      <c r="E15" s="39" t="s">
        <v>28</v>
      </c>
      <c r="F15" s="37" t="s">
        <v>35</v>
      </c>
      <c r="G15" s="40">
        <f t="shared" si="0"/>
        <v>10.355</v>
      </c>
      <c r="H15" s="58">
        <f t="shared" si="1"/>
        <v>124.26</v>
      </c>
      <c r="I15" s="58">
        <v>138.031560216</v>
      </c>
      <c r="J15" s="58">
        <f t="shared" si="2"/>
        <v>144.97</v>
      </c>
    </row>
    <row r="16" s="1" customFormat="1" spans="1:10">
      <c r="A16" s="37" t="s">
        <v>116</v>
      </c>
      <c r="B16" s="54" t="s">
        <v>34</v>
      </c>
      <c r="C16" s="55">
        <v>8</v>
      </c>
      <c r="D16" s="38" t="s">
        <v>27</v>
      </c>
      <c r="E16" s="39" t="s">
        <v>28</v>
      </c>
      <c r="F16" s="37" t="s">
        <v>35</v>
      </c>
      <c r="G16" s="40">
        <f t="shared" si="0"/>
        <v>10.355</v>
      </c>
      <c r="H16" s="58">
        <f t="shared" si="1"/>
        <v>124.26</v>
      </c>
      <c r="I16" s="58">
        <v>138.031560216</v>
      </c>
      <c r="J16" s="58">
        <f t="shared" si="2"/>
        <v>144.97</v>
      </c>
    </row>
    <row r="17" s="1" customFormat="1" spans="1:10">
      <c r="A17" s="37" t="s">
        <v>116</v>
      </c>
      <c r="B17" s="54" t="s">
        <v>37</v>
      </c>
      <c r="C17" s="55">
        <v>10</v>
      </c>
      <c r="D17" s="38" t="s">
        <v>27</v>
      </c>
      <c r="E17" s="39" t="s">
        <v>28</v>
      </c>
      <c r="F17" s="37" t="s">
        <v>36</v>
      </c>
      <c r="G17" s="40">
        <f t="shared" si="0"/>
        <v>12.13</v>
      </c>
      <c r="H17" s="58">
        <f t="shared" si="1"/>
        <v>145.56</v>
      </c>
      <c r="I17" s="58">
        <v>161.6986700208</v>
      </c>
      <c r="J17" s="58">
        <f t="shared" si="2"/>
        <v>169.82</v>
      </c>
    </row>
    <row r="18" s="1" customFormat="1" spans="1:10">
      <c r="A18" s="37" t="s">
        <v>116</v>
      </c>
      <c r="B18" s="54" t="s">
        <v>38</v>
      </c>
      <c r="C18" s="55">
        <v>12</v>
      </c>
      <c r="D18" s="38" t="s">
        <v>27</v>
      </c>
      <c r="E18" s="39" t="s">
        <v>28</v>
      </c>
      <c r="F18" s="37" t="s">
        <v>39</v>
      </c>
      <c r="G18" s="40">
        <f t="shared" si="0"/>
        <v>12.426</v>
      </c>
      <c r="H18" s="58">
        <f t="shared" si="1"/>
        <v>149.11</v>
      </c>
      <c r="I18" s="58">
        <v>165.6378722592</v>
      </c>
      <c r="J18" s="58">
        <f t="shared" si="2"/>
        <v>173.96</v>
      </c>
    </row>
    <row r="19" s="1" customFormat="1" spans="1:10">
      <c r="A19" s="37" t="s">
        <v>116</v>
      </c>
      <c r="B19" s="54" t="s">
        <v>41</v>
      </c>
      <c r="C19" s="55">
        <v>14</v>
      </c>
      <c r="D19" s="38" t="s">
        <v>27</v>
      </c>
      <c r="E19" s="39" t="s">
        <v>28</v>
      </c>
      <c r="F19" s="37" t="s">
        <v>42</v>
      </c>
      <c r="G19" s="40">
        <f t="shared" si="0"/>
        <v>11.66</v>
      </c>
      <c r="H19" s="58">
        <f t="shared" si="1"/>
        <v>139.92</v>
      </c>
      <c r="I19" s="58">
        <v>155.43042172416</v>
      </c>
      <c r="J19" s="58">
        <f t="shared" si="2"/>
        <v>163.24</v>
      </c>
    </row>
    <row r="20" s="1" customFormat="1" spans="1:10">
      <c r="A20" s="37" t="s">
        <v>116</v>
      </c>
      <c r="B20" s="54" t="s">
        <v>43</v>
      </c>
      <c r="C20" s="55">
        <v>15</v>
      </c>
      <c r="D20" s="38" t="s">
        <v>27</v>
      </c>
      <c r="E20" s="39" t="s">
        <v>28</v>
      </c>
      <c r="F20" s="37" t="s">
        <v>42</v>
      </c>
      <c r="G20" s="40">
        <f t="shared" si="0"/>
        <v>11.774</v>
      </c>
      <c r="H20" s="58">
        <f t="shared" si="1"/>
        <v>141.29</v>
      </c>
      <c r="I20" s="58">
        <v>156.94192495872</v>
      </c>
      <c r="J20" s="58">
        <f t="shared" si="2"/>
        <v>164.84</v>
      </c>
    </row>
    <row r="21" s="1" customFormat="1" spans="1:10">
      <c r="A21" s="37" t="s">
        <v>116</v>
      </c>
      <c r="B21" s="54" t="s">
        <v>44</v>
      </c>
      <c r="C21" s="55">
        <v>16</v>
      </c>
      <c r="D21" s="38" t="s">
        <v>27</v>
      </c>
      <c r="E21" s="39" t="s">
        <v>28</v>
      </c>
      <c r="F21" s="37" t="s">
        <v>42</v>
      </c>
      <c r="G21" s="40">
        <f t="shared" si="0"/>
        <v>11.789</v>
      </c>
      <c r="H21" s="58">
        <f t="shared" si="1"/>
        <v>141.47</v>
      </c>
      <c r="I21" s="58">
        <v>157.15144025856</v>
      </c>
      <c r="J21" s="58">
        <f t="shared" si="2"/>
        <v>165.05</v>
      </c>
    </row>
    <row r="22" s="1" customFormat="1" spans="1:10">
      <c r="A22" s="37" t="s">
        <v>116</v>
      </c>
      <c r="B22" s="54">
        <v>0.45</v>
      </c>
      <c r="C22" s="55">
        <v>16</v>
      </c>
      <c r="D22" s="38" t="s">
        <v>27</v>
      </c>
      <c r="E22" s="39" t="s">
        <v>28</v>
      </c>
      <c r="F22" s="37" t="s">
        <v>45</v>
      </c>
      <c r="G22" s="40">
        <f t="shared" si="0"/>
        <v>12.725</v>
      </c>
      <c r="H22" s="58">
        <f t="shared" si="1"/>
        <v>152.7</v>
      </c>
      <c r="I22" s="58">
        <v>169.6187091456</v>
      </c>
      <c r="J22" s="58">
        <f t="shared" si="2"/>
        <v>178.15</v>
      </c>
    </row>
    <row r="23" s="1" customFormat="1" spans="1:10">
      <c r="A23" s="37" t="s">
        <v>116</v>
      </c>
      <c r="B23" s="54">
        <v>0.5</v>
      </c>
      <c r="C23" s="55">
        <v>20</v>
      </c>
      <c r="D23" s="38" t="s">
        <v>27</v>
      </c>
      <c r="E23" s="39" t="s">
        <v>28</v>
      </c>
      <c r="F23" s="37" t="s">
        <v>46</v>
      </c>
      <c r="G23" s="40">
        <f t="shared" si="0"/>
        <v>12.96</v>
      </c>
      <c r="H23" s="58">
        <f t="shared" si="1"/>
        <v>155.52</v>
      </c>
      <c r="I23" s="58">
        <v>172.759796352</v>
      </c>
      <c r="J23" s="58">
        <f t="shared" si="2"/>
        <v>181.44</v>
      </c>
    </row>
    <row r="24" s="1" customFormat="1" spans="1:10">
      <c r="A24" s="37" t="s">
        <v>116</v>
      </c>
      <c r="B24" s="54" t="s">
        <v>47</v>
      </c>
      <c r="C24" s="55">
        <v>24</v>
      </c>
      <c r="D24" s="38" t="s">
        <v>27</v>
      </c>
      <c r="E24" s="39" t="s">
        <v>28</v>
      </c>
      <c r="F24" s="37" t="s">
        <v>48</v>
      </c>
      <c r="G24" s="40">
        <f t="shared" si="0"/>
        <v>12.96</v>
      </c>
      <c r="H24" s="58">
        <f t="shared" si="1"/>
        <v>155.52</v>
      </c>
      <c r="I24" s="58">
        <v>172.759796352</v>
      </c>
      <c r="J24" s="58">
        <f t="shared" si="2"/>
        <v>181.44</v>
      </c>
    </row>
    <row r="25" s="1" customFormat="1" spans="1:10">
      <c r="A25" s="37" t="s">
        <v>116</v>
      </c>
      <c r="B25" s="54">
        <v>0.7</v>
      </c>
      <c r="C25" s="55">
        <v>28</v>
      </c>
      <c r="D25" s="38" t="s">
        <v>27</v>
      </c>
      <c r="E25" s="39" t="s">
        <v>28</v>
      </c>
      <c r="F25" s="37" t="s">
        <v>49</v>
      </c>
      <c r="G25" s="40">
        <f t="shared" si="0"/>
        <v>13.88</v>
      </c>
      <c r="H25" s="58">
        <f t="shared" si="1"/>
        <v>166.56</v>
      </c>
      <c r="I25" s="58">
        <v>185.01697513728</v>
      </c>
      <c r="J25" s="58">
        <f t="shared" si="2"/>
        <v>194.32</v>
      </c>
    </row>
    <row r="26" s="1" customFormat="1" spans="1:10">
      <c r="A26" s="37" t="s">
        <v>116</v>
      </c>
      <c r="B26" s="54">
        <v>0.8</v>
      </c>
      <c r="C26" s="55">
        <v>32</v>
      </c>
      <c r="D26" s="38" t="s">
        <v>27</v>
      </c>
      <c r="E26" s="39" t="s">
        <v>28</v>
      </c>
      <c r="F26" s="37" t="s">
        <v>49</v>
      </c>
      <c r="G26" s="40">
        <f t="shared" si="0"/>
        <v>14.988</v>
      </c>
      <c r="H26" s="58">
        <f t="shared" si="1"/>
        <v>179.86</v>
      </c>
      <c r="I26" s="58">
        <v>199.787803776</v>
      </c>
      <c r="J26" s="58">
        <f t="shared" si="2"/>
        <v>209.83</v>
      </c>
    </row>
    <row r="27" s="1" customFormat="1" spans="1:10">
      <c r="A27" s="37" t="s">
        <v>116</v>
      </c>
      <c r="B27" s="54">
        <v>0.9</v>
      </c>
      <c r="C27" s="55">
        <v>36</v>
      </c>
      <c r="D27" s="38" t="s">
        <v>27</v>
      </c>
      <c r="E27" s="39" t="s">
        <v>28</v>
      </c>
      <c r="F27" s="37" t="s">
        <v>50</v>
      </c>
      <c r="G27" s="40">
        <f t="shared" si="0"/>
        <v>15.768</v>
      </c>
      <c r="H27" s="58">
        <f t="shared" si="1"/>
        <v>189.22</v>
      </c>
      <c r="I27" s="58">
        <v>210.1887418752</v>
      </c>
      <c r="J27" s="58">
        <f t="shared" si="2"/>
        <v>220.75</v>
      </c>
    </row>
    <row r="28" s="1" customFormat="1" spans="1:10">
      <c r="A28" s="37" t="s">
        <v>116</v>
      </c>
      <c r="B28" s="54" t="s">
        <v>51</v>
      </c>
      <c r="C28" s="55">
        <v>39</v>
      </c>
      <c r="D28" s="38" t="s">
        <v>27</v>
      </c>
      <c r="E28" s="39" t="s">
        <v>28</v>
      </c>
      <c r="F28" s="37" t="s">
        <v>52</v>
      </c>
      <c r="G28" s="40">
        <f t="shared" si="0"/>
        <v>15.94</v>
      </c>
      <c r="H28" s="58">
        <f t="shared" si="1"/>
        <v>191.28</v>
      </c>
      <c r="I28" s="58">
        <v>212.480661888</v>
      </c>
      <c r="J28" s="58">
        <f t="shared" si="2"/>
        <v>223.16</v>
      </c>
    </row>
    <row r="29" s="1" customFormat="1" spans="1:10">
      <c r="A29" s="37" t="s">
        <v>116</v>
      </c>
      <c r="B29" s="54" t="s">
        <v>53</v>
      </c>
      <c r="C29" s="55">
        <v>43</v>
      </c>
      <c r="D29" s="38" t="s">
        <v>27</v>
      </c>
      <c r="E29" s="39" t="s">
        <v>28</v>
      </c>
      <c r="F29" s="37" t="s">
        <v>54</v>
      </c>
      <c r="G29" s="40">
        <f t="shared" si="0"/>
        <v>16.529</v>
      </c>
      <c r="H29" s="58">
        <f t="shared" si="1"/>
        <v>198.35</v>
      </c>
      <c r="I29" s="58">
        <v>220.337485632</v>
      </c>
      <c r="J29" s="58">
        <f t="shared" si="2"/>
        <v>231.41</v>
      </c>
    </row>
    <row r="30" s="1" customFormat="1" spans="1:10">
      <c r="A30" s="37" t="s">
        <v>116</v>
      </c>
      <c r="B30" s="54" t="s">
        <v>55</v>
      </c>
      <c r="C30" s="55">
        <v>47</v>
      </c>
      <c r="D30" s="38" t="s">
        <v>27</v>
      </c>
      <c r="E30" s="39" t="s">
        <v>28</v>
      </c>
      <c r="F30" s="37" t="s">
        <v>54</v>
      </c>
      <c r="G30" s="40">
        <f t="shared" si="0"/>
        <v>18.74</v>
      </c>
      <c r="H30" s="58">
        <f t="shared" si="1"/>
        <v>224.88</v>
      </c>
      <c r="I30" s="58">
        <v>249.807888</v>
      </c>
      <c r="J30" s="58">
        <f t="shared" si="2"/>
        <v>262.36</v>
      </c>
    </row>
    <row r="31" s="1" customFormat="1" spans="1:10">
      <c r="A31" s="37" t="s">
        <v>116</v>
      </c>
      <c r="B31" s="54">
        <v>1.3</v>
      </c>
      <c r="C31" s="55">
        <v>51</v>
      </c>
      <c r="D31" s="38" t="s">
        <v>27</v>
      </c>
      <c r="E31" s="39" t="s">
        <v>28</v>
      </c>
      <c r="F31" s="37" t="s">
        <v>56</v>
      </c>
      <c r="G31" s="40">
        <f t="shared" si="0"/>
        <v>17.874</v>
      </c>
      <c r="H31" s="58">
        <f t="shared" si="1"/>
        <v>214.49</v>
      </c>
      <c r="I31" s="58">
        <v>238.254369408</v>
      </c>
      <c r="J31" s="58">
        <f t="shared" si="2"/>
        <v>250.24</v>
      </c>
    </row>
    <row r="32" s="1" customFormat="1" spans="1:10">
      <c r="A32" s="37" t="s">
        <v>116</v>
      </c>
      <c r="B32" s="54" t="s">
        <v>57</v>
      </c>
      <c r="C32" s="55">
        <v>55</v>
      </c>
      <c r="D32" s="38" t="s">
        <v>27</v>
      </c>
      <c r="E32" s="39" t="s">
        <v>28</v>
      </c>
      <c r="F32" s="37" t="s">
        <v>56</v>
      </c>
      <c r="G32" s="40">
        <f t="shared" si="0"/>
        <v>17.874</v>
      </c>
      <c r="H32" s="58">
        <f t="shared" si="1"/>
        <v>214.49</v>
      </c>
      <c r="I32" s="58">
        <v>238.254369408</v>
      </c>
      <c r="J32" s="58">
        <f t="shared" si="2"/>
        <v>250.24</v>
      </c>
    </row>
    <row r="33" s="1" customFormat="1" spans="1:10">
      <c r="A33" s="37" t="s">
        <v>116</v>
      </c>
      <c r="B33" s="54" t="s">
        <v>58</v>
      </c>
      <c r="C33" s="55">
        <v>59</v>
      </c>
      <c r="D33" s="38" t="s">
        <v>27</v>
      </c>
      <c r="E33" s="39" t="s">
        <v>28</v>
      </c>
      <c r="F33" s="37" t="s">
        <v>59</v>
      </c>
      <c r="G33" s="40">
        <f t="shared" si="0"/>
        <v>19.3</v>
      </c>
      <c r="H33" s="58">
        <f t="shared" si="1"/>
        <v>231.6</v>
      </c>
      <c r="I33" s="58">
        <v>257.265942912</v>
      </c>
      <c r="J33" s="58">
        <f t="shared" si="2"/>
        <v>270.2</v>
      </c>
    </row>
    <row r="34" s="1" customFormat="1" spans="1:10">
      <c r="A34" s="37" t="s">
        <v>116</v>
      </c>
      <c r="B34" s="54" t="s">
        <v>60</v>
      </c>
      <c r="C34" s="55">
        <v>63</v>
      </c>
      <c r="D34" s="38" t="s">
        <v>27</v>
      </c>
      <c r="E34" s="39" t="s">
        <v>28</v>
      </c>
      <c r="F34" s="37" t="s">
        <v>59</v>
      </c>
      <c r="G34" s="40">
        <f t="shared" si="0"/>
        <v>19.55</v>
      </c>
      <c r="H34" s="58">
        <f t="shared" si="1"/>
        <v>234.6</v>
      </c>
      <c r="I34" s="58">
        <v>260.605439424</v>
      </c>
      <c r="J34" s="58">
        <f t="shared" si="2"/>
        <v>273.7</v>
      </c>
    </row>
    <row r="35" s="1" customFormat="1" spans="1:10">
      <c r="A35" s="37" t="s">
        <v>116</v>
      </c>
      <c r="B35" s="54">
        <v>1.9</v>
      </c>
      <c r="C35" s="55">
        <v>63</v>
      </c>
      <c r="D35" s="38" t="s">
        <v>27</v>
      </c>
      <c r="E35" s="39" t="s">
        <v>28</v>
      </c>
      <c r="F35" s="37" t="s">
        <v>62</v>
      </c>
      <c r="G35" s="40">
        <f t="shared" si="0"/>
        <v>24.702</v>
      </c>
      <c r="H35" s="58">
        <f t="shared" si="1"/>
        <v>296.42</v>
      </c>
      <c r="I35" s="58">
        <v>329.2793856</v>
      </c>
      <c r="J35" s="58">
        <f t="shared" si="2"/>
        <v>345.83</v>
      </c>
    </row>
    <row r="36" s="1" customFormat="1" spans="1:10">
      <c r="A36" s="37" t="s">
        <v>116</v>
      </c>
      <c r="B36" s="54" t="s">
        <v>26</v>
      </c>
      <c r="C36" s="55">
        <v>4</v>
      </c>
      <c r="D36" s="38" t="s">
        <v>70</v>
      </c>
      <c r="E36" s="39" t="s">
        <v>28</v>
      </c>
      <c r="F36" s="37" t="s">
        <v>29</v>
      </c>
      <c r="G36" s="40">
        <f t="shared" si="0"/>
        <v>6.715</v>
      </c>
      <c r="H36" s="58">
        <f t="shared" si="1"/>
        <v>80.58</v>
      </c>
      <c r="I36" s="58">
        <v>89.515904544</v>
      </c>
      <c r="J36" s="58">
        <f t="shared" si="2"/>
        <v>94.01</v>
      </c>
    </row>
    <row r="37" s="1" customFormat="1" spans="1:10">
      <c r="A37" s="37" t="s">
        <v>116</v>
      </c>
      <c r="B37" s="54" t="s">
        <v>30</v>
      </c>
      <c r="C37" s="55">
        <v>5</v>
      </c>
      <c r="D37" s="38" t="s">
        <v>70</v>
      </c>
      <c r="E37" s="39" t="s">
        <v>28</v>
      </c>
      <c r="F37" s="37" t="s">
        <v>29</v>
      </c>
      <c r="G37" s="40">
        <f t="shared" si="0"/>
        <v>6.772</v>
      </c>
      <c r="H37" s="58">
        <f t="shared" si="1"/>
        <v>81.26</v>
      </c>
      <c r="I37" s="58">
        <v>90.27661896</v>
      </c>
      <c r="J37" s="58">
        <f t="shared" si="2"/>
        <v>94.81</v>
      </c>
    </row>
    <row r="38" s="1" customFormat="1" spans="1:10">
      <c r="A38" s="37" t="s">
        <v>116</v>
      </c>
      <c r="B38" s="54" t="s">
        <v>31</v>
      </c>
      <c r="C38" s="55">
        <v>6</v>
      </c>
      <c r="D38" s="38" t="s">
        <v>70</v>
      </c>
      <c r="E38" s="39" t="s">
        <v>28</v>
      </c>
      <c r="F38" s="37" t="s">
        <v>32</v>
      </c>
      <c r="G38" s="40">
        <f t="shared" si="0"/>
        <v>6.845</v>
      </c>
      <c r="H38" s="58">
        <f t="shared" si="1"/>
        <v>82.14</v>
      </c>
      <c r="I38" s="58">
        <v>91.239155568</v>
      </c>
      <c r="J38" s="58">
        <f t="shared" si="2"/>
        <v>95.83</v>
      </c>
    </row>
    <row r="39" s="1" customFormat="1" spans="1:10">
      <c r="A39" s="37" t="s">
        <v>116</v>
      </c>
      <c r="B39" s="54" t="s">
        <v>34</v>
      </c>
      <c r="C39" s="55">
        <v>8</v>
      </c>
      <c r="D39" s="38" t="s">
        <v>70</v>
      </c>
      <c r="E39" s="39" t="s">
        <v>28</v>
      </c>
      <c r="F39" s="37" t="s">
        <v>35</v>
      </c>
      <c r="G39" s="40">
        <f t="shared" si="0"/>
        <v>6.833</v>
      </c>
      <c r="H39" s="58">
        <f t="shared" si="1"/>
        <v>82</v>
      </c>
      <c r="I39" s="58">
        <v>91.0892708352</v>
      </c>
      <c r="J39" s="58">
        <f t="shared" si="2"/>
        <v>95.66</v>
      </c>
    </row>
    <row r="40" s="1" customFormat="1" spans="1:10">
      <c r="A40" s="37" t="s">
        <v>116</v>
      </c>
      <c r="B40" s="54" t="s">
        <v>37</v>
      </c>
      <c r="C40" s="55">
        <v>10</v>
      </c>
      <c r="D40" s="38" t="s">
        <v>70</v>
      </c>
      <c r="E40" s="39" t="s">
        <v>28</v>
      </c>
      <c r="F40" s="37" t="s">
        <v>36</v>
      </c>
      <c r="G40" s="40">
        <f t="shared" si="0"/>
        <v>8.135</v>
      </c>
      <c r="H40" s="58">
        <f t="shared" si="1"/>
        <v>97.62</v>
      </c>
      <c r="I40" s="58">
        <v>108.4352531328</v>
      </c>
      <c r="J40" s="58">
        <f t="shared" si="2"/>
        <v>113.89</v>
      </c>
    </row>
    <row r="41" s="1" customFormat="1" spans="1:10">
      <c r="A41" s="37" t="s">
        <v>116</v>
      </c>
      <c r="B41" s="54" t="s">
        <v>38</v>
      </c>
      <c r="C41" s="55">
        <v>12</v>
      </c>
      <c r="D41" s="38" t="s">
        <v>70</v>
      </c>
      <c r="E41" s="39" t="s">
        <v>28</v>
      </c>
      <c r="F41" s="37" t="s">
        <v>39</v>
      </c>
      <c r="G41" s="40">
        <f t="shared" si="0"/>
        <v>8.598</v>
      </c>
      <c r="H41" s="58">
        <f t="shared" si="1"/>
        <v>103.18</v>
      </c>
      <c r="I41" s="58">
        <v>114.6084717888</v>
      </c>
      <c r="J41" s="58">
        <f t="shared" si="2"/>
        <v>120.37</v>
      </c>
    </row>
    <row r="42" s="1" customFormat="1" spans="1:10">
      <c r="A42" s="37" t="s">
        <v>116</v>
      </c>
      <c r="B42" s="54" t="s">
        <v>41</v>
      </c>
      <c r="C42" s="55">
        <v>14</v>
      </c>
      <c r="D42" s="38" t="s">
        <v>70</v>
      </c>
      <c r="E42" s="39" t="s">
        <v>28</v>
      </c>
      <c r="F42" s="37" t="s">
        <v>42</v>
      </c>
      <c r="G42" s="40">
        <f t="shared" si="0"/>
        <v>8.441</v>
      </c>
      <c r="H42" s="58">
        <f t="shared" si="1"/>
        <v>101.29</v>
      </c>
      <c r="I42" s="58">
        <v>112.52468139264</v>
      </c>
      <c r="J42" s="58">
        <f t="shared" si="2"/>
        <v>118.17</v>
      </c>
    </row>
    <row r="43" s="1" customFormat="1" spans="1:10">
      <c r="A43" s="37" t="s">
        <v>116</v>
      </c>
      <c r="B43" s="54" t="s">
        <v>44</v>
      </c>
      <c r="C43" s="55">
        <v>16</v>
      </c>
      <c r="D43" s="38" t="s">
        <v>70</v>
      </c>
      <c r="E43" s="39" t="s">
        <v>28</v>
      </c>
      <c r="F43" s="37" t="s">
        <v>42</v>
      </c>
      <c r="G43" s="40">
        <f t="shared" ref="G43:G62" si="3">ROUND(I43/13.33,3)</f>
        <v>8.441</v>
      </c>
      <c r="H43" s="58">
        <f t="shared" ref="H43:H62" si="4">ROUND(G43*12,2)</f>
        <v>101.29</v>
      </c>
      <c r="I43" s="58">
        <v>112.52468139264</v>
      </c>
      <c r="J43" s="58">
        <f t="shared" ref="J43:J62" si="5">ROUND(G43*14,2)</f>
        <v>118.17</v>
      </c>
    </row>
    <row r="44" s="1" customFormat="1" spans="1:10">
      <c r="A44" s="37" t="s">
        <v>116</v>
      </c>
      <c r="B44" s="54">
        <v>0.45</v>
      </c>
      <c r="C44" s="55">
        <v>16</v>
      </c>
      <c r="D44" s="38" t="s">
        <v>70</v>
      </c>
      <c r="E44" s="39" t="s">
        <v>28</v>
      </c>
      <c r="F44" s="37" t="s">
        <v>45</v>
      </c>
      <c r="G44" s="40">
        <f t="shared" si="3"/>
        <v>9.621</v>
      </c>
      <c r="H44" s="58">
        <f t="shared" si="4"/>
        <v>115.45</v>
      </c>
      <c r="I44" s="58">
        <v>128.2532942592</v>
      </c>
      <c r="J44" s="58">
        <f t="shared" si="5"/>
        <v>134.69</v>
      </c>
    </row>
    <row r="45" s="1" customFormat="1" spans="1:10">
      <c r="A45" s="37" t="s">
        <v>116</v>
      </c>
      <c r="B45" s="54">
        <v>0.5</v>
      </c>
      <c r="C45" s="55">
        <v>20</v>
      </c>
      <c r="D45" s="38" t="s">
        <v>70</v>
      </c>
      <c r="E45" s="39" t="s">
        <v>28</v>
      </c>
      <c r="F45" s="37" t="s">
        <v>46</v>
      </c>
      <c r="G45" s="40">
        <f t="shared" si="3"/>
        <v>9.621</v>
      </c>
      <c r="H45" s="58">
        <f t="shared" si="4"/>
        <v>115.45</v>
      </c>
      <c r="I45" s="58">
        <v>128.2532942592</v>
      </c>
      <c r="J45" s="58">
        <f t="shared" si="5"/>
        <v>134.69</v>
      </c>
    </row>
    <row r="46" s="1" customFormat="1" spans="1:10">
      <c r="A46" s="37" t="s">
        <v>116</v>
      </c>
      <c r="B46" s="54" t="s">
        <v>47</v>
      </c>
      <c r="C46" s="55">
        <v>24</v>
      </c>
      <c r="D46" s="38" t="s">
        <v>70</v>
      </c>
      <c r="E46" s="39" t="s">
        <v>28</v>
      </c>
      <c r="F46" s="37" t="s">
        <v>48</v>
      </c>
      <c r="G46" s="40">
        <f t="shared" si="3"/>
        <v>9.739</v>
      </c>
      <c r="H46" s="58">
        <f t="shared" si="4"/>
        <v>116.87</v>
      </c>
      <c r="I46" s="58">
        <v>129.824659008</v>
      </c>
      <c r="J46" s="58">
        <f t="shared" si="5"/>
        <v>136.35</v>
      </c>
    </row>
    <row r="47" s="1" customFormat="1" spans="1:10">
      <c r="A47" s="37" t="s">
        <v>116</v>
      </c>
      <c r="B47" s="54">
        <v>0.7</v>
      </c>
      <c r="C47" s="55">
        <v>28</v>
      </c>
      <c r="D47" s="38" t="s">
        <v>70</v>
      </c>
      <c r="E47" s="39" t="s">
        <v>28</v>
      </c>
      <c r="F47" s="37" t="s">
        <v>49</v>
      </c>
      <c r="G47" s="40">
        <f t="shared" si="3"/>
        <v>10.422</v>
      </c>
      <c r="H47" s="58">
        <f t="shared" si="4"/>
        <v>125.06</v>
      </c>
      <c r="I47" s="58">
        <v>138.928597632</v>
      </c>
      <c r="J47" s="58">
        <f t="shared" si="5"/>
        <v>145.91</v>
      </c>
    </row>
    <row r="48" s="1" customFormat="1" spans="1:10">
      <c r="A48" s="37" t="s">
        <v>116</v>
      </c>
      <c r="B48" s="54">
        <v>0.8</v>
      </c>
      <c r="C48" s="55">
        <v>32</v>
      </c>
      <c r="D48" s="38" t="s">
        <v>70</v>
      </c>
      <c r="E48" s="39" t="s">
        <v>28</v>
      </c>
      <c r="F48" s="37" t="s">
        <v>49</v>
      </c>
      <c r="G48" s="40">
        <f t="shared" si="3"/>
        <v>10.422</v>
      </c>
      <c r="H48" s="58">
        <f t="shared" si="4"/>
        <v>125.06</v>
      </c>
      <c r="I48" s="58">
        <v>138.928597632</v>
      </c>
      <c r="J48" s="58">
        <f t="shared" si="5"/>
        <v>145.91</v>
      </c>
    </row>
    <row r="49" s="1" customFormat="1" spans="1:10">
      <c r="A49" s="37" t="s">
        <v>116</v>
      </c>
      <c r="B49" s="54">
        <v>0.9</v>
      </c>
      <c r="C49" s="55">
        <v>36</v>
      </c>
      <c r="D49" s="38" t="s">
        <v>70</v>
      </c>
      <c r="E49" s="39" t="s">
        <v>28</v>
      </c>
      <c r="F49" s="37" t="s">
        <v>52</v>
      </c>
      <c r="G49" s="40">
        <f t="shared" si="3"/>
        <v>11.523</v>
      </c>
      <c r="H49" s="58">
        <f t="shared" si="4"/>
        <v>138.28</v>
      </c>
      <c r="I49" s="58">
        <v>153.60298272</v>
      </c>
      <c r="J49" s="58">
        <f t="shared" si="5"/>
        <v>161.32</v>
      </c>
    </row>
    <row r="50" s="1" customFormat="1" spans="1:10">
      <c r="A50" s="37" t="s">
        <v>116</v>
      </c>
      <c r="B50" s="54" t="s">
        <v>51</v>
      </c>
      <c r="C50" s="55">
        <v>39</v>
      </c>
      <c r="D50" s="38" t="s">
        <v>70</v>
      </c>
      <c r="E50" s="39" t="s">
        <v>28</v>
      </c>
      <c r="F50" s="37" t="s">
        <v>52</v>
      </c>
      <c r="G50" s="40">
        <f t="shared" si="3"/>
        <v>12.263</v>
      </c>
      <c r="H50" s="58">
        <f t="shared" si="4"/>
        <v>147.16</v>
      </c>
      <c r="I50" s="58">
        <v>163.469047104</v>
      </c>
      <c r="J50" s="58">
        <f t="shared" si="5"/>
        <v>171.68</v>
      </c>
    </row>
    <row r="51" s="1" customFormat="1" spans="1:10">
      <c r="A51" s="37" t="s">
        <v>116</v>
      </c>
      <c r="B51" s="54" t="s">
        <v>53</v>
      </c>
      <c r="C51" s="55">
        <v>43</v>
      </c>
      <c r="D51" s="38" t="s">
        <v>70</v>
      </c>
      <c r="E51" s="39" t="s">
        <v>28</v>
      </c>
      <c r="F51" s="37" t="s">
        <v>54</v>
      </c>
      <c r="G51" s="40">
        <f t="shared" si="3"/>
        <v>13.746</v>
      </c>
      <c r="H51" s="58">
        <f t="shared" si="4"/>
        <v>164.95</v>
      </c>
      <c r="I51" s="58">
        <v>183.228889536</v>
      </c>
      <c r="J51" s="58">
        <f t="shared" si="5"/>
        <v>192.44</v>
      </c>
    </row>
    <row r="52" s="1" customFormat="1" spans="1:10">
      <c r="A52" s="37" t="s">
        <v>116</v>
      </c>
      <c r="B52" s="54" t="s">
        <v>55</v>
      </c>
      <c r="C52" s="55">
        <v>47</v>
      </c>
      <c r="D52" s="38" t="s">
        <v>70</v>
      </c>
      <c r="E52" s="39" t="s">
        <v>28</v>
      </c>
      <c r="F52" s="37" t="s">
        <v>54</v>
      </c>
      <c r="G52" s="40">
        <f t="shared" si="3"/>
        <v>13.746</v>
      </c>
      <c r="H52" s="58">
        <f t="shared" si="4"/>
        <v>164.95</v>
      </c>
      <c r="I52" s="58">
        <v>183.228889536</v>
      </c>
      <c r="J52" s="58">
        <f t="shared" si="5"/>
        <v>192.44</v>
      </c>
    </row>
    <row r="53" s="1" customFormat="1" spans="1:10">
      <c r="A53" s="37" t="s">
        <v>116</v>
      </c>
      <c r="B53" s="54">
        <v>1.3</v>
      </c>
      <c r="C53" s="55">
        <v>51</v>
      </c>
      <c r="D53" s="38" t="s">
        <v>70</v>
      </c>
      <c r="E53" s="39" t="s">
        <v>28</v>
      </c>
      <c r="F53" s="37" t="s">
        <v>56</v>
      </c>
      <c r="G53" s="40">
        <f t="shared" si="3"/>
        <v>14.732</v>
      </c>
      <c r="H53" s="58">
        <f t="shared" si="4"/>
        <v>176.78</v>
      </c>
      <c r="I53" s="58">
        <v>196.379023104</v>
      </c>
      <c r="J53" s="58">
        <f t="shared" si="5"/>
        <v>206.25</v>
      </c>
    </row>
    <row r="54" s="1" customFormat="1" spans="1:10">
      <c r="A54" s="37" t="s">
        <v>116</v>
      </c>
      <c r="B54" s="54" t="s">
        <v>57</v>
      </c>
      <c r="C54" s="55">
        <v>55</v>
      </c>
      <c r="D54" s="38" t="s">
        <v>70</v>
      </c>
      <c r="E54" s="39" t="s">
        <v>28</v>
      </c>
      <c r="F54" s="37" t="s">
        <v>56</v>
      </c>
      <c r="G54" s="40">
        <f t="shared" si="3"/>
        <v>14.732</v>
      </c>
      <c r="H54" s="58">
        <f t="shared" si="4"/>
        <v>176.78</v>
      </c>
      <c r="I54" s="58">
        <v>196.379023104</v>
      </c>
      <c r="J54" s="58">
        <f t="shared" si="5"/>
        <v>206.25</v>
      </c>
    </row>
    <row r="55" s="1" customFormat="1" spans="1:10">
      <c r="A55" s="37" t="s">
        <v>116</v>
      </c>
      <c r="B55" s="54" t="s">
        <v>58</v>
      </c>
      <c r="C55" s="55">
        <v>59</v>
      </c>
      <c r="D55" s="38" t="s">
        <v>70</v>
      </c>
      <c r="E55" s="39" t="s">
        <v>28</v>
      </c>
      <c r="F55" s="37" t="s">
        <v>59</v>
      </c>
      <c r="G55" s="40">
        <f t="shared" si="3"/>
        <v>16.462</v>
      </c>
      <c r="H55" s="58">
        <f t="shared" si="4"/>
        <v>197.54</v>
      </c>
      <c r="I55" s="58">
        <v>219.436791552</v>
      </c>
      <c r="J55" s="58">
        <f t="shared" si="5"/>
        <v>230.47</v>
      </c>
    </row>
    <row r="56" s="1" customFormat="1" spans="1:10">
      <c r="A56" s="37" t="s">
        <v>116</v>
      </c>
      <c r="B56" s="54" t="s">
        <v>60</v>
      </c>
      <c r="C56" s="55">
        <v>63</v>
      </c>
      <c r="D56" s="38" t="s">
        <v>70</v>
      </c>
      <c r="E56" s="39" t="s">
        <v>28</v>
      </c>
      <c r="F56" s="37" t="s">
        <v>59</v>
      </c>
      <c r="G56" s="40">
        <f t="shared" si="3"/>
        <v>16.132</v>
      </c>
      <c r="H56" s="58">
        <f t="shared" si="4"/>
        <v>193.58</v>
      </c>
      <c r="I56" s="58">
        <v>215.044175808</v>
      </c>
      <c r="J56" s="58">
        <f t="shared" si="5"/>
        <v>225.85</v>
      </c>
    </row>
    <row r="57" s="3" customFormat="1" spans="1:10">
      <c r="A57" s="42"/>
      <c r="B57" s="43"/>
      <c r="C57" s="44"/>
      <c r="D57" s="45"/>
      <c r="E57" s="46"/>
      <c r="F57" s="47"/>
      <c r="G57" s="48"/>
      <c r="H57" s="47"/>
      <c r="I57" s="50"/>
      <c r="J57" s="47"/>
    </row>
    <row r="58" s="3" customFormat="1" ht="14.25" spans="1:10">
      <c r="A58" s="9" t="s">
        <v>72</v>
      </c>
      <c r="E58" s="16"/>
      <c r="F58" s="11"/>
      <c r="H58" s="11"/>
      <c r="I58" s="16"/>
      <c r="J58" s="11"/>
    </row>
    <row r="59" s="1" customFormat="1" spans="1:10">
      <c r="A59" s="9" t="s">
        <v>73</v>
      </c>
      <c r="B59" s="3"/>
      <c r="C59" s="3"/>
      <c r="D59" s="3"/>
      <c r="E59" s="28"/>
      <c r="F59" s="26"/>
      <c r="H59" s="26"/>
      <c r="I59" s="28"/>
      <c r="J59" s="31"/>
    </row>
    <row r="60" s="1" customFormat="1" spans="1:10">
      <c r="A60" s="9" t="s">
        <v>74</v>
      </c>
      <c r="B60" s="3"/>
      <c r="C60" s="3"/>
      <c r="D60" s="3"/>
      <c r="E60" s="28"/>
      <c r="F60" s="26"/>
      <c r="H60" s="26"/>
      <c r="I60" s="28"/>
      <c r="J60" s="31"/>
    </row>
    <row r="61" s="1" customFormat="1" ht="28" customHeight="1" spans="1:10">
      <c r="A61" s="56" t="s">
        <v>75</v>
      </c>
      <c r="B61" s="56"/>
      <c r="C61" s="56"/>
      <c r="D61" s="56"/>
      <c r="E61" s="56"/>
      <c r="F61" s="56"/>
      <c r="G61" s="56"/>
      <c r="H61" s="56"/>
      <c r="I61" s="56"/>
      <c r="J61" s="56"/>
    </row>
    <row r="62" s="32" customFormat="1" spans="1:136">
      <c r="A62" s="9"/>
      <c r="B62" s="3"/>
      <c r="C62" s="3"/>
      <c r="D62" s="3"/>
      <c r="E62" s="28"/>
      <c r="G62" s="1"/>
      <c r="H62" s="26"/>
      <c r="J62" s="3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</row>
    <row r="63" s="1" customFormat="1" spans="1:136">
      <c r="A63" s="30" t="s">
        <v>76</v>
      </c>
      <c r="E63" s="31" t="s">
        <v>77</v>
      </c>
      <c r="G63" s="26"/>
      <c r="H63" s="28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</row>
    <row r="64" s="1" customFormat="1" spans="5:165">
      <c r="E64" s="28"/>
      <c r="F64" s="26"/>
      <c r="H64" s="26"/>
      <c r="I64" s="28"/>
      <c r="J64" s="26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</row>
    <row r="65" s="1" customFormat="1" ht="18" customHeight="1" spans="5:10">
      <c r="E65" s="28"/>
      <c r="F65" s="26"/>
      <c r="H65" s="26"/>
      <c r="I65" s="28"/>
      <c r="J65" s="26"/>
    </row>
    <row r="66" s="1" customFormat="1" spans="1:10">
      <c r="A66" s="30"/>
      <c r="E66" s="28"/>
      <c r="F66" s="31"/>
      <c r="G66" s="4"/>
      <c r="H66" s="57"/>
      <c r="I66" s="59"/>
      <c r="J66" s="57"/>
    </row>
  </sheetData>
  <mergeCells count="5">
    <mergeCell ref="A2:J2"/>
    <mergeCell ref="A3:J3"/>
    <mergeCell ref="I5:J5"/>
    <mergeCell ref="A9:J9"/>
    <mergeCell ref="A61:J61"/>
  </mergeCells>
  <pageMargins left="0.75" right="0.75" top="1" bottom="1" header="0.5" footer="0.5"/>
  <pageSetup paperSize="9" scale="67" fitToHeight="0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K24"/>
  <sheetViews>
    <sheetView workbookViewId="0">
      <selection activeCell="J16" sqref="J16"/>
    </sheetView>
  </sheetViews>
  <sheetFormatPr defaultColWidth="8" defaultRowHeight="15"/>
  <cols>
    <col min="1" max="1" width="11.125" style="1" customWidth="1"/>
    <col min="2" max="2" width="10.75" style="1" customWidth="1"/>
    <col min="3" max="3" width="12.75" style="1" customWidth="1"/>
    <col min="4" max="4" width="9.75" style="1" customWidth="1"/>
    <col min="5" max="5" width="11.1666666666667" style="28" customWidth="1"/>
    <col min="6" max="6" width="9.5" style="26" customWidth="1"/>
    <col min="7" max="7" width="10.875" style="1" customWidth="1"/>
    <col min="8" max="8" width="18.25" style="26" customWidth="1"/>
    <col min="9" max="203" width="7.83333333333333" style="1" customWidth="1"/>
    <col min="204" max="204" width="7.83333333333333" style="1"/>
    <col min="205" max="16333" width="8" style="1"/>
  </cols>
  <sheetData>
    <row r="1" s="1" customFormat="1" ht="40" customHeight="1" spans="1:8">
      <c r="A1" s="6"/>
      <c r="B1" s="6"/>
      <c r="C1" s="6"/>
      <c r="D1" s="6"/>
      <c r="E1" s="6"/>
      <c r="F1" s="6"/>
      <c r="G1" s="6"/>
      <c r="H1" s="6"/>
    </row>
    <row r="2" s="2" customFormat="1" ht="12.75" spans="1:8">
      <c r="A2" s="7"/>
      <c r="B2" s="7"/>
      <c r="C2" s="7"/>
      <c r="D2" s="7"/>
      <c r="E2" s="7"/>
      <c r="F2" s="7"/>
      <c r="G2" s="7"/>
      <c r="H2" s="7"/>
    </row>
    <row r="3" s="1" customFormat="1" ht="18" customHeight="1" spans="1:193">
      <c r="A3" s="7"/>
      <c r="B3" s="7"/>
      <c r="C3" s="7"/>
      <c r="D3" s="7"/>
      <c r="E3" s="7"/>
      <c r="F3" s="7"/>
      <c r="G3" s="7"/>
      <c r="H3" s="7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</row>
    <row r="4" s="3" customFormat="1" ht="17" customHeight="1" spans="1:193">
      <c r="A4" s="8" t="s">
        <v>0</v>
      </c>
      <c r="B4" s="9" t="s">
        <v>1</v>
      </c>
      <c r="C4" s="9"/>
      <c r="D4" s="9"/>
      <c r="E4" s="10"/>
      <c r="F4" s="11"/>
      <c r="G4" s="8" t="s">
        <v>2</v>
      </c>
      <c r="H4" s="12" t="s">
        <v>3</v>
      </c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</row>
    <row r="5" s="3" customFormat="1" ht="17" customHeight="1" spans="1:193">
      <c r="A5" s="8" t="s">
        <v>4</v>
      </c>
      <c r="B5" s="9" t="s">
        <v>5</v>
      </c>
      <c r="C5" s="9"/>
      <c r="D5" s="9"/>
      <c r="E5" s="10"/>
      <c r="F5" s="11"/>
      <c r="G5" s="8" t="s">
        <v>6</v>
      </c>
      <c r="H5" s="13">
        <v>13633926127</v>
      </c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</row>
    <row r="6" s="3" customFormat="1" ht="17" customHeight="1" spans="1:193">
      <c r="A6" s="14" t="s">
        <v>7</v>
      </c>
      <c r="B6" s="9" t="s">
        <v>8</v>
      </c>
      <c r="C6" s="9"/>
      <c r="D6" s="9"/>
      <c r="E6" s="10"/>
      <c r="F6" s="11"/>
      <c r="G6" s="14" t="s">
        <v>9</v>
      </c>
      <c r="H6" s="12" t="s">
        <v>10</v>
      </c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</row>
    <row r="7" s="3" customFormat="1" ht="17" customHeight="1" spans="1:193">
      <c r="A7" s="8" t="s">
        <v>6</v>
      </c>
      <c r="B7" s="15" t="s">
        <v>11</v>
      </c>
      <c r="E7" s="16"/>
      <c r="F7" s="11"/>
      <c r="G7" s="8" t="s">
        <v>12</v>
      </c>
      <c r="H7" s="17" t="s">
        <v>13</v>
      </c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</row>
    <row r="8" s="4" customFormat="1" ht="26.25" customHeight="1" spans="1:8">
      <c r="A8" s="18" t="s">
        <v>117</v>
      </c>
      <c r="B8" s="18"/>
      <c r="C8" s="18"/>
      <c r="D8" s="18"/>
      <c r="E8" s="18"/>
      <c r="F8" s="18"/>
      <c r="G8" s="18"/>
      <c r="H8" s="18"/>
    </row>
    <row r="9" s="5" customFormat="1" ht="21" customHeight="1" spans="1:8">
      <c r="A9" s="19" t="s">
        <v>15</v>
      </c>
      <c r="B9" s="19" t="s">
        <v>79</v>
      </c>
      <c r="C9" s="19" t="s">
        <v>80</v>
      </c>
      <c r="D9" s="19" t="s">
        <v>81</v>
      </c>
      <c r="E9" s="19" t="s">
        <v>82</v>
      </c>
      <c r="F9" s="20" t="s">
        <v>83</v>
      </c>
      <c r="G9" s="20"/>
      <c r="H9" s="20"/>
    </row>
    <row r="10" s="3" customFormat="1" ht="16" customHeight="1" spans="1:8">
      <c r="A10" s="19" t="s">
        <v>84</v>
      </c>
      <c r="B10" s="19" t="s">
        <v>85</v>
      </c>
      <c r="C10" s="19" t="s">
        <v>86</v>
      </c>
      <c r="D10" s="19" t="s">
        <v>87</v>
      </c>
      <c r="E10" s="19" t="s">
        <v>88</v>
      </c>
      <c r="F10" s="21" t="s">
        <v>21</v>
      </c>
      <c r="G10" s="21" t="s">
        <v>89</v>
      </c>
      <c r="H10" s="21" t="s">
        <v>90</v>
      </c>
    </row>
    <row r="11" s="3" customFormat="1" ht="16" customHeight="1" spans="1:8">
      <c r="A11" s="19" t="s">
        <v>116</v>
      </c>
      <c r="B11" s="19">
        <v>7628</v>
      </c>
      <c r="C11" s="19" t="s">
        <v>91</v>
      </c>
      <c r="D11" s="19">
        <v>100</v>
      </c>
      <c r="E11" s="19">
        <v>49.5</v>
      </c>
      <c r="F11" s="21" t="s">
        <v>118</v>
      </c>
      <c r="G11" s="74">
        <v>24.6445</v>
      </c>
      <c r="H11" s="53">
        <f t="shared" ref="H11:H18" si="0">G11*D11</f>
        <v>2464.45</v>
      </c>
    </row>
    <row r="12" s="3" customFormat="1" ht="16" customHeight="1" spans="1:8">
      <c r="A12" s="19" t="s">
        <v>116</v>
      </c>
      <c r="B12" s="19">
        <v>7628</v>
      </c>
      <c r="C12" s="19" t="s">
        <v>92</v>
      </c>
      <c r="D12" s="19">
        <v>100</v>
      </c>
      <c r="E12" s="19">
        <v>49.5</v>
      </c>
      <c r="F12" s="21" t="s">
        <v>118</v>
      </c>
      <c r="G12" s="74">
        <v>25.415</v>
      </c>
      <c r="H12" s="53">
        <f t="shared" si="0"/>
        <v>2541.5</v>
      </c>
    </row>
    <row r="13" s="3" customFormat="1" ht="16" customHeight="1" spans="1:8">
      <c r="A13" s="19" t="s">
        <v>116</v>
      </c>
      <c r="B13" s="19">
        <v>7628</v>
      </c>
      <c r="C13" s="19" t="s">
        <v>93</v>
      </c>
      <c r="D13" s="19">
        <v>100</v>
      </c>
      <c r="E13" s="19">
        <v>49.5</v>
      </c>
      <c r="F13" s="21" t="s">
        <v>118</v>
      </c>
      <c r="G13" s="74">
        <v>26.335</v>
      </c>
      <c r="H13" s="53">
        <f t="shared" si="0"/>
        <v>2633.5</v>
      </c>
    </row>
    <row r="14" s="3" customFormat="1" ht="16" customHeight="1" spans="1:8">
      <c r="A14" s="19" t="s">
        <v>116</v>
      </c>
      <c r="B14" s="19">
        <v>2116</v>
      </c>
      <c r="C14" s="19" t="s">
        <v>94</v>
      </c>
      <c r="D14" s="19">
        <v>150</v>
      </c>
      <c r="E14" s="19">
        <v>49.5</v>
      </c>
      <c r="F14" s="21" t="s">
        <v>118</v>
      </c>
      <c r="G14" s="74">
        <v>24.265</v>
      </c>
      <c r="H14" s="53">
        <f t="shared" si="0"/>
        <v>3639.75</v>
      </c>
    </row>
    <row r="15" s="3" customFormat="1" ht="16" customHeight="1" spans="1:8">
      <c r="A15" s="19" t="s">
        <v>116</v>
      </c>
      <c r="B15" s="19">
        <v>2116</v>
      </c>
      <c r="C15" s="19" t="s">
        <v>95</v>
      </c>
      <c r="D15" s="19">
        <v>150</v>
      </c>
      <c r="E15" s="19">
        <v>49.5</v>
      </c>
      <c r="F15" s="21" t="s">
        <v>118</v>
      </c>
      <c r="G15" s="74">
        <v>25.3</v>
      </c>
      <c r="H15" s="53">
        <f t="shared" si="0"/>
        <v>3795</v>
      </c>
    </row>
    <row r="16" s="3" customFormat="1" ht="16" customHeight="1" spans="1:8">
      <c r="A16" s="19" t="s">
        <v>116</v>
      </c>
      <c r="B16" s="19">
        <v>1080</v>
      </c>
      <c r="C16" s="19" t="s">
        <v>96</v>
      </c>
      <c r="D16" s="19">
        <v>150</v>
      </c>
      <c r="E16" s="19">
        <v>49.5</v>
      </c>
      <c r="F16" s="21" t="s">
        <v>118</v>
      </c>
      <c r="G16" s="74">
        <v>23.92</v>
      </c>
      <c r="H16" s="53">
        <f t="shared" si="0"/>
        <v>3588</v>
      </c>
    </row>
    <row r="17" s="3" customFormat="1" ht="16" customHeight="1" spans="1:8">
      <c r="A17" s="19" t="s">
        <v>116</v>
      </c>
      <c r="B17" s="19">
        <v>1080</v>
      </c>
      <c r="C17" s="19" t="s">
        <v>97</v>
      </c>
      <c r="D17" s="19">
        <v>150</v>
      </c>
      <c r="E17" s="19">
        <v>49.5</v>
      </c>
      <c r="F17" s="21" t="s">
        <v>118</v>
      </c>
      <c r="G17" s="74">
        <v>24.725</v>
      </c>
      <c r="H17" s="53">
        <f t="shared" si="0"/>
        <v>3708.75</v>
      </c>
    </row>
    <row r="18" s="3" customFormat="1" ht="16" customHeight="1" spans="1:8">
      <c r="A18" s="19" t="s">
        <v>116</v>
      </c>
      <c r="B18" s="53">
        <v>106</v>
      </c>
      <c r="C18" s="75">
        <v>0.72</v>
      </c>
      <c r="D18" s="53">
        <v>100</v>
      </c>
      <c r="E18" s="19">
        <v>49.5</v>
      </c>
      <c r="F18" s="21" t="s">
        <v>118</v>
      </c>
      <c r="G18" s="74">
        <v>30.015</v>
      </c>
      <c r="H18" s="53">
        <f t="shared" si="0"/>
        <v>3001.5</v>
      </c>
    </row>
    <row r="19" s="3" customFormat="1" ht="14.25" spans="1:8">
      <c r="A19" s="9" t="s">
        <v>72</v>
      </c>
      <c r="E19" s="25"/>
      <c r="F19" s="11"/>
      <c r="H19" s="11"/>
    </row>
    <row r="20" s="1" customFormat="1" spans="1:8">
      <c r="A20" s="9" t="s">
        <v>73</v>
      </c>
      <c r="B20" s="3"/>
      <c r="C20" s="3"/>
      <c r="D20" s="3"/>
      <c r="E20" s="25"/>
      <c r="F20" s="26"/>
      <c r="H20" s="26"/>
    </row>
    <row r="21" s="1" customFormat="1" spans="1:8">
      <c r="A21" s="9" t="s">
        <v>74</v>
      </c>
      <c r="B21" s="3"/>
      <c r="C21" s="3"/>
      <c r="D21" s="3"/>
      <c r="E21" s="25"/>
      <c r="F21" s="26"/>
      <c r="H21" s="26"/>
    </row>
    <row r="22" s="1" customFormat="1" ht="23.25" spans="1:8">
      <c r="A22" s="27"/>
      <c r="B22" s="27"/>
      <c r="E22" s="28"/>
      <c r="F22" s="26"/>
      <c r="G22" s="29"/>
      <c r="H22" s="26"/>
    </row>
    <row r="23" s="1" customFormat="1" spans="1:191">
      <c r="A23" s="30" t="s">
        <v>76</v>
      </c>
      <c r="E23" s="31" t="s">
        <v>77</v>
      </c>
      <c r="G23" s="26"/>
      <c r="H23" s="28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</row>
    <row r="24" s="1" customFormat="1" ht="18" customHeight="1" spans="5:8">
      <c r="E24" s="28"/>
      <c r="F24" s="26"/>
      <c r="H24" s="26"/>
    </row>
  </sheetData>
  <mergeCells count="5">
    <mergeCell ref="A1:H1"/>
    <mergeCell ref="A2:H2"/>
    <mergeCell ref="A3:H3"/>
    <mergeCell ref="A8:H8"/>
    <mergeCell ref="F9:H9"/>
  </mergeCells>
  <pageMargins left="0.75" right="0.75" top="1" bottom="1" header="0.5" footer="0.5"/>
  <pageSetup paperSize="9" scale="64" fitToHeight="0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Y18"/>
  <sheetViews>
    <sheetView workbookViewId="0">
      <selection activeCell="M17" sqref="M17"/>
    </sheetView>
  </sheetViews>
  <sheetFormatPr defaultColWidth="8.8" defaultRowHeight="14.25"/>
  <sheetData>
    <row r="1" s="1" customFormat="1" ht="40" customHeight="1" spans="1:10">
      <c r="A1" s="34"/>
      <c r="B1" s="34"/>
      <c r="C1" s="34"/>
      <c r="D1" s="34"/>
      <c r="E1" s="35"/>
      <c r="F1" s="36"/>
      <c r="G1" s="34"/>
      <c r="H1" s="36"/>
      <c r="I1" s="35"/>
      <c r="J1" s="36"/>
    </row>
    <row r="2" s="2" customFormat="1" ht="12.75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1" customFormat="1" ht="18" customHeight="1" spans="1:181">
      <c r="A3" s="7"/>
      <c r="B3" s="7"/>
      <c r="C3" s="7"/>
      <c r="D3" s="7"/>
      <c r="E3" s="7"/>
      <c r="F3" s="7"/>
      <c r="G3" s="7"/>
      <c r="H3" s="7"/>
      <c r="I3" s="7"/>
      <c r="J3" s="7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</row>
    <row r="4" s="3" customFormat="1" ht="17" customHeight="1" spans="1:180">
      <c r="A4" s="8" t="s">
        <v>0</v>
      </c>
      <c r="B4" s="9" t="s">
        <v>1</v>
      </c>
      <c r="C4" s="9"/>
      <c r="D4" s="9"/>
      <c r="E4" s="10"/>
      <c r="H4" s="8" t="s">
        <v>2</v>
      </c>
      <c r="I4" s="12" t="s">
        <v>3</v>
      </c>
      <c r="J4" s="9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</row>
    <row r="5" s="3" customFormat="1" ht="17" customHeight="1" spans="1:180">
      <c r="A5" s="8" t="s">
        <v>4</v>
      </c>
      <c r="B5" s="9" t="s">
        <v>5</v>
      </c>
      <c r="C5" s="9"/>
      <c r="D5" s="9"/>
      <c r="E5" s="10"/>
      <c r="H5" s="8" t="s">
        <v>6</v>
      </c>
      <c r="I5" s="13">
        <v>13633926127</v>
      </c>
      <c r="J5" s="1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</row>
    <row r="6" s="3" customFormat="1" ht="17" customHeight="1" spans="1:180">
      <c r="A6" s="14" t="s">
        <v>7</v>
      </c>
      <c r="B6" s="9" t="s">
        <v>8</v>
      </c>
      <c r="C6" s="9"/>
      <c r="D6" s="9"/>
      <c r="E6" s="10"/>
      <c r="H6" s="14" t="s">
        <v>9</v>
      </c>
      <c r="I6" s="12" t="s">
        <v>10</v>
      </c>
      <c r="J6" s="9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</row>
    <row r="7" s="3" customFormat="1" ht="17" customHeight="1" spans="1:180">
      <c r="A7" s="8" t="s">
        <v>6</v>
      </c>
      <c r="B7" s="15" t="s">
        <v>11</v>
      </c>
      <c r="H7" s="8" t="s">
        <v>12</v>
      </c>
      <c r="I7" s="17" t="s">
        <v>13</v>
      </c>
      <c r="J7" s="9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</row>
    <row r="8" s="3" customFormat="1" ht="17" customHeight="1" spans="1:180">
      <c r="A8" s="9"/>
      <c r="B8" s="15"/>
      <c r="H8" s="9"/>
      <c r="I8" s="49"/>
      <c r="J8" s="9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</row>
    <row r="9" s="4" customFormat="1" ht="26.25" customHeight="1" spans="1:10">
      <c r="A9" s="18" t="s">
        <v>119</v>
      </c>
      <c r="B9" s="18"/>
      <c r="C9" s="18"/>
      <c r="D9" s="18"/>
      <c r="E9" s="18"/>
      <c r="F9" s="18"/>
      <c r="G9" s="18"/>
      <c r="H9" s="18"/>
      <c r="I9" s="18"/>
      <c r="J9" s="18"/>
    </row>
    <row r="10" s="1" customFormat="1" ht="15" spans="1:10">
      <c r="A10" s="37" t="s">
        <v>15</v>
      </c>
      <c r="B10" s="37" t="s">
        <v>16</v>
      </c>
      <c r="C10" s="37" t="s">
        <v>17</v>
      </c>
      <c r="D10" s="38" t="s">
        <v>18</v>
      </c>
      <c r="E10" s="39" t="s">
        <v>19</v>
      </c>
      <c r="F10" s="37" t="s">
        <v>20</v>
      </c>
      <c r="G10" s="40" t="s">
        <v>21</v>
      </c>
      <c r="H10" s="41" t="s">
        <v>22</v>
      </c>
      <c r="I10" s="41" t="s">
        <v>23</v>
      </c>
      <c r="J10" s="41" t="s">
        <v>24</v>
      </c>
    </row>
    <row r="11" s="1" customFormat="1" ht="15" spans="1:10">
      <c r="A11" s="37" t="s">
        <v>120</v>
      </c>
      <c r="B11" s="54">
        <v>0.075</v>
      </c>
      <c r="C11" s="55">
        <f>B11/0.0254</f>
        <v>2.95275590551181</v>
      </c>
      <c r="D11" s="38" t="s">
        <v>27</v>
      </c>
      <c r="E11" s="39" t="s">
        <v>28</v>
      </c>
      <c r="F11" s="37" t="s">
        <v>102</v>
      </c>
      <c r="G11" s="40">
        <f t="shared" ref="G11:G18" si="0">ROUND(I11/13.33,3)</f>
        <v>12.776</v>
      </c>
      <c r="H11" s="58">
        <f t="shared" ref="H11:H18" si="1">ROUND(G11*12,2)</f>
        <v>153.31</v>
      </c>
      <c r="I11" s="58">
        <v>170.3107296</v>
      </c>
      <c r="J11" s="58">
        <f t="shared" ref="J11:J18" si="2">ROUND(G11*14,2)</f>
        <v>178.86</v>
      </c>
    </row>
    <row r="12" s="1" customFormat="1" ht="15" spans="1:10">
      <c r="A12" s="37" t="s">
        <v>120</v>
      </c>
      <c r="B12" s="54">
        <v>0.075</v>
      </c>
      <c r="C12" s="55">
        <f>B12/0.0254</f>
        <v>2.95275590551181</v>
      </c>
      <c r="D12" s="60" t="s">
        <v>109</v>
      </c>
      <c r="E12" s="39" t="s">
        <v>28</v>
      </c>
      <c r="F12" s="37" t="s">
        <v>29</v>
      </c>
      <c r="G12" s="40">
        <f t="shared" si="0"/>
        <v>22.317</v>
      </c>
      <c r="H12" s="58">
        <f t="shared" si="1"/>
        <v>267.8</v>
      </c>
      <c r="I12" s="58">
        <v>297.4856544</v>
      </c>
      <c r="J12" s="58">
        <f t="shared" si="2"/>
        <v>312.44</v>
      </c>
    </row>
    <row r="13" s="1" customFormat="1" ht="15" spans="1:10">
      <c r="A13" s="37" t="s">
        <v>120</v>
      </c>
      <c r="B13" s="54">
        <v>0.15</v>
      </c>
      <c r="C13" s="55">
        <f>B13/0.0254</f>
        <v>5.90551181102362</v>
      </c>
      <c r="D13" s="38" t="s">
        <v>27</v>
      </c>
      <c r="E13" s="39" t="s">
        <v>28</v>
      </c>
      <c r="F13" s="37" t="s">
        <v>32</v>
      </c>
      <c r="G13" s="40">
        <f t="shared" si="0"/>
        <v>12.581</v>
      </c>
      <c r="H13" s="58">
        <f t="shared" si="1"/>
        <v>150.97</v>
      </c>
      <c r="I13" s="58">
        <v>167.69846016</v>
      </c>
      <c r="J13" s="58">
        <f t="shared" si="2"/>
        <v>176.13</v>
      </c>
    </row>
    <row r="14" s="1" customFormat="1" ht="15" spans="1:10">
      <c r="A14" s="37" t="s">
        <v>120</v>
      </c>
      <c r="B14" s="54">
        <v>0.1</v>
      </c>
      <c r="C14" s="55"/>
      <c r="D14" s="60" t="s">
        <v>113</v>
      </c>
      <c r="E14" s="39" t="s">
        <v>28</v>
      </c>
      <c r="F14" s="37" t="s">
        <v>29</v>
      </c>
      <c r="G14" s="40">
        <f t="shared" si="0"/>
        <v>12.776</v>
      </c>
      <c r="H14" s="58">
        <f t="shared" si="1"/>
        <v>153.31</v>
      </c>
      <c r="I14" s="58">
        <v>170.3107296</v>
      </c>
      <c r="J14" s="58">
        <f t="shared" si="2"/>
        <v>178.86</v>
      </c>
    </row>
    <row r="15" s="1" customFormat="1" ht="15" spans="1:10">
      <c r="A15" s="37" t="s">
        <v>120</v>
      </c>
      <c r="B15" s="54">
        <v>0.1</v>
      </c>
      <c r="C15" s="55"/>
      <c r="D15" s="60" t="s">
        <v>109</v>
      </c>
      <c r="E15" s="39" t="s">
        <v>28</v>
      </c>
      <c r="F15" s="37" t="s">
        <v>29</v>
      </c>
      <c r="G15" s="40">
        <f t="shared" si="0"/>
        <v>22.317</v>
      </c>
      <c r="H15" s="58">
        <f t="shared" si="1"/>
        <v>267.8</v>
      </c>
      <c r="I15" s="58">
        <v>297.4856544</v>
      </c>
      <c r="J15" s="58">
        <f t="shared" si="2"/>
        <v>312.44</v>
      </c>
    </row>
    <row r="16" customFormat="1" spans="1:10">
      <c r="A16" s="37" t="s">
        <v>120</v>
      </c>
      <c r="B16" s="54">
        <v>0.25</v>
      </c>
      <c r="C16" s="55">
        <f>B16/0.0254</f>
        <v>9.84251968503937</v>
      </c>
      <c r="D16" s="38" t="s">
        <v>27</v>
      </c>
      <c r="E16" s="39" t="s">
        <v>28</v>
      </c>
      <c r="F16" s="37" t="s">
        <v>36</v>
      </c>
      <c r="G16" s="40">
        <f t="shared" si="0"/>
        <v>14.278</v>
      </c>
      <c r="H16" s="58">
        <f t="shared" si="1"/>
        <v>171.34</v>
      </c>
      <c r="I16" s="58">
        <v>190.33128576</v>
      </c>
      <c r="J16" s="58">
        <f t="shared" si="2"/>
        <v>199.89</v>
      </c>
    </row>
    <row r="17" s="1" customFormat="1" ht="15" spans="1:10">
      <c r="A17" s="37" t="s">
        <v>120</v>
      </c>
      <c r="B17" s="54">
        <v>0.36</v>
      </c>
      <c r="C17" s="55">
        <f>B17/0.0254</f>
        <v>14.1732283464567</v>
      </c>
      <c r="D17" s="38" t="s">
        <v>27</v>
      </c>
      <c r="E17" s="39" t="s">
        <v>28</v>
      </c>
      <c r="F17" s="37" t="s">
        <v>42</v>
      </c>
      <c r="G17" s="40">
        <f t="shared" si="0"/>
        <v>13.17</v>
      </c>
      <c r="H17" s="58">
        <f t="shared" si="1"/>
        <v>158.04</v>
      </c>
      <c r="I17" s="58">
        <v>175.55258952</v>
      </c>
      <c r="J17" s="58">
        <f t="shared" si="2"/>
        <v>184.38</v>
      </c>
    </row>
    <row r="18" customFormat="1" spans="1:10">
      <c r="A18" s="37" t="s">
        <v>120</v>
      </c>
      <c r="B18" s="54">
        <v>0.4</v>
      </c>
      <c r="C18" s="55">
        <f>B18/0.0254</f>
        <v>15.748031496063</v>
      </c>
      <c r="D18" s="60" t="s">
        <v>110</v>
      </c>
      <c r="E18" s="39" t="s">
        <v>28</v>
      </c>
      <c r="F18" s="37" t="s">
        <v>42</v>
      </c>
      <c r="G18" s="40">
        <f t="shared" si="0"/>
        <v>33.986</v>
      </c>
      <c r="H18" s="58">
        <f t="shared" si="1"/>
        <v>407.83</v>
      </c>
      <c r="I18" s="58">
        <v>453.03372576</v>
      </c>
      <c r="J18" s="58">
        <f t="shared" si="2"/>
        <v>475.8</v>
      </c>
    </row>
  </sheetData>
  <mergeCells count="4">
    <mergeCell ref="A2:J2"/>
    <mergeCell ref="A3:J3"/>
    <mergeCell ref="I5:J5"/>
    <mergeCell ref="A9:J9"/>
  </mergeCells>
  <pageMargins left="0.75" right="0.75" top="1" bottom="1" header="0.5" footer="0.5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P19"/>
  <sheetViews>
    <sheetView workbookViewId="0">
      <selection activeCell="J17" sqref="J17"/>
    </sheetView>
  </sheetViews>
  <sheetFormatPr defaultColWidth="8.8" defaultRowHeight="14.25"/>
  <sheetData>
    <row r="1" s="1" customFormat="1" ht="40" customHeight="1" spans="1:8">
      <c r="A1" s="6"/>
      <c r="B1" s="6"/>
      <c r="C1" s="6"/>
      <c r="D1" s="6"/>
      <c r="E1" s="6"/>
      <c r="F1" s="6"/>
      <c r="G1" s="6"/>
      <c r="H1" s="6"/>
    </row>
    <row r="2" s="2" customFormat="1" ht="12.75" spans="1:8">
      <c r="A2" s="7"/>
      <c r="B2" s="7"/>
      <c r="C2" s="7"/>
      <c r="D2" s="7"/>
      <c r="E2" s="7"/>
      <c r="F2" s="7"/>
      <c r="G2" s="7"/>
      <c r="H2" s="7"/>
    </row>
    <row r="3" s="1" customFormat="1" ht="18" customHeight="1" spans="1:198">
      <c r="A3" s="7"/>
      <c r="B3" s="7"/>
      <c r="C3" s="7"/>
      <c r="D3" s="7"/>
      <c r="E3" s="7"/>
      <c r="F3" s="7"/>
      <c r="G3" s="7"/>
      <c r="H3" s="7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</row>
    <row r="4" s="3" customFormat="1" ht="17" customHeight="1" spans="1:198">
      <c r="A4" s="8" t="s">
        <v>0</v>
      </c>
      <c r="B4" s="9" t="s">
        <v>1</v>
      </c>
      <c r="C4" s="9"/>
      <c r="D4" s="9"/>
      <c r="E4" s="10"/>
      <c r="F4" s="11"/>
      <c r="G4" s="8" t="s">
        <v>2</v>
      </c>
      <c r="H4" s="12" t="s">
        <v>3</v>
      </c>
      <c r="I4" s="9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</row>
    <row r="5" s="3" customFormat="1" ht="17" customHeight="1" spans="1:198">
      <c r="A5" s="8" t="s">
        <v>4</v>
      </c>
      <c r="B5" s="9" t="s">
        <v>5</v>
      </c>
      <c r="C5" s="9"/>
      <c r="D5" s="9"/>
      <c r="E5" s="10"/>
      <c r="F5" s="11"/>
      <c r="G5" s="8" t="s">
        <v>6</v>
      </c>
      <c r="H5" s="13">
        <v>13633926127</v>
      </c>
      <c r="I5" s="1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</row>
    <row r="6" s="3" customFormat="1" ht="17" customHeight="1" spans="1:198">
      <c r="A6" s="14" t="s">
        <v>7</v>
      </c>
      <c r="B6" s="9" t="s">
        <v>8</v>
      </c>
      <c r="C6" s="9"/>
      <c r="D6" s="9"/>
      <c r="E6" s="10"/>
      <c r="F6" s="11"/>
      <c r="G6" s="14" t="s">
        <v>9</v>
      </c>
      <c r="H6" s="12" t="s">
        <v>10</v>
      </c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</row>
    <row r="7" s="3" customFormat="1" ht="17" customHeight="1" spans="1:198">
      <c r="A7" s="8" t="s">
        <v>6</v>
      </c>
      <c r="B7" s="15" t="s">
        <v>11</v>
      </c>
      <c r="E7" s="16"/>
      <c r="F7" s="11"/>
      <c r="G7" s="8" t="s">
        <v>12</v>
      </c>
      <c r="H7" s="17" t="s">
        <v>13</v>
      </c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</row>
    <row r="8" s="4" customFormat="1" ht="26.25" customHeight="1" spans="1:8">
      <c r="A8" s="18" t="s">
        <v>121</v>
      </c>
      <c r="B8" s="18"/>
      <c r="C8" s="18"/>
      <c r="D8" s="18"/>
      <c r="E8" s="18"/>
      <c r="F8" s="18"/>
      <c r="G8" s="18"/>
      <c r="H8" s="18"/>
    </row>
    <row r="9" s="5" customFormat="1" ht="21" customHeight="1" spans="1:8">
      <c r="A9" s="19" t="s">
        <v>15</v>
      </c>
      <c r="B9" s="19" t="s">
        <v>79</v>
      </c>
      <c r="C9" s="19" t="s">
        <v>80</v>
      </c>
      <c r="D9" s="19" t="s">
        <v>81</v>
      </c>
      <c r="E9" s="19" t="s">
        <v>82</v>
      </c>
      <c r="F9" s="20" t="s">
        <v>83</v>
      </c>
      <c r="G9" s="20"/>
      <c r="H9" s="20"/>
    </row>
    <row r="10" s="3" customFormat="1" ht="16" customHeight="1" spans="1:8">
      <c r="A10" s="19" t="s">
        <v>84</v>
      </c>
      <c r="B10" s="19" t="s">
        <v>85</v>
      </c>
      <c r="C10" s="19" t="s">
        <v>86</v>
      </c>
      <c r="D10" s="19" t="s">
        <v>87</v>
      </c>
      <c r="E10" s="19" t="s">
        <v>88</v>
      </c>
      <c r="F10" s="21" t="s">
        <v>21</v>
      </c>
      <c r="G10" s="21" t="s">
        <v>89</v>
      </c>
      <c r="H10" s="21" t="s">
        <v>90</v>
      </c>
    </row>
    <row r="11" s="3" customFormat="1" ht="16" customHeight="1" spans="1:8">
      <c r="A11" s="19" t="s">
        <v>120</v>
      </c>
      <c r="B11" s="19">
        <v>7628</v>
      </c>
      <c r="C11" s="22">
        <v>0.46</v>
      </c>
      <c r="D11" s="19">
        <v>150</v>
      </c>
      <c r="E11" s="19">
        <v>49.5</v>
      </c>
      <c r="F11" s="21" t="s">
        <v>118</v>
      </c>
      <c r="G11" s="52">
        <v>33.2235</v>
      </c>
      <c r="H11" s="53">
        <f t="shared" ref="H11:H13" si="0">G11*D11</f>
        <v>4983.525</v>
      </c>
    </row>
    <row r="12" s="3" customFormat="1" ht="16" customHeight="1" spans="1:8">
      <c r="A12" s="19" t="s">
        <v>120</v>
      </c>
      <c r="B12" s="19">
        <v>2116</v>
      </c>
      <c r="C12" s="22">
        <v>0.52</v>
      </c>
      <c r="D12" s="19">
        <v>150</v>
      </c>
      <c r="E12" s="19">
        <v>49.5</v>
      </c>
      <c r="F12" s="21" t="s">
        <v>118</v>
      </c>
      <c r="G12" s="52">
        <v>27.025</v>
      </c>
      <c r="H12" s="53">
        <f t="shared" si="0"/>
        <v>4053.75</v>
      </c>
    </row>
    <row r="13" s="3" customFormat="1" ht="16" customHeight="1" spans="1:8">
      <c r="A13" s="19" t="s">
        <v>120</v>
      </c>
      <c r="B13" s="19">
        <v>1080</v>
      </c>
      <c r="C13" s="22">
        <v>0.65</v>
      </c>
      <c r="D13" s="19">
        <v>300</v>
      </c>
      <c r="E13" s="19">
        <v>49.5</v>
      </c>
      <c r="F13" s="21" t="s">
        <v>118</v>
      </c>
      <c r="G13" s="52">
        <v>26.2775</v>
      </c>
      <c r="H13" s="53">
        <f t="shared" si="0"/>
        <v>7883.25</v>
      </c>
    </row>
    <row r="14" s="3" customFormat="1" spans="1:8">
      <c r="A14" s="9" t="s">
        <v>72</v>
      </c>
      <c r="E14" s="25"/>
      <c r="F14" s="11"/>
      <c r="H14" s="11"/>
    </row>
    <row r="15" s="1" customFormat="1" ht="15" spans="1:8">
      <c r="A15" s="9" t="s">
        <v>73</v>
      </c>
      <c r="B15" s="3"/>
      <c r="C15" s="3"/>
      <c r="D15" s="3"/>
      <c r="E15" s="25"/>
      <c r="F15" s="26"/>
      <c r="H15" s="26"/>
    </row>
    <row r="16" s="1" customFormat="1" ht="15" spans="1:8">
      <c r="A16" s="9" t="s">
        <v>74</v>
      </c>
      <c r="B16" s="3"/>
      <c r="C16" s="3"/>
      <c r="D16" s="3"/>
      <c r="E16" s="25"/>
      <c r="F16" s="26"/>
      <c r="H16" s="26"/>
    </row>
    <row r="17" s="1" customFormat="1" ht="23.25" spans="1:8">
      <c r="A17" s="27"/>
      <c r="B17" s="27"/>
      <c r="E17" s="28"/>
      <c r="F17" s="26"/>
      <c r="G17" s="29"/>
      <c r="H17" s="26"/>
    </row>
    <row r="18" s="1" customFormat="1" ht="15" spans="1:196">
      <c r="A18" s="30" t="s">
        <v>76</v>
      </c>
      <c r="E18" s="31" t="s">
        <v>77</v>
      </c>
      <c r="G18" s="26"/>
      <c r="H18" s="28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</row>
    <row r="19" s="1" customFormat="1" ht="18" customHeight="1" spans="5:8">
      <c r="E19" s="28"/>
      <c r="F19" s="26"/>
      <c r="H19" s="26"/>
    </row>
  </sheetData>
  <mergeCells count="6">
    <mergeCell ref="A1:H1"/>
    <mergeCell ref="A2:H2"/>
    <mergeCell ref="A3:H3"/>
    <mergeCell ref="H5:I5"/>
    <mergeCell ref="A8:H8"/>
    <mergeCell ref="F9:H9"/>
  </mergeCells>
  <pageMargins left="0.75" right="0.75" top="1" bottom="1" header="0.5" footer="0.5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T79"/>
  <sheetViews>
    <sheetView workbookViewId="0">
      <selection activeCell="M15" sqref="M15"/>
    </sheetView>
  </sheetViews>
  <sheetFormatPr defaultColWidth="8" defaultRowHeight="15"/>
  <cols>
    <col min="1" max="1" width="8.25" style="1" customWidth="1"/>
    <col min="2" max="2" width="8.58333333333333" style="1" customWidth="1"/>
    <col min="3" max="4" width="8.25" style="1" customWidth="1"/>
    <col min="5" max="5" width="8.25" style="28" customWidth="1"/>
    <col min="6" max="6" width="11.7666666666667" style="26" customWidth="1"/>
    <col min="7" max="7" width="8.25" style="1" customWidth="1"/>
    <col min="8" max="8" width="8.25" style="26" customWidth="1"/>
    <col min="9" max="9" width="8.25" style="28" customWidth="1"/>
    <col min="10" max="10" width="8.25" style="26" customWidth="1"/>
    <col min="11" max="186" width="7.83333333333333" style="1" customWidth="1"/>
    <col min="187" max="187" width="7.83333333333333" style="1"/>
    <col min="188" max="16384" width="8" style="1"/>
  </cols>
  <sheetData>
    <row r="1" s="1" customFormat="1" ht="40" customHeight="1" spans="1:10">
      <c r="A1" s="34"/>
      <c r="B1" s="34"/>
      <c r="C1" s="34"/>
      <c r="D1" s="34"/>
      <c r="E1" s="35"/>
      <c r="F1" s="36"/>
      <c r="G1" s="34"/>
      <c r="H1" s="36"/>
      <c r="I1" s="35"/>
      <c r="J1" s="36"/>
    </row>
    <row r="2" s="2" customFormat="1" ht="12.75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1" customFormat="1" ht="18" customHeight="1" spans="1:176">
      <c r="A3" s="7"/>
      <c r="B3" s="7"/>
      <c r="C3" s="7"/>
      <c r="D3" s="7"/>
      <c r="E3" s="7"/>
      <c r="F3" s="7"/>
      <c r="G3" s="7"/>
      <c r="H3" s="7"/>
      <c r="I3" s="7"/>
      <c r="J3" s="7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</row>
    <row r="4" s="3" customFormat="1" ht="17" customHeight="1" spans="1:175">
      <c r="A4" s="8" t="s">
        <v>0</v>
      </c>
      <c r="B4" s="9" t="s">
        <v>1</v>
      </c>
      <c r="C4" s="9"/>
      <c r="D4" s="9"/>
      <c r="E4" s="10"/>
      <c r="H4" s="8" t="s">
        <v>2</v>
      </c>
      <c r="I4" s="12" t="s">
        <v>3</v>
      </c>
      <c r="J4" s="9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</row>
    <row r="5" s="3" customFormat="1" ht="17" customHeight="1" spans="1:175">
      <c r="A5" s="8" t="s">
        <v>4</v>
      </c>
      <c r="B5" s="9" t="s">
        <v>5</v>
      </c>
      <c r="C5" s="9"/>
      <c r="D5" s="9"/>
      <c r="E5" s="10"/>
      <c r="H5" s="8" t="s">
        <v>6</v>
      </c>
      <c r="I5" s="13">
        <v>13633926127</v>
      </c>
      <c r="J5" s="1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</row>
    <row r="6" s="3" customFormat="1" ht="17" customHeight="1" spans="1:175">
      <c r="A6" s="14" t="s">
        <v>7</v>
      </c>
      <c r="B6" s="9" t="s">
        <v>8</v>
      </c>
      <c r="C6" s="9"/>
      <c r="D6" s="9"/>
      <c r="E6" s="10"/>
      <c r="H6" s="14" t="s">
        <v>9</v>
      </c>
      <c r="I6" s="12" t="s">
        <v>10</v>
      </c>
      <c r="J6" s="9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</row>
    <row r="7" s="3" customFormat="1" ht="17" customHeight="1" spans="1:175">
      <c r="A7" s="8" t="s">
        <v>6</v>
      </c>
      <c r="B7" s="15" t="s">
        <v>11</v>
      </c>
      <c r="H7" s="8" t="s">
        <v>12</v>
      </c>
      <c r="I7" s="17" t="s">
        <v>13</v>
      </c>
      <c r="J7" s="9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</row>
    <row r="8" s="3" customFormat="1" ht="17" customHeight="1" spans="1:175">
      <c r="A8" s="9"/>
      <c r="B8" s="15"/>
      <c r="H8" s="9"/>
      <c r="I8" s="49"/>
      <c r="J8" s="9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</row>
    <row r="9" s="4" customFormat="1" ht="26.25" customHeight="1" spans="1:10">
      <c r="A9" s="18" t="s">
        <v>122</v>
      </c>
      <c r="B9" s="18"/>
      <c r="C9" s="18"/>
      <c r="D9" s="18"/>
      <c r="E9" s="18"/>
      <c r="F9" s="18"/>
      <c r="G9" s="18"/>
      <c r="H9" s="18"/>
      <c r="I9" s="18"/>
      <c r="J9" s="18"/>
    </row>
    <row r="10" s="1" customFormat="1" spans="1:10">
      <c r="A10" s="37" t="s">
        <v>15</v>
      </c>
      <c r="B10" s="37" t="s">
        <v>16</v>
      </c>
      <c r="C10" s="37" t="s">
        <v>17</v>
      </c>
      <c r="D10" s="38" t="s">
        <v>18</v>
      </c>
      <c r="E10" s="39" t="s">
        <v>19</v>
      </c>
      <c r="F10" s="37" t="s">
        <v>20</v>
      </c>
      <c r="G10" s="40" t="s">
        <v>21</v>
      </c>
      <c r="H10" s="41" t="s">
        <v>22</v>
      </c>
      <c r="I10" s="41" t="s">
        <v>23</v>
      </c>
      <c r="J10" s="41" t="s">
        <v>24</v>
      </c>
    </row>
    <row r="11" s="1" customFormat="1" spans="1:10">
      <c r="A11" s="37" t="s">
        <v>123</v>
      </c>
      <c r="B11" s="54">
        <v>0.075</v>
      </c>
      <c r="C11" s="55">
        <v>3</v>
      </c>
      <c r="D11" s="38" t="s">
        <v>27</v>
      </c>
      <c r="E11" s="39" t="s">
        <v>28</v>
      </c>
      <c r="F11" s="37" t="s">
        <v>102</v>
      </c>
      <c r="G11" s="40">
        <f>ROUND(I11/13.33,3)</f>
        <v>10.954</v>
      </c>
      <c r="H11" s="58">
        <f>ROUND(G11*12,2)</f>
        <v>131.45</v>
      </c>
      <c r="I11" s="58">
        <v>146.023295616</v>
      </c>
      <c r="J11" s="58">
        <f>ROUND(G11*14,2)</f>
        <v>153.36</v>
      </c>
    </row>
    <row r="12" s="1" customFormat="1" spans="1:10">
      <c r="A12" s="37" t="s">
        <v>123</v>
      </c>
      <c r="B12" s="54" t="s">
        <v>26</v>
      </c>
      <c r="C12" s="55">
        <v>4</v>
      </c>
      <c r="D12" s="38" t="s">
        <v>27</v>
      </c>
      <c r="E12" s="39" t="s">
        <v>28</v>
      </c>
      <c r="F12" s="37" t="s">
        <v>29</v>
      </c>
      <c r="G12" s="40">
        <f t="shared" ref="G12:G43" si="0">ROUND(I12/13.33,3)</f>
        <v>10.679</v>
      </c>
      <c r="H12" s="58">
        <f t="shared" ref="H12:H43" si="1">ROUND(G12*12,2)</f>
        <v>128.15</v>
      </c>
      <c r="I12" s="58">
        <v>142.3498494528</v>
      </c>
      <c r="J12" s="58">
        <f t="shared" ref="J12:J43" si="2">ROUND(G12*14,2)</f>
        <v>149.51</v>
      </c>
    </row>
    <row r="13" s="1" customFormat="1" spans="1:10">
      <c r="A13" s="37" t="s">
        <v>123</v>
      </c>
      <c r="B13" s="54" t="s">
        <v>30</v>
      </c>
      <c r="C13" s="55">
        <v>5</v>
      </c>
      <c r="D13" s="38" t="s">
        <v>27</v>
      </c>
      <c r="E13" s="39" t="s">
        <v>28</v>
      </c>
      <c r="F13" s="37" t="s">
        <v>29</v>
      </c>
      <c r="G13" s="40">
        <f t="shared" si="0"/>
        <v>10.679</v>
      </c>
      <c r="H13" s="58">
        <f t="shared" si="1"/>
        <v>128.15</v>
      </c>
      <c r="I13" s="58">
        <v>142.3498494528</v>
      </c>
      <c r="J13" s="58">
        <f t="shared" si="2"/>
        <v>149.51</v>
      </c>
    </row>
    <row r="14" s="1" customFormat="1" spans="1:10">
      <c r="A14" s="37" t="s">
        <v>123</v>
      </c>
      <c r="B14" s="54" t="s">
        <v>31</v>
      </c>
      <c r="C14" s="55">
        <v>6</v>
      </c>
      <c r="D14" s="38" t="s">
        <v>27</v>
      </c>
      <c r="E14" s="39" t="s">
        <v>28</v>
      </c>
      <c r="F14" s="37" t="s">
        <v>32</v>
      </c>
      <c r="G14" s="40">
        <f t="shared" si="0"/>
        <v>10.679</v>
      </c>
      <c r="H14" s="58">
        <f t="shared" si="1"/>
        <v>128.15</v>
      </c>
      <c r="I14" s="58">
        <v>142.3498494528</v>
      </c>
      <c r="J14" s="58">
        <f t="shared" si="2"/>
        <v>149.51</v>
      </c>
    </row>
    <row r="15" s="1" customFormat="1" spans="1:10">
      <c r="A15" s="37" t="s">
        <v>123</v>
      </c>
      <c r="B15" s="54">
        <v>0.18</v>
      </c>
      <c r="C15" s="55">
        <v>7</v>
      </c>
      <c r="D15" s="38" t="s">
        <v>27</v>
      </c>
      <c r="E15" s="39" t="s">
        <v>28</v>
      </c>
      <c r="F15" s="37" t="s">
        <v>35</v>
      </c>
      <c r="G15" s="40">
        <f t="shared" si="0"/>
        <v>10.679</v>
      </c>
      <c r="H15" s="58">
        <f t="shared" si="1"/>
        <v>128.15</v>
      </c>
      <c r="I15" s="58">
        <v>142.3498494528</v>
      </c>
      <c r="J15" s="58">
        <f t="shared" si="2"/>
        <v>149.51</v>
      </c>
    </row>
    <row r="16" s="1" customFormat="1" spans="1:10">
      <c r="A16" s="37" t="s">
        <v>123</v>
      </c>
      <c r="B16" s="54" t="s">
        <v>34</v>
      </c>
      <c r="C16" s="55">
        <v>8</v>
      </c>
      <c r="D16" s="38" t="s">
        <v>27</v>
      </c>
      <c r="E16" s="39" t="s">
        <v>28</v>
      </c>
      <c r="F16" s="37" t="s">
        <v>35</v>
      </c>
      <c r="G16" s="40">
        <f t="shared" si="0"/>
        <v>10.679</v>
      </c>
      <c r="H16" s="58">
        <f t="shared" si="1"/>
        <v>128.15</v>
      </c>
      <c r="I16" s="58">
        <v>142.3498494528</v>
      </c>
      <c r="J16" s="58">
        <f t="shared" si="2"/>
        <v>149.51</v>
      </c>
    </row>
    <row r="17" s="1" customFormat="1" spans="1:10">
      <c r="A17" s="37" t="s">
        <v>123</v>
      </c>
      <c r="B17" s="54" t="s">
        <v>37</v>
      </c>
      <c r="C17" s="55">
        <v>10</v>
      </c>
      <c r="D17" s="38" t="s">
        <v>27</v>
      </c>
      <c r="E17" s="39" t="s">
        <v>28</v>
      </c>
      <c r="F17" s="37" t="s">
        <v>36</v>
      </c>
      <c r="G17" s="40">
        <f t="shared" si="0"/>
        <v>12.282</v>
      </c>
      <c r="H17" s="58">
        <f t="shared" si="1"/>
        <v>147.38</v>
      </c>
      <c r="I17" s="58">
        <v>163.7212414464</v>
      </c>
      <c r="J17" s="58">
        <f t="shared" si="2"/>
        <v>171.95</v>
      </c>
    </row>
    <row r="18" s="1" customFormat="1" spans="1:10">
      <c r="A18" s="37" t="s">
        <v>123</v>
      </c>
      <c r="B18" s="54" t="s">
        <v>38</v>
      </c>
      <c r="C18" s="55">
        <v>12</v>
      </c>
      <c r="D18" s="38" t="s">
        <v>27</v>
      </c>
      <c r="E18" s="39" t="s">
        <v>28</v>
      </c>
      <c r="F18" s="37" t="s">
        <v>39</v>
      </c>
      <c r="G18" s="40">
        <f t="shared" si="0"/>
        <v>12.581</v>
      </c>
      <c r="H18" s="58">
        <f t="shared" si="1"/>
        <v>150.97</v>
      </c>
      <c r="I18" s="58">
        <v>167.70203214336</v>
      </c>
      <c r="J18" s="58">
        <f t="shared" si="2"/>
        <v>176.13</v>
      </c>
    </row>
    <row r="19" s="1" customFormat="1" spans="1:10">
      <c r="A19" s="37" t="s">
        <v>123</v>
      </c>
      <c r="B19" s="54" t="s">
        <v>41</v>
      </c>
      <c r="C19" s="55">
        <v>14</v>
      </c>
      <c r="D19" s="38" t="s">
        <v>27</v>
      </c>
      <c r="E19" s="39" t="s">
        <v>28</v>
      </c>
      <c r="F19" s="37" t="s">
        <v>42</v>
      </c>
      <c r="G19" s="40">
        <f t="shared" si="0"/>
        <v>12.181</v>
      </c>
      <c r="H19" s="58">
        <f t="shared" si="1"/>
        <v>146.17</v>
      </c>
      <c r="I19" s="58">
        <v>162.374357376</v>
      </c>
      <c r="J19" s="58">
        <f t="shared" si="2"/>
        <v>170.53</v>
      </c>
    </row>
    <row r="20" s="1" customFormat="1" spans="1:10">
      <c r="A20" s="37" t="s">
        <v>123</v>
      </c>
      <c r="B20" s="54" t="s">
        <v>43</v>
      </c>
      <c r="C20" s="55">
        <v>15</v>
      </c>
      <c r="D20" s="38" t="s">
        <v>27</v>
      </c>
      <c r="E20" s="39" t="s">
        <v>28</v>
      </c>
      <c r="F20" s="37" t="s">
        <v>42</v>
      </c>
      <c r="G20" s="40">
        <f t="shared" si="0"/>
        <v>12.181</v>
      </c>
      <c r="H20" s="58">
        <f t="shared" si="1"/>
        <v>146.17</v>
      </c>
      <c r="I20" s="58">
        <v>162.374357376</v>
      </c>
      <c r="J20" s="58">
        <f t="shared" si="2"/>
        <v>170.53</v>
      </c>
    </row>
    <row r="21" s="1" customFormat="1" spans="1:10">
      <c r="A21" s="37" t="s">
        <v>123</v>
      </c>
      <c r="B21" s="54" t="s">
        <v>44</v>
      </c>
      <c r="C21" s="55">
        <v>16</v>
      </c>
      <c r="D21" s="38" t="s">
        <v>27</v>
      </c>
      <c r="E21" s="39" t="s">
        <v>28</v>
      </c>
      <c r="F21" s="37" t="s">
        <v>42</v>
      </c>
      <c r="G21" s="40">
        <f t="shared" si="0"/>
        <v>12.181</v>
      </c>
      <c r="H21" s="58">
        <f t="shared" si="1"/>
        <v>146.17</v>
      </c>
      <c r="I21" s="58">
        <v>162.374357376</v>
      </c>
      <c r="J21" s="58">
        <f t="shared" si="2"/>
        <v>170.53</v>
      </c>
    </row>
    <row r="22" s="1" customFormat="1" spans="1:10">
      <c r="A22" s="37" t="s">
        <v>123</v>
      </c>
      <c r="B22" s="54">
        <v>0.45</v>
      </c>
      <c r="C22" s="55">
        <v>16</v>
      </c>
      <c r="D22" s="38" t="s">
        <v>27</v>
      </c>
      <c r="E22" s="39" t="s">
        <v>28</v>
      </c>
      <c r="F22" s="37" t="s">
        <v>45</v>
      </c>
      <c r="G22" s="40">
        <f t="shared" si="0"/>
        <v>13.48</v>
      </c>
      <c r="H22" s="58">
        <f t="shared" si="1"/>
        <v>161.76</v>
      </c>
      <c r="I22" s="58">
        <v>179.68930036992</v>
      </c>
      <c r="J22" s="58">
        <f t="shared" si="2"/>
        <v>188.72</v>
      </c>
    </row>
    <row r="23" s="1" customFormat="1" spans="1:10">
      <c r="A23" s="37" t="s">
        <v>123</v>
      </c>
      <c r="B23" s="54">
        <v>0.5</v>
      </c>
      <c r="C23" s="55">
        <v>20</v>
      </c>
      <c r="D23" s="38" t="s">
        <v>27</v>
      </c>
      <c r="E23" s="39" t="s">
        <v>28</v>
      </c>
      <c r="F23" s="37" t="s">
        <v>46</v>
      </c>
      <c r="G23" s="40">
        <f t="shared" si="0"/>
        <v>12.943</v>
      </c>
      <c r="H23" s="58">
        <f t="shared" si="1"/>
        <v>155.32</v>
      </c>
      <c r="I23" s="58">
        <v>172.53196950528</v>
      </c>
      <c r="J23" s="58">
        <f t="shared" si="2"/>
        <v>181.2</v>
      </c>
    </row>
    <row r="24" s="1" customFormat="1" spans="1:10">
      <c r="A24" s="37" t="s">
        <v>123</v>
      </c>
      <c r="B24" s="54" t="s">
        <v>47</v>
      </c>
      <c r="C24" s="55">
        <v>24</v>
      </c>
      <c r="D24" s="38" t="s">
        <v>27</v>
      </c>
      <c r="E24" s="39" t="s">
        <v>28</v>
      </c>
      <c r="F24" s="37" t="s">
        <v>48</v>
      </c>
      <c r="G24" s="40">
        <f t="shared" si="0"/>
        <v>13.149</v>
      </c>
      <c r="H24" s="58">
        <f t="shared" si="1"/>
        <v>157.79</v>
      </c>
      <c r="I24" s="58">
        <v>175.27894788096</v>
      </c>
      <c r="J24" s="58">
        <f t="shared" si="2"/>
        <v>184.09</v>
      </c>
    </row>
    <row r="25" s="1" customFormat="1" spans="1:10">
      <c r="A25" s="37" t="s">
        <v>123</v>
      </c>
      <c r="B25" s="54">
        <v>0.7</v>
      </c>
      <c r="C25" s="55">
        <v>28</v>
      </c>
      <c r="D25" s="38" t="s">
        <v>27</v>
      </c>
      <c r="E25" s="39" t="s">
        <v>28</v>
      </c>
      <c r="F25" s="37" t="s">
        <v>49</v>
      </c>
      <c r="G25" s="40">
        <f t="shared" si="0"/>
        <v>13.866</v>
      </c>
      <c r="H25" s="58">
        <f t="shared" si="1"/>
        <v>166.39</v>
      </c>
      <c r="I25" s="58">
        <v>184.836282048</v>
      </c>
      <c r="J25" s="58">
        <f t="shared" si="2"/>
        <v>194.12</v>
      </c>
    </row>
    <row r="26" s="1" customFormat="1" spans="1:10">
      <c r="A26" s="37" t="s">
        <v>123</v>
      </c>
      <c r="B26" s="54">
        <v>0.8</v>
      </c>
      <c r="C26" s="55">
        <v>32</v>
      </c>
      <c r="D26" s="38" t="s">
        <v>27</v>
      </c>
      <c r="E26" s="39" t="s">
        <v>28</v>
      </c>
      <c r="F26" s="37" t="s">
        <v>49</v>
      </c>
      <c r="G26" s="40">
        <f t="shared" si="0"/>
        <v>14.974</v>
      </c>
      <c r="H26" s="58">
        <f t="shared" si="1"/>
        <v>179.69</v>
      </c>
      <c r="I26" s="58">
        <v>199.60766496</v>
      </c>
      <c r="J26" s="58">
        <f t="shared" si="2"/>
        <v>209.64</v>
      </c>
    </row>
    <row r="27" s="1" customFormat="1" spans="1:10">
      <c r="A27" s="37" t="s">
        <v>123</v>
      </c>
      <c r="B27" s="54">
        <v>0.9</v>
      </c>
      <c r="C27" s="55">
        <v>36</v>
      </c>
      <c r="D27" s="38" t="s">
        <v>27</v>
      </c>
      <c r="E27" s="39" t="s">
        <v>28</v>
      </c>
      <c r="F27" s="37" t="s">
        <v>50</v>
      </c>
      <c r="G27" s="40">
        <f t="shared" si="0"/>
        <v>15.753</v>
      </c>
      <c r="H27" s="58">
        <f t="shared" si="1"/>
        <v>189.04</v>
      </c>
      <c r="I27" s="58">
        <v>209.986432128</v>
      </c>
      <c r="J27" s="58">
        <f t="shared" si="2"/>
        <v>220.54</v>
      </c>
    </row>
    <row r="28" s="1" customFormat="1" spans="1:10">
      <c r="A28" s="37" t="s">
        <v>123</v>
      </c>
      <c r="B28" s="54" t="s">
        <v>51</v>
      </c>
      <c r="C28" s="55">
        <v>39</v>
      </c>
      <c r="D28" s="38" t="s">
        <v>27</v>
      </c>
      <c r="E28" s="39" t="s">
        <v>28</v>
      </c>
      <c r="F28" s="37" t="s">
        <v>52</v>
      </c>
      <c r="G28" s="40">
        <f t="shared" si="0"/>
        <v>17.202</v>
      </c>
      <c r="H28" s="58">
        <f t="shared" si="1"/>
        <v>206.42</v>
      </c>
      <c r="I28" s="58">
        <v>229.302855936</v>
      </c>
      <c r="J28" s="58">
        <f t="shared" si="2"/>
        <v>240.83</v>
      </c>
    </row>
    <row r="29" s="1" customFormat="1" spans="1:10">
      <c r="A29" s="37" t="s">
        <v>123</v>
      </c>
      <c r="B29" s="54" t="s">
        <v>53</v>
      </c>
      <c r="C29" s="55">
        <v>43</v>
      </c>
      <c r="D29" s="38" t="s">
        <v>27</v>
      </c>
      <c r="E29" s="39" t="s">
        <v>28</v>
      </c>
      <c r="F29" s="37" t="s">
        <v>54</v>
      </c>
      <c r="G29" s="40">
        <f t="shared" si="0"/>
        <v>17.837</v>
      </c>
      <c r="H29" s="58">
        <f t="shared" si="1"/>
        <v>214.04</v>
      </c>
      <c r="I29" s="58">
        <v>237.769380288</v>
      </c>
      <c r="J29" s="58">
        <f t="shared" si="2"/>
        <v>249.72</v>
      </c>
    </row>
    <row r="30" s="1" customFormat="1" spans="1:10">
      <c r="A30" s="37" t="s">
        <v>123</v>
      </c>
      <c r="B30" s="54" t="s">
        <v>55</v>
      </c>
      <c r="C30" s="55">
        <v>47</v>
      </c>
      <c r="D30" s="38" t="s">
        <v>27</v>
      </c>
      <c r="E30" s="39" t="s">
        <v>28</v>
      </c>
      <c r="F30" s="37" t="s">
        <v>54</v>
      </c>
      <c r="G30" s="40">
        <f t="shared" si="0"/>
        <v>18.11</v>
      </c>
      <c r="H30" s="58">
        <f t="shared" si="1"/>
        <v>217.32</v>
      </c>
      <c r="I30" s="58">
        <v>241.399870272</v>
      </c>
      <c r="J30" s="58">
        <f t="shared" si="2"/>
        <v>253.54</v>
      </c>
    </row>
    <row r="31" s="1" customFormat="1" spans="1:10">
      <c r="A31" s="37" t="s">
        <v>123</v>
      </c>
      <c r="B31" s="54">
        <v>1.3</v>
      </c>
      <c r="C31" s="55">
        <v>51</v>
      </c>
      <c r="D31" s="38" t="s">
        <v>27</v>
      </c>
      <c r="E31" s="39" t="s">
        <v>28</v>
      </c>
      <c r="F31" s="37" t="s">
        <v>56</v>
      </c>
      <c r="G31" s="40">
        <f t="shared" si="0"/>
        <v>19.285</v>
      </c>
      <c r="H31" s="58">
        <f t="shared" si="1"/>
        <v>231.42</v>
      </c>
      <c r="I31" s="58">
        <v>257.071947264</v>
      </c>
      <c r="J31" s="58">
        <f t="shared" si="2"/>
        <v>269.99</v>
      </c>
    </row>
    <row r="32" s="1" customFormat="1" spans="1:10">
      <c r="A32" s="37" t="s">
        <v>123</v>
      </c>
      <c r="B32" s="54" t="s">
        <v>57</v>
      </c>
      <c r="C32" s="55">
        <v>55</v>
      </c>
      <c r="D32" s="38" t="s">
        <v>27</v>
      </c>
      <c r="E32" s="39" t="s">
        <v>28</v>
      </c>
      <c r="F32" s="37" t="s">
        <v>56</v>
      </c>
      <c r="G32" s="40">
        <f t="shared" si="0"/>
        <v>19.285</v>
      </c>
      <c r="H32" s="58">
        <f t="shared" si="1"/>
        <v>231.42</v>
      </c>
      <c r="I32" s="58">
        <v>257.071947264</v>
      </c>
      <c r="J32" s="58">
        <f t="shared" si="2"/>
        <v>269.99</v>
      </c>
    </row>
    <row r="33" s="1" customFormat="1" spans="1:10">
      <c r="A33" s="37" t="s">
        <v>123</v>
      </c>
      <c r="B33" s="54" t="s">
        <v>58</v>
      </c>
      <c r="C33" s="55">
        <v>59</v>
      </c>
      <c r="D33" s="38" t="s">
        <v>27</v>
      </c>
      <c r="E33" s="39" t="s">
        <v>28</v>
      </c>
      <c r="F33" s="37" t="s">
        <v>59</v>
      </c>
      <c r="G33" s="40">
        <f t="shared" si="0"/>
        <v>20.826</v>
      </c>
      <c r="H33" s="58">
        <f t="shared" si="1"/>
        <v>249.91</v>
      </c>
      <c r="I33" s="58">
        <v>277.607772288</v>
      </c>
      <c r="J33" s="58">
        <f t="shared" si="2"/>
        <v>291.56</v>
      </c>
    </row>
    <row r="34" s="1" customFormat="1" spans="1:10">
      <c r="A34" s="37" t="s">
        <v>123</v>
      </c>
      <c r="B34" s="54" t="s">
        <v>60</v>
      </c>
      <c r="C34" s="55">
        <v>63</v>
      </c>
      <c r="D34" s="38" t="s">
        <v>27</v>
      </c>
      <c r="E34" s="39" t="s">
        <v>28</v>
      </c>
      <c r="F34" s="37" t="s">
        <v>59</v>
      </c>
      <c r="G34" s="40">
        <f t="shared" si="0"/>
        <v>21.096</v>
      </c>
      <c r="H34" s="58">
        <f t="shared" si="1"/>
        <v>253.15</v>
      </c>
      <c r="I34" s="58">
        <v>281.210548608</v>
      </c>
      <c r="J34" s="58">
        <f t="shared" si="2"/>
        <v>295.34</v>
      </c>
    </row>
    <row r="35" s="1" customFormat="1" spans="1:10">
      <c r="A35" s="37" t="s">
        <v>123</v>
      </c>
      <c r="B35" s="54" t="s">
        <v>63</v>
      </c>
      <c r="C35" s="55">
        <v>79</v>
      </c>
      <c r="D35" s="38" t="s">
        <v>27</v>
      </c>
      <c r="E35" s="39" t="s">
        <v>28</v>
      </c>
      <c r="F35" s="37" t="s">
        <v>64</v>
      </c>
      <c r="G35" s="40">
        <f t="shared" si="0"/>
        <v>30.147</v>
      </c>
      <c r="H35" s="58">
        <f t="shared" si="1"/>
        <v>361.76</v>
      </c>
      <c r="I35" s="58">
        <v>401.861984832</v>
      </c>
      <c r="J35" s="58">
        <f t="shared" si="2"/>
        <v>422.06</v>
      </c>
    </row>
    <row r="36" s="1" customFormat="1" spans="1:10">
      <c r="A36" s="37" t="s">
        <v>123</v>
      </c>
      <c r="B36" s="76">
        <v>2.2</v>
      </c>
      <c r="C36" s="55">
        <v>87</v>
      </c>
      <c r="D36" s="38" t="s">
        <v>27</v>
      </c>
      <c r="E36" s="39" t="s">
        <v>28</v>
      </c>
      <c r="F36" s="37" t="s">
        <v>65</v>
      </c>
      <c r="G36" s="40">
        <f t="shared" si="0"/>
        <v>32.229</v>
      </c>
      <c r="H36" s="58">
        <f t="shared" si="1"/>
        <v>386.75</v>
      </c>
      <c r="I36" s="58">
        <v>429.617219328</v>
      </c>
      <c r="J36" s="58">
        <f t="shared" si="2"/>
        <v>451.21</v>
      </c>
    </row>
    <row r="37" s="1" customFormat="1" spans="1:10">
      <c r="A37" s="37" t="s">
        <v>123</v>
      </c>
      <c r="B37" s="54" t="s">
        <v>66</v>
      </c>
      <c r="C37" s="55">
        <v>94</v>
      </c>
      <c r="D37" s="38" t="s">
        <v>27</v>
      </c>
      <c r="E37" s="39" t="s">
        <v>28</v>
      </c>
      <c r="F37" s="37" t="s">
        <v>67</v>
      </c>
      <c r="G37" s="40">
        <f t="shared" si="0"/>
        <v>34.402</v>
      </c>
      <c r="H37" s="58">
        <f t="shared" si="1"/>
        <v>412.82</v>
      </c>
      <c r="I37" s="58">
        <v>458.577998208</v>
      </c>
      <c r="J37" s="58">
        <f t="shared" si="2"/>
        <v>481.63</v>
      </c>
    </row>
    <row r="38" s="1" customFormat="1" spans="1:10">
      <c r="A38" s="37" t="s">
        <v>123</v>
      </c>
      <c r="B38" s="54" t="s">
        <v>68</v>
      </c>
      <c r="C38" s="55">
        <v>118</v>
      </c>
      <c r="D38" s="38" t="s">
        <v>27</v>
      </c>
      <c r="E38" s="39" t="s">
        <v>28</v>
      </c>
      <c r="F38" s="37" t="s">
        <v>69</v>
      </c>
      <c r="G38" s="40">
        <f t="shared" si="0"/>
        <v>43.276</v>
      </c>
      <c r="H38" s="58">
        <f t="shared" si="1"/>
        <v>519.31</v>
      </c>
      <c r="I38" s="58">
        <v>576.873772992</v>
      </c>
      <c r="J38" s="58">
        <f t="shared" si="2"/>
        <v>605.86</v>
      </c>
    </row>
    <row r="39" s="1" customFormat="1" spans="1:10">
      <c r="A39" s="37" t="s">
        <v>123</v>
      </c>
      <c r="B39" s="76">
        <v>3.2</v>
      </c>
      <c r="C39" s="55">
        <v>126</v>
      </c>
      <c r="D39" s="38">
        <v>11</v>
      </c>
      <c r="E39" s="39" t="s">
        <v>28</v>
      </c>
      <c r="F39" s="37" t="s">
        <v>104</v>
      </c>
      <c r="G39" s="40">
        <f t="shared" si="0"/>
        <v>47.444</v>
      </c>
      <c r="H39" s="58">
        <f t="shared" si="1"/>
        <v>569.33</v>
      </c>
      <c r="I39" s="58">
        <v>632.42581248</v>
      </c>
      <c r="J39" s="58">
        <f t="shared" si="2"/>
        <v>664.22</v>
      </c>
    </row>
    <row r="40" s="1" customFormat="1" spans="1:10">
      <c r="A40" s="37" t="s">
        <v>123</v>
      </c>
      <c r="B40" s="54">
        <v>0.075</v>
      </c>
      <c r="C40" s="55">
        <v>3</v>
      </c>
      <c r="D40" s="38" t="s">
        <v>70</v>
      </c>
      <c r="E40" s="39" t="s">
        <v>28</v>
      </c>
      <c r="F40" s="37" t="s">
        <v>102</v>
      </c>
      <c r="G40" s="40">
        <f t="shared" si="0"/>
        <v>7.03</v>
      </c>
      <c r="H40" s="58">
        <f t="shared" si="1"/>
        <v>84.36</v>
      </c>
      <c r="I40" s="58">
        <v>93.7054407168</v>
      </c>
      <c r="J40" s="58">
        <f t="shared" si="2"/>
        <v>98.42</v>
      </c>
    </row>
    <row r="41" s="1" customFormat="1" spans="1:10">
      <c r="A41" s="37" t="s">
        <v>123</v>
      </c>
      <c r="B41" s="54" t="s">
        <v>26</v>
      </c>
      <c r="C41" s="55">
        <v>4</v>
      </c>
      <c r="D41" s="38" t="s">
        <v>70</v>
      </c>
      <c r="E41" s="39" t="s">
        <v>28</v>
      </c>
      <c r="F41" s="37" t="s">
        <v>29</v>
      </c>
      <c r="G41" s="40">
        <f t="shared" si="0"/>
        <v>6.924</v>
      </c>
      <c r="H41" s="58">
        <f t="shared" si="1"/>
        <v>83.09</v>
      </c>
      <c r="I41" s="58">
        <v>92.296893744</v>
      </c>
      <c r="J41" s="58">
        <f t="shared" si="2"/>
        <v>96.94</v>
      </c>
    </row>
    <row r="42" s="1" customFormat="1" spans="1:10">
      <c r="A42" s="37" t="s">
        <v>123</v>
      </c>
      <c r="B42" s="54" t="s">
        <v>30</v>
      </c>
      <c r="C42" s="55">
        <v>5</v>
      </c>
      <c r="D42" s="38" t="s">
        <v>70</v>
      </c>
      <c r="E42" s="39" t="s">
        <v>28</v>
      </c>
      <c r="F42" s="37" t="s">
        <v>29</v>
      </c>
      <c r="G42" s="40">
        <f t="shared" si="0"/>
        <v>6.924</v>
      </c>
      <c r="H42" s="58">
        <f t="shared" si="1"/>
        <v>83.09</v>
      </c>
      <c r="I42" s="58">
        <v>92.296893744</v>
      </c>
      <c r="J42" s="58">
        <f t="shared" si="2"/>
        <v>96.94</v>
      </c>
    </row>
    <row r="43" s="1" customFormat="1" spans="1:10">
      <c r="A43" s="37" t="s">
        <v>123</v>
      </c>
      <c r="B43" s="54" t="s">
        <v>31</v>
      </c>
      <c r="C43" s="55">
        <v>6</v>
      </c>
      <c r="D43" s="38" t="s">
        <v>70</v>
      </c>
      <c r="E43" s="39" t="s">
        <v>28</v>
      </c>
      <c r="F43" s="37" t="s">
        <v>32</v>
      </c>
      <c r="G43" s="40">
        <f t="shared" si="0"/>
        <v>6.924</v>
      </c>
      <c r="H43" s="58">
        <f t="shared" si="1"/>
        <v>83.09</v>
      </c>
      <c r="I43" s="58">
        <v>92.296893744</v>
      </c>
      <c r="J43" s="58">
        <f t="shared" si="2"/>
        <v>96.94</v>
      </c>
    </row>
    <row r="44" s="1" customFormat="1" spans="1:10">
      <c r="A44" s="37" t="s">
        <v>123</v>
      </c>
      <c r="B44" s="54">
        <v>0.18</v>
      </c>
      <c r="C44" s="55">
        <v>7</v>
      </c>
      <c r="D44" s="38" t="s">
        <v>70</v>
      </c>
      <c r="E44" s="39" t="s">
        <v>28</v>
      </c>
      <c r="F44" s="37" t="s">
        <v>35</v>
      </c>
      <c r="G44" s="40">
        <f t="shared" ref="G44:G69" si="3">ROUND(I44/13.33,3)</f>
        <v>6.924</v>
      </c>
      <c r="H44" s="58">
        <f t="shared" ref="H44:H69" si="4">ROUND(G44*12,2)</f>
        <v>83.09</v>
      </c>
      <c r="I44" s="58">
        <v>92.296893744</v>
      </c>
      <c r="J44" s="58">
        <f t="shared" ref="J44:J69" si="5">ROUND(G44*14,2)</f>
        <v>96.94</v>
      </c>
    </row>
    <row r="45" s="1" customFormat="1" spans="1:10">
      <c r="A45" s="37" t="s">
        <v>123</v>
      </c>
      <c r="B45" s="54" t="s">
        <v>34</v>
      </c>
      <c r="C45" s="55">
        <v>8</v>
      </c>
      <c r="D45" s="38" t="s">
        <v>70</v>
      </c>
      <c r="E45" s="39" t="s">
        <v>28</v>
      </c>
      <c r="F45" s="37" t="s">
        <v>35</v>
      </c>
      <c r="G45" s="40">
        <f t="shared" si="3"/>
        <v>6.924</v>
      </c>
      <c r="H45" s="58">
        <f t="shared" si="4"/>
        <v>83.09</v>
      </c>
      <c r="I45" s="58">
        <v>92.296893744</v>
      </c>
      <c r="J45" s="58">
        <f t="shared" si="5"/>
        <v>96.94</v>
      </c>
    </row>
    <row r="46" s="1" customFormat="1" spans="1:10">
      <c r="A46" s="37" t="s">
        <v>123</v>
      </c>
      <c r="B46" s="54" t="s">
        <v>37</v>
      </c>
      <c r="C46" s="55">
        <v>10</v>
      </c>
      <c r="D46" s="38" t="s">
        <v>70</v>
      </c>
      <c r="E46" s="39" t="s">
        <v>28</v>
      </c>
      <c r="F46" s="37" t="s">
        <v>36</v>
      </c>
      <c r="G46" s="40">
        <f t="shared" si="3"/>
        <v>8.134</v>
      </c>
      <c r="H46" s="58">
        <f t="shared" si="4"/>
        <v>97.61</v>
      </c>
      <c r="I46" s="58">
        <v>108.4297104</v>
      </c>
      <c r="J46" s="58">
        <f t="shared" si="5"/>
        <v>113.88</v>
      </c>
    </row>
    <row r="47" s="1" customFormat="1" spans="1:10">
      <c r="A47" s="37" t="s">
        <v>123</v>
      </c>
      <c r="B47" s="54" t="s">
        <v>38</v>
      </c>
      <c r="C47" s="55">
        <v>12</v>
      </c>
      <c r="D47" s="38" t="s">
        <v>70</v>
      </c>
      <c r="E47" s="39" t="s">
        <v>28</v>
      </c>
      <c r="F47" s="37" t="s">
        <v>39</v>
      </c>
      <c r="G47" s="40">
        <f t="shared" si="3"/>
        <v>8.597</v>
      </c>
      <c r="H47" s="58">
        <f t="shared" si="4"/>
        <v>103.16</v>
      </c>
      <c r="I47" s="58">
        <v>114.59600064</v>
      </c>
      <c r="J47" s="58">
        <f t="shared" si="5"/>
        <v>120.36</v>
      </c>
    </row>
    <row r="48" s="1" customFormat="1" spans="1:10">
      <c r="A48" s="37" t="s">
        <v>123</v>
      </c>
      <c r="B48" s="54" t="s">
        <v>41</v>
      </c>
      <c r="C48" s="55">
        <v>14</v>
      </c>
      <c r="D48" s="38" t="s">
        <v>70</v>
      </c>
      <c r="E48" s="39" t="s">
        <v>28</v>
      </c>
      <c r="F48" s="37" t="s">
        <v>42</v>
      </c>
      <c r="G48" s="40">
        <f t="shared" si="3"/>
        <v>8.211</v>
      </c>
      <c r="H48" s="58">
        <f t="shared" si="4"/>
        <v>98.53</v>
      </c>
      <c r="I48" s="58">
        <v>109.45151319168</v>
      </c>
      <c r="J48" s="58">
        <f t="shared" si="5"/>
        <v>114.95</v>
      </c>
    </row>
    <row r="49" s="1" customFormat="1" spans="1:10">
      <c r="A49" s="37" t="s">
        <v>123</v>
      </c>
      <c r="B49" s="54" t="s">
        <v>43</v>
      </c>
      <c r="C49" s="55">
        <v>15</v>
      </c>
      <c r="D49" s="38" t="s">
        <v>70</v>
      </c>
      <c r="E49" s="39" t="s">
        <v>28</v>
      </c>
      <c r="F49" s="37" t="s">
        <v>42</v>
      </c>
      <c r="G49" s="40">
        <f t="shared" si="3"/>
        <v>8.288</v>
      </c>
      <c r="H49" s="58">
        <f t="shared" si="4"/>
        <v>99.46</v>
      </c>
      <c r="I49" s="58">
        <v>110.47442452992</v>
      </c>
      <c r="J49" s="58">
        <f t="shared" si="5"/>
        <v>116.03</v>
      </c>
    </row>
    <row r="50" s="1" customFormat="1" spans="1:10">
      <c r="A50" s="37" t="s">
        <v>123</v>
      </c>
      <c r="B50" s="54" t="s">
        <v>44</v>
      </c>
      <c r="C50" s="55">
        <v>16</v>
      </c>
      <c r="D50" s="38" t="s">
        <v>70</v>
      </c>
      <c r="E50" s="39" t="s">
        <v>28</v>
      </c>
      <c r="F50" s="37" t="s">
        <v>42</v>
      </c>
      <c r="G50" s="40">
        <f t="shared" si="3"/>
        <v>8.211</v>
      </c>
      <c r="H50" s="58">
        <f t="shared" si="4"/>
        <v>98.53</v>
      </c>
      <c r="I50" s="58">
        <v>109.45151319168</v>
      </c>
      <c r="J50" s="58">
        <f t="shared" si="5"/>
        <v>114.95</v>
      </c>
    </row>
    <row r="51" s="1" customFormat="1" spans="1:10">
      <c r="A51" s="37" t="s">
        <v>123</v>
      </c>
      <c r="B51" s="54">
        <v>0.45</v>
      </c>
      <c r="C51" s="55">
        <v>16</v>
      </c>
      <c r="D51" s="38" t="s">
        <v>70</v>
      </c>
      <c r="E51" s="39" t="s">
        <v>28</v>
      </c>
      <c r="F51" s="37" t="s">
        <v>45</v>
      </c>
      <c r="G51" s="40">
        <f t="shared" si="3"/>
        <v>9.801</v>
      </c>
      <c r="H51" s="58">
        <f t="shared" si="4"/>
        <v>117.61</v>
      </c>
      <c r="I51" s="58">
        <v>130.642212096</v>
      </c>
      <c r="J51" s="58">
        <f t="shared" si="5"/>
        <v>137.21</v>
      </c>
    </row>
    <row r="52" s="1" customFormat="1" spans="1:10">
      <c r="A52" s="37" t="s">
        <v>123</v>
      </c>
      <c r="B52" s="54">
        <v>0.5</v>
      </c>
      <c r="C52" s="55">
        <v>20</v>
      </c>
      <c r="D52" s="38" t="s">
        <v>70</v>
      </c>
      <c r="E52" s="39" t="s">
        <v>28</v>
      </c>
      <c r="F52" s="37" t="s">
        <v>46</v>
      </c>
      <c r="G52" s="40">
        <f t="shared" si="3"/>
        <v>9.338</v>
      </c>
      <c r="H52" s="58">
        <f t="shared" si="4"/>
        <v>112.06</v>
      </c>
      <c r="I52" s="58">
        <v>124.475921856</v>
      </c>
      <c r="J52" s="58">
        <f t="shared" si="5"/>
        <v>130.73</v>
      </c>
    </row>
    <row r="53" s="1" customFormat="1" spans="1:10">
      <c r="A53" s="37" t="s">
        <v>123</v>
      </c>
      <c r="B53" s="54" t="s">
        <v>47</v>
      </c>
      <c r="C53" s="55">
        <v>24</v>
      </c>
      <c r="D53" s="38" t="s">
        <v>70</v>
      </c>
      <c r="E53" s="39" t="s">
        <v>28</v>
      </c>
      <c r="F53" s="37" t="s">
        <v>48</v>
      </c>
      <c r="G53" s="40">
        <f t="shared" si="3"/>
        <v>9.617</v>
      </c>
      <c r="H53" s="58">
        <f t="shared" si="4"/>
        <v>115.4</v>
      </c>
      <c r="I53" s="58">
        <v>128.189552832</v>
      </c>
      <c r="J53" s="58">
        <f t="shared" si="5"/>
        <v>134.64</v>
      </c>
    </row>
    <row r="54" s="1" customFormat="1" spans="1:10">
      <c r="A54" s="37" t="s">
        <v>123</v>
      </c>
      <c r="B54" s="54">
        <v>0.7</v>
      </c>
      <c r="C54" s="55">
        <v>28</v>
      </c>
      <c r="D54" s="38" t="s">
        <v>70</v>
      </c>
      <c r="E54" s="39" t="s">
        <v>28</v>
      </c>
      <c r="F54" s="37" t="s">
        <v>49</v>
      </c>
      <c r="G54" s="40">
        <f t="shared" si="3"/>
        <v>11.465</v>
      </c>
      <c r="H54" s="58">
        <f t="shared" si="4"/>
        <v>137.58</v>
      </c>
      <c r="I54" s="58">
        <v>152.827000128</v>
      </c>
      <c r="J54" s="58">
        <f t="shared" si="5"/>
        <v>160.51</v>
      </c>
    </row>
    <row r="55" s="1" customFormat="1" spans="1:10">
      <c r="A55" s="37" t="s">
        <v>123</v>
      </c>
      <c r="B55" s="54">
        <v>0.8</v>
      </c>
      <c r="C55" s="55">
        <v>32</v>
      </c>
      <c r="D55" s="38" t="s">
        <v>70</v>
      </c>
      <c r="E55" s="39" t="s">
        <v>28</v>
      </c>
      <c r="F55" s="37" t="s">
        <v>49</v>
      </c>
      <c r="G55" s="40">
        <f t="shared" si="3"/>
        <v>11.465</v>
      </c>
      <c r="H55" s="58">
        <f t="shared" si="4"/>
        <v>137.58</v>
      </c>
      <c r="I55" s="58">
        <v>152.827000128</v>
      </c>
      <c r="J55" s="58">
        <f t="shared" si="5"/>
        <v>160.51</v>
      </c>
    </row>
    <row r="56" s="1" customFormat="1" spans="1:10">
      <c r="A56" s="37" t="s">
        <v>123</v>
      </c>
      <c r="B56" s="54">
        <v>0.9</v>
      </c>
      <c r="C56" s="55">
        <v>36</v>
      </c>
      <c r="D56" s="38" t="s">
        <v>70</v>
      </c>
      <c r="E56" s="39" t="s">
        <v>28</v>
      </c>
      <c r="F56" s="37" t="s">
        <v>52</v>
      </c>
      <c r="G56" s="40">
        <f t="shared" si="3"/>
        <v>12.675</v>
      </c>
      <c r="H56" s="58">
        <f t="shared" si="4"/>
        <v>152.1</v>
      </c>
      <c r="I56" s="58">
        <v>168.956352576</v>
      </c>
      <c r="J56" s="58">
        <f t="shared" si="5"/>
        <v>177.45</v>
      </c>
    </row>
    <row r="57" s="1" customFormat="1" spans="1:10">
      <c r="A57" s="37" t="s">
        <v>123</v>
      </c>
      <c r="B57" s="54" t="s">
        <v>51</v>
      </c>
      <c r="C57" s="55">
        <v>39</v>
      </c>
      <c r="D57" s="38" t="s">
        <v>70</v>
      </c>
      <c r="E57" s="39" t="s">
        <v>28</v>
      </c>
      <c r="F57" s="37" t="s">
        <v>52</v>
      </c>
      <c r="G57" s="40">
        <f t="shared" si="3"/>
        <v>13.489</v>
      </c>
      <c r="H57" s="58">
        <f t="shared" si="4"/>
        <v>161.87</v>
      </c>
      <c r="I57" s="58">
        <v>179.806252032</v>
      </c>
      <c r="J57" s="58">
        <f t="shared" si="5"/>
        <v>188.85</v>
      </c>
    </row>
    <row r="58" s="1" customFormat="1" spans="1:10">
      <c r="A58" s="37" t="s">
        <v>123</v>
      </c>
      <c r="B58" s="54" t="s">
        <v>53</v>
      </c>
      <c r="C58" s="55">
        <v>43</v>
      </c>
      <c r="D58" s="38" t="s">
        <v>70</v>
      </c>
      <c r="E58" s="39" t="s">
        <v>28</v>
      </c>
      <c r="F58" s="37" t="s">
        <v>54</v>
      </c>
      <c r="G58" s="40">
        <f t="shared" si="3"/>
        <v>15.119</v>
      </c>
      <c r="H58" s="58">
        <f t="shared" si="4"/>
        <v>181.43</v>
      </c>
      <c r="I58" s="58">
        <v>201.533764608</v>
      </c>
      <c r="J58" s="58">
        <f t="shared" si="5"/>
        <v>211.67</v>
      </c>
    </row>
    <row r="59" s="1" customFormat="1" spans="1:10">
      <c r="A59" s="37" t="s">
        <v>123</v>
      </c>
      <c r="B59" s="54" t="s">
        <v>55</v>
      </c>
      <c r="C59" s="55">
        <v>47</v>
      </c>
      <c r="D59" s="38" t="s">
        <v>70</v>
      </c>
      <c r="E59" s="39" t="s">
        <v>28</v>
      </c>
      <c r="F59" s="37" t="s">
        <v>54</v>
      </c>
      <c r="G59" s="40">
        <f t="shared" si="3"/>
        <v>15.119</v>
      </c>
      <c r="H59" s="58">
        <f t="shared" si="4"/>
        <v>181.43</v>
      </c>
      <c r="I59" s="58">
        <v>201.533764608</v>
      </c>
      <c r="J59" s="58">
        <f t="shared" si="5"/>
        <v>211.67</v>
      </c>
    </row>
    <row r="60" s="1" customFormat="1" spans="1:10">
      <c r="A60" s="37" t="s">
        <v>123</v>
      </c>
      <c r="B60" s="54">
        <v>1.3</v>
      </c>
      <c r="C60" s="55">
        <v>51</v>
      </c>
      <c r="D60" s="38" t="s">
        <v>70</v>
      </c>
      <c r="E60" s="39" t="s">
        <v>28</v>
      </c>
      <c r="F60" s="37" t="s">
        <v>56</v>
      </c>
      <c r="G60" s="40">
        <f t="shared" si="3"/>
        <v>16.204</v>
      </c>
      <c r="H60" s="58">
        <f t="shared" si="4"/>
        <v>194.45</v>
      </c>
      <c r="I60" s="58">
        <v>216.000297216</v>
      </c>
      <c r="J60" s="58">
        <f t="shared" si="5"/>
        <v>226.86</v>
      </c>
    </row>
    <row r="61" s="1" customFormat="1" spans="1:10">
      <c r="A61" s="37" t="s">
        <v>123</v>
      </c>
      <c r="B61" s="54" t="s">
        <v>57</v>
      </c>
      <c r="C61" s="55">
        <v>55</v>
      </c>
      <c r="D61" s="38" t="s">
        <v>70</v>
      </c>
      <c r="E61" s="39" t="s">
        <v>28</v>
      </c>
      <c r="F61" s="37" t="s">
        <v>56</v>
      </c>
      <c r="G61" s="40">
        <f t="shared" si="3"/>
        <v>16.204</v>
      </c>
      <c r="H61" s="58">
        <f t="shared" si="4"/>
        <v>194.45</v>
      </c>
      <c r="I61" s="58">
        <v>216.000297216</v>
      </c>
      <c r="J61" s="58">
        <f t="shared" si="5"/>
        <v>226.86</v>
      </c>
    </row>
    <row r="62" s="1" customFormat="1" spans="1:10">
      <c r="A62" s="37" t="s">
        <v>123</v>
      </c>
      <c r="B62" s="54" t="s">
        <v>58</v>
      </c>
      <c r="C62" s="55">
        <v>59</v>
      </c>
      <c r="D62" s="38" t="s">
        <v>70</v>
      </c>
      <c r="E62" s="39" t="s">
        <v>28</v>
      </c>
      <c r="F62" s="37" t="s">
        <v>59</v>
      </c>
      <c r="G62" s="40">
        <f t="shared" si="3"/>
        <v>18.11</v>
      </c>
      <c r="H62" s="58">
        <f t="shared" si="4"/>
        <v>217.32</v>
      </c>
      <c r="I62" s="58">
        <v>241.399870272</v>
      </c>
      <c r="J62" s="58">
        <f t="shared" si="5"/>
        <v>253.54</v>
      </c>
    </row>
    <row r="63" s="1" customFormat="1" spans="1:10">
      <c r="A63" s="37" t="s">
        <v>123</v>
      </c>
      <c r="B63" s="54" t="s">
        <v>60</v>
      </c>
      <c r="C63" s="55">
        <v>63</v>
      </c>
      <c r="D63" s="38" t="s">
        <v>70</v>
      </c>
      <c r="E63" s="39" t="s">
        <v>28</v>
      </c>
      <c r="F63" s="37" t="s">
        <v>59</v>
      </c>
      <c r="G63" s="40">
        <f t="shared" si="3"/>
        <v>17.747</v>
      </c>
      <c r="H63" s="58">
        <f t="shared" si="4"/>
        <v>212.96</v>
      </c>
      <c r="I63" s="58">
        <v>236.563835904</v>
      </c>
      <c r="J63" s="58">
        <f t="shared" si="5"/>
        <v>248.46</v>
      </c>
    </row>
    <row r="64" s="1" customFormat="1" spans="1:10">
      <c r="A64" s="37" t="s">
        <v>123</v>
      </c>
      <c r="B64" s="54">
        <v>1.9</v>
      </c>
      <c r="C64" s="55">
        <v>75</v>
      </c>
      <c r="D64" s="38" t="s">
        <v>70</v>
      </c>
      <c r="E64" s="39" t="s">
        <v>28</v>
      </c>
      <c r="F64" s="37" t="s">
        <v>62</v>
      </c>
      <c r="G64" s="40">
        <f t="shared" si="3"/>
        <v>26.891</v>
      </c>
      <c r="H64" s="58">
        <f t="shared" si="4"/>
        <v>322.69</v>
      </c>
      <c r="I64" s="58">
        <v>358.462387008</v>
      </c>
      <c r="J64" s="58">
        <f t="shared" si="5"/>
        <v>376.47</v>
      </c>
    </row>
    <row r="65" s="1" customFormat="1" spans="1:10">
      <c r="A65" s="37" t="s">
        <v>123</v>
      </c>
      <c r="B65" s="54" t="s">
        <v>63</v>
      </c>
      <c r="C65" s="55">
        <v>79</v>
      </c>
      <c r="D65" s="38" t="s">
        <v>70</v>
      </c>
      <c r="E65" s="39" t="s">
        <v>28</v>
      </c>
      <c r="F65" s="37" t="s">
        <v>64</v>
      </c>
      <c r="G65" s="40">
        <f t="shared" si="3"/>
        <v>26.891</v>
      </c>
      <c r="H65" s="58">
        <f t="shared" si="4"/>
        <v>322.69</v>
      </c>
      <c r="I65" s="58">
        <v>358.462387008</v>
      </c>
      <c r="J65" s="58">
        <f t="shared" si="5"/>
        <v>376.47</v>
      </c>
    </row>
    <row r="66" s="1" customFormat="1" spans="1:10">
      <c r="A66" s="37" t="s">
        <v>123</v>
      </c>
      <c r="B66" s="54">
        <v>2.2</v>
      </c>
      <c r="C66" s="55">
        <v>87</v>
      </c>
      <c r="D66" s="38" t="s">
        <v>70</v>
      </c>
      <c r="E66" s="39" t="s">
        <v>28</v>
      </c>
      <c r="F66" s="37" t="s">
        <v>65</v>
      </c>
      <c r="G66" s="40">
        <f t="shared" si="3"/>
        <v>29.167</v>
      </c>
      <c r="H66" s="58">
        <f t="shared" si="4"/>
        <v>350</v>
      </c>
      <c r="I66" s="58">
        <v>388.794992256</v>
      </c>
      <c r="J66" s="58">
        <f t="shared" si="5"/>
        <v>408.34</v>
      </c>
    </row>
    <row r="67" s="1" customFormat="1" spans="1:10">
      <c r="A67" s="37" t="s">
        <v>123</v>
      </c>
      <c r="B67" s="54" t="s">
        <v>66</v>
      </c>
      <c r="C67" s="55">
        <v>94</v>
      </c>
      <c r="D67" s="38" t="s">
        <v>70</v>
      </c>
      <c r="E67" s="39" t="s">
        <v>28</v>
      </c>
      <c r="F67" s="37" t="s">
        <v>67</v>
      </c>
      <c r="G67" s="40">
        <f t="shared" si="3"/>
        <v>31.415</v>
      </c>
      <c r="H67" s="58">
        <f t="shared" si="4"/>
        <v>376.98</v>
      </c>
      <c r="I67" s="58">
        <v>418.767319872</v>
      </c>
      <c r="J67" s="58">
        <f t="shared" si="5"/>
        <v>439.81</v>
      </c>
    </row>
    <row r="68" s="1" customFormat="1" spans="1:10">
      <c r="A68" s="37" t="s">
        <v>123</v>
      </c>
      <c r="B68" s="77">
        <v>3</v>
      </c>
      <c r="C68" s="38">
        <v>118</v>
      </c>
      <c r="D68" s="38" t="s">
        <v>70</v>
      </c>
      <c r="E68" s="39" t="s">
        <v>28</v>
      </c>
      <c r="F68" s="37" t="s">
        <v>69</v>
      </c>
      <c r="G68" s="40">
        <f t="shared" si="3"/>
        <v>39.565</v>
      </c>
      <c r="H68" s="58">
        <f t="shared" si="4"/>
        <v>474.78</v>
      </c>
      <c r="I68" s="58">
        <v>527.404882752</v>
      </c>
      <c r="J68" s="58">
        <f t="shared" si="5"/>
        <v>553.91</v>
      </c>
    </row>
    <row r="69" s="1" customFormat="1" spans="1:10">
      <c r="A69" s="37" t="s">
        <v>123</v>
      </c>
      <c r="B69" s="77">
        <v>3.2</v>
      </c>
      <c r="C69" s="38">
        <v>126</v>
      </c>
      <c r="D69" s="38" t="s">
        <v>70</v>
      </c>
      <c r="E69" s="39" t="s">
        <v>28</v>
      </c>
      <c r="F69" s="37" t="s">
        <v>104</v>
      </c>
      <c r="G69" s="40">
        <f t="shared" si="3"/>
        <v>44.547</v>
      </c>
      <c r="H69" s="58">
        <f t="shared" si="4"/>
        <v>534.56</v>
      </c>
      <c r="I69" s="58">
        <v>593.806821696</v>
      </c>
      <c r="J69" s="58">
        <f t="shared" si="5"/>
        <v>623.66</v>
      </c>
    </row>
    <row r="70" s="3" customFormat="1" spans="1:10">
      <c r="A70" s="42"/>
      <c r="B70" s="43"/>
      <c r="C70" s="44"/>
      <c r="D70" s="45"/>
      <c r="E70" s="46"/>
      <c r="F70" s="47"/>
      <c r="G70" s="48"/>
      <c r="H70" s="47"/>
      <c r="I70" s="50"/>
      <c r="J70" s="47"/>
    </row>
    <row r="71" s="3" customFormat="1" ht="14.25" spans="1:11">
      <c r="A71" s="9" t="s">
        <v>72</v>
      </c>
      <c r="E71" s="16"/>
      <c r="F71" s="11"/>
      <c r="H71" s="11"/>
      <c r="I71" s="16"/>
      <c r="J71" s="11"/>
      <c r="K71" s="78"/>
    </row>
    <row r="72" s="1" customFormat="1" spans="1:11">
      <c r="A72" s="9" t="s">
        <v>73</v>
      </c>
      <c r="B72" s="3"/>
      <c r="C72" s="3"/>
      <c r="D72" s="3"/>
      <c r="E72" s="28"/>
      <c r="F72" s="26"/>
      <c r="H72" s="26"/>
      <c r="I72" s="28"/>
      <c r="J72" s="31"/>
      <c r="K72" s="79"/>
    </row>
    <row r="73" s="1" customFormat="1" spans="1:11">
      <c r="A73" s="9" t="s">
        <v>74</v>
      </c>
      <c r="B73" s="3"/>
      <c r="C73" s="3"/>
      <c r="D73" s="3"/>
      <c r="E73" s="28"/>
      <c r="F73" s="26"/>
      <c r="H73" s="26"/>
      <c r="I73" s="28"/>
      <c r="J73" s="31"/>
      <c r="K73" s="79"/>
    </row>
    <row r="74" s="1" customFormat="1" ht="28" customHeight="1" spans="1:11">
      <c r="A74" s="56" t="s">
        <v>75</v>
      </c>
      <c r="B74" s="56"/>
      <c r="C74" s="56"/>
      <c r="D74" s="56"/>
      <c r="E74" s="56"/>
      <c r="F74" s="56"/>
      <c r="G74" s="56"/>
      <c r="H74" s="56"/>
      <c r="I74" s="56"/>
      <c r="J74" s="56"/>
      <c r="K74" s="79"/>
    </row>
    <row r="75" s="32" customFormat="1" spans="1:137">
      <c r="A75" s="9"/>
      <c r="B75" s="3"/>
      <c r="C75" s="3"/>
      <c r="D75" s="3"/>
      <c r="E75" s="28"/>
      <c r="G75" s="1"/>
      <c r="H75" s="26"/>
      <c r="J75" s="31"/>
      <c r="K75" s="80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</row>
    <row r="76" s="1" customFormat="1" spans="1:137">
      <c r="A76" s="30" t="s">
        <v>76</v>
      </c>
      <c r="E76" s="31" t="s">
        <v>77</v>
      </c>
      <c r="G76" s="26"/>
      <c r="H76" s="28"/>
      <c r="K76" s="79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</row>
    <row r="77" s="1" customFormat="1" spans="5:174">
      <c r="E77" s="28"/>
      <c r="F77" s="26"/>
      <c r="H77" s="26"/>
      <c r="I77" s="28"/>
      <c r="J77" s="26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</row>
    <row r="78" s="1" customFormat="1" ht="18" customHeight="1" spans="5:10">
      <c r="E78" s="28"/>
      <c r="F78" s="26"/>
      <c r="H78" s="26"/>
      <c r="I78" s="28"/>
      <c r="J78" s="26"/>
    </row>
    <row r="79" s="1" customFormat="1" spans="1:10">
      <c r="A79" s="30"/>
      <c r="E79" s="28"/>
      <c r="F79" s="31"/>
      <c r="G79" s="4"/>
      <c r="H79" s="57"/>
      <c r="I79" s="59"/>
      <c r="J79" s="57"/>
    </row>
  </sheetData>
  <mergeCells count="5">
    <mergeCell ref="A2:J2"/>
    <mergeCell ref="A3:J3"/>
    <mergeCell ref="I5:J5"/>
    <mergeCell ref="A9:J9"/>
    <mergeCell ref="A74:J74"/>
  </mergeCells>
  <pageMargins left="0.75" right="0.75" top="1" bottom="1" header="0.5" footer="0.5"/>
  <pageSetup paperSize="9" scale="63" fitToHeight="0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Q24"/>
  <sheetViews>
    <sheetView workbookViewId="0">
      <selection activeCell="L16" sqref="L16"/>
    </sheetView>
  </sheetViews>
  <sheetFormatPr defaultColWidth="8" defaultRowHeight="15"/>
  <cols>
    <col min="1" max="1" width="11.125" style="1" customWidth="1"/>
    <col min="2" max="2" width="10.75" style="1" customWidth="1"/>
    <col min="3" max="3" width="12.75" style="1" customWidth="1"/>
    <col min="4" max="4" width="9.75" style="1" customWidth="1"/>
    <col min="5" max="5" width="11.1666666666667" style="28" customWidth="1"/>
    <col min="6" max="6" width="9.5" style="26" customWidth="1"/>
    <col min="7" max="7" width="10.875" style="1" customWidth="1"/>
    <col min="8" max="8" width="18.25" style="26" customWidth="1"/>
    <col min="9" max="209" width="7.83333333333333" style="1" customWidth="1"/>
    <col min="210" max="210" width="7.83333333333333" style="1"/>
    <col min="211" max="16339" width="8" style="1"/>
  </cols>
  <sheetData>
    <row r="1" s="1" customFormat="1" ht="40" customHeight="1" spans="1:8">
      <c r="A1" s="6"/>
      <c r="B1" s="6"/>
      <c r="C1" s="6"/>
      <c r="D1" s="6"/>
      <c r="E1" s="6"/>
      <c r="F1" s="6"/>
      <c r="G1" s="6"/>
      <c r="H1" s="6"/>
    </row>
    <row r="2" s="2" customFormat="1" ht="12.75" spans="1:8">
      <c r="A2" s="7"/>
      <c r="B2" s="7"/>
      <c r="C2" s="7"/>
      <c r="D2" s="7"/>
      <c r="E2" s="7"/>
      <c r="F2" s="7"/>
      <c r="G2" s="7"/>
      <c r="H2" s="7"/>
    </row>
    <row r="3" s="1" customFormat="1" ht="18" customHeight="1" spans="1:199">
      <c r="A3" s="7"/>
      <c r="B3" s="7"/>
      <c r="C3" s="7"/>
      <c r="D3" s="7"/>
      <c r="E3" s="7"/>
      <c r="F3" s="7"/>
      <c r="G3" s="7"/>
      <c r="H3" s="7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</row>
    <row r="4" s="3" customFormat="1" ht="17" customHeight="1" spans="1:199">
      <c r="A4" s="8" t="s">
        <v>0</v>
      </c>
      <c r="B4" s="9" t="s">
        <v>1</v>
      </c>
      <c r="C4" s="9"/>
      <c r="D4" s="9"/>
      <c r="E4" s="10"/>
      <c r="F4" s="11"/>
      <c r="G4" s="8" t="s">
        <v>2</v>
      </c>
      <c r="H4" s="12" t="s">
        <v>3</v>
      </c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</row>
    <row r="5" s="3" customFormat="1" ht="17" customHeight="1" spans="1:199">
      <c r="A5" s="8" t="s">
        <v>4</v>
      </c>
      <c r="B5" s="9" t="s">
        <v>5</v>
      </c>
      <c r="C5" s="9"/>
      <c r="D5" s="9"/>
      <c r="E5" s="10"/>
      <c r="F5" s="11"/>
      <c r="G5" s="8" t="s">
        <v>6</v>
      </c>
      <c r="H5" s="13">
        <v>13633926127</v>
      </c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</row>
    <row r="6" s="3" customFormat="1" ht="17" customHeight="1" spans="1:199">
      <c r="A6" s="14" t="s">
        <v>7</v>
      </c>
      <c r="B6" s="9" t="s">
        <v>8</v>
      </c>
      <c r="C6" s="9"/>
      <c r="D6" s="9"/>
      <c r="E6" s="10"/>
      <c r="F6" s="11"/>
      <c r="G6" s="14" t="s">
        <v>9</v>
      </c>
      <c r="H6" s="12" t="s">
        <v>10</v>
      </c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</row>
    <row r="7" s="3" customFormat="1" ht="17" customHeight="1" spans="1:199">
      <c r="A7" s="8" t="s">
        <v>6</v>
      </c>
      <c r="B7" s="15" t="s">
        <v>11</v>
      </c>
      <c r="E7" s="16"/>
      <c r="F7" s="11"/>
      <c r="G7" s="8" t="s">
        <v>12</v>
      </c>
      <c r="H7" s="17" t="s">
        <v>13</v>
      </c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</row>
    <row r="8" s="4" customFormat="1" ht="26.25" customHeight="1" spans="1:8">
      <c r="A8" s="18" t="s">
        <v>124</v>
      </c>
      <c r="B8" s="18"/>
      <c r="C8" s="18"/>
      <c r="D8" s="18"/>
      <c r="E8" s="18"/>
      <c r="F8" s="18"/>
      <c r="G8" s="18"/>
      <c r="H8" s="18"/>
    </row>
    <row r="9" s="5" customFormat="1" ht="21" customHeight="1" spans="1:8">
      <c r="A9" s="19" t="s">
        <v>15</v>
      </c>
      <c r="B9" s="19" t="s">
        <v>79</v>
      </c>
      <c r="C9" s="19" t="s">
        <v>80</v>
      </c>
      <c r="D9" s="19" t="s">
        <v>81</v>
      </c>
      <c r="E9" s="19" t="s">
        <v>82</v>
      </c>
      <c r="F9" s="20" t="s">
        <v>83</v>
      </c>
      <c r="G9" s="20"/>
      <c r="H9" s="20"/>
    </row>
    <row r="10" s="3" customFormat="1" ht="16" customHeight="1" spans="1:8">
      <c r="A10" s="19" t="s">
        <v>84</v>
      </c>
      <c r="B10" s="19" t="s">
        <v>85</v>
      </c>
      <c r="C10" s="19" t="s">
        <v>86</v>
      </c>
      <c r="D10" s="19" t="s">
        <v>87</v>
      </c>
      <c r="E10" s="19" t="s">
        <v>88</v>
      </c>
      <c r="F10" s="21" t="s">
        <v>21</v>
      </c>
      <c r="G10" s="21" t="s">
        <v>89</v>
      </c>
      <c r="H10" s="21" t="s">
        <v>90</v>
      </c>
    </row>
    <row r="11" s="3" customFormat="1" ht="16" customHeight="1" spans="1:8">
      <c r="A11" s="19" t="s">
        <v>123</v>
      </c>
      <c r="B11" s="19">
        <v>7628</v>
      </c>
      <c r="C11" s="19" t="s">
        <v>91</v>
      </c>
      <c r="D11" s="19">
        <v>100</v>
      </c>
      <c r="E11" s="19">
        <v>49.5</v>
      </c>
      <c r="F11" s="21" t="s">
        <v>118</v>
      </c>
      <c r="G11" s="74">
        <v>26.933</v>
      </c>
      <c r="H11" s="53">
        <f t="shared" ref="H11:H18" si="0">G11*D11</f>
        <v>2693.3</v>
      </c>
    </row>
    <row r="12" s="3" customFormat="1" ht="16" customHeight="1" spans="1:8">
      <c r="A12" s="19" t="s">
        <v>123</v>
      </c>
      <c r="B12" s="19">
        <v>7628</v>
      </c>
      <c r="C12" s="19" t="s">
        <v>92</v>
      </c>
      <c r="D12" s="19">
        <v>100</v>
      </c>
      <c r="E12" s="19">
        <v>49.5</v>
      </c>
      <c r="F12" s="21" t="s">
        <v>118</v>
      </c>
      <c r="G12" s="74">
        <v>27.853</v>
      </c>
      <c r="H12" s="53">
        <f t="shared" si="0"/>
        <v>2785.3</v>
      </c>
    </row>
    <row r="13" s="3" customFormat="1" ht="16" customHeight="1" spans="1:8">
      <c r="A13" s="19" t="s">
        <v>123</v>
      </c>
      <c r="B13" s="19">
        <v>7628</v>
      </c>
      <c r="C13" s="19" t="s">
        <v>93</v>
      </c>
      <c r="D13" s="19">
        <v>100</v>
      </c>
      <c r="E13" s="19">
        <v>49.5</v>
      </c>
      <c r="F13" s="21" t="s">
        <v>118</v>
      </c>
      <c r="G13" s="74">
        <v>28.865</v>
      </c>
      <c r="H13" s="53">
        <f t="shared" si="0"/>
        <v>2886.5</v>
      </c>
    </row>
    <row r="14" s="3" customFormat="1" ht="16" customHeight="1" spans="1:8">
      <c r="A14" s="19" t="s">
        <v>123</v>
      </c>
      <c r="B14" s="19">
        <v>2116</v>
      </c>
      <c r="C14" s="19" t="s">
        <v>94</v>
      </c>
      <c r="D14" s="19">
        <v>150</v>
      </c>
      <c r="E14" s="19">
        <v>49.5</v>
      </c>
      <c r="F14" s="21" t="s">
        <v>118</v>
      </c>
      <c r="G14" s="74">
        <v>26.5075</v>
      </c>
      <c r="H14" s="53">
        <f t="shared" si="0"/>
        <v>3976.125</v>
      </c>
    </row>
    <row r="15" s="3" customFormat="1" ht="16" customHeight="1" spans="1:8">
      <c r="A15" s="19" t="s">
        <v>123</v>
      </c>
      <c r="B15" s="19">
        <v>2116</v>
      </c>
      <c r="C15" s="19" t="s">
        <v>95</v>
      </c>
      <c r="D15" s="19">
        <v>150</v>
      </c>
      <c r="E15" s="19">
        <v>49.5</v>
      </c>
      <c r="F15" s="21" t="s">
        <v>118</v>
      </c>
      <c r="G15" s="74">
        <v>27.761</v>
      </c>
      <c r="H15" s="53">
        <f t="shared" si="0"/>
        <v>4164.15</v>
      </c>
    </row>
    <row r="16" s="3" customFormat="1" ht="16" customHeight="1" spans="1:8">
      <c r="A16" s="19" t="s">
        <v>123</v>
      </c>
      <c r="B16" s="19">
        <v>1080</v>
      </c>
      <c r="C16" s="19" t="s">
        <v>96</v>
      </c>
      <c r="D16" s="19">
        <v>150</v>
      </c>
      <c r="E16" s="19">
        <v>49.5</v>
      </c>
      <c r="F16" s="21" t="s">
        <v>118</v>
      </c>
      <c r="G16" s="74">
        <v>26.1855</v>
      </c>
      <c r="H16" s="53">
        <f t="shared" si="0"/>
        <v>3927.825</v>
      </c>
    </row>
    <row r="17" s="3" customFormat="1" ht="16" customHeight="1" spans="1:8">
      <c r="A17" s="19" t="s">
        <v>123</v>
      </c>
      <c r="B17" s="19">
        <v>1080</v>
      </c>
      <c r="C17" s="19" t="s">
        <v>97</v>
      </c>
      <c r="D17" s="19">
        <v>150</v>
      </c>
      <c r="E17" s="19">
        <v>49.5</v>
      </c>
      <c r="F17" s="21" t="s">
        <v>118</v>
      </c>
      <c r="G17" s="74">
        <v>27.0825</v>
      </c>
      <c r="H17" s="53">
        <f t="shared" si="0"/>
        <v>4062.375</v>
      </c>
    </row>
    <row r="18" s="3" customFormat="1" ht="16" customHeight="1" spans="1:8">
      <c r="A18" s="19" t="s">
        <v>123</v>
      </c>
      <c r="B18" s="53">
        <v>106</v>
      </c>
      <c r="C18" s="75">
        <v>0.72</v>
      </c>
      <c r="D18" s="53">
        <v>100</v>
      </c>
      <c r="E18" s="19">
        <v>49.5</v>
      </c>
      <c r="F18" s="53" t="s">
        <v>118</v>
      </c>
      <c r="G18" s="74">
        <v>33.143</v>
      </c>
      <c r="H18" s="53">
        <f t="shared" si="0"/>
        <v>3314.3</v>
      </c>
    </row>
    <row r="19" s="3" customFormat="1" ht="14.25" spans="1:8">
      <c r="A19" s="9" t="s">
        <v>72</v>
      </c>
      <c r="E19" s="25"/>
      <c r="F19" s="11"/>
      <c r="H19" s="11"/>
    </row>
    <row r="20" s="1" customFormat="1" spans="1:8">
      <c r="A20" s="9" t="s">
        <v>73</v>
      </c>
      <c r="B20" s="3"/>
      <c r="C20" s="3"/>
      <c r="D20" s="3"/>
      <c r="E20" s="25"/>
      <c r="F20" s="26"/>
      <c r="H20" s="26"/>
    </row>
    <row r="21" s="1" customFormat="1" spans="1:8">
      <c r="A21" s="9" t="s">
        <v>74</v>
      </c>
      <c r="B21" s="3"/>
      <c r="C21" s="3"/>
      <c r="D21" s="3"/>
      <c r="E21" s="25"/>
      <c r="F21" s="26"/>
      <c r="H21" s="26"/>
    </row>
    <row r="22" s="1" customFormat="1" ht="23.25" spans="1:8">
      <c r="A22" s="27"/>
      <c r="B22" s="27"/>
      <c r="E22" s="28"/>
      <c r="F22" s="26"/>
      <c r="G22" s="29"/>
      <c r="H22" s="26"/>
    </row>
    <row r="23" s="1" customFormat="1" spans="1:197">
      <c r="A23" s="30" t="s">
        <v>76</v>
      </c>
      <c r="E23" s="31" t="s">
        <v>77</v>
      </c>
      <c r="G23" s="26"/>
      <c r="H23" s="28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</row>
    <row r="24" s="1" customFormat="1" ht="18" customHeight="1" spans="5:8">
      <c r="E24" s="28"/>
      <c r="F24" s="26"/>
      <c r="H24" s="26"/>
    </row>
  </sheetData>
  <mergeCells count="5">
    <mergeCell ref="A1:H1"/>
    <mergeCell ref="A2:H2"/>
    <mergeCell ref="A3:H3"/>
    <mergeCell ref="A8:H8"/>
    <mergeCell ref="F9:H9"/>
  </mergeCells>
  <pageMargins left="0.75" right="0.75" top="1" bottom="1" header="0.5" footer="0.5"/>
  <pageSetup paperSize="9" scale="60" fitToHeight="0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P21"/>
  <sheetViews>
    <sheetView workbookViewId="0">
      <selection activeCell="O8" sqref="O8"/>
    </sheetView>
  </sheetViews>
  <sheetFormatPr defaultColWidth="8" defaultRowHeight="15"/>
  <cols>
    <col min="1" max="1" width="8.25" style="1" customWidth="1"/>
    <col min="2" max="2" width="8.58333333333333" style="1" customWidth="1"/>
    <col min="3" max="4" width="8.25" style="1" customWidth="1"/>
    <col min="5" max="5" width="8.25" style="28" customWidth="1"/>
    <col min="6" max="6" width="11.7666666666667" style="26" customWidth="1"/>
    <col min="7" max="7" width="8.25" style="1" customWidth="1"/>
    <col min="8" max="8" width="8.25" style="26" customWidth="1"/>
    <col min="9" max="9" width="8.25" style="28" customWidth="1"/>
    <col min="10" max="10" width="8.25" style="26" customWidth="1"/>
    <col min="11" max="208" width="7.83333333333333" style="1" customWidth="1"/>
    <col min="209" max="209" width="7.83333333333333" style="1"/>
    <col min="210" max="16384" width="8" style="1"/>
  </cols>
  <sheetData>
    <row r="1" s="1" customFormat="1" ht="40" customHeight="1" spans="1:10">
      <c r="A1" s="34"/>
      <c r="B1" s="34"/>
      <c r="C1" s="34"/>
      <c r="D1" s="34"/>
      <c r="E1" s="35"/>
      <c r="F1" s="36"/>
      <c r="G1" s="34"/>
      <c r="H1" s="36"/>
      <c r="I1" s="35"/>
      <c r="J1" s="36"/>
    </row>
    <row r="2" s="2" customFormat="1" ht="12.75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1" customFormat="1" ht="18" customHeight="1" spans="1:198">
      <c r="A3" s="7"/>
      <c r="B3" s="7"/>
      <c r="C3" s="7"/>
      <c r="D3" s="7"/>
      <c r="E3" s="7"/>
      <c r="F3" s="7"/>
      <c r="G3" s="7"/>
      <c r="H3" s="7"/>
      <c r="I3" s="7"/>
      <c r="J3" s="7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</row>
    <row r="4" s="3" customFormat="1" ht="17" customHeight="1" spans="1:197">
      <c r="A4" s="8" t="s">
        <v>0</v>
      </c>
      <c r="B4" s="9" t="s">
        <v>1</v>
      </c>
      <c r="C4" s="9"/>
      <c r="D4" s="9"/>
      <c r="E4" s="10"/>
      <c r="H4" s="8" t="s">
        <v>2</v>
      </c>
      <c r="I4" s="12" t="s">
        <v>3</v>
      </c>
      <c r="J4" s="9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</row>
    <row r="5" s="3" customFormat="1" ht="17" customHeight="1" spans="1:197">
      <c r="A5" s="8" t="s">
        <v>4</v>
      </c>
      <c r="B5" s="9" t="s">
        <v>5</v>
      </c>
      <c r="C5" s="9"/>
      <c r="D5" s="9"/>
      <c r="E5" s="10"/>
      <c r="H5" s="8" t="s">
        <v>6</v>
      </c>
      <c r="I5" s="13">
        <v>13633926127</v>
      </c>
      <c r="J5" s="1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</row>
    <row r="6" s="3" customFormat="1" ht="17" customHeight="1" spans="1:197">
      <c r="A6" s="14" t="s">
        <v>7</v>
      </c>
      <c r="B6" s="9" t="s">
        <v>8</v>
      </c>
      <c r="C6" s="9"/>
      <c r="D6" s="9"/>
      <c r="E6" s="10"/>
      <c r="H6" s="14" t="s">
        <v>9</v>
      </c>
      <c r="I6" s="12" t="s">
        <v>10</v>
      </c>
      <c r="J6" s="9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</row>
    <row r="7" s="3" customFormat="1" ht="17" customHeight="1" spans="1:197">
      <c r="A7" s="8" t="s">
        <v>6</v>
      </c>
      <c r="B7" s="15" t="s">
        <v>11</v>
      </c>
      <c r="H7" s="8" t="s">
        <v>12</v>
      </c>
      <c r="I7" s="17" t="s">
        <v>13</v>
      </c>
      <c r="J7" s="9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</row>
    <row r="8" s="3" customFormat="1" ht="17" customHeight="1" spans="1:197">
      <c r="A8" s="9"/>
      <c r="B8" s="15"/>
      <c r="H8" s="9"/>
      <c r="I8" s="49"/>
      <c r="J8" s="9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</row>
    <row r="9" s="4" customFormat="1" ht="26.25" customHeight="1" spans="1:10">
      <c r="A9" s="18" t="s">
        <v>125</v>
      </c>
      <c r="B9" s="18"/>
      <c r="C9" s="18"/>
      <c r="D9" s="18"/>
      <c r="E9" s="18"/>
      <c r="F9" s="18"/>
      <c r="G9" s="18"/>
      <c r="H9" s="18"/>
      <c r="I9" s="18"/>
      <c r="J9" s="18"/>
    </row>
    <row r="10" s="1" customFormat="1" spans="1:10">
      <c r="A10" s="61" t="s">
        <v>15</v>
      </c>
      <c r="B10" s="61" t="s">
        <v>16</v>
      </c>
      <c r="C10" s="61" t="s">
        <v>17</v>
      </c>
      <c r="D10" s="62" t="s">
        <v>18</v>
      </c>
      <c r="E10" s="63" t="s">
        <v>19</v>
      </c>
      <c r="F10" s="61" t="s">
        <v>20</v>
      </c>
      <c r="G10" s="64" t="s">
        <v>21</v>
      </c>
      <c r="H10" s="65" t="s">
        <v>22</v>
      </c>
      <c r="I10" s="65" t="s">
        <v>23</v>
      </c>
      <c r="J10" s="65" t="s">
        <v>24</v>
      </c>
    </row>
    <row r="11" s="1" customFormat="1" spans="1:10">
      <c r="A11" s="66" t="s">
        <v>25</v>
      </c>
      <c r="B11" s="66">
        <v>0.7</v>
      </c>
      <c r="C11" s="67">
        <v>28</v>
      </c>
      <c r="D11" s="68" t="s">
        <v>113</v>
      </c>
      <c r="E11" s="69" t="s">
        <v>28</v>
      </c>
      <c r="F11" s="70" t="s">
        <v>49</v>
      </c>
      <c r="G11" s="71">
        <f>ROUND(I11/13.33,2)</f>
        <v>14.19</v>
      </c>
      <c r="H11" s="72">
        <f>ROUND(G11*12,2)</f>
        <v>170.28</v>
      </c>
      <c r="I11" s="73">
        <v>189.15517944576</v>
      </c>
      <c r="J11" s="72">
        <f>ROUND(G11*14,2)</f>
        <v>198.66</v>
      </c>
    </row>
    <row r="12" s="3" customFormat="1" spans="1:10">
      <c r="A12" s="42"/>
      <c r="B12" s="43"/>
      <c r="C12" s="44"/>
      <c r="D12" s="45"/>
      <c r="E12" s="46"/>
      <c r="F12" s="47"/>
      <c r="G12" s="48"/>
      <c r="H12" s="47"/>
      <c r="I12" s="50"/>
      <c r="J12" s="47"/>
    </row>
    <row r="13" s="3" customFormat="1" ht="14.25" spans="1:10">
      <c r="A13" s="9" t="s">
        <v>72</v>
      </c>
      <c r="E13" s="16"/>
      <c r="F13" s="11"/>
      <c r="H13" s="11"/>
      <c r="I13" s="16"/>
      <c r="J13" s="11"/>
    </row>
    <row r="14" s="1" customFormat="1" spans="1:10">
      <c r="A14" s="9" t="s">
        <v>73</v>
      </c>
      <c r="B14" s="3"/>
      <c r="C14" s="3"/>
      <c r="D14" s="3"/>
      <c r="E14" s="28"/>
      <c r="F14" s="26"/>
      <c r="H14" s="26"/>
      <c r="I14" s="28"/>
      <c r="J14" s="31"/>
    </row>
    <row r="15" s="1" customFormat="1" spans="1:10">
      <c r="A15" s="9" t="s">
        <v>74</v>
      </c>
      <c r="B15" s="3"/>
      <c r="C15" s="3"/>
      <c r="D15" s="3"/>
      <c r="E15" s="28"/>
      <c r="F15" s="26"/>
      <c r="H15" s="26"/>
      <c r="I15" s="28"/>
      <c r="J15" s="31"/>
    </row>
    <row r="16" s="1" customFormat="1" spans="1:10">
      <c r="A16" s="9" t="s">
        <v>126</v>
      </c>
      <c r="B16" s="3"/>
      <c r="C16" s="3"/>
      <c r="D16" s="3"/>
      <c r="E16" s="28"/>
      <c r="F16" s="26"/>
      <c r="H16" s="26"/>
      <c r="I16" s="28"/>
      <c r="J16" s="31"/>
    </row>
    <row r="17" customFormat="1" spans="1:195">
      <c r="A17" s="9"/>
      <c r="B17" s="3"/>
      <c r="C17" s="3"/>
      <c r="D17" s="3"/>
      <c r="E17" s="28"/>
      <c r="G17" s="1"/>
      <c r="H17" s="26"/>
      <c r="J17" s="3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</row>
    <row r="18" s="1" customFormat="1" spans="1:195">
      <c r="A18" s="30" t="s">
        <v>76</v>
      </c>
      <c r="E18" s="31" t="s">
        <v>77</v>
      </c>
      <c r="G18" s="26"/>
      <c r="H18" s="28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</row>
    <row r="19" s="1" customFormat="1" spans="5:196">
      <c r="E19" s="28"/>
      <c r="F19" s="26"/>
      <c r="H19" s="26"/>
      <c r="I19" s="28"/>
      <c r="J19" s="26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</row>
    <row r="20" s="1" customFormat="1" ht="18" customHeight="1" spans="5:10">
      <c r="E20" s="28"/>
      <c r="F20" s="26"/>
      <c r="H20" s="26"/>
      <c r="I20" s="28"/>
      <c r="J20" s="26"/>
    </row>
    <row r="21" s="1" customFormat="1" spans="1:10">
      <c r="A21" s="30"/>
      <c r="E21" s="28"/>
      <c r="F21" s="31"/>
      <c r="G21" s="4"/>
      <c r="H21" s="57"/>
      <c r="I21" s="59"/>
      <c r="J21" s="57"/>
    </row>
  </sheetData>
  <mergeCells count="4">
    <mergeCell ref="A2:J2"/>
    <mergeCell ref="A3:J3"/>
    <mergeCell ref="I5:J5"/>
    <mergeCell ref="A9:J9"/>
  </mergeCells>
  <pageMargins left="0.75" right="0.75" top="1" bottom="1" header="0.5" footer="0.5"/>
  <pageSetup paperSize="9" scale="93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Z38"/>
  <sheetViews>
    <sheetView topLeftCell="A6" workbookViewId="0">
      <selection activeCell="O23" sqref="O23"/>
    </sheetView>
  </sheetViews>
  <sheetFormatPr defaultColWidth="8" defaultRowHeight="15"/>
  <cols>
    <col min="1" max="1" width="8.25" style="1" customWidth="1"/>
    <col min="2" max="2" width="8.58333333333333" style="1" customWidth="1"/>
    <col min="3" max="4" width="8.25" style="1" customWidth="1"/>
    <col min="5" max="5" width="8.25" style="28" customWidth="1"/>
    <col min="6" max="6" width="11.7666666666667" style="26" customWidth="1"/>
    <col min="7" max="7" width="8.25" style="1" customWidth="1"/>
    <col min="8" max="8" width="8.25" style="26" customWidth="1"/>
    <col min="9" max="9" width="8.25" style="28" customWidth="1"/>
    <col min="10" max="10" width="8.25" style="26" customWidth="1"/>
    <col min="11" max="192" width="7.83333333333333" style="1" customWidth="1"/>
    <col min="193" max="193" width="7.83333333333333" style="1"/>
    <col min="194" max="16384" width="8" style="1"/>
  </cols>
  <sheetData>
    <row r="1" s="1" customFormat="1" ht="40" customHeight="1" spans="1:10">
      <c r="A1" s="34"/>
      <c r="B1" s="34"/>
      <c r="C1" s="34"/>
      <c r="D1" s="34"/>
      <c r="E1" s="35"/>
      <c r="F1" s="36"/>
      <c r="G1" s="34"/>
      <c r="H1" s="36"/>
      <c r="I1" s="35"/>
      <c r="J1" s="36"/>
    </row>
    <row r="2" s="2" customFormat="1" ht="12.75" spans="1:10">
      <c r="A2" s="7" t="s">
        <v>127</v>
      </c>
      <c r="B2" s="7"/>
      <c r="C2" s="7"/>
      <c r="D2" s="7"/>
      <c r="E2" s="7"/>
      <c r="F2" s="7"/>
      <c r="G2" s="7"/>
      <c r="H2" s="7"/>
      <c r="I2" s="7"/>
      <c r="J2" s="7"/>
    </row>
    <row r="3" s="1" customFormat="1" ht="18" customHeight="1" spans="1:182">
      <c r="A3" s="7" t="s">
        <v>128</v>
      </c>
      <c r="B3" s="7"/>
      <c r="C3" s="7"/>
      <c r="D3" s="7"/>
      <c r="E3" s="7"/>
      <c r="F3" s="7"/>
      <c r="G3" s="7"/>
      <c r="H3" s="7"/>
      <c r="I3" s="7"/>
      <c r="J3" s="7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</row>
    <row r="4" s="3" customFormat="1" ht="17" customHeight="1" spans="1:181">
      <c r="A4" s="8" t="s">
        <v>0</v>
      </c>
      <c r="B4" s="9" t="s">
        <v>1</v>
      </c>
      <c r="C4" s="9"/>
      <c r="D4" s="9"/>
      <c r="E4" s="10"/>
      <c r="H4" s="8" t="s">
        <v>2</v>
      </c>
      <c r="I4" s="12" t="s">
        <v>3</v>
      </c>
      <c r="J4" s="9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</row>
    <row r="5" s="3" customFormat="1" ht="17" customHeight="1" spans="1:181">
      <c r="A5" s="8" t="s">
        <v>4</v>
      </c>
      <c r="B5" s="9" t="s">
        <v>5</v>
      </c>
      <c r="C5" s="9"/>
      <c r="D5" s="9"/>
      <c r="E5" s="10"/>
      <c r="H5" s="8" t="s">
        <v>6</v>
      </c>
      <c r="I5" s="13">
        <v>13633926127</v>
      </c>
      <c r="J5" s="1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</row>
    <row r="6" s="3" customFormat="1" ht="17" customHeight="1" spans="1:181">
      <c r="A6" s="14" t="s">
        <v>7</v>
      </c>
      <c r="B6" s="9" t="s">
        <v>8</v>
      </c>
      <c r="C6" s="9"/>
      <c r="D6" s="9"/>
      <c r="E6" s="10"/>
      <c r="H6" s="14" t="s">
        <v>9</v>
      </c>
      <c r="I6" s="12" t="s">
        <v>10</v>
      </c>
      <c r="J6" s="9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</row>
    <row r="7" s="3" customFormat="1" ht="17" customHeight="1" spans="1:181">
      <c r="A7" s="8" t="s">
        <v>6</v>
      </c>
      <c r="B7" s="15" t="s">
        <v>11</v>
      </c>
      <c r="H7" s="8" t="s">
        <v>12</v>
      </c>
      <c r="I7" s="17" t="s">
        <v>13</v>
      </c>
      <c r="J7" s="9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</row>
    <row r="8" s="3" customFormat="1" ht="17" customHeight="1" spans="1:181">
      <c r="A8" s="9"/>
      <c r="B8" s="15"/>
      <c r="H8" s="9"/>
      <c r="I8" s="49"/>
      <c r="J8" s="9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</row>
    <row r="9" s="4" customFormat="1" ht="26.25" customHeight="1" spans="1:10">
      <c r="A9" s="18" t="s">
        <v>129</v>
      </c>
      <c r="B9" s="18"/>
      <c r="C9" s="18"/>
      <c r="D9" s="18"/>
      <c r="E9" s="18"/>
      <c r="F9" s="18"/>
      <c r="G9" s="18"/>
      <c r="H9" s="18"/>
      <c r="I9" s="18"/>
      <c r="J9" s="18"/>
    </row>
    <row r="10" s="1" customFormat="1" spans="1:10">
      <c r="A10" s="37" t="s">
        <v>15</v>
      </c>
      <c r="B10" s="37" t="s">
        <v>16</v>
      </c>
      <c r="C10" s="37" t="s">
        <v>17</v>
      </c>
      <c r="D10" s="38" t="s">
        <v>18</v>
      </c>
      <c r="E10" s="39" t="s">
        <v>19</v>
      </c>
      <c r="F10" s="37" t="s">
        <v>20</v>
      </c>
      <c r="G10" s="40" t="s">
        <v>21</v>
      </c>
      <c r="H10" s="41" t="s">
        <v>22</v>
      </c>
      <c r="I10" s="41" t="s">
        <v>23</v>
      </c>
      <c r="J10" s="41" t="s">
        <v>24</v>
      </c>
    </row>
    <row r="11" s="1" customFormat="1" spans="1:10">
      <c r="A11" s="37" t="s">
        <v>130</v>
      </c>
      <c r="B11" s="54">
        <v>0.05</v>
      </c>
      <c r="C11" s="55">
        <f t="shared" ref="C11:C21" si="0">B11/0.0254</f>
        <v>1.96850393700787</v>
      </c>
      <c r="D11" s="38">
        <v>55</v>
      </c>
      <c r="E11" s="39" t="s">
        <v>100</v>
      </c>
      <c r="F11" s="37" t="s">
        <v>101</v>
      </c>
      <c r="G11" s="40">
        <f t="shared" ref="G11:G17" si="1">ROUND(I11/13.33,3)</f>
        <v>62.096</v>
      </c>
      <c r="H11" s="58">
        <f t="shared" ref="H11:H17" si="2">ROUND(G11*12,2)</f>
        <v>745.15</v>
      </c>
      <c r="I11" s="58">
        <v>827.7404256</v>
      </c>
      <c r="J11" s="58">
        <f t="shared" ref="J11:J17" si="3">ROUND(G11*14,2)</f>
        <v>869.34</v>
      </c>
    </row>
    <row r="12" s="1" customFormat="1" spans="1:10">
      <c r="A12" s="37" t="s">
        <v>130</v>
      </c>
      <c r="B12" s="54">
        <v>0.076</v>
      </c>
      <c r="C12" s="55">
        <f t="shared" si="0"/>
        <v>2.99212598425197</v>
      </c>
      <c r="D12" s="38">
        <v>55</v>
      </c>
      <c r="E12" s="39" t="s">
        <v>100</v>
      </c>
      <c r="F12" s="37" t="s">
        <v>101</v>
      </c>
      <c r="G12" s="40">
        <f t="shared" si="1"/>
        <v>62.096</v>
      </c>
      <c r="H12" s="58">
        <f t="shared" si="2"/>
        <v>745.15</v>
      </c>
      <c r="I12" s="58">
        <v>827.7404256</v>
      </c>
      <c r="J12" s="58">
        <f t="shared" si="3"/>
        <v>869.34</v>
      </c>
    </row>
    <row r="13" s="1" customFormat="1" spans="1:10">
      <c r="A13" s="37" t="s">
        <v>130</v>
      </c>
      <c r="B13" s="54">
        <v>0.15</v>
      </c>
      <c r="C13" s="55">
        <f t="shared" si="0"/>
        <v>5.90551181102362</v>
      </c>
      <c r="D13" s="60" t="s">
        <v>109</v>
      </c>
      <c r="E13" s="39" t="s">
        <v>28</v>
      </c>
      <c r="F13" s="37" t="s">
        <v>32</v>
      </c>
      <c r="G13" s="40">
        <f t="shared" si="1"/>
        <v>21.437</v>
      </c>
      <c r="H13" s="58">
        <f t="shared" si="2"/>
        <v>257.24</v>
      </c>
      <c r="I13" s="58">
        <v>285.7586688</v>
      </c>
      <c r="J13" s="58">
        <f t="shared" si="3"/>
        <v>300.12</v>
      </c>
    </row>
    <row r="14" s="1" customFormat="1" spans="1:10">
      <c r="A14" s="37" t="s">
        <v>130</v>
      </c>
      <c r="B14" s="54">
        <v>0.25</v>
      </c>
      <c r="C14" s="55">
        <f t="shared" si="0"/>
        <v>9.84251968503937</v>
      </c>
      <c r="D14" s="60" t="s">
        <v>109</v>
      </c>
      <c r="E14" s="39" t="s">
        <v>28</v>
      </c>
      <c r="F14" s="37" t="s">
        <v>36</v>
      </c>
      <c r="G14" s="40">
        <f t="shared" si="1"/>
        <v>22.905</v>
      </c>
      <c r="H14" s="58">
        <f t="shared" si="2"/>
        <v>274.86</v>
      </c>
      <c r="I14" s="58">
        <v>305.3250288</v>
      </c>
      <c r="J14" s="58">
        <f t="shared" si="3"/>
        <v>320.67</v>
      </c>
    </row>
    <row r="15" s="1" customFormat="1" spans="1:10">
      <c r="A15" s="37" t="s">
        <v>130</v>
      </c>
      <c r="B15" s="54">
        <v>0.5</v>
      </c>
      <c r="C15" s="55">
        <f t="shared" si="0"/>
        <v>19.6850393700787</v>
      </c>
      <c r="D15" s="60" t="s">
        <v>131</v>
      </c>
      <c r="E15" s="39" t="s">
        <v>28</v>
      </c>
      <c r="F15" s="37"/>
      <c r="G15" s="40">
        <f t="shared" si="1"/>
        <v>9.621</v>
      </c>
      <c r="H15" s="58">
        <f t="shared" si="2"/>
        <v>115.45</v>
      </c>
      <c r="I15" s="58">
        <v>128.249</v>
      </c>
      <c r="J15" s="58">
        <f t="shared" si="3"/>
        <v>134.69</v>
      </c>
    </row>
    <row r="16" s="1" customFormat="1" spans="1:10">
      <c r="A16" s="37" t="s">
        <v>130</v>
      </c>
      <c r="B16" s="54">
        <v>0.5</v>
      </c>
      <c r="C16" s="55">
        <f t="shared" si="0"/>
        <v>19.6850393700787</v>
      </c>
      <c r="D16" s="60" t="s">
        <v>113</v>
      </c>
      <c r="E16" s="39" t="s">
        <v>28</v>
      </c>
      <c r="F16" s="37"/>
      <c r="G16" s="40">
        <f t="shared" si="1"/>
        <v>16.795</v>
      </c>
      <c r="H16" s="58">
        <f t="shared" si="2"/>
        <v>201.54</v>
      </c>
      <c r="I16" s="58">
        <v>223.883</v>
      </c>
      <c r="J16" s="58">
        <f t="shared" si="3"/>
        <v>235.13</v>
      </c>
    </row>
    <row r="17" s="1" customFormat="1" spans="1:10">
      <c r="A17" s="37" t="s">
        <v>130</v>
      </c>
      <c r="B17" s="54">
        <v>0.5</v>
      </c>
      <c r="C17" s="55">
        <f t="shared" si="0"/>
        <v>19.6850393700787</v>
      </c>
      <c r="D17" s="60" t="s">
        <v>109</v>
      </c>
      <c r="E17" s="39" t="s">
        <v>28</v>
      </c>
      <c r="F17" s="37"/>
      <c r="G17" s="40">
        <f t="shared" si="1"/>
        <v>26.143</v>
      </c>
      <c r="H17" s="58">
        <f t="shared" si="2"/>
        <v>313.72</v>
      </c>
      <c r="I17" s="58">
        <v>348.491</v>
      </c>
      <c r="J17" s="58">
        <f t="shared" si="3"/>
        <v>366</v>
      </c>
    </row>
    <row r="18" s="1" customFormat="1" spans="1:10">
      <c r="A18" s="37" t="s">
        <v>130</v>
      </c>
      <c r="B18" s="54">
        <v>0.7</v>
      </c>
      <c r="C18" s="55">
        <f t="shared" si="0"/>
        <v>27.5590551181102</v>
      </c>
      <c r="D18" s="60" t="s">
        <v>131</v>
      </c>
      <c r="E18" s="39" t="s">
        <v>28</v>
      </c>
      <c r="F18" s="37" t="s">
        <v>49</v>
      </c>
      <c r="G18" s="40">
        <f t="shared" ref="G18:G26" si="4">ROUND(I18/13.33,3)</f>
        <v>13.612</v>
      </c>
      <c r="H18" s="58">
        <f t="shared" ref="H18:H26" si="5">ROUND(G18*12,2)</f>
        <v>163.34</v>
      </c>
      <c r="I18" s="58">
        <v>181.4475168</v>
      </c>
      <c r="J18" s="58">
        <f t="shared" ref="J18:J26" si="6">ROUND(G18*14,2)</f>
        <v>190.57</v>
      </c>
    </row>
    <row r="19" s="1" customFormat="1" spans="1:10">
      <c r="A19" s="37" t="s">
        <v>130</v>
      </c>
      <c r="B19" s="54">
        <v>0.7</v>
      </c>
      <c r="C19" s="55">
        <f t="shared" si="0"/>
        <v>27.5590551181102</v>
      </c>
      <c r="D19" s="60" t="s">
        <v>113</v>
      </c>
      <c r="E19" s="39" t="s">
        <v>28</v>
      </c>
      <c r="F19" s="37" t="s">
        <v>49</v>
      </c>
      <c r="G19" s="40">
        <f t="shared" si="4"/>
        <v>17.475</v>
      </c>
      <c r="H19" s="58">
        <f t="shared" si="5"/>
        <v>209.7</v>
      </c>
      <c r="I19" s="58">
        <v>232.935912</v>
      </c>
      <c r="J19" s="58">
        <f t="shared" si="6"/>
        <v>244.65</v>
      </c>
    </row>
    <row r="20" s="1" customFormat="1" spans="1:10">
      <c r="A20" s="37" t="s">
        <v>130</v>
      </c>
      <c r="B20" s="54">
        <v>1</v>
      </c>
      <c r="C20" s="55">
        <f t="shared" si="0"/>
        <v>39.3700787401575</v>
      </c>
      <c r="D20" s="38" t="s">
        <v>131</v>
      </c>
      <c r="E20" s="39" t="s">
        <v>28</v>
      </c>
      <c r="F20" s="37" t="s">
        <v>52</v>
      </c>
      <c r="G20" s="40">
        <f t="shared" si="4"/>
        <v>15.814</v>
      </c>
      <c r="H20" s="58">
        <f t="shared" si="5"/>
        <v>189.77</v>
      </c>
      <c r="I20" s="58">
        <v>210.803472</v>
      </c>
      <c r="J20" s="58">
        <f t="shared" si="6"/>
        <v>221.4</v>
      </c>
    </row>
    <row r="21" s="1" customFormat="1" spans="1:10">
      <c r="A21" s="37" t="s">
        <v>130</v>
      </c>
      <c r="B21" s="54">
        <v>1.1</v>
      </c>
      <c r="C21" s="55">
        <f t="shared" si="0"/>
        <v>43.3070866141732</v>
      </c>
      <c r="D21" s="38" t="s">
        <v>131</v>
      </c>
      <c r="E21" s="39" t="s">
        <v>28</v>
      </c>
      <c r="F21" s="37" t="s">
        <v>54</v>
      </c>
      <c r="G21" s="40">
        <f t="shared" si="4"/>
        <v>17.037</v>
      </c>
      <c r="H21" s="58">
        <f t="shared" si="5"/>
        <v>204.44</v>
      </c>
      <c r="I21" s="58">
        <v>227.09808</v>
      </c>
      <c r="J21" s="58">
        <f t="shared" si="6"/>
        <v>238.52</v>
      </c>
    </row>
    <row r="22" s="3" customFormat="1" spans="1:11">
      <c r="A22" s="37" t="s">
        <v>130</v>
      </c>
      <c r="B22" s="54" t="s">
        <v>55</v>
      </c>
      <c r="C22" s="55">
        <v>47</v>
      </c>
      <c r="D22" s="38" t="s">
        <v>27</v>
      </c>
      <c r="E22" s="39" t="s">
        <v>28</v>
      </c>
      <c r="F22" s="37" t="s">
        <v>54</v>
      </c>
      <c r="G22" s="40">
        <f t="shared" si="4"/>
        <v>20.119</v>
      </c>
      <c r="H22" s="58">
        <f t="shared" si="5"/>
        <v>241.43</v>
      </c>
      <c r="I22" s="58">
        <v>268.1810208</v>
      </c>
      <c r="J22" s="58">
        <f t="shared" si="6"/>
        <v>281.67</v>
      </c>
      <c r="K22" s="1"/>
    </row>
    <row r="23" s="3" customFormat="1" spans="1:11">
      <c r="A23" s="37" t="s">
        <v>130</v>
      </c>
      <c r="B23" s="54">
        <v>1.4</v>
      </c>
      <c r="C23" s="55">
        <f t="shared" ref="C23:C26" si="7">B23/0.0254</f>
        <v>55.1181102362205</v>
      </c>
      <c r="D23" s="38" t="s">
        <v>131</v>
      </c>
      <c r="E23" s="39" t="s">
        <v>28</v>
      </c>
      <c r="F23" s="37" t="s">
        <v>56</v>
      </c>
      <c r="G23" s="40">
        <f t="shared" si="4"/>
        <v>18.698</v>
      </c>
      <c r="H23" s="58">
        <f t="shared" si="5"/>
        <v>224.38</v>
      </c>
      <c r="I23" s="58">
        <v>249.2433504</v>
      </c>
      <c r="J23" s="58">
        <f t="shared" si="6"/>
        <v>261.77</v>
      </c>
      <c r="K23" s="1"/>
    </row>
    <row r="24" s="3" customFormat="1" spans="1:11">
      <c r="A24" s="37" t="s">
        <v>130</v>
      </c>
      <c r="B24" s="54">
        <v>1.5</v>
      </c>
      <c r="C24" s="55">
        <f t="shared" si="7"/>
        <v>59.0551181102362</v>
      </c>
      <c r="D24" s="60" t="s">
        <v>131</v>
      </c>
      <c r="E24" s="39" t="s">
        <v>28</v>
      </c>
      <c r="F24" s="37" t="s">
        <v>59</v>
      </c>
      <c r="G24" s="40">
        <f t="shared" si="4"/>
        <v>20.786</v>
      </c>
      <c r="H24" s="58">
        <f t="shared" si="5"/>
        <v>249.43</v>
      </c>
      <c r="I24" s="58">
        <v>277.072488</v>
      </c>
      <c r="J24" s="58">
        <f t="shared" si="6"/>
        <v>291</v>
      </c>
      <c r="K24" s="1"/>
    </row>
    <row r="25" s="3" customFormat="1" spans="1:11">
      <c r="A25" s="37" t="s">
        <v>130</v>
      </c>
      <c r="B25" s="54">
        <v>1.9</v>
      </c>
      <c r="C25" s="55">
        <f t="shared" si="7"/>
        <v>74.8031496062992</v>
      </c>
      <c r="D25" s="60" t="s">
        <v>113</v>
      </c>
      <c r="E25" s="39" t="s">
        <v>28</v>
      </c>
      <c r="F25" s="37"/>
      <c r="G25" s="40">
        <f t="shared" si="4"/>
        <v>29.576</v>
      </c>
      <c r="H25" s="58">
        <f t="shared" si="5"/>
        <v>354.91</v>
      </c>
      <c r="I25" s="58">
        <v>394.251</v>
      </c>
      <c r="J25" s="58">
        <f t="shared" si="6"/>
        <v>414.06</v>
      </c>
      <c r="K25" s="1"/>
    </row>
    <row r="26" s="3" customFormat="1" ht="14.25" spans="1:10">
      <c r="A26" s="37" t="s">
        <v>130</v>
      </c>
      <c r="B26" s="54">
        <v>1.9</v>
      </c>
      <c r="C26" s="55">
        <f t="shared" si="7"/>
        <v>74.8031496062992</v>
      </c>
      <c r="D26" s="60" t="s">
        <v>131</v>
      </c>
      <c r="E26" s="39" t="s">
        <v>28</v>
      </c>
      <c r="F26" s="37"/>
      <c r="G26" s="40">
        <f t="shared" si="4"/>
        <v>25.56</v>
      </c>
      <c r="H26" s="58">
        <f t="shared" si="5"/>
        <v>306.72</v>
      </c>
      <c r="I26" s="58">
        <v>340.714</v>
      </c>
      <c r="J26" s="58">
        <f t="shared" si="6"/>
        <v>357.84</v>
      </c>
    </row>
    <row r="27" s="3" customFormat="1" ht="14.25" spans="1:10">
      <c r="A27" s="9"/>
      <c r="E27" s="16"/>
      <c r="F27" s="11"/>
      <c r="H27" s="11"/>
      <c r="I27" s="16"/>
      <c r="J27" s="11"/>
    </row>
    <row r="28" s="3" customFormat="1" ht="14.25" spans="1:10">
      <c r="A28" s="9"/>
      <c r="E28" s="16"/>
      <c r="F28" s="11"/>
      <c r="H28" s="11"/>
      <c r="I28" s="16"/>
      <c r="J28" s="11"/>
    </row>
    <row r="29" s="3" customFormat="1" ht="14.25" spans="1:10">
      <c r="A29" s="9"/>
      <c r="E29" s="16"/>
      <c r="F29" s="11"/>
      <c r="H29" s="11"/>
      <c r="I29" s="16"/>
      <c r="J29" s="11"/>
    </row>
    <row r="30" s="3" customFormat="1" ht="14.25" spans="1:10">
      <c r="A30" s="9" t="s">
        <v>72</v>
      </c>
      <c r="E30" s="16"/>
      <c r="F30" s="11"/>
      <c r="H30" s="11"/>
      <c r="I30" s="16"/>
      <c r="J30" s="11"/>
    </row>
    <row r="31" s="1" customFormat="1" spans="1:10">
      <c r="A31" s="9" t="s">
        <v>73</v>
      </c>
      <c r="B31" s="3"/>
      <c r="C31" s="3"/>
      <c r="D31" s="3"/>
      <c r="E31" s="28"/>
      <c r="F31" s="26"/>
      <c r="H31" s="26"/>
      <c r="I31" s="28"/>
      <c r="J31" s="31"/>
    </row>
    <row r="32" s="1" customFormat="1" spans="1:10">
      <c r="A32" s="9" t="s">
        <v>74</v>
      </c>
      <c r="B32" s="3"/>
      <c r="C32" s="3"/>
      <c r="D32" s="3"/>
      <c r="E32" s="28"/>
      <c r="F32" s="26"/>
      <c r="H32" s="26"/>
      <c r="I32" s="28"/>
      <c r="J32" s="31"/>
    </row>
    <row r="33" s="1" customFormat="1" ht="28" customHeight="1" spans="1:10">
      <c r="A33" s="56" t="s">
        <v>75</v>
      </c>
      <c r="B33" s="56"/>
      <c r="C33" s="56"/>
      <c r="D33" s="56"/>
      <c r="E33" s="56"/>
      <c r="F33" s="56"/>
      <c r="G33" s="56"/>
      <c r="H33" s="56"/>
      <c r="I33" s="56"/>
      <c r="J33" s="56"/>
    </row>
    <row r="34" s="32" customFormat="1" spans="1:144">
      <c r="A34" s="9"/>
      <c r="B34" s="3"/>
      <c r="C34" s="3"/>
      <c r="D34" s="3"/>
      <c r="E34" s="28"/>
      <c r="G34" s="1"/>
      <c r="H34" s="26"/>
      <c r="J34" s="3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</row>
    <row r="35" s="1" customFormat="1" spans="1:144">
      <c r="A35" s="30" t="s">
        <v>76</v>
      </c>
      <c r="E35" s="31" t="s">
        <v>77</v>
      </c>
      <c r="G35" s="26"/>
      <c r="H35" s="28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</row>
    <row r="36" s="1" customFormat="1" spans="5:180">
      <c r="E36" s="28"/>
      <c r="F36" s="26"/>
      <c r="H36" s="26"/>
      <c r="I36" s="28"/>
      <c r="J36" s="26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</row>
    <row r="37" s="1" customFormat="1" ht="18" customHeight="1" spans="5:10">
      <c r="E37" s="28"/>
      <c r="F37" s="26"/>
      <c r="H37" s="26"/>
      <c r="I37" s="28"/>
      <c r="J37" s="26"/>
    </row>
    <row r="38" s="1" customFormat="1" spans="1:10">
      <c r="A38" s="30"/>
      <c r="E38" s="28"/>
      <c r="F38" s="31"/>
      <c r="G38" s="4"/>
      <c r="H38" s="57"/>
      <c r="I38" s="59"/>
      <c r="J38" s="57"/>
    </row>
  </sheetData>
  <sortState ref="A11:J22">
    <sortCondition ref="C12"/>
  </sortState>
  <mergeCells count="5">
    <mergeCell ref="A2:J2"/>
    <mergeCell ref="A3:J3"/>
    <mergeCell ref="I5:J5"/>
    <mergeCell ref="A9:J9"/>
    <mergeCell ref="A33:J33"/>
  </mergeCells>
  <pageMargins left="0.75" right="0.75" top="1" bottom="1" header="0.5" footer="0.5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S21"/>
  <sheetViews>
    <sheetView workbookViewId="0">
      <selection activeCell="I20" sqref="I20"/>
    </sheetView>
  </sheetViews>
  <sheetFormatPr defaultColWidth="8" defaultRowHeight="15"/>
  <cols>
    <col min="1" max="1" width="11.125" style="1" customWidth="1"/>
    <col min="2" max="2" width="10.75" style="1" customWidth="1"/>
    <col min="3" max="3" width="12.75" style="1" customWidth="1"/>
    <col min="4" max="4" width="9.75" style="1" customWidth="1"/>
    <col min="5" max="5" width="11.1666666666667" style="28" customWidth="1"/>
    <col min="6" max="6" width="9.5" style="26" customWidth="1"/>
    <col min="7" max="7" width="10.875" style="1" customWidth="1"/>
    <col min="8" max="8" width="18.25" style="26" customWidth="1"/>
    <col min="9" max="211" width="7.83333333333333" style="1" customWidth="1"/>
    <col min="212" max="212" width="7.83333333333333" style="1"/>
    <col min="213" max="16341" width="8" style="1"/>
  </cols>
  <sheetData>
    <row r="1" s="1" customFormat="1" ht="40" customHeight="1" spans="1:8">
      <c r="A1" s="6"/>
      <c r="B1" s="6"/>
      <c r="C1" s="6"/>
      <c r="D1" s="6"/>
      <c r="E1" s="6"/>
      <c r="F1" s="6"/>
      <c r="G1" s="6"/>
      <c r="H1" s="6"/>
    </row>
    <row r="2" s="2" customFormat="1" ht="12.75" spans="1:8">
      <c r="A2" s="7" t="s">
        <v>127</v>
      </c>
      <c r="B2" s="7"/>
      <c r="C2" s="7"/>
      <c r="D2" s="7"/>
      <c r="E2" s="7"/>
      <c r="F2" s="7"/>
      <c r="G2" s="7"/>
      <c r="H2" s="7"/>
    </row>
    <row r="3" s="1" customFormat="1" ht="18" customHeight="1" spans="1:201">
      <c r="A3" s="7" t="s">
        <v>128</v>
      </c>
      <c r="B3" s="7"/>
      <c r="C3" s="7"/>
      <c r="D3" s="7"/>
      <c r="E3" s="7"/>
      <c r="F3" s="7"/>
      <c r="G3" s="7"/>
      <c r="H3" s="7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</row>
    <row r="4" s="3" customFormat="1" ht="17" customHeight="1" spans="1:201">
      <c r="A4" s="8" t="s">
        <v>0</v>
      </c>
      <c r="B4" s="9" t="s">
        <v>1</v>
      </c>
      <c r="C4" s="9"/>
      <c r="D4" s="9"/>
      <c r="E4" s="10"/>
      <c r="F4" s="11"/>
      <c r="G4" s="8" t="s">
        <v>2</v>
      </c>
      <c r="H4" s="12" t="s">
        <v>3</v>
      </c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</row>
    <row r="5" s="3" customFormat="1" ht="17" customHeight="1" spans="1:201">
      <c r="A5" s="8" t="s">
        <v>4</v>
      </c>
      <c r="B5" s="9" t="s">
        <v>5</v>
      </c>
      <c r="C5" s="9"/>
      <c r="D5" s="9"/>
      <c r="E5" s="10"/>
      <c r="F5" s="11"/>
      <c r="G5" s="8" t="s">
        <v>6</v>
      </c>
      <c r="H5" s="13">
        <v>13633926127</v>
      </c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</row>
    <row r="6" s="3" customFormat="1" ht="17" customHeight="1" spans="1:201">
      <c r="A6" s="14" t="s">
        <v>7</v>
      </c>
      <c r="B6" s="9" t="s">
        <v>8</v>
      </c>
      <c r="C6" s="9"/>
      <c r="D6" s="9"/>
      <c r="E6" s="10"/>
      <c r="F6" s="11"/>
      <c r="G6" s="14" t="s">
        <v>9</v>
      </c>
      <c r="H6" s="12" t="s">
        <v>10</v>
      </c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</row>
    <row r="7" s="3" customFormat="1" ht="17" customHeight="1" spans="1:201">
      <c r="A7" s="8" t="s">
        <v>6</v>
      </c>
      <c r="B7" s="15" t="s">
        <v>11</v>
      </c>
      <c r="E7" s="16"/>
      <c r="F7" s="11"/>
      <c r="G7" s="8" t="s">
        <v>12</v>
      </c>
      <c r="H7" s="17" t="s">
        <v>13</v>
      </c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</row>
    <row r="8" s="4" customFormat="1" ht="26.25" customHeight="1" spans="1:8">
      <c r="A8" s="18" t="s">
        <v>132</v>
      </c>
      <c r="B8" s="18"/>
      <c r="C8" s="18"/>
      <c r="D8" s="18"/>
      <c r="E8" s="18"/>
      <c r="F8" s="18"/>
      <c r="G8" s="18"/>
      <c r="H8" s="18"/>
    </row>
    <row r="9" s="5" customFormat="1" ht="21" customHeight="1" spans="1:8">
      <c r="A9" s="19" t="s">
        <v>15</v>
      </c>
      <c r="B9" s="19" t="s">
        <v>79</v>
      </c>
      <c r="C9" s="19" t="s">
        <v>80</v>
      </c>
      <c r="D9" s="19" t="s">
        <v>81</v>
      </c>
      <c r="E9" s="19" t="s">
        <v>82</v>
      </c>
      <c r="F9" s="20" t="s">
        <v>83</v>
      </c>
      <c r="G9" s="20"/>
      <c r="H9" s="20"/>
    </row>
    <row r="10" s="3" customFormat="1" ht="16" customHeight="1" spans="1:8">
      <c r="A10" s="19" t="s">
        <v>84</v>
      </c>
      <c r="B10" s="19" t="s">
        <v>85</v>
      </c>
      <c r="C10" s="19" t="s">
        <v>86</v>
      </c>
      <c r="D10" s="19" t="s">
        <v>87</v>
      </c>
      <c r="E10" s="19" t="s">
        <v>88</v>
      </c>
      <c r="F10" s="21" t="s">
        <v>21</v>
      </c>
      <c r="G10" s="21" t="s">
        <v>89</v>
      </c>
      <c r="H10" s="21" t="s">
        <v>90</v>
      </c>
    </row>
    <row r="11" s="3" customFormat="1" ht="16" customHeight="1" spans="1:8">
      <c r="A11" s="19" t="s">
        <v>130</v>
      </c>
      <c r="B11" s="19">
        <v>7628</v>
      </c>
      <c r="C11" s="22">
        <v>0.46</v>
      </c>
      <c r="D11" s="19">
        <v>150</v>
      </c>
      <c r="E11" s="19">
        <v>49.5</v>
      </c>
      <c r="F11" s="21" t="s">
        <v>118</v>
      </c>
      <c r="G11" s="52">
        <v>36.478</v>
      </c>
      <c r="H11" s="53">
        <f t="shared" ref="H11:H15" si="0">G11*D11</f>
        <v>5471.7</v>
      </c>
    </row>
    <row r="12" s="3" customFormat="1" ht="16" customHeight="1" spans="1:8">
      <c r="A12" s="19" t="s">
        <v>130</v>
      </c>
      <c r="B12" s="19">
        <v>2116</v>
      </c>
      <c r="C12" s="19" t="s">
        <v>95</v>
      </c>
      <c r="D12" s="19">
        <v>150</v>
      </c>
      <c r="E12" s="19">
        <v>49.5</v>
      </c>
      <c r="F12" s="21" t="s">
        <v>118</v>
      </c>
      <c r="G12" s="52">
        <v>29.969</v>
      </c>
      <c r="H12" s="53">
        <f t="shared" si="0"/>
        <v>4495.35</v>
      </c>
    </row>
    <row r="13" s="3" customFormat="1" ht="14.25" spans="1:8">
      <c r="A13" s="19" t="s">
        <v>130</v>
      </c>
      <c r="B13" s="19">
        <v>1080</v>
      </c>
      <c r="C13" s="22">
        <v>0.65</v>
      </c>
      <c r="D13" s="19">
        <v>150</v>
      </c>
      <c r="E13" s="19">
        <v>49.5</v>
      </c>
      <c r="F13" s="21" t="s">
        <v>118</v>
      </c>
      <c r="G13" s="52">
        <v>27.646</v>
      </c>
      <c r="H13" s="53">
        <f t="shared" si="0"/>
        <v>4146.9</v>
      </c>
    </row>
    <row r="14" s="3" customFormat="1" ht="14.25" spans="1:8">
      <c r="A14" s="19" t="s">
        <v>130</v>
      </c>
      <c r="B14" s="19">
        <v>1080</v>
      </c>
      <c r="C14" s="22">
        <v>0.66</v>
      </c>
      <c r="D14" s="19">
        <v>150</v>
      </c>
      <c r="E14" s="19">
        <v>49.5</v>
      </c>
      <c r="F14" s="21" t="s">
        <v>118</v>
      </c>
      <c r="G14" s="52">
        <v>28.98</v>
      </c>
      <c r="H14" s="53">
        <f t="shared" si="0"/>
        <v>4347</v>
      </c>
    </row>
    <row r="15" s="3" customFormat="1" ht="14.25" spans="1:8">
      <c r="A15" s="19" t="s">
        <v>130</v>
      </c>
      <c r="B15" s="19">
        <v>1080</v>
      </c>
      <c r="C15" s="22">
        <v>0.71</v>
      </c>
      <c r="D15" s="19">
        <v>150</v>
      </c>
      <c r="E15" s="19">
        <v>49.5</v>
      </c>
      <c r="F15" s="21" t="s">
        <v>118</v>
      </c>
      <c r="G15" s="52">
        <v>30.5325</v>
      </c>
      <c r="H15" s="53">
        <f t="shared" si="0"/>
        <v>4579.875</v>
      </c>
    </row>
    <row r="16" s="3" customFormat="1" ht="14.25" spans="1:8">
      <c r="A16" s="9" t="s">
        <v>72</v>
      </c>
      <c r="E16" s="25"/>
      <c r="F16" s="11"/>
      <c r="H16" s="11"/>
    </row>
    <row r="17" s="1" customFormat="1" spans="1:8">
      <c r="A17" s="9" t="s">
        <v>73</v>
      </c>
      <c r="B17" s="3"/>
      <c r="C17" s="3"/>
      <c r="D17" s="3"/>
      <c r="E17" s="25"/>
      <c r="F17" s="26"/>
      <c r="H17" s="26"/>
    </row>
    <row r="18" s="1" customFormat="1" spans="1:8">
      <c r="A18" s="9" t="s">
        <v>74</v>
      </c>
      <c r="B18" s="3"/>
      <c r="C18" s="3"/>
      <c r="D18" s="3"/>
      <c r="E18" s="25"/>
      <c r="F18" s="26"/>
      <c r="H18" s="26"/>
    </row>
    <row r="19" s="1" customFormat="1" ht="23.25" spans="1:8">
      <c r="A19" s="27"/>
      <c r="B19" s="27"/>
      <c r="E19" s="28"/>
      <c r="F19" s="26"/>
      <c r="G19" s="29"/>
      <c r="H19" s="26"/>
    </row>
    <row r="20" s="1" customFormat="1" spans="1:199">
      <c r="A20" s="30" t="s">
        <v>76</v>
      </c>
      <c r="E20" s="31" t="s">
        <v>77</v>
      </c>
      <c r="G20" s="26"/>
      <c r="H20" s="28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</row>
    <row r="21" s="1" customFormat="1" ht="18" customHeight="1" spans="5:8">
      <c r="E21" s="28"/>
      <c r="F21" s="26"/>
      <c r="H21" s="26"/>
    </row>
  </sheetData>
  <mergeCells count="5">
    <mergeCell ref="A1:H1"/>
    <mergeCell ref="A2:H2"/>
    <mergeCell ref="A3:H3"/>
    <mergeCell ref="A8:H8"/>
    <mergeCell ref="F9:H9"/>
  </mergeCells>
  <pageMargins left="0.75" right="0.75" top="1" bottom="1" header="0.5" footer="0.5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Y23"/>
  <sheetViews>
    <sheetView workbookViewId="0">
      <selection activeCell="G24" sqref="G24"/>
    </sheetView>
  </sheetViews>
  <sheetFormatPr defaultColWidth="8" defaultRowHeight="15"/>
  <cols>
    <col min="1" max="1" width="8.25" style="1" customWidth="1"/>
    <col min="2" max="2" width="8.58333333333333" style="1" customWidth="1"/>
    <col min="3" max="4" width="8.25" style="1" customWidth="1"/>
    <col min="5" max="5" width="8.25" style="28" customWidth="1"/>
    <col min="6" max="6" width="11.7666666666667" style="26" customWidth="1"/>
    <col min="7" max="7" width="8.25" style="1" customWidth="1"/>
    <col min="8" max="8" width="8.25" style="26" customWidth="1"/>
    <col min="9" max="9" width="8.25" style="28" customWidth="1"/>
    <col min="10" max="10" width="8.25" style="26" customWidth="1"/>
    <col min="11" max="191" width="7.83333333333333" style="1" customWidth="1"/>
    <col min="192" max="192" width="7.83333333333333" style="1"/>
    <col min="193" max="16384" width="8" style="1"/>
  </cols>
  <sheetData>
    <row r="1" s="1" customFormat="1" ht="40" customHeight="1" spans="1:10">
      <c r="A1" s="34"/>
      <c r="B1" s="34"/>
      <c r="C1" s="34"/>
      <c r="D1" s="34"/>
      <c r="E1" s="35"/>
      <c r="F1" s="36"/>
      <c r="G1" s="34"/>
      <c r="H1" s="36"/>
      <c r="I1" s="35"/>
      <c r="J1" s="36"/>
    </row>
    <row r="2" s="2" customFormat="1" ht="12.75" spans="1:10">
      <c r="A2" s="7" t="s">
        <v>127</v>
      </c>
      <c r="B2" s="7"/>
      <c r="C2" s="7"/>
      <c r="D2" s="7"/>
      <c r="E2" s="7"/>
      <c r="F2" s="7"/>
      <c r="G2" s="7"/>
      <c r="H2" s="7"/>
      <c r="I2" s="7"/>
      <c r="J2" s="7"/>
    </row>
    <row r="3" s="1" customFormat="1" ht="18" customHeight="1" spans="1:181">
      <c r="A3" s="7" t="s">
        <v>128</v>
      </c>
      <c r="B3" s="7"/>
      <c r="C3" s="7"/>
      <c r="D3" s="7"/>
      <c r="E3" s="7"/>
      <c r="F3" s="7"/>
      <c r="G3" s="7"/>
      <c r="H3" s="7"/>
      <c r="I3" s="7"/>
      <c r="J3" s="7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</row>
    <row r="4" s="3" customFormat="1" ht="17" customHeight="1" spans="1:180">
      <c r="A4" s="8" t="s">
        <v>0</v>
      </c>
      <c r="B4" s="9" t="s">
        <v>1</v>
      </c>
      <c r="C4" s="9"/>
      <c r="D4" s="9"/>
      <c r="E4" s="10"/>
      <c r="H4" s="8" t="s">
        <v>2</v>
      </c>
      <c r="I4" s="12" t="s">
        <v>3</v>
      </c>
      <c r="J4" s="9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</row>
    <row r="5" s="3" customFormat="1" ht="17" customHeight="1" spans="1:180">
      <c r="A5" s="8" t="s">
        <v>4</v>
      </c>
      <c r="B5" s="9" t="s">
        <v>5</v>
      </c>
      <c r="C5" s="9"/>
      <c r="D5" s="9"/>
      <c r="E5" s="10"/>
      <c r="H5" s="8" t="s">
        <v>6</v>
      </c>
      <c r="I5" s="13">
        <v>13633926127</v>
      </c>
      <c r="J5" s="1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</row>
    <row r="6" s="3" customFormat="1" ht="17" customHeight="1" spans="1:180">
      <c r="A6" s="14" t="s">
        <v>7</v>
      </c>
      <c r="B6" s="9" t="s">
        <v>8</v>
      </c>
      <c r="C6" s="9"/>
      <c r="D6" s="9"/>
      <c r="E6" s="10"/>
      <c r="H6" s="14" t="s">
        <v>9</v>
      </c>
      <c r="I6" s="12" t="s">
        <v>10</v>
      </c>
      <c r="J6" s="9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</row>
    <row r="7" s="3" customFormat="1" ht="17" customHeight="1" spans="1:180">
      <c r="A7" s="8" t="s">
        <v>6</v>
      </c>
      <c r="B7" s="15" t="s">
        <v>11</v>
      </c>
      <c r="H7" s="8" t="s">
        <v>12</v>
      </c>
      <c r="I7" s="17" t="s">
        <v>13</v>
      </c>
      <c r="J7" s="9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</row>
    <row r="8" s="3" customFormat="1" ht="17" customHeight="1" spans="1:180">
      <c r="A8" s="9"/>
      <c r="B8" s="15"/>
      <c r="H8" s="9"/>
      <c r="I8" s="49"/>
      <c r="J8" s="9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</row>
    <row r="9" s="4" customFormat="1" ht="26.25" customHeight="1" spans="1:10">
      <c r="A9" s="18" t="s">
        <v>133</v>
      </c>
      <c r="B9" s="18"/>
      <c r="C9" s="18"/>
      <c r="D9" s="18"/>
      <c r="E9" s="18"/>
      <c r="F9" s="18"/>
      <c r="G9" s="18"/>
      <c r="H9" s="18"/>
      <c r="I9" s="18"/>
      <c r="J9" s="18"/>
    </row>
    <row r="10" s="1" customFormat="1" spans="1:10">
      <c r="A10" s="37" t="s">
        <v>15</v>
      </c>
      <c r="B10" s="37" t="s">
        <v>16</v>
      </c>
      <c r="C10" s="37" t="s">
        <v>17</v>
      </c>
      <c r="D10" s="38" t="s">
        <v>18</v>
      </c>
      <c r="E10" s="39" t="s">
        <v>19</v>
      </c>
      <c r="F10" s="37" t="s">
        <v>20</v>
      </c>
      <c r="G10" s="40" t="s">
        <v>21</v>
      </c>
      <c r="H10" s="41" t="s">
        <v>22</v>
      </c>
      <c r="I10" s="41" t="s">
        <v>23</v>
      </c>
      <c r="J10" s="41" t="s">
        <v>24</v>
      </c>
    </row>
    <row r="11" s="1" customFormat="1" spans="1:10">
      <c r="A11" s="37" t="s">
        <v>134</v>
      </c>
      <c r="B11" s="37">
        <v>0.6</v>
      </c>
      <c r="C11" s="37">
        <v>24</v>
      </c>
      <c r="D11" s="38" t="s">
        <v>131</v>
      </c>
      <c r="E11" s="39" t="s">
        <v>100</v>
      </c>
      <c r="F11" s="37" t="s">
        <v>48</v>
      </c>
      <c r="G11" s="40">
        <v>10.16</v>
      </c>
      <c r="H11" s="41">
        <f>ROUND(G11*12,2)</f>
        <v>121.92</v>
      </c>
      <c r="I11" s="58">
        <v>191.5707024</v>
      </c>
      <c r="J11" s="41">
        <f>ROUND(G11*14,2)</f>
        <v>142.24</v>
      </c>
    </row>
    <row r="12" s="1" customFormat="1" spans="1:10">
      <c r="A12" s="37" t="s">
        <v>134</v>
      </c>
      <c r="B12" s="37">
        <v>0.1</v>
      </c>
      <c r="C12" s="37">
        <v>4</v>
      </c>
      <c r="D12" s="38">
        <v>11</v>
      </c>
      <c r="E12" s="39" t="s">
        <v>100</v>
      </c>
      <c r="F12" s="37" t="s">
        <v>135</v>
      </c>
      <c r="G12" s="40">
        <f>ROUND(I12/13.33,2)</f>
        <v>13.53</v>
      </c>
      <c r="H12" s="41">
        <f>ROUND(G12*12,2)</f>
        <v>162.36</v>
      </c>
      <c r="I12" s="58">
        <v>180.3056112</v>
      </c>
      <c r="J12" s="41">
        <f>ROUND(G12*14,2)</f>
        <v>189.42</v>
      </c>
    </row>
    <row r="13" s="1" customFormat="1" spans="1:10">
      <c r="A13" s="37" t="s">
        <v>134</v>
      </c>
      <c r="B13" s="54">
        <v>0.25</v>
      </c>
      <c r="C13" s="55">
        <v>10</v>
      </c>
      <c r="D13" s="38" t="s">
        <v>27</v>
      </c>
      <c r="E13" s="39" t="s">
        <v>100</v>
      </c>
      <c r="F13" s="37" t="s">
        <v>36</v>
      </c>
      <c r="G13" s="40">
        <f>ROUND(I13/13.33,3)</f>
        <v>15.654</v>
      </c>
      <c r="H13" s="41">
        <f>ROUND(G13*12,2)</f>
        <v>187.85</v>
      </c>
      <c r="I13" s="58">
        <v>208.6736256</v>
      </c>
      <c r="J13" s="41">
        <f>ROUND(G13*14,2)</f>
        <v>219.16</v>
      </c>
    </row>
    <row r="14" s="3" customFormat="1" spans="1:10">
      <c r="A14" s="42"/>
      <c r="B14" s="43"/>
      <c r="C14" s="44"/>
      <c r="D14" s="45"/>
      <c r="E14" s="46"/>
      <c r="F14" s="47"/>
      <c r="G14" s="48"/>
      <c r="H14" s="47"/>
      <c r="I14" s="50"/>
      <c r="J14" s="47"/>
    </row>
    <row r="15" s="3" customFormat="1" ht="14.25" spans="1:10">
      <c r="A15" s="9" t="s">
        <v>72</v>
      </c>
      <c r="E15" s="16"/>
      <c r="F15" s="11"/>
      <c r="H15" s="11"/>
      <c r="I15" s="16"/>
      <c r="J15" s="11"/>
    </row>
    <row r="16" s="1" customFormat="1" spans="1:10">
      <c r="A16" s="9" t="s">
        <v>73</v>
      </c>
      <c r="B16" s="3"/>
      <c r="C16" s="3"/>
      <c r="D16" s="3"/>
      <c r="E16" s="28"/>
      <c r="F16" s="26"/>
      <c r="H16" s="26"/>
      <c r="I16" s="28"/>
      <c r="J16" s="31"/>
    </row>
    <row r="17" s="1" customFormat="1" spans="1:10">
      <c r="A17" s="9" t="s">
        <v>74</v>
      </c>
      <c r="B17" s="3"/>
      <c r="C17" s="3"/>
      <c r="D17" s="3"/>
      <c r="E17" s="28"/>
      <c r="F17" s="26"/>
      <c r="H17" s="26"/>
      <c r="I17" s="28"/>
      <c r="J17" s="31"/>
    </row>
    <row r="18" s="1" customFormat="1" ht="28" customHeight="1" spans="1:10">
      <c r="A18" s="56"/>
      <c r="B18" s="56"/>
      <c r="C18" s="56"/>
      <c r="D18" s="56"/>
      <c r="E18" s="56"/>
      <c r="F18" s="56"/>
      <c r="G18" s="56"/>
      <c r="H18" s="56"/>
      <c r="I18" s="56"/>
      <c r="J18" s="56"/>
    </row>
    <row r="19" s="32" customFormat="1" spans="1:144">
      <c r="A19" s="9"/>
      <c r="B19" s="3"/>
      <c r="C19" s="3"/>
      <c r="D19" s="3"/>
      <c r="E19" s="28"/>
      <c r="G19" s="1"/>
      <c r="H19" s="26"/>
      <c r="J19" s="3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</row>
    <row r="20" s="1" customFormat="1" spans="1:144">
      <c r="A20" s="30" t="s">
        <v>76</v>
      </c>
      <c r="E20" s="31" t="s">
        <v>77</v>
      </c>
      <c r="G20" s="26"/>
      <c r="H20" s="28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</row>
    <row r="21" s="1" customFormat="1" spans="5:179">
      <c r="E21" s="28"/>
      <c r="F21" s="26"/>
      <c r="H21" s="26"/>
      <c r="I21" s="28"/>
      <c r="J21" s="26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</row>
    <row r="22" s="1" customFormat="1" ht="18" customHeight="1" spans="5:10">
      <c r="E22" s="28"/>
      <c r="F22" s="26"/>
      <c r="H22" s="26"/>
      <c r="I22" s="28"/>
      <c r="J22" s="26"/>
    </row>
    <row r="23" s="1" customFormat="1" spans="1:10">
      <c r="A23" s="30"/>
      <c r="E23" s="28"/>
      <c r="F23" s="31"/>
      <c r="G23" s="4"/>
      <c r="H23" s="57"/>
      <c r="I23" s="59"/>
      <c r="J23" s="57"/>
    </row>
  </sheetData>
  <mergeCells count="5">
    <mergeCell ref="A2:J2"/>
    <mergeCell ref="A3:J3"/>
    <mergeCell ref="I5:J5"/>
    <mergeCell ref="A9:J9"/>
    <mergeCell ref="A18:J18"/>
  </mergeCells>
  <pageMargins left="0.75" right="0.75" top="1" bottom="1" header="0.5" footer="0.5"/>
  <pageSetup paperSize="9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V19"/>
  <sheetViews>
    <sheetView workbookViewId="0">
      <selection activeCell="F27" sqref="F27"/>
    </sheetView>
  </sheetViews>
  <sheetFormatPr defaultColWidth="8" defaultRowHeight="15"/>
  <cols>
    <col min="1" max="1" width="11.125" style="1" customWidth="1"/>
    <col min="2" max="2" width="10.75" style="1" customWidth="1"/>
    <col min="3" max="3" width="12.75" style="1" customWidth="1"/>
    <col min="4" max="4" width="9.75" style="1" customWidth="1"/>
    <col min="5" max="5" width="11.1666666666667" style="28" customWidth="1"/>
    <col min="6" max="6" width="9.5" style="26" customWidth="1"/>
    <col min="7" max="7" width="10.875" style="1" customWidth="1"/>
    <col min="8" max="8" width="18.25" style="26" customWidth="1"/>
    <col min="9" max="214" width="7.83333333333333" style="1" customWidth="1"/>
    <col min="215" max="215" width="7.83333333333333" style="1"/>
    <col min="216" max="16344" width="8" style="1"/>
  </cols>
  <sheetData>
    <row r="1" s="1" customFormat="1" ht="40" customHeight="1" spans="1:8">
      <c r="A1" s="6"/>
      <c r="B1" s="6"/>
      <c r="C1" s="6"/>
      <c r="D1" s="6"/>
      <c r="E1" s="6"/>
      <c r="F1" s="6"/>
      <c r="G1" s="6"/>
      <c r="H1" s="6"/>
    </row>
    <row r="2" s="2" customFormat="1" ht="12.75" spans="1:8">
      <c r="A2" s="7" t="s">
        <v>127</v>
      </c>
      <c r="B2" s="7"/>
      <c r="C2" s="7"/>
      <c r="D2" s="7"/>
      <c r="E2" s="7"/>
      <c r="F2" s="7"/>
      <c r="G2" s="7"/>
      <c r="H2" s="7"/>
    </row>
    <row r="3" s="1" customFormat="1" ht="18" customHeight="1" spans="1:204">
      <c r="A3" s="7" t="s">
        <v>128</v>
      </c>
      <c r="B3" s="7"/>
      <c r="C3" s="7"/>
      <c r="D3" s="7"/>
      <c r="E3" s="7"/>
      <c r="F3" s="7"/>
      <c r="G3" s="7"/>
      <c r="H3" s="7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</row>
    <row r="4" s="3" customFormat="1" ht="17" customHeight="1" spans="1:204">
      <c r="A4" s="8" t="s">
        <v>0</v>
      </c>
      <c r="B4" s="9" t="s">
        <v>1</v>
      </c>
      <c r="C4" s="9"/>
      <c r="D4" s="9"/>
      <c r="E4" s="10"/>
      <c r="F4" s="11"/>
      <c r="G4" s="8" t="s">
        <v>2</v>
      </c>
      <c r="H4" s="12" t="s">
        <v>3</v>
      </c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</row>
    <row r="5" s="3" customFormat="1" ht="17" customHeight="1" spans="1:204">
      <c r="A5" s="8" t="s">
        <v>4</v>
      </c>
      <c r="B5" s="9" t="s">
        <v>5</v>
      </c>
      <c r="C5" s="9"/>
      <c r="D5" s="9"/>
      <c r="E5" s="10"/>
      <c r="F5" s="11"/>
      <c r="G5" s="8" t="s">
        <v>6</v>
      </c>
      <c r="H5" s="13">
        <v>13633926127</v>
      </c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</row>
    <row r="6" s="3" customFormat="1" ht="17" customHeight="1" spans="1:204">
      <c r="A6" s="14" t="s">
        <v>7</v>
      </c>
      <c r="B6" s="9" t="s">
        <v>8</v>
      </c>
      <c r="C6" s="9"/>
      <c r="D6" s="9"/>
      <c r="E6" s="10"/>
      <c r="F6" s="11"/>
      <c r="G6" s="14" t="s">
        <v>9</v>
      </c>
      <c r="H6" s="12" t="s">
        <v>10</v>
      </c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</row>
    <row r="7" s="3" customFormat="1" ht="17" customHeight="1" spans="1:204">
      <c r="A7" s="8" t="s">
        <v>6</v>
      </c>
      <c r="B7" s="15" t="s">
        <v>11</v>
      </c>
      <c r="E7" s="16"/>
      <c r="F7" s="11"/>
      <c r="G7" s="8" t="s">
        <v>12</v>
      </c>
      <c r="H7" s="17" t="s">
        <v>13</v>
      </c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</row>
    <row r="8" s="4" customFormat="1" ht="26.25" customHeight="1" spans="1:8">
      <c r="A8" s="18" t="s">
        <v>136</v>
      </c>
      <c r="B8" s="18"/>
      <c r="C8" s="18"/>
      <c r="D8" s="18"/>
      <c r="E8" s="18"/>
      <c r="F8" s="18"/>
      <c r="G8" s="18"/>
      <c r="H8" s="18"/>
    </row>
    <row r="9" s="5" customFormat="1" ht="21" customHeight="1" spans="1:8">
      <c r="A9" s="19" t="s">
        <v>15</v>
      </c>
      <c r="B9" s="19" t="s">
        <v>79</v>
      </c>
      <c r="C9" s="19" t="s">
        <v>80</v>
      </c>
      <c r="D9" s="19" t="s">
        <v>81</v>
      </c>
      <c r="E9" s="19" t="s">
        <v>82</v>
      </c>
      <c r="F9" s="20" t="s">
        <v>83</v>
      </c>
      <c r="G9" s="20"/>
      <c r="H9" s="20"/>
    </row>
    <row r="10" s="3" customFormat="1" ht="16" customHeight="1" spans="1:8">
      <c r="A10" s="19" t="s">
        <v>84</v>
      </c>
      <c r="B10" s="19" t="s">
        <v>85</v>
      </c>
      <c r="C10" s="19" t="s">
        <v>86</v>
      </c>
      <c r="D10" s="19" t="s">
        <v>87</v>
      </c>
      <c r="E10" s="19" t="s">
        <v>88</v>
      </c>
      <c r="F10" s="21" t="s">
        <v>21</v>
      </c>
      <c r="G10" s="21" t="s">
        <v>89</v>
      </c>
      <c r="H10" s="21" t="s">
        <v>90</v>
      </c>
    </row>
    <row r="11" s="3" customFormat="1" ht="16" customHeight="1" spans="1:8">
      <c r="A11" s="19" t="s">
        <v>134</v>
      </c>
      <c r="B11" s="19">
        <v>7628</v>
      </c>
      <c r="C11" s="22">
        <v>0.46</v>
      </c>
      <c r="D11" s="19">
        <v>100</v>
      </c>
      <c r="E11" s="19">
        <v>49.5</v>
      </c>
      <c r="F11" s="21" t="s">
        <v>118</v>
      </c>
      <c r="G11" s="23">
        <v>41.7658725</v>
      </c>
      <c r="H11" s="24">
        <f>G11*D11</f>
        <v>4176.58725</v>
      </c>
    </row>
    <row r="12" s="3" customFormat="1" ht="16" customHeight="1" spans="1:8">
      <c r="A12" s="19" t="s">
        <v>134</v>
      </c>
      <c r="B12" s="19">
        <v>2116</v>
      </c>
      <c r="C12" s="22">
        <v>0.53</v>
      </c>
      <c r="D12" s="19">
        <v>150</v>
      </c>
      <c r="E12" s="19">
        <v>49.5</v>
      </c>
      <c r="F12" s="21" t="s">
        <v>118</v>
      </c>
      <c r="G12" s="51">
        <v>36.8</v>
      </c>
      <c r="H12" s="24">
        <f>G12*D12</f>
        <v>5520</v>
      </c>
    </row>
    <row r="13" s="3" customFormat="1" ht="16" customHeight="1" spans="1:8">
      <c r="A13" s="19" t="s">
        <v>134</v>
      </c>
      <c r="B13" s="19">
        <v>1080</v>
      </c>
      <c r="C13" s="22">
        <v>0.68</v>
      </c>
      <c r="D13" s="19">
        <v>150</v>
      </c>
      <c r="E13" s="19">
        <v>49.5</v>
      </c>
      <c r="F13" s="21" t="s">
        <v>118</v>
      </c>
      <c r="G13" s="52">
        <v>38.364</v>
      </c>
      <c r="H13" s="53">
        <f>G13*D13</f>
        <v>5754.6</v>
      </c>
    </row>
    <row r="14" s="3" customFormat="1" ht="14.25" spans="1:8">
      <c r="A14" s="9" t="s">
        <v>72</v>
      </c>
      <c r="E14" s="25"/>
      <c r="F14" s="11"/>
      <c r="H14" s="11"/>
    </row>
    <row r="15" s="1" customFormat="1" spans="1:8">
      <c r="A15" s="9" t="s">
        <v>73</v>
      </c>
      <c r="B15" s="3"/>
      <c r="C15" s="3"/>
      <c r="D15" s="3"/>
      <c r="E15" s="25"/>
      <c r="F15" s="26"/>
      <c r="H15" s="26"/>
    </row>
    <row r="16" s="1" customFormat="1" spans="1:8">
      <c r="A16" s="9" t="s">
        <v>74</v>
      </c>
      <c r="B16" s="3"/>
      <c r="C16" s="3"/>
      <c r="D16" s="3"/>
      <c r="E16" s="25"/>
      <c r="F16" s="26"/>
      <c r="H16" s="26"/>
    </row>
    <row r="17" s="1" customFormat="1" ht="23.25" spans="1:8">
      <c r="A17" s="27"/>
      <c r="B17" s="27"/>
      <c r="E17" s="28"/>
      <c r="F17" s="26"/>
      <c r="G17" s="29"/>
      <c r="H17" s="26"/>
    </row>
    <row r="18" s="1" customFormat="1" spans="1:202">
      <c r="A18" s="30" t="s">
        <v>76</v>
      </c>
      <c r="E18" s="31" t="s">
        <v>77</v>
      </c>
      <c r="G18" s="26"/>
      <c r="H18" s="28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</row>
    <row r="19" s="1" customFormat="1" ht="18" customHeight="1" spans="5:8">
      <c r="E19" s="28"/>
      <c r="F19" s="26"/>
      <c r="H19" s="26"/>
    </row>
  </sheetData>
  <mergeCells count="5">
    <mergeCell ref="A1:H1"/>
    <mergeCell ref="A2:H2"/>
    <mergeCell ref="A3:H3"/>
    <mergeCell ref="A8:H8"/>
    <mergeCell ref="F9:H9"/>
  </mergeCells>
  <pageMargins left="0.75" right="0.75" top="1" bottom="1" header="0.5" footer="0.5"/>
  <pageSetup paperSize="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D15"/>
  <sheetViews>
    <sheetView workbookViewId="0">
      <selection activeCell="L22" sqref="L21:L22"/>
    </sheetView>
  </sheetViews>
  <sheetFormatPr defaultColWidth="8.8" defaultRowHeight="14.25"/>
  <sheetData>
    <row r="1" s="1" customFormat="1" ht="40" customHeight="1" spans="1:10">
      <c r="A1" s="34"/>
      <c r="B1" s="34"/>
      <c r="C1" s="34"/>
      <c r="D1" s="34"/>
      <c r="E1" s="35"/>
      <c r="F1" s="36"/>
      <c r="G1" s="34"/>
      <c r="H1" s="36"/>
      <c r="I1" s="35"/>
      <c r="J1" s="36"/>
    </row>
    <row r="2" s="2" customFormat="1" ht="12.75" spans="1:10">
      <c r="A2" s="7" t="s">
        <v>127</v>
      </c>
      <c r="B2" s="7"/>
      <c r="C2" s="7"/>
      <c r="D2" s="7"/>
      <c r="E2" s="7"/>
      <c r="F2" s="7"/>
      <c r="G2" s="7"/>
      <c r="H2" s="7"/>
      <c r="I2" s="7"/>
      <c r="J2" s="7"/>
    </row>
    <row r="3" s="1" customFormat="1" ht="18" customHeight="1" spans="1:186">
      <c r="A3" s="7" t="s">
        <v>128</v>
      </c>
      <c r="B3" s="7"/>
      <c r="C3" s="7"/>
      <c r="D3" s="7"/>
      <c r="E3" s="7"/>
      <c r="F3" s="7"/>
      <c r="G3" s="7"/>
      <c r="H3" s="7"/>
      <c r="I3" s="7"/>
      <c r="J3" s="7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</row>
    <row r="4" s="3" customFormat="1" ht="17" customHeight="1" spans="1:185">
      <c r="A4" s="8" t="s">
        <v>0</v>
      </c>
      <c r="B4" s="9" t="s">
        <v>1</v>
      </c>
      <c r="C4" s="9"/>
      <c r="D4" s="9"/>
      <c r="E4" s="10"/>
      <c r="H4" s="8" t="s">
        <v>2</v>
      </c>
      <c r="I4" s="12" t="s">
        <v>3</v>
      </c>
      <c r="J4" s="9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</row>
    <row r="5" s="3" customFormat="1" ht="17" customHeight="1" spans="1:185">
      <c r="A5" s="8" t="s">
        <v>4</v>
      </c>
      <c r="B5" s="9" t="s">
        <v>5</v>
      </c>
      <c r="C5" s="9"/>
      <c r="D5" s="9"/>
      <c r="E5" s="10"/>
      <c r="H5" s="8" t="s">
        <v>6</v>
      </c>
      <c r="I5" s="13">
        <v>13633926127</v>
      </c>
      <c r="J5" s="1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</row>
    <row r="6" s="3" customFormat="1" ht="17" customHeight="1" spans="1:185">
      <c r="A6" s="14" t="s">
        <v>7</v>
      </c>
      <c r="B6" s="9" t="s">
        <v>8</v>
      </c>
      <c r="C6" s="9"/>
      <c r="D6" s="9"/>
      <c r="E6" s="10"/>
      <c r="H6" s="14" t="s">
        <v>9</v>
      </c>
      <c r="I6" s="12" t="s">
        <v>10</v>
      </c>
      <c r="J6" s="9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</row>
    <row r="7" s="3" customFormat="1" ht="17" customHeight="1" spans="1:185">
      <c r="A7" s="8" t="s">
        <v>6</v>
      </c>
      <c r="B7" s="15" t="s">
        <v>11</v>
      </c>
      <c r="H7" s="8" t="s">
        <v>12</v>
      </c>
      <c r="I7" s="17" t="s">
        <v>13</v>
      </c>
      <c r="J7" s="9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</row>
    <row r="8" s="3" customFormat="1" ht="17" customHeight="1" spans="1:185">
      <c r="A8" s="9"/>
      <c r="B8" s="15"/>
      <c r="H8" s="9"/>
      <c r="I8" s="49"/>
      <c r="J8" s="9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</row>
    <row r="9" s="4" customFormat="1" ht="26.25" customHeight="1" spans="1:10">
      <c r="A9" s="18" t="s">
        <v>137</v>
      </c>
      <c r="B9" s="18"/>
      <c r="C9" s="18"/>
      <c r="D9" s="18"/>
      <c r="E9" s="18"/>
      <c r="F9" s="18"/>
      <c r="G9" s="18"/>
      <c r="H9" s="18"/>
      <c r="I9" s="18"/>
      <c r="J9" s="18"/>
    </row>
    <row r="10" s="1" customFormat="1" ht="15" spans="1:10">
      <c r="A10" s="37" t="s">
        <v>15</v>
      </c>
      <c r="B10" s="37" t="s">
        <v>16</v>
      </c>
      <c r="C10" s="37" t="s">
        <v>17</v>
      </c>
      <c r="D10" s="38" t="s">
        <v>18</v>
      </c>
      <c r="E10" s="39" t="s">
        <v>19</v>
      </c>
      <c r="F10" s="37" t="s">
        <v>20</v>
      </c>
      <c r="G10" s="40" t="s">
        <v>21</v>
      </c>
      <c r="H10" s="41" t="s">
        <v>22</v>
      </c>
      <c r="I10" s="41" t="s">
        <v>23</v>
      </c>
      <c r="J10" s="41" t="s">
        <v>24</v>
      </c>
    </row>
    <row r="11" s="1" customFormat="1" ht="15" spans="1:10">
      <c r="A11" s="37" t="s">
        <v>138</v>
      </c>
      <c r="B11" s="37">
        <v>0.2</v>
      </c>
      <c r="C11" s="37">
        <v>8</v>
      </c>
      <c r="D11" s="38">
        <v>11</v>
      </c>
      <c r="E11" s="39" t="s">
        <v>139</v>
      </c>
      <c r="F11" s="37" t="s">
        <v>36</v>
      </c>
      <c r="G11" s="40">
        <f>ROUND(I11/13.33,2)</f>
        <v>15.27</v>
      </c>
      <c r="H11" s="41">
        <f>ROUND(G11*12,2)</f>
        <v>183.24</v>
      </c>
      <c r="I11" s="41">
        <v>203.522</v>
      </c>
      <c r="J11" s="41">
        <f>ROUND(G11*14,2)</f>
        <v>213.78</v>
      </c>
    </row>
    <row r="12" s="3" customFormat="1" ht="15" spans="1:10">
      <c r="A12" s="42"/>
      <c r="B12" s="43"/>
      <c r="C12" s="44"/>
      <c r="D12" s="45"/>
      <c r="E12" s="46"/>
      <c r="F12" s="47"/>
      <c r="G12" s="48"/>
      <c r="H12" s="47"/>
      <c r="I12" s="50"/>
      <c r="J12" s="47"/>
    </row>
    <row r="13" s="3" customFormat="1" spans="1:10">
      <c r="A13" s="9" t="s">
        <v>72</v>
      </c>
      <c r="E13" s="16"/>
      <c r="F13" s="11"/>
      <c r="H13" s="11"/>
      <c r="I13" s="16"/>
      <c r="J13" s="11"/>
    </row>
    <row r="14" s="1" customFormat="1" ht="15" spans="1:10">
      <c r="A14" s="9" t="s">
        <v>73</v>
      </c>
      <c r="B14" s="3"/>
      <c r="C14" s="3"/>
      <c r="D14" s="3"/>
      <c r="E14" s="28"/>
      <c r="F14" s="26"/>
      <c r="H14" s="26"/>
      <c r="I14" s="28"/>
      <c r="J14" s="31"/>
    </row>
    <row r="15" s="1" customFormat="1" ht="15" spans="1:10">
      <c r="A15" s="9" t="s">
        <v>74</v>
      </c>
      <c r="B15" s="3"/>
      <c r="C15" s="3"/>
      <c r="D15" s="3"/>
      <c r="E15" s="28"/>
      <c r="F15" s="26"/>
      <c r="H15" s="26"/>
      <c r="I15" s="28"/>
      <c r="J15" s="31"/>
    </row>
  </sheetData>
  <mergeCells count="4">
    <mergeCell ref="A2:J2"/>
    <mergeCell ref="A3:J3"/>
    <mergeCell ref="I5:J5"/>
    <mergeCell ref="A9:J9"/>
  </mergeCells>
  <pageMargins left="0.75" right="0.75" top="1" bottom="1" header="0.5" footer="0.5"/>
  <pageSetup paperSize="9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X16"/>
  <sheetViews>
    <sheetView workbookViewId="0">
      <selection activeCell="L20" sqref="L20"/>
    </sheetView>
  </sheetViews>
  <sheetFormatPr defaultColWidth="8.8" defaultRowHeight="14.25"/>
  <sheetData>
    <row r="1" s="1" customFormat="1" ht="40" customHeight="1" spans="1:8">
      <c r="A1" s="6"/>
      <c r="B1" s="6"/>
      <c r="C1" s="6"/>
      <c r="D1" s="6"/>
      <c r="E1" s="6"/>
      <c r="F1" s="6"/>
      <c r="G1" s="6"/>
      <c r="H1" s="6"/>
    </row>
    <row r="2" s="2" customFormat="1" ht="12.75" spans="1:8">
      <c r="A2" s="7" t="s">
        <v>127</v>
      </c>
      <c r="B2" s="7"/>
      <c r="C2" s="7"/>
      <c r="D2" s="7"/>
      <c r="E2" s="7"/>
      <c r="F2" s="7"/>
      <c r="G2" s="7"/>
      <c r="H2" s="7"/>
    </row>
    <row r="3" s="1" customFormat="1" ht="18" customHeight="1" spans="1:206">
      <c r="A3" s="7" t="s">
        <v>128</v>
      </c>
      <c r="B3" s="7"/>
      <c r="C3" s="7"/>
      <c r="D3" s="7"/>
      <c r="E3" s="7"/>
      <c r="F3" s="7"/>
      <c r="G3" s="7"/>
      <c r="H3" s="7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</row>
    <row r="4" s="3" customFormat="1" ht="17" customHeight="1" spans="1:206">
      <c r="A4" s="8" t="s">
        <v>0</v>
      </c>
      <c r="B4" s="9" t="s">
        <v>1</v>
      </c>
      <c r="C4" s="9"/>
      <c r="D4" s="9"/>
      <c r="E4" s="10"/>
      <c r="F4" s="11"/>
      <c r="G4" s="8" t="s">
        <v>2</v>
      </c>
      <c r="H4" s="12" t="s">
        <v>3</v>
      </c>
      <c r="I4" s="9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</row>
    <row r="5" s="3" customFormat="1" ht="17" customHeight="1" spans="1:206">
      <c r="A5" s="8" t="s">
        <v>4</v>
      </c>
      <c r="B5" s="9" t="s">
        <v>5</v>
      </c>
      <c r="C5" s="9"/>
      <c r="D5" s="9"/>
      <c r="E5" s="10"/>
      <c r="F5" s="11"/>
      <c r="G5" s="8" t="s">
        <v>6</v>
      </c>
      <c r="H5" s="13">
        <v>13633926127</v>
      </c>
      <c r="I5" s="1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</row>
    <row r="6" s="3" customFormat="1" ht="17" customHeight="1" spans="1:206">
      <c r="A6" s="14" t="s">
        <v>7</v>
      </c>
      <c r="B6" s="9" t="s">
        <v>8</v>
      </c>
      <c r="C6" s="9"/>
      <c r="D6" s="9"/>
      <c r="E6" s="10"/>
      <c r="F6" s="11"/>
      <c r="G6" s="14" t="s">
        <v>9</v>
      </c>
      <c r="H6" s="12" t="s">
        <v>10</v>
      </c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</row>
    <row r="7" s="3" customFormat="1" ht="17" customHeight="1" spans="1:206">
      <c r="A7" s="8" t="s">
        <v>6</v>
      </c>
      <c r="B7" s="15" t="s">
        <v>11</v>
      </c>
      <c r="E7" s="16"/>
      <c r="F7" s="11"/>
      <c r="G7" s="8" t="s">
        <v>12</v>
      </c>
      <c r="H7" s="17" t="s">
        <v>13</v>
      </c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</row>
    <row r="8" s="4" customFormat="1" ht="26.25" customHeight="1" spans="1:8">
      <c r="A8" s="18" t="s">
        <v>140</v>
      </c>
      <c r="B8" s="18"/>
      <c r="C8" s="18"/>
      <c r="D8" s="18"/>
      <c r="E8" s="18"/>
      <c r="F8" s="18"/>
      <c r="G8" s="18"/>
      <c r="H8" s="18"/>
    </row>
    <row r="9" s="5" customFormat="1" ht="30" customHeight="1" spans="1:8">
      <c r="A9" s="19" t="s">
        <v>15</v>
      </c>
      <c r="B9" s="19" t="s">
        <v>79</v>
      </c>
      <c r="C9" s="19" t="s">
        <v>80</v>
      </c>
      <c r="D9" s="19" t="s">
        <v>81</v>
      </c>
      <c r="E9" s="19" t="s">
        <v>82</v>
      </c>
      <c r="F9" s="20" t="s">
        <v>83</v>
      </c>
      <c r="G9" s="20"/>
      <c r="H9" s="20"/>
    </row>
    <row r="10" s="3" customFormat="1" ht="16" customHeight="1" spans="1:8">
      <c r="A10" s="19" t="s">
        <v>84</v>
      </c>
      <c r="B10" s="19" t="s">
        <v>85</v>
      </c>
      <c r="C10" s="19" t="s">
        <v>86</v>
      </c>
      <c r="D10" s="19" t="s">
        <v>87</v>
      </c>
      <c r="E10" s="19" t="s">
        <v>88</v>
      </c>
      <c r="F10" s="21" t="s">
        <v>21</v>
      </c>
      <c r="G10" s="21" t="s">
        <v>89</v>
      </c>
      <c r="H10" s="21" t="s">
        <v>90</v>
      </c>
    </row>
    <row r="11" s="3" customFormat="1" ht="16" customHeight="1" spans="1:8">
      <c r="A11" s="19" t="s">
        <v>138</v>
      </c>
      <c r="B11" s="19">
        <v>2116</v>
      </c>
      <c r="C11" s="22">
        <v>0.56</v>
      </c>
      <c r="D11" s="19">
        <v>150</v>
      </c>
      <c r="E11" s="19">
        <v>49.5</v>
      </c>
      <c r="F11" s="21" t="s">
        <v>118</v>
      </c>
      <c r="G11" s="23">
        <v>43.2497175</v>
      </c>
      <c r="H11" s="24">
        <f>G11*D11</f>
        <v>6487.457625</v>
      </c>
    </row>
    <row r="12" s="3" customFormat="1" spans="1:8">
      <c r="A12" s="9" t="s">
        <v>72</v>
      </c>
      <c r="E12" s="25"/>
      <c r="F12" s="11"/>
      <c r="H12" s="11"/>
    </row>
    <row r="13" s="1" customFormat="1" ht="15" spans="1:8">
      <c r="A13" s="9" t="s">
        <v>73</v>
      </c>
      <c r="B13" s="3"/>
      <c r="C13" s="3"/>
      <c r="D13" s="3"/>
      <c r="E13" s="25"/>
      <c r="F13" s="26"/>
      <c r="H13" s="26"/>
    </row>
    <row r="14" s="1" customFormat="1" ht="15" spans="1:8">
      <c r="A14" s="9" t="s">
        <v>74</v>
      </c>
      <c r="B14" s="3"/>
      <c r="C14" s="3"/>
      <c r="D14" s="3"/>
      <c r="E14" s="25"/>
      <c r="F14" s="26"/>
      <c r="H14" s="26"/>
    </row>
    <row r="15" s="1" customFormat="1" ht="23.25" spans="1:8">
      <c r="A15" s="27"/>
      <c r="B15" s="27"/>
      <c r="E15" s="28"/>
      <c r="F15" s="26"/>
      <c r="G15" s="29"/>
      <c r="H15" s="26"/>
    </row>
    <row r="16" s="1" customFormat="1" ht="15" spans="1:204">
      <c r="A16" s="30" t="s">
        <v>76</v>
      </c>
      <c r="E16" s="31" t="s">
        <v>77</v>
      </c>
      <c r="G16" s="26"/>
      <c r="H16" s="28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</row>
  </sheetData>
  <mergeCells count="6">
    <mergeCell ref="A1:H1"/>
    <mergeCell ref="A2:H2"/>
    <mergeCell ref="A3:H3"/>
    <mergeCell ref="H5:I5"/>
    <mergeCell ref="A8:H8"/>
    <mergeCell ref="F9:H9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NY2150基板</vt:lpstr>
      <vt:lpstr>NY2150PP</vt:lpstr>
      <vt:lpstr>NY2170基板</vt:lpstr>
      <vt:lpstr>NY2170PP</vt:lpstr>
      <vt:lpstr>NY2170H基板</vt:lpstr>
      <vt:lpstr>NY2170HPP</vt:lpstr>
      <vt:lpstr>NY3150HF基板已修改</vt:lpstr>
      <vt:lpstr>NY3150HFPP已修改</vt:lpstr>
      <vt:lpstr>NY3170HF基板</vt:lpstr>
      <vt:lpstr>NY3170HFPP</vt:lpstr>
      <vt:lpstr>NY3150HC已修改</vt:lpstr>
      <vt:lpstr>NY3150HCPP已修改</vt:lpstr>
      <vt:lpstr>NY2150</vt:lpstr>
      <vt:lpstr>NY3170HC基板</vt:lpstr>
      <vt:lpstr>NY3170HCPP</vt:lpstr>
      <vt:lpstr>NY3170M</vt:lpstr>
      <vt:lpstr>NY3170MPP</vt:lpstr>
      <vt:lpstr>NY3170M2</vt:lpstr>
      <vt:lpstr>NY3170M2P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23146</cp:lastModifiedBy>
  <dcterms:created xsi:type="dcterms:W3CDTF">2020-06-30T03:16:00Z</dcterms:created>
  <dcterms:modified xsi:type="dcterms:W3CDTF">2026-06-12T07:24:26Z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F587875171074E819E4AFF3914B467F2_13</vt:lpwstr>
  </property>
  <property fmtid="{D5CDD505-2E9C-101B-9397-08002B2CF9AE}" pid="4" name="5B77E7CEEC58BC6AFAE8886BEB80DBEB">
    <vt:lpwstr>otCYQxs9Dbw2bUEn/Soxv9pYAoWsCRIsU8+gIbxzzmNcJN13+qHIPyWmbF9hFzPHyi2m8DLwi54E5OVVM5pJ0yGmgAiYTaR6oYUdYZxdjep6I9xviFUFZ9aTScfBW9OGQGJP/UVgONSml3+kH+xPx7k0i7Ey4ep3ToX4bZFUIg4oiekewoxv4ibP90JpZW9RRazt1kozJVNjU/EQBDWuKm+5yAPA3lNhk3zxkdCuYhWnIpWagvsngrLYSPM3orS57dNpAmY0lbaedQTdrhzk6np12JqAUl5sKsGKJtAZi2fc50EeaNut0axbGa9Qg0Wbw/JWkIzjE/UWimDskgVAe0atl0cdvzMPc/o/5a+ukDFVH9qryhQTPmGEeNZ0BtXOVV9mLHV4KHjogboVk8/KDJSiKlL/mXLYK6yMI+6ME8sD9F/pMckFv4vgbiH8m73sBNOVIyXeyTPlJhnobuBOWGaEODF020DMkKkYjFjSH7EYjSpUM4fLbi7g+j6B3FjXfF9SDuUfkM3QFmz4LEwQvX12ozqr/t9NIA6MxhVwi7NcMpbjJHJ3mgtqRGVkmlxmbDQPXiD3R1/fA0JGmPs0C5GIy2Xb4ZlJMe2IbzWLz9LU+RCJuCLzhCaOGal42gYDqnbDkIqp4SJbwmbURQ+3i9tWKD5ZWie6wevwiR6ch44tuchAtcD3tkWuo5L+vSsopzenoEJZ3H1h98WNPnmlFWDyIceAP0QX1OZmFARg1OHqY2LTsoSsGaERwAmqaRCVKvbaYPmGuNNSv/DC7VQ3eApgGHhvnfoVGhaSo1A2BSYkrFeG0u+doqXvyHjW1R7gYxmX7OaIJOkSC09r31fH3ZoYbewjIK3lOVrDb8S2XA3wpt7L3RP14nPvC6v15Ceg6gRgIRTHdfPSEYMXSjDgDiX7Gxh18nNI8ySeUVEu1aPuY6sAzdPxu+rataQVWBEXmRbd7Ctwk0Vhpz2eKlTN3ByOoODb96JmCaIYBcg06nla2czM6iAoNww2GcqwwSsGFio7H8vRjD2OnYNkwKYpuKAztBHlJAKC+bOek4ms4fYK4hoRemfN7Z4uIpVGup9LRIhueceTfs8UQ8i0kZeQLXJ4r0Sseuvx/PRqBgxp3/o8L/cH54MzooSXvaHfBgL27XSVH8rkhk4fN/PhYm0cHBptW2HdwdB+ILBC9HmvBPEu+xp+xKRcRsAZMtaeBgwWNH9THqpzRdHU37zrQsPzFtSkv4KYIF+VLAgYHs/g7pKmhHl/D6NbpYPSH2NlG2pUj//FKE9vviy1JOVFOLlaS1FfVxxmL4IlO74roG2bWLzSWGWNay1w1SjpZYshPbTIuSIcWxRmJ4U0WmmO7pKApS8H/2exBpC7unQ7uWRW/WDZTsDGEw9RBvrHTjNxYpk7eo7ay97YzekY2vvP6UIrCtqGbZs+Qy2XJvdxS9tHGhAXm+okfCoCls/bbDL0jz7LNxEHiElQNv+hmAEyQm57SA/NXIxluh4AtntJSNj6lJr0MHhj5tJ5zPL4yzfag5zOJ1aKlXrsCk0EwyTHRR5XtyHU+7OgQSaCa8doB53WOt9Ectn2fFcgUq8hW+yw7U0rndt7Yq6hbmeOs5Of7AaQt1Hh7apeptZLQJsyOnS47UM=</vt:lpwstr>
  </property>
  <property fmtid="{D5CDD505-2E9C-101B-9397-08002B2CF9AE}" pid="5" name="KSOReadingLayout">
    <vt:bool>true</vt:bool>
  </property>
</Properties>
</file>